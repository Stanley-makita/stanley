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4bf409ec23013a37/Área de Trabalho/SIMULADORES/SIMULADOR SANTANDER/"/>
    </mc:Choice>
  </mc:AlternateContent>
  <xr:revisionPtr revIDLastSave="13" documentId="13_ncr:1_{4A313B9E-D19A-4BD6-883D-3D5BF08F993B}" xr6:coauthVersionLast="47" xr6:coauthVersionMax="47" xr10:uidLastSave="{F1719738-25F0-4ECE-878A-77BA7F01714C}"/>
  <bookViews>
    <workbookView showSheetTabs="0" xWindow="-28920" yWindow="-1020" windowWidth="29040" windowHeight="15840" tabRatio="789" firstSheet="2" activeTab="5" xr2:uid="{00000000-000D-0000-FFFF-FFFF00000000}"/>
  </bookViews>
  <sheets>
    <sheet name="Condições" sheetId="8" state="hidden" r:id="rId1"/>
    <sheet name="Caract. Prods" sheetId="10" state="hidden" r:id="rId2"/>
    <sheet name="Fixa" sheetId="5" r:id="rId3"/>
    <sheet name="SAC" sheetId="6" r:id="rId4"/>
    <sheet name="SAC Padrão_Sem Bonif" sheetId="11" r:id="rId5"/>
    <sheet name="Preenchimento" sheetId="2" r:id="rId6"/>
    <sheet name="Apoio" sheetId="12" state="hidden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abc" localSheetId="6">[1]Preenchimento!$D$24</definedName>
    <definedName name="abc" localSheetId="1">[2]Preenchimento!$D$21</definedName>
    <definedName name="abc">Preenchimento!$D$24</definedName>
    <definedName name="_xlnm.Print_Area" localSheetId="0">Condições!$B$1:$K$73</definedName>
    <definedName name="_xlnm.Print_Area" localSheetId="2">Fixa!$A$1:$M$445</definedName>
    <definedName name="_xlnm.Print_Area" localSheetId="5">Preenchimento!$A$1:$J$68</definedName>
    <definedName name="_xlnm.Print_Area" localSheetId="3">SAC!$A$1:$M$445</definedName>
    <definedName name="_xlnm.Print_Area" localSheetId="4">'SAC Padrão_Sem Bonif'!$A$1:$M$445</definedName>
    <definedName name="Cesta" localSheetId="6">[1]Preenchimento!#REF!</definedName>
    <definedName name="Cesta" localSheetId="1">[2]Preenchimento!#REF!</definedName>
    <definedName name="Cesta" localSheetId="0">[3]Preenchimento!#REF!</definedName>
    <definedName name="Cesta" localSheetId="3">[4]Variáveis!$D$12</definedName>
    <definedName name="Cesta" localSheetId="4">[4]Variáveis!$D$12</definedName>
    <definedName name="Cesta">Preenchimento!#REF!</definedName>
    <definedName name="Funcionário" localSheetId="6">[1]Preenchimento!#REF!</definedName>
    <definedName name="Funcionário" localSheetId="1">[2]Preenchimento!#REF!</definedName>
    <definedName name="Funcionário" localSheetId="0">[3]Preenchimento!#REF!</definedName>
    <definedName name="Funcionário" localSheetId="3">[4]Variáveis!#REF!</definedName>
    <definedName name="Funcionário" localSheetId="4">[4]Variáveis!#REF!</definedName>
    <definedName name="Funcionário">Preenchimento!#REF!</definedName>
    <definedName name="Imovel" localSheetId="6">[1]Preenchimento!$D$24</definedName>
    <definedName name="Imovel" localSheetId="1">[2]Preenchimento!$D$21</definedName>
    <definedName name="Imovel" localSheetId="0">[3]Preenchimento!$D$7</definedName>
    <definedName name="Imovel">Preenchimento!$D$24</definedName>
    <definedName name="Período" localSheetId="6">[5]Preenchimento!#REF!</definedName>
    <definedName name="Período" localSheetId="4">[6]Preenchimento!#REF!</definedName>
    <definedName name="Período">[6]Preenchimento!#REF!</definedName>
    <definedName name="Prazo" localSheetId="6">[1]Preenchimento!#REF!</definedName>
    <definedName name="Prazo" localSheetId="1">[2]Preenchimento!#REF!</definedName>
    <definedName name="Prazo" localSheetId="0">[3]Preenchimento!$D$9</definedName>
    <definedName name="Prazo" localSheetId="3">[4]Variáveis!$D$8</definedName>
    <definedName name="Prazo" localSheetId="4">[4]Variáveis!$D$8</definedName>
    <definedName name="Prazo">Preenchimento!#REF!</definedName>
    <definedName name="Vlr_Imovel" localSheetId="3">[4]Variáveis!$D$6</definedName>
    <definedName name="Vlr_Imovel" localSheetId="4">[4]Variáveis!$D$6</definedName>
    <definedName name="Vlr_Imovel">Preenchimento!$D$24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6" i="2" l="1"/>
  <c r="I9" i="2"/>
  <c r="L52" i="12"/>
  <c r="AA73" i="2" l="1"/>
  <c r="AF78" i="2"/>
  <c r="AA74" i="2"/>
  <c r="AA81" i="2" l="1"/>
  <c r="AH73" i="2"/>
  <c r="AA75" i="2"/>
  <c r="AA77" i="2"/>
  <c r="AD74" i="2"/>
  <c r="AD76" i="2"/>
  <c r="AA76" i="2"/>
  <c r="AA78" i="2"/>
  <c r="AA80" i="2" l="1"/>
  <c r="AB76" i="2"/>
  <c r="AD78" i="2" s="1"/>
  <c r="AD79" i="2" s="1"/>
  <c r="AF79" i="2" s="1"/>
  <c r="AF80" i="2" l="1"/>
  <c r="AH80" i="2"/>
  <c r="AJ80" i="2" s="1"/>
  <c r="C33" i="10" l="1"/>
  <c r="D156" i="2" l="1"/>
  <c r="B67" i="2" l="1"/>
  <c r="D40" i="2"/>
  <c r="B10" i="11"/>
  <c r="B10" i="6"/>
  <c r="AC51" i="5" l="1"/>
  <c r="I11" i="2" l="1"/>
  <c r="I94" i="2" l="1"/>
  <c r="K2" i="11"/>
  <c r="K2" i="6"/>
  <c r="K2" i="5"/>
  <c r="C32" i="10"/>
  <c r="C106" i="8"/>
  <c r="C105" i="8"/>
  <c r="AD31" i="11" s="1"/>
  <c r="C25" i="8"/>
  <c r="J14" i="11"/>
  <c r="J14" i="6"/>
  <c r="J14" i="5"/>
  <c r="K22" i="5"/>
  <c r="D58" i="12"/>
  <c r="D57" i="12"/>
  <c r="D56" i="12"/>
  <c r="D55" i="12"/>
  <c r="D54" i="12"/>
  <c r="D51" i="12"/>
  <c r="K22" i="6"/>
  <c r="K22" i="11"/>
  <c r="N43" i="8"/>
  <c r="N42" i="8"/>
  <c r="N41" i="8"/>
  <c r="N40" i="8"/>
  <c r="N39" i="8"/>
  <c r="N38" i="8"/>
  <c r="L43" i="8"/>
  <c r="L42" i="8"/>
  <c r="L41" i="8"/>
  <c r="L40" i="8"/>
  <c r="L39" i="8"/>
  <c r="L38" i="8"/>
  <c r="L37" i="8"/>
  <c r="N37" i="8"/>
  <c r="N36" i="8"/>
  <c r="L36" i="8"/>
  <c r="I101" i="2"/>
  <c r="N35" i="8"/>
  <c r="N34" i="8"/>
  <c r="L35" i="8"/>
  <c r="L34" i="8"/>
  <c r="N33" i="8"/>
  <c r="N32" i="8"/>
  <c r="L33" i="8"/>
  <c r="L32" i="8"/>
  <c r="N31" i="8"/>
  <c r="N30" i="8"/>
  <c r="L31" i="8"/>
  <c r="L30" i="8"/>
  <c r="B1" i="5"/>
  <c r="M29" i="12"/>
  <c r="F30" i="8"/>
  <c r="E30" i="8" s="1"/>
  <c r="N29" i="8"/>
  <c r="N28" i="8"/>
  <c r="L29" i="8"/>
  <c r="L28" i="8"/>
  <c r="V36" i="2"/>
  <c r="C31" i="10"/>
  <c r="I15" i="2"/>
  <c r="N19" i="8"/>
  <c r="N18" i="8"/>
  <c r="L19" i="8"/>
  <c r="L18" i="8"/>
  <c r="L41" i="12"/>
  <c r="L42" i="12" s="1"/>
  <c r="N27" i="8"/>
  <c r="N26" i="8"/>
  <c r="N25" i="8"/>
  <c r="N24" i="8"/>
  <c r="N23" i="8"/>
  <c r="N22" i="8"/>
  <c r="N21" i="8"/>
  <c r="N20" i="8"/>
  <c r="L27" i="8"/>
  <c r="L26" i="8"/>
  <c r="L25" i="8"/>
  <c r="L24" i="8"/>
  <c r="L23" i="8"/>
  <c r="L22" i="8"/>
  <c r="L21" i="8"/>
  <c r="L20" i="8"/>
  <c r="B10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K3" i="8"/>
  <c r="M3" i="8"/>
  <c r="G38" i="2"/>
  <c r="D39" i="2" s="1"/>
  <c r="D38" i="2"/>
  <c r="D27" i="2"/>
  <c r="K55" i="8"/>
  <c r="K54" i="8"/>
  <c r="K53" i="8"/>
  <c r="K52" i="8"/>
  <c r="K51" i="8"/>
  <c r="K50" i="8"/>
  <c r="K49" i="8"/>
  <c r="K48" i="8"/>
  <c r="L6" i="12"/>
  <c r="G46" i="2"/>
  <c r="D46" i="2"/>
  <c r="L5" i="12"/>
  <c r="C64" i="8"/>
  <c r="F31" i="8"/>
  <c r="AD35" i="11"/>
  <c r="AD32" i="11"/>
  <c r="AF26" i="11"/>
  <c r="AF27" i="11"/>
  <c r="AF28" i="11" s="1"/>
  <c r="AF29" i="11" s="1"/>
  <c r="AF30" i="11" s="1"/>
  <c r="AF31" i="11" s="1"/>
  <c r="AF32" i="11" s="1"/>
  <c r="AF33" i="11" s="1"/>
  <c r="AF34" i="11" s="1"/>
  <c r="AF35" i="11" s="1"/>
  <c r="AF36" i="11" s="1"/>
  <c r="AD25" i="11"/>
  <c r="D12" i="11" s="1"/>
  <c r="F25" i="11"/>
  <c r="G25" i="11" s="1"/>
  <c r="E25" i="11"/>
  <c r="J18" i="11"/>
  <c r="D17" i="11"/>
  <c r="AJ16" i="11"/>
  <c r="J16" i="11"/>
  <c r="F16" i="11"/>
  <c r="D13" i="11"/>
  <c r="N1" i="11"/>
  <c r="F29" i="8"/>
  <c r="E29" i="8" s="1"/>
  <c r="F16" i="6"/>
  <c r="F16" i="5"/>
  <c r="G7" i="2"/>
  <c r="J18" i="6"/>
  <c r="J18" i="5"/>
  <c r="E24" i="10"/>
  <c r="E66" i="8"/>
  <c r="I87" i="2"/>
  <c r="G3" i="5" s="1"/>
  <c r="AA92" i="2"/>
  <c r="J16" i="6"/>
  <c r="J16" i="5"/>
  <c r="C81" i="8"/>
  <c r="W94" i="2" s="1"/>
  <c r="D13" i="6"/>
  <c r="D141" i="2"/>
  <c r="B13" i="11" s="1"/>
  <c r="C114" i="8"/>
  <c r="I109" i="2"/>
  <c r="C30" i="10"/>
  <c r="C28" i="10"/>
  <c r="C27" i="10"/>
  <c r="I84" i="2"/>
  <c r="B20" i="2"/>
  <c r="C92" i="2" s="1"/>
  <c r="I83" i="2"/>
  <c r="I82" i="2"/>
  <c r="D139" i="2"/>
  <c r="F67" i="8"/>
  <c r="E67" i="8" s="1"/>
  <c r="I13" i="2"/>
  <c r="Q95" i="2"/>
  <c r="D136" i="2"/>
  <c r="D135" i="2" s="1"/>
  <c r="N39" i="2"/>
  <c r="O39" i="2" s="1"/>
  <c r="N43" i="2"/>
  <c r="O43" i="2" s="1"/>
  <c r="N45" i="2"/>
  <c r="O45" i="2" s="1"/>
  <c r="N44" i="2"/>
  <c r="O44" i="2" s="1"/>
  <c r="N40" i="2"/>
  <c r="O40" i="2" s="1"/>
  <c r="N41" i="2"/>
  <c r="O41" i="2" s="1"/>
  <c r="N42" i="2"/>
  <c r="O42" i="2" s="1"/>
  <c r="N37" i="2"/>
  <c r="O37" i="2" s="1"/>
  <c r="O38" i="2"/>
  <c r="G77" i="8"/>
  <c r="C82" i="8" s="1"/>
  <c r="L89" i="8"/>
  <c r="E82" i="8"/>
  <c r="W90" i="2"/>
  <c r="W89" i="2"/>
  <c r="AE55" i="5"/>
  <c r="AE39" i="6" s="1"/>
  <c r="C88" i="2"/>
  <c r="AD35" i="6"/>
  <c r="C106" i="2" s="1"/>
  <c r="D13" i="5"/>
  <c r="W88" i="2"/>
  <c r="R37" i="2"/>
  <c r="R39" i="2"/>
  <c r="R40" i="2"/>
  <c r="R41" i="2"/>
  <c r="R42" i="2"/>
  <c r="R43" i="2"/>
  <c r="R45" i="2"/>
  <c r="R46" i="2"/>
  <c r="R53" i="2"/>
  <c r="R55" i="2"/>
  <c r="S39" i="2"/>
  <c r="S40" i="2"/>
  <c r="S41" i="2"/>
  <c r="S42" i="2"/>
  <c r="Z61" i="2"/>
  <c r="P120" i="8"/>
  <c r="P121" i="8"/>
  <c r="P119" i="8"/>
  <c r="V47" i="2"/>
  <c r="D121" i="2"/>
  <c r="D124" i="2"/>
  <c r="D122" i="2" s="1"/>
  <c r="D128" i="2" s="1"/>
  <c r="I28" i="8"/>
  <c r="C109" i="8"/>
  <c r="C112" i="8" s="1"/>
  <c r="D17" i="6"/>
  <c r="AJ16" i="6"/>
  <c r="E25" i="6"/>
  <c r="F25" i="6"/>
  <c r="AD25" i="6"/>
  <c r="D12" i="6" s="1"/>
  <c r="AF26" i="6"/>
  <c r="AF27" i="6" s="1"/>
  <c r="AF28" i="6" s="1"/>
  <c r="AF29" i="6" s="1"/>
  <c r="AF30" i="6" s="1"/>
  <c r="AF31" i="6" s="1"/>
  <c r="AF32" i="6" s="1"/>
  <c r="AF33" i="6" s="1"/>
  <c r="AF34" i="6" s="1"/>
  <c r="AF35" i="6" s="1"/>
  <c r="AF36" i="6" s="1"/>
  <c r="AD32" i="6"/>
  <c r="D12" i="5"/>
  <c r="D17" i="5"/>
  <c r="AH16" i="5"/>
  <c r="E25" i="5"/>
  <c r="F25" i="5"/>
  <c r="AA29" i="5"/>
  <c r="AA30" i="5"/>
  <c r="AA31" i="5" s="1"/>
  <c r="AA32" i="5" s="1"/>
  <c r="AA33" i="5" s="1"/>
  <c r="AA34" i="5" s="1"/>
  <c r="AA35" i="5" s="1"/>
  <c r="AA36" i="5" s="1"/>
  <c r="AA37" i="5" s="1"/>
  <c r="AA38" i="5" s="1"/>
  <c r="AA39" i="5" s="1"/>
  <c r="AC44" i="5"/>
  <c r="AC43" i="5" s="1"/>
  <c r="AC50" i="5"/>
  <c r="AE54" i="5"/>
  <c r="AE38" i="6" s="1"/>
  <c r="AE56" i="5"/>
  <c r="AC56" i="5" s="1"/>
  <c r="AE57" i="5"/>
  <c r="AC57" i="5" s="1"/>
  <c r="AE58" i="5"/>
  <c r="AE42" i="6" s="1"/>
  <c r="V38" i="2"/>
  <c r="W39" i="2" s="1"/>
  <c r="W40" i="2"/>
  <c r="Y44" i="2"/>
  <c r="Z44" i="2" s="1"/>
  <c r="V46" i="2"/>
  <c r="C89" i="2"/>
  <c r="AC53" i="5" s="1"/>
  <c r="C90" i="2"/>
  <c r="F68" i="8"/>
  <c r="E68" i="8" s="1"/>
  <c r="Y26" i="5"/>
  <c r="N1" i="6"/>
  <c r="AS1" i="5"/>
  <c r="AN4" i="5"/>
  <c r="Y27" i="5"/>
  <c r="Y28" i="5"/>
  <c r="Y29" i="5" s="1"/>
  <c r="Y30" i="5" s="1"/>
  <c r="Y31" i="5" s="1"/>
  <c r="Y32" i="5" s="1"/>
  <c r="Y33" i="5" s="1"/>
  <c r="Y34" i="5" s="1"/>
  <c r="Y35" i="5" s="1"/>
  <c r="Y36" i="5" s="1"/>
  <c r="Y37" i="5" s="1"/>
  <c r="Y38" i="5" s="1"/>
  <c r="Y39" i="5" s="1"/>
  <c r="Y40" i="5" s="1"/>
  <c r="Y41" i="5" s="1"/>
  <c r="Y42" i="5" s="1"/>
  <c r="Y43" i="5" s="1"/>
  <c r="Y44" i="5" s="1"/>
  <c r="Y45" i="5" s="1"/>
  <c r="Y46" i="5" s="1"/>
  <c r="Y47" i="5" s="1"/>
  <c r="Y48" i="5" s="1"/>
  <c r="Y49" i="5" s="1"/>
  <c r="Y50" i="5" s="1"/>
  <c r="Y51" i="5" s="1"/>
  <c r="Y52" i="5" s="1"/>
  <c r="Y53" i="5" s="1"/>
  <c r="Y54" i="5" s="1"/>
  <c r="Y55" i="5" s="1"/>
  <c r="Y56" i="5" s="1"/>
  <c r="Y57" i="5" s="1"/>
  <c r="Y58" i="5" s="1"/>
  <c r="Y59" i="5" s="1"/>
  <c r="Y60" i="5" s="1"/>
  <c r="Y61" i="5" s="1"/>
  <c r="Y62" i="5" s="1"/>
  <c r="Y63" i="5" s="1"/>
  <c r="Y64" i="5" s="1"/>
  <c r="Y65" i="5" s="1"/>
  <c r="Y66" i="5" s="1"/>
  <c r="Y67" i="5" s="1"/>
  <c r="Y68" i="5" s="1"/>
  <c r="Y69" i="5" s="1"/>
  <c r="Y70" i="5" s="1"/>
  <c r="Y71" i="5" s="1"/>
  <c r="Y72" i="5" s="1"/>
  <c r="Y73" i="5" s="1"/>
  <c r="Y74" i="5" s="1"/>
  <c r="Y75" i="5" s="1"/>
  <c r="Y76" i="5" s="1"/>
  <c r="Y77" i="5" s="1"/>
  <c r="Y78" i="5" s="1"/>
  <c r="Y79" i="5" s="1"/>
  <c r="Y80" i="5" s="1"/>
  <c r="Y81" i="5" s="1"/>
  <c r="Y82" i="5" s="1"/>
  <c r="Y83" i="5" s="1"/>
  <c r="Y84" i="5" s="1"/>
  <c r="Y85" i="5" s="1"/>
  <c r="Y86" i="5" s="1"/>
  <c r="Y87" i="5" s="1"/>
  <c r="Y88" i="5" s="1"/>
  <c r="Y89" i="5" s="1"/>
  <c r="Y90" i="5" s="1"/>
  <c r="Y91" i="5" s="1"/>
  <c r="Y92" i="5" s="1"/>
  <c r="Y93" i="5" s="1"/>
  <c r="Y94" i="5" s="1"/>
  <c r="Y95" i="5" s="1"/>
  <c r="Y96" i="5" s="1"/>
  <c r="Y97" i="5" s="1"/>
  <c r="Y98" i="5" s="1"/>
  <c r="Y99" i="5" s="1"/>
  <c r="Y100" i="5" s="1"/>
  <c r="Y101" i="5" s="1"/>
  <c r="Y102" i="5" s="1"/>
  <c r="Y103" i="5" s="1"/>
  <c r="Y104" i="5" s="1"/>
  <c r="Y105" i="5" s="1"/>
  <c r="Y106" i="5" s="1"/>
  <c r="Y107" i="5" s="1"/>
  <c r="Y108" i="5" s="1"/>
  <c r="Y109" i="5" s="1"/>
  <c r="Y110" i="5" s="1"/>
  <c r="Y111" i="5" s="1"/>
  <c r="Y112" i="5" s="1"/>
  <c r="Y113" i="5" s="1"/>
  <c r="Y114" i="5" s="1"/>
  <c r="Y115" i="5" s="1"/>
  <c r="Y116" i="5" s="1"/>
  <c r="Y117" i="5" s="1"/>
  <c r="Y118" i="5" s="1"/>
  <c r="Y119" i="5" s="1"/>
  <c r="Y120" i="5" s="1"/>
  <c r="Y121" i="5" s="1"/>
  <c r="Y122" i="5" s="1"/>
  <c r="Y123" i="5" s="1"/>
  <c r="Y124" i="5" s="1"/>
  <c r="Y125" i="5" s="1"/>
  <c r="Y126" i="5" s="1"/>
  <c r="Y127" i="5" s="1"/>
  <c r="Y128" i="5" s="1"/>
  <c r="Y129" i="5" s="1"/>
  <c r="Y130" i="5" s="1"/>
  <c r="Y131" i="5" s="1"/>
  <c r="Y132" i="5" s="1"/>
  <c r="Y133" i="5" s="1"/>
  <c r="Y134" i="5" s="1"/>
  <c r="Y135" i="5" s="1"/>
  <c r="Y136" i="5" s="1"/>
  <c r="Y137" i="5" s="1"/>
  <c r="Y138" i="5" s="1"/>
  <c r="Y139" i="5" s="1"/>
  <c r="Y140" i="5" s="1"/>
  <c r="Y141" i="5" s="1"/>
  <c r="Y142" i="5" s="1"/>
  <c r="Y143" i="5" s="1"/>
  <c r="Y144" i="5" s="1"/>
  <c r="Y145" i="5" s="1"/>
  <c r="Y146" i="5" s="1"/>
  <c r="Y147" i="5" s="1"/>
  <c r="Y148" i="5" s="1"/>
  <c r="Y149" i="5" s="1"/>
  <c r="Y150" i="5" s="1"/>
  <c r="Y151" i="5" s="1"/>
  <c r="Y152" i="5" s="1"/>
  <c r="Y153" i="5" s="1"/>
  <c r="Y154" i="5" s="1"/>
  <c r="Y155" i="5" s="1"/>
  <c r="Y156" i="5" s="1"/>
  <c r="Y157" i="5" s="1"/>
  <c r="Y158" i="5" s="1"/>
  <c r="Y159" i="5" s="1"/>
  <c r="Y160" i="5" s="1"/>
  <c r="Y161" i="5" s="1"/>
  <c r="Y162" i="5" s="1"/>
  <c r="Y163" i="5" s="1"/>
  <c r="Y164" i="5" s="1"/>
  <c r="Y165" i="5" s="1"/>
  <c r="Y166" i="5" s="1"/>
  <c r="Y167" i="5" s="1"/>
  <c r="Y168" i="5" s="1"/>
  <c r="Y169" i="5" s="1"/>
  <c r="Y170" i="5" s="1"/>
  <c r="Y171" i="5" s="1"/>
  <c r="Y172" i="5" s="1"/>
  <c r="Y173" i="5" s="1"/>
  <c r="Y174" i="5" s="1"/>
  <c r="Y175" i="5" s="1"/>
  <c r="Y176" i="5" s="1"/>
  <c r="Y177" i="5" s="1"/>
  <c r="Y178" i="5" s="1"/>
  <c r="Y179" i="5" s="1"/>
  <c r="Y180" i="5" s="1"/>
  <c r="Y181" i="5" s="1"/>
  <c r="Y182" i="5" s="1"/>
  <c r="Y183" i="5" s="1"/>
  <c r="Y184" i="5" s="1"/>
  <c r="Y185" i="5" s="1"/>
  <c r="Y186" i="5" s="1"/>
  <c r="Y187" i="5" s="1"/>
  <c r="Y188" i="5" s="1"/>
  <c r="Y189" i="5" s="1"/>
  <c r="Y190" i="5" s="1"/>
  <c r="Y191" i="5" s="1"/>
  <c r="Y192" i="5" s="1"/>
  <c r="Y193" i="5" s="1"/>
  <c r="Y194" i="5" s="1"/>
  <c r="Y195" i="5" s="1"/>
  <c r="Y196" i="5" s="1"/>
  <c r="Y197" i="5" s="1"/>
  <c r="Y198" i="5" s="1"/>
  <c r="Y199" i="5" s="1"/>
  <c r="Y200" i="5" s="1"/>
  <c r="Y201" i="5" s="1"/>
  <c r="Y202" i="5" s="1"/>
  <c r="Y203" i="5" s="1"/>
  <c r="Y204" i="5" s="1"/>
  <c r="Y205" i="5" s="1"/>
  <c r="Y206" i="5" s="1"/>
  <c r="Y207" i="5" s="1"/>
  <c r="Y208" i="5" s="1"/>
  <c r="Y209" i="5" s="1"/>
  <c r="Y210" i="5" s="1"/>
  <c r="Y211" i="5" s="1"/>
  <c r="Y212" i="5" s="1"/>
  <c r="Y213" i="5" s="1"/>
  <c r="Y214" i="5" s="1"/>
  <c r="Y215" i="5" s="1"/>
  <c r="Y216" i="5" s="1"/>
  <c r="Y217" i="5" s="1"/>
  <c r="Y218" i="5" s="1"/>
  <c r="Y219" i="5" s="1"/>
  <c r="Y220" i="5" s="1"/>
  <c r="Y221" i="5" s="1"/>
  <c r="Y222" i="5" s="1"/>
  <c r="Y223" i="5" s="1"/>
  <c r="Y224" i="5" s="1"/>
  <c r="Y225" i="5" s="1"/>
  <c r="Y226" i="5" s="1"/>
  <c r="Y227" i="5" s="1"/>
  <c r="Y228" i="5" s="1"/>
  <c r="Y229" i="5" s="1"/>
  <c r="Y230" i="5" s="1"/>
  <c r="Y231" i="5" s="1"/>
  <c r="Y232" i="5" s="1"/>
  <c r="Y233" i="5" s="1"/>
  <c r="Y234" i="5" s="1"/>
  <c r="Y235" i="5" s="1"/>
  <c r="Y236" i="5" s="1"/>
  <c r="Y237" i="5" s="1"/>
  <c r="Y238" i="5" s="1"/>
  <c r="Y239" i="5" s="1"/>
  <c r="Y240" i="5" s="1"/>
  <c r="Y241" i="5" s="1"/>
  <c r="Y242" i="5" s="1"/>
  <c r="Y243" i="5" s="1"/>
  <c r="Y244" i="5" s="1"/>
  <c r="Y245" i="5" s="1"/>
  <c r="Y246" i="5" s="1"/>
  <c r="Y247" i="5" s="1"/>
  <c r="Y248" i="5" s="1"/>
  <c r="Y249" i="5" s="1"/>
  <c r="Y250" i="5" s="1"/>
  <c r="Y251" i="5" s="1"/>
  <c r="Y252" i="5" s="1"/>
  <c r="Y253" i="5" s="1"/>
  <c r="Y254" i="5" s="1"/>
  <c r="Y255" i="5" s="1"/>
  <c r="Y256" i="5" s="1"/>
  <c r="Y257" i="5" s="1"/>
  <c r="Y258" i="5" s="1"/>
  <c r="Y259" i="5" s="1"/>
  <c r="Y260" i="5" s="1"/>
  <c r="Y261" i="5" s="1"/>
  <c r="Y262" i="5" s="1"/>
  <c r="Y263" i="5" s="1"/>
  <c r="Y264" i="5" s="1"/>
  <c r="Y265" i="5" s="1"/>
  <c r="Y266" i="5" s="1"/>
  <c r="Y267" i="5" s="1"/>
  <c r="Y268" i="5" s="1"/>
  <c r="Y269" i="5" s="1"/>
  <c r="Y270" i="5" s="1"/>
  <c r="Y271" i="5" s="1"/>
  <c r="Y272" i="5" s="1"/>
  <c r="Y273" i="5" s="1"/>
  <c r="Y274" i="5" s="1"/>
  <c r="Y275" i="5" s="1"/>
  <c r="Y276" i="5" s="1"/>
  <c r="Y277" i="5" s="1"/>
  <c r="Y278" i="5" s="1"/>
  <c r="Y279" i="5" s="1"/>
  <c r="Y280" i="5" s="1"/>
  <c r="Y281" i="5" s="1"/>
  <c r="Y282" i="5" s="1"/>
  <c r="Y283" i="5" s="1"/>
  <c r="Y284" i="5" s="1"/>
  <c r="Y285" i="5" s="1"/>
  <c r="Y286" i="5" s="1"/>
  <c r="Y287" i="5" s="1"/>
  <c r="Y288" i="5" s="1"/>
  <c r="Y289" i="5" s="1"/>
  <c r="Y290" i="5" s="1"/>
  <c r="Y291" i="5" s="1"/>
  <c r="Y292" i="5" s="1"/>
  <c r="Y293" i="5" s="1"/>
  <c r="Y294" i="5" s="1"/>
  <c r="Y295" i="5" s="1"/>
  <c r="Y296" i="5" s="1"/>
  <c r="Y297" i="5" s="1"/>
  <c r="Y298" i="5" s="1"/>
  <c r="Y299" i="5" s="1"/>
  <c r="Y300" i="5" s="1"/>
  <c r="Y301" i="5" s="1"/>
  <c r="Y302" i="5" s="1"/>
  <c r="Y303" i="5" s="1"/>
  <c r="Y304" i="5" s="1"/>
  <c r="Y305" i="5" s="1"/>
  <c r="Y306" i="5" s="1"/>
  <c r="Y307" i="5" s="1"/>
  <c r="Y308" i="5" s="1"/>
  <c r="Y309" i="5" s="1"/>
  <c r="Y310" i="5" s="1"/>
  <c r="Y311" i="5" s="1"/>
  <c r="Y312" i="5" s="1"/>
  <c r="Y313" i="5" s="1"/>
  <c r="Y314" i="5" s="1"/>
  <c r="Y315" i="5" s="1"/>
  <c r="Y316" i="5" s="1"/>
  <c r="Y317" i="5" s="1"/>
  <c r="Y318" i="5" s="1"/>
  <c r="Y319" i="5" s="1"/>
  <c r="Y320" i="5" s="1"/>
  <c r="Y321" i="5" s="1"/>
  <c r="Y322" i="5" s="1"/>
  <c r="Y323" i="5" s="1"/>
  <c r="Y324" i="5" s="1"/>
  <c r="Y325" i="5" s="1"/>
  <c r="Y326" i="5" s="1"/>
  <c r="Y327" i="5" s="1"/>
  <c r="Y328" i="5" s="1"/>
  <c r="Y329" i="5" s="1"/>
  <c r="Y330" i="5" s="1"/>
  <c r="Y331" i="5" s="1"/>
  <c r="Y332" i="5" s="1"/>
  <c r="Y333" i="5" s="1"/>
  <c r="Y334" i="5" s="1"/>
  <c r="Y335" i="5" s="1"/>
  <c r="Y336" i="5" s="1"/>
  <c r="Y337" i="5" s="1"/>
  <c r="Y338" i="5" s="1"/>
  <c r="Y339" i="5" s="1"/>
  <c r="Y340" i="5" s="1"/>
  <c r="Y341" i="5" s="1"/>
  <c r="Y342" i="5" s="1"/>
  <c r="Y343" i="5" s="1"/>
  <c r="Y344" i="5" s="1"/>
  <c r="Y345" i="5" s="1"/>
  <c r="Y346" i="5" s="1"/>
  <c r="Y347" i="5" s="1"/>
  <c r="Y348" i="5" s="1"/>
  <c r="Y349" i="5" s="1"/>
  <c r="Y350" i="5" s="1"/>
  <c r="Y351" i="5" s="1"/>
  <c r="Y352" i="5" s="1"/>
  <c r="Y353" i="5" s="1"/>
  <c r="Y354" i="5" s="1"/>
  <c r="Y355" i="5" s="1"/>
  <c r="Y356" i="5" s="1"/>
  <c r="Y357" i="5" s="1"/>
  <c r="Y358" i="5" s="1"/>
  <c r="Y359" i="5" s="1"/>
  <c r="Y360" i="5" s="1"/>
  <c r="Y361" i="5" s="1"/>
  <c r="Y362" i="5" s="1"/>
  <c r="Y363" i="5" s="1"/>
  <c r="Y364" i="5" s="1"/>
  <c r="Y365" i="5" s="1"/>
  <c r="Y366" i="5" s="1"/>
  <c r="Y367" i="5" s="1"/>
  <c r="Y368" i="5" s="1"/>
  <c r="Y369" i="5" s="1"/>
  <c r="Y370" i="5" s="1"/>
  <c r="Y371" i="5" s="1"/>
  <c r="Y372" i="5" s="1"/>
  <c r="Y373" i="5" s="1"/>
  <c r="Y374" i="5" s="1"/>
  <c r="Y375" i="5" s="1"/>
  <c r="Y376" i="5" s="1"/>
  <c r="Y377" i="5" s="1"/>
  <c r="Y378" i="5" s="1"/>
  <c r="Y379" i="5" s="1"/>
  <c r="Y380" i="5" s="1"/>
  <c r="Y381" i="5" s="1"/>
  <c r="Y382" i="5" s="1"/>
  <c r="Y383" i="5" s="1"/>
  <c r="Y384" i="5" s="1"/>
  <c r="Y385" i="5" s="1"/>
  <c r="Y386" i="5" s="1"/>
  <c r="Y387" i="5" s="1"/>
  <c r="Y388" i="5" s="1"/>
  <c r="Y389" i="5" s="1"/>
  <c r="Y390" i="5" s="1"/>
  <c r="Y391" i="5" s="1"/>
  <c r="Y392" i="5" s="1"/>
  <c r="Y393" i="5" s="1"/>
  <c r="Y394" i="5" s="1"/>
  <c r="Y395" i="5" s="1"/>
  <c r="Y396" i="5" s="1"/>
  <c r="Y397" i="5" s="1"/>
  <c r="Y398" i="5" s="1"/>
  <c r="Y399" i="5" s="1"/>
  <c r="Y400" i="5" s="1"/>
  <c r="Y401" i="5" s="1"/>
  <c r="Y402" i="5" s="1"/>
  <c r="Y403" i="5" s="1"/>
  <c r="Y404" i="5" s="1"/>
  <c r="Y405" i="5" s="1"/>
  <c r="Y406" i="5" s="1"/>
  <c r="Y407" i="5" s="1"/>
  <c r="Y408" i="5" s="1"/>
  <c r="Y409" i="5" s="1"/>
  <c r="Y410" i="5" s="1"/>
  <c r="Y411" i="5" s="1"/>
  <c r="Y412" i="5" s="1"/>
  <c r="Y413" i="5" s="1"/>
  <c r="Y414" i="5" s="1"/>
  <c r="Y415" i="5" s="1"/>
  <c r="Y416" i="5" s="1"/>
  <c r="Y417" i="5" s="1"/>
  <c r="Y418" i="5" s="1"/>
  <c r="Y419" i="5" s="1"/>
  <c r="Y420" i="5" s="1"/>
  <c r="Y421" i="5" s="1"/>
  <c r="Y422" i="5" s="1"/>
  <c r="Y423" i="5" s="1"/>
  <c r="Y424" i="5" s="1"/>
  <c r="Y425" i="5" s="1"/>
  <c r="Y426" i="5" s="1"/>
  <c r="Y427" i="5" s="1"/>
  <c r="Y428" i="5" s="1"/>
  <c r="Y429" i="5" s="1"/>
  <c r="Y430" i="5" s="1"/>
  <c r="Y431" i="5" s="1"/>
  <c r="Y432" i="5" s="1"/>
  <c r="Y433" i="5" s="1"/>
  <c r="Y434" i="5" s="1"/>
  <c r="Y435" i="5" s="1"/>
  <c r="Y436" i="5" s="1"/>
  <c r="Y437" i="5" s="1"/>
  <c r="Y438" i="5" s="1"/>
  <c r="Y439" i="5" s="1"/>
  <c r="Y440" i="5" s="1"/>
  <c r="Y441" i="5" s="1"/>
  <c r="Y442" i="5" s="1"/>
  <c r="Y443" i="5" s="1"/>
  <c r="Y444" i="5" s="1"/>
  <c r="Y445" i="5" s="1"/>
  <c r="Y446" i="5" s="1"/>
  <c r="Y447" i="5" s="1"/>
  <c r="Y448" i="5" s="1"/>
  <c r="Y449" i="5" s="1"/>
  <c r="Y450" i="5" s="1"/>
  <c r="Y451" i="5" s="1"/>
  <c r="Y452" i="5" s="1"/>
  <c r="Y453" i="5" s="1"/>
  <c r="Y454" i="5" s="1"/>
  <c r="Y455" i="5" s="1"/>
  <c r="Y456" i="5" s="1"/>
  <c r="Y457" i="5" s="1"/>
  <c r="Y458" i="5" s="1"/>
  <c r="Y459" i="5" s="1"/>
  <c r="Y460" i="5" s="1"/>
  <c r="Y461" i="5" s="1"/>
  <c r="Y462" i="5" s="1"/>
  <c r="Y463" i="5" s="1"/>
  <c r="Y464" i="5" s="1"/>
  <c r="Y465" i="5" s="1"/>
  <c r="Y466" i="5" s="1"/>
  <c r="Y467" i="5" s="1"/>
  <c r="Y468" i="5" s="1"/>
  <c r="Y469" i="5" s="1"/>
  <c r="Y470" i="5" s="1"/>
  <c r="Y471" i="5" s="1"/>
  <c r="Y472" i="5" s="1"/>
  <c r="Y473" i="5" s="1"/>
  <c r="Y474" i="5" s="1"/>
  <c r="Y475" i="5" s="1"/>
  <c r="Y476" i="5" s="1"/>
  <c r="Y477" i="5" s="1"/>
  <c r="Y478" i="5" s="1"/>
  <c r="Y479" i="5" s="1"/>
  <c r="Y480" i="5" s="1"/>
  <c r="Y481" i="5" s="1"/>
  <c r="Y482" i="5" s="1"/>
  <c r="Y483" i="5" s="1"/>
  <c r="Y484" i="5" s="1"/>
  <c r="Y485" i="5" s="1"/>
  <c r="Y486" i="5" s="1"/>
  <c r="Y487" i="5" s="1"/>
  <c r="Y488" i="5" s="1"/>
  <c r="Y489" i="5" s="1"/>
  <c r="Y490" i="5" s="1"/>
  <c r="Y491" i="5" s="1"/>
  <c r="Y492" i="5" s="1"/>
  <c r="Y493" i="5" s="1"/>
  <c r="Y494" i="5" s="1"/>
  <c r="Y495" i="5" s="1"/>
  <c r="Y496" i="5" s="1"/>
  <c r="Y497" i="5" s="1"/>
  <c r="Y498" i="5" s="1"/>
  <c r="Y499" i="5" s="1"/>
  <c r="Y500" i="5" s="1"/>
  <c r="Y501" i="5" s="1"/>
  <c r="Y502" i="5" s="1"/>
  <c r="Y503" i="5" s="1"/>
  <c r="Y504" i="5" s="1"/>
  <c r="Y505" i="5" s="1"/>
  <c r="Y506" i="5" s="1"/>
  <c r="Y507" i="5" s="1"/>
  <c r="Y508" i="5" s="1"/>
  <c r="Y509" i="5" s="1"/>
  <c r="Y510" i="5" s="1"/>
  <c r="Y511" i="5" s="1"/>
  <c r="AC45" i="5"/>
  <c r="I114" i="2"/>
  <c r="O14" i="5"/>
  <c r="O14" i="6"/>
  <c r="O14" i="11"/>
  <c r="AD26" i="6"/>
  <c r="AE42" i="11"/>
  <c r="AE39" i="11"/>
  <c r="AC49" i="5"/>
  <c r="AA93" i="2" s="1"/>
  <c r="AE38" i="11" l="1"/>
  <c r="AD26" i="11"/>
  <c r="P126" i="8"/>
  <c r="G25" i="5"/>
  <c r="G25" i="6"/>
  <c r="AE41" i="6"/>
  <c r="Q16" i="6"/>
  <c r="Q16" i="11"/>
  <c r="B13" i="6"/>
  <c r="B13" i="5" s="1"/>
  <c r="AC54" i="5"/>
  <c r="AD38" i="6" s="1"/>
  <c r="J356" i="11"/>
  <c r="J390" i="11"/>
  <c r="J189" i="11"/>
  <c r="J370" i="11"/>
  <c r="J210" i="11"/>
  <c r="J131" i="11"/>
  <c r="J360" i="11"/>
  <c r="J204" i="11"/>
  <c r="J482" i="11"/>
  <c r="J44" i="11"/>
  <c r="J416" i="11"/>
  <c r="J31" i="11"/>
  <c r="J345" i="11"/>
  <c r="J141" i="11"/>
  <c r="J338" i="11"/>
  <c r="J229" i="11"/>
  <c r="J69" i="11"/>
  <c r="J90" i="11"/>
  <c r="J92" i="11"/>
  <c r="J245" i="11"/>
  <c r="J212" i="11"/>
  <c r="J110" i="11"/>
  <c r="J156" i="11"/>
  <c r="J153" i="11"/>
  <c r="J88" i="11"/>
  <c r="J261" i="11"/>
  <c r="J350" i="11"/>
  <c r="J134" i="11"/>
  <c r="J327" i="11"/>
  <c r="J284" i="11"/>
  <c r="J59" i="11"/>
  <c r="J428" i="11"/>
  <c r="J181" i="11"/>
  <c r="J357" i="11"/>
  <c r="J302" i="11"/>
  <c r="J123" i="11"/>
  <c r="J230" i="11"/>
  <c r="J433" i="11"/>
  <c r="J218" i="11"/>
  <c r="AD31" i="6"/>
  <c r="J343" i="6" s="1"/>
  <c r="J352" i="11"/>
  <c r="J271" i="11"/>
  <c r="J216" i="11"/>
  <c r="J393" i="11"/>
  <c r="J258" i="11"/>
  <c r="J266" i="11"/>
  <c r="J177" i="11"/>
  <c r="J135" i="11"/>
  <c r="J457" i="11"/>
  <c r="J409" i="11"/>
  <c r="J142" i="11"/>
  <c r="J71" i="11"/>
  <c r="J437" i="11"/>
  <c r="J417" i="11"/>
  <c r="J52" i="11"/>
  <c r="J426" i="11"/>
  <c r="J158" i="11"/>
  <c r="J436" i="11"/>
  <c r="J323" i="11"/>
  <c r="J251" i="11"/>
  <c r="J494" i="11"/>
  <c r="J45" i="11"/>
  <c r="J162" i="11"/>
  <c r="J431" i="11"/>
  <c r="J250" i="11"/>
  <c r="J325" i="11"/>
  <c r="J458" i="11"/>
  <c r="J296" i="11"/>
  <c r="J188" i="11"/>
  <c r="J406" i="11"/>
  <c r="J502" i="11"/>
  <c r="J472" i="11"/>
  <c r="J336" i="11"/>
  <c r="J340" i="11"/>
  <c r="J405" i="11"/>
  <c r="J161" i="11"/>
  <c r="J70" i="11"/>
  <c r="J391" i="11"/>
  <c r="J157" i="11"/>
  <c r="J484" i="11"/>
  <c r="J76" i="11"/>
  <c r="J35" i="11"/>
  <c r="J120" i="11"/>
  <c r="J265" i="11"/>
  <c r="J375" i="11"/>
  <c r="J221" i="11"/>
  <c r="J109" i="11"/>
  <c r="J154" i="11"/>
  <c r="J469" i="11"/>
  <c r="J32" i="11"/>
  <c r="J144" i="11"/>
  <c r="J269" i="11"/>
  <c r="J249" i="11"/>
  <c r="J346" i="11"/>
  <c r="J289" i="11"/>
  <c r="J68" i="11"/>
  <c r="J281" i="11"/>
  <c r="J98" i="11"/>
  <c r="J270" i="11"/>
  <c r="J376" i="11"/>
  <c r="J507" i="11"/>
  <c r="J402" i="11"/>
  <c r="J152" i="11"/>
  <c r="J310" i="11"/>
  <c r="J475" i="11"/>
  <c r="J291" i="11"/>
  <c r="J430" i="11"/>
  <c r="J260" i="11"/>
  <c r="J103" i="11"/>
  <c r="J365" i="11"/>
  <c r="J190" i="11"/>
  <c r="J60" i="11"/>
  <c r="J297" i="11"/>
  <c r="J117" i="11"/>
  <c r="J511" i="11"/>
  <c r="J389" i="11"/>
  <c r="J253" i="11"/>
  <c r="J423" i="11"/>
  <c r="J72" i="11"/>
  <c r="J332" i="11"/>
  <c r="J322" i="11"/>
  <c r="J100" i="11"/>
  <c r="J481" i="11"/>
  <c r="J358" i="11"/>
  <c r="J259" i="11"/>
  <c r="J113" i="11"/>
  <c r="J362" i="11"/>
  <c r="J279" i="11"/>
  <c r="J329" i="11"/>
  <c r="J501" i="11"/>
  <c r="J385" i="11"/>
  <c r="J331" i="11"/>
  <c r="J182" i="11"/>
  <c r="J368" i="11"/>
  <c r="J418" i="11"/>
  <c r="J86" i="11"/>
  <c r="J65" i="11"/>
  <c r="J126" i="11"/>
  <c r="J374" i="11"/>
  <c r="J201" i="11"/>
  <c r="J170" i="11"/>
  <c r="J124" i="11"/>
  <c r="J222" i="11"/>
  <c r="J400" i="11"/>
  <c r="J463" i="11"/>
  <c r="J75" i="11"/>
  <c r="J454" i="11"/>
  <c r="J488" i="11"/>
  <c r="J255" i="11"/>
  <c r="J146" i="11"/>
  <c r="J171" i="11"/>
  <c r="J233" i="11"/>
  <c r="J256" i="11"/>
  <c r="J41" i="11"/>
  <c r="J276" i="11"/>
  <c r="J209" i="11"/>
  <c r="J214" i="11"/>
  <c r="J178" i="11"/>
  <c r="J247" i="11"/>
  <c r="J262" i="11"/>
  <c r="J277" i="11"/>
  <c r="J470" i="11"/>
  <c r="J115" i="11"/>
  <c r="J438" i="11"/>
  <c r="J91" i="11"/>
  <c r="J167" i="11"/>
  <c r="J231" i="11"/>
  <c r="J381" i="11"/>
  <c r="J77" i="11"/>
  <c r="J132" i="11"/>
  <c r="J227" i="11"/>
  <c r="J237" i="11"/>
  <c r="J407" i="11"/>
  <c r="J54" i="11"/>
  <c r="J451" i="11"/>
  <c r="J105" i="11"/>
  <c r="J63" i="11"/>
  <c r="J294" i="11"/>
  <c r="J197" i="11"/>
  <c r="J508" i="11"/>
  <c r="J83" i="11"/>
  <c r="G3" i="6"/>
  <c r="G3" i="11"/>
  <c r="D127" i="2"/>
  <c r="AE41" i="11"/>
  <c r="AC55" i="5"/>
  <c r="AD39" i="6" s="1"/>
  <c r="J364" i="11"/>
  <c r="J228" i="11"/>
  <c r="J312" i="11"/>
  <c r="J39" i="11"/>
  <c r="J130" i="11"/>
  <c r="J489" i="11"/>
  <c r="J57" i="11"/>
  <c r="J298" i="11"/>
  <c r="J127" i="11"/>
  <c r="J349" i="11"/>
  <c r="J420" i="11"/>
  <c r="J478" i="11"/>
  <c r="J220" i="11"/>
  <c r="J48" i="11"/>
  <c r="J476" i="11"/>
  <c r="J242" i="11"/>
  <c r="J309" i="11"/>
  <c r="J254" i="11"/>
  <c r="J414" i="11"/>
  <c r="J382" i="11"/>
  <c r="J50" i="11"/>
  <c r="J73" i="11"/>
  <c r="J415" i="11"/>
  <c r="J37" i="11"/>
  <c r="J51" i="11"/>
  <c r="J411" i="11"/>
  <c r="J224" i="11"/>
  <c r="J215" i="11"/>
  <c r="J445" i="11"/>
  <c r="J493" i="11"/>
  <c r="J307" i="11"/>
  <c r="J56" i="11"/>
  <c r="J453" i="11"/>
  <c r="J441" i="11"/>
  <c r="J159" i="11"/>
  <c r="J367" i="11"/>
  <c r="J200" i="11"/>
  <c r="J29" i="11"/>
  <c r="J140" i="11"/>
  <c r="J480" i="11"/>
  <c r="J377" i="11"/>
  <c r="J443" i="11"/>
  <c r="J506" i="11"/>
  <c r="J252" i="11"/>
  <c r="J456" i="11"/>
  <c r="J168" i="11"/>
  <c r="J33" i="11"/>
  <c r="J136" i="11"/>
  <c r="J203" i="11"/>
  <c r="J497" i="11"/>
  <c r="J491" i="11"/>
  <c r="J179" i="11"/>
  <c r="J425" i="11"/>
  <c r="J55" i="11"/>
  <c r="J79" i="11"/>
  <c r="J496" i="11"/>
  <c r="J225" i="11"/>
  <c r="J293" i="11"/>
  <c r="G39" i="2"/>
  <c r="AE40" i="6"/>
  <c r="W97" i="2"/>
  <c r="W92" i="2"/>
  <c r="E69" i="8"/>
  <c r="G66" i="8" s="1"/>
  <c r="G67" i="8" s="1"/>
  <c r="P128" i="8"/>
  <c r="J282" i="11"/>
  <c r="J166" i="11"/>
  <c r="J378" i="11"/>
  <c r="J101" i="11"/>
  <c r="J102" i="11"/>
  <c r="J306" i="11"/>
  <c r="J304" i="11"/>
  <c r="J81" i="11"/>
  <c r="J319" i="11"/>
  <c r="J273" i="11"/>
  <c r="J422" i="11"/>
  <c r="J287" i="11"/>
  <c r="J243" i="11"/>
  <c r="J129" i="11"/>
  <c r="J206" i="11"/>
  <c r="J114" i="11"/>
  <c r="J471" i="11"/>
  <c r="J504" i="11"/>
  <c r="J490" i="11"/>
  <c r="J199" i="11"/>
  <c r="J366" i="11"/>
  <c r="J386" i="11"/>
  <c r="J498" i="11"/>
  <c r="J183" i="11"/>
  <c r="J505" i="11"/>
  <c r="J446" i="11"/>
  <c r="J244" i="11"/>
  <c r="J28" i="11"/>
  <c r="J172" i="11"/>
  <c r="J413" i="11"/>
  <c r="J176" i="11"/>
  <c r="J27" i="11"/>
  <c r="J85" i="11"/>
  <c r="J108" i="11"/>
  <c r="J424" i="11"/>
  <c r="J317" i="11"/>
  <c r="J492" i="11"/>
  <c r="J459" i="11"/>
  <c r="J226" i="11"/>
  <c r="J300" i="11"/>
  <c r="J234" i="11"/>
  <c r="J483" i="11"/>
  <c r="J434" i="11"/>
  <c r="J335" i="11"/>
  <c r="J49" i="11"/>
  <c r="J235" i="11"/>
  <c r="J42" i="11"/>
  <c r="J143" i="11"/>
  <c r="J299" i="11"/>
  <c r="J499" i="11"/>
  <c r="J363" i="11"/>
  <c r="J61" i="11"/>
  <c r="J211" i="11"/>
  <c r="J380" i="11"/>
  <c r="J193" i="11"/>
  <c r="J240" i="11"/>
  <c r="J295" i="11"/>
  <c r="J398" i="11"/>
  <c r="J89" i="11"/>
  <c r="J145" i="11"/>
  <c r="J125" i="11"/>
  <c r="J395" i="11"/>
  <c r="J149" i="11"/>
  <c r="J165" i="11"/>
  <c r="J334" i="11"/>
  <c r="J148" i="11"/>
  <c r="J427" i="11"/>
  <c r="J164" i="11"/>
  <c r="J194" i="11"/>
  <c r="J348" i="11"/>
  <c r="J163" i="11"/>
  <c r="J66" i="11"/>
  <c r="J421" i="11"/>
  <c r="J326" i="11"/>
  <c r="J62" i="11"/>
  <c r="J495" i="11"/>
  <c r="J330" i="11"/>
  <c r="J500" i="11"/>
  <c r="J510" i="11"/>
  <c r="J419" i="11"/>
  <c r="J173" i="11"/>
  <c r="J236" i="11"/>
  <c r="J303" i="11"/>
  <c r="J292" i="11"/>
  <c r="J290" i="11"/>
  <c r="J155" i="11"/>
  <c r="J347" i="11"/>
  <c r="J313" i="11"/>
  <c r="J387" i="11"/>
  <c r="J328" i="11"/>
  <c r="J412" i="11"/>
  <c r="J169" i="11"/>
  <c r="J239" i="11"/>
  <c r="J112" i="11"/>
  <c r="J301" i="11"/>
  <c r="J392" i="11"/>
  <c r="J94" i="11"/>
  <c r="J116" i="11"/>
  <c r="J337" i="11"/>
  <c r="J343" i="11"/>
  <c r="J444" i="11"/>
  <c r="J321" i="11"/>
  <c r="J147" i="11"/>
  <c r="J449" i="11"/>
  <c r="J268" i="11"/>
  <c r="J435" i="11"/>
  <c r="J64" i="11"/>
  <c r="J410" i="11"/>
  <c r="J286" i="11"/>
  <c r="J394" i="11"/>
  <c r="J379" i="11"/>
  <c r="J122" i="11"/>
  <c r="J477" i="11"/>
  <c r="J320" i="11"/>
  <c r="J95" i="11"/>
  <c r="J104" i="11"/>
  <c r="J174" i="11"/>
  <c r="J93" i="11"/>
  <c r="J314" i="11"/>
  <c r="J217" i="11"/>
  <c r="J180" i="11"/>
  <c r="J53" i="11"/>
  <c r="J223" i="11"/>
  <c r="J38" i="11"/>
  <c r="J196" i="11"/>
  <c r="J396" i="11"/>
  <c r="J202" i="11"/>
  <c r="J274" i="11"/>
  <c r="J452" i="11"/>
  <c r="J82" i="11"/>
  <c r="J403" i="11"/>
  <c r="J467" i="11"/>
  <c r="J191" i="11"/>
  <c r="J316" i="11"/>
  <c r="J355" i="11"/>
  <c r="J87" i="11"/>
  <c r="J248" i="11"/>
  <c r="J119" i="11"/>
  <c r="J139" i="11"/>
  <c r="J34" i="11"/>
  <c r="J246" i="11"/>
  <c r="J461" i="11"/>
  <c r="J151" i="11"/>
  <c r="J333" i="11"/>
  <c r="J186" i="11"/>
  <c r="J78" i="11"/>
  <c r="J198" i="11"/>
  <c r="J278" i="11"/>
  <c r="J137" i="11"/>
  <c r="J479" i="11"/>
  <c r="J384" i="11"/>
  <c r="J175" i="11"/>
  <c r="J474" i="11"/>
  <c r="J341" i="11"/>
  <c r="J285" i="11"/>
  <c r="J397" i="11"/>
  <c r="J339" i="11"/>
  <c r="J232" i="11"/>
  <c r="J447" i="11"/>
  <c r="J195" i="11"/>
  <c r="J264" i="11"/>
  <c r="J67" i="11"/>
  <c r="J361" i="11"/>
  <c r="J74" i="11"/>
  <c r="J462" i="11"/>
  <c r="J401" i="11"/>
  <c r="J238" i="11"/>
  <c r="J96" i="11"/>
  <c r="J373" i="11"/>
  <c r="J369" i="11"/>
  <c r="J351" i="11"/>
  <c r="J383" i="11"/>
  <c r="J97" i="11"/>
  <c r="J388" i="11"/>
  <c r="J503" i="11"/>
  <c r="J432" i="11"/>
  <c r="J485" i="11"/>
  <c r="J408" i="11"/>
  <c r="J440" i="11"/>
  <c r="J448" i="11"/>
  <c r="J187" i="11"/>
  <c r="J84" i="11"/>
  <c r="J275" i="11"/>
  <c r="J450" i="11"/>
  <c r="J46" i="11"/>
  <c r="J241" i="11"/>
  <c r="J205" i="11"/>
  <c r="J465" i="11"/>
  <c r="J118" i="11"/>
  <c r="J315" i="11"/>
  <c r="J464" i="11"/>
  <c r="J487" i="11"/>
  <c r="J128" i="11"/>
  <c r="J138" i="11"/>
  <c r="J280" i="11"/>
  <c r="J371" i="11"/>
  <c r="J208" i="11"/>
  <c r="J160" i="11"/>
  <c r="J99" i="11"/>
  <c r="J267" i="11"/>
  <c r="J429" i="11"/>
  <c r="J283" i="11"/>
  <c r="J460" i="11"/>
  <c r="J318" i="11"/>
  <c r="J257" i="11"/>
  <c r="J466" i="11"/>
  <c r="J372" i="11"/>
  <c r="J219" i="11"/>
  <c r="J404" i="11"/>
  <c r="J468" i="11"/>
  <c r="J439" i="11"/>
  <c r="J344" i="11"/>
  <c r="J272" i="11"/>
  <c r="J342" i="11"/>
  <c r="J106" i="11"/>
  <c r="J58" i="11"/>
  <c r="J185" i="11"/>
  <c r="J40" i="11"/>
  <c r="J455" i="11"/>
  <c r="J509" i="11"/>
  <c r="J111" i="11"/>
  <c r="J442" i="11"/>
  <c r="J324" i="11"/>
  <c r="J30" i="11"/>
  <c r="J308" i="11"/>
  <c r="J305" i="11"/>
  <c r="J399" i="11"/>
  <c r="J133" i="11"/>
  <c r="J359" i="11"/>
  <c r="J263" i="11"/>
  <c r="J311" i="11"/>
  <c r="J26" i="11"/>
  <c r="J47" i="11"/>
  <c r="J80" i="11"/>
  <c r="J354" i="11"/>
  <c r="J192" i="11"/>
  <c r="J121" i="11"/>
  <c r="J43" i="11"/>
  <c r="J36" i="11"/>
  <c r="J473" i="11"/>
  <c r="J207" i="11"/>
  <c r="J486" i="11"/>
  <c r="J288" i="11"/>
  <c r="J107" i="11"/>
  <c r="J150" i="11"/>
  <c r="J213" i="11"/>
  <c r="J353" i="11"/>
  <c r="J184" i="11"/>
  <c r="AC58" i="5"/>
  <c r="AE40" i="11"/>
  <c r="AD33" i="11"/>
  <c r="I104" i="2"/>
  <c r="AD28" i="6"/>
  <c r="AC46" i="5" s="1"/>
  <c r="C66" i="5" s="1"/>
  <c r="AD28" i="11"/>
  <c r="C34" i="10"/>
  <c r="G31" i="2" s="1"/>
  <c r="AD33" i="6"/>
  <c r="E31" i="8"/>
  <c r="L8" i="12"/>
  <c r="L21" i="12" s="1"/>
  <c r="L22" i="12" s="1"/>
  <c r="AA88" i="2" s="1"/>
  <c r="C111" i="8"/>
  <c r="Z25" i="5" s="1"/>
  <c r="P123" i="8"/>
  <c r="W91" i="2"/>
  <c r="S58" i="2"/>
  <c r="L7" i="12"/>
  <c r="P124" i="8"/>
  <c r="D52" i="12"/>
  <c r="J20" i="5"/>
  <c r="AD41" i="6"/>
  <c r="AD41" i="11"/>
  <c r="AD40" i="11"/>
  <c r="AD40" i="6"/>
  <c r="V42" i="2"/>
  <c r="W42" i="2" s="1"/>
  <c r="AC52" i="5" s="1"/>
  <c r="V48" i="2"/>
  <c r="L14" i="12"/>
  <c r="L16" i="12"/>
  <c r="L17" i="12"/>
  <c r="Z39" i="2"/>
  <c r="Z42" i="2" s="1"/>
  <c r="C110" i="8"/>
  <c r="B25" i="5"/>
  <c r="P125" i="8" l="1"/>
  <c r="C79" i="8"/>
  <c r="C80" i="8" s="1"/>
  <c r="C78" i="8" s="1"/>
  <c r="AA86" i="2" s="1"/>
  <c r="O25" i="5"/>
  <c r="D25" i="5" s="1"/>
  <c r="AS25" i="5" s="1"/>
  <c r="I44" i="2"/>
  <c r="AD38" i="11"/>
  <c r="AC48" i="5"/>
  <c r="D16" i="5" s="1"/>
  <c r="J364" i="6"/>
  <c r="J413" i="6"/>
  <c r="J158" i="6"/>
  <c r="J44" i="6"/>
  <c r="J313" i="6"/>
  <c r="J94" i="6"/>
  <c r="J173" i="6"/>
  <c r="J437" i="6"/>
  <c r="J87" i="6"/>
  <c r="J233" i="6"/>
  <c r="J408" i="6"/>
  <c r="J109" i="6"/>
  <c r="J249" i="6"/>
  <c r="J141" i="6"/>
  <c r="J334" i="6"/>
  <c r="J64" i="6"/>
  <c r="J339" i="6"/>
  <c r="J297" i="6"/>
  <c r="J261" i="6"/>
  <c r="J155" i="6"/>
  <c r="J199" i="6"/>
  <c r="J130" i="6"/>
  <c r="J150" i="6"/>
  <c r="J84" i="6"/>
  <c r="J510" i="6"/>
  <c r="J193" i="6"/>
  <c r="J396" i="6"/>
  <c r="J30" i="6"/>
  <c r="J390" i="6"/>
  <c r="J433" i="6"/>
  <c r="J266" i="6"/>
  <c r="J430" i="6"/>
  <c r="J501" i="6"/>
  <c r="J47" i="6"/>
  <c r="J464" i="6"/>
  <c r="J139" i="6"/>
  <c r="J458" i="6"/>
  <c r="J184" i="6"/>
  <c r="J115" i="6"/>
  <c r="J116" i="6"/>
  <c r="J397" i="6"/>
  <c r="J386" i="6"/>
  <c r="J399" i="6"/>
  <c r="J378" i="6"/>
  <c r="J117" i="6"/>
  <c r="J254" i="6"/>
  <c r="J245" i="6"/>
  <c r="J185" i="6"/>
  <c r="J359" i="6"/>
  <c r="J144" i="6"/>
  <c r="J447" i="6"/>
  <c r="J369" i="6"/>
  <c r="J153" i="6"/>
  <c r="J74" i="6"/>
  <c r="J146" i="6"/>
  <c r="J230" i="6"/>
  <c r="J431" i="6"/>
  <c r="J383" i="6"/>
  <c r="J342" i="6"/>
  <c r="J36" i="6"/>
  <c r="J191" i="6"/>
  <c r="J140" i="6"/>
  <c r="J206" i="6"/>
  <c r="J311" i="6"/>
  <c r="J467" i="6"/>
  <c r="J224" i="6"/>
  <c r="J67" i="6"/>
  <c r="J392" i="6"/>
  <c r="J93" i="6"/>
  <c r="J373" i="6"/>
  <c r="J474" i="6"/>
  <c r="J508" i="6"/>
  <c r="J45" i="6"/>
  <c r="J27" i="6"/>
  <c r="J300" i="6"/>
  <c r="J504" i="6"/>
  <c r="J332" i="6"/>
  <c r="J250" i="6"/>
  <c r="J77" i="6"/>
  <c r="J463" i="6"/>
  <c r="J355" i="6"/>
  <c r="J398" i="6"/>
  <c r="J151" i="6"/>
  <c r="J89" i="6"/>
  <c r="J132" i="6"/>
  <c r="J180" i="6"/>
  <c r="J348" i="6"/>
  <c r="J175" i="6"/>
  <c r="J80" i="6"/>
  <c r="J70" i="6"/>
  <c r="J53" i="6"/>
  <c r="J489" i="6"/>
  <c r="J417" i="6"/>
  <c r="J273" i="6"/>
  <c r="J459" i="6"/>
  <c r="J511" i="6"/>
  <c r="J81" i="6"/>
  <c r="J509" i="6"/>
  <c r="J288" i="6"/>
  <c r="J79" i="6"/>
  <c r="J186" i="6"/>
  <c r="J248" i="6"/>
  <c r="J326" i="6"/>
  <c r="J439" i="6"/>
  <c r="J28" i="6"/>
  <c r="J367" i="6"/>
  <c r="J103" i="6"/>
  <c r="J223" i="6"/>
  <c r="J482" i="6"/>
  <c r="J411" i="6"/>
  <c r="J480" i="6"/>
  <c r="J129" i="6"/>
  <c r="J189" i="6"/>
  <c r="J406" i="6"/>
  <c r="J46" i="6"/>
  <c r="J148" i="6"/>
  <c r="J318" i="6"/>
  <c r="J330" i="6"/>
  <c r="J96" i="6"/>
  <c r="J59" i="6"/>
  <c r="J49" i="6"/>
  <c r="J263" i="6"/>
  <c r="J488" i="6"/>
  <c r="J395" i="6"/>
  <c r="J88" i="6"/>
  <c r="J345" i="6"/>
  <c r="J240" i="6"/>
  <c r="J282" i="6"/>
  <c r="J375" i="6"/>
  <c r="J453" i="6"/>
  <c r="J306" i="6"/>
  <c r="J262" i="6"/>
  <c r="J468" i="6"/>
  <c r="J372" i="6"/>
  <c r="J317" i="6"/>
  <c r="J168" i="6"/>
  <c r="J299" i="6"/>
  <c r="J215" i="6"/>
  <c r="J436" i="6"/>
  <c r="J499" i="6"/>
  <c r="J418" i="6"/>
  <c r="J337" i="6"/>
  <c r="J387" i="6"/>
  <c r="J113" i="6"/>
  <c r="J134" i="6"/>
  <c r="J351" i="6"/>
  <c r="J487" i="6"/>
  <c r="J462" i="6"/>
  <c r="J329" i="6"/>
  <c r="J376" i="6"/>
  <c r="J427" i="6"/>
  <c r="J350" i="6"/>
  <c r="J201" i="6"/>
  <c r="J338" i="6"/>
  <c r="J368" i="6"/>
  <c r="J363" i="6"/>
  <c r="J472" i="6"/>
  <c r="J170" i="6"/>
  <c r="J86" i="6"/>
  <c r="J486" i="6"/>
  <c r="J163" i="6"/>
  <c r="J410" i="6"/>
  <c r="J270" i="6"/>
  <c r="J310" i="6"/>
  <c r="J119" i="6"/>
  <c r="J157" i="6"/>
  <c r="J370" i="6"/>
  <c r="J477" i="6"/>
  <c r="J227" i="6"/>
  <c r="J192" i="6"/>
  <c r="J195" i="6"/>
  <c r="J405" i="6"/>
  <c r="J358" i="6"/>
  <c r="J188" i="6"/>
  <c r="J341" i="6"/>
  <c r="J428" i="6"/>
  <c r="J314" i="6"/>
  <c r="J98" i="6"/>
  <c r="J321" i="6"/>
  <c r="J327" i="6"/>
  <c r="J123" i="6"/>
  <c r="J320" i="6"/>
  <c r="J407" i="6"/>
  <c r="J65" i="6"/>
  <c r="J290" i="6"/>
  <c r="J303" i="6"/>
  <c r="J309" i="6"/>
  <c r="J104" i="6"/>
  <c r="J357" i="6"/>
  <c r="J276" i="6"/>
  <c r="J429" i="6"/>
  <c r="J272" i="6"/>
  <c r="J498" i="6"/>
  <c r="J212" i="6"/>
  <c r="J409" i="6"/>
  <c r="J279" i="6"/>
  <c r="J147" i="6"/>
  <c r="J494" i="6"/>
  <c r="J316" i="6"/>
  <c r="J354" i="6"/>
  <c r="J243" i="6"/>
  <c r="J346" i="6"/>
  <c r="J475" i="6"/>
  <c r="J183" i="6"/>
  <c r="J200" i="6"/>
  <c r="J162" i="6"/>
  <c r="J211" i="6"/>
  <c r="J40" i="6"/>
  <c r="J95" i="6"/>
  <c r="J105" i="6"/>
  <c r="J161" i="6"/>
  <c r="J121" i="6"/>
  <c r="J76" i="6"/>
  <c r="J286" i="6"/>
  <c r="J331" i="6"/>
  <c r="J296" i="6"/>
  <c r="J43" i="6"/>
  <c r="J178" i="6"/>
  <c r="J231" i="6"/>
  <c r="J333" i="6"/>
  <c r="J120" i="6"/>
  <c r="J349" i="6"/>
  <c r="J39" i="6"/>
  <c r="J42" i="6"/>
  <c r="J275" i="6"/>
  <c r="J450" i="6"/>
  <c r="J455" i="6"/>
  <c r="J198" i="6"/>
  <c r="J82" i="6"/>
  <c r="J85" i="6"/>
  <c r="J319" i="6"/>
  <c r="J91" i="6"/>
  <c r="J335" i="6"/>
  <c r="J502" i="6"/>
  <c r="J207" i="6"/>
  <c r="J181" i="6"/>
  <c r="J389" i="6"/>
  <c r="J404" i="6"/>
  <c r="J287" i="6"/>
  <c r="J238" i="6"/>
  <c r="J295" i="6"/>
  <c r="J384" i="6"/>
  <c r="J177" i="6"/>
  <c r="J391" i="6"/>
  <c r="J283" i="6"/>
  <c r="J448" i="6"/>
  <c r="J340" i="6"/>
  <c r="J478" i="6"/>
  <c r="J304" i="6"/>
  <c r="J143" i="6"/>
  <c r="J172" i="6"/>
  <c r="J126" i="6"/>
  <c r="J277" i="6"/>
  <c r="J360" i="6"/>
  <c r="J213" i="6"/>
  <c r="J156" i="6"/>
  <c r="J401" i="6"/>
  <c r="J255" i="6"/>
  <c r="J221" i="6"/>
  <c r="J246" i="6"/>
  <c r="J466" i="6"/>
  <c r="J461" i="6"/>
  <c r="J274" i="6"/>
  <c r="J344" i="6"/>
  <c r="J68" i="6"/>
  <c r="J194" i="6"/>
  <c r="J61" i="6"/>
  <c r="J365" i="6"/>
  <c r="J179" i="6"/>
  <c r="J66" i="6"/>
  <c r="J137" i="6"/>
  <c r="J380" i="6"/>
  <c r="J216" i="6"/>
  <c r="J435" i="6"/>
  <c r="J347" i="6"/>
  <c r="J506" i="6"/>
  <c r="J202" i="6"/>
  <c r="J73" i="6"/>
  <c r="J237" i="6"/>
  <c r="J382" i="6"/>
  <c r="J469" i="6"/>
  <c r="J114" i="6"/>
  <c r="J138" i="6"/>
  <c r="J154" i="6"/>
  <c r="J425" i="6"/>
  <c r="J336" i="6"/>
  <c r="J152" i="6"/>
  <c r="J90" i="6"/>
  <c r="J356" i="6"/>
  <c r="J269" i="6"/>
  <c r="J444" i="6"/>
  <c r="J108" i="6"/>
  <c r="J323" i="6"/>
  <c r="J106" i="6"/>
  <c r="J236" i="6"/>
  <c r="J60" i="6"/>
  <c r="J125" i="6"/>
  <c r="J167" i="6"/>
  <c r="J38" i="6"/>
  <c r="J97" i="6"/>
  <c r="J131" i="6"/>
  <c r="J159" i="6"/>
  <c r="J470" i="6"/>
  <c r="J280" i="6"/>
  <c r="J483" i="6"/>
  <c r="J449" i="6"/>
  <c r="J118" i="6"/>
  <c r="J102" i="6"/>
  <c r="J107" i="6"/>
  <c r="J457" i="6"/>
  <c r="J100" i="6"/>
  <c r="J99" i="6"/>
  <c r="J454" i="6"/>
  <c r="J325" i="6"/>
  <c r="J281" i="6"/>
  <c r="J403" i="6"/>
  <c r="J328" i="6"/>
  <c r="J57" i="6"/>
  <c r="J71" i="6"/>
  <c r="J58" i="6"/>
  <c r="J72" i="6"/>
  <c r="J419" i="6"/>
  <c r="J298" i="6"/>
  <c r="J308" i="6"/>
  <c r="J218" i="6"/>
  <c r="J160" i="6"/>
  <c r="J352" i="6"/>
  <c r="J271" i="6"/>
  <c r="J124" i="6"/>
  <c r="J322" i="6"/>
  <c r="J394" i="6"/>
  <c r="J505" i="6"/>
  <c r="J239" i="6"/>
  <c r="J465" i="6"/>
  <c r="J497" i="6"/>
  <c r="J34" i="6"/>
  <c r="J196" i="6"/>
  <c r="J324" i="6"/>
  <c r="J169" i="6"/>
  <c r="J362" i="6"/>
  <c r="J41" i="6"/>
  <c r="J50" i="6"/>
  <c r="J133" i="6"/>
  <c r="J294" i="6"/>
  <c r="J412" i="6"/>
  <c r="J32" i="6"/>
  <c r="J222" i="6"/>
  <c r="J69" i="6"/>
  <c r="J55" i="6"/>
  <c r="J393" i="6"/>
  <c r="J441" i="6"/>
  <c r="J135" i="6"/>
  <c r="J442" i="6"/>
  <c r="J92" i="6"/>
  <c r="J432" i="6"/>
  <c r="J174" i="6"/>
  <c r="J495" i="6"/>
  <c r="J229" i="6"/>
  <c r="J381" i="6"/>
  <c r="J268" i="6"/>
  <c r="J307" i="6"/>
  <c r="J142" i="6"/>
  <c r="J289" i="6"/>
  <c r="J48" i="6"/>
  <c r="J33" i="6"/>
  <c r="J434" i="6"/>
  <c r="J484" i="6"/>
  <c r="J471" i="6"/>
  <c r="J31" i="6"/>
  <c r="J122" i="6"/>
  <c r="J422" i="6"/>
  <c r="J235" i="6"/>
  <c r="J371" i="6"/>
  <c r="J377" i="6"/>
  <c r="J257" i="6"/>
  <c r="J503" i="6"/>
  <c r="J26" i="6"/>
  <c r="J415" i="6"/>
  <c r="J426" i="6"/>
  <c r="J225" i="6"/>
  <c r="J353" i="6"/>
  <c r="J52" i="6"/>
  <c r="J165" i="6"/>
  <c r="J35" i="6"/>
  <c r="J259" i="6"/>
  <c r="J247" i="6"/>
  <c r="J187" i="6"/>
  <c r="J388" i="6"/>
  <c r="J385" i="6"/>
  <c r="J443" i="6"/>
  <c r="J452" i="6"/>
  <c r="J479" i="6"/>
  <c r="J284" i="6"/>
  <c r="J209" i="6"/>
  <c r="J51" i="6"/>
  <c r="J507" i="6"/>
  <c r="J402" i="6"/>
  <c r="J414" i="6"/>
  <c r="J210" i="6"/>
  <c r="J145" i="6"/>
  <c r="J56" i="6"/>
  <c r="J400" i="6"/>
  <c r="J63" i="6"/>
  <c r="J149" i="6"/>
  <c r="J312" i="6"/>
  <c r="J292" i="6"/>
  <c r="J264" i="6"/>
  <c r="J217" i="6"/>
  <c r="J83" i="6"/>
  <c r="J182" i="6"/>
  <c r="J456" i="6"/>
  <c r="J228" i="6"/>
  <c r="J315" i="6"/>
  <c r="J234" i="6"/>
  <c r="J446" i="6"/>
  <c r="J101" i="6"/>
  <c r="J485" i="6"/>
  <c r="J203" i="6"/>
  <c r="J197" i="6"/>
  <c r="J473" i="6"/>
  <c r="J208" i="6"/>
  <c r="J242" i="6"/>
  <c r="J256" i="6"/>
  <c r="J445" i="6"/>
  <c r="J75" i="6"/>
  <c r="J110" i="6"/>
  <c r="J490" i="6"/>
  <c r="J78" i="6"/>
  <c r="J253" i="6"/>
  <c r="J492" i="6"/>
  <c r="J481" i="6"/>
  <c r="J379" i="6"/>
  <c r="J291" i="6"/>
  <c r="J278" i="6"/>
  <c r="J171" i="6"/>
  <c r="J285" i="6"/>
  <c r="J127" i="6"/>
  <c r="J62" i="6"/>
  <c r="J252" i="6"/>
  <c r="J293" i="6"/>
  <c r="J440" i="6"/>
  <c r="J251" i="6"/>
  <c r="J244" i="6"/>
  <c r="J416" i="6"/>
  <c r="J423" i="6"/>
  <c r="J476" i="6"/>
  <c r="J29" i="6"/>
  <c r="J496" i="6"/>
  <c r="J265" i="6"/>
  <c r="J361" i="6"/>
  <c r="J421" i="6"/>
  <c r="J438" i="6"/>
  <c r="J112" i="6"/>
  <c r="J166" i="6"/>
  <c r="J226" i="6"/>
  <c r="J493" i="6"/>
  <c r="J205" i="6"/>
  <c r="J260" i="6"/>
  <c r="J176" i="6"/>
  <c r="J164" i="6"/>
  <c r="J219" i="6"/>
  <c r="J214" i="6"/>
  <c r="J302" i="6"/>
  <c r="J267" i="6"/>
  <c r="J451" i="6"/>
  <c r="J220" i="6"/>
  <c r="J190" i="6"/>
  <c r="J424" i="6"/>
  <c r="J37" i="6"/>
  <c r="J111" i="6"/>
  <c r="J374" i="6"/>
  <c r="J491" i="6"/>
  <c r="J241" i="6"/>
  <c r="J301" i="6"/>
  <c r="J500" i="6"/>
  <c r="J232" i="6"/>
  <c r="J366" i="6"/>
  <c r="J136" i="6"/>
  <c r="J258" i="6"/>
  <c r="J460" i="6"/>
  <c r="J54" i="6"/>
  <c r="J305" i="6"/>
  <c r="J204" i="6"/>
  <c r="I20" i="2"/>
  <c r="J15" i="11" s="1"/>
  <c r="J420" i="6"/>
  <c r="J128" i="6"/>
  <c r="E32" i="8"/>
  <c r="G28" i="8" s="1"/>
  <c r="H28" i="8" s="1"/>
  <c r="H31" i="8" s="1"/>
  <c r="G45" i="2" s="1"/>
  <c r="D16" i="6" s="1"/>
  <c r="E34" i="8"/>
  <c r="G34" i="8" s="1"/>
  <c r="G35" i="8" s="1"/>
  <c r="J21" i="5"/>
  <c r="J21" i="11" s="1"/>
  <c r="AD39" i="11"/>
  <c r="W93" i="2"/>
  <c r="W98" i="2" s="1"/>
  <c r="V100" i="2" s="1"/>
  <c r="C83" i="5"/>
  <c r="C83" i="11" s="1"/>
  <c r="C241" i="5"/>
  <c r="C241" i="6" s="1"/>
  <c r="C215" i="5"/>
  <c r="T215" i="5" s="1"/>
  <c r="C335" i="5"/>
  <c r="C335" i="6" s="1"/>
  <c r="C419" i="5"/>
  <c r="C419" i="11" s="1"/>
  <c r="C331" i="5"/>
  <c r="C331" i="11" s="1"/>
  <c r="C482" i="5"/>
  <c r="C61" i="5"/>
  <c r="T61" i="5" s="1"/>
  <c r="C276" i="5"/>
  <c r="C276" i="11" s="1"/>
  <c r="C274" i="5"/>
  <c r="C274" i="11" s="1"/>
  <c r="C438" i="5"/>
  <c r="T438" i="5" s="1"/>
  <c r="I438" i="5" s="1"/>
  <c r="C406" i="5"/>
  <c r="C406" i="6" s="1"/>
  <c r="C325" i="5"/>
  <c r="C325" i="6" s="1"/>
  <c r="C435" i="5"/>
  <c r="C435" i="11" s="1"/>
  <c r="C235" i="5"/>
  <c r="T235" i="5" s="1"/>
  <c r="C145" i="5"/>
  <c r="T145" i="5" s="1"/>
  <c r="C310" i="5"/>
  <c r="C310" i="11" s="1"/>
  <c r="J19" i="5"/>
  <c r="J19" i="11" s="1"/>
  <c r="C82" i="5"/>
  <c r="C82" i="6" s="1"/>
  <c r="C238" i="5"/>
  <c r="T238" i="5" s="1"/>
  <c r="B1" i="6"/>
  <c r="B1" i="11"/>
  <c r="C464" i="5"/>
  <c r="T464" i="5" s="1"/>
  <c r="I464" i="5" s="1"/>
  <c r="C448" i="5"/>
  <c r="C282" i="5"/>
  <c r="C282" i="11" s="1"/>
  <c r="C333" i="5"/>
  <c r="C333" i="6" s="1"/>
  <c r="C304" i="5"/>
  <c r="T304" i="5" s="1"/>
  <c r="C431" i="5"/>
  <c r="C431" i="11" s="1"/>
  <c r="C437" i="5"/>
  <c r="C437" i="11" s="1"/>
  <c r="C41" i="5"/>
  <c r="T41" i="5" s="1"/>
  <c r="C256" i="5"/>
  <c r="C256" i="11" s="1"/>
  <c r="C414" i="5"/>
  <c r="C414" i="11" s="1"/>
  <c r="C462" i="5"/>
  <c r="T462" i="5" s="1"/>
  <c r="I462" i="5" s="1"/>
  <c r="C168" i="5"/>
  <c r="T168" i="5" s="1"/>
  <c r="C322" i="5"/>
  <c r="C322" i="11" s="1"/>
  <c r="C249" i="5"/>
  <c r="T249" i="5" s="1"/>
  <c r="C378" i="5"/>
  <c r="C378" i="11" s="1"/>
  <c r="C272" i="5"/>
  <c r="C272" i="6" s="1"/>
  <c r="C409" i="5"/>
  <c r="T409" i="5" s="1"/>
  <c r="I409" i="5" s="1"/>
  <c r="C388" i="5"/>
  <c r="T388" i="5" s="1"/>
  <c r="I388" i="5" s="1"/>
  <c r="C428" i="5"/>
  <c r="T428" i="5" s="1"/>
  <c r="I428" i="5" s="1"/>
  <c r="C105" i="5"/>
  <c r="C105" i="6" s="1"/>
  <c r="T105" i="6" s="1"/>
  <c r="C509" i="5"/>
  <c r="C251" i="5"/>
  <c r="T251" i="5" s="1"/>
  <c r="C141" i="5"/>
  <c r="C141" i="11" s="1"/>
  <c r="C80" i="5"/>
  <c r="C80" i="6" s="1"/>
  <c r="C181" i="5"/>
  <c r="T181" i="5" s="1"/>
  <c r="C507" i="5"/>
  <c r="T507" i="5" s="1"/>
  <c r="I507" i="5" s="1"/>
  <c r="C465" i="5"/>
  <c r="C49" i="5"/>
  <c r="C49" i="11" s="1"/>
  <c r="P130" i="8"/>
  <c r="P132" i="8" s="1"/>
  <c r="C422" i="5"/>
  <c r="C422" i="11" s="1"/>
  <c r="T422" i="11" s="1"/>
  <c r="N55" i="2"/>
  <c r="N46" i="2"/>
  <c r="O46" i="2" s="1"/>
  <c r="N47" i="2" s="1"/>
  <c r="N50" i="2" s="1"/>
  <c r="G27" i="2"/>
  <c r="AD42" i="11"/>
  <c r="AD42" i="6"/>
  <c r="O25" i="6" s="1"/>
  <c r="D25" i="6" s="1"/>
  <c r="AL25" i="6" s="1"/>
  <c r="C316" i="5"/>
  <c r="C328" i="5"/>
  <c r="C493" i="5"/>
  <c r="C68" i="5"/>
  <c r="C341" i="5"/>
  <c r="C184" i="5"/>
  <c r="C216" i="5"/>
  <c r="C139" i="5"/>
  <c r="C452" i="5"/>
  <c r="C120" i="5"/>
  <c r="C288" i="5"/>
  <c r="C323" i="5"/>
  <c r="C480" i="5"/>
  <c r="C129" i="5"/>
  <c r="C356" i="5"/>
  <c r="C230" i="5"/>
  <c r="C63" i="5"/>
  <c r="C87" i="5"/>
  <c r="C36" i="5"/>
  <c r="C402" i="5"/>
  <c r="C500" i="5"/>
  <c r="C353" i="5"/>
  <c r="C116" i="5"/>
  <c r="C373" i="5"/>
  <c r="C131" i="5"/>
  <c r="C454" i="5"/>
  <c r="C260" i="5"/>
  <c r="C348" i="5"/>
  <c r="C299" i="5"/>
  <c r="C228" i="5"/>
  <c r="C156" i="5"/>
  <c r="C174" i="5"/>
  <c r="C425" i="5"/>
  <c r="C458" i="5"/>
  <c r="C475" i="5"/>
  <c r="C250" i="5"/>
  <c r="C243" i="5"/>
  <c r="C478" i="5"/>
  <c r="C47" i="5"/>
  <c r="C95" i="5"/>
  <c r="C470" i="5"/>
  <c r="C51" i="5"/>
  <c r="C252" i="5"/>
  <c r="C57" i="5"/>
  <c r="C258" i="5"/>
  <c r="C468" i="5"/>
  <c r="C59" i="5"/>
  <c r="C489" i="5"/>
  <c r="C453" i="5"/>
  <c r="C246" i="5"/>
  <c r="C161" i="5"/>
  <c r="C85" i="5"/>
  <c r="C253" i="5"/>
  <c r="C329" i="5"/>
  <c r="C125" i="5"/>
  <c r="C189" i="5"/>
  <c r="C369" i="5"/>
  <c r="C248" i="5"/>
  <c r="C511" i="5"/>
  <c r="C279" i="5"/>
  <c r="C395" i="5"/>
  <c r="C421" i="5"/>
  <c r="C91" i="5"/>
  <c r="C303" i="5"/>
  <c r="C34" i="5"/>
  <c r="C100" i="5"/>
  <c r="C283" i="5"/>
  <c r="C127" i="5"/>
  <c r="C222" i="5"/>
  <c r="C166" i="5"/>
  <c r="C262" i="5"/>
  <c r="C146" i="5"/>
  <c r="C245" i="5"/>
  <c r="C471" i="5"/>
  <c r="C239" i="5"/>
  <c r="C277" i="5"/>
  <c r="C132" i="5"/>
  <c r="C499" i="5"/>
  <c r="C178" i="5"/>
  <c r="C306" i="5"/>
  <c r="C363" i="5"/>
  <c r="C153" i="5"/>
  <c r="C443" i="5"/>
  <c r="C382" i="5"/>
  <c r="C445" i="5"/>
  <c r="C72" i="5"/>
  <c r="C205" i="5"/>
  <c r="C123" i="5"/>
  <c r="C167" i="5"/>
  <c r="C223" i="5"/>
  <c r="C433" i="5"/>
  <c r="C117" i="5"/>
  <c r="C321" i="5"/>
  <c r="C270" i="5"/>
  <c r="C476" i="5"/>
  <c r="C495" i="5"/>
  <c r="C33" i="5"/>
  <c r="C54" i="5"/>
  <c r="C197" i="5"/>
  <c r="C108" i="5"/>
  <c r="C501" i="5"/>
  <c r="C212" i="5"/>
  <c r="C147" i="5"/>
  <c r="C39" i="5"/>
  <c r="C397" i="5"/>
  <c r="C73" i="5"/>
  <c r="C484" i="5"/>
  <c r="C319" i="5"/>
  <c r="C26" i="5"/>
  <c r="C225" i="5"/>
  <c r="C265" i="5"/>
  <c r="C459" i="5"/>
  <c r="C236" i="5"/>
  <c r="C483" i="5"/>
  <c r="C81" i="5"/>
  <c r="C347" i="5"/>
  <c r="C398" i="5"/>
  <c r="C64" i="5"/>
  <c r="C460" i="5"/>
  <c r="C364" i="5"/>
  <c r="C387" i="5"/>
  <c r="C35" i="5"/>
  <c r="C44" i="5"/>
  <c r="C391" i="5"/>
  <c r="C237" i="5"/>
  <c r="C285" i="5"/>
  <c r="C444" i="5"/>
  <c r="C506" i="5"/>
  <c r="C99" i="5"/>
  <c r="C300" i="5"/>
  <c r="C417" i="5"/>
  <c r="C42" i="5"/>
  <c r="C218" i="5"/>
  <c r="C342" i="5"/>
  <c r="C368" i="5"/>
  <c r="C254" i="5"/>
  <c r="C372" i="5"/>
  <c r="C292" i="5"/>
  <c r="C474" i="5"/>
  <c r="C198" i="5"/>
  <c r="C412" i="5"/>
  <c r="C180" i="5"/>
  <c r="C71" i="5"/>
  <c r="C255" i="5"/>
  <c r="C314" i="5"/>
  <c r="C185" i="5"/>
  <c r="C200" i="5"/>
  <c r="C163" i="5"/>
  <c r="C291" i="5"/>
  <c r="C502" i="5"/>
  <c r="C324" i="5"/>
  <c r="C115" i="5"/>
  <c r="C86" i="5"/>
  <c r="C126" i="5"/>
  <c r="C159" i="5"/>
  <c r="C78" i="5"/>
  <c r="C69" i="5"/>
  <c r="C191" i="5"/>
  <c r="C298" i="5"/>
  <c r="C25" i="5"/>
  <c r="C315" i="5"/>
  <c r="C337" i="5"/>
  <c r="C404" i="5"/>
  <c r="C234" i="5"/>
  <c r="C320" i="5"/>
  <c r="C302" i="5"/>
  <c r="C290" i="5"/>
  <c r="C365" i="5"/>
  <c r="C411" i="5"/>
  <c r="C386" i="5"/>
  <c r="C457" i="5"/>
  <c r="C461" i="5"/>
  <c r="C332" i="5"/>
  <c r="C165" i="5"/>
  <c r="C446" i="5"/>
  <c r="C423" i="5"/>
  <c r="C232" i="5"/>
  <c r="C94" i="5"/>
  <c r="C349" i="5"/>
  <c r="C439" i="5"/>
  <c r="C455" i="5"/>
  <c r="C494" i="5"/>
  <c r="C65" i="5"/>
  <c r="C418" i="5"/>
  <c r="C312" i="5"/>
  <c r="C227" i="5"/>
  <c r="C367" i="5"/>
  <c r="C152" i="5"/>
  <c r="C424" i="5"/>
  <c r="C136" i="5"/>
  <c r="C308" i="5"/>
  <c r="C52" i="5"/>
  <c r="C289" i="5"/>
  <c r="C469" i="5"/>
  <c r="C133" i="5"/>
  <c r="C400" i="5"/>
  <c r="C154" i="5"/>
  <c r="C383" i="5"/>
  <c r="C29" i="5"/>
  <c r="C195" i="5"/>
  <c r="C160" i="5"/>
  <c r="C45" i="5"/>
  <c r="C343" i="5"/>
  <c r="C407" i="5"/>
  <c r="C96" i="5"/>
  <c r="C490" i="5"/>
  <c r="C187" i="5"/>
  <c r="C199" i="5"/>
  <c r="C162" i="5"/>
  <c r="C164" i="5"/>
  <c r="C196" i="5"/>
  <c r="C430" i="5"/>
  <c r="C183" i="5"/>
  <c r="C477" i="5"/>
  <c r="C361" i="5"/>
  <c r="C92" i="5"/>
  <c r="C334" i="5"/>
  <c r="C89" i="5"/>
  <c r="C432" i="5"/>
  <c r="C357" i="5"/>
  <c r="C336" i="5"/>
  <c r="C229" i="5"/>
  <c r="C192" i="5"/>
  <c r="C112" i="5"/>
  <c r="C140" i="5"/>
  <c r="C403" i="5"/>
  <c r="C504" i="5"/>
  <c r="C396" i="5"/>
  <c r="C301" i="5"/>
  <c r="C213" i="5"/>
  <c r="C203" i="5"/>
  <c r="C420" i="5"/>
  <c r="C75" i="5"/>
  <c r="C28" i="5"/>
  <c r="C309" i="5"/>
  <c r="C149" i="5"/>
  <c r="C375" i="5"/>
  <c r="C327" i="5"/>
  <c r="C497" i="5"/>
  <c r="C436" i="5"/>
  <c r="C103" i="5"/>
  <c r="C442" i="5"/>
  <c r="C487" i="5"/>
  <c r="C231" i="5"/>
  <c r="C479" i="5"/>
  <c r="C345" i="5"/>
  <c r="C257" i="5"/>
  <c r="C67" i="5"/>
  <c r="C244" i="5"/>
  <c r="C410" i="5"/>
  <c r="C508" i="5"/>
  <c r="C76" i="5"/>
  <c r="C101" i="5"/>
  <c r="C206" i="5"/>
  <c r="C488" i="5"/>
  <c r="C102" i="5"/>
  <c r="C38" i="5"/>
  <c r="C371" i="5"/>
  <c r="C416" i="5"/>
  <c r="C210" i="5"/>
  <c r="C381" i="5"/>
  <c r="C354" i="5"/>
  <c r="C118" i="5"/>
  <c r="C209" i="5"/>
  <c r="C98" i="5"/>
  <c r="C88" i="5"/>
  <c r="C119" i="5"/>
  <c r="C296" i="5"/>
  <c r="C360" i="5"/>
  <c r="C286" i="5"/>
  <c r="C311" i="5"/>
  <c r="C485" i="5"/>
  <c r="C211" i="5"/>
  <c r="C106" i="5"/>
  <c r="C440" i="5"/>
  <c r="C150" i="5"/>
  <c r="C37" i="5"/>
  <c r="C450" i="5"/>
  <c r="C259" i="5"/>
  <c r="C449" i="5"/>
  <c r="C107" i="5"/>
  <c r="C317" i="5"/>
  <c r="C330" i="5"/>
  <c r="C90" i="5"/>
  <c r="C379" i="5"/>
  <c r="C202" i="5"/>
  <c r="C170" i="5"/>
  <c r="C135" i="5"/>
  <c r="C376" i="5"/>
  <c r="C208" i="5"/>
  <c r="C263" i="5"/>
  <c r="C268" i="5"/>
  <c r="C359" i="5"/>
  <c r="C390" i="5"/>
  <c r="C339" i="5"/>
  <c r="C408" i="5"/>
  <c r="C273" i="5"/>
  <c r="C84" i="5"/>
  <c r="C305" i="5"/>
  <c r="C188" i="5"/>
  <c r="C366" i="5"/>
  <c r="C427" i="5"/>
  <c r="C467" i="5"/>
  <c r="C456" i="5"/>
  <c r="C429" i="5"/>
  <c r="C426" i="5"/>
  <c r="C172" i="5"/>
  <c r="C481" i="5"/>
  <c r="C503" i="5"/>
  <c r="C224" i="5"/>
  <c r="C179" i="5"/>
  <c r="C128" i="5"/>
  <c r="C275" i="5"/>
  <c r="C43" i="5"/>
  <c r="C463" i="5"/>
  <c r="C326" i="5"/>
  <c r="C109" i="5"/>
  <c r="C362" i="5"/>
  <c r="C466" i="5"/>
  <c r="C340" i="5"/>
  <c r="C122" i="5"/>
  <c r="C293" i="5"/>
  <c r="C31" i="5"/>
  <c r="C190" i="5"/>
  <c r="C344" i="5"/>
  <c r="C393" i="5"/>
  <c r="C447" i="5"/>
  <c r="C111" i="5"/>
  <c r="C169" i="5"/>
  <c r="C70" i="5"/>
  <c r="C247" i="5"/>
  <c r="C318" i="5"/>
  <c r="C137" i="5"/>
  <c r="C358" i="5"/>
  <c r="C134" i="5"/>
  <c r="C370" i="5"/>
  <c r="C40" i="5"/>
  <c r="C498" i="5"/>
  <c r="C384" i="5"/>
  <c r="C405" i="5"/>
  <c r="C377" i="5"/>
  <c r="C148" i="5"/>
  <c r="C182" i="5"/>
  <c r="C394" i="5"/>
  <c r="C60" i="5"/>
  <c r="C355" i="5"/>
  <c r="C79" i="5"/>
  <c r="C142" i="5"/>
  <c r="C350" i="5"/>
  <c r="C97" i="5"/>
  <c r="C30" i="5"/>
  <c r="C264" i="5"/>
  <c r="C138" i="5"/>
  <c r="C284" i="5"/>
  <c r="C287" i="5"/>
  <c r="C385" i="5"/>
  <c r="C50" i="5"/>
  <c r="C451" i="5"/>
  <c r="C280" i="5"/>
  <c r="C151" i="5"/>
  <c r="C492" i="5"/>
  <c r="C401" i="5"/>
  <c r="C434" i="5"/>
  <c r="C242" i="5"/>
  <c r="C144" i="5"/>
  <c r="C294" i="5"/>
  <c r="C472" i="5"/>
  <c r="C307" i="5"/>
  <c r="C226" i="5"/>
  <c r="C473" i="5"/>
  <c r="C220" i="5"/>
  <c r="C207" i="5"/>
  <c r="C77" i="5"/>
  <c r="C176" i="5"/>
  <c r="C143" i="5"/>
  <c r="C413" i="5"/>
  <c r="C266" i="5"/>
  <c r="C269" i="5"/>
  <c r="C392" i="5"/>
  <c r="C271" i="5"/>
  <c r="C193" i="5"/>
  <c r="C186" i="5"/>
  <c r="C58" i="5"/>
  <c r="C281" i="5"/>
  <c r="C338" i="5"/>
  <c r="C214" i="5"/>
  <c r="C155" i="5"/>
  <c r="C496" i="5"/>
  <c r="C380" i="5"/>
  <c r="C240" i="5"/>
  <c r="C56" i="5"/>
  <c r="C374" i="5"/>
  <c r="C130" i="5"/>
  <c r="C297" i="5"/>
  <c r="C194" i="5"/>
  <c r="C124" i="5"/>
  <c r="C171" i="5"/>
  <c r="C93" i="5"/>
  <c r="C175" i="5"/>
  <c r="C27" i="5"/>
  <c r="C114" i="5"/>
  <c r="C399" i="5"/>
  <c r="C48" i="5"/>
  <c r="C415" i="5"/>
  <c r="C217" i="5"/>
  <c r="C295" i="5"/>
  <c r="C486" i="5"/>
  <c r="C204" i="5"/>
  <c r="C491" i="5"/>
  <c r="C177" i="5"/>
  <c r="C113" i="5"/>
  <c r="C510" i="5"/>
  <c r="C267" i="5"/>
  <c r="C157" i="5"/>
  <c r="C219" i="5"/>
  <c r="C158" i="5"/>
  <c r="C441" i="5"/>
  <c r="C62" i="5"/>
  <c r="C32" i="5"/>
  <c r="C173" i="5"/>
  <c r="C313" i="5"/>
  <c r="C74" i="5"/>
  <c r="C55" i="5"/>
  <c r="C346" i="5"/>
  <c r="C233" i="5"/>
  <c r="C201" i="5"/>
  <c r="C121" i="5"/>
  <c r="C46" i="5"/>
  <c r="C351" i="5"/>
  <c r="C104" i="5"/>
  <c r="C352" i="5"/>
  <c r="C110" i="5"/>
  <c r="C53" i="5"/>
  <c r="C261" i="5"/>
  <c r="C505" i="5"/>
  <c r="C389" i="5"/>
  <c r="C221" i="5"/>
  <c r="C278" i="5"/>
  <c r="Z47" i="2"/>
  <c r="L9" i="12"/>
  <c r="Z26" i="5"/>
  <c r="V26" i="5" s="1"/>
  <c r="V25" i="5"/>
  <c r="AM25" i="5"/>
  <c r="Z48" i="2"/>
  <c r="J20" i="6"/>
  <c r="J20" i="11"/>
  <c r="C66" i="11"/>
  <c r="T66" i="5"/>
  <c r="U66" i="5" s="1"/>
  <c r="I66" i="5" s="1"/>
  <c r="C66" i="6"/>
  <c r="D14" i="11"/>
  <c r="AA89" i="2"/>
  <c r="AA90" i="2" s="1"/>
  <c r="AB90" i="2" s="1"/>
  <c r="D14" i="5"/>
  <c r="D14" i="6"/>
  <c r="Y40" i="2"/>
  <c r="Y39" i="2"/>
  <c r="B25" i="6"/>
  <c r="V25" i="6" s="1"/>
  <c r="B26" i="5"/>
  <c r="B25" i="11"/>
  <c r="V25" i="11" s="1"/>
  <c r="O25" i="11" l="1"/>
  <c r="D25" i="11" s="1"/>
  <c r="AL25" i="11" s="1"/>
  <c r="C72" i="2"/>
  <c r="AC47" i="5"/>
  <c r="W421" i="5" s="1"/>
  <c r="C83" i="6"/>
  <c r="T83" i="6" s="1"/>
  <c r="T335" i="5"/>
  <c r="U335" i="5" s="1"/>
  <c r="I335" i="5" s="1"/>
  <c r="C414" i="6"/>
  <c r="T414" i="6" s="1"/>
  <c r="C409" i="11"/>
  <c r="T409" i="11" s="1"/>
  <c r="C61" i="11"/>
  <c r="T61" i="11" s="1"/>
  <c r="C335" i="11"/>
  <c r="T335" i="11" s="1"/>
  <c r="C105" i="11"/>
  <c r="T105" i="11" s="1"/>
  <c r="U105" i="11" s="1"/>
  <c r="I105" i="11" s="1"/>
  <c r="C105" i="2"/>
  <c r="J15" i="6"/>
  <c r="K16" i="6" s="1"/>
  <c r="C168" i="6"/>
  <c r="T168" i="6" s="1"/>
  <c r="T419" i="5"/>
  <c r="I419" i="5" s="1"/>
  <c r="T333" i="5"/>
  <c r="U333" i="5" s="1"/>
  <c r="I333" i="5" s="1"/>
  <c r="T276" i="5"/>
  <c r="U276" i="5" s="1"/>
  <c r="I276" i="5" s="1"/>
  <c r="T437" i="5"/>
  <c r="I437" i="5" s="1"/>
  <c r="T274" i="5"/>
  <c r="U274" i="5" s="1"/>
  <c r="I274" i="5" s="1"/>
  <c r="T482" i="5"/>
  <c r="I482" i="5" s="1"/>
  <c r="C215" i="6"/>
  <c r="T215" i="6" s="1"/>
  <c r="U215" i="6" s="1"/>
  <c r="I215" i="6" s="1"/>
  <c r="T378" i="5"/>
  <c r="U378" i="5" s="1"/>
  <c r="I378" i="5" s="1"/>
  <c r="T310" i="5"/>
  <c r="U310" i="5" s="1"/>
  <c r="I310" i="5" s="1"/>
  <c r="T435" i="5"/>
  <c r="I435" i="5" s="1"/>
  <c r="C256" i="6"/>
  <c r="T256" i="6" s="1"/>
  <c r="U256" i="6" s="1"/>
  <c r="I256" i="6" s="1"/>
  <c r="C249" i="6"/>
  <c r="T249" i="6" s="1"/>
  <c r="C304" i="11"/>
  <c r="T304" i="11" s="1"/>
  <c r="T272" i="5"/>
  <c r="U272" i="5" s="1"/>
  <c r="I272" i="5" s="1"/>
  <c r="C251" i="6"/>
  <c r="T251" i="6" s="1"/>
  <c r="T331" i="5"/>
  <c r="U331" i="5" s="1"/>
  <c r="I331" i="5" s="1"/>
  <c r="T325" i="5"/>
  <c r="U325" i="5" s="1"/>
  <c r="I325" i="5" s="1"/>
  <c r="J21" i="6"/>
  <c r="J15" i="5"/>
  <c r="K19" i="5" s="1"/>
  <c r="H29" i="8"/>
  <c r="AD30" i="6"/>
  <c r="AD29" i="6" s="1"/>
  <c r="AO25" i="5" s="1"/>
  <c r="H32" i="8"/>
  <c r="I32" i="8" s="1"/>
  <c r="H37" i="8" s="1"/>
  <c r="G29" i="8"/>
  <c r="C310" i="6"/>
  <c r="T310" i="6" s="1"/>
  <c r="C238" i="11"/>
  <c r="T238" i="11" s="1"/>
  <c r="T406" i="5"/>
  <c r="I406" i="5" s="1"/>
  <c r="C41" i="11"/>
  <c r="T41" i="11" s="1"/>
  <c r="T141" i="5"/>
  <c r="U141" i="5" s="1"/>
  <c r="I141" i="5" s="1"/>
  <c r="T83" i="5"/>
  <c r="U83" i="5" s="1"/>
  <c r="I83" i="5" s="1"/>
  <c r="C331" i="6"/>
  <c r="T331" i="6" s="1"/>
  <c r="C241" i="11"/>
  <c r="T241" i="11" s="1"/>
  <c r="C238" i="6"/>
  <c r="T238" i="6" s="1"/>
  <c r="U238" i="6" s="1"/>
  <c r="I238" i="6" s="1"/>
  <c r="C325" i="11"/>
  <c r="T325" i="11" s="1"/>
  <c r="U325" i="11" s="1"/>
  <c r="I325" i="11" s="1"/>
  <c r="T465" i="5"/>
  <c r="I465" i="5" s="1"/>
  <c r="C41" i="6"/>
  <c r="T41" i="6" s="1"/>
  <c r="T241" i="5"/>
  <c r="U241" i="5" s="1"/>
  <c r="I241" i="5" s="1"/>
  <c r="C428" i="11"/>
  <c r="T428" i="11" s="1"/>
  <c r="U428" i="11" s="1"/>
  <c r="I428" i="11" s="1"/>
  <c r="C378" i="6"/>
  <c r="T378" i="6" s="1"/>
  <c r="C462" i="6"/>
  <c r="T462" i="6" s="1"/>
  <c r="C304" i="6"/>
  <c r="T304" i="6" s="1"/>
  <c r="C145" i="11"/>
  <c r="T145" i="11" s="1"/>
  <c r="C141" i="6"/>
  <c r="T141" i="6" s="1"/>
  <c r="T82" i="5"/>
  <c r="U82" i="5" s="1"/>
  <c r="I82" i="5" s="1"/>
  <c r="C465" i="6"/>
  <c r="C465" i="11"/>
  <c r="C422" i="6"/>
  <c r="T422" i="6" s="1"/>
  <c r="U422" i="6" s="1"/>
  <c r="I422" i="6" s="1"/>
  <c r="C431" i="6"/>
  <c r="T431" i="6" s="1"/>
  <c r="C448" i="6"/>
  <c r="C274" i="6"/>
  <c r="T274" i="6" s="1"/>
  <c r="C80" i="11"/>
  <c r="T80" i="11" s="1"/>
  <c r="C482" i="11"/>
  <c r="C215" i="11"/>
  <c r="T215" i="11" s="1"/>
  <c r="T49" i="5"/>
  <c r="U49" i="5" s="1"/>
  <c r="I49" i="5" s="1"/>
  <c r="T431" i="5"/>
  <c r="I431" i="5" s="1"/>
  <c r="T448" i="5"/>
  <c r="I448" i="5" s="1"/>
  <c r="C435" i="6"/>
  <c r="T435" i="6" s="1"/>
  <c r="C482" i="6"/>
  <c r="C168" i="11"/>
  <c r="T168" i="11" s="1"/>
  <c r="C448" i="11"/>
  <c r="T448" i="11" s="1"/>
  <c r="C49" i="6"/>
  <c r="T49" i="6" s="1"/>
  <c r="T105" i="5"/>
  <c r="U105" i="5" s="1"/>
  <c r="I105" i="5" s="1"/>
  <c r="C276" i="6"/>
  <c r="T276" i="6" s="1"/>
  <c r="C406" i="11"/>
  <c r="T406" i="11" s="1"/>
  <c r="C249" i="11"/>
  <c r="T249" i="11" s="1"/>
  <c r="C462" i="11"/>
  <c r="C464" i="11"/>
  <c r="C464" i="6"/>
  <c r="C437" i="6"/>
  <c r="T437" i="6" s="1"/>
  <c r="C145" i="6"/>
  <c r="T145" i="6" s="1"/>
  <c r="C251" i="11"/>
  <c r="T251" i="11" s="1"/>
  <c r="C388" i="11"/>
  <c r="T388" i="11" s="1"/>
  <c r="U388" i="11" s="1"/>
  <c r="I388" i="11" s="1"/>
  <c r="C82" i="11"/>
  <c r="T82" i="11" s="1"/>
  <c r="U82" i="11" s="1"/>
  <c r="I82" i="11" s="1"/>
  <c r="C507" i="11"/>
  <c r="C333" i="11"/>
  <c r="T333" i="11" s="1"/>
  <c r="C419" i="6"/>
  <c r="T419" i="6" s="1"/>
  <c r="C388" i="6"/>
  <c r="T388" i="6" s="1"/>
  <c r="U388" i="6" s="1"/>
  <c r="I388" i="6" s="1"/>
  <c r="C507" i="6"/>
  <c r="J17" i="5"/>
  <c r="C235" i="6"/>
  <c r="T235" i="6" s="1"/>
  <c r="C509" i="6"/>
  <c r="C61" i="6"/>
  <c r="T61" i="6" s="1"/>
  <c r="C438" i="11"/>
  <c r="T438" i="11" s="1"/>
  <c r="C235" i="11"/>
  <c r="T235" i="11" s="1"/>
  <c r="C438" i="6"/>
  <c r="T438" i="6" s="1"/>
  <c r="C181" i="6"/>
  <c r="T181" i="6" s="1"/>
  <c r="C322" i="6"/>
  <c r="T322" i="6" s="1"/>
  <c r="J19" i="6"/>
  <c r="C428" i="6"/>
  <c r="T428" i="6" s="1"/>
  <c r="U428" i="6" s="1"/>
  <c r="I428" i="6" s="1"/>
  <c r="T322" i="5"/>
  <c r="U322" i="5" s="1"/>
  <c r="I322" i="5" s="1"/>
  <c r="T414" i="5"/>
  <c r="I414" i="5" s="1"/>
  <c r="C409" i="6"/>
  <c r="T409" i="6" s="1"/>
  <c r="C282" i="6"/>
  <c r="T282" i="6" s="1"/>
  <c r="C181" i="11"/>
  <c r="T181" i="11" s="1"/>
  <c r="T282" i="5"/>
  <c r="U282" i="5" s="1"/>
  <c r="I282" i="5" s="1"/>
  <c r="C272" i="11"/>
  <c r="T272" i="11" s="1"/>
  <c r="T80" i="5"/>
  <c r="U80" i="5" s="1"/>
  <c r="I80" i="5" s="1"/>
  <c r="T256" i="5"/>
  <c r="U256" i="5" s="1"/>
  <c r="I256" i="5" s="1"/>
  <c r="T509" i="5"/>
  <c r="I509" i="5" s="1"/>
  <c r="C509" i="11"/>
  <c r="T422" i="5"/>
  <c r="I422" i="5" s="1"/>
  <c r="H34" i="8"/>
  <c r="H35" i="8" s="1"/>
  <c r="I36" i="8" s="1"/>
  <c r="I37" i="8" s="1"/>
  <c r="Z45" i="2"/>
  <c r="C221" i="11"/>
  <c r="T221" i="11" s="1"/>
  <c r="U221" i="11" s="1"/>
  <c r="I221" i="11" s="1"/>
  <c r="T221" i="5"/>
  <c r="C221" i="6"/>
  <c r="T221" i="6" s="1"/>
  <c r="U221" i="6" s="1"/>
  <c r="I221" i="6" s="1"/>
  <c r="C261" i="11"/>
  <c r="T261" i="11" s="1"/>
  <c r="U261" i="11" s="1"/>
  <c r="I261" i="11" s="1"/>
  <c r="C261" i="6"/>
  <c r="T261" i="6" s="1"/>
  <c r="U261" i="6" s="1"/>
  <c r="I261" i="6" s="1"/>
  <c r="T261" i="5"/>
  <c r="U261" i="5" s="1"/>
  <c r="I261" i="5" s="1"/>
  <c r="C121" i="6"/>
  <c r="T121" i="6" s="1"/>
  <c r="U121" i="6" s="1"/>
  <c r="I121" i="6" s="1"/>
  <c r="C121" i="11"/>
  <c r="T121" i="11" s="1"/>
  <c r="U121" i="11" s="1"/>
  <c r="I121" i="11" s="1"/>
  <c r="T121" i="5"/>
  <c r="C74" i="6"/>
  <c r="T74" i="6" s="1"/>
  <c r="U74" i="6" s="1"/>
  <c r="I74" i="6" s="1"/>
  <c r="T74" i="5"/>
  <c r="U74" i="5" s="1"/>
  <c r="I74" i="5" s="1"/>
  <c r="C74" i="11"/>
  <c r="T74" i="11" s="1"/>
  <c r="U74" i="11" s="1"/>
  <c r="I74" i="11" s="1"/>
  <c r="C173" i="11"/>
  <c r="T173" i="11" s="1"/>
  <c r="U173" i="11" s="1"/>
  <c r="I173" i="11" s="1"/>
  <c r="T173" i="5"/>
  <c r="U173" i="5" s="1"/>
  <c r="I173" i="5" s="1"/>
  <c r="C173" i="6"/>
  <c r="T173" i="6" s="1"/>
  <c r="U173" i="6" s="1"/>
  <c r="I173" i="6" s="1"/>
  <c r="C441" i="6"/>
  <c r="T441" i="6" s="1"/>
  <c r="C441" i="11"/>
  <c r="T441" i="11" s="1"/>
  <c r="T441" i="5"/>
  <c r="I441" i="5" s="1"/>
  <c r="C157" i="11"/>
  <c r="T157" i="11" s="1"/>
  <c r="U157" i="11" s="1"/>
  <c r="I157" i="11" s="1"/>
  <c r="C157" i="6"/>
  <c r="T157" i="6" s="1"/>
  <c r="U157" i="6" s="1"/>
  <c r="I157" i="6" s="1"/>
  <c r="T157" i="5"/>
  <c r="U157" i="5" s="1"/>
  <c r="I157" i="5" s="1"/>
  <c r="C113" i="11"/>
  <c r="T113" i="11" s="1"/>
  <c r="U113" i="11" s="1"/>
  <c r="I113" i="11" s="1"/>
  <c r="T113" i="5"/>
  <c r="U113" i="5" s="1"/>
  <c r="I113" i="5" s="1"/>
  <c r="C113" i="6"/>
  <c r="T113" i="6" s="1"/>
  <c r="U113" i="6" s="1"/>
  <c r="I113" i="6" s="1"/>
  <c r="T486" i="5"/>
  <c r="I486" i="5" s="1"/>
  <c r="C486" i="11"/>
  <c r="C486" i="6"/>
  <c r="T217" i="5"/>
  <c r="U217" i="5" s="1"/>
  <c r="I217" i="5" s="1"/>
  <c r="C217" i="6"/>
  <c r="T217" i="6" s="1"/>
  <c r="U217" i="6" s="1"/>
  <c r="I217" i="6" s="1"/>
  <c r="C217" i="11"/>
  <c r="T217" i="11" s="1"/>
  <c r="U217" i="11" s="1"/>
  <c r="I217" i="11" s="1"/>
  <c r="C114" i="11"/>
  <c r="T114" i="11" s="1"/>
  <c r="T114" i="5"/>
  <c r="U114" i="5" s="1"/>
  <c r="I114" i="5" s="1"/>
  <c r="C114" i="6"/>
  <c r="T114" i="6" s="1"/>
  <c r="C27" i="11"/>
  <c r="T27" i="11" s="1"/>
  <c r="U27" i="11" s="1"/>
  <c r="I27" i="11" s="1"/>
  <c r="C27" i="6"/>
  <c r="T27" i="6" s="1"/>
  <c r="U27" i="6" s="1"/>
  <c r="I27" i="6" s="1"/>
  <c r="T27" i="5"/>
  <c r="C171" i="6"/>
  <c r="T171" i="6" s="1"/>
  <c r="U171" i="6" s="1"/>
  <c r="I171" i="6" s="1"/>
  <c r="C171" i="11"/>
  <c r="T171" i="11" s="1"/>
  <c r="U171" i="11" s="1"/>
  <c r="I171" i="11" s="1"/>
  <c r="T171" i="5"/>
  <c r="U171" i="5" s="1"/>
  <c r="I171" i="5" s="1"/>
  <c r="T130" i="5"/>
  <c r="U130" i="5" s="1"/>
  <c r="I130" i="5" s="1"/>
  <c r="C130" i="11"/>
  <c r="T130" i="11" s="1"/>
  <c r="U130" i="11" s="1"/>
  <c r="I130" i="11" s="1"/>
  <c r="C130" i="6"/>
  <c r="T130" i="6" s="1"/>
  <c r="U130" i="6" s="1"/>
  <c r="I130" i="6" s="1"/>
  <c r="T380" i="5"/>
  <c r="U380" i="5" s="1"/>
  <c r="I380" i="5" s="1"/>
  <c r="C380" i="6"/>
  <c r="T380" i="6" s="1"/>
  <c r="U380" i="6" s="1"/>
  <c r="I380" i="6" s="1"/>
  <c r="C380" i="11"/>
  <c r="T380" i="11" s="1"/>
  <c r="U380" i="11" s="1"/>
  <c r="I380" i="11" s="1"/>
  <c r="C214" i="6"/>
  <c r="T214" i="6" s="1"/>
  <c r="U214" i="6" s="1"/>
  <c r="I214" i="6" s="1"/>
  <c r="T214" i="5"/>
  <c r="U214" i="5" s="1"/>
  <c r="I214" i="5" s="1"/>
  <c r="C214" i="11"/>
  <c r="T214" i="11" s="1"/>
  <c r="T193" i="5"/>
  <c r="U193" i="5" s="1"/>
  <c r="I193" i="5" s="1"/>
  <c r="C193" i="6"/>
  <c r="T193" i="6" s="1"/>
  <c r="U193" i="6" s="1"/>
  <c r="I193" i="6" s="1"/>
  <c r="C193" i="11"/>
  <c r="T193" i="11" s="1"/>
  <c r="U193" i="11" s="1"/>
  <c r="I193" i="11" s="1"/>
  <c r="C269" i="6"/>
  <c r="T269" i="6" s="1"/>
  <c r="U269" i="6" s="1"/>
  <c r="I269" i="6" s="1"/>
  <c r="T269" i="5"/>
  <c r="C269" i="11"/>
  <c r="T269" i="11" s="1"/>
  <c r="U269" i="11" s="1"/>
  <c r="I269" i="11" s="1"/>
  <c r="T143" i="5"/>
  <c r="C143" i="6"/>
  <c r="T143" i="6" s="1"/>
  <c r="U143" i="6" s="1"/>
  <c r="I143" i="6" s="1"/>
  <c r="C143" i="11"/>
  <c r="T143" i="11" s="1"/>
  <c r="U143" i="11" s="1"/>
  <c r="I143" i="11" s="1"/>
  <c r="C220" i="11"/>
  <c r="T220" i="11" s="1"/>
  <c r="U220" i="11" s="1"/>
  <c r="I220" i="11" s="1"/>
  <c r="T220" i="5"/>
  <c r="U220" i="5" s="1"/>
  <c r="I220" i="5" s="1"/>
  <c r="C220" i="6"/>
  <c r="T220" i="6" s="1"/>
  <c r="U220" i="6" s="1"/>
  <c r="I220" i="6" s="1"/>
  <c r="C294" i="6"/>
  <c r="T294" i="6" s="1"/>
  <c r="U294" i="6" s="1"/>
  <c r="I294" i="6" s="1"/>
  <c r="T294" i="5"/>
  <c r="C294" i="11"/>
  <c r="T294" i="11" s="1"/>
  <c r="U294" i="11" s="1"/>
  <c r="I294" i="11" s="1"/>
  <c r="T434" i="5"/>
  <c r="I434" i="5" s="1"/>
  <c r="C434" i="6"/>
  <c r="T434" i="6" s="1"/>
  <c r="U434" i="6" s="1"/>
  <c r="I434" i="6" s="1"/>
  <c r="C434" i="11"/>
  <c r="T434" i="11" s="1"/>
  <c r="U434" i="11" s="1"/>
  <c r="I434" i="11" s="1"/>
  <c r="T492" i="5"/>
  <c r="I492" i="5" s="1"/>
  <c r="C492" i="6"/>
  <c r="C492" i="11"/>
  <c r="T451" i="5"/>
  <c r="I451" i="5" s="1"/>
  <c r="C451" i="6"/>
  <c r="C451" i="11"/>
  <c r="C287" i="11"/>
  <c r="T287" i="11" s="1"/>
  <c r="C287" i="6"/>
  <c r="T287" i="6" s="1"/>
  <c r="T287" i="5"/>
  <c r="C138" i="11"/>
  <c r="T138" i="11" s="1"/>
  <c r="C138" i="6"/>
  <c r="T138" i="6" s="1"/>
  <c r="U138" i="6" s="1"/>
  <c r="I138" i="6" s="1"/>
  <c r="T138" i="5"/>
  <c r="U138" i="5" s="1"/>
  <c r="I138" i="5" s="1"/>
  <c r="T97" i="5"/>
  <c r="U97" i="5" s="1"/>
  <c r="I97" i="5" s="1"/>
  <c r="C97" i="6"/>
  <c r="T97" i="6" s="1"/>
  <c r="U97" i="6" s="1"/>
  <c r="I97" i="6" s="1"/>
  <c r="C97" i="11"/>
  <c r="T97" i="11" s="1"/>
  <c r="U97" i="11" s="1"/>
  <c r="I97" i="11" s="1"/>
  <c r="C79" i="11"/>
  <c r="T79" i="11" s="1"/>
  <c r="C79" i="6"/>
  <c r="T79" i="6" s="1"/>
  <c r="U79" i="6" s="1"/>
  <c r="I79" i="6" s="1"/>
  <c r="T79" i="5"/>
  <c r="U79" i="5" s="1"/>
  <c r="I79" i="5" s="1"/>
  <c r="C182" i="6"/>
  <c r="T182" i="6" s="1"/>
  <c r="C182" i="11"/>
  <c r="T182" i="11" s="1"/>
  <c r="U182" i="11" s="1"/>
  <c r="I182" i="11" s="1"/>
  <c r="T182" i="5"/>
  <c r="U182" i="5" s="1"/>
  <c r="I182" i="5" s="1"/>
  <c r="C405" i="6"/>
  <c r="T405" i="6" s="1"/>
  <c r="C405" i="11"/>
  <c r="T405" i="11" s="1"/>
  <c r="U405" i="11" s="1"/>
  <c r="I405" i="11" s="1"/>
  <c r="T405" i="5"/>
  <c r="I405" i="5" s="1"/>
  <c r="C370" i="11"/>
  <c r="T370" i="11" s="1"/>
  <c r="U370" i="11" s="1"/>
  <c r="I370" i="11" s="1"/>
  <c r="C370" i="6"/>
  <c r="T370" i="6" s="1"/>
  <c r="T370" i="5"/>
  <c r="U370" i="5" s="1"/>
  <c r="I370" i="5" s="1"/>
  <c r="C318" i="6"/>
  <c r="T318" i="6" s="1"/>
  <c r="U318" i="6" s="1"/>
  <c r="I318" i="6" s="1"/>
  <c r="C318" i="11"/>
  <c r="T318" i="11" s="1"/>
  <c r="U318" i="11" s="1"/>
  <c r="I318" i="11" s="1"/>
  <c r="T318" i="5"/>
  <c r="U318" i="5" s="1"/>
  <c r="I318" i="5" s="1"/>
  <c r="T169" i="5"/>
  <c r="U169" i="5" s="1"/>
  <c r="I169" i="5" s="1"/>
  <c r="C169" i="11"/>
  <c r="T169" i="11" s="1"/>
  <c r="U169" i="11" s="1"/>
  <c r="I169" i="11" s="1"/>
  <c r="C169" i="6"/>
  <c r="T169" i="6" s="1"/>
  <c r="U169" i="6" s="1"/>
  <c r="I169" i="6" s="1"/>
  <c r="C344" i="6"/>
  <c r="T344" i="6" s="1"/>
  <c r="C344" i="11"/>
  <c r="T344" i="11" s="1"/>
  <c r="U344" i="11" s="1"/>
  <c r="I344" i="11" s="1"/>
  <c r="T344" i="5"/>
  <c r="U344" i="5" s="1"/>
  <c r="I344" i="5" s="1"/>
  <c r="C293" i="6"/>
  <c r="T293" i="6" s="1"/>
  <c r="U293" i="6" s="1"/>
  <c r="I293" i="6" s="1"/>
  <c r="C293" i="11"/>
  <c r="T293" i="11" s="1"/>
  <c r="U293" i="11" s="1"/>
  <c r="I293" i="11" s="1"/>
  <c r="T293" i="5"/>
  <c r="T340" i="5"/>
  <c r="C340" i="11"/>
  <c r="T340" i="11" s="1"/>
  <c r="U340" i="11" s="1"/>
  <c r="I340" i="11" s="1"/>
  <c r="C340" i="6"/>
  <c r="T340" i="6" s="1"/>
  <c r="U340" i="6" s="1"/>
  <c r="I340" i="6" s="1"/>
  <c r="C224" i="11"/>
  <c r="T224" i="11" s="1"/>
  <c r="T224" i="5"/>
  <c r="U224" i="5" s="1"/>
  <c r="I224" i="5" s="1"/>
  <c r="C224" i="6"/>
  <c r="T224" i="6" s="1"/>
  <c r="U224" i="6" s="1"/>
  <c r="I224" i="6" s="1"/>
  <c r="C172" i="11"/>
  <c r="T172" i="11" s="1"/>
  <c r="U172" i="11" s="1"/>
  <c r="I172" i="11" s="1"/>
  <c r="T172" i="5"/>
  <c r="C172" i="6"/>
  <c r="T172" i="6" s="1"/>
  <c r="U172" i="6" s="1"/>
  <c r="I172" i="6" s="1"/>
  <c r="C456" i="11"/>
  <c r="C456" i="6"/>
  <c r="T456" i="5"/>
  <c r="I456" i="5" s="1"/>
  <c r="C366" i="6"/>
  <c r="T366" i="6" s="1"/>
  <c r="U366" i="6" s="1"/>
  <c r="I366" i="6" s="1"/>
  <c r="T366" i="5"/>
  <c r="U366" i="5" s="1"/>
  <c r="I366" i="5" s="1"/>
  <c r="C366" i="11"/>
  <c r="T366" i="11" s="1"/>
  <c r="U366" i="11" s="1"/>
  <c r="I366" i="11" s="1"/>
  <c r="C84" i="6"/>
  <c r="T84" i="6" s="1"/>
  <c r="U84" i="6" s="1"/>
  <c r="I84" i="6" s="1"/>
  <c r="T84" i="5"/>
  <c r="C84" i="11"/>
  <c r="T84" i="11" s="1"/>
  <c r="U84" i="11" s="1"/>
  <c r="I84" i="11" s="1"/>
  <c r="T408" i="5"/>
  <c r="I408" i="5" s="1"/>
  <c r="C408" i="11"/>
  <c r="T408" i="11" s="1"/>
  <c r="U408" i="11" s="1"/>
  <c r="I408" i="11" s="1"/>
  <c r="C408" i="6"/>
  <c r="T408" i="6" s="1"/>
  <c r="U408" i="6" s="1"/>
  <c r="I408" i="6" s="1"/>
  <c r="C359" i="11"/>
  <c r="T359" i="11" s="1"/>
  <c r="U359" i="11" s="1"/>
  <c r="I359" i="11" s="1"/>
  <c r="T359" i="5"/>
  <c r="C359" i="6"/>
  <c r="T359" i="6" s="1"/>
  <c r="U359" i="6" s="1"/>
  <c r="I359" i="6" s="1"/>
  <c r="C208" i="6"/>
  <c r="T208" i="6" s="1"/>
  <c r="U208" i="6" s="1"/>
  <c r="I208" i="6" s="1"/>
  <c r="C208" i="11"/>
  <c r="T208" i="11" s="1"/>
  <c r="T208" i="5"/>
  <c r="U208" i="5" s="1"/>
  <c r="I208" i="5" s="1"/>
  <c r="T202" i="5"/>
  <c r="U202" i="5" s="1"/>
  <c r="I202" i="5" s="1"/>
  <c r="C202" i="6"/>
  <c r="T202" i="6" s="1"/>
  <c r="U202" i="6" s="1"/>
  <c r="I202" i="6" s="1"/>
  <c r="C202" i="11"/>
  <c r="T202" i="11" s="1"/>
  <c r="U202" i="11" s="1"/>
  <c r="I202" i="11" s="1"/>
  <c r="C90" i="6"/>
  <c r="T90" i="6" s="1"/>
  <c r="U90" i="6" s="1"/>
  <c r="I90" i="6" s="1"/>
  <c r="C90" i="11"/>
  <c r="T90" i="11" s="1"/>
  <c r="U90" i="11" s="1"/>
  <c r="I90" i="11" s="1"/>
  <c r="T90" i="5"/>
  <c r="U90" i="5" s="1"/>
  <c r="I90" i="5" s="1"/>
  <c r="C259" i="6"/>
  <c r="T259" i="6" s="1"/>
  <c r="U259" i="6" s="1"/>
  <c r="I259" i="6" s="1"/>
  <c r="T259" i="5"/>
  <c r="U259" i="5" s="1"/>
  <c r="I259" i="5" s="1"/>
  <c r="C259" i="11"/>
  <c r="T259" i="11" s="1"/>
  <c r="U259" i="11" s="1"/>
  <c r="I259" i="11" s="1"/>
  <c r="C150" i="6"/>
  <c r="T150" i="6" s="1"/>
  <c r="U150" i="6" s="1"/>
  <c r="I150" i="6" s="1"/>
  <c r="C150" i="11"/>
  <c r="T150" i="11" s="1"/>
  <c r="T150" i="5"/>
  <c r="C286" i="6"/>
  <c r="T286" i="6" s="1"/>
  <c r="U286" i="6" s="1"/>
  <c r="I286" i="6" s="1"/>
  <c r="T286" i="5"/>
  <c r="U286" i="5" s="1"/>
  <c r="I286" i="5" s="1"/>
  <c r="C286" i="11"/>
  <c r="T286" i="11" s="1"/>
  <c r="U286" i="11" s="1"/>
  <c r="I286" i="11" s="1"/>
  <c r="C88" i="6"/>
  <c r="T88" i="6" s="1"/>
  <c r="U88" i="6" s="1"/>
  <c r="I88" i="6" s="1"/>
  <c r="C88" i="11"/>
  <c r="T88" i="11" s="1"/>
  <c r="U88" i="11" s="1"/>
  <c r="I88" i="11" s="1"/>
  <c r="T88" i="5"/>
  <c r="U88" i="5" s="1"/>
  <c r="I88" i="5" s="1"/>
  <c r="T118" i="5"/>
  <c r="U118" i="5" s="1"/>
  <c r="I118" i="5" s="1"/>
  <c r="C118" i="6"/>
  <c r="T118" i="6" s="1"/>
  <c r="U118" i="6" s="1"/>
  <c r="I118" i="6" s="1"/>
  <c r="C118" i="11"/>
  <c r="T118" i="11" s="1"/>
  <c r="U118" i="11" s="1"/>
  <c r="I118" i="11" s="1"/>
  <c r="C206" i="6"/>
  <c r="T206" i="6" s="1"/>
  <c r="U206" i="6" s="1"/>
  <c r="I206" i="6" s="1"/>
  <c r="C206" i="11"/>
  <c r="T206" i="11" s="1"/>
  <c r="U206" i="11" s="1"/>
  <c r="I206" i="11" s="1"/>
  <c r="T206" i="5"/>
  <c r="U206" i="5" s="1"/>
  <c r="I206" i="5" s="1"/>
  <c r="C410" i="11"/>
  <c r="T410" i="11" s="1"/>
  <c r="U410" i="11" s="1"/>
  <c r="I410" i="11" s="1"/>
  <c r="C410" i="6"/>
  <c r="T410" i="6" s="1"/>
  <c r="U410" i="6" s="1"/>
  <c r="I410" i="6" s="1"/>
  <c r="T410" i="5"/>
  <c r="I410" i="5" s="1"/>
  <c r="C257" i="6"/>
  <c r="T257" i="6" s="1"/>
  <c r="U257" i="6" s="1"/>
  <c r="I257" i="6" s="1"/>
  <c r="C257" i="11"/>
  <c r="T257" i="11" s="1"/>
  <c r="U257" i="11" s="1"/>
  <c r="I257" i="11" s="1"/>
  <c r="T257" i="5"/>
  <c r="U257" i="5" s="1"/>
  <c r="I257" i="5" s="1"/>
  <c r="C487" i="11"/>
  <c r="T487" i="5"/>
  <c r="I487" i="5" s="1"/>
  <c r="C487" i="6"/>
  <c r="C497" i="11"/>
  <c r="C497" i="6"/>
  <c r="T497" i="5"/>
  <c r="I497" i="5" s="1"/>
  <c r="T213" i="5"/>
  <c r="U213" i="5" s="1"/>
  <c r="I213" i="5" s="1"/>
  <c r="C213" i="11"/>
  <c r="T213" i="11" s="1"/>
  <c r="C213" i="6"/>
  <c r="T213" i="6" s="1"/>
  <c r="C504" i="11"/>
  <c r="C504" i="6"/>
  <c r="T504" i="5"/>
  <c r="I504" i="5" s="1"/>
  <c r="C192" i="6"/>
  <c r="T192" i="6" s="1"/>
  <c r="U192" i="6" s="1"/>
  <c r="I192" i="6" s="1"/>
  <c r="T192" i="5"/>
  <c r="U192" i="5" s="1"/>
  <c r="I192" i="5" s="1"/>
  <c r="C192" i="11"/>
  <c r="T192" i="11" s="1"/>
  <c r="U192" i="11" s="1"/>
  <c r="I192" i="11" s="1"/>
  <c r="C92" i="11"/>
  <c r="T92" i="11" s="1"/>
  <c r="C92" i="6"/>
  <c r="T92" i="6" s="1"/>
  <c r="U92" i="6" s="1"/>
  <c r="I92" i="6" s="1"/>
  <c r="T92" i="5"/>
  <c r="U92" i="5" s="1"/>
  <c r="I92" i="5" s="1"/>
  <c r="T162" i="5"/>
  <c r="U162" i="5" s="1"/>
  <c r="I162" i="5" s="1"/>
  <c r="C162" i="11"/>
  <c r="T162" i="11" s="1"/>
  <c r="U162" i="11" s="1"/>
  <c r="I162" i="11" s="1"/>
  <c r="C162" i="6"/>
  <c r="T162" i="6" s="1"/>
  <c r="U162" i="6" s="1"/>
  <c r="I162" i="6" s="1"/>
  <c r="C96" i="11"/>
  <c r="T96" i="11" s="1"/>
  <c r="U96" i="11" s="1"/>
  <c r="I96" i="11" s="1"/>
  <c r="C96" i="6"/>
  <c r="T96" i="6" s="1"/>
  <c r="U96" i="6" s="1"/>
  <c r="I96" i="6" s="1"/>
  <c r="T96" i="5"/>
  <c r="U96" i="5" s="1"/>
  <c r="I96" i="5" s="1"/>
  <c r="T160" i="5"/>
  <c r="C160" i="6"/>
  <c r="T160" i="6" s="1"/>
  <c r="U160" i="6" s="1"/>
  <c r="I160" i="6" s="1"/>
  <c r="C160" i="11"/>
  <c r="T160" i="11" s="1"/>
  <c r="U160" i="11" s="1"/>
  <c r="I160" i="11" s="1"/>
  <c r="C383" i="6"/>
  <c r="T383" i="6" s="1"/>
  <c r="U383" i="6" s="1"/>
  <c r="I383" i="6" s="1"/>
  <c r="T383" i="5"/>
  <c r="U383" i="5" s="1"/>
  <c r="I383" i="5" s="1"/>
  <c r="C383" i="11"/>
  <c r="T383" i="11" s="1"/>
  <c r="U383" i="11" s="1"/>
  <c r="I383" i="11" s="1"/>
  <c r="T469" i="5"/>
  <c r="I469" i="5" s="1"/>
  <c r="C469" i="6"/>
  <c r="C469" i="11"/>
  <c r="T308" i="5"/>
  <c r="C308" i="6"/>
  <c r="T308" i="6" s="1"/>
  <c r="U308" i="6" s="1"/>
  <c r="I308" i="6" s="1"/>
  <c r="C308" i="11"/>
  <c r="T308" i="11" s="1"/>
  <c r="U308" i="11" s="1"/>
  <c r="I308" i="11" s="1"/>
  <c r="T312" i="5"/>
  <c r="C312" i="6"/>
  <c r="T312" i="6" s="1"/>
  <c r="U312" i="6" s="1"/>
  <c r="I312" i="6" s="1"/>
  <c r="C312" i="11"/>
  <c r="T312" i="11" s="1"/>
  <c r="U312" i="11" s="1"/>
  <c r="I312" i="11" s="1"/>
  <c r="C455" i="11"/>
  <c r="C455" i="6"/>
  <c r="T455" i="5"/>
  <c r="I455" i="5" s="1"/>
  <c r="C232" i="11"/>
  <c r="T232" i="11" s="1"/>
  <c r="U232" i="11" s="1"/>
  <c r="I232" i="11" s="1"/>
  <c r="T232" i="5"/>
  <c r="U232" i="5" s="1"/>
  <c r="I232" i="5" s="1"/>
  <c r="C232" i="6"/>
  <c r="T232" i="6" s="1"/>
  <c r="U232" i="6" s="1"/>
  <c r="I232" i="6" s="1"/>
  <c r="C332" i="6"/>
  <c r="T332" i="6" s="1"/>
  <c r="U332" i="6" s="1"/>
  <c r="I332" i="6" s="1"/>
  <c r="T332" i="5"/>
  <c r="U332" i="5" s="1"/>
  <c r="I332" i="5" s="1"/>
  <c r="C332" i="11"/>
  <c r="T332" i="11" s="1"/>
  <c r="U332" i="11" s="1"/>
  <c r="I332" i="11" s="1"/>
  <c r="T386" i="5"/>
  <c r="I386" i="5" s="1"/>
  <c r="C386" i="6"/>
  <c r="T386" i="6" s="1"/>
  <c r="U386" i="6" s="1"/>
  <c r="I386" i="6" s="1"/>
  <c r="C386" i="11"/>
  <c r="T386" i="11" s="1"/>
  <c r="U386" i="11" s="1"/>
  <c r="I386" i="11" s="1"/>
  <c r="C302" i="6"/>
  <c r="T302" i="6" s="1"/>
  <c r="U302" i="6" s="1"/>
  <c r="I302" i="6" s="1"/>
  <c r="T302" i="5"/>
  <c r="C302" i="11"/>
  <c r="T302" i="11" s="1"/>
  <c r="U302" i="11" s="1"/>
  <c r="I302" i="11" s="1"/>
  <c r="C337" i="11"/>
  <c r="T337" i="11" s="1"/>
  <c r="T337" i="5"/>
  <c r="U337" i="5" s="1"/>
  <c r="I337" i="5" s="1"/>
  <c r="C337" i="6"/>
  <c r="T337" i="6" s="1"/>
  <c r="U337" i="6" s="1"/>
  <c r="I337" i="6" s="1"/>
  <c r="C191" i="11"/>
  <c r="T191" i="11" s="1"/>
  <c r="U191" i="11" s="1"/>
  <c r="I191" i="11" s="1"/>
  <c r="C191" i="6"/>
  <c r="T191" i="6" s="1"/>
  <c r="U191" i="6" s="1"/>
  <c r="I191" i="6" s="1"/>
  <c r="T191" i="5"/>
  <c r="C159" i="11"/>
  <c r="T159" i="11" s="1"/>
  <c r="U159" i="11" s="1"/>
  <c r="I159" i="11" s="1"/>
  <c r="T159" i="5"/>
  <c r="U159" i="5" s="1"/>
  <c r="I159" i="5" s="1"/>
  <c r="C159" i="6"/>
  <c r="T159" i="6" s="1"/>
  <c r="U159" i="6" s="1"/>
  <c r="I159" i="6" s="1"/>
  <c r="C71" i="6"/>
  <c r="T71" i="6" s="1"/>
  <c r="U71" i="6" s="1"/>
  <c r="I71" i="6" s="1"/>
  <c r="C71" i="11"/>
  <c r="T71" i="11" s="1"/>
  <c r="U71" i="11" s="1"/>
  <c r="I71" i="11" s="1"/>
  <c r="T71" i="5"/>
  <c r="U71" i="5" s="1"/>
  <c r="I71" i="5" s="1"/>
  <c r="T198" i="5"/>
  <c r="U198" i="5" s="1"/>
  <c r="I198" i="5" s="1"/>
  <c r="C198" i="6"/>
  <c r="T198" i="6" s="1"/>
  <c r="C198" i="11"/>
  <c r="T198" i="11" s="1"/>
  <c r="U198" i="11" s="1"/>
  <c r="I198" i="11" s="1"/>
  <c r="T254" i="5"/>
  <c r="C254" i="6"/>
  <c r="T254" i="6" s="1"/>
  <c r="C254" i="11"/>
  <c r="T254" i="11" s="1"/>
  <c r="U254" i="11" s="1"/>
  <c r="I254" i="11" s="1"/>
  <c r="C42" i="6"/>
  <c r="T42" i="6" s="1"/>
  <c r="U42" i="6" s="1"/>
  <c r="I42" i="6" s="1"/>
  <c r="C42" i="11"/>
  <c r="T42" i="11" s="1"/>
  <c r="U42" i="11" s="1"/>
  <c r="I42" i="11" s="1"/>
  <c r="T42" i="5"/>
  <c r="U42" i="5" s="1"/>
  <c r="I42" i="5" s="1"/>
  <c r="C506" i="11"/>
  <c r="C506" i="6"/>
  <c r="T506" i="5"/>
  <c r="I506" i="5" s="1"/>
  <c r="C237" i="11"/>
  <c r="T237" i="11" s="1"/>
  <c r="U237" i="11" s="1"/>
  <c r="I237" i="11" s="1"/>
  <c r="C237" i="6"/>
  <c r="T237" i="6" s="1"/>
  <c r="T237" i="5"/>
  <c r="U237" i="5" s="1"/>
  <c r="I237" i="5" s="1"/>
  <c r="C44" i="6"/>
  <c r="T44" i="6" s="1"/>
  <c r="T44" i="5"/>
  <c r="C44" i="11"/>
  <c r="T44" i="11" s="1"/>
  <c r="U44" i="11" s="1"/>
  <c r="I44" i="11" s="1"/>
  <c r="C64" i="11"/>
  <c r="T64" i="11" s="1"/>
  <c r="C64" i="6"/>
  <c r="T64" i="6" s="1"/>
  <c r="U64" i="6" s="1"/>
  <c r="I64" i="6" s="1"/>
  <c r="T64" i="5"/>
  <c r="T81" i="5"/>
  <c r="U81" i="5" s="1"/>
  <c r="I81" i="5" s="1"/>
  <c r="C81" i="11"/>
  <c r="T81" i="11" s="1"/>
  <c r="U81" i="11" s="1"/>
  <c r="I81" i="11" s="1"/>
  <c r="C81" i="6"/>
  <c r="T81" i="6" s="1"/>
  <c r="U81" i="6" s="1"/>
  <c r="I81" i="6" s="1"/>
  <c r="T484" i="5"/>
  <c r="I484" i="5" s="1"/>
  <c r="C484" i="11"/>
  <c r="C484" i="6"/>
  <c r="C501" i="6"/>
  <c r="C501" i="11"/>
  <c r="T501" i="5"/>
  <c r="I501" i="5" s="1"/>
  <c r="C33" i="11"/>
  <c r="T33" i="11" s="1"/>
  <c r="U33" i="11" s="1"/>
  <c r="I33" i="11" s="1"/>
  <c r="C33" i="6"/>
  <c r="T33" i="6" s="1"/>
  <c r="U33" i="6" s="1"/>
  <c r="I33" i="6" s="1"/>
  <c r="T33" i="5"/>
  <c r="T321" i="5"/>
  <c r="U321" i="5" s="1"/>
  <c r="I321" i="5" s="1"/>
  <c r="C321" i="11"/>
  <c r="T321" i="11" s="1"/>
  <c r="U321" i="11" s="1"/>
  <c r="I321" i="11" s="1"/>
  <c r="C321" i="6"/>
  <c r="T321" i="6" s="1"/>
  <c r="U321" i="6" s="1"/>
  <c r="I321" i="6" s="1"/>
  <c r="C167" i="6"/>
  <c r="T167" i="6" s="1"/>
  <c r="U167" i="6" s="1"/>
  <c r="I167" i="6" s="1"/>
  <c r="T167" i="5"/>
  <c r="U167" i="5" s="1"/>
  <c r="I167" i="5" s="1"/>
  <c r="C167" i="11"/>
  <c r="T167" i="11" s="1"/>
  <c r="U167" i="11" s="1"/>
  <c r="I167" i="11" s="1"/>
  <c r="C153" i="6"/>
  <c r="T153" i="6" s="1"/>
  <c r="U153" i="6" s="1"/>
  <c r="I153" i="6" s="1"/>
  <c r="C153" i="11"/>
  <c r="T153" i="11" s="1"/>
  <c r="U153" i="11" s="1"/>
  <c r="I153" i="11" s="1"/>
  <c r="T153" i="5"/>
  <c r="U153" i="5" s="1"/>
  <c r="I153" i="5" s="1"/>
  <c r="C499" i="6"/>
  <c r="C499" i="11"/>
  <c r="T499" i="5"/>
  <c r="I499" i="5" s="1"/>
  <c r="C239" i="6"/>
  <c r="T239" i="6" s="1"/>
  <c r="U239" i="6" s="1"/>
  <c r="I239" i="6" s="1"/>
  <c r="T239" i="5"/>
  <c r="U239" i="5" s="1"/>
  <c r="I239" i="5" s="1"/>
  <c r="C239" i="11"/>
  <c r="T239" i="11" s="1"/>
  <c r="U239" i="11" s="1"/>
  <c r="I239" i="11" s="1"/>
  <c r="T262" i="5"/>
  <c r="U262" i="5" s="1"/>
  <c r="I262" i="5" s="1"/>
  <c r="C262" i="11"/>
  <c r="T262" i="11" s="1"/>
  <c r="U262" i="11" s="1"/>
  <c r="I262" i="11" s="1"/>
  <c r="C262" i="6"/>
  <c r="T262" i="6" s="1"/>
  <c r="U262" i="6" s="1"/>
  <c r="I262" i="6" s="1"/>
  <c r="C283" i="11"/>
  <c r="T283" i="11" s="1"/>
  <c r="U283" i="11" s="1"/>
  <c r="I283" i="11" s="1"/>
  <c r="T283" i="5"/>
  <c r="U283" i="5" s="1"/>
  <c r="I283" i="5" s="1"/>
  <c r="C283" i="6"/>
  <c r="T283" i="6" s="1"/>
  <c r="U283" i="6" s="1"/>
  <c r="I283" i="6" s="1"/>
  <c r="T91" i="5"/>
  <c r="C91" i="6"/>
  <c r="T91" i="6" s="1"/>
  <c r="U91" i="6" s="1"/>
  <c r="I91" i="6" s="1"/>
  <c r="C91" i="11"/>
  <c r="T91" i="11" s="1"/>
  <c r="U91" i="11" s="1"/>
  <c r="I91" i="11" s="1"/>
  <c r="C511" i="11"/>
  <c r="C511" i="6"/>
  <c r="T511" i="5"/>
  <c r="I511" i="5" s="1"/>
  <c r="T125" i="5"/>
  <c r="U125" i="5" s="1"/>
  <c r="I125" i="5" s="1"/>
  <c r="C125" i="11"/>
  <c r="T125" i="11" s="1"/>
  <c r="U125" i="11" s="1"/>
  <c r="I125" i="11" s="1"/>
  <c r="C125" i="6"/>
  <c r="T125" i="6" s="1"/>
  <c r="U125" i="6" s="1"/>
  <c r="I125" i="6" s="1"/>
  <c r="C161" i="11"/>
  <c r="T161" i="11" s="1"/>
  <c r="U161" i="11" s="1"/>
  <c r="I161" i="11" s="1"/>
  <c r="C161" i="6"/>
  <c r="T161" i="6" s="1"/>
  <c r="U161" i="6" s="1"/>
  <c r="I161" i="6" s="1"/>
  <c r="T161" i="5"/>
  <c r="U161" i="5" s="1"/>
  <c r="I161" i="5" s="1"/>
  <c r="C59" i="11"/>
  <c r="T59" i="11" s="1"/>
  <c r="U59" i="11" s="1"/>
  <c r="I59" i="11" s="1"/>
  <c r="T59" i="5"/>
  <c r="U59" i="5" s="1"/>
  <c r="I59" i="5" s="1"/>
  <c r="C59" i="6"/>
  <c r="T59" i="6" s="1"/>
  <c r="U59" i="6" s="1"/>
  <c r="I59" i="6" s="1"/>
  <c r="C57" i="6"/>
  <c r="T57" i="6" s="1"/>
  <c r="U57" i="6" s="1"/>
  <c r="I57" i="6" s="1"/>
  <c r="T57" i="5"/>
  <c r="U57" i="5" s="1"/>
  <c r="I57" i="5" s="1"/>
  <c r="C57" i="11"/>
  <c r="T57" i="11" s="1"/>
  <c r="U57" i="11" s="1"/>
  <c r="I57" i="11" s="1"/>
  <c r="T470" i="5"/>
  <c r="I470" i="5" s="1"/>
  <c r="C470" i="6"/>
  <c r="C470" i="11"/>
  <c r="T243" i="5"/>
  <c r="U243" i="5" s="1"/>
  <c r="I243" i="5" s="1"/>
  <c r="C243" i="6"/>
  <c r="T243" i="6" s="1"/>
  <c r="U243" i="6" s="1"/>
  <c r="I243" i="6" s="1"/>
  <c r="C243" i="11"/>
  <c r="T243" i="11" s="1"/>
  <c r="U243" i="11" s="1"/>
  <c r="I243" i="11" s="1"/>
  <c r="C425" i="6"/>
  <c r="T425" i="6" s="1"/>
  <c r="U425" i="6" s="1"/>
  <c r="I425" i="6" s="1"/>
  <c r="C425" i="11"/>
  <c r="T425" i="11" s="1"/>
  <c r="U425" i="11" s="1"/>
  <c r="I425" i="11" s="1"/>
  <c r="T425" i="5"/>
  <c r="I425" i="5" s="1"/>
  <c r="T260" i="5"/>
  <c r="U260" i="5" s="1"/>
  <c r="I260" i="5" s="1"/>
  <c r="C260" i="11"/>
  <c r="T260" i="11" s="1"/>
  <c r="C260" i="6"/>
  <c r="T260" i="6" s="1"/>
  <c r="U260" i="6" s="1"/>
  <c r="I260" i="6" s="1"/>
  <c r="C116" i="6"/>
  <c r="T116" i="6" s="1"/>
  <c r="U116" i="6" s="1"/>
  <c r="I116" i="6" s="1"/>
  <c r="C116" i="11"/>
  <c r="T116" i="11" s="1"/>
  <c r="U116" i="11" s="1"/>
  <c r="I116" i="11" s="1"/>
  <c r="T116" i="5"/>
  <c r="T402" i="5"/>
  <c r="I402" i="5" s="1"/>
  <c r="C402" i="11"/>
  <c r="T402" i="11" s="1"/>
  <c r="C402" i="6"/>
  <c r="T402" i="6" s="1"/>
  <c r="T129" i="5"/>
  <c r="C129" i="6"/>
  <c r="T129" i="6" s="1"/>
  <c r="U129" i="6" s="1"/>
  <c r="I129" i="6" s="1"/>
  <c r="C129" i="11"/>
  <c r="T129" i="11" s="1"/>
  <c r="U129" i="11" s="1"/>
  <c r="I129" i="11" s="1"/>
  <c r="C120" i="6"/>
  <c r="T120" i="6" s="1"/>
  <c r="C120" i="11"/>
  <c r="T120" i="11" s="1"/>
  <c r="T120" i="5"/>
  <c r="U120" i="5" s="1"/>
  <c r="I120" i="5" s="1"/>
  <c r="C216" i="11"/>
  <c r="T216" i="11" s="1"/>
  <c r="T216" i="5"/>
  <c r="C216" i="6"/>
  <c r="T216" i="6" s="1"/>
  <c r="U216" i="6" s="1"/>
  <c r="I216" i="6" s="1"/>
  <c r="C68" i="6"/>
  <c r="T68" i="6" s="1"/>
  <c r="C68" i="11"/>
  <c r="T68" i="11" s="1"/>
  <c r="U68" i="11" s="1"/>
  <c r="I68" i="11" s="1"/>
  <c r="T68" i="5"/>
  <c r="U68" i="5" s="1"/>
  <c r="I68" i="5" s="1"/>
  <c r="T53" i="5"/>
  <c r="U53" i="5" s="1"/>
  <c r="I53" i="5" s="1"/>
  <c r="C53" i="11"/>
  <c r="T53" i="11" s="1"/>
  <c r="U53" i="11" s="1"/>
  <c r="I53" i="11" s="1"/>
  <c r="C53" i="6"/>
  <c r="T53" i="6" s="1"/>
  <c r="U53" i="6" s="1"/>
  <c r="I53" i="6" s="1"/>
  <c r="C104" i="6"/>
  <c r="T104" i="6" s="1"/>
  <c r="U104" i="6" s="1"/>
  <c r="I104" i="6" s="1"/>
  <c r="T104" i="5"/>
  <c r="U104" i="5" s="1"/>
  <c r="I104" i="5" s="1"/>
  <c r="C104" i="11"/>
  <c r="T104" i="11" s="1"/>
  <c r="C201" i="6"/>
  <c r="T201" i="6" s="1"/>
  <c r="C201" i="11"/>
  <c r="T201" i="11" s="1"/>
  <c r="U201" i="11" s="1"/>
  <c r="I201" i="11" s="1"/>
  <c r="T201" i="5"/>
  <c r="U201" i="5" s="1"/>
  <c r="I201" i="5" s="1"/>
  <c r="C313" i="11"/>
  <c r="T313" i="11" s="1"/>
  <c r="U313" i="11" s="1"/>
  <c r="I313" i="11" s="1"/>
  <c r="T313" i="5"/>
  <c r="U313" i="5" s="1"/>
  <c r="I313" i="5" s="1"/>
  <c r="C313" i="6"/>
  <c r="T313" i="6" s="1"/>
  <c r="C32" i="11"/>
  <c r="T32" i="11" s="1"/>
  <c r="U32" i="11" s="1"/>
  <c r="I32" i="11" s="1"/>
  <c r="C32" i="6"/>
  <c r="T32" i="6" s="1"/>
  <c r="U32" i="6" s="1"/>
  <c r="I32" i="6" s="1"/>
  <c r="T32" i="5"/>
  <c r="U32" i="5" s="1"/>
  <c r="I32" i="5" s="1"/>
  <c r="C158" i="6"/>
  <c r="T158" i="6" s="1"/>
  <c r="U158" i="6" s="1"/>
  <c r="I158" i="6" s="1"/>
  <c r="T158" i="5"/>
  <c r="U158" i="5" s="1"/>
  <c r="I158" i="5" s="1"/>
  <c r="C158" i="11"/>
  <c r="T158" i="11" s="1"/>
  <c r="U158" i="11" s="1"/>
  <c r="I158" i="11" s="1"/>
  <c r="C267" i="6"/>
  <c r="T267" i="6" s="1"/>
  <c r="U267" i="6" s="1"/>
  <c r="I267" i="6" s="1"/>
  <c r="C267" i="11"/>
  <c r="T267" i="11" s="1"/>
  <c r="T267" i="5"/>
  <c r="U267" i="5" s="1"/>
  <c r="I267" i="5" s="1"/>
  <c r="C177" i="6"/>
  <c r="T177" i="6" s="1"/>
  <c r="T177" i="5"/>
  <c r="U177" i="5" s="1"/>
  <c r="I177" i="5" s="1"/>
  <c r="C177" i="11"/>
  <c r="T177" i="11" s="1"/>
  <c r="C295" i="6"/>
  <c r="T295" i="6" s="1"/>
  <c r="U295" i="6" s="1"/>
  <c r="I295" i="6" s="1"/>
  <c r="C295" i="11"/>
  <c r="T295" i="11" s="1"/>
  <c r="T295" i="5"/>
  <c r="U295" i="5" s="1"/>
  <c r="I295" i="5" s="1"/>
  <c r="C415" i="6"/>
  <c r="T415" i="6" s="1"/>
  <c r="U415" i="6" s="1"/>
  <c r="I415" i="6" s="1"/>
  <c r="C415" i="11"/>
  <c r="T415" i="11" s="1"/>
  <c r="U415" i="11" s="1"/>
  <c r="I415" i="11" s="1"/>
  <c r="T415" i="5"/>
  <c r="I415" i="5" s="1"/>
  <c r="T175" i="5"/>
  <c r="U175" i="5" s="1"/>
  <c r="I175" i="5" s="1"/>
  <c r="C175" i="11"/>
  <c r="T175" i="11" s="1"/>
  <c r="U175" i="11" s="1"/>
  <c r="I175" i="11" s="1"/>
  <c r="C175" i="6"/>
  <c r="T175" i="6" s="1"/>
  <c r="U175" i="6" s="1"/>
  <c r="I175" i="6" s="1"/>
  <c r="T374" i="5"/>
  <c r="U374" i="5" s="1"/>
  <c r="I374" i="5" s="1"/>
  <c r="C374" i="11"/>
  <c r="T374" i="11" s="1"/>
  <c r="C374" i="6"/>
  <c r="T374" i="6" s="1"/>
  <c r="T338" i="5"/>
  <c r="U338" i="5" s="1"/>
  <c r="I338" i="5" s="1"/>
  <c r="C338" i="11"/>
  <c r="T338" i="11" s="1"/>
  <c r="U338" i="11" s="1"/>
  <c r="I338" i="11" s="1"/>
  <c r="C338" i="6"/>
  <c r="T338" i="6" s="1"/>
  <c r="C58" i="11"/>
  <c r="T58" i="11" s="1"/>
  <c r="U58" i="11" s="1"/>
  <c r="I58" i="11" s="1"/>
  <c r="C58" i="6"/>
  <c r="T58" i="6" s="1"/>
  <c r="U58" i="6" s="1"/>
  <c r="I58" i="6" s="1"/>
  <c r="T58" i="5"/>
  <c r="U58" i="5" s="1"/>
  <c r="I58" i="5" s="1"/>
  <c r="C266" i="11"/>
  <c r="T266" i="11" s="1"/>
  <c r="U266" i="11" s="1"/>
  <c r="I266" i="11" s="1"/>
  <c r="C266" i="6"/>
  <c r="T266" i="6" s="1"/>
  <c r="T266" i="5"/>
  <c r="U266" i="5" s="1"/>
  <c r="I266" i="5" s="1"/>
  <c r="C176" i="6"/>
  <c r="T176" i="6" s="1"/>
  <c r="U176" i="6" s="1"/>
  <c r="I176" i="6" s="1"/>
  <c r="C176" i="11"/>
  <c r="T176" i="11" s="1"/>
  <c r="T176" i="5"/>
  <c r="C473" i="11"/>
  <c r="T473" i="5"/>
  <c r="I473" i="5" s="1"/>
  <c r="C473" i="6"/>
  <c r="T307" i="5"/>
  <c r="U307" i="5" s="1"/>
  <c r="I307" i="5" s="1"/>
  <c r="C307" i="6"/>
  <c r="T307" i="6" s="1"/>
  <c r="U307" i="6" s="1"/>
  <c r="I307" i="6" s="1"/>
  <c r="C307" i="11"/>
  <c r="T307" i="11" s="1"/>
  <c r="U307" i="11" s="1"/>
  <c r="I307" i="11" s="1"/>
  <c r="C144" i="6"/>
  <c r="T144" i="6" s="1"/>
  <c r="U144" i="6" s="1"/>
  <c r="I144" i="6" s="1"/>
  <c r="T144" i="5"/>
  <c r="U144" i="5" s="1"/>
  <c r="I144" i="5" s="1"/>
  <c r="C144" i="11"/>
  <c r="T144" i="11" s="1"/>
  <c r="U144" i="11" s="1"/>
  <c r="I144" i="11" s="1"/>
  <c r="C401" i="6"/>
  <c r="T401" i="6" s="1"/>
  <c r="C401" i="11"/>
  <c r="T401" i="11" s="1"/>
  <c r="U401" i="11" s="1"/>
  <c r="I401" i="11" s="1"/>
  <c r="T401" i="5"/>
  <c r="I401" i="5" s="1"/>
  <c r="C151" i="11"/>
  <c r="T151" i="11" s="1"/>
  <c r="U151" i="11" s="1"/>
  <c r="I151" i="11" s="1"/>
  <c r="T151" i="5"/>
  <c r="U151" i="5" s="1"/>
  <c r="I151" i="5" s="1"/>
  <c r="C151" i="6"/>
  <c r="T151" i="6" s="1"/>
  <c r="U151" i="6" s="1"/>
  <c r="I151" i="6" s="1"/>
  <c r="T50" i="5"/>
  <c r="U50" i="5" s="1"/>
  <c r="I50" i="5" s="1"/>
  <c r="C50" i="6"/>
  <c r="T50" i="6" s="1"/>
  <c r="C50" i="11"/>
  <c r="T50" i="11" s="1"/>
  <c r="U50" i="11" s="1"/>
  <c r="I50" i="11" s="1"/>
  <c r="C284" i="6"/>
  <c r="T284" i="6" s="1"/>
  <c r="U284" i="6" s="1"/>
  <c r="I284" i="6" s="1"/>
  <c r="T284" i="5"/>
  <c r="C284" i="11"/>
  <c r="T284" i="11" s="1"/>
  <c r="U284" i="11" s="1"/>
  <c r="I284" i="11" s="1"/>
  <c r="C264" i="6"/>
  <c r="T264" i="6" s="1"/>
  <c r="U264" i="6" s="1"/>
  <c r="I264" i="6" s="1"/>
  <c r="C264" i="11"/>
  <c r="T264" i="11" s="1"/>
  <c r="T264" i="5"/>
  <c r="C350" i="6"/>
  <c r="T350" i="6" s="1"/>
  <c r="U350" i="6" s="1"/>
  <c r="I350" i="6" s="1"/>
  <c r="C350" i="11"/>
  <c r="T350" i="11" s="1"/>
  <c r="U350" i="11" s="1"/>
  <c r="I350" i="11" s="1"/>
  <c r="T350" i="5"/>
  <c r="U350" i="5" s="1"/>
  <c r="I350" i="5" s="1"/>
  <c r="C355" i="6"/>
  <c r="T355" i="6" s="1"/>
  <c r="U355" i="6" s="1"/>
  <c r="I355" i="6" s="1"/>
  <c r="T355" i="5"/>
  <c r="U355" i="5" s="1"/>
  <c r="I355" i="5" s="1"/>
  <c r="C355" i="11"/>
  <c r="T355" i="11" s="1"/>
  <c r="U355" i="11" s="1"/>
  <c r="I355" i="11" s="1"/>
  <c r="T148" i="5"/>
  <c r="U148" i="5" s="1"/>
  <c r="I148" i="5" s="1"/>
  <c r="C148" i="11"/>
  <c r="T148" i="11" s="1"/>
  <c r="U148" i="11" s="1"/>
  <c r="I148" i="11" s="1"/>
  <c r="C148" i="6"/>
  <c r="T148" i="6" s="1"/>
  <c r="T384" i="5"/>
  <c r="U384" i="5" s="1"/>
  <c r="I384" i="5" s="1"/>
  <c r="C384" i="11"/>
  <c r="T384" i="11" s="1"/>
  <c r="U384" i="11" s="1"/>
  <c r="I384" i="11" s="1"/>
  <c r="C384" i="6"/>
  <c r="T384" i="6" s="1"/>
  <c r="U384" i="6" s="1"/>
  <c r="I384" i="6" s="1"/>
  <c r="C134" i="11"/>
  <c r="T134" i="11" s="1"/>
  <c r="U134" i="11" s="1"/>
  <c r="I134" i="11" s="1"/>
  <c r="C134" i="6"/>
  <c r="T134" i="6" s="1"/>
  <c r="U134" i="6" s="1"/>
  <c r="I134" i="6" s="1"/>
  <c r="T134" i="5"/>
  <c r="U134" i="5" s="1"/>
  <c r="I134" i="5" s="1"/>
  <c r="C247" i="11"/>
  <c r="T247" i="11" s="1"/>
  <c r="U247" i="11" s="1"/>
  <c r="I247" i="11" s="1"/>
  <c r="C247" i="6"/>
  <c r="T247" i="6" s="1"/>
  <c r="U247" i="6" s="1"/>
  <c r="I247" i="6" s="1"/>
  <c r="T247" i="5"/>
  <c r="U247" i="5" s="1"/>
  <c r="I247" i="5" s="1"/>
  <c r="C111" i="11"/>
  <c r="T111" i="11" s="1"/>
  <c r="U111" i="11" s="1"/>
  <c r="I111" i="11" s="1"/>
  <c r="T111" i="5"/>
  <c r="U111" i="5" s="1"/>
  <c r="I111" i="5" s="1"/>
  <c r="C111" i="6"/>
  <c r="T111" i="6" s="1"/>
  <c r="U111" i="6" s="1"/>
  <c r="I111" i="6" s="1"/>
  <c r="C122" i="11"/>
  <c r="T122" i="11" s="1"/>
  <c r="U122" i="11" s="1"/>
  <c r="I122" i="11" s="1"/>
  <c r="C122" i="6"/>
  <c r="T122" i="6" s="1"/>
  <c r="U122" i="6" s="1"/>
  <c r="I122" i="6" s="1"/>
  <c r="T122" i="5"/>
  <c r="C466" i="11"/>
  <c r="C466" i="6"/>
  <c r="T466" i="5"/>
  <c r="I466" i="5" s="1"/>
  <c r="T275" i="5"/>
  <c r="U275" i="5" s="1"/>
  <c r="I275" i="5" s="1"/>
  <c r="C275" i="11"/>
  <c r="T275" i="11" s="1"/>
  <c r="U275" i="11" s="1"/>
  <c r="I275" i="11" s="1"/>
  <c r="C275" i="6"/>
  <c r="T275" i="6" s="1"/>
  <c r="U275" i="6" s="1"/>
  <c r="I275" i="6" s="1"/>
  <c r="C503" i="11"/>
  <c r="C503" i="6"/>
  <c r="T503" i="5"/>
  <c r="I503" i="5" s="1"/>
  <c r="T467" i="5"/>
  <c r="I467" i="5" s="1"/>
  <c r="C467" i="11"/>
  <c r="C467" i="6"/>
  <c r="T268" i="5"/>
  <c r="U268" i="5" s="1"/>
  <c r="I268" i="5" s="1"/>
  <c r="C268" i="6"/>
  <c r="T268" i="6" s="1"/>
  <c r="U268" i="6" s="1"/>
  <c r="I268" i="6" s="1"/>
  <c r="C268" i="11"/>
  <c r="T268" i="11" s="1"/>
  <c r="U268" i="11" s="1"/>
  <c r="I268" i="11" s="1"/>
  <c r="T376" i="5"/>
  <c r="C376" i="6"/>
  <c r="T376" i="6" s="1"/>
  <c r="U376" i="6" s="1"/>
  <c r="I376" i="6" s="1"/>
  <c r="C376" i="11"/>
  <c r="T376" i="11" s="1"/>
  <c r="U376" i="11" s="1"/>
  <c r="I376" i="11" s="1"/>
  <c r="C330" i="11"/>
  <c r="T330" i="11" s="1"/>
  <c r="U330" i="11" s="1"/>
  <c r="I330" i="11" s="1"/>
  <c r="C330" i="6"/>
  <c r="T330" i="6" s="1"/>
  <c r="U330" i="6" s="1"/>
  <c r="I330" i="6" s="1"/>
  <c r="T330" i="5"/>
  <c r="U330" i="5" s="1"/>
  <c r="I330" i="5" s="1"/>
  <c r="C449" i="11"/>
  <c r="C449" i="6"/>
  <c r="T449" i="5"/>
  <c r="I449" i="5" s="1"/>
  <c r="C211" i="11"/>
  <c r="T211" i="11" s="1"/>
  <c r="C211" i="6"/>
  <c r="T211" i="6" s="1"/>
  <c r="U211" i="6" s="1"/>
  <c r="I211" i="6" s="1"/>
  <c r="T211" i="5"/>
  <c r="T360" i="5"/>
  <c r="U360" i="5" s="1"/>
  <c r="I360" i="5" s="1"/>
  <c r="C360" i="11"/>
  <c r="T360" i="11" s="1"/>
  <c r="U360" i="11" s="1"/>
  <c r="I360" i="11" s="1"/>
  <c r="C360" i="6"/>
  <c r="T360" i="6" s="1"/>
  <c r="U360" i="6" s="1"/>
  <c r="I360" i="6" s="1"/>
  <c r="C98" i="6"/>
  <c r="T98" i="6" s="1"/>
  <c r="U98" i="6" s="1"/>
  <c r="I98" i="6" s="1"/>
  <c r="C98" i="11"/>
  <c r="T98" i="11" s="1"/>
  <c r="U98" i="11" s="1"/>
  <c r="I98" i="11" s="1"/>
  <c r="T98" i="5"/>
  <c r="U98" i="5" s="1"/>
  <c r="I98" i="5" s="1"/>
  <c r="T354" i="5"/>
  <c r="U354" i="5" s="1"/>
  <c r="I354" i="5" s="1"/>
  <c r="C354" i="11"/>
  <c r="T354" i="11" s="1"/>
  <c r="U354" i="11" s="1"/>
  <c r="I354" i="11" s="1"/>
  <c r="C354" i="6"/>
  <c r="T354" i="6" s="1"/>
  <c r="U354" i="6" s="1"/>
  <c r="I354" i="6" s="1"/>
  <c r="C416" i="6"/>
  <c r="T416" i="6" s="1"/>
  <c r="U416" i="6" s="1"/>
  <c r="I416" i="6" s="1"/>
  <c r="C416" i="11"/>
  <c r="T416" i="11" s="1"/>
  <c r="U416" i="11" s="1"/>
  <c r="I416" i="11" s="1"/>
  <c r="T416" i="5"/>
  <c r="I416" i="5" s="1"/>
  <c r="C38" i="11"/>
  <c r="T38" i="11" s="1"/>
  <c r="U38" i="11" s="1"/>
  <c r="I38" i="11" s="1"/>
  <c r="C38" i="6"/>
  <c r="T38" i="6" s="1"/>
  <c r="T38" i="5"/>
  <c r="C101" i="6"/>
  <c r="T101" i="6" s="1"/>
  <c r="C101" i="11"/>
  <c r="T101" i="11" s="1"/>
  <c r="U101" i="11" s="1"/>
  <c r="I101" i="11" s="1"/>
  <c r="T101" i="5"/>
  <c r="U101" i="5" s="1"/>
  <c r="I101" i="5" s="1"/>
  <c r="T345" i="5"/>
  <c r="C345" i="11"/>
  <c r="T345" i="11" s="1"/>
  <c r="U345" i="11" s="1"/>
  <c r="I345" i="11" s="1"/>
  <c r="C345" i="6"/>
  <c r="T345" i="6" s="1"/>
  <c r="U345" i="6" s="1"/>
  <c r="I345" i="6" s="1"/>
  <c r="T442" i="5"/>
  <c r="I442" i="5" s="1"/>
  <c r="C442" i="6"/>
  <c r="T442" i="6" s="1"/>
  <c r="U442" i="6" s="1"/>
  <c r="I442" i="6" s="1"/>
  <c r="C442" i="11"/>
  <c r="T442" i="11" s="1"/>
  <c r="U442" i="11" s="1"/>
  <c r="I442" i="11" s="1"/>
  <c r="C327" i="11"/>
  <c r="T327" i="11" s="1"/>
  <c r="T327" i="5"/>
  <c r="U327" i="5" s="1"/>
  <c r="I327" i="5" s="1"/>
  <c r="C327" i="6"/>
  <c r="T327" i="6" s="1"/>
  <c r="U327" i="6" s="1"/>
  <c r="I327" i="6" s="1"/>
  <c r="C309" i="11"/>
  <c r="T309" i="11" s="1"/>
  <c r="U309" i="11" s="1"/>
  <c r="I309" i="11" s="1"/>
  <c r="C309" i="6"/>
  <c r="T309" i="6" s="1"/>
  <c r="T309" i="5"/>
  <c r="C420" i="6"/>
  <c r="T420" i="6" s="1"/>
  <c r="U420" i="6" s="1"/>
  <c r="I420" i="6" s="1"/>
  <c r="T420" i="5"/>
  <c r="I420" i="5" s="1"/>
  <c r="C420" i="11"/>
  <c r="T420" i="11" s="1"/>
  <c r="T301" i="5"/>
  <c r="U301" i="5" s="1"/>
  <c r="I301" i="5" s="1"/>
  <c r="C301" i="11"/>
  <c r="T301" i="11" s="1"/>
  <c r="U301" i="11" s="1"/>
  <c r="I301" i="11" s="1"/>
  <c r="C301" i="6"/>
  <c r="T301" i="6" s="1"/>
  <c r="U301" i="6" s="1"/>
  <c r="I301" i="6" s="1"/>
  <c r="C403" i="11"/>
  <c r="T403" i="11" s="1"/>
  <c r="U403" i="11" s="1"/>
  <c r="I403" i="11" s="1"/>
  <c r="T403" i="5"/>
  <c r="I403" i="5" s="1"/>
  <c r="C403" i="6"/>
  <c r="T403" i="6" s="1"/>
  <c r="U403" i="6" s="1"/>
  <c r="I403" i="6" s="1"/>
  <c r="T229" i="5"/>
  <c r="U229" i="5" s="1"/>
  <c r="I229" i="5" s="1"/>
  <c r="C229" i="11"/>
  <c r="T229" i="11" s="1"/>
  <c r="U229" i="11" s="1"/>
  <c r="I229" i="11" s="1"/>
  <c r="C229" i="6"/>
  <c r="T229" i="6" s="1"/>
  <c r="U229" i="6" s="1"/>
  <c r="I229" i="6" s="1"/>
  <c r="C432" i="11"/>
  <c r="T432" i="11" s="1"/>
  <c r="U432" i="11" s="1"/>
  <c r="I432" i="11" s="1"/>
  <c r="T432" i="5"/>
  <c r="I432" i="5" s="1"/>
  <c r="C432" i="6"/>
  <c r="T432" i="6" s="1"/>
  <c r="U432" i="6" s="1"/>
  <c r="I432" i="6" s="1"/>
  <c r="C361" i="11"/>
  <c r="T361" i="11" s="1"/>
  <c r="U361" i="11" s="1"/>
  <c r="I361" i="11" s="1"/>
  <c r="T361" i="5"/>
  <c r="C361" i="6"/>
  <c r="T361" i="6" s="1"/>
  <c r="U361" i="6" s="1"/>
  <c r="I361" i="6" s="1"/>
  <c r="C430" i="6"/>
  <c r="T430" i="6" s="1"/>
  <c r="U430" i="6" s="1"/>
  <c r="I430" i="6" s="1"/>
  <c r="T430" i="5"/>
  <c r="I430" i="5" s="1"/>
  <c r="C430" i="11"/>
  <c r="T430" i="11" s="1"/>
  <c r="U430" i="11" s="1"/>
  <c r="I430" i="11" s="1"/>
  <c r="C199" i="11"/>
  <c r="T199" i="11" s="1"/>
  <c r="U199" i="11" s="1"/>
  <c r="I199" i="11" s="1"/>
  <c r="C199" i="6"/>
  <c r="T199" i="6" s="1"/>
  <c r="U199" i="6" s="1"/>
  <c r="I199" i="6" s="1"/>
  <c r="T199" i="5"/>
  <c r="U199" i="5" s="1"/>
  <c r="I199" i="5" s="1"/>
  <c r="C407" i="6"/>
  <c r="T407" i="6" s="1"/>
  <c r="U407" i="6" s="1"/>
  <c r="I407" i="6" s="1"/>
  <c r="C407" i="11"/>
  <c r="T407" i="11" s="1"/>
  <c r="U407" i="11" s="1"/>
  <c r="I407" i="11" s="1"/>
  <c r="T407" i="5"/>
  <c r="I407" i="5" s="1"/>
  <c r="C195" i="11"/>
  <c r="T195" i="11" s="1"/>
  <c r="U195" i="11" s="1"/>
  <c r="I195" i="11" s="1"/>
  <c r="T195" i="5"/>
  <c r="C195" i="6"/>
  <c r="T195" i="6" s="1"/>
  <c r="U195" i="6" s="1"/>
  <c r="I195" i="6" s="1"/>
  <c r="T154" i="5"/>
  <c r="U154" i="5" s="1"/>
  <c r="I154" i="5" s="1"/>
  <c r="C154" i="6"/>
  <c r="T154" i="6" s="1"/>
  <c r="U154" i="6" s="1"/>
  <c r="I154" i="6" s="1"/>
  <c r="C154" i="11"/>
  <c r="T154" i="11" s="1"/>
  <c r="U154" i="11" s="1"/>
  <c r="I154" i="11" s="1"/>
  <c r="C289" i="11"/>
  <c r="T289" i="11" s="1"/>
  <c r="C289" i="6"/>
  <c r="T289" i="6" s="1"/>
  <c r="U289" i="6" s="1"/>
  <c r="I289" i="6" s="1"/>
  <c r="T289" i="5"/>
  <c r="U289" i="5" s="1"/>
  <c r="I289" i="5" s="1"/>
  <c r="T136" i="5"/>
  <c r="C136" i="6"/>
  <c r="C136" i="11"/>
  <c r="T136" i="11" s="1"/>
  <c r="T367" i="5"/>
  <c r="C367" i="6"/>
  <c r="T367" i="6" s="1"/>
  <c r="U367" i="6" s="1"/>
  <c r="I367" i="6" s="1"/>
  <c r="C367" i="11"/>
  <c r="T367" i="11" s="1"/>
  <c r="C418" i="6"/>
  <c r="T418" i="6" s="1"/>
  <c r="T418" i="5"/>
  <c r="I418" i="5" s="1"/>
  <c r="C418" i="11"/>
  <c r="T418" i="11" s="1"/>
  <c r="U418" i="11" s="1"/>
  <c r="I418" i="11" s="1"/>
  <c r="T439" i="5"/>
  <c r="I439" i="5" s="1"/>
  <c r="C439" i="6"/>
  <c r="T439" i="6" s="1"/>
  <c r="C439" i="11"/>
  <c r="T439" i="11" s="1"/>
  <c r="C423" i="11"/>
  <c r="T423" i="11" s="1"/>
  <c r="U423" i="11" s="1"/>
  <c r="I423" i="11" s="1"/>
  <c r="C423" i="6"/>
  <c r="T423" i="6" s="1"/>
  <c r="T423" i="5"/>
  <c r="I423" i="5" s="1"/>
  <c r="C461" i="6"/>
  <c r="T461" i="5"/>
  <c r="I461" i="5" s="1"/>
  <c r="C461" i="11"/>
  <c r="C411" i="11"/>
  <c r="T411" i="11" s="1"/>
  <c r="U411" i="11" s="1"/>
  <c r="I411" i="11" s="1"/>
  <c r="C411" i="6"/>
  <c r="T411" i="6" s="1"/>
  <c r="U411" i="6" s="1"/>
  <c r="I411" i="6" s="1"/>
  <c r="T411" i="5"/>
  <c r="I411" i="5" s="1"/>
  <c r="C320" i="11"/>
  <c r="T320" i="11" s="1"/>
  <c r="U320" i="11" s="1"/>
  <c r="I320" i="11" s="1"/>
  <c r="T320" i="5"/>
  <c r="U320" i="5" s="1"/>
  <c r="I320" i="5" s="1"/>
  <c r="C320" i="6"/>
  <c r="T320" i="6" s="1"/>
  <c r="C315" i="6"/>
  <c r="T315" i="6" s="1"/>
  <c r="U315" i="6" s="1"/>
  <c r="I315" i="6" s="1"/>
  <c r="C315" i="11"/>
  <c r="T315" i="11" s="1"/>
  <c r="U315" i="11" s="1"/>
  <c r="I315" i="11" s="1"/>
  <c r="T315" i="5"/>
  <c r="U315" i="5" s="1"/>
  <c r="I315" i="5" s="1"/>
  <c r="C69" i="11"/>
  <c r="T69" i="11" s="1"/>
  <c r="U69" i="11" s="1"/>
  <c r="I69" i="11" s="1"/>
  <c r="T69" i="5"/>
  <c r="C69" i="6"/>
  <c r="T69" i="6" s="1"/>
  <c r="U69" i="6" s="1"/>
  <c r="I69" i="6" s="1"/>
  <c r="C126" i="11"/>
  <c r="T126" i="11" s="1"/>
  <c r="U126" i="11" s="1"/>
  <c r="I126" i="11" s="1"/>
  <c r="C126" i="6"/>
  <c r="T126" i="6" s="1"/>
  <c r="U126" i="6" s="1"/>
  <c r="I126" i="6" s="1"/>
  <c r="T126" i="5"/>
  <c r="U126" i="5" s="1"/>
  <c r="I126" i="5" s="1"/>
  <c r="C115" i="11"/>
  <c r="T115" i="11" s="1"/>
  <c r="U115" i="11" s="1"/>
  <c r="I115" i="11" s="1"/>
  <c r="C115" i="6"/>
  <c r="T115" i="5"/>
  <c r="U115" i="5" s="1"/>
  <c r="I115" i="5" s="1"/>
  <c r="T291" i="5"/>
  <c r="U291" i="5" s="1"/>
  <c r="I291" i="5" s="1"/>
  <c r="C291" i="6"/>
  <c r="T291" i="6" s="1"/>
  <c r="U291" i="6" s="1"/>
  <c r="I291" i="6" s="1"/>
  <c r="C291" i="11"/>
  <c r="T291" i="11" s="1"/>
  <c r="U291" i="11" s="1"/>
  <c r="I291" i="11" s="1"/>
  <c r="C185" i="11"/>
  <c r="T185" i="11" s="1"/>
  <c r="U185" i="11" s="1"/>
  <c r="I185" i="11" s="1"/>
  <c r="C185" i="6"/>
  <c r="T185" i="6" s="1"/>
  <c r="U185" i="6" s="1"/>
  <c r="I185" i="6" s="1"/>
  <c r="T185" i="5"/>
  <c r="T180" i="5"/>
  <c r="U180" i="5" s="1"/>
  <c r="I180" i="5" s="1"/>
  <c r="C180" i="6"/>
  <c r="T180" i="6" s="1"/>
  <c r="U180" i="6" s="1"/>
  <c r="I180" i="6" s="1"/>
  <c r="C180" i="11"/>
  <c r="T180" i="11" s="1"/>
  <c r="C474" i="6"/>
  <c r="T474" i="5"/>
  <c r="I474" i="5" s="1"/>
  <c r="C474" i="11"/>
  <c r="C368" i="6"/>
  <c r="T368" i="6" s="1"/>
  <c r="U368" i="6" s="1"/>
  <c r="I368" i="6" s="1"/>
  <c r="C368" i="11"/>
  <c r="T368" i="11" s="1"/>
  <c r="U368" i="11" s="1"/>
  <c r="I368" i="11" s="1"/>
  <c r="T368" i="5"/>
  <c r="U368" i="5" s="1"/>
  <c r="I368" i="5" s="1"/>
  <c r="T417" i="5"/>
  <c r="I417" i="5" s="1"/>
  <c r="C417" i="11"/>
  <c r="T417" i="11" s="1"/>
  <c r="C417" i="6"/>
  <c r="T417" i="6" s="1"/>
  <c r="C444" i="6"/>
  <c r="T444" i="6" s="1"/>
  <c r="T444" i="5"/>
  <c r="I444" i="5" s="1"/>
  <c r="C444" i="11"/>
  <c r="T444" i="11" s="1"/>
  <c r="C35" i="6"/>
  <c r="T35" i="6" s="1"/>
  <c r="U35" i="6" s="1"/>
  <c r="I35" i="6" s="1"/>
  <c r="C35" i="11"/>
  <c r="T35" i="11" s="1"/>
  <c r="U35" i="11" s="1"/>
  <c r="I35" i="11" s="1"/>
  <c r="T35" i="5"/>
  <c r="C387" i="11"/>
  <c r="T387" i="11" s="1"/>
  <c r="U387" i="11" s="1"/>
  <c r="I387" i="11" s="1"/>
  <c r="C387" i="6"/>
  <c r="T387" i="6" s="1"/>
  <c r="U387" i="6" s="1"/>
  <c r="I387" i="6" s="1"/>
  <c r="T387" i="5"/>
  <c r="I387" i="5" s="1"/>
  <c r="C483" i="6"/>
  <c r="T483" i="5"/>
  <c r="I483" i="5" s="1"/>
  <c r="C483" i="11"/>
  <c r="T459" i="5"/>
  <c r="I459" i="5" s="1"/>
  <c r="C459" i="11"/>
  <c r="C459" i="6"/>
  <c r="C225" i="11"/>
  <c r="T225" i="11" s="1"/>
  <c r="C225" i="6"/>
  <c r="T225" i="6" s="1"/>
  <c r="U225" i="6" s="1"/>
  <c r="I225" i="6" s="1"/>
  <c r="T225" i="5"/>
  <c r="U225" i="5" s="1"/>
  <c r="I225" i="5" s="1"/>
  <c r="T73" i="5"/>
  <c r="U73" i="5" s="1"/>
  <c r="I73" i="5" s="1"/>
  <c r="C73" i="6"/>
  <c r="T73" i="6" s="1"/>
  <c r="U73" i="6" s="1"/>
  <c r="I73" i="6" s="1"/>
  <c r="C73" i="11"/>
  <c r="T73" i="11" s="1"/>
  <c r="U73" i="11" s="1"/>
  <c r="I73" i="11" s="1"/>
  <c r="C39" i="11"/>
  <c r="T39" i="11" s="1"/>
  <c r="C39" i="6"/>
  <c r="T39" i="6" s="1"/>
  <c r="U39" i="6" s="1"/>
  <c r="I39" i="6" s="1"/>
  <c r="T39" i="5"/>
  <c r="U39" i="5" s="1"/>
  <c r="I39" i="5" s="1"/>
  <c r="C108" i="6"/>
  <c r="T108" i="6" s="1"/>
  <c r="U108" i="6" s="1"/>
  <c r="I108" i="6" s="1"/>
  <c r="C108" i="11"/>
  <c r="T108" i="11" s="1"/>
  <c r="T108" i="5"/>
  <c r="C495" i="11"/>
  <c r="T495" i="5"/>
  <c r="I495" i="5" s="1"/>
  <c r="C495" i="6"/>
  <c r="C117" i="6"/>
  <c r="T117" i="6" s="1"/>
  <c r="U117" i="6" s="1"/>
  <c r="I117" i="6" s="1"/>
  <c r="T117" i="5"/>
  <c r="U117" i="5" s="1"/>
  <c r="I117" i="5" s="1"/>
  <c r="C117" i="11"/>
  <c r="T117" i="11" s="1"/>
  <c r="U117" i="11" s="1"/>
  <c r="I117" i="11" s="1"/>
  <c r="C123" i="11"/>
  <c r="T123" i="11" s="1"/>
  <c r="U123" i="11" s="1"/>
  <c r="I123" i="11" s="1"/>
  <c r="T123" i="5"/>
  <c r="U123" i="5" s="1"/>
  <c r="I123" i="5" s="1"/>
  <c r="C123" i="6"/>
  <c r="T123" i="6" s="1"/>
  <c r="U123" i="6" s="1"/>
  <c r="I123" i="6" s="1"/>
  <c r="T445" i="5"/>
  <c r="I445" i="5" s="1"/>
  <c r="C445" i="6"/>
  <c r="T445" i="6" s="1"/>
  <c r="U445" i="6" s="1"/>
  <c r="I445" i="6" s="1"/>
  <c r="C445" i="11"/>
  <c r="T445" i="11" s="1"/>
  <c r="U445" i="11" s="1"/>
  <c r="I445" i="11" s="1"/>
  <c r="C363" i="6"/>
  <c r="T363" i="6" s="1"/>
  <c r="U363" i="6" s="1"/>
  <c r="I363" i="6" s="1"/>
  <c r="C363" i="11"/>
  <c r="T363" i="11" s="1"/>
  <c r="U363" i="11" s="1"/>
  <c r="I363" i="11" s="1"/>
  <c r="T363" i="5"/>
  <c r="C471" i="11"/>
  <c r="C471" i="6"/>
  <c r="T471" i="5"/>
  <c r="I471" i="5" s="1"/>
  <c r="C166" i="11"/>
  <c r="T166" i="11" s="1"/>
  <c r="U166" i="11" s="1"/>
  <c r="I166" i="11" s="1"/>
  <c r="T166" i="5"/>
  <c r="U166" i="5" s="1"/>
  <c r="I166" i="5" s="1"/>
  <c r="C166" i="6"/>
  <c r="T166" i="6" s="1"/>
  <c r="U166" i="6" s="1"/>
  <c r="I166" i="6" s="1"/>
  <c r="C100" i="11"/>
  <c r="T100" i="11" s="1"/>
  <c r="U100" i="11" s="1"/>
  <c r="I100" i="11" s="1"/>
  <c r="T100" i="5"/>
  <c r="C100" i="6"/>
  <c r="T421" i="5"/>
  <c r="I421" i="5" s="1"/>
  <c r="C421" i="11"/>
  <c r="T421" i="11" s="1"/>
  <c r="U421" i="11" s="1"/>
  <c r="I421" i="11" s="1"/>
  <c r="C421" i="6"/>
  <c r="T421" i="6" s="1"/>
  <c r="U421" i="6" s="1"/>
  <c r="I421" i="6" s="1"/>
  <c r="C248" i="6"/>
  <c r="T248" i="6" s="1"/>
  <c r="U248" i="6" s="1"/>
  <c r="I248" i="6" s="1"/>
  <c r="C248" i="11"/>
  <c r="T248" i="11" s="1"/>
  <c r="U248" i="11" s="1"/>
  <c r="I248" i="11" s="1"/>
  <c r="T248" i="5"/>
  <c r="T329" i="5"/>
  <c r="U329" i="5" s="1"/>
  <c r="I329" i="5" s="1"/>
  <c r="C329" i="11"/>
  <c r="T329" i="11" s="1"/>
  <c r="U329" i="11" s="1"/>
  <c r="I329" i="11" s="1"/>
  <c r="C329" i="6"/>
  <c r="T329" i="6" s="1"/>
  <c r="U329" i="6" s="1"/>
  <c r="I329" i="6" s="1"/>
  <c r="C246" i="6"/>
  <c r="T246" i="6" s="1"/>
  <c r="U246" i="6" s="1"/>
  <c r="I246" i="6" s="1"/>
  <c r="C246" i="11"/>
  <c r="T246" i="11" s="1"/>
  <c r="U246" i="11" s="1"/>
  <c r="I246" i="11" s="1"/>
  <c r="T246" i="5"/>
  <c r="U246" i="5" s="1"/>
  <c r="I246" i="5" s="1"/>
  <c r="T95" i="5"/>
  <c r="C95" i="6"/>
  <c r="T95" i="6" s="1"/>
  <c r="U95" i="6" s="1"/>
  <c r="I95" i="6" s="1"/>
  <c r="C95" i="11"/>
  <c r="T95" i="11" s="1"/>
  <c r="U95" i="11" s="1"/>
  <c r="I95" i="11" s="1"/>
  <c r="C250" i="11"/>
  <c r="T250" i="11" s="1"/>
  <c r="T250" i="5"/>
  <c r="C250" i="6"/>
  <c r="T250" i="6" s="1"/>
  <c r="U250" i="6" s="1"/>
  <c r="I250" i="6" s="1"/>
  <c r="T174" i="5"/>
  <c r="U174" i="5" s="1"/>
  <c r="I174" i="5" s="1"/>
  <c r="C174" i="11"/>
  <c r="T174" i="11" s="1"/>
  <c r="U174" i="11" s="1"/>
  <c r="I174" i="11" s="1"/>
  <c r="C174" i="6"/>
  <c r="T174" i="6" s="1"/>
  <c r="U174" i="6" s="1"/>
  <c r="I174" i="6" s="1"/>
  <c r="C299" i="6"/>
  <c r="T299" i="6" s="1"/>
  <c r="U299" i="6" s="1"/>
  <c r="I299" i="6" s="1"/>
  <c r="C299" i="11"/>
  <c r="T299" i="11" s="1"/>
  <c r="U299" i="11" s="1"/>
  <c r="I299" i="11" s="1"/>
  <c r="T299" i="5"/>
  <c r="U299" i="5" s="1"/>
  <c r="I299" i="5" s="1"/>
  <c r="C454" i="6"/>
  <c r="C454" i="11"/>
  <c r="T454" i="5"/>
  <c r="I454" i="5" s="1"/>
  <c r="C36" i="6"/>
  <c r="C36" i="11"/>
  <c r="T36" i="11" s="1"/>
  <c r="U36" i="11" s="1"/>
  <c r="I36" i="11" s="1"/>
  <c r="T36" i="5"/>
  <c r="U36" i="5" s="1"/>
  <c r="I36" i="5" s="1"/>
  <c r="C63" i="6"/>
  <c r="T63" i="6" s="1"/>
  <c r="U63" i="6" s="1"/>
  <c r="I63" i="6" s="1"/>
  <c r="T63" i="5"/>
  <c r="U63" i="5" s="1"/>
  <c r="I63" i="5" s="1"/>
  <c r="C63" i="11"/>
  <c r="T63" i="11" s="1"/>
  <c r="U63" i="11" s="1"/>
  <c r="I63" i="11" s="1"/>
  <c r="T480" i="5"/>
  <c r="I480" i="5" s="1"/>
  <c r="C480" i="11"/>
  <c r="C480" i="6"/>
  <c r="C493" i="11"/>
  <c r="C493" i="6"/>
  <c r="T493" i="5"/>
  <c r="I493" i="5" s="1"/>
  <c r="T278" i="5"/>
  <c r="U278" i="5" s="1"/>
  <c r="I278" i="5" s="1"/>
  <c r="C278" i="11"/>
  <c r="T278" i="11" s="1"/>
  <c r="U278" i="11" s="1"/>
  <c r="I278" i="11" s="1"/>
  <c r="C278" i="6"/>
  <c r="C389" i="11"/>
  <c r="T389" i="11" s="1"/>
  <c r="U389" i="11" s="1"/>
  <c r="I389" i="11" s="1"/>
  <c r="C389" i="6"/>
  <c r="T389" i="6" s="1"/>
  <c r="U389" i="6" s="1"/>
  <c r="I389" i="6" s="1"/>
  <c r="T389" i="5"/>
  <c r="I389" i="5" s="1"/>
  <c r="C110" i="11"/>
  <c r="T110" i="11" s="1"/>
  <c r="T110" i="5"/>
  <c r="U110" i="5" s="1"/>
  <c r="I110" i="5" s="1"/>
  <c r="C110" i="6"/>
  <c r="T110" i="6" s="1"/>
  <c r="U110" i="6" s="1"/>
  <c r="I110" i="6" s="1"/>
  <c r="C351" i="6"/>
  <c r="T351" i="6" s="1"/>
  <c r="U351" i="6" s="1"/>
  <c r="I351" i="6" s="1"/>
  <c r="T351" i="5"/>
  <c r="U351" i="5" s="1"/>
  <c r="I351" i="5" s="1"/>
  <c r="C351" i="11"/>
  <c r="T351" i="11" s="1"/>
  <c r="T233" i="5"/>
  <c r="C233" i="6"/>
  <c r="T233" i="6" s="1"/>
  <c r="U233" i="6" s="1"/>
  <c r="I233" i="6" s="1"/>
  <c r="C233" i="11"/>
  <c r="T233" i="11" s="1"/>
  <c r="U233" i="11" s="1"/>
  <c r="I233" i="11" s="1"/>
  <c r="T346" i="5"/>
  <c r="C346" i="6"/>
  <c r="T346" i="6" s="1"/>
  <c r="U346" i="6" s="1"/>
  <c r="I346" i="6" s="1"/>
  <c r="C346" i="11"/>
  <c r="T346" i="11" s="1"/>
  <c r="U346" i="11" s="1"/>
  <c r="I346" i="11" s="1"/>
  <c r="T55" i="5"/>
  <c r="U55" i="5" s="1"/>
  <c r="I55" i="5" s="1"/>
  <c r="C55" i="11"/>
  <c r="T55" i="11" s="1"/>
  <c r="U55" i="11" s="1"/>
  <c r="I55" i="11" s="1"/>
  <c r="C55" i="6"/>
  <c r="T55" i="6" s="1"/>
  <c r="U55" i="6" s="1"/>
  <c r="I55" i="6" s="1"/>
  <c r="T219" i="5"/>
  <c r="U219" i="5" s="1"/>
  <c r="I219" i="5" s="1"/>
  <c r="C219" i="11"/>
  <c r="T219" i="11" s="1"/>
  <c r="U219" i="11" s="1"/>
  <c r="I219" i="11" s="1"/>
  <c r="C219" i="6"/>
  <c r="T219" i="6" s="1"/>
  <c r="U219" i="6" s="1"/>
  <c r="I219" i="6" s="1"/>
  <c r="T491" i="5"/>
  <c r="I491" i="5" s="1"/>
  <c r="C491" i="6"/>
  <c r="C491" i="11"/>
  <c r="C48" i="11"/>
  <c r="T48" i="11" s="1"/>
  <c r="T48" i="5"/>
  <c r="U48" i="5" s="1"/>
  <c r="I48" i="5" s="1"/>
  <c r="C48" i="6"/>
  <c r="T48" i="6" s="1"/>
  <c r="U48" i="6" s="1"/>
  <c r="I48" i="6" s="1"/>
  <c r="C93" i="6"/>
  <c r="T93" i="6" s="1"/>
  <c r="T93" i="5"/>
  <c r="C93" i="11"/>
  <c r="T93" i="11" s="1"/>
  <c r="U93" i="11" s="1"/>
  <c r="I93" i="11" s="1"/>
  <c r="T124" i="5"/>
  <c r="U124" i="5" s="1"/>
  <c r="I124" i="5" s="1"/>
  <c r="C124" i="6"/>
  <c r="T124" i="6" s="1"/>
  <c r="U124" i="6" s="1"/>
  <c r="I124" i="6" s="1"/>
  <c r="C124" i="11"/>
  <c r="T124" i="11" s="1"/>
  <c r="U124" i="11" s="1"/>
  <c r="I124" i="11" s="1"/>
  <c r="T297" i="5"/>
  <c r="C297" i="6"/>
  <c r="T297" i="6" s="1"/>
  <c r="C297" i="11"/>
  <c r="T297" i="11" s="1"/>
  <c r="U297" i="11" s="1"/>
  <c r="I297" i="11" s="1"/>
  <c r="T56" i="5"/>
  <c r="U56" i="5" s="1"/>
  <c r="I56" i="5" s="1"/>
  <c r="C56" i="6"/>
  <c r="T56" i="6" s="1"/>
  <c r="U56" i="6" s="1"/>
  <c r="I56" i="6" s="1"/>
  <c r="C56" i="11"/>
  <c r="T56" i="11" s="1"/>
  <c r="C496" i="11"/>
  <c r="T496" i="5"/>
  <c r="I496" i="5" s="1"/>
  <c r="C496" i="6"/>
  <c r="C281" i="6"/>
  <c r="T281" i="6" s="1"/>
  <c r="U281" i="6" s="1"/>
  <c r="I281" i="6" s="1"/>
  <c r="C281" i="11"/>
  <c r="T281" i="11" s="1"/>
  <c r="T281" i="5"/>
  <c r="U281" i="5" s="1"/>
  <c r="I281" i="5" s="1"/>
  <c r="C186" i="11"/>
  <c r="T186" i="11" s="1"/>
  <c r="U186" i="11" s="1"/>
  <c r="I186" i="11" s="1"/>
  <c r="T186" i="5"/>
  <c r="C186" i="6"/>
  <c r="T186" i="6" s="1"/>
  <c r="U186" i="6" s="1"/>
  <c r="I186" i="6" s="1"/>
  <c r="C271" i="11"/>
  <c r="T271" i="11" s="1"/>
  <c r="C271" i="6"/>
  <c r="T271" i="5"/>
  <c r="U271" i="5" s="1"/>
  <c r="I271" i="5" s="1"/>
  <c r="C413" i="11"/>
  <c r="T413" i="11" s="1"/>
  <c r="U413" i="11" s="1"/>
  <c r="I413" i="11" s="1"/>
  <c r="T413" i="5"/>
  <c r="I413" i="5" s="1"/>
  <c r="C413" i="6"/>
  <c r="T413" i="6" s="1"/>
  <c r="U413" i="6" s="1"/>
  <c r="I413" i="6" s="1"/>
  <c r="C77" i="11"/>
  <c r="T77" i="11" s="1"/>
  <c r="T77" i="5"/>
  <c r="U77" i="5" s="1"/>
  <c r="I77" i="5" s="1"/>
  <c r="C77" i="6"/>
  <c r="T77" i="6" s="1"/>
  <c r="C226" i="11"/>
  <c r="T226" i="11" s="1"/>
  <c r="U226" i="11" s="1"/>
  <c r="I226" i="11" s="1"/>
  <c r="C226" i="6"/>
  <c r="T226" i="6" s="1"/>
  <c r="U226" i="6" s="1"/>
  <c r="I226" i="6" s="1"/>
  <c r="T226" i="5"/>
  <c r="U226" i="5" s="1"/>
  <c r="I226" i="5" s="1"/>
  <c r="C472" i="11"/>
  <c r="C472" i="6"/>
  <c r="T472" i="5"/>
  <c r="I472" i="5" s="1"/>
  <c r="T242" i="5"/>
  <c r="U242" i="5" s="1"/>
  <c r="I242" i="5" s="1"/>
  <c r="C242" i="11"/>
  <c r="T242" i="11" s="1"/>
  <c r="C242" i="6"/>
  <c r="T242" i="6" s="1"/>
  <c r="C280" i="11"/>
  <c r="T280" i="11" s="1"/>
  <c r="T280" i="5"/>
  <c r="U280" i="5" s="1"/>
  <c r="I280" i="5" s="1"/>
  <c r="C280" i="6"/>
  <c r="T280" i="6" s="1"/>
  <c r="C30" i="11"/>
  <c r="T30" i="11" s="1"/>
  <c r="U30" i="11" s="1"/>
  <c r="I30" i="11" s="1"/>
  <c r="T30" i="5"/>
  <c r="U30" i="5" s="1"/>
  <c r="I30" i="5" s="1"/>
  <c r="C30" i="6"/>
  <c r="T30" i="6" s="1"/>
  <c r="U30" i="6" s="1"/>
  <c r="I30" i="6" s="1"/>
  <c r="C142" i="11"/>
  <c r="T142" i="11" s="1"/>
  <c r="U142" i="11" s="1"/>
  <c r="I142" i="11" s="1"/>
  <c r="C142" i="6"/>
  <c r="T142" i="6" s="1"/>
  <c r="U142" i="6" s="1"/>
  <c r="I142" i="6" s="1"/>
  <c r="T142" i="5"/>
  <c r="U142" i="5" s="1"/>
  <c r="I142" i="5" s="1"/>
  <c r="T60" i="5"/>
  <c r="U60" i="5" s="1"/>
  <c r="I60" i="5" s="1"/>
  <c r="C60" i="11"/>
  <c r="T60" i="11" s="1"/>
  <c r="C60" i="6"/>
  <c r="T60" i="6" s="1"/>
  <c r="U60" i="6" s="1"/>
  <c r="I60" i="6" s="1"/>
  <c r="C377" i="11"/>
  <c r="T377" i="11" s="1"/>
  <c r="U377" i="11" s="1"/>
  <c r="I377" i="11" s="1"/>
  <c r="C377" i="6"/>
  <c r="T377" i="6" s="1"/>
  <c r="U377" i="6" s="1"/>
  <c r="I377" i="6" s="1"/>
  <c r="T377" i="5"/>
  <c r="U377" i="5" s="1"/>
  <c r="I377" i="5" s="1"/>
  <c r="C498" i="11"/>
  <c r="C498" i="6"/>
  <c r="T498" i="5"/>
  <c r="I498" i="5" s="1"/>
  <c r="C358" i="6"/>
  <c r="T358" i="6" s="1"/>
  <c r="U358" i="6" s="1"/>
  <c r="I358" i="6" s="1"/>
  <c r="C358" i="11"/>
  <c r="T358" i="11" s="1"/>
  <c r="U358" i="11" s="1"/>
  <c r="I358" i="11" s="1"/>
  <c r="T358" i="5"/>
  <c r="U358" i="5" s="1"/>
  <c r="I358" i="5" s="1"/>
  <c r="T70" i="5"/>
  <c r="C70" i="11"/>
  <c r="T70" i="11" s="1"/>
  <c r="U70" i="11" s="1"/>
  <c r="I70" i="11" s="1"/>
  <c r="C70" i="6"/>
  <c r="T70" i="6" s="1"/>
  <c r="C447" i="11"/>
  <c r="C447" i="6"/>
  <c r="T447" i="5"/>
  <c r="I447" i="5" s="1"/>
  <c r="C190" i="11"/>
  <c r="T190" i="11" s="1"/>
  <c r="C190" i="6"/>
  <c r="T190" i="6" s="1"/>
  <c r="U190" i="6" s="1"/>
  <c r="I190" i="6" s="1"/>
  <c r="T190" i="5"/>
  <c r="C362" i="11"/>
  <c r="T362" i="11" s="1"/>
  <c r="U362" i="11" s="1"/>
  <c r="I362" i="11" s="1"/>
  <c r="C362" i="6"/>
  <c r="T362" i="6" s="1"/>
  <c r="U362" i="6" s="1"/>
  <c r="I362" i="6" s="1"/>
  <c r="T362" i="5"/>
  <c r="U362" i="5" s="1"/>
  <c r="I362" i="5" s="1"/>
  <c r="C326" i="6"/>
  <c r="T326" i="6" s="1"/>
  <c r="C326" i="11"/>
  <c r="T326" i="11" s="1"/>
  <c r="U326" i="11" s="1"/>
  <c r="I326" i="11" s="1"/>
  <c r="T326" i="5"/>
  <c r="T463" i="5"/>
  <c r="I463" i="5" s="1"/>
  <c r="C463" i="11"/>
  <c r="C463" i="6"/>
  <c r="C128" i="6"/>
  <c r="T128" i="5"/>
  <c r="C128" i="11"/>
  <c r="T128" i="11" s="1"/>
  <c r="T426" i="5"/>
  <c r="I426" i="5" s="1"/>
  <c r="C426" i="11"/>
  <c r="T426" i="11" s="1"/>
  <c r="U426" i="11" s="1"/>
  <c r="I426" i="11" s="1"/>
  <c r="C426" i="6"/>
  <c r="T426" i="6" s="1"/>
  <c r="U426" i="6" s="1"/>
  <c r="I426" i="6" s="1"/>
  <c r="T427" i="5"/>
  <c r="I427" i="5" s="1"/>
  <c r="C427" i="6"/>
  <c r="T427" i="6" s="1"/>
  <c r="C427" i="11"/>
  <c r="T427" i="11" s="1"/>
  <c r="C188" i="11"/>
  <c r="T188" i="11" s="1"/>
  <c r="C188" i="6"/>
  <c r="T188" i="6" s="1"/>
  <c r="U188" i="6" s="1"/>
  <c r="I188" i="6" s="1"/>
  <c r="T188" i="5"/>
  <c r="C339" i="11"/>
  <c r="T339" i="11" s="1"/>
  <c r="U339" i="11" s="1"/>
  <c r="I339" i="11" s="1"/>
  <c r="T339" i="5"/>
  <c r="U339" i="5" s="1"/>
  <c r="I339" i="5" s="1"/>
  <c r="C339" i="6"/>
  <c r="T339" i="6" s="1"/>
  <c r="U339" i="6" s="1"/>
  <c r="I339" i="6" s="1"/>
  <c r="C135" i="11"/>
  <c r="T135" i="11" s="1"/>
  <c r="U135" i="11" s="1"/>
  <c r="I135" i="11" s="1"/>
  <c r="C135" i="6"/>
  <c r="T135" i="5"/>
  <c r="U135" i="5" s="1"/>
  <c r="I135" i="5" s="1"/>
  <c r="T379" i="5"/>
  <c r="U379" i="5" s="1"/>
  <c r="I379" i="5" s="1"/>
  <c r="C379" i="11"/>
  <c r="T379" i="11" s="1"/>
  <c r="U379" i="11" s="1"/>
  <c r="I379" i="11" s="1"/>
  <c r="C379" i="6"/>
  <c r="T379" i="6" s="1"/>
  <c r="U379" i="6" s="1"/>
  <c r="I379" i="6" s="1"/>
  <c r="C317" i="11"/>
  <c r="T317" i="11" s="1"/>
  <c r="U317" i="11" s="1"/>
  <c r="I317" i="11" s="1"/>
  <c r="T317" i="5"/>
  <c r="U317" i="5" s="1"/>
  <c r="I317" i="5" s="1"/>
  <c r="C317" i="6"/>
  <c r="T317" i="6" s="1"/>
  <c r="U317" i="6" s="1"/>
  <c r="I317" i="6" s="1"/>
  <c r="C450" i="11"/>
  <c r="T450" i="5"/>
  <c r="I450" i="5" s="1"/>
  <c r="C450" i="6"/>
  <c r="T440" i="5"/>
  <c r="I440" i="5" s="1"/>
  <c r="C440" i="11"/>
  <c r="T440" i="11" s="1"/>
  <c r="U440" i="11" s="1"/>
  <c r="I440" i="11" s="1"/>
  <c r="C440" i="6"/>
  <c r="C485" i="6"/>
  <c r="T485" i="5"/>
  <c r="I485" i="5" s="1"/>
  <c r="C485" i="11"/>
  <c r="C296" i="6"/>
  <c r="T296" i="6" s="1"/>
  <c r="U296" i="6" s="1"/>
  <c r="I296" i="6" s="1"/>
  <c r="T296" i="5"/>
  <c r="C296" i="11"/>
  <c r="T296" i="11" s="1"/>
  <c r="U296" i="11" s="1"/>
  <c r="I296" i="11" s="1"/>
  <c r="C209" i="11"/>
  <c r="T209" i="11" s="1"/>
  <c r="U209" i="11" s="1"/>
  <c r="I209" i="11" s="1"/>
  <c r="C209" i="6"/>
  <c r="T209" i="6" s="1"/>
  <c r="T209" i="5"/>
  <c r="U209" i="5" s="1"/>
  <c r="I209" i="5" s="1"/>
  <c r="T381" i="5"/>
  <c r="C381" i="6"/>
  <c r="T381" i="6" s="1"/>
  <c r="U381" i="6" s="1"/>
  <c r="I381" i="6" s="1"/>
  <c r="C381" i="11"/>
  <c r="T381" i="11" s="1"/>
  <c r="U381" i="11" s="1"/>
  <c r="I381" i="11" s="1"/>
  <c r="T102" i="5"/>
  <c r="U102" i="5" s="1"/>
  <c r="I102" i="5" s="1"/>
  <c r="C102" i="6"/>
  <c r="T102" i="6" s="1"/>
  <c r="U102" i="6" s="1"/>
  <c r="I102" i="6" s="1"/>
  <c r="C102" i="11"/>
  <c r="T102" i="11" s="1"/>
  <c r="U102" i="11" s="1"/>
  <c r="I102" i="11" s="1"/>
  <c r="T76" i="5"/>
  <c r="U76" i="5" s="1"/>
  <c r="I76" i="5" s="1"/>
  <c r="C76" i="6"/>
  <c r="T76" i="6" s="1"/>
  <c r="C76" i="11"/>
  <c r="T76" i="11" s="1"/>
  <c r="U76" i="11" s="1"/>
  <c r="I76" i="11" s="1"/>
  <c r="C244" i="6"/>
  <c r="T244" i="6" s="1"/>
  <c r="U244" i="6" s="1"/>
  <c r="I244" i="6" s="1"/>
  <c r="T244" i="5"/>
  <c r="U244" i="5" s="1"/>
  <c r="I244" i="5" s="1"/>
  <c r="C244" i="11"/>
  <c r="T244" i="11" s="1"/>
  <c r="C479" i="11"/>
  <c r="C479" i="6"/>
  <c r="T479" i="5"/>
  <c r="I479" i="5" s="1"/>
  <c r="C103" i="6"/>
  <c r="T103" i="6" s="1"/>
  <c r="U103" i="6" s="1"/>
  <c r="I103" i="6" s="1"/>
  <c r="T103" i="5"/>
  <c r="U103" i="5" s="1"/>
  <c r="I103" i="5" s="1"/>
  <c r="C103" i="11"/>
  <c r="T103" i="11" s="1"/>
  <c r="U103" i="11" s="1"/>
  <c r="I103" i="11" s="1"/>
  <c r="C375" i="11"/>
  <c r="T375" i="11" s="1"/>
  <c r="U375" i="11" s="1"/>
  <c r="I375" i="11" s="1"/>
  <c r="C375" i="6"/>
  <c r="T375" i="6" s="1"/>
  <c r="T375" i="5"/>
  <c r="U375" i="5" s="1"/>
  <c r="I375" i="5" s="1"/>
  <c r="T28" i="5"/>
  <c r="U28" i="5" s="1"/>
  <c r="I28" i="5" s="1"/>
  <c r="C28" i="6"/>
  <c r="T28" i="6" s="1"/>
  <c r="C28" i="11"/>
  <c r="T28" i="11" s="1"/>
  <c r="U28" i="11" s="1"/>
  <c r="I28" i="11" s="1"/>
  <c r="C203" i="6"/>
  <c r="T203" i="6" s="1"/>
  <c r="T203" i="5"/>
  <c r="U203" i="5" s="1"/>
  <c r="I203" i="5" s="1"/>
  <c r="C203" i="11"/>
  <c r="T203" i="11" s="1"/>
  <c r="U203" i="11" s="1"/>
  <c r="I203" i="11" s="1"/>
  <c r="C396" i="6"/>
  <c r="T396" i="6" s="1"/>
  <c r="U396" i="6" s="1"/>
  <c r="I396" i="6" s="1"/>
  <c r="C396" i="11"/>
  <c r="T396" i="11" s="1"/>
  <c r="U396" i="11" s="1"/>
  <c r="I396" i="11" s="1"/>
  <c r="T396" i="5"/>
  <c r="I396" i="5" s="1"/>
  <c r="C140" i="6"/>
  <c r="T140" i="6" s="1"/>
  <c r="U140" i="6" s="1"/>
  <c r="I140" i="6" s="1"/>
  <c r="C140" i="11"/>
  <c r="T140" i="11" s="1"/>
  <c r="U140" i="11" s="1"/>
  <c r="I140" i="11" s="1"/>
  <c r="T140" i="5"/>
  <c r="U140" i="5" s="1"/>
  <c r="I140" i="5" s="1"/>
  <c r="C336" i="6"/>
  <c r="T336" i="6" s="1"/>
  <c r="U336" i="6" s="1"/>
  <c r="I336" i="6" s="1"/>
  <c r="T336" i="5"/>
  <c r="U336" i="5" s="1"/>
  <c r="I336" i="5" s="1"/>
  <c r="C336" i="11"/>
  <c r="T336" i="11" s="1"/>
  <c r="U336" i="11" s="1"/>
  <c r="I336" i="11" s="1"/>
  <c r="T89" i="5"/>
  <c r="U89" i="5" s="1"/>
  <c r="I89" i="5" s="1"/>
  <c r="C89" i="6"/>
  <c r="T89" i="6" s="1"/>
  <c r="U89" i="6" s="1"/>
  <c r="I89" i="6" s="1"/>
  <c r="C89" i="11"/>
  <c r="T89" i="11" s="1"/>
  <c r="U89" i="11" s="1"/>
  <c r="I89" i="11" s="1"/>
  <c r="T477" i="5"/>
  <c r="I477" i="5" s="1"/>
  <c r="C477" i="11"/>
  <c r="C477" i="6"/>
  <c r="C196" i="11"/>
  <c r="T196" i="11" s="1"/>
  <c r="U196" i="11" s="1"/>
  <c r="I196" i="11" s="1"/>
  <c r="C196" i="6"/>
  <c r="T196" i="6" s="1"/>
  <c r="U196" i="6" s="1"/>
  <c r="I196" i="6" s="1"/>
  <c r="T196" i="5"/>
  <c r="U196" i="5" s="1"/>
  <c r="I196" i="5" s="1"/>
  <c r="T187" i="5"/>
  <c r="U187" i="5" s="1"/>
  <c r="I187" i="5" s="1"/>
  <c r="C187" i="6"/>
  <c r="T187" i="6" s="1"/>
  <c r="U187" i="6" s="1"/>
  <c r="I187" i="6" s="1"/>
  <c r="C187" i="11"/>
  <c r="T187" i="11" s="1"/>
  <c r="U187" i="11" s="1"/>
  <c r="I187" i="11" s="1"/>
  <c r="C343" i="6"/>
  <c r="T343" i="6" s="1"/>
  <c r="U343" i="6" s="1"/>
  <c r="I343" i="6" s="1"/>
  <c r="C343" i="11"/>
  <c r="T343" i="11" s="1"/>
  <c r="U343" i="11" s="1"/>
  <c r="I343" i="11" s="1"/>
  <c r="T343" i="5"/>
  <c r="U343" i="5" s="1"/>
  <c r="I343" i="5" s="1"/>
  <c r="T29" i="5"/>
  <c r="U29" i="5" s="1"/>
  <c r="I29" i="5" s="1"/>
  <c r="C29" i="11"/>
  <c r="T29" i="11" s="1"/>
  <c r="U29" i="11" s="1"/>
  <c r="I29" i="11" s="1"/>
  <c r="C29" i="6"/>
  <c r="C400" i="6"/>
  <c r="T400" i="6" s="1"/>
  <c r="U400" i="6" s="1"/>
  <c r="I400" i="6" s="1"/>
  <c r="T400" i="5"/>
  <c r="I400" i="5" s="1"/>
  <c r="C400" i="11"/>
  <c r="T400" i="11" s="1"/>
  <c r="U400" i="11" s="1"/>
  <c r="I400" i="11" s="1"/>
  <c r="C424" i="11"/>
  <c r="T424" i="11" s="1"/>
  <c r="T424" i="5"/>
  <c r="I424" i="5" s="1"/>
  <c r="C424" i="6"/>
  <c r="T424" i="6" s="1"/>
  <c r="U424" i="6" s="1"/>
  <c r="I424" i="6" s="1"/>
  <c r="C227" i="11"/>
  <c r="T227" i="11" s="1"/>
  <c r="U227" i="11" s="1"/>
  <c r="I227" i="11" s="1"/>
  <c r="C227" i="6"/>
  <c r="T227" i="5"/>
  <c r="U227" i="5" s="1"/>
  <c r="I227" i="5" s="1"/>
  <c r="T65" i="5"/>
  <c r="C65" i="11"/>
  <c r="T65" i="11" s="1"/>
  <c r="C65" i="6"/>
  <c r="C349" i="6"/>
  <c r="T349" i="6" s="1"/>
  <c r="C349" i="11"/>
  <c r="T349" i="11" s="1"/>
  <c r="U349" i="11" s="1"/>
  <c r="I349" i="11" s="1"/>
  <c r="T349" i="5"/>
  <c r="U349" i="5" s="1"/>
  <c r="I349" i="5" s="1"/>
  <c r="C446" i="6"/>
  <c r="T446" i="5"/>
  <c r="I446" i="5" s="1"/>
  <c r="C446" i="11"/>
  <c r="C457" i="11"/>
  <c r="T457" i="5"/>
  <c r="I457" i="5" s="1"/>
  <c r="C457" i="6"/>
  <c r="C365" i="11"/>
  <c r="T365" i="11" s="1"/>
  <c r="U365" i="11" s="1"/>
  <c r="I365" i="11" s="1"/>
  <c r="T365" i="5"/>
  <c r="U365" i="5" s="1"/>
  <c r="I365" i="5" s="1"/>
  <c r="C365" i="6"/>
  <c r="T365" i="6" s="1"/>
  <c r="U365" i="6" s="1"/>
  <c r="I365" i="6" s="1"/>
  <c r="C234" i="6"/>
  <c r="T234" i="6" s="1"/>
  <c r="U234" i="6" s="1"/>
  <c r="I234" i="6" s="1"/>
  <c r="T234" i="5"/>
  <c r="U234" i="5" s="1"/>
  <c r="I234" i="5" s="1"/>
  <c r="C234" i="11"/>
  <c r="T234" i="11" s="1"/>
  <c r="U234" i="11" s="1"/>
  <c r="I234" i="11" s="1"/>
  <c r="T25" i="5"/>
  <c r="U25" i="5" s="1"/>
  <c r="I25" i="5" s="1"/>
  <c r="C25" i="6"/>
  <c r="T25" i="6" s="1"/>
  <c r="C25" i="11"/>
  <c r="T25" i="11" s="1"/>
  <c r="C78" i="11"/>
  <c r="T78" i="11" s="1"/>
  <c r="U78" i="11" s="1"/>
  <c r="I78" i="11" s="1"/>
  <c r="C78" i="6"/>
  <c r="T78" i="6" s="1"/>
  <c r="T78" i="5"/>
  <c r="U78" i="5" s="1"/>
  <c r="I78" i="5" s="1"/>
  <c r="C324" i="11"/>
  <c r="T324" i="11" s="1"/>
  <c r="U324" i="11" s="1"/>
  <c r="I324" i="11" s="1"/>
  <c r="T324" i="5"/>
  <c r="U324" i="5" s="1"/>
  <c r="I324" i="5" s="1"/>
  <c r="C324" i="6"/>
  <c r="T324" i="6" s="1"/>
  <c r="U324" i="6" s="1"/>
  <c r="I324" i="6" s="1"/>
  <c r="C200" i="11"/>
  <c r="T200" i="11" s="1"/>
  <c r="U200" i="11" s="1"/>
  <c r="I200" i="11" s="1"/>
  <c r="T200" i="5"/>
  <c r="U200" i="5" s="1"/>
  <c r="I200" i="5" s="1"/>
  <c r="C200" i="6"/>
  <c r="T200" i="6" s="1"/>
  <c r="U200" i="6" s="1"/>
  <c r="I200" i="6" s="1"/>
  <c r="T314" i="5"/>
  <c r="U314" i="5" s="1"/>
  <c r="I314" i="5" s="1"/>
  <c r="C314" i="6"/>
  <c r="T314" i="6" s="1"/>
  <c r="U314" i="6" s="1"/>
  <c r="I314" i="6" s="1"/>
  <c r="C314" i="11"/>
  <c r="T314" i="11" s="1"/>
  <c r="U314" i="11" s="1"/>
  <c r="I314" i="11" s="1"/>
  <c r="C412" i="6"/>
  <c r="T412" i="6" s="1"/>
  <c r="C412" i="11"/>
  <c r="T412" i="11" s="1"/>
  <c r="U412" i="11" s="1"/>
  <c r="I412" i="11" s="1"/>
  <c r="T412" i="5"/>
  <c r="I412" i="5" s="1"/>
  <c r="T292" i="5"/>
  <c r="C292" i="11"/>
  <c r="T292" i="11" s="1"/>
  <c r="U292" i="11" s="1"/>
  <c r="I292" i="11" s="1"/>
  <c r="C292" i="6"/>
  <c r="T292" i="6" s="1"/>
  <c r="U292" i="6" s="1"/>
  <c r="I292" i="6" s="1"/>
  <c r="T342" i="5"/>
  <c r="C342" i="11"/>
  <c r="T342" i="11" s="1"/>
  <c r="U342" i="11" s="1"/>
  <c r="I342" i="11" s="1"/>
  <c r="C342" i="6"/>
  <c r="T342" i="6" s="1"/>
  <c r="U342" i="6" s="1"/>
  <c r="I342" i="6" s="1"/>
  <c r="T300" i="5"/>
  <c r="U300" i="5" s="1"/>
  <c r="I300" i="5" s="1"/>
  <c r="C300" i="11"/>
  <c r="T300" i="11" s="1"/>
  <c r="U300" i="11" s="1"/>
  <c r="I300" i="11" s="1"/>
  <c r="C300" i="6"/>
  <c r="T364" i="5"/>
  <c r="C364" i="11"/>
  <c r="T364" i="11" s="1"/>
  <c r="U364" i="11" s="1"/>
  <c r="I364" i="11" s="1"/>
  <c r="C364" i="6"/>
  <c r="T364" i="6" s="1"/>
  <c r="U364" i="6" s="1"/>
  <c r="I364" i="6" s="1"/>
  <c r="C398" i="6"/>
  <c r="C398" i="11"/>
  <c r="T398" i="11" s="1"/>
  <c r="U398" i="11" s="1"/>
  <c r="I398" i="11" s="1"/>
  <c r="T398" i="5"/>
  <c r="I398" i="5" s="1"/>
  <c r="C236" i="6"/>
  <c r="T236" i="6" s="1"/>
  <c r="U236" i="6" s="1"/>
  <c r="I236" i="6" s="1"/>
  <c r="T236" i="5"/>
  <c r="C236" i="11"/>
  <c r="T236" i="11" s="1"/>
  <c r="U236" i="11" s="1"/>
  <c r="I236" i="11" s="1"/>
  <c r="T265" i="5"/>
  <c r="C265" i="11"/>
  <c r="T265" i="11" s="1"/>
  <c r="U265" i="11" s="1"/>
  <c r="I265" i="11" s="1"/>
  <c r="C265" i="6"/>
  <c r="T265" i="6" s="1"/>
  <c r="U265" i="6" s="1"/>
  <c r="I265" i="6" s="1"/>
  <c r="T26" i="5"/>
  <c r="C26" i="11"/>
  <c r="T26" i="11" s="1"/>
  <c r="U26" i="11" s="1"/>
  <c r="I26" i="11" s="1"/>
  <c r="C26" i="6"/>
  <c r="T26" i="6" s="1"/>
  <c r="U26" i="6" s="1"/>
  <c r="I26" i="6" s="1"/>
  <c r="T397" i="5"/>
  <c r="I397" i="5" s="1"/>
  <c r="C397" i="6"/>
  <c r="T397" i="6" s="1"/>
  <c r="U397" i="6" s="1"/>
  <c r="I397" i="6" s="1"/>
  <c r="C397" i="11"/>
  <c r="T397" i="11" s="1"/>
  <c r="U397" i="11" s="1"/>
  <c r="I397" i="11" s="1"/>
  <c r="T147" i="5"/>
  <c r="U147" i="5" s="1"/>
  <c r="I147" i="5" s="1"/>
  <c r="C147" i="6"/>
  <c r="C147" i="11"/>
  <c r="T147" i="11" s="1"/>
  <c r="U147" i="11" s="1"/>
  <c r="I147" i="11" s="1"/>
  <c r="C197" i="11"/>
  <c r="T197" i="11" s="1"/>
  <c r="U197" i="11" s="1"/>
  <c r="I197" i="11" s="1"/>
  <c r="T197" i="5"/>
  <c r="U197" i="5" s="1"/>
  <c r="I197" i="5" s="1"/>
  <c r="C197" i="6"/>
  <c r="T197" i="6" s="1"/>
  <c r="U197" i="6" s="1"/>
  <c r="I197" i="6" s="1"/>
  <c r="C476" i="11"/>
  <c r="C476" i="6"/>
  <c r="T476" i="5"/>
  <c r="I476" i="5" s="1"/>
  <c r="T433" i="5"/>
  <c r="I433" i="5" s="1"/>
  <c r="C433" i="11"/>
  <c r="T433" i="11" s="1"/>
  <c r="U433" i="11" s="1"/>
  <c r="I433" i="11" s="1"/>
  <c r="C433" i="6"/>
  <c r="T433" i="6" s="1"/>
  <c r="U433" i="6" s="1"/>
  <c r="I433" i="6" s="1"/>
  <c r="C205" i="11"/>
  <c r="T205" i="11" s="1"/>
  <c r="U205" i="11" s="1"/>
  <c r="I205" i="11" s="1"/>
  <c r="C205" i="6"/>
  <c r="T205" i="6" s="1"/>
  <c r="U205" i="6" s="1"/>
  <c r="I205" i="6" s="1"/>
  <c r="T205" i="5"/>
  <c r="T382" i="5"/>
  <c r="C382" i="6"/>
  <c r="T382" i="6" s="1"/>
  <c r="U382" i="6" s="1"/>
  <c r="I382" i="6" s="1"/>
  <c r="C382" i="11"/>
  <c r="T382" i="11" s="1"/>
  <c r="U382" i="11" s="1"/>
  <c r="I382" i="11" s="1"/>
  <c r="C306" i="6"/>
  <c r="C306" i="11"/>
  <c r="T306" i="11" s="1"/>
  <c r="U306" i="11" s="1"/>
  <c r="I306" i="11" s="1"/>
  <c r="T306" i="5"/>
  <c r="U306" i="5" s="1"/>
  <c r="I306" i="5" s="1"/>
  <c r="C132" i="11"/>
  <c r="T132" i="11" s="1"/>
  <c r="T132" i="5"/>
  <c r="U132" i="5" s="1"/>
  <c r="I132" i="5" s="1"/>
  <c r="C132" i="6"/>
  <c r="T132" i="6" s="1"/>
  <c r="U132" i="6" s="1"/>
  <c r="I132" i="6" s="1"/>
  <c r="T245" i="5"/>
  <c r="U245" i="5" s="1"/>
  <c r="I245" i="5" s="1"/>
  <c r="C245" i="6"/>
  <c r="T245" i="6" s="1"/>
  <c r="U245" i="6" s="1"/>
  <c r="I245" i="6" s="1"/>
  <c r="C245" i="11"/>
  <c r="T245" i="11" s="1"/>
  <c r="C222" i="11"/>
  <c r="T222" i="11" s="1"/>
  <c r="U222" i="11" s="1"/>
  <c r="I222" i="11" s="1"/>
  <c r="C222" i="6"/>
  <c r="T222" i="6" s="1"/>
  <c r="U222" i="6" s="1"/>
  <c r="I222" i="6" s="1"/>
  <c r="T222" i="5"/>
  <c r="U222" i="5" s="1"/>
  <c r="I222" i="5" s="1"/>
  <c r="T34" i="5"/>
  <c r="U34" i="5" s="1"/>
  <c r="I34" i="5" s="1"/>
  <c r="C34" i="11"/>
  <c r="T34" i="11" s="1"/>
  <c r="U34" i="11" s="1"/>
  <c r="I34" i="11" s="1"/>
  <c r="C34" i="6"/>
  <c r="T34" i="6" s="1"/>
  <c r="U34" i="6" s="1"/>
  <c r="I34" i="6" s="1"/>
  <c r="C395" i="11"/>
  <c r="T395" i="11" s="1"/>
  <c r="U395" i="11" s="1"/>
  <c r="I395" i="11" s="1"/>
  <c r="T395" i="5"/>
  <c r="I395" i="5" s="1"/>
  <c r="C395" i="6"/>
  <c r="T395" i="6" s="1"/>
  <c r="U395" i="6" s="1"/>
  <c r="I395" i="6" s="1"/>
  <c r="C369" i="6"/>
  <c r="T369" i="6" s="1"/>
  <c r="U369" i="6" s="1"/>
  <c r="I369" i="6" s="1"/>
  <c r="T369" i="5"/>
  <c r="C369" i="11"/>
  <c r="T369" i="11" s="1"/>
  <c r="U369" i="11" s="1"/>
  <c r="I369" i="11" s="1"/>
  <c r="C253" i="6"/>
  <c r="T253" i="6" s="1"/>
  <c r="C253" i="11"/>
  <c r="T253" i="11" s="1"/>
  <c r="U253" i="11" s="1"/>
  <c r="I253" i="11" s="1"/>
  <c r="T253" i="5"/>
  <c r="U253" i="5" s="1"/>
  <c r="I253" i="5" s="1"/>
  <c r="C453" i="11"/>
  <c r="T453" i="5"/>
  <c r="I453" i="5" s="1"/>
  <c r="C453" i="6"/>
  <c r="C468" i="11"/>
  <c r="T468" i="5"/>
  <c r="I468" i="5" s="1"/>
  <c r="C468" i="6"/>
  <c r="C252" i="6"/>
  <c r="T252" i="6" s="1"/>
  <c r="U252" i="6" s="1"/>
  <c r="I252" i="6" s="1"/>
  <c r="C252" i="11"/>
  <c r="T252" i="11" s="1"/>
  <c r="U252" i="11" s="1"/>
  <c r="I252" i="11" s="1"/>
  <c r="T252" i="5"/>
  <c r="U252" i="5" s="1"/>
  <c r="I252" i="5" s="1"/>
  <c r="C47" i="6"/>
  <c r="T47" i="6" s="1"/>
  <c r="U47" i="6" s="1"/>
  <c r="I47" i="6" s="1"/>
  <c r="C47" i="11"/>
  <c r="T47" i="11" s="1"/>
  <c r="U47" i="11" s="1"/>
  <c r="I47" i="11" s="1"/>
  <c r="T47" i="5"/>
  <c r="C475" i="11"/>
  <c r="T475" i="5"/>
  <c r="I475" i="5" s="1"/>
  <c r="C475" i="6"/>
  <c r="T156" i="5"/>
  <c r="U156" i="5" s="1"/>
  <c r="I156" i="5" s="1"/>
  <c r="C156" i="6"/>
  <c r="T156" i="6" s="1"/>
  <c r="U156" i="6" s="1"/>
  <c r="I156" i="6" s="1"/>
  <c r="C156" i="11"/>
  <c r="T156" i="11" s="1"/>
  <c r="U156" i="11" s="1"/>
  <c r="I156" i="11" s="1"/>
  <c r="C348" i="11"/>
  <c r="T348" i="11" s="1"/>
  <c r="U348" i="11" s="1"/>
  <c r="I348" i="11" s="1"/>
  <c r="T348" i="5"/>
  <c r="U348" i="5" s="1"/>
  <c r="I348" i="5" s="1"/>
  <c r="C348" i="6"/>
  <c r="T348" i="6" s="1"/>
  <c r="T131" i="5"/>
  <c r="C131" i="11"/>
  <c r="T131" i="11" s="1"/>
  <c r="U131" i="11" s="1"/>
  <c r="I131" i="11" s="1"/>
  <c r="C131" i="6"/>
  <c r="T353" i="5"/>
  <c r="U353" i="5" s="1"/>
  <c r="I353" i="5" s="1"/>
  <c r="C353" i="11"/>
  <c r="T353" i="11" s="1"/>
  <c r="U353" i="11" s="1"/>
  <c r="I353" i="11" s="1"/>
  <c r="C353" i="6"/>
  <c r="T353" i="6" s="1"/>
  <c r="C87" i="11"/>
  <c r="T87" i="11" s="1"/>
  <c r="T87" i="5"/>
  <c r="U87" i="5" s="1"/>
  <c r="I87" i="5" s="1"/>
  <c r="C87" i="6"/>
  <c r="T87" i="6" s="1"/>
  <c r="T230" i="5"/>
  <c r="U230" i="5" s="1"/>
  <c r="I230" i="5" s="1"/>
  <c r="C230" i="11"/>
  <c r="T230" i="11" s="1"/>
  <c r="U230" i="11" s="1"/>
  <c r="I230" i="11" s="1"/>
  <c r="C230" i="6"/>
  <c r="T230" i="6" s="1"/>
  <c r="U230" i="6" s="1"/>
  <c r="I230" i="6" s="1"/>
  <c r="C323" i="11"/>
  <c r="T323" i="11" s="1"/>
  <c r="U323" i="11" s="1"/>
  <c r="I323" i="11" s="1"/>
  <c r="T323" i="5"/>
  <c r="U323" i="5" s="1"/>
  <c r="I323" i="5" s="1"/>
  <c r="C323" i="6"/>
  <c r="C452" i="11"/>
  <c r="T452" i="5"/>
  <c r="I452" i="5" s="1"/>
  <c r="C452" i="6"/>
  <c r="C184" i="11"/>
  <c r="T184" i="11" s="1"/>
  <c r="U184" i="11" s="1"/>
  <c r="I184" i="11" s="1"/>
  <c r="C184" i="6"/>
  <c r="T184" i="5"/>
  <c r="U184" i="5" s="1"/>
  <c r="I184" i="5" s="1"/>
  <c r="C328" i="11"/>
  <c r="T328" i="11" s="1"/>
  <c r="U328" i="11" s="1"/>
  <c r="I328" i="11" s="1"/>
  <c r="C328" i="6"/>
  <c r="T328" i="6" s="1"/>
  <c r="T328" i="5"/>
  <c r="U328" i="5" s="1"/>
  <c r="I328" i="5" s="1"/>
  <c r="C505" i="11"/>
  <c r="C505" i="6"/>
  <c r="T505" i="5"/>
  <c r="I505" i="5" s="1"/>
  <c r="C352" i="6"/>
  <c r="T352" i="6" s="1"/>
  <c r="T352" i="5"/>
  <c r="U352" i="5" s="1"/>
  <c r="I352" i="5" s="1"/>
  <c r="C352" i="11"/>
  <c r="T352" i="11" s="1"/>
  <c r="U352" i="11" s="1"/>
  <c r="I352" i="11" s="1"/>
  <c r="C46" i="6"/>
  <c r="T46" i="6" s="1"/>
  <c r="U46" i="6" s="1"/>
  <c r="I46" i="6" s="1"/>
  <c r="C46" i="11"/>
  <c r="T46" i="11" s="1"/>
  <c r="U46" i="11" s="1"/>
  <c r="I46" i="11" s="1"/>
  <c r="T46" i="5"/>
  <c r="U46" i="5" s="1"/>
  <c r="I46" i="5" s="1"/>
  <c r="C62" i="6"/>
  <c r="T62" i="6" s="1"/>
  <c r="U62" i="6" s="1"/>
  <c r="I62" i="6" s="1"/>
  <c r="C62" i="11"/>
  <c r="T62" i="11" s="1"/>
  <c r="U62" i="11" s="1"/>
  <c r="I62" i="11" s="1"/>
  <c r="T62" i="5"/>
  <c r="U62" i="5" s="1"/>
  <c r="I62" i="5" s="1"/>
  <c r="C510" i="11"/>
  <c r="T510" i="5"/>
  <c r="I510" i="5" s="1"/>
  <c r="C510" i="6"/>
  <c r="C204" i="11"/>
  <c r="T204" i="11" s="1"/>
  <c r="U204" i="11" s="1"/>
  <c r="I204" i="11" s="1"/>
  <c r="C204" i="6"/>
  <c r="T204" i="6" s="1"/>
  <c r="U204" i="6" s="1"/>
  <c r="I204" i="6" s="1"/>
  <c r="T204" i="5"/>
  <c r="U204" i="5" s="1"/>
  <c r="I204" i="5" s="1"/>
  <c r="C399" i="11"/>
  <c r="T399" i="11" s="1"/>
  <c r="C399" i="6"/>
  <c r="T399" i="6" s="1"/>
  <c r="T399" i="5"/>
  <c r="I399" i="5" s="1"/>
  <c r="T194" i="5"/>
  <c r="U194" i="5" s="1"/>
  <c r="I194" i="5" s="1"/>
  <c r="C194" i="11"/>
  <c r="T194" i="11" s="1"/>
  <c r="U194" i="11" s="1"/>
  <c r="I194" i="11" s="1"/>
  <c r="C194" i="6"/>
  <c r="T194" i="6" s="1"/>
  <c r="U194" i="6" s="1"/>
  <c r="I194" i="6" s="1"/>
  <c r="C240" i="6"/>
  <c r="T240" i="6" s="1"/>
  <c r="U240" i="6" s="1"/>
  <c r="I240" i="6" s="1"/>
  <c r="T240" i="5"/>
  <c r="U240" i="5" s="1"/>
  <c r="I240" i="5" s="1"/>
  <c r="C240" i="11"/>
  <c r="T240" i="11" s="1"/>
  <c r="U240" i="11" s="1"/>
  <c r="I240" i="11" s="1"/>
  <c r="C155" i="11"/>
  <c r="T155" i="11" s="1"/>
  <c r="U155" i="11" s="1"/>
  <c r="I155" i="11" s="1"/>
  <c r="T155" i="5"/>
  <c r="C155" i="6"/>
  <c r="T392" i="5"/>
  <c r="I392" i="5" s="1"/>
  <c r="C392" i="11"/>
  <c r="T392" i="11" s="1"/>
  <c r="U392" i="11" s="1"/>
  <c r="I392" i="11" s="1"/>
  <c r="C392" i="6"/>
  <c r="T392" i="6" s="1"/>
  <c r="T207" i="5"/>
  <c r="U207" i="5" s="1"/>
  <c r="I207" i="5" s="1"/>
  <c r="C207" i="6"/>
  <c r="T207" i="6" s="1"/>
  <c r="U207" i="6" s="1"/>
  <c r="I207" i="6" s="1"/>
  <c r="C207" i="11"/>
  <c r="T207" i="11" s="1"/>
  <c r="U207" i="11" s="1"/>
  <c r="I207" i="11" s="1"/>
  <c r="T385" i="5"/>
  <c r="U385" i="5" s="1"/>
  <c r="I385" i="5" s="1"/>
  <c r="C385" i="11"/>
  <c r="T385" i="11" s="1"/>
  <c r="U385" i="11" s="1"/>
  <c r="I385" i="11" s="1"/>
  <c r="C385" i="6"/>
  <c r="T385" i="6" s="1"/>
  <c r="C394" i="6"/>
  <c r="T394" i="6" s="1"/>
  <c r="U394" i="6" s="1"/>
  <c r="I394" i="6" s="1"/>
  <c r="T394" i="5"/>
  <c r="I394" i="5" s="1"/>
  <c r="C394" i="11"/>
  <c r="T394" i="11" s="1"/>
  <c r="U394" i="11" s="1"/>
  <c r="I394" i="11" s="1"/>
  <c r="T40" i="5"/>
  <c r="U40" i="5" s="1"/>
  <c r="I40" i="5" s="1"/>
  <c r="C40" i="11"/>
  <c r="T40" i="11" s="1"/>
  <c r="U40" i="11" s="1"/>
  <c r="I40" i="11" s="1"/>
  <c r="C40" i="6"/>
  <c r="T40" i="6" s="1"/>
  <c r="U40" i="6" s="1"/>
  <c r="I40" i="6" s="1"/>
  <c r="C137" i="11"/>
  <c r="T137" i="11" s="1"/>
  <c r="U137" i="11" s="1"/>
  <c r="I137" i="11" s="1"/>
  <c r="T137" i="5"/>
  <c r="U137" i="5" s="1"/>
  <c r="I137" i="5" s="1"/>
  <c r="C137" i="6"/>
  <c r="T137" i="6" s="1"/>
  <c r="U137" i="6" s="1"/>
  <c r="I137" i="6" s="1"/>
  <c r="C393" i="11"/>
  <c r="T393" i="11" s="1"/>
  <c r="U393" i="11" s="1"/>
  <c r="I393" i="11" s="1"/>
  <c r="T393" i="5"/>
  <c r="I393" i="5" s="1"/>
  <c r="C393" i="6"/>
  <c r="T393" i="6" s="1"/>
  <c r="U393" i="6" s="1"/>
  <c r="I393" i="6" s="1"/>
  <c r="T31" i="5"/>
  <c r="U31" i="5" s="1"/>
  <c r="I31" i="5" s="1"/>
  <c r="C31" i="11"/>
  <c r="T31" i="11" s="1"/>
  <c r="U31" i="11" s="1"/>
  <c r="I31" i="11" s="1"/>
  <c r="C31" i="6"/>
  <c r="C109" i="6"/>
  <c r="T109" i="6" s="1"/>
  <c r="C109" i="11"/>
  <c r="T109" i="11" s="1"/>
  <c r="U109" i="11" s="1"/>
  <c r="I109" i="11" s="1"/>
  <c r="T109" i="5"/>
  <c r="U109" i="5" s="1"/>
  <c r="I109" i="5" s="1"/>
  <c r="C43" i="6"/>
  <c r="T43" i="5"/>
  <c r="U43" i="5" s="1"/>
  <c r="I43" i="5" s="1"/>
  <c r="C43" i="11"/>
  <c r="T43" i="11" s="1"/>
  <c r="U43" i="11" s="1"/>
  <c r="I43" i="11" s="1"/>
  <c r="C179" i="11"/>
  <c r="T179" i="11" s="1"/>
  <c r="U179" i="11" s="1"/>
  <c r="I179" i="11" s="1"/>
  <c r="C179" i="6"/>
  <c r="T179" i="5"/>
  <c r="U179" i="5" s="1"/>
  <c r="I179" i="5" s="1"/>
  <c r="T481" i="5"/>
  <c r="I481" i="5" s="1"/>
  <c r="C481" i="11"/>
  <c r="C481" i="6"/>
  <c r="C429" i="6"/>
  <c r="T429" i="5"/>
  <c r="I429" i="5" s="1"/>
  <c r="C429" i="11"/>
  <c r="T429" i="11" s="1"/>
  <c r="U429" i="11" s="1"/>
  <c r="I429" i="11" s="1"/>
  <c r="T305" i="5"/>
  <c r="C305" i="11"/>
  <c r="T305" i="11" s="1"/>
  <c r="U305" i="11" s="1"/>
  <c r="I305" i="11" s="1"/>
  <c r="C305" i="6"/>
  <c r="T305" i="6" s="1"/>
  <c r="U305" i="6" s="1"/>
  <c r="I305" i="6" s="1"/>
  <c r="C273" i="11"/>
  <c r="T273" i="11" s="1"/>
  <c r="C273" i="6"/>
  <c r="T273" i="6" s="1"/>
  <c r="U273" i="6" s="1"/>
  <c r="I273" i="6" s="1"/>
  <c r="T273" i="5"/>
  <c r="U273" i="5" s="1"/>
  <c r="I273" i="5" s="1"/>
  <c r="C390" i="6"/>
  <c r="T390" i="6" s="1"/>
  <c r="U390" i="6" s="1"/>
  <c r="I390" i="6" s="1"/>
  <c r="C390" i="11"/>
  <c r="T390" i="11" s="1"/>
  <c r="U390" i="11" s="1"/>
  <c r="I390" i="11" s="1"/>
  <c r="T390" i="5"/>
  <c r="I390" i="5" s="1"/>
  <c r="C263" i="6"/>
  <c r="C263" i="11"/>
  <c r="T263" i="11" s="1"/>
  <c r="T263" i="5"/>
  <c r="U263" i="5" s="1"/>
  <c r="I263" i="5" s="1"/>
  <c r="C170" i="11"/>
  <c r="T170" i="11" s="1"/>
  <c r="U170" i="11" s="1"/>
  <c r="I170" i="11" s="1"/>
  <c r="C170" i="6"/>
  <c r="T170" i="5"/>
  <c r="U170" i="5" s="1"/>
  <c r="I170" i="5" s="1"/>
  <c r="C107" i="6"/>
  <c r="T107" i="6" s="1"/>
  <c r="U107" i="6" s="1"/>
  <c r="I107" i="6" s="1"/>
  <c r="C107" i="11"/>
  <c r="T107" i="11" s="1"/>
  <c r="U107" i="11" s="1"/>
  <c r="I107" i="11" s="1"/>
  <c r="T107" i="5"/>
  <c r="U107" i="5" s="1"/>
  <c r="I107" i="5" s="1"/>
  <c r="C37" i="6"/>
  <c r="T37" i="6" s="1"/>
  <c r="C37" i="11"/>
  <c r="T37" i="11" s="1"/>
  <c r="T37" i="5"/>
  <c r="U37" i="5" s="1"/>
  <c r="I37" i="5" s="1"/>
  <c r="C106" i="6"/>
  <c r="T106" i="5"/>
  <c r="U106" i="5" s="1"/>
  <c r="I106" i="5" s="1"/>
  <c r="C106" i="11"/>
  <c r="T106" i="11" s="1"/>
  <c r="U106" i="11" s="1"/>
  <c r="I106" i="11" s="1"/>
  <c r="C311" i="11"/>
  <c r="T311" i="11" s="1"/>
  <c r="U311" i="11" s="1"/>
  <c r="I311" i="11" s="1"/>
  <c r="T311" i="5"/>
  <c r="C311" i="6"/>
  <c r="T311" i="6" s="1"/>
  <c r="T119" i="5"/>
  <c r="U119" i="5" s="1"/>
  <c r="I119" i="5" s="1"/>
  <c r="C119" i="11"/>
  <c r="T119" i="11" s="1"/>
  <c r="C119" i="6"/>
  <c r="T119" i="6" s="1"/>
  <c r="U119" i="6" s="1"/>
  <c r="I119" i="6" s="1"/>
  <c r="C210" i="6"/>
  <c r="T210" i="6" s="1"/>
  <c r="U210" i="6" s="1"/>
  <c r="I210" i="6" s="1"/>
  <c r="C210" i="11"/>
  <c r="T210" i="11" s="1"/>
  <c r="U210" i="11" s="1"/>
  <c r="I210" i="11" s="1"/>
  <c r="T210" i="5"/>
  <c r="U210" i="5" s="1"/>
  <c r="I210" i="5" s="1"/>
  <c r="C371" i="6"/>
  <c r="C371" i="11"/>
  <c r="T371" i="11" s="1"/>
  <c r="U371" i="11" s="1"/>
  <c r="I371" i="11" s="1"/>
  <c r="T371" i="5"/>
  <c r="U371" i="5" s="1"/>
  <c r="I371" i="5" s="1"/>
  <c r="C488" i="11"/>
  <c r="C488" i="6"/>
  <c r="T488" i="5"/>
  <c r="I488" i="5" s="1"/>
  <c r="C508" i="11"/>
  <c r="C508" i="6"/>
  <c r="T508" i="5"/>
  <c r="I508" i="5" s="1"/>
  <c r="C67" i="11"/>
  <c r="T67" i="11" s="1"/>
  <c r="U67" i="11" s="1"/>
  <c r="I67" i="11" s="1"/>
  <c r="C67" i="6"/>
  <c r="T67" i="5"/>
  <c r="U67" i="5" s="1"/>
  <c r="I67" i="5" s="1"/>
  <c r="T231" i="5"/>
  <c r="U231" i="5" s="1"/>
  <c r="I231" i="5" s="1"/>
  <c r="C231" i="11"/>
  <c r="T231" i="11" s="1"/>
  <c r="U231" i="11" s="1"/>
  <c r="I231" i="11" s="1"/>
  <c r="C231" i="6"/>
  <c r="C436" i="11"/>
  <c r="T436" i="11" s="1"/>
  <c r="U436" i="11" s="1"/>
  <c r="I436" i="11" s="1"/>
  <c r="T436" i="5"/>
  <c r="I436" i="5" s="1"/>
  <c r="C436" i="6"/>
  <c r="T436" i="6" s="1"/>
  <c r="C149" i="11"/>
  <c r="T149" i="11" s="1"/>
  <c r="U149" i="11" s="1"/>
  <c r="I149" i="11" s="1"/>
  <c r="C149" i="6"/>
  <c r="T149" i="6" s="1"/>
  <c r="T149" i="5"/>
  <c r="U149" i="5" s="1"/>
  <c r="I149" i="5" s="1"/>
  <c r="T75" i="5"/>
  <c r="U75" i="5" s="1"/>
  <c r="I75" i="5" s="1"/>
  <c r="C75" i="6"/>
  <c r="C75" i="11"/>
  <c r="T75" i="11" s="1"/>
  <c r="C112" i="11"/>
  <c r="T112" i="11" s="1"/>
  <c r="C112" i="6"/>
  <c r="T112" i="5"/>
  <c r="C357" i="6"/>
  <c r="T357" i="6" s="1"/>
  <c r="U357" i="6" s="1"/>
  <c r="I357" i="6" s="1"/>
  <c r="C357" i="11"/>
  <c r="T357" i="11" s="1"/>
  <c r="U357" i="11" s="1"/>
  <c r="I357" i="11" s="1"/>
  <c r="T357" i="5"/>
  <c r="U357" i="5" s="1"/>
  <c r="I357" i="5" s="1"/>
  <c r="C334" i="11"/>
  <c r="T334" i="11" s="1"/>
  <c r="U334" i="11" s="1"/>
  <c r="I334" i="11" s="1"/>
  <c r="T334" i="5"/>
  <c r="C334" i="6"/>
  <c r="T334" i="6" s="1"/>
  <c r="U334" i="6" s="1"/>
  <c r="I334" i="6" s="1"/>
  <c r="C183" i="11"/>
  <c r="T183" i="11" s="1"/>
  <c r="U183" i="11" s="1"/>
  <c r="I183" i="11" s="1"/>
  <c r="C183" i="6"/>
  <c r="T183" i="5"/>
  <c r="U183" i="5" s="1"/>
  <c r="I183" i="5" s="1"/>
  <c r="C164" i="11"/>
  <c r="T164" i="11" s="1"/>
  <c r="U164" i="11" s="1"/>
  <c r="I164" i="11" s="1"/>
  <c r="C164" i="6"/>
  <c r="T164" i="6" s="1"/>
  <c r="U164" i="6" s="1"/>
  <c r="I164" i="6" s="1"/>
  <c r="T164" i="5"/>
  <c r="U164" i="5" s="1"/>
  <c r="I164" i="5" s="1"/>
  <c r="T490" i="5"/>
  <c r="I490" i="5" s="1"/>
  <c r="C490" i="11"/>
  <c r="C490" i="6"/>
  <c r="C45" i="11"/>
  <c r="T45" i="11" s="1"/>
  <c r="U45" i="11" s="1"/>
  <c r="I45" i="11" s="1"/>
  <c r="T45" i="5"/>
  <c r="C45" i="6"/>
  <c r="T45" i="6" s="1"/>
  <c r="U45" i="6" s="1"/>
  <c r="I45" i="6" s="1"/>
  <c r="T133" i="5"/>
  <c r="U133" i="5" s="1"/>
  <c r="I133" i="5" s="1"/>
  <c r="C133" i="11"/>
  <c r="T133" i="11" s="1"/>
  <c r="U133" i="11" s="1"/>
  <c r="I133" i="11" s="1"/>
  <c r="C133" i="6"/>
  <c r="C52" i="6"/>
  <c r="T52" i="6" s="1"/>
  <c r="U52" i="6" s="1"/>
  <c r="I52" i="6" s="1"/>
  <c r="C52" i="11"/>
  <c r="T52" i="11" s="1"/>
  <c r="U52" i="11" s="1"/>
  <c r="I52" i="11" s="1"/>
  <c r="T52" i="5"/>
  <c r="U52" i="5" s="1"/>
  <c r="I52" i="5" s="1"/>
  <c r="T152" i="5"/>
  <c r="U152" i="5" s="1"/>
  <c r="I152" i="5" s="1"/>
  <c r="C152" i="11"/>
  <c r="T152" i="11" s="1"/>
  <c r="U152" i="11" s="1"/>
  <c r="I152" i="11" s="1"/>
  <c r="C152" i="6"/>
  <c r="T152" i="6" s="1"/>
  <c r="U152" i="6" s="1"/>
  <c r="I152" i="6" s="1"/>
  <c r="T494" i="5"/>
  <c r="I494" i="5" s="1"/>
  <c r="C494" i="11"/>
  <c r="C494" i="6"/>
  <c r="C94" i="11"/>
  <c r="T94" i="11" s="1"/>
  <c r="U94" i="11" s="1"/>
  <c r="I94" i="11" s="1"/>
  <c r="T94" i="5"/>
  <c r="U94" i="5" s="1"/>
  <c r="I94" i="5" s="1"/>
  <c r="C94" i="6"/>
  <c r="T94" i="6" s="1"/>
  <c r="T165" i="5"/>
  <c r="C165" i="11"/>
  <c r="T165" i="11" s="1"/>
  <c r="U165" i="11" s="1"/>
  <c r="I165" i="11" s="1"/>
  <c r="C165" i="6"/>
  <c r="T165" i="6" s="1"/>
  <c r="C290" i="11"/>
  <c r="T290" i="11" s="1"/>
  <c r="U290" i="11" s="1"/>
  <c r="I290" i="11" s="1"/>
  <c r="C290" i="6"/>
  <c r="T290" i="5"/>
  <c r="U290" i="5" s="1"/>
  <c r="I290" i="5" s="1"/>
  <c r="C404" i="6"/>
  <c r="T404" i="6" s="1"/>
  <c r="U404" i="6" s="1"/>
  <c r="I404" i="6" s="1"/>
  <c r="T404" i="5"/>
  <c r="I404" i="5" s="1"/>
  <c r="C404" i="11"/>
  <c r="T404" i="11" s="1"/>
  <c r="U404" i="11" s="1"/>
  <c r="I404" i="11" s="1"/>
  <c r="T298" i="5"/>
  <c r="U298" i="5" s="1"/>
  <c r="I298" i="5" s="1"/>
  <c r="C298" i="6"/>
  <c r="T298" i="6" s="1"/>
  <c r="U298" i="6" s="1"/>
  <c r="I298" i="6" s="1"/>
  <c r="C298" i="11"/>
  <c r="T298" i="11" s="1"/>
  <c r="U298" i="11" s="1"/>
  <c r="I298" i="11" s="1"/>
  <c r="C86" i="11"/>
  <c r="T86" i="11" s="1"/>
  <c r="U86" i="11" s="1"/>
  <c r="I86" i="11" s="1"/>
  <c r="C86" i="6"/>
  <c r="T86" i="6" s="1"/>
  <c r="U86" i="6" s="1"/>
  <c r="I86" i="6" s="1"/>
  <c r="T86" i="5"/>
  <c r="C502" i="6"/>
  <c r="C502" i="11"/>
  <c r="T502" i="5"/>
  <c r="I502" i="5" s="1"/>
  <c r="C163" i="6"/>
  <c r="T163" i="6" s="1"/>
  <c r="T163" i="5"/>
  <c r="U163" i="5" s="1"/>
  <c r="I163" i="5" s="1"/>
  <c r="C163" i="11"/>
  <c r="T163" i="11" s="1"/>
  <c r="U163" i="11" s="1"/>
  <c r="I163" i="11" s="1"/>
  <c r="T255" i="5"/>
  <c r="U255" i="5" s="1"/>
  <c r="I255" i="5" s="1"/>
  <c r="C255" i="6"/>
  <c r="T255" i="6" s="1"/>
  <c r="U255" i="6" s="1"/>
  <c r="I255" i="6" s="1"/>
  <c r="C255" i="11"/>
  <c r="T255" i="11" s="1"/>
  <c r="U255" i="11" s="1"/>
  <c r="I255" i="11" s="1"/>
  <c r="T372" i="5"/>
  <c r="U372" i="5" s="1"/>
  <c r="I372" i="5" s="1"/>
  <c r="C372" i="6"/>
  <c r="T372" i="6" s="1"/>
  <c r="U372" i="6" s="1"/>
  <c r="I372" i="6" s="1"/>
  <c r="C372" i="11"/>
  <c r="T372" i="11" s="1"/>
  <c r="U372" i="11" s="1"/>
  <c r="I372" i="11" s="1"/>
  <c r="T218" i="5"/>
  <c r="C218" i="6"/>
  <c r="T218" i="6" s="1"/>
  <c r="C218" i="11"/>
  <c r="T218" i="11" s="1"/>
  <c r="U218" i="11" s="1"/>
  <c r="I218" i="11" s="1"/>
  <c r="T99" i="5"/>
  <c r="U99" i="5" s="1"/>
  <c r="I99" i="5" s="1"/>
  <c r="C99" i="6"/>
  <c r="T99" i="6" s="1"/>
  <c r="C99" i="11"/>
  <c r="T99" i="11" s="1"/>
  <c r="U99" i="11" s="1"/>
  <c r="I99" i="11" s="1"/>
  <c r="C285" i="11"/>
  <c r="T285" i="11" s="1"/>
  <c r="T285" i="5"/>
  <c r="U285" i="5" s="1"/>
  <c r="I285" i="5" s="1"/>
  <c r="C285" i="6"/>
  <c r="T285" i="6" s="1"/>
  <c r="U285" i="6" s="1"/>
  <c r="I285" i="6" s="1"/>
  <c r="C391" i="6"/>
  <c r="T391" i="6" s="1"/>
  <c r="T391" i="5"/>
  <c r="I391" i="5" s="1"/>
  <c r="C391" i="11"/>
  <c r="T391" i="11" s="1"/>
  <c r="U391" i="11" s="1"/>
  <c r="I391" i="11" s="1"/>
  <c r="C460" i="11"/>
  <c r="C460" i="6"/>
  <c r="T460" i="5"/>
  <c r="I460" i="5" s="1"/>
  <c r="T347" i="5"/>
  <c r="U347" i="5" s="1"/>
  <c r="I347" i="5" s="1"/>
  <c r="C347" i="11"/>
  <c r="T347" i="11" s="1"/>
  <c r="U347" i="11" s="1"/>
  <c r="I347" i="11" s="1"/>
  <c r="C347" i="6"/>
  <c r="T347" i="6" s="1"/>
  <c r="U347" i="6" s="1"/>
  <c r="I347" i="6" s="1"/>
  <c r="C319" i="6"/>
  <c r="T319" i="6" s="1"/>
  <c r="U319" i="6" s="1"/>
  <c r="I319" i="6" s="1"/>
  <c r="C319" i="11"/>
  <c r="T319" i="11" s="1"/>
  <c r="U319" i="11" s="1"/>
  <c r="I319" i="11" s="1"/>
  <c r="T319" i="5"/>
  <c r="U319" i="5" s="1"/>
  <c r="I319" i="5" s="1"/>
  <c r="C212" i="6"/>
  <c r="T212" i="6" s="1"/>
  <c r="U212" i="6" s="1"/>
  <c r="I212" i="6" s="1"/>
  <c r="T212" i="5"/>
  <c r="U212" i="5" s="1"/>
  <c r="I212" i="5" s="1"/>
  <c r="C212" i="11"/>
  <c r="T212" i="11" s="1"/>
  <c r="U212" i="11" s="1"/>
  <c r="I212" i="11" s="1"/>
  <c r="C54" i="11"/>
  <c r="T54" i="11" s="1"/>
  <c r="U54" i="11" s="1"/>
  <c r="I54" i="11" s="1"/>
  <c r="C54" i="6"/>
  <c r="T54" i="6" s="1"/>
  <c r="U54" i="6" s="1"/>
  <c r="I54" i="6" s="1"/>
  <c r="T54" i="5"/>
  <c r="U54" i="5" s="1"/>
  <c r="I54" i="5" s="1"/>
  <c r="C270" i="11"/>
  <c r="T270" i="11" s="1"/>
  <c r="U270" i="11" s="1"/>
  <c r="I270" i="11" s="1"/>
  <c r="C270" i="6"/>
  <c r="T270" i="6" s="1"/>
  <c r="U270" i="6" s="1"/>
  <c r="I270" i="6" s="1"/>
  <c r="T270" i="5"/>
  <c r="U270" i="5" s="1"/>
  <c r="I270" i="5" s="1"/>
  <c r="C223" i="6"/>
  <c r="T223" i="6" s="1"/>
  <c r="U223" i="6" s="1"/>
  <c r="I223" i="6" s="1"/>
  <c r="T223" i="5"/>
  <c r="U223" i="5" s="1"/>
  <c r="I223" i="5" s="1"/>
  <c r="C223" i="11"/>
  <c r="T223" i="11" s="1"/>
  <c r="U223" i="11" s="1"/>
  <c r="I223" i="11" s="1"/>
  <c r="C72" i="11"/>
  <c r="T72" i="11" s="1"/>
  <c r="U72" i="11" s="1"/>
  <c r="I72" i="11" s="1"/>
  <c r="C72" i="6"/>
  <c r="T72" i="6" s="1"/>
  <c r="U72" i="6" s="1"/>
  <c r="I72" i="6" s="1"/>
  <c r="T72" i="5"/>
  <c r="U72" i="5" s="1"/>
  <c r="I72" i="5" s="1"/>
  <c r="C443" i="11"/>
  <c r="T443" i="11" s="1"/>
  <c r="U443" i="11" s="1"/>
  <c r="I443" i="11" s="1"/>
  <c r="C443" i="6"/>
  <c r="T443" i="6" s="1"/>
  <c r="U443" i="6" s="1"/>
  <c r="I443" i="6" s="1"/>
  <c r="T443" i="5"/>
  <c r="I443" i="5" s="1"/>
  <c r="T178" i="5"/>
  <c r="U178" i="5" s="1"/>
  <c r="I178" i="5" s="1"/>
  <c r="C178" i="6"/>
  <c r="T178" i="6" s="1"/>
  <c r="U178" i="6" s="1"/>
  <c r="I178" i="6" s="1"/>
  <c r="C178" i="11"/>
  <c r="T178" i="11" s="1"/>
  <c r="U178" i="11" s="1"/>
  <c r="I178" i="11" s="1"/>
  <c r="C277" i="11"/>
  <c r="T277" i="11" s="1"/>
  <c r="U277" i="11" s="1"/>
  <c r="I277" i="11" s="1"/>
  <c r="T277" i="5"/>
  <c r="U277" i="5" s="1"/>
  <c r="I277" i="5" s="1"/>
  <c r="C277" i="6"/>
  <c r="T277" i="6" s="1"/>
  <c r="U277" i="6" s="1"/>
  <c r="I277" i="6" s="1"/>
  <c r="T146" i="5"/>
  <c r="U146" i="5" s="1"/>
  <c r="I146" i="5" s="1"/>
  <c r="C146" i="11"/>
  <c r="T146" i="11" s="1"/>
  <c r="U146" i="11" s="1"/>
  <c r="I146" i="11" s="1"/>
  <c r="C146" i="6"/>
  <c r="T127" i="5"/>
  <c r="U127" i="5" s="1"/>
  <c r="I127" i="5" s="1"/>
  <c r="C127" i="6"/>
  <c r="T127" i="6" s="1"/>
  <c r="U127" i="6" s="1"/>
  <c r="I127" i="6" s="1"/>
  <c r="C127" i="11"/>
  <c r="T127" i="11" s="1"/>
  <c r="U127" i="11" s="1"/>
  <c r="I127" i="11" s="1"/>
  <c r="C303" i="6"/>
  <c r="C303" i="11"/>
  <c r="T303" i="11" s="1"/>
  <c r="U303" i="11" s="1"/>
  <c r="I303" i="11" s="1"/>
  <c r="T303" i="5"/>
  <c r="U303" i="5" s="1"/>
  <c r="I303" i="5" s="1"/>
  <c r="T279" i="5"/>
  <c r="U279" i="5" s="1"/>
  <c r="I279" i="5" s="1"/>
  <c r="C279" i="11"/>
  <c r="T279" i="11" s="1"/>
  <c r="U279" i="11" s="1"/>
  <c r="I279" i="11" s="1"/>
  <c r="C279" i="6"/>
  <c r="T279" i="6" s="1"/>
  <c r="U279" i="6" s="1"/>
  <c r="I279" i="6" s="1"/>
  <c r="C189" i="11"/>
  <c r="T189" i="11" s="1"/>
  <c r="U189" i="11" s="1"/>
  <c r="I189" i="11" s="1"/>
  <c r="C189" i="6"/>
  <c r="T189" i="6" s="1"/>
  <c r="T189" i="5"/>
  <c r="U189" i="5" s="1"/>
  <c r="I189" i="5" s="1"/>
  <c r="T85" i="5"/>
  <c r="U85" i="5" s="1"/>
  <c r="I85" i="5" s="1"/>
  <c r="C85" i="6"/>
  <c r="T85" i="6" s="1"/>
  <c r="U85" i="6" s="1"/>
  <c r="I85" i="6" s="1"/>
  <c r="C85" i="11"/>
  <c r="T85" i="11" s="1"/>
  <c r="U85" i="11" s="1"/>
  <c r="I85" i="11" s="1"/>
  <c r="T489" i="5"/>
  <c r="I489" i="5" s="1"/>
  <c r="C489" i="6"/>
  <c r="C489" i="11"/>
  <c r="C258" i="11"/>
  <c r="T258" i="11" s="1"/>
  <c r="C258" i="6"/>
  <c r="T258" i="6" s="1"/>
  <c r="T258" i="5"/>
  <c r="U258" i="5" s="1"/>
  <c r="I258" i="5" s="1"/>
  <c r="T51" i="5"/>
  <c r="U51" i="5" s="1"/>
  <c r="I51" i="5" s="1"/>
  <c r="C51" i="11"/>
  <c r="T51" i="11" s="1"/>
  <c r="U51" i="11" s="1"/>
  <c r="I51" i="11" s="1"/>
  <c r="C51" i="6"/>
  <c r="T51" i="6" s="1"/>
  <c r="U51" i="6" s="1"/>
  <c r="I51" i="6" s="1"/>
  <c r="C478" i="11"/>
  <c r="C478" i="6"/>
  <c r="T478" i="5"/>
  <c r="I478" i="5" s="1"/>
  <c r="T458" i="5"/>
  <c r="I458" i="5" s="1"/>
  <c r="C458" i="6"/>
  <c r="C458" i="11"/>
  <c r="C228" i="6"/>
  <c r="C228" i="11"/>
  <c r="T228" i="11" s="1"/>
  <c r="U228" i="11" s="1"/>
  <c r="I228" i="11" s="1"/>
  <c r="T228" i="5"/>
  <c r="U228" i="5" s="1"/>
  <c r="I228" i="5" s="1"/>
  <c r="C373" i="6"/>
  <c r="T373" i="6" s="1"/>
  <c r="U373" i="6" s="1"/>
  <c r="I373" i="6" s="1"/>
  <c r="T373" i="5"/>
  <c r="U373" i="5" s="1"/>
  <c r="I373" i="5" s="1"/>
  <c r="C373" i="11"/>
  <c r="T373" i="11" s="1"/>
  <c r="U373" i="11" s="1"/>
  <c r="I373" i="11" s="1"/>
  <c r="C500" i="6"/>
  <c r="C500" i="11"/>
  <c r="T500" i="5"/>
  <c r="I500" i="5" s="1"/>
  <c r="C356" i="11"/>
  <c r="T356" i="11" s="1"/>
  <c r="U356" i="11" s="1"/>
  <c r="I356" i="11" s="1"/>
  <c r="T356" i="5"/>
  <c r="U356" i="5" s="1"/>
  <c r="I356" i="5" s="1"/>
  <c r="C356" i="6"/>
  <c r="T356" i="6" s="1"/>
  <c r="C288" i="6"/>
  <c r="T288" i="6" s="1"/>
  <c r="T288" i="5"/>
  <c r="U288" i="5" s="1"/>
  <c r="I288" i="5" s="1"/>
  <c r="C288" i="11"/>
  <c r="T288" i="11" s="1"/>
  <c r="U288" i="11" s="1"/>
  <c r="I288" i="11" s="1"/>
  <c r="C139" i="6"/>
  <c r="T139" i="6" s="1"/>
  <c r="U139" i="6" s="1"/>
  <c r="I139" i="6" s="1"/>
  <c r="T139" i="5"/>
  <c r="U139" i="5" s="1"/>
  <c r="I139" i="5" s="1"/>
  <c r="C139" i="11"/>
  <c r="T139" i="11" s="1"/>
  <c r="T341" i="5"/>
  <c r="U341" i="5" s="1"/>
  <c r="I341" i="5" s="1"/>
  <c r="C341" i="11"/>
  <c r="T341" i="11" s="1"/>
  <c r="U341" i="11" s="1"/>
  <c r="I341" i="11" s="1"/>
  <c r="C341" i="6"/>
  <c r="T341" i="6" s="1"/>
  <c r="U341" i="6" s="1"/>
  <c r="I341" i="6" s="1"/>
  <c r="C316" i="11"/>
  <c r="T316" i="11" s="1"/>
  <c r="U316" i="11" s="1"/>
  <c r="I316" i="11" s="1"/>
  <c r="T316" i="5"/>
  <c r="U316" i="5" s="1"/>
  <c r="I316" i="5" s="1"/>
  <c r="C316" i="6"/>
  <c r="T316" i="6" s="1"/>
  <c r="U316" i="6" s="1"/>
  <c r="I316" i="6" s="1"/>
  <c r="Q26" i="5"/>
  <c r="F26" i="5" s="1"/>
  <c r="J26" i="5"/>
  <c r="W266" i="5"/>
  <c r="W375" i="5"/>
  <c r="W436" i="5"/>
  <c r="W437" i="5"/>
  <c r="W323" i="5"/>
  <c r="W492" i="5"/>
  <c r="W409" i="5"/>
  <c r="W261" i="5"/>
  <c r="W479" i="5"/>
  <c r="W200" i="5"/>
  <c r="W460" i="5"/>
  <c r="W296" i="5"/>
  <c r="W508" i="5"/>
  <c r="W179" i="5"/>
  <c r="W440" i="5"/>
  <c r="W446" i="5"/>
  <c r="W203" i="5"/>
  <c r="W206" i="5"/>
  <c r="W173" i="5"/>
  <c r="W404" i="5"/>
  <c r="W347" i="5"/>
  <c r="W405" i="5"/>
  <c r="W214" i="5"/>
  <c r="W501" i="5"/>
  <c r="W103" i="5"/>
  <c r="W131" i="5"/>
  <c r="W157" i="5"/>
  <c r="W506" i="5"/>
  <c r="W90" i="5"/>
  <c r="W132" i="5"/>
  <c r="W430" i="5"/>
  <c r="W423" i="5"/>
  <c r="W39" i="5"/>
  <c r="W402" i="5"/>
  <c r="W44" i="5"/>
  <c r="W262" i="5"/>
  <c r="W359" i="5"/>
  <c r="W245" i="5"/>
  <c r="W59" i="5"/>
  <c r="W205" i="5"/>
  <c r="W248" i="5"/>
  <c r="W467" i="5"/>
  <c r="W213" i="5"/>
  <c r="W327" i="5"/>
  <c r="W212" i="5"/>
  <c r="W77" i="5"/>
  <c r="W254" i="5"/>
  <c r="W207" i="5"/>
  <c r="W493" i="5"/>
  <c r="W279" i="5"/>
  <c r="W185" i="5"/>
  <c r="W309" i="5"/>
  <c r="W195" i="5"/>
  <c r="W140" i="5"/>
  <c r="W368" i="5"/>
  <c r="W419" i="5"/>
  <c r="W87" i="5"/>
  <c r="W287" i="5"/>
  <c r="W510" i="5"/>
  <c r="W284" i="5"/>
  <c r="W160" i="5"/>
  <c r="W193" i="5"/>
  <c r="W456" i="5"/>
  <c r="W264" i="5"/>
  <c r="W31" i="5"/>
  <c r="W116" i="5"/>
  <c r="W38" i="5"/>
  <c r="W389" i="5"/>
  <c r="W311" i="5"/>
  <c r="W219" i="5"/>
  <c r="W332" i="5"/>
  <c r="W127" i="5"/>
  <c r="W36" i="5"/>
  <c r="W125" i="5"/>
  <c r="W102" i="5"/>
  <c r="W330" i="5"/>
  <c r="W182" i="5"/>
  <c r="W316" i="5"/>
  <c r="W458" i="5"/>
  <c r="W491" i="5"/>
  <c r="W240" i="5"/>
  <c r="W403" i="5"/>
  <c r="W130" i="5"/>
  <c r="W428" i="5"/>
  <c r="W412" i="5"/>
  <c r="W459" i="5"/>
  <c r="W270" i="5"/>
  <c r="W414" i="5"/>
  <c r="W123" i="5"/>
  <c r="W447" i="5"/>
  <c r="W431" i="5"/>
  <c r="W507" i="5"/>
  <c r="W66" i="5"/>
  <c r="W108" i="5"/>
  <c r="W349" i="5"/>
  <c r="W234" i="5"/>
  <c r="W312" i="5"/>
  <c r="W326" i="5"/>
  <c r="W328" i="5"/>
  <c r="W476" i="5"/>
  <c r="W202" i="5"/>
  <c r="W115" i="5"/>
  <c r="AJ25" i="5"/>
  <c r="W356" i="5"/>
  <c r="W365" i="5"/>
  <c r="W463" i="5"/>
  <c r="W461" i="5"/>
  <c r="W201" i="5"/>
  <c r="W267" i="5"/>
  <c r="W329" i="5"/>
  <c r="W218" i="5"/>
  <c r="W420" i="5"/>
  <c r="W239" i="5"/>
  <c r="W199" i="5"/>
  <c r="W295" i="5"/>
  <c r="W105" i="5"/>
  <c r="W187" i="5"/>
  <c r="W178" i="5"/>
  <c r="W313" i="5"/>
  <c r="W174" i="5"/>
  <c r="W141" i="5"/>
  <c r="W259" i="5"/>
  <c r="W498" i="5"/>
  <c r="W57" i="5"/>
  <c r="W129" i="5"/>
  <c r="W114" i="5"/>
  <c r="W55" i="5"/>
  <c r="W374" i="5"/>
  <c r="W61" i="5"/>
  <c r="W29" i="5"/>
  <c r="W469" i="5"/>
  <c r="W253" i="5"/>
  <c r="W232" i="5"/>
  <c r="W442" i="5"/>
  <c r="W372" i="5"/>
  <c r="W495" i="5"/>
  <c r="W98" i="5"/>
  <c r="W233" i="5"/>
  <c r="W71" i="5"/>
  <c r="W96" i="5"/>
  <c r="W166" i="5"/>
  <c r="W450" i="5"/>
  <c r="W99" i="5"/>
  <c r="W107" i="5"/>
  <c r="W457" i="5"/>
  <c r="W406" i="5"/>
  <c r="W371" i="5"/>
  <c r="W481" i="5"/>
  <c r="W390" i="5"/>
  <c r="W148" i="5"/>
  <c r="W475" i="5"/>
  <c r="W204" i="5"/>
  <c r="W340" i="5"/>
  <c r="W144" i="5"/>
  <c r="W477" i="5"/>
  <c r="W156" i="5"/>
  <c r="W221" i="5"/>
  <c r="W341" i="5"/>
  <c r="W252" i="5"/>
  <c r="W147" i="5"/>
  <c r="W289" i="5"/>
  <c r="W28" i="5"/>
  <c r="W100" i="5"/>
  <c r="W170" i="5"/>
  <c r="W307" i="5"/>
  <c r="W432" i="5"/>
  <c r="W145" i="5"/>
  <c r="W95" i="5"/>
  <c r="W68" i="5"/>
  <c r="W487" i="5"/>
  <c r="W489" i="5"/>
  <c r="W26" i="5"/>
  <c r="X26" i="5" s="1"/>
  <c r="W149" i="5"/>
  <c r="W82" i="5"/>
  <c r="W502" i="5"/>
  <c r="W464" i="5"/>
  <c r="W164" i="5"/>
  <c r="W217" i="5"/>
  <c r="W163" i="5"/>
  <c r="W478" i="5"/>
  <c r="W355" i="5"/>
  <c r="W126" i="5"/>
  <c r="W42" i="5"/>
  <c r="W243" i="5"/>
  <c r="W283" i="5"/>
  <c r="W496" i="5"/>
  <c r="W184" i="5"/>
  <c r="W197" i="5"/>
  <c r="W424" i="5"/>
  <c r="W317" i="5"/>
  <c r="W41" i="5"/>
  <c r="W151" i="5"/>
  <c r="W209" i="5"/>
  <c r="W119" i="5"/>
  <c r="W196" i="5"/>
  <c r="W251" i="5"/>
  <c r="W411" i="5"/>
  <c r="W325" i="5"/>
  <c r="W441" i="5"/>
  <c r="W377" i="5"/>
  <c r="W273" i="5"/>
  <c r="W51" i="5"/>
  <c r="W58" i="5"/>
  <c r="W302" i="5"/>
  <c r="W488" i="5"/>
  <c r="W211" i="5"/>
  <c r="W25" i="5"/>
  <c r="X25" i="5" s="1"/>
  <c r="W74" i="5"/>
  <c r="W210" i="5"/>
  <c r="W393" i="5"/>
  <c r="W169" i="5"/>
  <c r="W426" i="5"/>
  <c r="W470" i="5"/>
  <c r="W435" i="5"/>
  <c r="W352" i="5"/>
  <c r="W391" i="5"/>
  <c r="W454" i="5"/>
  <c r="W303" i="5"/>
  <c r="W133" i="5"/>
  <c r="W348" i="5"/>
  <c r="W94" i="5"/>
  <c r="W344" i="5"/>
  <c r="W109" i="5"/>
  <c r="W396" i="5"/>
  <c r="W485" i="5"/>
  <c r="W497" i="5"/>
  <c r="W277" i="5"/>
  <c r="W260" i="5"/>
  <c r="W382" i="5"/>
  <c r="W93" i="5"/>
  <c r="W278" i="5"/>
  <c r="W177" i="5"/>
  <c r="W97" i="5"/>
  <c r="W480" i="5"/>
  <c r="W345" i="5"/>
  <c r="AA91" i="2"/>
  <c r="W494" i="5"/>
  <c r="W76" i="5"/>
  <c r="W249" i="5"/>
  <c r="W304" i="5"/>
  <c r="W482" i="5"/>
  <c r="W35" i="5"/>
  <c r="W395" i="5"/>
  <c r="W288" i="5"/>
  <c r="W285" i="5"/>
  <c r="W229" i="5"/>
  <c r="W72" i="5"/>
  <c r="W271" i="5"/>
  <c r="W452" i="5"/>
  <c r="W410" i="5"/>
  <c r="W448" i="5"/>
  <c r="W231" i="5"/>
  <c r="W301" i="5"/>
  <c r="W67" i="5"/>
  <c r="W366" i="5"/>
  <c r="W146" i="5"/>
  <c r="W80" i="5"/>
  <c r="W256" i="5"/>
  <c r="W161" i="5"/>
  <c r="W158" i="5"/>
  <c r="W282" i="5"/>
  <c r="W175" i="5"/>
  <c r="W223" i="5"/>
  <c r="W56" i="5"/>
  <c r="W120" i="5"/>
  <c r="W322" i="5"/>
  <c r="W32" i="5"/>
  <c r="W43" i="5"/>
  <c r="W227" i="5"/>
  <c r="W225" i="5"/>
  <c r="W208" i="5"/>
  <c r="W310" i="5"/>
  <c r="W443" i="5"/>
  <c r="W297" i="5"/>
  <c r="W159" i="5"/>
  <c r="W337" i="5"/>
  <c r="W226" i="5"/>
  <c r="W370" i="5"/>
  <c r="W263" i="5"/>
  <c r="W27" i="5"/>
  <c r="W139" i="5"/>
  <c r="W444" i="5"/>
  <c r="W242" i="5"/>
  <c r="W369" i="5"/>
  <c r="W362" i="5"/>
  <c r="W106" i="5"/>
  <c r="W455" i="5"/>
  <c r="W276" i="5"/>
  <c r="W413" i="5"/>
  <c r="W255" i="5"/>
  <c r="W418" i="5"/>
  <c r="W30" i="5"/>
  <c r="W84" i="5"/>
  <c r="W167" i="5"/>
  <c r="W503" i="5"/>
  <c r="W465" i="5"/>
  <c r="W500" i="5"/>
  <c r="W394" i="5"/>
  <c r="W486" i="5"/>
  <c r="W89" i="5"/>
  <c r="W338" i="5"/>
  <c r="W386" i="5"/>
  <c r="W438" i="5"/>
  <c r="W300" i="5"/>
  <c r="W85" i="5"/>
  <c r="W91" i="5"/>
  <c r="W474" i="5"/>
  <c r="W34" i="5"/>
  <c r="W380" i="5"/>
  <c r="W333" i="5"/>
  <c r="W101" i="5"/>
  <c r="W292" i="5"/>
  <c r="W466" i="5"/>
  <c r="W407" i="5"/>
  <c r="W186" i="5"/>
  <c r="W191" i="5"/>
  <c r="W350" i="5"/>
  <c r="W216" i="5"/>
  <c r="W183" i="5"/>
  <c r="W425" i="5"/>
  <c r="W83" i="5"/>
  <c r="W385" i="5"/>
  <c r="W504" i="5"/>
  <c r="W236" i="5"/>
  <c r="W135" i="5"/>
  <c r="W305" i="5"/>
  <c r="W192" i="5"/>
  <c r="W483" i="5"/>
  <c r="W306" i="5"/>
  <c r="W86" i="5"/>
  <c r="W198" i="5"/>
  <c r="W176" i="5"/>
  <c r="W354" i="5"/>
  <c r="W320" i="5"/>
  <c r="W53" i="5"/>
  <c r="W449" i="5"/>
  <c r="W298" i="5"/>
  <c r="W154" i="5"/>
  <c r="W60" i="5"/>
  <c r="W45" i="5"/>
  <c r="W398" i="5"/>
  <c r="W468" i="5"/>
  <c r="W250" i="5"/>
  <c r="W54" i="5"/>
  <c r="W112" i="5"/>
  <c r="W416" i="5"/>
  <c r="W353" i="5"/>
  <c r="W429" i="5"/>
  <c r="W111" i="5"/>
  <c r="W388" i="5"/>
  <c r="W499" i="5"/>
  <c r="W346" i="5"/>
  <c r="W358" i="5"/>
  <c r="W399" i="5"/>
  <c r="W314" i="5"/>
  <c r="W118" i="5"/>
  <c r="W381" i="5"/>
  <c r="W137" i="5"/>
  <c r="W364" i="5"/>
  <c r="W172" i="5"/>
  <c r="W265" i="5"/>
  <c r="W150" i="5"/>
  <c r="W237" i="5"/>
  <c r="W363" i="5"/>
  <c r="W92" i="5"/>
  <c r="W215" i="5"/>
  <c r="W165" i="5"/>
  <c r="W462" i="5"/>
  <c r="AM26" i="5"/>
  <c r="AM27" i="5" s="1"/>
  <c r="AM28" i="5" s="1"/>
  <c r="AM29" i="5" s="1"/>
  <c r="AM30" i="5" s="1"/>
  <c r="AM31" i="5" s="1"/>
  <c r="AM32" i="5" s="1"/>
  <c r="AM33" i="5" s="1"/>
  <c r="AM34" i="5" s="1"/>
  <c r="AM35" i="5" s="1"/>
  <c r="AM36" i="5" s="1"/>
  <c r="AM37" i="5" s="1"/>
  <c r="AM38" i="5" s="1"/>
  <c r="AM39" i="5" s="1"/>
  <c r="AM40" i="5" s="1"/>
  <c r="AM41" i="5" s="1"/>
  <c r="AM42" i="5" s="1"/>
  <c r="AM43" i="5" s="1"/>
  <c r="AM44" i="5" s="1"/>
  <c r="AM45" i="5" s="1"/>
  <c r="AM46" i="5" s="1"/>
  <c r="AM47" i="5" s="1"/>
  <c r="AM48" i="5" s="1"/>
  <c r="AM49" i="5" s="1"/>
  <c r="AM50" i="5" s="1"/>
  <c r="AM51" i="5" s="1"/>
  <c r="AM52" i="5" s="1"/>
  <c r="AM53" i="5" s="1"/>
  <c r="AM54" i="5" s="1"/>
  <c r="AM55" i="5" s="1"/>
  <c r="AM56" i="5" s="1"/>
  <c r="AM57" i="5" s="1"/>
  <c r="AM58" i="5" s="1"/>
  <c r="AM59" i="5" s="1"/>
  <c r="AM60" i="5" s="1"/>
  <c r="AM61" i="5" s="1"/>
  <c r="AM62" i="5" s="1"/>
  <c r="AM63" i="5" s="1"/>
  <c r="AM64" i="5" s="1"/>
  <c r="AM65" i="5" s="1"/>
  <c r="AM66" i="5" s="1"/>
  <c r="AM67" i="5" s="1"/>
  <c r="AM68" i="5" s="1"/>
  <c r="AM69" i="5" s="1"/>
  <c r="AM70" i="5" s="1"/>
  <c r="AM71" i="5" s="1"/>
  <c r="AM72" i="5" s="1"/>
  <c r="AM73" i="5" s="1"/>
  <c r="AM74" i="5" s="1"/>
  <c r="AM75" i="5" s="1"/>
  <c r="AM76" i="5" s="1"/>
  <c r="AM77" i="5" s="1"/>
  <c r="AM78" i="5" s="1"/>
  <c r="AM79" i="5" s="1"/>
  <c r="AM80" i="5" s="1"/>
  <c r="AM81" i="5" s="1"/>
  <c r="AM82" i="5" s="1"/>
  <c r="AM83" i="5" s="1"/>
  <c r="AM84" i="5" s="1"/>
  <c r="AM85" i="5" s="1"/>
  <c r="AM86" i="5" s="1"/>
  <c r="AM87" i="5" s="1"/>
  <c r="AM88" i="5" s="1"/>
  <c r="AM89" i="5" s="1"/>
  <c r="AM90" i="5" s="1"/>
  <c r="AM91" i="5" s="1"/>
  <c r="AM92" i="5" s="1"/>
  <c r="AM93" i="5" s="1"/>
  <c r="AM94" i="5" s="1"/>
  <c r="AM95" i="5" s="1"/>
  <c r="AM96" i="5" s="1"/>
  <c r="AM97" i="5" s="1"/>
  <c r="AM98" i="5" s="1"/>
  <c r="AM99" i="5" s="1"/>
  <c r="AM100" i="5" s="1"/>
  <c r="AM101" i="5" s="1"/>
  <c r="AM102" i="5" s="1"/>
  <c r="AM103" i="5" s="1"/>
  <c r="AM104" i="5" s="1"/>
  <c r="AM105" i="5" s="1"/>
  <c r="AM106" i="5" s="1"/>
  <c r="AM107" i="5" s="1"/>
  <c r="AM108" i="5" s="1"/>
  <c r="AM109" i="5" s="1"/>
  <c r="AM110" i="5" s="1"/>
  <c r="AM111" i="5" s="1"/>
  <c r="AM112" i="5" s="1"/>
  <c r="AM113" i="5" s="1"/>
  <c r="AM114" i="5" s="1"/>
  <c r="AM115" i="5" s="1"/>
  <c r="AM116" i="5" s="1"/>
  <c r="AM117" i="5" s="1"/>
  <c r="AM118" i="5" s="1"/>
  <c r="AM119" i="5" s="1"/>
  <c r="AM120" i="5" s="1"/>
  <c r="AM121" i="5" s="1"/>
  <c r="AM122" i="5" s="1"/>
  <c r="AM123" i="5" s="1"/>
  <c r="AM124" i="5" s="1"/>
  <c r="AM125" i="5" s="1"/>
  <c r="AM126" i="5" s="1"/>
  <c r="AM127" i="5" s="1"/>
  <c r="AM128" i="5" s="1"/>
  <c r="AM129" i="5" s="1"/>
  <c r="AM130" i="5" s="1"/>
  <c r="AM131" i="5" s="1"/>
  <c r="AM132" i="5" s="1"/>
  <c r="AM133" i="5" s="1"/>
  <c r="AM134" i="5" s="1"/>
  <c r="AM135" i="5" s="1"/>
  <c r="AM136" i="5" s="1"/>
  <c r="AM137" i="5" s="1"/>
  <c r="AM138" i="5" s="1"/>
  <c r="AM139" i="5" s="1"/>
  <c r="AM140" i="5" s="1"/>
  <c r="AM141" i="5" s="1"/>
  <c r="AM142" i="5" s="1"/>
  <c r="AM143" i="5" s="1"/>
  <c r="AM144" i="5" s="1"/>
  <c r="AM145" i="5" s="1"/>
  <c r="AM146" i="5" s="1"/>
  <c r="AM147" i="5" s="1"/>
  <c r="AM148" i="5" s="1"/>
  <c r="AM149" i="5" s="1"/>
  <c r="AM150" i="5" s="1"/>
  <c r="AM151" i="5" s="1"/>
  <c r="AM152" i="5" s="1"/>
  <c r="AM153" i="5" s="1"/>
  <c r="AM154" i="5" s="1"/>
  <c r="AM155" i="5" s="1"/>
  <c r="AM156" i="5" s="1"/>
  <c r="AM157" i="5" s="1"/>
  <c r="AM158" i="5" s="1"/>
  <c r="AM159" i="5" s="1"/>
  <c r="AM160" i="5" s="1"/>
  <c r="AM161" i="5" s="1"/>
  <c r="AM162" i="5" s="1"/>
  <c r="AM163" i="5" s="1"/>
  <c r="AM164" i="5" s="1"/>
  <c r="AM165" i="5" s="1"/>
  <c r="AM166" i="5" s="1"/>
  <c r="AM167" i="5" s="1"/>
  <c r="AM168" i="5" s="1"/>
  <c r="AM169" i="5" s="1"/>
  <c r="AM170" i="5" s="1"/>
  <c r="AM171" i="5" s="1"/>
  <c r="AM172" i="5" s="1"/>
  <c r="AM173" i="5" s="1"/>
  <c r="AM174" i="5" s="1"/>
  <c r="AM175" i="5" s="1"/>
  <c r="AM176" i="5" s="1"/>
  <c r="AM177" i="5" s="1"/>
  <c r="AM178" i="5" s="1"/>
  <c r="AM179" i="5" s="1"/>
  <c r="AM180" i="5" s="1"/>
  <c r="AM181" i="5" s="1"/>
  <c r="AM182" i="5" s="1"/>
  <c r="AM183" i="5" s="1"/>
  <c r="AM184" i="5" s="1"/>
  <c r="AM185" i="5" s="1"/>
  <c r="AM186" i="5" s="1"/>
  <c r="AM187" i="5" s="1"/>
  <c r="AM188" i="5" s="1"/>
  <c r="AM189" i="5" s="1"/>
  <c r="AM190" i="5" s="1"/>
  <c r="AM191" i="5" s="1"/>
  <c r="AM192" i="5" s="1"/>
  <c r="AM193" i="5" s="1"/>
  <c r="AM194" i="5" s="1"/>
  <c r="AM195" i="5" s="1"/>
  <c r="AM196" i="5" s="1"/>
  <c r="AM197" i="5" s="1"/>
  <c r="AM198" i="5" s="1"/>
  <c r="AM199" i="5" s="1"/>
  <c r="AM200" i="5" s="1"/>
  <c r="AM201" i="5" s="1"/>
  <c r="AM202" i="5" s="1"/>
  <c r="AM203" i="5" s="1"/>
  <c r="AM204" i="5" s="1"/>
  <c r="AM205" i="5" s="1"/>
  <c r="AM206" i="5" s="1"/>
  <c r="AM207" i="5" s="1"/>
  <c r="AM208" i="5" s="1"/>
  <c r="AM209" i="5" s="1"/>
  <c r="AM210" i="5" s="1"/>
  <c r="AM211" i="5" s="1"/>
  <c r="AM212" i="5" s="1"/>
  <c r="AM213" i="5" s="1"/>
  <c r="AM214" i="5" s="1"/>
  <c r="AM215" i="5" s="1"/>
  <c r="AM216" i="5" s="1"/>
  <c r="AM217" i="5" s="1"/>
  <c r="AM218" i="5" s="1"/>
  <c r="AM219" i="5" s="1"/>
  <c r="AM220" i="5" s="1"/>
  <c r="AM221" i="5" s="1"/>
  <c r="AM222" i="5" s="1"/>
  <c r="AM223" i="5" s="1"/>
  <c r="AM224" i="5" s="1"/>
  <c r="AM225" i="5" s="1"/>
  <c r="AM226" i="5" s="1"/>
  <c r="AM227" i="5" s="1"/>
  <c r="AM228" i="5" s="1"/>
  <c r="AM229" i="5" s="1"/>
  <c r="AM230" i="5" s="1"/>
  <c r="AM231" i="5" s="1"/>
  <c r="AM232" i="5" s="1"/>
  <c r="AM233" i="5" s="1"/>
  <c r="AM234" i="5" s="1"/>
  <c r="AM235" i="5" s="1"/>
  <c r="AM236" i="5" s="1"/>
  <c r="AM237" i="5" s="1"/>
  <c r="AM238" i="5" s="1"/>
  <c r="AM239" i="5" s="1"/>
  <c r="AM240" i="5" s="1"/>
  <c r="AM241" i="5" s="1"/>
  <c r="AM242" i="5" s="1"/>
  <c r="AM243" i="5" s="1"/>
  <c r="AM244" i="5" s="1"/>
  <c r="AM245" i="5" s="1"/>
  <c r="AM246" i="5" s="1"/>
  <c r="AM247" i="5" s="1"/>
  <c r="AM248" i="5" s="1"/>
  <c r="AM249" i="5" s="1"/>
  <c r="AM250" i="5" s="1"/>
  <c r="AM251" i="5" s="1"/>
  <c r="AM252" i="5" s="1"/>
  <c r="AM253" i="5" s="1"/>
  <c r="AM254" i="5" s="1"/>
  <c r="AM255" i="5" s="1"/>
  <c r="AM256" i="5" s="1"/>
  <c r="AM257" i="5" s="1"/>
  <c r="AM258" i="5" s="1"/>
  <c r="AM259" i="5" s="1"/>
  <c r="AM260" i="5" s="1"/>
  <c r="AM261" i="5" s="1"/>
  <c r="AM262" i="5" s="1"/>
  <c r="AM263" i="5" s="1"/>
  <c r="AM264" i="5" s="1"/>
  <c r="AM265" i="5" s="1"/>
  <c r="AM266" i="5" s="1"/>
  <c r="AM267" i="5" s="1"/>
  <c r="AM268" i="5" s="1"/>
  <c r="AM269" i="5" s="1"/>
  <c r="AM270" i="5" s="1"/>
  <c r="AM271" i="5" s="1"/>
  <c r="AM272" i="5" s="1"/>
  <c r="AM273" i="5" s="1"/>
  <c r="AM274" i="5" s="1"/>
  <c r="AM275" i="5" s="1"/>
  <c r="AM276" i="5" s="1"/>
  <c r="AM277" i="5" s="1"/>
  <c r="AM278" i="5" s="1"/>
  <c r="AM279" i="5" s="1"/>
  <c r="AM280" i="5" s="1"/>
  <c r="AM281" i="5" s="1"/>
  <c r="AM282" i="5" s="1"/>
  <c r="AM283" i="5" s="1"/>
  <c r="AM284" i="5" s="1"/>
  <c r="AM285" i="5" s="1"/>
  <c r="AM286" i="5" s="1"/>
  <c r="AM287" i="5" s="1"/>
  <c r="AM288" i="5" s="1"/>
  <c r="AM289" i="5" s="1"/>
  <c r="AM290" i="5" s="1"/>
  <c r="AM291" i="5" s="1"/>
  <c r="AM292" i="5" s="1"/>
  <c r="AM293" i="5" s="1"/>
  <c r="AM294" i="5" s="1"/>
  <c r="AM295" i="5" s="1"/>
  <c r="AM296" i="5" s="1"/>
  <c r="AM297" i="5" s="1"/>
  <c r="AM298" i="5" s="1"/>
  <c r="AM299" i="5" s="1"/>
  <c r="AM300" i="5" s="1"/>
  <c r="AM301" i="5" s="1"/>
  <c r="AM302" i="5" s="1"/>
  <c r="AM303" i="5" s="1"/>
  <c r="AM304" i="5" s="1"/>
  <c r="AM305" i="5" s="1"/>
  <c r="AM306" i="5" s="1"/>
  <c r="AM307" i="5" s="1"/>
  <c r="AM308" i="5" s="1"/>
  <c r="AM309" i="5" s="1"/>
  <c r="AM310" i="5" s="1"/>
  <c r="AM311" i="5" s="1"/>
  <c r="AM312" i="5" s="1"/>
  <c r="AM313" i="5" s="1"/>
  <c r="AM314" i="5" s="1"/>
  <c r="AM315" i="5" s="1"/>
  <c r="AM316" i="5" s="1"/>
  <c r="AM317" i="5" s="1"/>
  <c r="AM318" i="5" s="1"/>
  <c r="AM319" i="5" s="1"/>
  <c r="AM320" i="5" s="1"/>
  <c r="AM321" i="5" s="1"/>
  <c r="AM322" i="5" s="1"/>
  <c r="AM323" i="5" s="1"/>
  <c r="AM324" i="5" s="1"/>
  <c r="AM325" i="5" s="1"/>
  <c r="AM326" i="5" s="1"/>
  <c r="AM327" i="5" s="1"/>
  <c r="AM328" i="5" s="1"/>
  <c r="AM329" i="5" s="1"/>
  <c r="AM330" i="5" s="1"/>
  <c r="AM331" i="5" s="1"/>
  <c r="AM332" i="5" s="1"/>
  <c r="AM333" i="5" s="1"/>
  <c r="AM334" i="5" s="1"/>
  <c r="AM335" i="5" s="1"/>
  <c r="AM336" i="5" s="1"/>
  <c r="AM337" i="5" s="1"/>
  <c r="AM338" i="5" s="1"/>
  <c r="AM339" i="5" s="1"/>
  <c r="AM340" i="5" s="1"/>
  <c r="AM341" i="5" s="1"/>
  <c r="AM342" i="5" s="1"/>
  <c r="AM343" i="5" s="1"/>
  <c r="AM344" i="5" s="1"/>
  <c r="AM345" i="5" s="1"/>
  <c r="AM346" i="5" s="1"/>
  <c r="AM347" i="5" s="1"/>
  <c r="AM348" i="5" s="1"/>
  <c r="AM349" i="5" s="1"/>
  <c r="AM350" i="5" s="1"/>
  <c r="AM351" i="5" s="1"/>
  <c r="AM352" i="5" s="1"/>
  <c r="AM353" i="5" s="1"/>
  <c r="AM354" i="5" s="1"/>
  <c r="AM355" i="5" s="1"/>
  <c r="AM356" i="5" s="1"/>
  <c r="AM357" i="5" s="1"/>
  <c r="AM358" i="5" s="1"/>
  <c r="AM359" i="5" s="1"/>
  <c r="AM360" i="5" s="1"/>
  <c r="AM361" i="5" s="1"/>
  <c r="AM362" i="5" s="1"/>
  <c r="AM363" i="5" s="1"/>
  <c r="AM364" i="5" s="1"/>
  <c r="AM365" i="5" s="1"/>
  <c r="AM366" i="5" s="1"/>
  <c r="AM367" i="5" s="1"/>
  <c r="AM368" i="5" s="1"/>
  <c r="AM369" i="5" s="1"/>
  <c r="AM370" i="5" s="1"/>
  <c r="AM371" i="5" s="1"/>
  <c r="AM372" i="5" s="1"/>
  <c r="AM373" i="5" s="1"/>
  <c r="AM374" i="5" s="1"/>
  <c r="AM375" i="5" s="1"/>
  <c r="AM376" i="5" s="1"/>
  <c r="AM377" i="5" s="1"/>
  <c r="AM378" i="5" s="1"/>
  <c r="AM379" i="5" s="1"/>
  <c r="AM380" i="5" s="1"/>
  <c r="AM381" i="5" s="1"/>
  <c r="AM382" i="5" s="1"/>
  <c r="AM383" i="5" s="1"/>
  <c r="AM384" i="5" s="1"/>
  <c r="AM385" i="5" s="1"/>
  <c r="AM386" i="5" s="1"/>
  <c r="AM387" i="5" s="1"/>
  <c r="AM388" i="5" s="1"/>
  <c r="AM389" i="5" s="1"/>
  <c r="AM390" i="5" s="1"/>
  <c r="AM391" i="5" s="1"/>
  <c r="AM392" i="5" s="1"/>
  <c r="AM393" i="5" s="1"/>
  <c r="AM394" i="5" s="1"/>
  <c r="AM395" i="5" s="1"/>
  <c r="AM396" i="5" s="1"/>
  <c r="AM397" i="5" s="1"/>
  <c r="AM398" i="5" s="1"/>
  <c r="AM399" i="5" s="1"/>
  <c r="AM400" i="5" s="1"/>
  <c r="AM401" i="5" s="1"/>
  <c r="AM402" i="5" s="1"/>
  <c r="AM403" i="5" s="1"/>
  <c r="AM404" i="5" s="1"/>
  <c r="AM405" i="5" s="1"/>
  <c r="AM406" i="5" s="1"/>
  <c r="AM407" i="5" s="1"/>
  <c r="AM408" i="5" s="1"/>
  <c r="AM409" i="5" s="1"/>
  <c r="AM410" i="5" s="1"/>
  <c r="AM411" i="5" s="1"/>
  <c r="AM412" i="5" s="1"/>
  <c r="AM413" i="5" s="1"/>
  <c r="AM414" i="5" s="1"/>
  <c r="AM415" i="5" s="1"/>
  <c r="AM416" i="5" s="1"/>
  <c r="AM417" i="5" s="1"/>
  <c r="AM418" i="5" s="1"/>
  <c r="AM419" i="5" s="1"/>
  <c r="AM420" i="5" s="1"/>
  <c r="AM421" i="5" s="1"/>
  <c r="AM422" i="5" s="1"/>
  <c r="AM423" i="5" s="1"/>
  <c r="AM424" i="5" s="1"/>
  <c r="AM425" i="5" s="1"/>
  <c r="AM426" i="5" s="1"/>
  <c r="AM427" i="5" s="1"/>
  <c r="AM428" i="5" s="1"/>
  <c r="AM429" i="5" s="1"/>
  <c r="AM430" i="5" s="1"/>
  <c r="AM431" i="5" s="1"/>
  <c r="AM432" i="5" s="1"/>
  <c r="AM433" i="5" s="1"/>
  <c r="AM434" i="5" s="1"/>
  <c r="AM435" i="5" s="1"/>
  <c r="AM436" i="5" s="1"/>
  <c r="AM437" i="5" s="1"/>
  <c r="AM438" i="5" s="1"/>
  <c r="AM439" i="5" s="1"/>
  <c r="AM440" i="5" s="1"/>
  <c r="AM441" i="5" s="1"/>
  <c r="AM442" i="5" s="1"/>
  <c r="AM443" i="5" s="1"/>
  <c r="AM444" i="5" s="1"/>
  <c r="AM445" i="5" s="1"/>
  <c r="AM446" i="5" s="1"/>
  <c r="AM447" i="5" s="1"/>
  <c r="AM448" i="5" s="1"/>
  <c r="AM449" i="5" s="1"/>
  <c r="AM450" i="5" s="1"/>
  <c r="AM451" i="5" s="1"/>
  <c r="AM452" i="5" s="1"/>
  <c r="AM453" i="5" s="1"/>
  <c r="AM454" i="5" s="1"/>
  <c r="AM455" i="5" s="1"/>
  <c r="AM456" i="5" s="1"/>
  <c r="AM457" i="5" s="1"/>
  <c r="AM458" i="5" s="1"/>
  <c r="AM459" i="5" s="1"/>
  <c r="AM460" i="5" s="1"/>
  <c r="AM461" i="5" s="1"/>
  <c r="AM462" i="5" s="1"/>
  <c r="AM463" i="5" s="1"/>
  <c r="AM464" i="5" s="1"/>
  <c r="AM465" i="5" s="1"/>
  <c r="AM466" i="5" s="1"/>
  <c r="AM467" i="5" s="1"/>
  <c r="AM468" i="5" s="1"/>
  <c r="AM469" i="5" s="1"/>
  <c r="AM470" i="5" s="1"/>
  <c r="AM471" i="5" s="1"/>
  <c r="AM472" i="5" s="1"/>
  <c r="AM473" i="5" s="1"/>
  <c r="AM474" i="5" s="1"/>
  <c r="AM475" i="5" s="1"/>
  <c r="AM476" i="5" s="1"/>
  <c r="AM477" i="5" s="1"/>
  <c r="AM478" i="5" s="1"/>
  <c r="AM479" i="5" s="1"/>
  <c r="AM480" i="5" s="1"/>
  <c r="AM481" i="5" s="1"/>
  <c r="AM482" i="5" s="1"/>
  <c r="AM483" i="5" s="1"/>
  <c r="AM484" i="5" s="1"/>
  <c r="AM485" i="5" s="1"/>
  <c r="AM486" i="5" s="1"/>
  <c r="AM487" i="5" s="1"/>
  <c r="AM488" i="5" s="1"/>
  <c r="AM489" i="5" s="1"/>
  <c r="AM490" i="5" s="1"/>
  <c r="AM491" i="5" s="1"/>
  <c r="AM492" i="5" s="1"/>
  <c r="AM493" i="5" s="1"/>
  <c r="AM494" i="5" s="1"/>
  <c r="AM495" i="5" s="1"/>
  <c r="AM496" i="5" s="1"/>
  <c r="AM497" i="5" s="1"/>
  <c r="AM498" i="5" s="1"/>
  <c r="AM499" i="5" s="1"/>
  <c r="AM500" i="5" s="1"/>
  <c r="AM501" i="5" s="1"/>
  <c r="AM502" i="5" s="1"/>
  <c r="AM503" i="5" s="1"/>
  <c r="AM504" i="5" s="1"/>
  <c r="AM505" i="5" s="1"/>
  <c r="AM506" i="5" s="1"/>
  <c r="AM507" i="5" s="1"/>
  <c r="AM508" i="5" s="1"/>
  <c r="AM509" i="5" s="1"/>
  <c r="AM510" i="5" s="1"/>
  <c r="AM511" i="5" s="1"/>
  <c r="AI25" i="5"/>
  <c r="Z27" i="5"/>
  <c r="V27" i="5" s="1"/>
  <c r="K18" i="11"/>
  <c r="K16" i="11"/>
  <c r="K21" i="11"/>
  <c r="K20" i="11"/>
  <c r="J17" i="11"/>
  <c r="K17" i="11" s="1"/>
  <c r="K19" i="11"/>
  <c r="Y42" i="2"/>
  <c r="AA42" i="2" s="1"/>
  <c r="T66" i="6"/>
  <c r="U66" i="6" s="1"/>
  <c r="I66" i="6" s="1"/>
  <c r="T256" i="11"/>
  <c r="U256" i="11" s="1"/>
  <c r="I256" i="11" s="1"/>
  <c r="T325" i="6"/>
  <c r="T82" i="6"/>
  <c r="T49" i="11"/>
  <c r="T66" i="11"/>
  <c r="U66" i="11" s="1"/>
  <c r="I66" i="11" s="1"/>
  <c r="U215" i="5"/>
  <c r="I215" i="5" s="1"/>
  <c r="U238" i="5"/>
  <c r="I238" i="5" s="1"/>
  <c r="T276" i="11"/>
  <c r="T406" i="6"/>
  <c r="T322" i="11"/>
  <c r="U168" i="5"/>
  <c r="I168" i="5" s="1"/>
  <c r="T333" i="6"/>
  <c r="T435" i="11"/>
  <c r="T80" i="6"/>
  <c r="U41" i="5"/>
  <c r="I41" i="5" s="1"/>
  <c r="T431" i="11"/>
  <c r="U304" i="5"/>
  <c r="I304" i="5" s="1"/>
  <c r="T437" i="11"/>
  <c r="T272" i="6"/>
  <c r="U181" i="5"/>
  <c r="I181" i="5" s="1"/>
  <c r="U251" i="5"/>
  <c r="I251" i="5" s="1"/>
  <c r="T241" i="6"/>
  <c r="U249" i="5"/>
  <c r="I249" i="5" s="1"/>
  <c r="T414" i="11"/>
  <c r="U105" i="6"/>
  <c r="I105" i="6" s="1"/>
  <c r="U61" i="5"/>
  <c r="I61" i="5" s="1"/>
  <c r="U235" i="5"/>
  <c r="I235" i="5" s="1"/>
  <c r="T331" i="11"/>
  <c r="T419" i="11"/>
  <c r="T378" i="11"/>
  <c r="T335" i="6"/>
  <c r="T310" i="11"/>
  <c r="T282" i="11"/>
  <c r="U422" i="11"/>
  <c r="I422" i="11" s="1"/>
  <c r="U145" i="5"/>
  <c r="I145" i="5" s="1"/>
  <c r="T274" i="11"/>
  <c r="T141" i="11"/>
  <c r="T83" i="11"/>
  <c r="B26" i="6"/>
  <c r="V26" i="6" s="1"/>
  <c r="B26" i="11"/>
  <c r="V26" i="11" s="1"/>
  <c r="B27" i="5"/>
  <c r="AN386" i="5"/>
  <c r="AN274" i="5"/>
  <c r="AN332" i="5"/>
  <c r="AN464" i="5"/>
  <c r="AL117" i="5"/>
  <c r="AL316" i="5"/>
  <c r="AL441" i="5"/>
  <c r="AN70" i="5"/>
  <c r="AL291" i="5"/>
  <c r="AL212" i="5"/>
  <c r="AL96" i="5"/>
  <c r="AN167" i="5"/>
  <c r="AN296" i="5"/>
  <c r="AL260" i="5"/>
  <c r="AL449" i="5"/>
  <c r="AN155" i="5"/>
  <c r="AL232" i="5"/>
  <c r="AN26" i="5"/>
  <c r="AN490" i="5"/>
  <c r="AN249" i="5"/>
  <c r="AN189" i="5"/>
  <c r="AL187" i="5"/>
  <c r="AN102" i="5"/>
  <c r="AL297" i="5"/>
  <c r="AN242" i="5"/>
  <c r="AL331" i="5"/>
  <c r="AL200" i="5"/>
  <c r="AL80" i="5"/>
  <c r="AL184" i="5"/>
  <c r="AN438" i="5"/>
  <c r="AN267" i="5"/>
  <c r="AL165" i="5"/>
  <c r="AN47" i="5"/>
  <c r="AL216" i="5"/>
  <c r="AN312" i="5"/>
  <c r="AN378" i="5"/>
  <c r="AL480" i="5"/>
  <c r="AL467" i="5"/>
  <c r="AN72" i="5"/>
  <c r="AL31" i="5"/>
  <c r="AL299" i="5"/>
  <c r="AN482" i="5"/>
  <c r="AL488" i="5"/>
  <c r="AL70" i="5"/>
  <c r="AN181" i="5"/>
  <c r="AL257" i="5"/>
  <c r="AN212" i="5"/>
  <c r="AL91" i="5"/>
  <c r="AL489" i="5"/>
  <c r="AN224" i="5"/>
  <c r="AN340" i="5"/>
  <c r="AN99" i="5"/>
  <c r="AL278" i="5"/>
  <c r="AL436" i="5"/>
  <c r="AL214" i="5"/>
  <c r="AN77" i="5"/>
  <c r="AN279" i="5"/>
  <c r="AL471" i="5"/>
  <c r="AL322" i="5"/>
  <c r="AL48" i="5"/>
  <c r="AN185" i="5"/>
  <c r="AN325" i="5"/>
  <c r="AN132" i="5"/>
  <c r="AN227" i="5"/>
  <c r="AN442" i="5"/>
  <c r="AL151" i="5"/>
  <c r="AN108" i="5"/>
  <c r="AN91" i="5"/>
  <c r="AL268" i="5"/>
  <c r="AL244" i="5"/>
  <c r="AL123" i="5"/>
  <c r="AL283" i="5"/>
  <c r="AN440" i="5"/>
  <c r="AL509" i="5"/>
  <c r="AN488" i="5"/>
  <c r="AL364" i="5"/>
  <c r="AL469" i="5"/>
  <c r="AN452" i="5"/>
  <c r="AL86" i="5"/>
  <c r="AL280" i="5"/>
  <c r="AN480" i="5"/>
  <c r="AN396" i="5"/>
  <c r="AL49" i="5"/>
  <c r="AL462" i="5"/>
  <c r="AN183" i="5"/>
  <c r="AL446" i="5"/>
  <c r="AL459" i="5"/>
  <c r="AL439" i="5"/>
  <c r="AN371" i="5"/>
  <c r="AL258" i="5"/>
  <c r="AN257" i="5"/>
  <c r="AN46" i="5"/>
  <c r="AN209" i="5"/>
  <c r="AL169" i="5"/>
  <c r="AL42" i="5"/>
  <c r="AL383" i="5"/>
  <c r="AN483" i="5"/>
  <c r="AL264" i="5"/>
  <c r="AL412" i="5"/>
  <c r="AL226" i="5"/>
  <c r="AN85" i="5"/>
  <c r="AL54" i="5"/>
  <c r="AN199" i="5"/>
  <c r="AL82" i="5"/>
  <c r="AN297" i="5"/>
  <c r="AN405" i="5"/>
  <c r="AN169" i="5"/>
  <c r="AL27" i="5"/>
  <c r="AN144" i="5"/>
  <c r="AN88" i="5"/>
  <c r="AL176" i="5"/>
  <c r="AN382" i="5"/>
  <c r="AN160" i="5"/>
  <c r="AL161" i="5"/>
  <c r="AL414" i="5"/>
  <c r="AN50" i="5"/>
  <c r="AN238" i="5"/>
  <c r="AL195" i="5"/>
  <c r="AN331" i="5"/>
  <c r="AL323" i="5"/>
  <c r="AN418" i="5"/>
  <c r="AN401" i="5"/>
  <c r="AL53" i="5"/>
  <c r="AN295" i="5"/>
  <c r="AL419" i="5"/>
  <c r="AN299" i="5"/>
  <c r="AL502" i="5"/>
  <c r="AN459" i="5"/>
  <c r="AN205" i="5"/>
  <c r="AL279" i="5"/>
  <c r="AN272" i="5"/>
  <c r="AL376" i="5"/>
  <c r="AL422" i="5"/>
  <c r="AL366" i="5"/>
  <c r="AL68" i="5"/>
  <c r="AL115" i="5"/>
  <c r="AN141" i="5"/>
  <c r="AL340" i="5"/>
  <c r="AN343" i="5"/>
  <c r="AL236" i="5"/>
  <c r="AL497" i="5"/>
  <c r="AN363" i="5"/>
  <c r="AL265" i="5"/>
  <c r="AN174" i="5"/>
  <c r="AL215" i="5"/>
  <c r="AL167" i="5"/>
  <c r="AN93" i="5"/>
  <c r="AL292" i="5"/>
  <c r="AN419" i="5"/>
  <c r="AL287" i="5"/>
  <c r="AN104" i="5"/>
  <c r="AN353" i="5"/>
  <c r="AL50" i="5"/>
  <c r="AN381" i="5"/>
  <c r="AN485" i="5"/>
  <c r="AL510" i="5"/>
  <c r="AL468" i="5"/>
  <c r="AN51" i="5"/>
  <c r="AN254" i="5"/>
  <c r="AL271" i="5"/>
  <c r="AN124" i="5"/>
  <c r="AL97" i="5"/>
  <c r="AN197" i="5"/>
  <c r="AN368" i="5"/>
  <c r="AL289" i="5"/>
  <c r="AL309" i="5"/>
  <c r="AL311" i="5"/>
  <c r="AN300" i="5"/>
  <c r="AN138" i="5"/>
  <c r="AL345" i="5"/>
  <c r="AN84" i="5"/>
  <c r="AN387" i="5"/>
  <c r="AL301" i="5"/>
  <c r="AL396" i="5"/>
  <c r="AN162" i="5"/>
  <c r="AL237" i="5"/>
  <c r="AN173" i="5"/>
  <c r="AL425" i="5"/>
  <c r="AL483" i="5"/>
  <c r="AN42" i="5"/>
  <c r="AN380" i="5"/>
  <c r="AL342" i="5"/>
  <c r="AL113" i="5"/>
  <c r="AL199" i="5"/>
  <c r="AL40" i="5"/>
  <c r="AL418" i="5"/>
  <c r="AL250" i="5"/>
  <c r="AN182" i="5"/>
  <c r="AN106" i="5"/>
  <c r="AN484" i="5"/>
  <c r="AL89" i="5"/>
  <c r="AL293" i="5"/>
  <c r="AL339" i="5"/>
  <c r="AL447" i="5"/>
  <c r="AL75" i="5"/>
  <c r="AN97" i="5"/>
  <c r="AL139" i="5"/>
  <c r="AL435" i="5"/>
  <c r="AN316" i="5"/>
  <c r="AL65" i="5"/>
  <c r="AL506" i="5"/>
  <c r="AL227" i="5"/>
  <c r="AN487" i="5"/>
  <c r="AN86" i="5"/>
  <c r="AL413" i="5"/>
  <c r="AN258" i="5"/>
  <c r="AL400" i="5"/>
  <c r="AN416" i="5"/>
  <c r="AN44" i="5"/>
  <c r="AN435" i="5"/>
  <c r="AN350" i="5"/>
  <c r="AL121" i="5"/>
  <c r="AN244" i="5"/>
  <c r="AL360" i="5"/>
  <c r="AL385" i="5"/>
  <c r="AL269" i="5"/>
  <c r="AN411" i="5"/>
  <c r="AN425" i="5"/>
  <c r="AN246" i="5"/>
  <c r="AN454" i="5"/>
  <c r="AN68" i="5"/>
  <c r="AL85" i="5"/>
  <c r="AL225" i="5"/>
  <c r="AN423" i="5"/>
  <c r="AN493" i="5"/>
  <c r="AL128" i="5"/>
  <c r="AL170" i="5"/>
  <c r="AL470" i="5"/>
  <c r="AL472" i="5"/>
  <c r="AL408" i="5"/>
  <c r="AN175" i="5"/>
  <c r="AL500" i="5"/>
  <c r="AN449" i="5"/>
  <c r="AN503" i="5"/>
  <c r="AN221" i="5"/>
  <c r="AN74" i="5"/>
  <c r="AL424" i="5"/>
  <c r="AL401" i="5"/>
  <c r="AN203" i="5"/>
  <c r="AL157" i="5"/>
  <c r="AN196" i="5"/>
  <c r="AL354" i="5"/>
  <c r="AN278" i="5"/>
  <c r="AN268" i="5"/>
  <c r="AL146" i="5"/>
  <c r="AL463" i="5"/>
  <c r="AN434" i="5"/>
  <c r="AL368" i="5"/>
  <c r="AL191" i="5"/>
  <c r="AN477" i="5"/>
  <c r="AL166" i="5"/>
  <c r="AL148" i="5"/>
  <c r="AN140" i="5"/>
  <c r="AN437" i="5"/>
  <c r="AN432" i="5"/>
  <c r="AL64" i="5"/>
  <c r="AL362" i="5"/>
  <c r="AL375" i="5"/>
  <c r="AN32" i="5"/>
  <c r="AL310" i="5"/>
  <c r="AN186" i="5"/>
  <c r="AL193" i="5"/>
  <c r="AN412" i="5"/>
  <c r="AL126" i="5"/>
  <c r="AL405" i="5"/>
  <c r="AL308" i="5"/>
  <c r="AN237" i="5"/>
  <c r="AL136" i="5"/>
  <c r="AL508" i="5"/>
  <c r="AN61" i="5"/>
  <c r="AN448" i="5"/>
  <c r="AN66" i="5"/>
  <c r="AN31" i="5"/>
  <c r="AN211" i="5"/>
  <c r="AL228" i="5"/>
  <c r="AL181" i="5"/>
  <c r="AN497" i="5"/>
  <c r="AL428" i="5"/>
  <c r="AL444" i="5"/>
  <c r="AL505" i="5"/>
  <c r="AL415" i="5"/>
  <c r="AL220" i="5"/>
  <c r="AL476" i="5"/>
  <c r="AN355" i="5"/>
  <c r="AN506" i="5"/>
  <c r="AL33" i="5"/>
  <c r="AL336" i="5"/>
  <c r="AN264" i="5"/>
  <c r="AN135" i="5"/>
  <c r="AN322" i="5"/>
  <c r="AL254" i="5"/>
  <c r="AN38" i="5"/>
  <c r="AN491" i="5"/>
  <c r="AL213" i="5"/>
  <c r="AN399" i="5"/>
  <c r="AN307" i="5"/>
  <c r="AL76" i="5"/>
  <c r="AL206" i="5"/>
  <c r="AN240" i="5"/>
  <c r="AL507" i="5"/>
  <c r="AN63" i="5"/>
  <c r="AN304" i="5"/>
  <c r="AL290" i="5"/>
  <c r="AN82" i="5"/>
  <c r="AN219" i="5"/>
  <c r="AN41" i="5"/>
  <c r="AN112" i="5"/>
  <c r="AL45" i="5"/>
  <c r="AL386" i="5"/>
  <c r="AN36" i="5"/>
  <c r="AN33" i="5"/>
  <c r="AN341" i="5"/>
  <c r="AL211" i="5"/>
  <c r="AL438" i="5"/>
  <c r="AN426" i="5"/>
  <c r="AL100" i="5"/>
  <c r="AN111" i="5"/>
  <c r="AN233" i="5"/>
  <c r="AN289" i="5"/>
  <c r="AN54" i="5"/>
  <c r="AN391" i="5"/>
  <c r="AN308" i="5"/>
  <c r="AN195" i="5"/>
  <c r="AL74" i="5"/>
  <c r="AL98" i="5"/>
  <c r="AN40" i="5"/>
  <c r="AL303" i="5"/>
  <c r="AN215" i="5"/>
  <c r="AN430" i="5"/>
  <c r="AL246" i="5"/>
  <c r="AL255" i="5"/>
  <c r="AL427" i="5"/>
  <c r="AN474" i="5"/>
  <c r="AN375" i="5"/>
  <c r="AL125" i="5"/>
  <c r="AN179" i="5"/>
  <c r="AN460" i="5"/>
  <c r="AN317" i="5"/>
  <c r="AN379" i="5"/>
  <c r="AL275" i="5"/>
  <c r="AN414" i="5"/>
  <c r="AN287" i="5"/>
  <c r="AN327" i="5"/>
  <c r="AL433" i="5"/>
  <c r="AL349" i="5"/>
  <c r="AL101" i="5"/>
  <c r="AL380" i="5"/>
  <c r="AN165" i="5"/>
  <c r="AL332" i="5"/>
  <c r="AN329" i="5"/>
  <c r="AL453" i="5"/>
  <c r="AL448" i="5"/>
  <c r="AN143" i="5"/>
  <c r="AN187" i="5"/>
  <c r="AL59" i="5"/>
  <c r="AN373" i="5"/>
  <c r="AL147" i="5"/>
  <c r="AL150" i="5"/>
  <c r="AL482" i="5"/>
  <c r="AN157" i="5"/>
  <c r="AL272" i="5"/>
  <c r="AN311" i="5"/>
  <c r="AN217" i="5"/>
  <c r="AL487" i="5"/>
  <c r="AL420" i="5"/>
  <c r="AL266" i="5"/>
  <c r="AL353" i="5"/>
  <c r="AL131" i="5"/>
  <c r="AN230" i="5"/>
  <c r="AL134" i="5"/>
  <c r="AL205" i="5"/>
  <c r="AL83" i="5"/>
  <c r="AN446" i="5"/>
  <c r="AL186" i="5"/>
  <c r="AN235" i="5"/>
  <c r="AL253" i="5"/>
  <c r="AN507" i="5"/>
  <c r="AN502" i="5"/>
  <c r="AN236" i="5"/>
  <c r="AN511" i="5"/>
  <c r="AL135" i="5"/>
  <c r="AL465" i="5"/>
  <c r="AL298" i="5"/>
  <c r="AN245" i="5"/>
  <c r="AN184" i="5"/>
  <c r="AN313" i="5"/>
  <c r="AL334" i="5"/>
  <c r="AN337" i="5"/>
  <c r="AL416" i="5"/>
  <c r="AL158" i="5"/>
  <c r="AL248" i="5"/>
  <c r="AN60" i="5"/>
  <c r="AN473" i="5"/>
  <c r="AN270" i="5"/>
  <c r="AL372" i="5"/>
  <c r="AL127" i="5"/>
  <c r="AN107" i="5"/>
  <c r="AN367" i="5"/>
  <c r="AN394" i="5"/>
  <c r="AL407" i="5"/>
  <c r="AL294" i="5"/>
  <c r="AN468" i="5"/>
  <c r="AL430" i="5"/>
  <c r="AN510" i="5"/>
  <c r="AN494" i="5"/>
  <c r="AL145" i="5"/>
  <c r="AN177" i="5"/>
  <c r="AN431" i="5"/>
  <c r="AL118" i="5"/>
  <c r="AN113" i="5"/>
  <c r="AL300" i="5"/>
  <c r="AN89" i="5"/>
  <c r="AN443" i="5"/>
  <c r="AN35" i="5"/>
  <c r="AN478" i="5"/>
  <c r="AL104" i="5"/>
  <c r="AL348" i="5"/>
  <c r="AL356" i="5"/>
  <c r="AN501" i="5"/>
  <c r="AN180" i="5"/>
  <c r="AL337" i="5"/>
  <c r="AN92" i="5"/>
  <c r="AN176" i="5"/>
  <c r="AN152" i="5"/>
  <c r="AN164" i="5"/>
  <c r="AN214" i="5"/>
  <c r="AL207" i="5"/>
  <c r="AL325" i="5"/>
  <c r="AN504" i="5"/>
  <c r="AN346" i="5"/>
  <c r="AL208" i="5"/>
  <c r="AL122" i="5"/>
  <c r="AN320" i="5"/>
  <c r="AL379" i="5"/>
  <c r="AN457" i="5"/>
  <c r="AL168" i="5"/>
  <c r="AN96" i="5"/>
  <c r="AN204" i="5"/>
  <c r="AN282" i="5"/>
  <c r="AL464" i="5"/>
  <c r="AN265" i="5"/>
  <c r="AN408" i="5"/>
  <c r="AN277" i="5"/>
  <c r="AL429" i="5"/>
  <c r="AL119" i="5"/>
  <c r="AN73" i="5"/>
  <c r="AN383" i="5"/>
  <c r="AL44" i="5"/>
  <c r="AL194" i="5"/>
  <c r="AL224" i="5"/>
  <c r="AN223" i="5"/>
  <c r="AL243" i="5"/>
  <c r="AL490" i="5"/>
  <c r="AN172" i="5"/>
  <c r="AN439" i="5"/>
  <c r="AN122" i="5"/>
  <c r="AL180" i="5"/>
  <c r="AN194" i="5"/>
  <c r="AL204" i="5"/>
  <c r="AL182" i="5"/>
  <c r="AN397" i="5"/>
  <c r="AL210" i="5"/>
  <c r="AN213" i="5"/>
  <c r="AL402" i="5"/>
  <c r="AN119" i="5"/>
  <c r="AL440" i="5"/>
  <c r="AL188" i="5"/>
  <c r="AN55" i="5"/>
  <c r="AL41" i="5"/>
  <c r="AL454" i="5"/>
  <c r="AN210" i="5"/>
  <c r="AL160" i="5"/>
  <c r="AL72" i="5"/>
  <c r="AN472" i="5"/>
  <c r="AL235" i="5"/>
  <c r="AN275" i="5"/>
  <c r="AL197" i="5"/>
  <c r="AL174" i="5"/>
  <c r="AN470" i="5"/>
  <c r="AN495" i="5"/>
  <c r="AN201" i="5"/>
  <c r="AL234" i="5"/>
  <c r="AN369" i="5"/>
  <c r="AL262" i="5"/>
  <c r="AN131" i="5"/>
  <c r="AN241" i="5"/>
  <c r="AN48" i="5"/>
  <c r="AN178" i="5"/>
  <c r="AN191" i="5"/>
  <c r="AL359" i="5"/>
  <c r="AL32" i="5"/>
  <c r="AN248" i="5"/>
  <c r="AN310" i="5"/>
  <c r="AN330" i="5"/>
  <c r="AN216" i="5"/>
  <c r="AL432" i="5"/>
  <c r="AN469" i="5"/>
  <c r="AL149" i="5"/>
  <c r="AN154" i="5"/>
  <c r="AL56" i="5"/>
  <c r="AN455" i="5"/>
  <c r="AL478" i="5"/>
  <c r="AN121" i="5"/>
  <c r="AL87" i="5"/>
  <c r="AN218" i="5"/>
  <c r="AN319" i="5"/>
  <c r="AL88" i="5"/>
  <c r="AN166" i="5"/>
  <c r="AN288" i="5"/>
  <c r="AL403" i="5"/>
  <c r="AN496" i="5"/>
  <c r="AL90" i="5"/>
  <c r="AN492" i="5"/>
  <c r="AN453" i="5"/>
  <c r="AN76" i="5"/>
  <c r="AN429" i="5"/>
  <c r="AN247" i="5"/>
  <c r="AL357" i="5"/>
  <c r="AN161" i="5"/>
  <c r="AN479" i="5"/>
  <c r="AN202" i="5"/>
  <c r="AN349" i="5"/>
  <c r="AL67" i="5"/>
  <c r="AL28" i="5"/>
  <c r="AL247" i="5"/>
  <c r="AN372" i="5"/>
  <c r="AL499" i="5"/>
  <c r="AN463" i="5"/>
  <c r="AL363" i="5"/>
  <c r="AL29" i="5"/>
  <c r="AN253" i="5"/>
  <c r="AN148" i="5"/>
  <c r="AN208" i="5"/>
  <c r="AN465" i="5"/>
  <c r="AN377" i="5"/>
  <c r="AN291" i="5"/>
  <c r="AN200" i="5"/>
  <c r="AL52" i="5"/>
  <c r="AL111" i="5"/>
  <c r="AL295" i="5"/>
  <c r="AL84" i="5"/>
  <c r="AN362" i="5"/>
  <c r="AN251" i="5"/>
  <c r="AN136" i="5"/>
  <c r="AN87" i="5"/>
  <c r="AL62" i="5"/>
  <c r="AL302" i="5"/>
  <c r="AL503" i="5"/>
  <c r="AN309" i="5"/>
  <c r="AL501" i="5"/>
  <c r="AL443" i="5"/>
  <c r="AN302" i="5"/>
  <c r="AL217" i="5"/>
  <c r="AL155" i="5"/>
  <c r="AN384" i="5"/>
  <c r="AN400" i="5"/>
  <c r="AL108" i="5"/>
  <c r="AN75" i="5"/>
  <c r="AN475" i="5"/>
  <c r="AL156" i="5"/>
  <c r="AL190" i="5"/>
  <c r="AN110" i="5"/>
  <c r="AN52" i="5"/>
  <c r="AN407" i="5"/>
  <c r="AN374" i="5"/>
  <c r="AL251" i="5"/>
  <c r="AN392" i="5"/>
  <c r="AN342" i="5"/>
  <c r="AL203" i="5"/>
  <c r="AL434" i="5"/>
  <c r="AN117" i="5"/>
  <c r="AL387" i="5"/>
  <c r="AL445" i="5"/>
  <c r="AN348" i="5"/>
  <c r="AL304" i="5"/>
  <c r="AN462" i="5"/>
  <c r="AL461" i="5"/>
  <c r="AN456" i="5"/>
  <c r="AN388" i="5"/>
  <c r="AN127" i="5"/>
  <c r="AL172" i="5"/>
  <c r="AL183" i="5"/>
  <c r="AL130" i="5"/>
  <c r="AN80" i="5"/>
  <c r="AL398" i="5"/>
  <c r="AL142" i="5"/>
  <c r="AN222" i="5"/>
  <c r="AN281" i="5"/>
  <c r="AN260" i="5"/>
  <c r="AL102" i="5"/>
  <c r="AN90" i="5"/>
  <c r="AL209" i="5"/>
  <c r="AL222" i="5"/>
  <c r="AL164" i="5"/>
  <c r="AL277" i="5"/>
  <c r="AN115" i="5"/>
  <c r="AL137" i="5"/>
  <c r="AN78" i="5"/>
  <c r="AN43" i="5"/>
  <c r="AL378" i="5"/>
  <c r="AL92" i="5"/>
  <c r="AL189" i="5"/>
  <c r="AL73" i="5"/>
  <c r="AL35" i="5"/>
  <c r="AL344" i="5"/>
  <c r="AL286" i="5"/>
  <c r="AN156" i="5"/>
  <c r="AN139" i="5"/>
  <c r="AN413" i="5"/>
  <c r="AL328" i="5"/>
  <c r="AL110" i="5"/>
  <c r="AN280" i="5"/>
  <c r="AL421" i="5"/>
  <c r="AN126" i="5"/>
  <c r="AN500" i="5"/>
  <c r="AN361" i="5"/>
  <c r="AN451" i="5"/>
  <c r="AL319" i="5"/>
  <c r="AN284" i="5"/>
  <c r="AN114" i="5"/>
  <c r="AL377" i="5"/>
  <c r="AN290" i="5"/>
  <c r="AL133" i="5"/>
  <c r="AL106" i="5"/>
  <c r="AN83" i="5"/>
  <c r="AL143" i="5"/>
  <c r="AL321" i="5"/>
  <c r="AL274" i="5"/>
  <c r="AN360" i="5"/>
  <c r="AL231" i="5"/>
  <c r="AN226" i="5"/>
  <c r="AN366" i="5"/>
  <c r="AL112" i="5"/>
  <c r="AL431" i="5"/>
  <c r="AL370" i="5"/>
  <c r="AL192" i="5"/>
  <c r="AN303" i="5"/>
  <c r="AL201" i="5"/>
  <c r="AL129" i="5"/>
  <c r="AL173" i="5"/>
  <c r="AN471" i="5"/>
  <c r="AL486" i="5"/>
  <c r="AL78" i="5"/>
  <c r="AL270" i="5"/>
  <c r="AN409" i="5"/>
  <c r="AL162" i="5"/>
  <c r="AL120" i="5"/>
  <c r="AN326" i="5"/>
  <c r="AL338" i="5"/>
  <c r="AL327" i="5"/>
  <c r="AL335" i="5"/>
  <c r="AN352" i="5"/>
  <c r="AL185" i="5"/>
  <c r="AN145" i="5"/>
  <c r="AN263" i="5"/>
  <c r="AL410" i="5"/>
  <c r="AL288" i="5"/>
  <c r="AL352" i="5"/>
  <c r="AN328" i="5"/>
  <c r="AN243" i="5"/>
  <c r="AL177" i="5"/>
  <c r="AL395" i="5"/>
  <c r="AN301" i="5"/>
  <c r="AN151" i="5"/>
  <c r="AN149" i="5"/>
  <c r="AL493" i="5"/>
  <c r="AN231" i="5"/>
  <c r="AN125" i="5"/>
  <c r="AL315" i="5"/>
  <c r="AN403" i="5"/>
  <c r="AN100" i="5"/>
  <c r="AL329" i="5"/>
  <c r="AN395" i="5"/>
  <c r="AN62" i="5"/>
  <c r="AL124" i="5"/>
  <c r="AL282" i="5"/>
  <c r="AL99" i="5"/>
  <c r="AL457" i="5"/>
  <c r="AL69" i="5"/>
  <c r="AL116" i="5"/>
  <c r="AL371" i="5"/>
  <c r="AL233" i="5"/>
  <c r="AN406" i="5"/>
  <c r="AL38" i="5"/>
  <c r="AL369" i="5"/>
  <c r="AN188" i="5"/>
  <c r="AN129" i="5"/>
  <c r="AL442" i="5"/>
  <c r="AL484" i="5"/>
  <c r="AN404" i="5"/>
  <c r="AL238" i="5"/>
  <c r="AN56" i="5"/>
  <c r="AL312" i="5"/>
  <c r="AL57" i="5"/>
  <c r="AN458" i="5"/>
  <c r="AL477" i="5"/>
  <c r="AN450" i="5"/>
  <c r="AN344" i="5"/>
  <c r="AL351" i="5"/>
  <c r="AL223" i="5"/>
  <c r="AN58" i="5"/>
  <c r="AL47" i="5"/>
  <c r="AN234" i="5"/>
  <c r="AN398" i="5"/>
  <c r="AN402" i="5"/>
  <c r="AL132" i="5"/>
  <c r="AL347" i="5"/>
  <c r="AL179" i="5"/>
  <c r="AL153" i="5"/>
  <c r="AN486" i="5"/>
  <c r="AN193" i="5"/>
  <c r="AN69" i="5"/>
  <c r="AL341" i="5"/>
  <c r="AL51" i="5"/>
  <c r="AL367" i="5"/>
  <c r="AL240" i="5"/>
  <c r="AN128" i="5"/>
  <c r="AL409" i="5"/>
  <c r="AN333" i="5"/>
  <c r="AN306" i="5"/>
  <c r="AN67" i="5"/>
  <c r="AN170" i="5"/>
  <c r="AN321" i="5"/>
  <c r="AL314" i="5"/>
  <c r="AN389" i="5"/>
  <c r="AN49" i="5"/>
  <c r="AN433" i="5"/>
  <c r="AL393" i="5"/>
  <c r="AN447" i="5"/>
  <c r="AN146" i="5"/>
  <c r="AN318" i="5"/>
  <c r="AN436" i="5"/>
  <c r="AL382" i="5"/>
  <c r="AL399" i="5"/>
  <c r="AN347" i="5"/>
  <c r="AN390" i="5"/>
  <c r="AL496" i="5"/>
  <c r="AN345" i="5"/>
  <c r="AN64" i="5"/>
  <c r="AL256" i="5"/>
  <c r="AL196" i="5"/>
  <c r="AL154" i="5"/>
  <c r="AL144" i="5"/>
  <c r="AN269" i="5"/>
  <c r="AL365" i="5"/>
  <c r="AL61" i="5"/>
  <c r="AN427" i="5"/>
  <c r="AL114" i="5"/>
  <c r="AN417" i="5"/>
  <c r="AL221" i="5"/>
  <c r="AN228" i="5"/>
  <c r="AL58" i="5"/>
  <c r="AN150" i="5"/>
  <c r="AL296" i="5"/>
  <c r="AL261" i="5"/>
  <c r="AN94" i="5"/>
  <c r="AN422" i="5"/>
  <c r="AN34" i="5"/>
  <c r="AN109" i="5"/>
  <c r="AL406" i="5"/>
  <c r="AN137" i="5"/>
  <c r="AL218" i="5"/>
  <c r="AL273" i="5"/>
  <c r="AL333" i="5"/>
  <c r="AN461" i="5"/>
  <c r="AL481" i="5"/>
  <c r="AN505" i="5"/>
  <c r="AN229" i="5"/>
  <c r="AL276" i="5"/>
  <c r="AN116" i="5"/>
  <c r="AL485" i="5"/>
  <c r="AN376" i="5"/>
  <c r="AL219" i="5"/>
  <c r="AN95" i="5"/>
  <c r="AN354" i="5"/>
  <c r="AN28" i="5"/>
  <c r="AL417" i="5"/>
  <c r="AL109" i="5"/>
  <c r="AN101" i="5"/>
  <c r="AN351" i="5"/>
  <c r="AN421" i="5"/>
  <c r="AN276" i="5"/>
  <c r="AL343" i="5"/>
  <c r="AN198" i="5"/>
  <c r="AN37" i="5"/>
  <c r="AN428" i="5"/>
  <c r="AL79" i="5"/>
  <c r="AN207" i="5"/>
  <c r="AN358" i="5"/>
  <c r="AL241" i="5"/>
  <c r="AN420" i="5"/>
  <c r="AN105" i="5"/>
  <c r="AL37" i="5"/>
  <c r="AN489" i="5"/>
  <c r="AL34" i="5"/>
  <c r="AN153" i="5"/>
  <c r="AL239" i="5"/>
  <c r="AL36" i="5"/>
  <c r="AN59" i="5"/>
  <c r="AL388" i="5"/>
  <c r="AL451" i="5"/>
  <c r="AN324" i="5"/>
  <c r="AL358" i="5"/>
  <c r="AN292" i="5"/>
  <c r="AN159" i="5"/>
  <c r="AN285" i="5"/>
  <c r="AL479" i="5"/>
  <c r="AN163" i="5"/>
  <c r="AN171" i="5"/>
  <c r="AN142" i="5"/>
  <c r="AN255" i="5"/>
  <c r="AN250" i="5"/>
  <c r="AN53" i="5"/>
  <c r="AL284" i="5"/>
  <c r="AN266" i="5"/>
  <c r="AN339" i="5"/>
  <c r="AN481" i="5"/>
  <c r="AL178" i="5"/>
  <c r="AN123" i="5"/>
  <c r="AL498" i="5"/>
  <c r="AN356" i="5"/>
  <c r="AN334" i="5"/>
  <c r="AL495" i="5"/>
  <c r="AL361" i="5"/>
  <c r="AL163" i="5"/>
  <c r="AL389" i="5"/>
  <c r="AL381" i="5"/>
  <c r="AN133" i="5"/>
  <c r="AL26" i="5"/>
  <c r="AL171" i="5"/>
  <c r="AN314" i="5"/>
  <c r="AN336" i="5"/>
  <c r="AN271" i="5"/>
  <c r="AL384" i="5"/>
  <c r="AL394" i="5"/>
  <c r="AL95" i="5"/>
  <c r="AL63" i="5"/>
  <c r="AL452" i="5"/>
  <c r="AL492" i="5"/>
  <c r="AN190" i="5"/>
  <c r="AN192" i="5"/>
  <c r="AN147" i="5"/>
  <c r="AL159" i="5"/>
  <c r="AN130" i="5"/>
  <c r="AN103" i="5"/>
  <c r="AL107" i="5"/>
  <c r="AN359" i="5"/>
  <c r="AL474" i="5"/>
  <c r="AN283" i="5"/>
  <c r="AN466" i="5"/>
  <c r="AN357" i="5"/>
  <c r="AL198" i="5"/>
  <c r="AN441" i="5"/>
  <c r="AN98" i="5"/>
  <c r="AL259" i="5"/>
  <c r="AL46" i="5"/>
  <c r="AN261" i="5"/>
  <c r="AN45" i="5"/>
  <c r="AL175" i="5"/>
  <c r="AN323" i="5"/>
  <c r="AL307" i="5"/>
  <c r="AN206" i="5"/>
  <c r="AN225" i="5"/>
  <c r="AL320" i="5"/>
  <c r="AL60" i="5"/>
  <c r="AL77" i="5"/>
  <c r="AL326" i="5"/>
  <c r="AL437" i="5"/>
  <c r="AL330" i="5"/>
  <c r="AL397" i="5"/>
  <c r="AL138" i="5"/>
  <c r="AL263" i="5"/>
  <c r="AL511" i="5"/>
  <c r="AL55" i="5"/>
  <c r="AL350" i="5"/>
  <c r="AL140" i="5"/>
  <c r="AL94" i="5"/>
  <c r="AL460" i="5"/>
  <c r="AL317" i="5"/>
  <c r="AN256" i="5"/>
  <c r="AL141" i="5"/>
  <c r="AL93" i="5"/>
  <c r="AL43" i="5"/>
  <c r="AL229" i="5"/>
  <c r="AN168" i="5"/>
  <c r="AL252" i="5"/>
  <c r="AN39" i="5"/>
  <c r="AN445" i="5"/>
  <c r="AL230" i="5"/>
  <c r="AL504" i="5"/>
  <c r="AN286" i="5"/>
  <c r="AL324" i="5"/>
  <c r="AN424" i="5"/>
  <c r="AN158" i="5"/>
  <c r="AN81" i="5"/>
  <c r="AN335" i="5"/>
  <c r="AL426" i="5"/>
  <c r="AN120" i="5"/>
  <c r="AL305" i="5"/>
  <c r="AN393" i="5"/>
  <c r="AN30" i="5"/>
  <c r="AN364" i="5"/>
  <c r="AN444" i="5"/>
  <c r="AN79" i="5"/>
  <c r="AN29" i="5"/>
  <c r="AN370" i="5"/>
  <c r="AL103" i="5"/>
  <c r="AN220" i="5"/>
  <c r="AL105" i="5"/>
  <c r="AN385" i="5"/>
  <c r="AL202" i="5"/>
  <c r="AL281" i="5"/>
  <c r="AL267" i="5"/>
  <c r="AN71" i="5"/>
  <c r="AN298" i="5"/>
  <c r="AL391" i="5"/>
  <c r="AL39" i="5"/>
  <c r="AN134" i="5"/>
  <c r="AN365" i="5"/>
  <c r="AL466" i="5"/>
  <c r="AN65" i="5"/>
  <c r="AN118" i="5"/>
  <c r="AN499" i="5"/>
  <c r="AN415" i="5"/>
  <c r="AL374" i="5"/>
  <c r="AL81" i="5"/>
  <c r="AN509" i="5"/>
  <c r="AN259" i="5"/>
  <c r="AN467" i="5"/>
  <c r="AN27" i="5"/>
  <c r="AL450" i="5"/>
  <c r="AL30" i="5"/>
  <c r="AN315" i="5"/>
  <c r="AL306" i="5"/>
  <c r="AN338" i="5"/>
  <c r="AL458" i="5"/>
  <c r="AN305" i="5"/>
  <c r="AL456" i="5"/>
  <c r="AN262" i="5"/>
  <c r="AL392" i="5"/>
  <c r="AL491" i="5"/>
  <c r="AL494" i="5"/>
  <c r="AN232" i="5"/>
  <c r="AN508" i="5"/>
  <c r="AN410" i="5"/>
  <c r="AL404" i="5"/>
  <c r="AL318" i="5"/>
  <c r="AL475" i="5"/>
  <c r="AL373" i="5"/>
  <c r="AN252" i="5"/>
  <c r="AL346" i="5"/>
  <c r="AL455" i="5"/>
  <c r="AN293" i="5"/>
  <c r="AL285" i="5"/>
  <c r="AL152" i="5"/>
  <c r="AN273" i="5"/>
  <c r="AL355" i="5"/>
  <c r="AN239" i="5"/>
  <c r="AL473" i="5"/>
  <c r="AL245" i="5"/>
  <c r="AL249" i="5"/>
  <c r="AL313" i="5"/>
  <c r="AL423" i="5"/>
  <c r="AN294" i="5"/>
  <c r="AL390" i="5"/>
  <c r="AL242" i="5"/>
  <c r="AL66" i="5"/>
  <c r="AN476" i="5"/>
  <c r="AL411" i="5"/>
  <c r="AN57" i="5"/>
  <c r="AL71" i="5"/>
  <c r="AN498" i="5"/>
  <c r="AD34" i="11"/>
  <c r="AD34" i="6"/>
  <c r="S25" i="5"/>
  <c r="H25" i="5" s="1"/>
  <c r="W433" i="5" l="1"/>
  <c r="W70" i="5"/>
  <c r="W274" i="5"/>
  <c r="W384" i="5"/>
  <c r="W128" i="5"/>
  <c r="W417" i="5"/>
  <c r="W269" i="5"/>
  <c r="W113" i="5"/>
  <c r="W272" i="5"/>
  <c r="W331" i="5"/>
  <c r="W286" i="5"/>
  <c r="W509" i="5"/>
  <c r="W48" i="5"/>
  <c r="W281" i="5"/>
  <c r="W79" i="5"/>
  <c r="W401" i="5"/>
  <c r="W104" i="5"/>
  <c r="W484" i="5"/>
  <c r="W335" i="5"/>
  <c r="W190" i="5"/>
  <c r="W397" i="5"/>
  <c r="W62" i="5"/>
  <c r="W291" i="5"/>
  <c r="W73" i="5"/>
  <c r="W257" i="5"/>
  <c r="W162" i="5"/>
  <c r="W247" i="5"/>
  <c r="W152" i="5"/>
  <c r="W434" i="5"/>
  <c r="W400" i="5"/>
  <c r="W408" i="5"/>
  <c r="W268" i="5"/>
  <c r="W117" i="5"/>
  <c r="W290" i="5"/>
  <c r="W64" i="5"/>
  <c r="W275" i="5"/>
  <c r="W339" i="5"/>
  <c r="W342" i="5"/>
  <c r="W138" i="5"/>
  <c r="W134" i="5"/>
  <c r="W378" i="5"/>
  <c r="W383" i="5"/>
  <c r="W110" i="5"/>
  <c r="W472" i="5"/>
  <c r="W361" i="5"/>
  <c r="W142" i="5"/>
  <c r="W357" i="5"/>
  <c r="W188" i="5"/>
  <c r="W373" i="5"/>
  <c r="W360" i="5"/>
  <c r="W50" i="5"/>
  <c r="W294" i="5"/>
  <c r="D15" i="5"/>
  <c r="W180" i="5"/>
  <c r="W75" i="5"/>
  <c r="W453" i="5"/>
  <c r="W246" i="5"/>
  <c r="W319" i="5"/>
  <c r="W511" i="5"/>
  <c r="W280" i="5"/>
  <c r="W471" i="5"/>
  <c r="W189" i="5"/>
  <c r="W343" i="5"/>
  <c r="W293" i="5"/>
  <c r="W315" i="5"/>
  <c r="W235" i="5"/>
  <c r="W445" i="5"/>
  <c r="W299" i="5"/>
  <c r="W392" i="5"/>
  <c r="W505" i="5"/>
  <c r="W143" i="5"/>
  <c r="W490" i="5"/>
  <c r="W379" i="5"/>
  <c r="W238" i="5"/>
  <c r="W324" i="5"/>
  <c r="W241" i="5"/>
  <c r="W46" i="5"/>
  <c r="W49" i="5"/>
  <c r="W230" i="5"/>
  <c r="W124" i="5"/>
  <c r="W220" i="5"/>
  <c r="W40" i="5"/>
  <c r="W427" i="5"/>
  <c r="W153" i="5"/>
  <c r="W168" i="5"/>
  <c r="W376" i="5"/>
  <c r="W258" i="5"/>
  <c r="W155" i="5"/>
  <c r="W47" i="5"/>
  <c r="W321" i="5"/>
  <c r="W194" i="5"/>
  <c r="W318" i="5"/>
  <c r="W171" i="5"/>
  <c r="W367" i="5"/>
  <c r="W81" i="5"/>
  <c r="W78" i="5"/>
  <c r="W63" i="5"/>
  <c r="W37" i="5"/>
  <c r="W33" i="5"/>
  <c r="W228" i="5"/>
  <c r="W224" i="5"/>
  <c r="W121" i="5"/>
  <c r="W387" i="5"/>
  <c r="W351" i="5"/>
  <c r="W244" i="5"/>
  <c r="W52" i="5"/>
  <c r="W336" i="5"/>
  <c r="W136" i="5"/>
  <c r="W69" i="5"/>
  <c r="W222" i="5"/>
  <c r="W334" i="5"/>
  <c r="W308" i="5"/>
  <c r="W181" i="5"/>
  <c r="W439" i="5"/>
  <c r="W122" i="5"/>
  <c r="W451" i="5"/>
  <c r="W65" i="5"/>
  <c r="W415" i="5"/>
  <c r="W473" i="5"/>
  <c r="W422" i="5"/>
  <c r="W88" i="5"/>
  <c r="AD37" i="11"/>
  <c r="AD37" i="6"/>
  <c r="B29" i="2"/>
  <c r="D155" i="2"/>
  <c r="B30" i="2" s="1"/>
  <c r="T482" i="11"/>
  <c r="U482" i="11" s="1"/>
  <c r="I482" i="11" s="1"/>
  <c r="T448" i="6"/>
  <c r="U448" i="6" s="1"/>
  <c r="I448" i="6" s="1"/>
  <c r="K18" i="5"/>
  <c r="W105" i="6"/>
  <c r="K21" i="5"/>
  <c r="T464" i="11"/>
  <c r="U464" i="11" s="1"/>
  <c r="I464" i="11" s="1"/>
  <c r="K20" i="5"/>
  <c r="K16" i="5"/>
  <c r="K19" i="6"/>
  <c r="K18" i="6"/>
  <c r="K20" i="6"/>
  <c r="K21" i="6"/>
  <c r="T482" i="6"/>
  <c r="U482" i="6" s="1"/>
  <c r="I482" i="6" s="1"/>
  <c r="K17" i="5"/>
  <c r="T507" i="6"/>
  <c r="U507" i="6" s="1"/>
  <c r="I507" i="6" s="1"/>
  <c r="W145" i="6"/>
  <c r="W83" i="6"/>
  <c r="W90" i="6"/>
  <c r="W141" i="6"/>
  <c r="T462" i="11"/>
  <c r="U462" i="11" s="1"/>
  <c r="I462" i="11" s="1"/>
  <c r="W80" i="6"/>
  <c r="W27" i="6"/>
  <c r="AO39" i="5"/>
  <c r="AP39" i="5" s="1"/>
  <c r="AO105" i="5"/>
  <c r="AP105" i="5" s="1"/>
  <c r="AO94" i="5"/>
  <c r="AP94" i="5" s="1"/>
  <c r="AO330" i="5"/>
  <c r="AP330" i="5" s="1"/>
  <c r="T507" i="11"/>
  <c r="U507" i="11" s="1"/>
  <c r="I507" i="11" s="1"/>
  <c r="W82" i="6"/>
  <c r="W116" i="6"/>
  <c r="AO230" i="5"/>
  <c r="AP230" i="5" s="1"/>
  <c r="AO141" i="5"/>
  <c r="AP141" i="5" s="1"/>
  <c r="AO511" i="5"/>
  <c r="AP511" i="5" s="1"/>
  <c r="AO307" i="5"/>
  <c r="AP307" i="5" s="1"/>
  <c r="AO63" i="5"/>
  <c r="AP63" i="5" s="1"/>
  <c r="W41" i="6"/>
  <c r="W66" i="6"/>
  <c r="W30" i="6"/>
  <c r="W92" i="6"/>
  <c r="AO81" i="5"/>
  <c r="AP81" i="5" s="1"/>
  <c r="AO460" i="5"/>
  <c r="AP460" i="5" s="1"/>
  <c r="AO55" i="5"/>
  <c r="AP55" i="5" s="1"/>
  <c r="AO389" i="5"/>
  <c r="AP389" i="5" s="1"/>
  <c r="AO481" i="5"/>
  <c r="AP481" i="5" s="1"/>
  <c r="AO296" i="5"/>
  <c r="AP296" i="5" s="1"/>
  <c r="AO61" i="5"/>
  <c r="AP61" i="5" s="1"/>
  <c r="AO457" i="5"/>
  <c r="AP457" i="5" s="1"/>
  <c r="AO493" i="5"/>
  <c r="AP493" i="5" s="1"/>
  <c r="AO370" i="5"/>
  <c r="AP370" i="5" s="1"/>
  <c r="AO110" i="5"/>
  <c r="AP110" i="5" s="1"/>
  <c r="AO204" i="5"/>
  <c r="AP204" i="5" s="1"/>
  <c r="AO300" i="5"/>
  <c r="AP300" i="5" s="1"/>
  <c r="AO298" i="5"/>
  <c r="AP298" i="5" s="1"/>
  <c r="AO353" i="5"/>
  <c r="AP353" i="5" s="1"/>
  <c r="AO255" i="5"/>
  <c r="AP255" i="5" s="1"/>
  <c r="AO290" i="5"/>
  <c r="AP290" i="5" s="1"/>
  <c r="AO444" i="5"/>
  <c r="AP444" i="5" s="1"/>
  <c r="AO269" i="5"/>
  <c r="AP269" i="5" s="1"/>
  <c r="AO497" i="5"/>
  <c r="AP497" i="5" s="1"/>
  <c r="AO419" i="5"/>
  <c r="AP419" i="5" s="1"/>
  <c r="AO299" i="5"/>
  <c r="AP299" i="5" s="1"/>
  <c r="AO480" i="5"/>
  <c r="AP480" i="5" s="1"/>
  <c r="AO232" i="5"/>
  <c r="AP232" i="5" s="1"/>
  <c r="AO291" i="5"/>
  <c r="AP291" i="5" s="1"/>
  <c r="AO451" i="5"/>
  <c r="AP451" i="5" s="1"/>
  <c r="AO239" i="5"/>
  <c r="AP239" i="5" s="1"/>
  <c r="AO417" i="5"/>
  <c r="AP417" i="5" s="1"/>
  <c r="AO496" i="5"/>
  <c r="AP496" i="5" s="1"/>
  <c r="AO382" i="5"/>
  <c r="AP382" i="5" s="1"/>
  <c r="AO341" i="5"/>
  <c r="AP341" i="5" s="1"/>
  <c r="AO153" i="5"/>
  <c r="AP153" i="5" s="1"/>
  <c r="AO484" i="5"/>
  <c r="AP484" i="5" s="1"/>
  <c r="AO371" i="5"/>
  <c r="AP371" i="5" s="1"/>
  <c r="AO288" i="5"/>
  <c r="AP288" i="5" s="1"/>
  <c r="AO185" i="5"/>
  <c r="AP185" i="5" s="1"/>
  <c r="AO201" i="5"/>
  <c r="AP201" i="5" s="1"/>
  <c r="AO143" i="5"/>
  <c r="AP143" i="5" s="1"/>
  <c r="AO328" i="5"/>
  <c r="AP328" i="5" s="1"/>
  <c r="AO142" i="5"/>
  <c r="AP142" i="5" s="1"/>
  <c r="AO251" i="5"/>
  <c r="AP251" i="5" s="1"/>
  <c r="AO155" i="5"/>
  <c r="AP155" i="5" s="1"/>
  <c r="AO52" i="5"/>
  <c r="AP52" i="5" s="1"/>
  <c r="AO357" i="5"/>
  <c r="AP357" i="5" s="1"/>
  <c r="AO234" i="5"/>
  <c r="AP234" i="5" s="1"/>
  <c r="AO174" i="5"/>
  <c r="AP174" i="5" s="1"/>
  <c r="AO440" i="5"/>
  <c r="AP440" i="5" s="1"/>
  <c r="AO224" i="5"/>
  <c r="AP224" i="5" s="1"/>
  <c r="AO379" i="5"/>
  <c r="AP379" i="5" s="1"/>
  <c r="AO356" i="5"/>
  <c r="AP356" i="5" s="1"/>
  <c r="AO145" i="5"/>
  <c r="AP145" i="5" s="1"/>
  <c r="AO465" i="5"/>
  <c r="AP465" i="5" s="1"/>
  <c r="AO186" i="5"/>
  <c r="AP186" i="5" s="1"/>
  <c r="AO134" i="5"/>
  <c r="AP134" i="5" s="1"/>
  <c r="AO101" i="5"/>
  <c r="AP101" i="5" s="1"/>
  <c r="AO246" i="5"/>
  <c r="AP246" i="5" s="1"/>
  <c r="AO206" i="5"/>
  <c r="AP206" i="5" s="1"/>
  <c r="AO213" i="5"/>
  <c r="AP213" i="5" s="1"/>
  <c r="AO193" i="5"/>
  <c r="AP193" i="5" s="1"/>
  <c r="AO375" i="5"/>
  <c r="AP375" i="5" s="1"/>
  <c r="AO354" i="5"/>
  <c r="AP354" i="5" s="1"/>
  <c r="AO401" i="5"/>
  <c r="AP401" i="5" s="1"/>
  <c r="AO128" i="5"/>
  <c r="AP128" i="5" s="1"/>
  <c r="AO85" i="5"/>
  <c r="AP85" i="5" s="1"/>
  <c r="AO199" i="5"/>
  <c r="AP199" i="5" s="1"/>
  <c r="AO510" i="5"/>
  <c r="AP510" i="5" s="1"/>
  <c r="AO292" i="5"/>
  <c r="AP292" i="5" s="1"/>
  <c r="AO236" i="5"/>
  <c r="AP236" i="5" s="1"/>
  <c r="AO323" i="5"/>
  <c r="AP323" i="5" s="1"/>
  <c r="AO383" i="5"/>
  <c r="AP383" i="5" s="1"/>
  <c r="AO439" i="5"/>
  <c r="AP439" i="5" s="1"/>
  <c r="AO364" i="5"/>
  <c r="AP364" i="5" s="1"/>
  <c r="AO283" i="5"/>
  <c r="AP283" i="5" s="1"/>
  <c r="AO91" i="5"/>
  <c r="AP91" i="5" s="1"/>
  <c r="AO70" i="5"/>
  <c r="AP70" i="5" s="1"/>
  <c r="AO31" i="5"/>
  <c r="AP31" i="5" s="1"/>
  <c r="AO165" i="5"/>
  <c r="AP165" i="5" s="1"/>
  <c r="AO297" i="5"/>
  <c r="AP297" i="5" s="1"/>
  <c r="AP25" i="5"/>
  <c r="AO245" i="5"/>
  <c r="AP245" i="5" s="1"/>
  <c r="AO392" i="5"/>
  <c r="AP392" i="5" s="1"/>
  <c r="AO30" i="5"/>
  <c r="AP30" i="5" s="1"/>
  <c r="AO466" i="5"/>
  <c r="AP466" i="5" s="1"/>
  <c r="AO320" i="5"/>
  <c r="AP320" i="5" s="1"/>
  <c r="AO46" i="5"/>
  <c r="AP46" i="5" s="1"/>
  <c r="AO498" i="5"/>
  <c r="AP498" i="5" s="1"/>
  <c r="AO458" i="5"/>
  <c r="AP458" i="5" s="1"/>
  <c r="AO281" i="5"/>
  <c r="AP281" i="5" s="1"/>
  <c r="AO324" i="5"/>
  <c r="AP324" i="5" s="1"/>
  <c r="AO140" i="5"/>
  <c r="AP140" i="5" s="1"/>
  <c r="AO437" i="5"/>
  <c r="AP437" i="5" s="1"/>
  <c r="AO198" i="5"/>
  <c r="AP198" i="5" s="1"/>
  <c r="AO388" i="5"/>
  <c r="AP388" i="5" s="1"/>
  <c r="AO406" i="5"/>
  <c r="AP406" i="5" s="1"/>
  <c r="AO393" i="5"/>
  <c r="AP393" i="5" s="1"/>
  <c r="AO314" i="5"/>
  <c r="AP314" i="5" s="1"/>
  <c r="AO240" i="5"/>
  <c r="AP240" i="5" s="1"/>
  <c r="AO179" i="5"/>
  <c r="AP179" i="5" s="1"/>
  <c r="AO223" i="5"/>
  <c r="AP223" i="5" s="1"/>
  <c r="AO38" i="5"/>
  <c r="AP38" i="5" s="1"/>
  <c r="AO116" i="5"/>
  <c r="AP116" i="5" s="1"/>
  <c r="AO282" i="5"/>
  <c r="AP282" i="5" s="1"/>
  <c r="AO329" i="5"/>
  <c r="AP329" i="5" s="1"/>
  <c r="AO410" i="5"/>
  <c r="AP410" i="5" s="1"/>
  <c r="AO377" i="5"/>
  <c r="AP377" i="5" s="1"/>
  <c r="AO421" i="5"/>
  <c r="AP421" i="5" s="1"/>
  <c r="AO344" i="5"/>
  <c r="AP344" i="5" s="1"/>
  <c r="AO92" i="5"/>
  <c r="AP92" i="5" s="1"/>
  <c r="AO137" i="5"/>
  <c r="AP137" i="5" s="1"/>
  <c r="AO222" i="5"/>
  <c r="AP222" i="5" s="1"/>
  <c r="AO398" i="5"/>
  <c r="AP398" i="5" s="1"/>
  <c r="AO445" i="5"/>
  <c r="AP445" i="5" s="1"/>
  <c r="AO190" i="5"/>
  <c r="AP190" i="5" s="1"/>
  <c r="AO108" i="5"/>
  <c r="AP108" i="5" s="1"/>
  <c r="AO217" i="5"/>
  <c r="AP217" i="5" s="1"/>
  <c r="AO84" i="5"/>
  <c r="AP84" i="5" s="1"/>
  <c r="AO363" i="5"/>
  <c r="AP363" i="5" s="1"/>
  <c r="AO247" i="5"/>
  <c r="AP247" i="5" s="1"/>
  <c r="AO197" i="5"/>
  <c r="AP197" i="5" s="1"/>
  <c r="AO41" i="5"/>
  <c r="AP41" i="5" s="1"/>
  <c r="AO180" i="5"/>
  <c r="AP180" i="5" s="1"/>
  <c r="AO194" i="5"/>
  <c r="AP194" i="5" s="1"/>
  <c r="AO119" i="5"/>
  <c r="AP119" i="5" s="1"/>
  <c r="AO337" i="5"/>
  <c r="AP337" i="5" s="1"/>
  <c r="AO348" i="5"/>
  <c r="AP348" i="5" s="1"/>
  <c r="AO118" i="5"/>
  <c r="AP118" i="5" s="1"/>
  <c r="AO294" i="5"/>
  <c r="AP294" i="5" s="1"/>
  <c r="AO416" i="5"/>
  <c r="AP416" i="5" s="1"/>
  <c r="AO420" i="5"/>
  <c r="AP420" i="5" s="1"/>
  <c r="AO272" i="5"/>
  <c r="AP272" i="5" s="1"/>
  <c r="AO147" i="5"/>
  <c r="AP147" i="5" s="1"/>
  <c r="AO332" i="5"/>
  <c r="AP332" i="5" s="1"/>
  <c r="AO98" i="5"/>
  <c r="AP98" i="5" s="1"/>
  <c r="AO211" i="5"/>
  <c r="AP211" i="5" s="1"/>
  <c r="AO386" i="5"/>
  <c r="AP386" i="5" s="1"/>
  <c r="AO76" i="5"/>
  <c r="AP76" i="5" s="1"/>
  <c r="AO415" i="5"/>
  <c r="AP415" i="5" s="1"/>
  <c r="AO508" i="5"/>
  <c r="AP508" i="5" s="1"/>
  <c r="AO405" i="5"/>
  <c r="AP405" i="5" s="1"/>
  <c r="AO362" i="5"/>
  <c r="AP362" i="5" s="1"/>
  <c r="AO191" i="5"/>
  <c r="AP191" i="5" s="1"/>
  <c r="AO146" i="5"/>
  <c r="AP146" i="5" s="1"/>
  <c r="AO472" i="5"/>
  <c r="AP472" i="5" s="1"/>
  <c r="AO385" i="5"/>
  <c r="AP385" i="5" s="1"/>
  <c r="AO75" i="5"/>
  <c r="AP75" i="5" s="1"/>
  <c r="AO250" i="5"/>
  <c r="AP250" i="5" s="1"/>
  <c r="AO113" i="5"/>
  <c r="AP113" i="5" s="1"/>
  <c r="AO265" i="5"/>
  <c r="AP265" i="5" s="1"/>
  <c r="AO502" i="5"/>
  <c r="AP502" i="5" s="1"/>
  <c r="AO53" i="5"/>
  <c r="AP53" i="5" s="1"/>
  <c r="AO414" i="5"/>
  <c r="AP414" i="5" s="1"/>
  <c r="AO176" i="5"/>
  <c r="AP176" i="5" s="1"/>
  <c r="AO412" i="5"/>
  <c r="AP412" i="5" s="1"/>
  <c r="AO459" i="5"/>
  <c r="AP459" i="5" s="1"/>
  <c r="AO49" i="5"/>
  <c r="AP49" i="5" s="1"/>
  <c r="AO86" i="5"/>
  <c r="AP86" i="5" s="1"/>
  <c r="AO123" i="5"/>
  <c r="AP123" i="5" s="1"/>
  <c r="AO322" i="5"/>
  <c r="AP322" i="5" s="1"/>
  <c r="AO488" i="5"/>
  <c r="AP488" i="5" s="1"/>
  <c r="AO200" i="5"/>
  <c r="AP200" i="5" s="1"/>
  <c r="AO96" i="5"/>
  <c r="AP96" i="5" s="1"/>
  <c r="AO441" i="5"/>
  <c r="AP441" i="5" s="1"/>
  <c r="AO71" i="5"/>
  <c r="AP71" i="5" s="1"/>
  <c r="AO66" i="5"/>
  <c r="AP66" i="5" s="1"/>
  <c r="AO423" i="5"/>
  <c r="AP423" i="5" s="1"/>
  <c r="AO473" i="5"/>
  <c r="AP473" i="5" s="1"/>
  <c r="AO346" i="5"/>
  <c r="AP346" i="5" s="1"/>
  <c r="AO318" i="5"/>
  <c r="AP318" i="5" s="1"/>
  <c r="AE30" i="6"/>
  <c r="AE29" i="6" s="1"/>
  <c r="W462" i="6" s="1"/>
  <c r="H36" i="8"/>
  <c r="D44" i="2" s="1"/>
  <c r="D15" i="11" s="1"/>
  <c r="W49" i="6"/>
  <c r="T464" i="6"/>
  <c r="U464" i="6" s="1"/>
  <c r="I464" i="6" s="1"/>
  <c r="T465" i="6"/>
  <c r="U465" i="6" s="1"/>
  <c r="I465" i="6" s="1"/>
  <c r="T465" i="11"/>
  <c r="U465" i="11" s="1"/>
  <c r="I465" i="11" s="1"/>
  <c r="J17" i="6"/>
  <c r="K17" i="6" s="1"/>
  <c r="W95" i="6"/>
  <c r="W120" i="6"/>
  <c r="W61" i="6"/>
  <c r="W44" i="6"/>
  <c r="W74" i="6"/>
  <c r="W117" i="6"/>
  <c r="W96" i="6"/>
  <c r="W42" i="6"/>
  <c r="W109" i="6"/>
  <c r="W64" i="6"/>
  <c r="W138" i="6"/>
  <c r="W81" i="6"/>
  <c r="W140" i="6"/>
  <c r="W50" i="6"/>
  <c r="W143" i="6"/>
  <c r="W35" i="6"/>
  <c r="W70" i="6"/>
  <c r="W38" i="6"/>
  <c r="W121" i="6"/>
  <c r="W59" i="6"/>
  <c r="W97" i="6"/>
  <c r="W119" i="6"/>
  <c r="T509" i="6"/>
  <c r="U509" i="6" s="1"/>
  <c r="I509" i="6" s="1"/>
  <c r="AK25" i="5"/>
  <c r="T509" i="11"/>
  <c r="U509" i="11" s="1"/>
  <c r="I509" i="11" s="1"/>
  <c r="W129" i="6"/>
  <c r="W84" i="6"/>
  <c r="W101" i="6"/>
  <c r="W142" i="6"/>
  <c r="W55" i="6"/>
  <c r="W114" i="6"/>
  <c r="W104" i="6"/>
  <c r="W111" i="6"/>
  <c r="W91" i="6"/>
  <c r="W110" i="6"/>
  <c r="W107" i="6"/>
  <c r="W78" i="6"/>
  <c r="W28" i="6"/>
  <c r="W48" i="6"/>
  <c r="W39" i="6"/>
  <c r="W118" i="6"/>
  <c r="W69" i="6"/>
  <c r="W33" i="6"/>
  <c r="W123" i="6"/>
  <c r="W63" i="6"/>
  <c r="W139" i="6"/>
  <c r="W134" i="6"/>
  <c r="W113" i="6"/>
  <c r="W79" i="6"/>
  <c r="W137" i="6"/>
  <c r="W34" i="6"/>
  <c r="W99" i="6"/>
  <c r="W57" i="6"/>
  <c r="W87" i="6"/>
  <c r="W58" i="6"/>
  <c r="W88" i="6"/>
  <c r="W46" i="6"/>
  <c r="W93" i="6"/>
  <c r="W94" i="6"/>
  <c r="W51" i="6"/>
  <c r="W45" i="6"/>
  <c r="W77" i="6"/>
  <c r="W47" i="6"/>
  <c r="W40" i="6"/>
  <c r="W124" i="6"/>
  <c r="W54" i="6"/>
  <c r="W72" i="6"/>
  <c r="W127" i="6"/>
  <c r="W103" i="6"/>
  <c r="W85" i="6"/>
  <c r="W60" i="6"/>
  <c r="W26" i="6"/>
  <c r="Q26" i="6" s="1"/>
  <c r="F26" i="6" s="1"/>
  <c r="T170" i="6"/>
  <c r="U170" i="6" s="1"/>
  <c r="I170" i="6" s="1"/>
  <c r="T43" i="6"/>
  <c r="U43" i="6" s="1"/>
  <c r="I43" i="6" s="1"/>
  <c r="W43" i="6"/>
  <c r="T31" i="6"/>
  <c r="U31" i="6" s="1"/>
  <c r="I31" i="6" s="1"/>
  <c r="W31" i="6"/>
  <c r="T184" i="6"/>
  <c r="U184" i="6" s="1"/>
  <c r="I184" i="6" s="1"/>
  <c r="T398" i="6"/>
  <c r="U398" i="6" s="1"/>
  <c r="I398" i="6" s="1"/>
  <c r="T227" i="6"/>
  <c r="U227" i="6" s="1"/>
  <c r="I227" i="6" s="1"/>
  <c r="T135" i="6"/>
  <c r="U135" i="6" s="1"/>
  <c r="I135" i="6" s="1"/>
  <c r="W135" i="6"/>
  <c r="T128" i="6"/>
  <c r="U128" i="6" s="1"/>
  <c r="I128" i="6" s="1"/>
  <c r="W128" i="6"/>
  <c r="T271" i="6"/>
  <c r="U271" i="6" s="1"/>
  <c r="I271" i="6" s="1"/>
  <c r="W76" i="6"/>
  <c r="T228" i="6"/>
  <c r="U228" i="6" s="1"/>
  <c r="I228" i="6" s="1"/>
  <c r="T146" i="6"/>
  <c r="U146" i="6" s="1"/>
  <c r="I146" i="6" s="1"/>
  <c r="T183" i="6"/>
  <c r="U183" i="6" s="1"/>
  <c r="I183" i="6" s="1"/>
  <c r="T75" i="6"/>
  <c r="U75" i="6" s="1"/>
  <c r="I75" i="6" s="1"/>
  <c r="W75" i="6"/>
  <c r="T67" i="6"/>
  <c r="U67" i="6" s="1"/>
  <c r="I67" i="6" s="1"/>
  <c r="W67" i="6"/>
  <c r="T147" i="6"/>
  <c r="U147" i="6" s="1"/>
  <c r="I147" i="6" s="1"/>
  <c r="T278" i="6"/>
  <c r="U278" i="6" s="1"/>
  <c r="I278" i="6" s="1"/>
  <c r="T36" i="6"/>
  <c r="U36" i="6" s="1"/>
  <c r="I36" i="6" s="1"/>
  <c r="W36" i="6"/>
  <c r="T115" i="6"/>
  <c r="U115" i="6" s="1"/>
  <c r="I115" i="6" s="1"/>
  <c r="W115" i="6"/>
  <c r="T136" i="6"/>
  <c r="U136" i="6" s="1"/>
  <c r="I136" i="6" s="1"/>
  <c r="W136" i="6"/>
  <c r="T290" i="6"/>
  <c r="U290" i="6" s="1"/>
  <c r="I290" i="6" s="1"/>
  <c r="T231" i="6"/>
  <c r="U231" i="6" s="1"/>
  <c r="I231" i="6" s="1"/>
  <c r="T371" i="6"/>
  <c r="U371" i="6" s="1"/>
  <c r="I371" i="6" s="1"/>
  <c r="T106" i="6"/>
  <c r="U106" i="6" s="1"/>
  <c r="I106" i="6" s="1"/>
  <c r="W106" i="6"/>
  <c r="T179" i="6"/>
  <c r="U179" i="6" s="1"/>
  <c r="I179" i="6" s="1"/>
  <c r="T131" i="6"/>
  <c r="U131" i="6" s="1"/>
  <c r="I131" i="6" s="1"/>
  <c r="W131" i="6"/>
  <c r="T300" i="6"/>
  <c r="U300" i="6" s="1"/>
  <c r="I300" i="6" s="1"/>
  <c r="T65" i="6"/>
  <c r="U65" i="6" s="1"/>
  <c r="I65" i="6" s="1"/>
  <c r="W65" i="6"/>
  <c r="T440" i="6"/>
  <c r="U440" i="6" s="1"/>
  <c r="I440" i="6" s="1"/>
  <c r="T303" i="6"/>
  <c r="U303" i="6" s="1"/>
  <c r="I303" i="6" s="1"/>
  <c r="T133" i="6"/>
  <c r="U133" i="6" s="1"/>
  <c r="I133" i="6" s="1"/>
  <c r="W133" i="6"/>
  <c r="T263" i="6"/>
  <c r="U263" i="6" s="1"/>
  <c r="I263" i="6" s="1"/>
  <c r="T429" i="6"/>
  <c r="U429" i="6" s="1"/>
  <c r="I429" i="6" s="1"/>
  <c r="T155" i="6"/>
  <c r="U155" i="6" s="1"/>
  <c r="I155" i="6" s="1"/>
  <c r="T323" i="6"/>
  <c r="U323" i="6" s="1"/>
  <c r="I323" i="6" s="1"/>
  <c r="T306" i="6"/>
  <c r="U306" i="6" s="1"/>
  <c r="I306" i="6" s="1"/>
  <c r="W71" i="6"/>
  <c r="W130" i="6"/>
  <c r="W98" i="6"/>
  <c r="W68" i="6"/>
  <c r="W32" i="6"/>
  <c r="W122" i="6"/>
  <c r="W125" i="6"/>
  <c r="W144" i="6"/>
  <c r="D45" i="2"/>
  <c r="D16" i="11" s="1"/>
  <c r="AD30" i="11" s="1"/>
  <c r="AE30" i="11" s="1"/>
  <c r="AE29" i="11" s="1"/>
  <c r="W465" i="11" s="1"/>
  <c r="I34" i="8"/>
  <c r="W102" i="6"/>
  <c r="W62" i="6"/>
  <c r="W132" i="6"/>
  <c r="U356" i="6"/>
  <c r="I356" i="6" s="1"/>
  <c r="T458" i="11"/>
  <c r="U258" i="11"/>
  <c r="I258" i="11" s="1"/>
  <c r="T460" i="11"/>
  <c r="U460" i="11" s="1"/>
  <c r="I460" i="11" s="1"/>
  <c r="U99" i="6"/>
  <c r="I99" i="6" s="1"/>
  <c r="U218" i="5"/>
  <c r="I218" i="5" s="1"/>
  <c r="U86" i="5"/>
  <c r="I86" i="5" s="1"/>
  <c r="U165" i="6"/>
  <c r="I165" i="6" s="1"/>
  <c r="T490" i="6"/>
  <c r="W490" i="6"/>
  <c r="T490" i="11"/>
  <c r="U490" i="11" s="1"/>
  <c r="I490" i="11" s="1"/>
  <c r="U112" i="11"/>
  <c r="I112" i="11" s="1"/>
  <c r="T508" i="6"/>
  <c r="U508" i="6" s="1"/>
  <c r="I508" i="6" s="1"/>
  <c r="W508" i="6"/>
  <c r="U37" i="11"/>
  <c r="I37" i="11" s="1"/>
  <c r="U273" i="11"/>
  <c r="I273" i="11" s="1"/>
  <c r="W481" i="6"/>
  <c r="T481" i="6"/>
  <c r="U481" i="6" s="1"/>
  <c r="I481" i="6" s="1"/>
  <c r="U399" i="6"/>
  <c r="I399" i="6" s="1"/>
  <c r="T505" i="6"/>
  <c r="U505" i="6" s="1"/>
  <c r="I505" i="6" s="1"/>
  <c r="W505" i="6"/>
  <c r="W452" i="6"/>
  <c r="T452" i="6"/>
  <c r="T452" i="11"/>
  <c r="U452" i="11" s="1"/>
  <c r="I452" i="11" s="1"/>
  <c r="W452" i="11"/>
  <c r="U87" i="6"/>
  <c r="I87" i="6" s="1"/>
  <c r="U131" i="5"/>
  <c r="I131" i="5" s="1"/>
  <c r="T475" i="11"/>
  <c r="U475" i="11" s="1"/>
  <c r="I475" i="11" s="1"/>
  <c r="W475" i="11"/>
  <c r="T468" i="11"/>
  <c r="U468" i="11" s="1"/>
  <c r="I468" i="11" s="1"/>
  <c r="W476" i="11"/>
  <c r="T476" i="11"/>
  <c r="U476" i="11" s="1"/>
  <c r="I476" i="11" s="1"/>
  <c r="U265" i="5"/>
  <c r="I265" i="5" s="1"/>
  <c r="U78" i="6"/>
  <c r="I78" i="6" s="1"/>
  <c r="T457" i="11"/>
  <c r="W457" i="11"/>
  <c r="W446" i="11"/>
  <c r="T446" i="11"/>
  <c r="U446" i="11" s="1"/>
  <c r="I446" i="11" s="1"/>
  <c r="U65" i="5"/>
  <c r="I65" i="5" s="1"/>
  <c r="T477" i="11"/>
  <c r="U477" i="11" s="1"/>
  <c r="I477" i="11" s="1"/>
  <c r="W477" i="11"/>
  <c r="U28" i="6"/>
  <c r="I28" i="6" s="1"/>
  <c r="W479" i="6"/>
  <c r="T479" i="6"/>
  <c r="U479" i="6" s="1"/>
  <c r="I479" i="6" s="1"/>
  <c r="U128" i="11"/>
  <c r="I128" i="11" s="1"/>
  <c r="T463" i="6"/>
  <c r="U463" i="6" s="1"/>
  <c r="I463" i="6" s="1"/>
  <c r="W463" i="6"/>
  <c r="U70" i="6"/>
  <c r="I70" i="6" s="1"/>
  <c r="U60" i="11"/>
  <c r="I60" i="11" s="1"/>
  <c r="U280" i="6"/>
  <c r="I280" i="6" s="1"/>
  <c r="U242" i="11"/>
  <c r="I242" i="11" s="1"/>
  <c r="U281" i="11"/>
  <c r="I281" i="11" s="1"/>
  <c r="U56" i="11"/>
  <c r="I56" i="11" s="1"/>
  <c r="U297" i="6"/>
  <c r="I297" i="6" s="1"/>
  <c r="U233" i="5"/>
  <c r="I233" i="5" s="1"/>
  <c r="T454" i="6"/>
  <c r="U454" i="6" s="1"/>
  <c r="I454" i="6" s="1"/>
  <c r="W454" i="6"/>
  <c r="U250" i="5"/>
  <c r="I250" i="5" s="1"/>
  <c r="U95" i="5"/>
  <c r="I95" i="5" s="1"/>
  <c r="T471" i="6"/>
  <c r="U471" i="6" s="1"/>
  <c r="I471" i="6" s="1"/>
  <c r="W471" i="6"/>
  <c r="U108" i="11"/>
  <c r="I108" i="11" s="1"/>
  <c r="U39" i="11"/>
  <c r="I39" i="11" s="1"/>
  <c r="U417" i="6"/>
  <c r="I417" i="6" s="1"/>
  <c r="U180" i="11"/>
  <c r="I180" i="11" s="1"/>
  <c r="U69" i="5"/>
  <c r="I69" i="5" s="1"/>
  <c r="U439" i="11"/>
  <c r="I439" i="11" s="1"/>
  <c r="U367" i="5"/>
  <c r="I367" i="5" s="1"/>
  <c r="U309" i="5"/>
  <c r="I309" i="5" s="1"/>
  <c r="U38" i="6"/>
  <c r="I38" i="6" s="1"/>
  <c r="U211" i="11"/>
  <c r="I211" i="11" s="1"/>
  <c r="W449" i="11"/>
  <c r="T449" i="11"/>
  <c r="U449" i="11" s="1"/>
  <c r="I449" i="11" s="1"/>
  <c r="U376" i="5"/>
  <c r="I376" i="5" s="1"/>
  <c r="T467" i="6"/>
  <c r="U467" i="6" s="1"/>
  <c r="I467" i="6" s="1"/>
  <c r="W467" i="6"/>
  <c r="W467" i="11"/>
  <c r="T467" i="11"/>
  <c r="U467" i="11" s="1"/>
  <c r="I467" i="11" s="1"/>
  <c r="W466" i="11"/>
  <c r="T466" i="11"/>
  <c r="U466" i="11" s="1"/>
  <c r="I466" i="11" s="1"/>
  <c r="U148" i="6"/>
  <c r="I148" i="6" s="1"/>
  <c r="U50" i="6"/>
  <c r="I50" i="6" s="1"/>
  <c r="W473" i="11"/>
  <c r="T473" i="11"/>
  <c r="U473" i="11" s="1"/>
  <c r="I473" i="11" s="1"/>
  <c r="U176" i="5"/>
  <c r="I176" i="5" s="1"/>
  <c r="U266" i="6"/>
  <c r="I266" i="6" s="1"/>
  <c r="U374" i="6"/>
  <c r="I374" i="6" s="1"/>
  <c r="U177" i="11"/>
  <c r="I177" i="11" s="1"/>
  <c r="U267" i="11"/>
  <c r="I267" i="11" s="1"/>
  <c r="U313" i="6"/>
  <c r="I313" i="6" s="1"/>
  <c r="U216" i="5"/>
  <c r="I216" i="5" s="1"/>
  <c r="U120" i="6"/>
  <c r="I120" i="6" s="1"/>
  <c r="U402" i="6"/>
  <c r="I402" i="6" s="1"/>
  <c r="T470" i="11"/>
  <c r="U470" i="11" s="1"/>
  <c r="I470" i="11" s="1"/>
  <c r="W470" i="11"/>
  <c r="W511" i="11"/>
  <c r="T511" i="11"/>
  <c r="U511" i="11" s="1"/>
  <c r="I511" i="11" s="1"/>
  <c r="T499" i="6"/>
  <c r="U499" i="6" s="1"/>
  <c r="I499" i="6" s="1"/>
  <c r="W499" i="6"/>
  <c r="W501" i="11"/>
  <c r="T501" i="11"/>
  <c r="U501" i="11" s="1"/>
  <c r="I501" i="11" s="1"/>
  <c r="U64" i="5"/>
  <c r="I64" i="5" s="1"/>
  <c r="U44" i="5"/>
  <c r="I44" i="5" s="1"/>
  <c r="W506" i="6"/>
  <c r="T506" i="6"/>
  <c r="U506" i="6" s="1"/>
  <c r="I506" i="6" s="1"/>
  <c r="U254" i="5"/>
  <c r="I254" i="5" s="1"/>
  <c r="W455" i="6"/>
  <c r="T455" i="6"/>
  <c r="U455" i="6" s="1"/>
  <c r="I455" i="6" s="1"/>
  <c r="U312" i="5"/>
  <c r="I312" i="5" s="1"/>
  <c r="W469" i="11"/>
  <c r="T469" i="11"/>
  <c r="U469" i="11" s="1"/>
  <c r="I469" i="11" s="1"/>
  <c r="U92" i="11"/>
  <c r="I92" i="11" s="1"/>
  <c r="T504" i="11"/>
  <c r="U504" i="11" s="1"/>
  <c r="I504" i="11" s="1"/>
  <c r="W504" i="11"/>
  <c r="W487" i="6"/>
  <c r="T487" i="6"/>
  <c r="U487" i="6" s="1"/>
  <c r="I487" i="6" s="1"/>
  <c r="U150" i="11"/>
  <c r="I150" i="11" s="1"/>
  <c r="U208" i="11"/>
  <c r="I208" i="11" s="1"/>
  <c r="U340" i="5"/>
  <c r="I340" i="5" s="1"/>
  <c r="U79" i="11"/>
  <c r="I79" i="11" s="1"/>
  <c r="U287" i="6"/>
  <c r="I287" i="6" s="1"/>
  <c r="T451" i="6"/>
  <c r="W451" i="6"/>
  <c r="T492" i="11"/>
  <c r="U492" i="11" s="1"/>
  <c r="I492" i="11" s="1"/>
  <c r="W492" i="11"/>
  <c r="U214" i="11"/>
  <c r="I214" i="11" s="1"/>
  <c r="U27" i="5"/>
  <c r="I27" i="5" s="1"/>
  <c r="T486" i="11"/>
  <c r="W486" i="11"/>
  <c r="T458" i="6"/>
  <c r="U458" i="6" s="1"/>
  <c r="I458" i="6" s="1"/>
  <c r="W458" i="6"/>
  <c r="W489" i="11"/>
  <c r="T489" i="11"/>
  <c r="U489" i="11" s="1"/>
  <c r="I489" i="11" s="1"/>
  <c r="U163" i="6"/>
  <c r="I163" i="6" s="1"/>
  <c r="U334" i="5"/>
  <c r="I334" i="5" s="1"/>
  <c r="U75" i="11"/>
  <c r="I75" i="11" s="1"/>
  <c r="U149" i="6"/>
  <c r="I149" i="6" s="1"/>
  <c r="W508" i="11"/>
  <c r="T508" i="11"/>
  <c r="T488" i="6"/>
  <c r="U488" i="6" s="1"/>
  <c r="I488" i="6" s="1"/>
  <c r="W488" i="6"/>
  <c r="U311" i="6"/>
  <c r="I311" i="6" s="1"/>
  <c r="U37" i="6"/>
  <c r="I37" i="6" s="1"/>
  <c r="U263" i="11"/>
  <c r="I263" i="11" s="1"/>
  <c r="W481" i="11"/>
  <c r="T481" i="11"/>
  <c r="U481" i="11" s="1"/>
  <c r="I481" i="11" s="1"/>
  <c r="U109" i="6"/>
  <c r="I109" i="6" s="1"/>
  <c r="U385" i="6"/>
  <c r="I385" i="6" s="1"/>
  <c r="U399" i="11"/>
  <c r="I399" i="11" s="1"/>
  <c r="T510" i="6"/>
  <c r="W510" i="6"/>
  <c r="T505" i="11"/>
  <c r="W505" i="11"/>
  <c r="U348" i="6"/>
  <c r="I348" i="6" s="1"/>
  <c r="T475" i="6"/>
  <c r="U475" i="6" s="1"/>
  <c r="I475" i="6" s="1"/>
  <c r="W475" i="6"/>
  <c r="U47" i="5"/>
  <c r="I47" i="5" s="1"/>
  <c r="W453" i="6"/>
  <c r="T453" i="6"/>
  <c r="U453" i="6" s="1"/>
  <c r="I453" i="6" s="1"/>
  <c r="U253" i="6"/>
  <c r="I253" i="6" s="1"/>
  <c r="U382" i="5"/>
  <c r="I382" i="5" s="1"/>
  <c r="W476" i="6"/>
  <c r="T476" i="6"/>
  <c r="U476" i="6" s="1"/>
  <c r="I476" i="6" s="1"/>
  <c r="U26" i="5"/>
  <c r="I26" i="5" s="1"/>
  <c r="U364" i="5"/>
  <c r="I364" i="5" s="1"/>
  <c r="U412" i="6"/>
  <c r="I412" i="6" s="1"/>
  <c r="W457" i="6"/>
  <c r="T457" i="6"/>
  <c r="U457" i="6" s="1"/>
  <c r="I457" i="6" s="1"/>
  <c r="U349" i="6"/>
  <c r="I349" i="6" s="1"/>
  <c r="T479" i="11"/>
  <c r="U479" i="11" s="1"/>
  <c r="I479" i="11" s="1"/>
  <c r="W479" i="11"/>
  <c r="U381" i="5"/>
  <c r="I381" i="5" s="1"/>
  <c r="T485" i="6"/>
  <c r="U485" i="6" s="1"/>
  <c r="I485" i="6" s="1"/>
  <c r="W485" i="6"/>
  <c r="U188" i="11"/>
  <c r="I188" i="11" s="1"/>
  <c r="U128" i="5"/>
  <c r="I128" i="5" s="1"/>
  <c r="U326" i="5"/>
  <c r="I326" i="5" s="1"/>
  <c r="U190" i="11"/>
  <c r="I190" i="11" s="1"/>
  <c r="T447" i="11"/>
  <c r="U447" i="11" s="1"/>
  <c r="I447" i="11" s="1"/>
  <c r="W447" i="11"/>
  <c r="T498" i="6"/>
  <c r="U498" i="6" s="1"/>
  <c r="I498" i="6" s="1"/>
  <c r="W498" i="6"/>
  <c r="U77" i="11"/>
  <c r="I77" i="11" s="1"/>
  <c r="U186" i="5"/>
  <c r="I186" i="5" s="1"/>
  <c r="W496" i="11"/>
  <c r="T496" i="11"/>
  <c r="U297" i="5"/>
  <c r="I297" i="5" s="1"/>
  <c r="W491" i="6"/>
  <c r="T491" i="6"/>
  <c r="U491" i="6" s="1"/>
  <c r="I491" i="6" s="1"/>
  <c r="U346" i="5"/>
  <c r="I346" i="5" s="1"/>
  <c r="U351" i="11"/>
  <c r="I351" i="11" s="1"/>
  <c r="W493" i="6"/>
  <c r="T493" i="6"/>
  <c r="U493" i="6" s="1"/>
  <c r="I493" i="6" s="1"/>
  <c r="U250" i="11"/>
  <c r="I250" i="11" s="1"/>
  <c r="T100" i="6"/>
  <c r="U100" i="6" s="1"/>
  <c r="I100" i="6" s="1"/>
  <c r="W100" i="6"/>
  <c r="U363" i="5"/>
  <c r="I363" i="5" s="1"/>
  <c r="W495" i="11"/>
  <c r="T495" i="11"/>
  <c r="U495" i="11" s="1"/>
  <c r="I495" i="11" s="1"/>
  <c r="W459" i="6"/>
  <c r="T459" i="6"/>
  <c r="U459" i="6" s="1"/>
  <c r="I459" i="6" s="1"/>
  <c r="T483" i="11"/>
  <c r="U483" i="11" s="1"/>
  <c r="I483" i="11" s="1"/>
  <c r="W483" i="11"/>
  <c r="W483" i="6"/>
  <c r="T483" i="6"/>
  <c r="U483" i="6" s="1"/>
  <c r="I483" i="6" s="1"/>
  <c r="U444" i="11"/>
  <c r="I444" i="11" s="1"/>
  <c r="U417" i="11"/>
  <c r="I417" i="11" s="1"/>
  <c r="U320" i="6"/>
  <c r="I320" i="6" s="1"/>
  <c r="T461" i="6"/>
  <c r="U461" i="6" s="1"/>
  <c r="I461" i="6" s="1"/>
  <c r="W461" i="6"/>
  <c r="U439" i="6"/>
  <c r="I439" i="6" s="1"/>
  <c r="U418" i="6"/>
  <c r="I418" i="6" s="1"/>
  <c r="U136" i="11"/>
  <c r="I136" i="11" s="1"/>
  <c r="U420" i="11"/>
  <c r="I420" i="11" s="1"/>
  <c r="U309" i="6"/>
  <c r="I309" i="6" s="1"/>
  <c r="U327" i="11"/>
  <c r="I327" i="11" s="1"/>
  <c r="U122" i="5"/>
  <c r="I122" i="5" s="1"/>
  <c r="U264" i="5"/>
  <c r="I264" i="5" s="1"/>
  <c r="U284" i="5"/>
  <c r="I284" i="5" s="1"/>
  <c r="U176" i="11"/>
  <c r="I176" i="11" s="1"/>
  <c r="U338" i="6"/>
  <c r="I338" i="6" s="1"/>
  <c r="U374" i="11"/>
  <c r="I374" i="11" s="1"/>
  <c r="U201" i="6"/>
  <c r="I201" i="6" s="1"/>
  <c r="U216" i="11"/>
  <c r="I216" i="11" s="1"/>
  <c r="U402" i="11"/>
  <c r="I402" i="11" s="1"/>
  <c r="U91" i="5"/>
  <c r="I91" i="5" s="1"/>
  <c r="T484" i="6"/>
  <c r="U484" i="6" s="1"/>
  <c r="I484" i="6" s="1"/>
  <c r="W484" i="6"/>
  <c r="U44" i="6"/>
  <c r="I44" i="6" s="1"/>
  <c r="U302" i="5"/>
  <c r="I302" i="5" s="1"/>
  <c r="W455" i="11"/>
  <c r="T455" i="11"/>
  <c r="U455" i="11" s="1"/>
  <c r="I455" i="11" s="1"/>
  <c r="W469" i="6"/>
  <c r="T469" i="6"/>
  <c r="U469" i="6" s="1"/>
  <c r="I469" i="6" s="1"/>
  <c r="T497" i="11"/>
  <c r="W497" i="11"/>
  <c r="U84" i="5"/>
  <c r="I84" i="5" s="1"/>
  <c r="T456" i="6"/>
  <c r="U456" i="6" s="1"/>
  <c r="I456" i="6" s="1"/>
  <c r="W456" i="6"/>
  <c r="U172" i="5"/>
  <c r="I172" i="5" s="1"/>
  <c r="U224" i="11"/>
  <c r="I224" i="11" s="1"/>
  <c r="U293" i="5"/>
  <c r="I293" i="5" s="1"/>
  <c r="U182" i="6"/>
  <c r="I182" i="6" s="1"/>
  <c r="U287" i="11"/>
  <c r="I287" i="11" s="1"/>
  <c r="U143" i="5"/>
  <c r="I143" i="5" s="1"/>
  <c r="U114" i="11"/>
  <c r="I114" i="11" s="1"/>
  <c r="U221" i="5"/>
  <c r="I221" i="5" s="1"/>
  <c r="W37" i="6"/>
  <c r="W86" i="6"/>
  <c r="W89" i="6"/>
  <c r="W53" i="6"/>
  <c r="U139" i="11"/>
  <c r="I139" i="11" s="1"/>
  <c r="W500" i="11"/>
  <c r="T500" i="11"/>
  <c r="W478" i="11"/>
  <c r="T478" i="11"/>
  <c r="U478" i="11" s="1"/>
  <c r="I478" i="11" s="1"/>
  <c r="W489" i="6"/>
  <c r="T489" i="6"/>
  <c r="U285" i="11"/>
  <c r="I285" i="11" s="1"/>
  <c r="W502" i="11"/>
  <c r="T502" i="11"/>
  <c r="U502" i="11" s="1"/>
  <c r="I502" i="11" s="1"/>
  <c r="U165" i="5"/>
  <c r="I165" i="5" s="1"/>
  <c r="T494" i="6"/>
  <c r="U494" i="6" s="1"/>
  <c r="I494" i="6" s="1"/>
  <c r="W494" i="6"/>
  <c r="T494" i="11"/>
  <c r="W494" i="11"/>
  <c r="U45" i="5"/>
  <c r="I45" i="5" s="1"/>
  <c r="U112" i="5"/>
  <c r="I112" i="5" s="1"/>
  <c r="W488" i="11"/>
  <c r="T488" i="11"/>
  <c r="U488" i="11" s="1"/>
  <c r="I488" i="11" s="1"/>
  <c r="U311" i="5"/>
  <c r="I311" i="5" s="1"/>
  <c r="T510" i="11"/>
  <c r="U510" i="11" s="1"/>
  <c r="I510" i="11" s="1"/>
  <c r="W510" i="11"/>
  <c r="U87" i="11"/>
  <c r="I87" i="11" s="1"/>
  <c r="W453" i="11"/>
  <c r="T453" i="11"/>
  <c r="U453" i="11" s="1"/>
  <c r="I453" i="11" s="1"/>
  <c r="U245" i="11"/>
  <c r="I245" i="11" s="1"/>
  <c r="U205" i="5"/>
  <c r="I205" i="5" s="1"/>
  <c r="U236" i="5"/>
  <c r="I236" i="5" s="1"/>
  <c r="U292" i="5"/>
  <c r="I292" i="5" s="1"/>
  <c r="U25" i="11"/>
  <c r="I25" i="11" s="1"/>
  <c r="W446" i="6"/>
  <c r="T446" i="6"/>
  <c r="U424" i="11"/>
  <c r="I424" i="11" s="1"/>
  <c r="T29" i="6"/>
  <c r="U29" i="6" s="1"/>
  <c r="I29" i="6" s="1"/>
  <c r="W29" i="6"/>
  <c r="U203" i="6"/>
  <c r="I203" i="6" s="1"/>
  <c r="U244" i="11"/>
  <c r="I244" i="11" s="1"/>
  <c r="U76" i="6"/>
  <c r="I76" i="6" s="1"/>
  <c r="U296" i="5"/>
  <c r="I296" i="5" s="1"/>
  <c r="T485" i="11"/>
  <c r="W485" i="11"/>
  <c r="W450" i="6"/>
  <c r="T450" i="6"/>
  <c r="U450" i="6" s="1"/>
  <c r="I450" i="6" s="1"/>
  <c r="T450" i="11"/>
  <c r="U450" i="11" s="1"/>
  <c r="I450" i="11" s="1"/>
  <c r="W450" i="11"/>
  <c r="U427" i="11"/>
  <c r="I427" i="11" s="1"/>
  <c r="W463" i="11"/>
  <c r="T463" i="11"/>
  <c r="U463" i="11" s="1"/>
  <c r="I463" i="11" s="1"/>
  <c r="U70" i="5"/>
  <c r="I70" i="5" s="1"/>
  <c r="W498" i="11"/>
  <c r="T498" i="11"/>
  <c r="U498" i="11" s="1"/>
  <c r="I498" i="11" s="1"/>
  <c r="U280" i="11"/>
  <c r="I280" i="11" s="1"/>
  <c r="T472" i="6"/>
  <c r="W472" i="6"/>
  <c r="W496" i="6"/>
  <c r="T496" i="6"/>
  <c r="U93" i="5"/>
  <c r="I93" i="5" s="1"/>
  <c r="U48" i="11"/>
  <c r="I48" i="11" s="1"/>
  <c r="U110" i="11"/>
  <c r="I110" i="11" s="1"/>
  <c r="T493" i="11"/>
  <c r="W493" i="11"/>
  <c r="W480" i="6"/>
  <c r="T480" i="6"/>
  <c r="U480" i="6" s="1"/>
  <c r="I480" i="6" s="1"/>
  <c r="U100" i="5"/>
  <c r="I100" i="5" s="1"/>
  <c r="T495" i="6"/>
  <c r="U495" i="6" s="1"/>
  <c r="I495" i="6" s="1"/>
  <c r="W495" i="6"/>
  <c r="U225" i="11"/>
  <c r="I225" i="11" s="1"/>
  <c r="T459" i="11"/>
  <c r="U459" i="11" s="1"/>
  <c r="I459" i="11" s="1"/>
  <c r="W459" i="11"/>
  <c r="U35" i="5"/>
  <c r="I35" i="5" s="1"/>
  <c r="W474" i="11"/>
  <c r="T474" i="11"/>
  <c r="W474" i="6"/>
  <c r="T474" i="6"/>
  <c r="U474" i="6" s="1"/>
  <c r="I474" i="6" s="1"/>
  <c r="U423" i="6"/>
  <c r="I423" i="6" s="1"/>
  <c r="U367" i="11"/>
  <c r="I367" i="11" s="1"/>
  <c r="U289" i="11"/>
  <c r="I289" i="11" s="1"/>
  <c r="U101" i="6"/>
  <c r="I101" i="6" s="1"/>
  <c r="U211" i="5"/>
  <c r="I211" i="5" s="1"/>
  <c r="W466" i="6"/>
  <c r="T466" i="6"/>
  <c r="U466" i="6" s="1"/>
  <c r="I466" i="6" s="1"/>
  <c r="U264" i="11"/>
  <c r="I264" i="11" s="1"/>
  <c r="W473" i="6"/>
  <c r="T473" i="6"/>
  <c r="U473" i="6" s="1"/>
  <c r="I473" i="6" s="1"/>
  <c r="U295" i="11"/>
  <c r="I295" i="11" s="1"/>
  <c r="U177" i="6"/>
  <c r="I177" i="6" s="1"/>
  <c r="U104" i="11"/>
  <c r="I104" i="11" s="1"/>
  <c r="U68" i="6"/>
  <c r="I68" i="6" s="1"/>
  <c r="W470" i="6"/>
  <c r="T470" i="6"/>
  <c r="U33" i="5"/>
  <c r="I33" i="5" s="1"/>
  <c r="T501" i="6"/>
  <c r="U501" i="6" s="1"/>
  <c r="I501" i="6" s="1"/>
  <c r="W501" i="6"/>
  <c r="U64" i="11"/>
  <c r="I64" i="11" s="1"/>
  <c r="W506" i="11"/>
  <c r="T506" i="11"/>
  <c r="U506" i="11" s="1"/>
  <c r="I506" i="11" s="1"/>
  <c r="U198" i="6"/>
  <c r="I198" i="6" s="1"/>
  <c r="U191" i="5"/>
  <c r="I191" i="5" s="1"/>
  <c r="U213" i="6"/>
  <c r="I213" i="6" s="1"/>
  <c r="T497" i="6"/>
  <c r="U497" i="6" s="1"/>
  <c r="I497" i="6" s="1"/>
  <c r="W497" i="6"/>
  <c r="W456" i="11"/>
  <c r="T456" i="11"/>
  <c r="U456" i="11" s="1"/>
  <c r="I456" i="11" s="1"/>
  <c r="U344" i="6"/>
  <c r="I344" i="6" s="1"/>
  <c r="U370" i="6"/>
  <c r="I370" i="6" s="1"/>
  <c r="U405" i="6"/>
  <c r="I405" i="6" s="1"/>
  <c r="U138" i="11"/>
  <c r="I138" i="11" s="1"/>
  <c r="T492" i="6"/>
  <c r="U492" i="6" s="1"/>
  <c r="I492" i="6" s="1"/>
  <c r="W492" i="6"/>
  <c r="U294" i="5"/>
  <c r="I294" i="5" s="1"/>
  <c r="W486" i="6"/>
  <c r="T486" i="6"/>
  <c r="U486" i="6" s="1"/>
  <c r="I486" i="6" s="1"/>
  <c r="U441" i="11"/>
  <c r="I441" i="11" s="1"/>
  <c r="U121" i="5"/>
  <c r="I121" i="5" s="1"/>
  <c r="W56" i="6"/>
  <c r="W126" i="6"/>
  <c r="W108" i="6"/>
  <c r="W52" i="6"/>
  <c r="U288" i="6"/>
  <c r="I288" i="6" s="1"/>
  <c r="T500" i="6"/>
  <c r="U500" i="6" s="1"/>
  <c r="I500" i="6" s="1"/>
  <c r="W500" i="6"/>
  <c r="W478" i="6"/>
  <c r="T478" i="6"/>
  <c r="U258" i="6"/>
  <c r="I258" i="6" s="1"/>
  <c r="U189" i="6"/>
  <c r="I189" i="6" s="1"/>
  <c r="T460" i="6"/>
  <c r="W460" i="6"/>
  <c r="U391" i="6"/>
  <c r="I391" i="6" s="1"/>
  <c r="U218" i="6"/>
  <c r="I218" i="6" s="1"/>
  <c r="T502" i="6"/>
  <c r="U502" i="6" s="1"/>
  <c r="I502" i="6" s="1"/>
  <c r="W502" i="6"/>
  <c r="U94" i="6"/>
  <c r="I94" i="6" s="1"/>
  <c r="T112" i="6"/>
  <c r="U112" i="6" s="1"/>
  <c r="I112" i="6" s="1"/>
  <c r="W112" i="6"/>
  <c r="U436" i="6"/>
  <c r="I436" i="6" s="1"/>
  <c r="U119" i="11"/>
  <c r="I119" i="11" s="1"/>
  <c r="U305" i="5"/>
  <c r="I305" i="5" s="1"/>
  <c r="U392" i="6"/>
  <c r="I392" i="6" s="1"/>
  <c r="U155" i="5"/>
  <c r="I155" i="5" s="1"/>
  <c r="U352" i="6"/>
  <c r="I352" i="6" s="1"/>
  <c r="U328" i="6"/>
  <c r="I328" i="6" s="1"/>
  <c r="U353" i="6"/>
  <c r="I353" i="6" s="1"/>
  <c r="W468" i="6"/>
  <c r="T468" i="6"/>
  <c r="U468" i="6" s="1"/>
  <c r="I468" i="6" s="1"/>
  <c r="U369" i="5"/>
  <c r="I369" i="5" s="1"/>
  <c r="U132" i="11"/>
  <c r="I132" i="11" s="1"/>
  <c r="U342" i="5"/>
  <c r="I342" i="5" s="1"/>
  <c r="U25" i="6"/>
  <c r="I25" i="6" s="1"/>
  <c r="U65" i="11"/>
  <c r="I65" i="11" s="1"/>
  <c r="W477" i="6"/>
  <c r="T477" i="6"/>
  <c r="U477" i="6" s="1"/>
  <c r="I477" i="6" s="1"/>
  <c r="U375" i="6"/>
  <c r="I375" i="6" s="1"/>
  <c r="U209" i="6"/>
  <c r="I209" i="6" s="1"/>
  <c r="U188" i="5"/>
  <c r="I188" i="5" s="1"/>
  <c r="U427" i="6"/>
  <c r="I427" i="6" s="1"/>
  <c r="U326" i="6"/>
  <c r="I326" i="6" s="1"/>
  <c r="U190" i="5"/>
  <c r="I190" i="5" s="1"/>
  <c r="T447" i="6"/>
  <c r="U447" i="6" s="1"/>
  <c r="I447" i="6" s="1"/>
  <c r="W447" i="6"/>
  <c r="U242" i="6"/>
  <c r="I242" i="6" s="1"/>
  <c r="W472" i="11"/>
  <c r="T472" i="11"/>
  <c r="U472" i="11" s="1"/>
  <c r="I472" i="11" s="1"/>
  <c r="U77" i="6"/>
  <c r="I77" i="6" s="1"/>
  <c r="U271" i="11"/>
  <c r="I271" i="11" s="1"/>
  <c r="U93" i="6"/>
  <c r="I93" i="6" s="1"/>
  <c r="W491" i="11"/>
  <c r="T491" i="11"/>
  <c r="U491" i="11" s="1"/>
  <c r="I491" i="11" s="1"/>
  <c r="T480" i="11"/>
  <c r="U480" i="11" s="1"/>
  <c r="I480" i="11" s="1"/>
  <c r="W480" i="11"/>
  <c r="W454" i="11"/>
  <c r="T454" i="11"/>
  <c r="U454" i="11" s="1"/>
  <c r="I454" i="11" s="1"/>
  <c r="U248" i="5"/>
  <c r="I248" i="5" s="1"/>
  <c r="W471" i="11"/>
  <c r="T471" i="11"/>
  <c r="U471" i="11" s="1"/>
  <c r="I471" i="11" s="1"/>
  <c r="U108" i="5"/>
  <c r="I108" i="5" s="1"/>
  <c r="U444" i="6"/>
  <c r="I444" i="6" s="1"/>
  <c r="U185" i="5"/>
  <c r="I185" i="5" s="1"/>
  <c r="T461" i="11"/>
  <c r="U461" i="11" s="1"/>
  <c r="I461" i="11" s="1"/>
  <c r="W461" i="11"/>
  <c r="U136" i="5"/>
  <c r="I136" i="5" s="1"/>
  <c r="U195" i="5"/>
  <c r="I195" i="5" s="1"/>
  <c r="U361" i="5"/>
  <c r="I361" i="5" s="1"/>
  <c r="U345" i="5"/>
  <c r="I345" i="5" s="1"/>
  <c r="U38" i="5"/>
  <c r="I38" i="5" s="1"/>
  <c r="T449" i="6"/>
  <c r="U449" i="6" s="1"/>
  <c r="I449" i="6" s="1"/>
  <c r="W449" i="6"/>
  <c r="W503" i="6"/>
  <c r="T503" i="6"/>
  <c r="U503" i="6" s="1"/>
  <c r="I503" i="6" s="1"/>
  <c r="W503" i="11"/>
  <c r="T503" i="11"/>
  <c r="U401" i="6"/>
  <c r="I401" i="6" s="1"/>
  <c r="U120" i="11"/>
  <c r="I120" i="11" s="1"/>
  <c r="U129" i="5"/>
  <c r="I129" i="5" s="1"/>
  <c r="U116" i="5"/>
  <c r="I116" i="5" s="1"/>
  <c r="U260" i="11"/>
  <c r="I260" i="11" s="1"/>
  <c r="T511" i="6"/>
  <c r="U511" i="6" s="1"/>
  <c r="I511" i="6" s="1"/>
  <c r="W511" i="6"/>
  <c r="W499" i="11"/>
  <c r="T499" i="11"/>
  <c r="U499" i="11" s="1"/>
  <c r="I499" i="11" s="1"/>
  <c r="W484" i="11"/>
  <c r="T484" i="11"/>
  <c r="U484" i="11" s="1"/>
  <c r="I484" i="11" s="1"/>
  <c r="U237" i="6"/>
  <c r="I237" i="6" s="1"/>
  <c r="U254" i="6"/>
  <c r="I254" i="6" s="1"/>
  <c r="U337" i="11"/>
  <c r="I337" i="11" s="1"/>
  <c r="U308" i="5"/>
  <c r="I308" i="5" s="1"/>
  <c r="U160" i="5"/>
  <c r="I160" i="5" s="1"/>
  <c r="W504" i="6"/>
  <c r="T504" i="6"/>
  <c r="U213" i="11"/>
  <c r="I213" i="11" s="1"/>
  <c r="T487" i="11"/>
  <c r="U487" i="11" s="1"/>
  <c r="I487" i="11" s="1"/>
  <c r="W487" i="11"/>
  <c r="U150" i="5"/>
  <c r="I150" i="5" s="1"/>
  <c r="U359" i="5"/>
  <c r="I359" i="5" s="1"/>
  <c r="U287" i="5"/>
  <c r="I287" i="5" s="1"/>
  <c r="T451" i="11"/>
  <c r="W451" i="11"/>
  <c r="U269" i="5"/>
  <c r="I269" i="5" s="1"/>
  <c r="U114" i="6"/>
  <c r="I114" i="6" s="1"/>
  <c r="U441" i="6"/>
  <c r="I441" i="6" s="1"/>
  <c r="W73" i="6"/>
  <c r="X27" i="5"/>
  <c r="J27" i="5"/>
  <c r="Z28" i="5"/>
  <c r="V28" i="5" s="1"/>
  <c r="U325" i="6"/>
  <c r="I325" i="6" s="1"/>
  <c r="U49" i="6"/>
  <c r="I49" i="6" s="1"/>
  <c r="U49" i="11"/>
  <c r="I49" i="11" s="1"/>
  <c r="U82" i="6"/>
  <c r="I82" i="6" s="1"/>
  <c r="U238" i="11"/>
  <c r="I238" i="11" s="1"/>
  <c r="U215" i="11"/>
  <c r="I215" i="11" s="1"/>
  <c r="U251" i="6"/>
  <c r="I251" i="6" s="1"/>
  <c r="U181" i="11"/>
  <c r="I181" i="11" s="1"/>
  <c r="U235" i="6"/>
  <c r="I235" i="6" s="1"/>
  <c r="U438" i="6"/>
  <c r="I438" i="6" s="1"/>
  <c r="U437" i="6"/>
  <c r="I437" i="6" s="1"/>
  <c r="U431" i="6"/>
  <c r="I431" i="6" s="1"/>
  <c r="U41" i="6"/>
  <c r="I41" i="6" s="1"/>
  <c r="U419" i="11"/>
  <c r="I419" i="11" s="1"/>
  <c r="U145" i="6"/>
  <c r="I145" i="6" s="1"/>
  <c r="U310" i="6"/>
  <c r="I310" i="6" s="1"/>
  <c r="U414" i="11"/>
  <c r="I414" i="11" s="1"/>
  <c r="U462" i="6"/>
  <c r="I462" i="6" s="1"/>
  <c r="U419" i="6"/>
  <c r="I419" i="6" s="1"/>
  <c r="U83" i="6"/>
  <c r="I83" i="6" s="1"/>
  <c r="U235" i="11"/>
  <c r="I235" i="11" s="1"/>
  <c r="U272" i="6"/>
  <c r="I272" i="6" s="1"/>
  <c r="U249" i="11"/>
  <c r="I249" i="11" s="1"/>
  <c r="U251" i="11"/>
  <c r="I251" i="11" s="1"/>
  <c r="U41" i="11"/>
  <c r="I41" i="11" s="1"/>
  <c r="U322" i="11"/>
  <c r="I322" i="11" s="1"/>
  <c r="U406" i="6"/>
  <c r="I406" i="6" s="1"/>
  <c r="U141" i="11"/>
  <c r="I141" i="11" s="1"/>
  <c r="U274" i="11"/>
  <c r="I274" i="11" s="1"/>
  <c r="U61" i="11"/>
  <c r="I61" i="11" s="1"/>
  <c r="U282" i="11"/>
  <c r="I282" i="11" s="1"/>
  <c r="U310" i="11"/>
  <c r="I310" i="11" s="1"/>
  <c r="U331" i="11"/>
  <c r="I331" i="11" s="1"/>
  <c r="U141" i="6"/>
  <c r="I141" i="6" s="1"/>
  <c r="U409" i="11"/>
  <c r="I409" i="11" s="1"/>
  <c r="U241" i="6"/>
  <c r="I241" i="6" s="1"/>
  <c r="U80" i="11"/>
  <c r="I80" i="11" s="1"/>
  <c r="U274" i="6"/>
  <c r="I274" i="6" s="1"/>
  <c r="U437" i="11"/>
  <c r="I437" i="11" s="1"/>
  <c r="U448" i="11"/>
  <c r="I448" i="11" s="1"/>
  <c r="U80" i="6"/>
  <c r="I80" i="6" s="1"/>
  <c r="U438" i="11"/>
  <c r="I438" i="11" s="1"/>
  <c r="U333" i="6"/>
  <c r="I333" i="6" s="1"/>
  <c r="U414" i="6"/>
  <c r="I414" i="6" s="1"/>
  <c r="U249" i="6"/>
  <c r="I249" i="6" s="1"/>
  <c r="U276" i="11"/>
  <c r="I276" i="11" s="1"/>
  <c r="U333" i="11"/>
  <c r="I333" i="11" s="1"/>
  <c r="U335" i="6"/>
  <c r="I335" i="6" s="1"/>
  <c r="U378" i="11"/>
  <c r="I378" i="11" s="1"/>
  <c r="U181" i="6"/>
  <c r="I181" i="6" s="1"/>
  <c r="U168" i="6"/>
  <c r="I168" i="6" s="1"/>
  <c r="U378" i="6"/>
  <c r="I378" i="6" s="1"/>
  <c r="U331" i="6"/>
  <c r="I331" i="6" s="1"/>
  <c r="U145" i="11"/>
  <c r="I145" i="11" s="1"/>
  <c r="U282" i="6"/>
  <c r="I282" i="6" s="1"/>
  <c r="U335" i="11"/>
  <c r="I335" i="11" s="1"/>
  <c r="U435" i="11"/>
  <c r="I435" i="11" s="1"/>
  <c r="U272" i="11"/>
  <c r="I272" i="11" s="1"/>
  <c r="U83" i="11"/>
  <c r="I83" i="11" s="1"/>
  <c r="U435" i="6"/>
  <c r="I435" i="6" s="1"/>
  <c r="U304" i="11"/>
  <c r="I304" i="11" s="1"/>
  <c r="U409" i="6"/>
  <c r="I409" i="6" s="1"/>
  <c r="U276" i="6"/>
  <c r="I276" i="6" s="1"/>
  <c r="U304" i="6"/>
  <c r="I304" i="6" s="1"/>
  <c r="U322" i="6"/>
  <c r="I322" i="6" s="1"/>
  <c r="U406" i="11"/>
  <c r="I406" i="11" s="1"/>
  <c r="U61" i="6"/>
  <c r="I61" i="6" s="1"/>
  <c r="U431" i="11"/>
  <c r="I431" i="11" s="1"/>
  <c r="U168" i="11"/>
  <c r="I168" i="11" s="1"/>
  <c r="U241" i="11"/>
  <c r="I241" i="11" s="1"/>
  <c r="S25" i="6"/>
  <c r="H25" i="6" s="1"/>
  <c r="AI242" i="5"/>
  <c r="AJ242" i="5"/>
  <c r="AJ313" i="5"/>
  <c r="AI313" i="5"/>
  <c r="AI285" i="5"/>
  <c r="AJ285" i="5"/>
  <c r="AJ404" i="5"/>
  <c r="AI404" i="5"/>
  <c r="AI450" i="5"/>
  <c r="AJ450" i="5"/>
  <c r="AJ202" i="5"/>
  <c r="AI202" i="5"/>
  <c r="AJ103" i="5"/>
  <c r="AI103" i="5"/>
  <c r="AI305" i="5"/>
  <c r="AJ305" i="5"/>
  <c r="AJ43" i="5"/>
  <c r="AI43" i="5"/>
  <c r="AJ317" i="5"/>
  <c r="AI317" i="5"/>
  <c r="AJ350" i="5"/>
  <c r="AI350" i="5"/>
  <c r="AJ138" i="5"/>
  <c r="AI138" i="5"/>
  <c r="AJ326" i="5"/>
  <c r="AI326" i="5"/>
  <c r="AI175" i="5"/>
  <c r="AJ175" i="5"/>
  <c r="AJ259" i="5"/>
  <c r="AI259" i="5"/>
  <c r="AI159" i="5"/>
  <c r="AJ159" i="5"/>
  <c r="AJ492" i="5"/>
  <c r="AI492" i="5"/>
  <c r="AI394" i="5"/>
  <c r="AJ394" i="5"/>
  <c r="AJ381" i="5"/>
  <c r="AI381" i="5"/>
  <c r="AI495" i="5"/>
  <c r="AJ495" i="5"/>
  <c r="AI479" i="5"/>
  <c r="AJ479" i="5"/>
  <c r="AJ358" i="5"/>
  <c r="AI358" i="5"/>
  <c r="AI34" i="5"/>
  <c r="AJ34" i="5"/>
  <c r="AI79" i="5"/>
  <c r="AJ79" i="5"/>
  <c r="AI343" i="5"/>
  <c r="AJ343" i="5"/>
  <c r="AJ485" i="5"/>
  <c r="AI485" i="5"/>
  <c r="AI273" i="5"/>
  <c r="AJ273" i="5"/>
  <c r="AJ261" i="5"/>
  <c r="AI261" i="5"/>
  <c r="AI144" i="5"/>
  <c r="AJ144" i="5"/>
  <c r="AJ367" i="5"/>
  <c r="AI367" i="5"/>
  <c r="AJ347" i="5"/>
  <c r="AI347" i="5"/>
  <c r="AJ351" i="5"/>
  <c r="AI351" i="5"/>
  <c r="AJ238" i="5"/>
  <c r="AI238" i="5"/>
  <c r="AI69" i="5"/>
  <c r="AJ69" i="5"/>
  <c r="AJ124" i="5"/>
  <c r="AI124" i="5"/>
  <c r="AI335" i="5"/>
  <c r="AJ335" i="5"/>
  <c r="AJ120" i="5"/>
  <c r="AI120" i="5"/>
  <c r="AI78" i="5"/>
  <c r="AJ78" i="5"/>
  <c r="AJ173" i="5"/>
  <c r="AI173" i="5"/>
  <c r="AJ192" i="5"/>
  <c r="AI192" i="5"/>
  <c r="AI274" i="5"/>
  <c r="AJ274" i="5"/>
  <c r="AJ106" i="5"/>
  <c r="AI106" i="5"/>
  <c r="AJ35" i="5"/>
  <c r="AI35" i="5"/>
  <c r="AI378" i="5"/>
  <c r="AJ378" i="5"/>
  <c r="AJ209" i="5"/>
  <c r="AI209" i="5"/>
  <c r="AI387" i="5"/>
  <c r="AJ387" i="5"/>
  <c r="AI156" i="5"/>
  <c r="AJ156" i="5"/>
  <c r="AI503" i="5"/>
  <c r="AJ503" i="5"/>
  <c r="AJ295" i="5"/>
  <c r="AI295" i="5"/>
  <c r="AI28" i="5"/>
  <c r="AJ28" i="5"/>
  <c r="AI90" i="5"/>
  <c r="AJ90" i="5"/>
  <c r="AI87" i="5"/>
  <c r="AJ87" i="5"/>
  <c r="AJ56" i="5"/>
  <c r="AI56" i="5"/>
  <c r="AJ432" i="5"/>
  <c r="AI432" i="5"/>
  <c r="AI262" i="5"/>
  <c r="AJ262" i="5"/>
  <c r="AI160" i="5"/>
  <c r="AJ160" i="5"/>
  <c r="AI402" i="5"/>
  <c r="AJ402" i="5"/>
  <c r="AJ182" i="5"/>
  <c r="AI182" i="5"/>
  <c r="AJ243" i="5"/>
  <c r="AI243" i="5"/>
  <c r="AJ44" i="5"/>
  <c r="AI44" i="5"/>
  <c r="AJ429" i="5"/>
  <c r="AI429" i="5"/>
  <c r="AI464" i="5"/>
  <c r="AJ464" i="5"/>
  <c r="AI168" i="5"/>
  <c r="AJ168" i="5"/>
  <c r="AJ122" i="5"/>
  <c r="AI122" i="5"/>
  <c r="AJ325" i="5"/>
  <c r="AI325" i="5"/>
  <c r="AI104" i="5"/>
  <c r="AJ104" i="5"/>
  <c r="AI407" i="5"/>
  <c r="AJ407" i="5"/>
  <c r="AI127" i="5"/>
  <c r="AJ127" i="5"/>
  <c r="AJ253" i="5"/>
  <c r="AI253" i="5"/>
  <c r="AJ83" i="5"/>
  <c r="AI83" i="5"/>
  <c r="AJ131" i="5"/>
  <c r="AI131" i="5"/>
  <c r="AJ487" i="5"/>
  <c r="AI487" i="5"/>
  <c r="AJ448" i="5"/>
  <c r="AI448" i="5"/>
  <c r="AI433" i="5"/>
  <c r="AJ433" i="5"/>
  <c r="AJ275" i="5"/>
  <c r="AI275" i="5"/>
  <c r="AI427" i="5"/>
  <c r="AJ427" i="5"/>
  <c r="AI74" i="5"/>
  <c r="AJ74" i="5"/>
  <c r="AJ100" i="5"/>
  <c r="AI100" i="5"/>
  <c r="AI45" i="5"/>
  <c r="AJ45" i="5"/>
  <c r="AJ507" i="5"/>
  <c r="AI507" i="5"/>
  <c r="AJ505" i="5"/>
  <c r="AI505" i="5"/>
  <c r="AJ181" i="5"/>
  <c r="AI181" i="5"/>
  <c r="AJ136" i="5"/>
  <c r="AI136" i="5"/>
  <c r="AJ126" i="5"/>
  <c r="AI126" i="5"/>
  <c r="AI310" i="5"/>
  <c r="AJ310" i="5"/>
  <c r="AI64" i="5"/>
  <c r="AJ64" i="5"/>
  <c r="AJ148" i="5"/>
  <c r="AI148" i="5"/>
  <c r="AI368" i="5"/>
  <c r="AJ368" i="5"/>
  <c r="AI157" i="5"/>
  <c r="AJ157" i="5"/>
  <c r="AI500" i="5"/>
  <c r="AJ500" i="5"/>
  <c r="AJ470" i="5"/>
  <c r="AI470" i="5"/>
  <c r="AJ360" i="5"/>
  <c r="AI360" i="5"/>
  <c r="AI227" i="5"/>
  <c r="AJ227" i="5"/>
  <c r="AI435" i="5"/>
  <c r="AJ435" i="5"/>
  <c r="AI447" i="5"/>
  <c r="AJ447" i="5"/>
  <c r="AJ418" i="5"/>
  <c r="AI418" i="5"/>
  <c r="AJ342" i="5"/>
  <c r="AI342" i="5"/>
  <c r="AJ425" i="5"/>
  <c r="AI425" i="5"/>
  <c r="AI396" i="5"/>
  <c r="AJ396" i="5"/>
  <c r="AI345" i="5"/>
  <c r="AJ345" i="5"/>
  <c r="AI309" i="5"/>
  <c r="AJ309" i="5"/>
  <c r="AI97" i="5"/>
  <c r="AJ97" i="5"/>
  <c r="AI287" i="5"/>
  <c r="AJ287" i="5"/>
  <c r="AJ167" i="5"/>
  <c r="AI167" i="5"/>
  <c r="AJ340" i="5"/>
  <c r="AI340" i="5"/>
  <c r="AI366" i="5"/>
  <c r="AJ366" i="5"/>
  <c r="AI279" i="5"/>
  <c r="AJ279" i="5"/>
  <c r="AJ195" i="5"/>
  <c r="AI195" i="5"/>
  <c r="AI161" i="5"/>
  <c r="AJ161" i="5"/>
  <c r="AI54" i="5"/>
  <c r="AJ54" i="5"/>
  <c r="AJ264" i="5"/>
  <c r="AI264" i="5"/>
  <c r="AJ169" i="5"/>
  <c r="AI169" i="5"/>
  <c r="AI258" i="5"/>
  <c r="AJ258" i="5"/>
  <c r="AJ446" i="5"/>
  <c r="AI446" i="5"/>
  <c r="AJ509" i="5"/>
  <c r="AI509" i="5"/>
  <c r="AI244" i="5"/>
  <c r="AJ244" i="5"/>
  <c r="AI151" i="5"/>
  <c r="AJ151" i="5"/>
  <c r="AJ471" i="5"/>
  <c r="AI471" i="5"/>
  <c r="AJ436" i="5"/>
  <c r="AI436" i="5"/>
  <c r="AJ257" i="5"/>
  <c r="AI257" i="5"/>
  <c r="AI467" i="5"/>
  <c r="AJ467" i="5"/>
  <c r="AI216" i="5"/>
  <c r="AJ216" i="5"/>
  <c r="AJ331" i="5"/>
  <c r="AI331" i="5"/>
  <c r="AI187" i="5"/>
  <c r="AJ187" i="5"/>
  <c r="AJ260" i="5"/>
  <c r="AI260" i="5"/>
  <c r="AI212" i="5"/>
  <c r="AJ212" i="5"/>
  <c r="AI316" i="5"/>
  <c r="AJ316" i="5"/>
  <c r="AO106" i="5"/>
  <c r="AP106" i="5" s="1"/>
  <c r="AO69" i="5"/>
  <c r="AP69" i="5" s="1"/>
  <c r="AO343" i="5"/>
  <c r="AP343" i="5" s="1"/>
  <c r="AO227" i="5"/>
  <c r="AP227" i="5" s="1"/>
  <c r="AO209" i="5"/>
  <c r="AP209" i="5" s="1"/>
  <c r="AO436" i="5"/>
  <c r="AP436" i="5" s="1"/>
  <c r="AO104" i="5"/>
  <c r="AP104" i="5" s="1"/>
  <c r="AO492" i="5"/>
  <c r="AP492" i="5" s="1"/>
  <c r="AO326" i="5"/>
  <c r="AP326" i="5" s="1"/>
  <c r="AO167" i="5"/>
  <c r="AP167" i="5" s="1"/>
  <c r="AO407" i="5"/>
  <c r="AP407" i="5" s="1"/>
  <c r="AO305" i="5"/>
  <c r="AP305" i="5" s="1"/>
  <c r="AO79" i="5"/>
  <c r="AP79" i="5" s="1"/>
  <c r="AO295" i="5"/>
  <c r="AP295" i="5" s="1"/>
  <c r="AO212" i="5"/>
  <c r="AP212" i="5" s="1"/>
  <c r="AO242" i="5"/>
  <c r="AP242" i="5" s="1"/>
  <c r="AO433" i="5"/>
  <c r="AP433" i="5" s="1"/>
  <c r="AO418" i="5"/>
  <c r="AP418" i="5" s="1"/>
  <c r="AO464" i="5"/>
  <c r="AP464" i="5" s="1"/>
  <c r="AO103" i="5"/>
  <c r="AP103" i="5" s="1"/>
  <c r="AO45" i="5"/>
  <c r="AP45" i="5" s="1"/>
  <c r="AO450" i="5"/>
  <c r="AP450" i="5" s="1"/>
  <c r="AO238" i="5"/>
  <c r="AP238" i="5" s="1"/>
  <c r="AO347" i="5"/>
  <c r="AP347" i="5" s="1"/>
  <c r="AO316" i="5"/>
  <c r="AP316" i="5" s="1"/>
  <c r="AO192" i="5"/>
  <c r="AP192" i="5" s="1"/>
  <c r="AO148" i="5"/>
  <c r="AP148" i="5" s="1"/>
  <c r="AO120" i="5"/>
  <c r="AP120" i="5" s="1"/>
  <c r="AO168" i="5"/>
  <c r="AP168" i="5" s="1"/>
  <c r="AO56" i="5"/>
  <c r="AP56" i="5" s="1"/>
  <c r="AO351" i="5"/>
  <c r="AP351" i="5" s="1"/>
  <c r="AO495" i="5"/>
  <c r="AP495" i="5" s="1"/>
  <c r="AO340" i="5"/>
  <c r="AP340" i="5" s="1"/>
  <c r="AO309" i="5"/>
  <c r="AP309" i="5" s="1"/>
  <c r="AO342" i="5"/>
  <c r="AP342" i="5" s="1"/>
  <c r="AO360" i="5"/>
  <c r="AP360" i="5" s="1"/>
  <c r="S25" i="11"/>
  <c r="H25" i="11" s="1"/>
  <c r="AI411" i="5"/>
  <c r="AJ411" i="5"/>
  <c r="AI390" i="5"/>
  <c r="AJ390" i="5"/>
  <c r="AJ249" i="5"/>
  <c r="AI249" i="5"/>
  <c r="AI355" i="5"/>
  <c r="AJ355" i="5"/>
  <c r="AI373" i="5"/>
  <c r="AJ373" i="5"/>
  <c r="AJ494" i="5"/>
  <c r="AI494" i="5"/>
  <c r="AJ456" i="5"/>
  <c r="AI456" i="5"/>
  <c r="AI306" i="5"/>
  <c r="AJ306" i="5"/>
  <c r="AJ81" i="5"/>
  <c r="AI81" i="5"/>
  <c r="AJ504" i="5"/>
  <c r="AI504" i="5"/>
  <c r="AJ252" i="5"/>
  <c r="AI252" i="5"/>
  <c r="AI93" i="5"/>
  <c r="AJ93" i="5"/>
  <c r="AI460" i="5"/>
  <c r="AJ460" i="5"/>
  <c r="AI55" i="5"/>
  <c r="AJ55" i="5"/>
  <c r="AJ397" i="5"/>
  <c r="AI397" i="5"/>
  <c r="AI77" i="5"/>
  <c r="AJ77" i="5"/>
  <c r="AI107" i="5"/>
  <c r="AJ107" i="5"/>
  <c r="AI452" i="5"/>
  <c r="AJ452" i="5"/>
  <c r="AI384" i="5"/>
  <c r="AJ384" i="5"/>
  <c r="AI171" i="5"/>
  <c r="AJ171" i="5"/>
  <c r="AI389" i="5"/>
  <c r="AJ389" i="5"/>
  <c r="AI178" i="5"/>
  <c r="AJ178" i="5"/>
  <c r="AJ284" i="5"/>
  <c r="AI284" i="5"/>
  <c r="AJ36" i="5"/>
  <c r="AI36" i="5"/>
  <c r="AJ241" i="5"/>
  <c r="AI241" i="5"/>
  <c r="AI109" i="5"/>
  <c r="AJ109" i="5"/>
  <c r="AI481" i="5"/>
  <c r="AJ481" i="5"/>
  <c r="AI218" i="5"/>
  <c r="AJ218" i="5"/>
  <c r="AJ296" i="5"/>
  <c r="AI296" i="5"/>
  <c r="AI221" i="5"/>
  <c r="AJ221" i="5"/>
  <c r="AI61" i="5"/>
  <c r="AJ61" i="5"/>
  <c r="AI154" i="5"/>
  <c r="AJ154" i="5"/>
  <c r="AJ399" i="5"/>
  <c r="AI399" i="5"/>
  <c r="AI409" i="5"/>
  <c r="AJ409" i="5"/>
  <c r="AI51" i="5"/>
  <c r="AJ51" i="5"/>
  <c r="AJ132" i="5"/>
  <c r="AI132" i="5"/>
  <c r="AJ47" i="5"/>
  <c r="AI47" i="5"/>
  <c r="AJ57" i="5"/>
  <c r="AI57" i="5"/>
  <c r="AI233" i="5"/>
  <c r="AJ233" i="5"/>
  <c r="AI457" i="5"/>
  <c r="AJ457" i="5"/>
  <c r="AJ493" i="5"/>
  <c r="AI493" i="5"/>
  <c r="AJ395" i="5"/>
  <c r="AI395" i="5"/>
  <c r="AI352" i="5"/>
  <c r="AJ352" i="5"/>
  <c r="AJ327" i="5"/>
  <c r="AI327" i="5"/>
  <c r="AI162" i="5"/>
  <c r="AJ162" i="5"/>
  <c r="AI486" i="5"/>
  <c r="AJ486" i="5"/>
  <c r="AJ129" i="5"/>
  <c r="AI129" i="5"/>
  <c r="AI370" i="5"/>
  <c r="AJ370" i="5"/>
  <c r="AJ321" i="5"/>
  <c r="AI321" i="5"/>
  <c r="AJ133" i="5"/>
  <c r="AI133" i="5"/>
  <c r="AI110" i="5"/>
  <c r="AJ110" i="5"/>
  <c r="AJ73" i="5"/>
  <c r="AI73" i="5"/>
  <c r="AI277" i="5"/>
  <c r="AJ277" i="5"/>
  <c r="AJ130" i="5"/>
  <c r="AI130" i="5"/>
  <c r="AJ304" i="5"/>
  <c r="AI304" i="5"/>
  <c r="AJ443" i="5"/>
  <c r="AI443" i="5"/>
  <c r="AI302" i="5"/>
  <c r="AJ302" i="5"/>
  <c r="AI111" i="5"/>
  <c r="AJ111" i="5"/>
  <c r="AI499" i="5"/>
  <c r="AJ499" i="5"/>
  <c r="AJ67" i="5"/>
  <c r="AI67" i="5"/>
  <c r="AI88" i="5"/>
  <c r="AJ88" i="5"/>
  <c r="AI32" i="5"/>
  <c r="AJ32" i="5"/>
  <c r="AI235" i="5"/>
  <c r="AJ235" i="5"/>
  <c r="AJ188" i="5"/>
  <c r="AI188" i="5"/>
  <c r="AJ204" i="5"/>
  <c r="AI204" i="5"/>
  <c r="AI208" i="5"/>
  <c r="AJ208" i="5"/>
  <c r="AI207" i="5"/>
  <c r="AJ207" i="5"/>
  <c r="AJ300" i="5"/>
  <c r="AI300" i="5"/>
  <c r="AI430" i="5"/>
  <c r="AJ430" i="5"/>
  <c r="AJ372" i="5"/>
  <c r="AI372" i="5"/>
  <c r="AI248" i="5"/>
  <c r="AJ248" i="5"/>
  <c r="AJ334" i="5"/>
  <c r="AI334" i="5"/>
  <c r="AJ298" i="5"/>
  <c r="AI298" i="5"/>
  <c r="AI205" i="5"/>
  <c r="AJ205" i="5"/>
  <c r="AI353" i="5"/>
  <c r="AJ353" i="5"/>
  <c r="AI482" i="5"/>
  <c r="AJ482" i="5"/>
  <c r="AJ59" i="5"/>
  <c r="AI59" i="5"/>
  <c r="AJ453" i="5"/>
  <c r="AI453" i="5"/>
  <c r="AI380" i="5"/>
  <c r="AJ380" i="5"/>
  <c r="AI125" i="5"/>
  <c r="AJ125" i="5"/>
  <c r="AI255" i="5"/>
  <c r="AJ255" i="5"/>
  <c r="AI303" i="5"/>
  <c r="AJ303" i="5"/>
  <c r="AI290" i="5"/>
  <c r="AJ290" i="5"/>
  <c r="AI254" i="5"/>
  <c r="AJ254" i="5"/>
  <c r="AJ336" i="5"/>
  <c r="AI336" i="5"/>
  <c r="AJ476" i="5"/>
  <c r="AI476" i="5"/>
  <c r="AJ444" i="5"/>
  <c r="AI444" i="5"/>
  <c r="AJ228" i="5"/>
  <c r="AI228" i="5"/>
  <c r="AI166" i="5"/>
  <c r="AJ166" i="5"/>
  <c r="AJ170" i="5"/>
  <c r="AI170" i="5"/>
  <c r="AJ225" i="5"/>
  <c r="AI225" i="5"/>
  <c r="AJ269" i="5"/>
  <c r="AI269" i="5"/>
  <c r="AJ413" i="5"/>
  <c r="AI413" i="5"/>
  <c r="AI506" i="5"/>
  <c r="AJ506" i="5"/>
  <c r="AJ139" i="5"/>
  <c r="AI139" i="5"/>
  <c r="AI339" i="5"/>
  <c r="AJ339" i="5"/>
  <c r="AJ40" i="5"/>
  <c r="AI40" i="5"/>
  <c r="AI301" i="5"/>
  <c r="AJ301" i="5"/>
  <c r="AI289" i="5"/>
  <c r="AJ289" i="5"/>
  <c r="AI468" i="5"/>
  <c r="AJ468" i="5"/>
  <c r="AJ50" i="5"/>
  <c r="AI50" i="5"/>
  <c r="AI215" i="5"/>
  <c r="AJ215" i="5"/>
  <c r="AI497" i="5"/>
  <c r="AJ497" i="5"/>
  <c r="AI422" i="5"/>
  <c r="AJ422" i="5"/>
  <c r="AJ419" i="5"/>
  <c r="AI419" i="5"/>
  <c r="AJ469" i="5"/>
  <c r="AI469" i="5"/>
  <c r="AI268" i="5"/>
  <c r="AJ268" i="5"/>
  <c r="AJ278" i="5"/>
  <c r="AI278" i="5"/>
  <c r="AJ489" i="5"/>
  <c r="AI489" i="5"/>
  <c r="AI299" i="5"/>
  <c r="AJ299" i="5"/>
  <c r="AI480" i="5"/>
  <c r="AJ480" i="5"/>
  <c r="AJ184" i="5"/>
  <c r="AI184" i="5"/>
  <c r="AJ232" i="5"/>
  <c r="AI232" i="5"/>
  <c r="AI291" i="5"/>
  <c r="AJ291" i="5"/>
  <c r="AI117" i="5"/>
  <c r="AJ117" i="5"/>
  <c r="AO43" i="5"/>
  <c r="AP43" i="5" s="1"/>
  <c r="AO40" i="5"/>
  <c r="AP40" i="5" s="1"/>
  <c r="AO394" i="5"/>
  <c r="AP394" i="5" s="1"/>
  <c r="AO413" i="5"/>
  <c r="AP413" i="5" s="1"/>
  <c r="AO243" i="5"/>
  <c r="AP243" i="5" s="1"/>
  <c r="AO503" i="5"/>
  <c r="AP503" i="5" s="1"/>
  <c r="AO74" i="5"/>
  <c r="AP74" i="5" s="1"/>
  <c r="AO373" i="5"/>
  <c r="AP373" i="5" s="1"/>
  <c r="AO287" i="5"/>
  <c r="AP287" i="5" s="1"/>
  <c r="AO67" i="5"/>
  <c r="AP67" i="5" s="1"/>
  <c r="AO131" i="5"/>
  <c r="AP131" i="5" s="1"/>
  <c r="AO28" i="5"/>
  <c r="AP28" i="5" s="1"/>
  <c r="AO306" i="5"/>
  <c r="AP306" i="5" s="1"/>
  <c r="AO166" i="5"/>
  <c r="AP166" i="5" s="1"/>
  <c r="AO188" i="5"/>
  <c r="AP188" i="5" s="1"/>
  <c r="AO139" i="5"/>
  <c r="AP139" i="5" s="1"/>
  <c r="AO202" i="5"/>
  <c r="AP202" i="5" s="1"/>
  <c r="AO73" i="5"/>
  <c r="AP73" i="5" s="1"/>
  <c r="AO187" i="5"/>
  <c r="AP187" i="5" s="1"/>
  <c r="AO487" i="5"/>
  <c r="AP487" i="5" s="1"/>
  <c r="AO170" i="5"/>
  <c r="AP170" i="5" s="1"/>
  <c r="AO160" i="5"/>
  <c r="AP160" i="5" s="1"/>
  <c r="AO456" i="5"/>
  <c r="AP456" i="5" s="1"/>
  <c r="AO182" i="5"/>
  <c r="AP182" i="5" s="1"/>
  <c r="AO397" i="5"/>
  <c r="AP397" i="5" s="1"/>
  <c r="AO467" i="5"/>
  <c r="AP467" i="5" s="1"/>
  <c r="AO321" i="5"/>
  <c r="AP321" i="5" s="1"/>
  <c r="AO448" i="5"/>
  <c r="AP448" i="5" s="1"/>
  <c r="AO470" i="5"/>
  <c r="AP470" i="5" s="1"/>
  <c r="AO499" i="5"/>
  <c r="AP499" i="5" s="1"/>
  <c r="AO35" i="5"/>
  <c r="AP35" i="5" s="1"/>
  <c r="AO184" i="5"/>
  <c r="AP184" i="5" s="1"/>
  <c r="AO34" i="5"/>
  <c r="AP34" i="5" s="1"/>
  <c r="AO479" i="5"/>
  <c r="AP479" i="5" s="1"/>
  <c r="AO59" i="5"/>
  <c r="AP59" i="5" s="1"/>
  <c r="AO358" i="5"/>
  <c r="AP358" i="5" s="1"/>
  <c r="AO430" i="5"/>
  <c r="AP430" i="5" s="1"/>
  <c r="AO151" i="5"/>
  <c r="AP151" i="5" s="1"/>
  <c r="AO289" i="5"/>
  <c r="AP289" i="5" s="1"/>
  <c r="AO339" i="5"/>
  <c r="AP339" i="5" s="1"/>
  <c r="AO32" i="5"/>
  <c r="AP32" i="5" s="1"/>
  <c r="AO107" i="5"/>
  <c r="AP107" i="5" s="1"/>
  <c r="AO93" i="5"/>
  <c r="AP93" i="5" s="1"/>
  <c r="AO378" i="5"/>
  <c r="AP378" i="5" s="1"/>
  <c r="AO336" i="5"/>
  <c r="AP336" i="5" s="1"/>
  <c r="AO489" i="5"/>
  <c r="AP489" i="5" s="1"/>
  <c r="AO335" i="5"/>
  <c r="AP335" i="5" s="1"/>
  <c r="AO47" i="5"/>
  <c r="AP47" i="5" s="1"/>
  <c r="AO469" i="5"/>
  <c r="AP469" i="5" s="1"/>
  <c r="AO486" i="5"/>
  <c r="AP486" i="5" s="1"/>
  <c r="AO327" i="5"/>
  <c r="AP327" i="5" s="1"/>
  <c r="AO273" i="5"/>
  <c r="AP273" i="5" s="1"/>
  <c r="AO485" i="5"/>
  <c r="AP485" i="5" s="1"/>
  <c r="AO429" i="5"/>
  <c r="AP429" i="5" s="1"/>
  <c r="AO87" i="5"/>
  <c r="AP87" i="5" s="1"/>
  <c r="AO159" i="5"/>
  <c r="AP159" i="5" s="1"/>
  <c r="AO317" i="5"/>
  <c r="AP317" i="5" s="1"/>
  <c r="AO171" i="5"/>
  <c r="AP171" i="5" s="1"/>
  <c r="AO279" i="5"/>
  <c r="AP279" i="5" s="1"/>
  <c r="AO215" i="5"/>
  <c r="AP215" i="5" s="1"/>
  <c r="AO345" i="5"/>
  <c r="AP345" i="5" s="1"/>
  <c r="AO435" i="5"/>
  <c r="AP435" i="5" s="1"/>
  <c r="B27" i="11"/>
  <c r="V27" i="11" s="1"/>
  <c r="B27" i="6"/>
  <c r="V27" i="6" s="1"/>
  <c r="B28" i="5"/>
  <c r="AJ245" i="5"/>
  <c r="AI245" i="5"/>
  <c r="AI455" i="5"/>
  <c r="AJ455" i="5"/>
  <c r="AJ475" i="5"/>
  <c r="AI475" i="5"/>
  <c r="AJ491" i="5"/>
  <c r="AI491" i="5"/>
  <c r="AI374" i="5"/>
  <c r="AJ374" i="5"/>
  <c r="AJ39" i="5"/>
  <c r="AI39" i="5"/>
  <c r="AJ267" i="5"/>
  <c r="AI267" i="5"/>
  <c r="AI105" i="5"/>
  <c r="AJ105" i="5"/>
  <c r="AI426" i="5"/>
  <c r="AJ426" i="5"/>
  <c r="AI230" i="5"/>
  <c r="AJ230" i="5"/>
  <c r="AJ141" i="5"/>
  <c r="AI141" i="5"/>
  <c r="AI94" i="5"/>
  <c r="AJ94" i="5"/>
  <c r="AJ511" i="5"/>
  <c r="AI511" i="5"/>
  <c r="AJ330" i="5"/>
  <c r="AI330" i="5"/>
  <c r="AJ60" i="5"/>
  <c r="AI60" i="5"/>
  <c r="AI307" i="5"/>
  <c r="AJ307" i="5"/>
  <c r="AJ63" i="5"/>
  <c r="AI63" i="5"/>
  <c r="AJ26" i="5"/>
  <c r="AI26" i="5"/>
  <c r="AI163" i="5"/>
  <c r="AJ163" i="5"/>
  <c r="AI451" i="5"/>
  <c r="AJ451" i="5"/>
  <c r="AJ239" i="5"/>
  <c r="AI239" i="5"/>
  <c r="AJ37" i="5"/>
  <c r="AI37" i="5"/>
  <c r="AI417" i="5"/>
  <c r="AJ417" i="5"/>
  <c r="AI219" i="5"/>
  <c r="AJ219" i="5"/>
  <c r="AI276" i="5"/>
  <c r="AJ276" i="5"/>
  <c r="AJ365" i="5"/>
  <c r="AI365" i="5"/>
  <c r="AJ196" i="5"/>
  <c r="AI196" i="5"/>
  <c r="AI496" i="5"/>
  <c r="AJ496" i="5"/>
  <c r="AI382" i="5"/>
  <c r="AJ382" i="5"/>
  <c r="AJ341" i="5"/>
  <c r="AI341" i="5"/>
  <c r="AJ153" i="5"/>
  <c r="AI153" i="5"/>
  <c r="AI312" i="5"/>
  <c r="AJ312" i="5"/>
  <c r="AI484" i="5"/>
  <c r="AJ484" i="5"/>
  <c r="AJ369" i="5"/>
  <c r="AI369" i="5"/>
  <c r="AI371" i="5"/>
  <c r="AJ371" i="5"/>
  <c r="AI99" i="5"/>
  <c r="AJ99" i="5"/>
  <c r="AI315" i="5"/>
  <c r="AJ315" i="5"/>
  <c r="AJ177" i="5"/>
  <c r="AI177" i="5"/>
  <c r="AJ288" i="5"/>
  <c r="AI288" i="5"/>
  <c r="AI185" i="5"/>
  <c r="AJ185" i="5"/>
  <c r="AJ338" i="5"/>
  <c r="AI338" i="5"/>
  <c r="AI201" i="5"/>
  <c r="AJ201" i="5"/>
  <c r="AI431" i="5"/>
  <c r="AJ431" i="5"/>
  <c r="AI231" i="5"/>
  <c r="AJ231" i="5"/>
  <c r="AI143" i="5"/>
  <c r="AJ143" i="5"/>
  <c r="AI319" i="5"/>
  <c r="AJ319" i="5"/>
  <c r="AJ328" i="5"/>
  <c r="AI328" i="5"/>
  <c r="AI286" i="5"/>
  <c r="AJ286" i="5"/>
  <c r="AI189" i="5"/>
  <c r="AJ189" i="5"/>
  <c r="AJ164" i="5"/>
  <c r="AI164" i="5"/>
  <c r="AJ102" i="5"/>
  <c r="AI102" i="5"/>
  <c r="AJ142" i="5"/>
  <c r="AI142" i="5"/>
  <c r="AI183" i="5"/>
  <c r="AJ183" i="5"/>
  <c r="AJ434" i="5"/>
  <c r="AI434" i="5"/>
  <c r="AJ251" i="5"/>
  <c r="AI251" i="5"/>
  <c r="AJ155" i="5"/>
  <c r="AI155" i="5"/>
  <c r="AI501" i="5"/>
  <c r="AJ501" i="5"/>
  <c r="AJ62" i="5"/>
  <c r="AI62" i="5"/>
  <c r="AJ52" i="5"/>
  <c r="AI52" i="5"/>
  <c r="AI29" i="5"/>
  <c r="AJ29" i="5"/>
  <c r="AI357" i="5"/>
  <c r="AJ357" i="5"/>
  <c r="AI403" i="5"/>
  <c r="AJ403" i="5"/>
  <c r="AI478" i="5"/>
  <c r="AJ478" i="5"/>
  <c r="AJ149" i="5"/>
  <c r="AI149" i="5"/>
  <c r="AJ359" i="5"/>
  <c r="AI359" i="5"/>
  <c r="AJ234" i="5"/>
  <c r="AI234" i="5"/>
  <c r="AI174" i="5"/>
  <c r="AJ174" i="5"/>
  <c r="AI454" i="5"/>
  <c r="AJ454" i="5"/>
  <c r="AI440" i="5"/>
  <c r="AJ440" i="5"/>
  <c r="AJ210" i="5"/>
  <c r="AI210" i="5"/>
  <c r="AJ224" i="5"/>
  <c r="AI224" i="5"/>
  <c r="AI379" i="5"/>
  <c r="AJ379" i="5"/>
  <c r="AJ356" i="5"/>
  <c r="AI356" i="5"/>
  <c r="AI145" i="5"/>
  <c r="AJ145" i="5"/>
  <c r="AI158" i="5"/>
  <c r="AJ158" i="5"/>
  <c r="AJ465" i="5"/>
  <c r="AI465" i="5"/>
  <c r="AI186" i="5"/>
  <c r="AJ186" i="5"/>
  <c r="AI134" i="5"/>
  <c r="AJ134" i="5"/>
  <c r="AI266" i="5"/>
  <c r="AJ266" i="5"/>
  <c r="AJ150" i="5"/>
  <c r="AI150" i="5"/>
  <c r="AI101" i="5"/>
  <c r="AJ101" i="5"/>
  <c r="AJ246" i="5"/>
  <c r="AI246" i="5"/>
  <c r="AJ438" i="5"/>
  <c r="AI438" i="5"/>
  <c r="AJ206" i="5"/>
  <c r="AI206" i="5"/>
  <c r="AJ213" i="5"/>
  <c r="AI213" i="5"/>
  <c r="AJ33" i="5"/>
  <c r="AI33" i="5"/>
  <c r="AI220" i="5"/>
  <c r="AJ220" i="5"/>
  <c r="AJ428" i="5"/>
  <c r="AI428" i="5"/>
  <c r="AI308" i="5"/>
  <c r="AJ308" i="5"/>
  <c r="AJ193" i="5"/>
  <c r="AI193" i="5"/>
  <c r="AJ375" i="5"/>
  <c r="AI375" i="5"/>
  <c r="AI463" i="5"/>
  <c r="AJ463" i="5"/>
  <c r="AJ354" i="5"/>
  <c r="AI354" i="5"/>
  <c r="AI401" i="5"/>
  <c r="AJ401" i="5"/>
  <c r="AI408" i="5"/>
  <c r="AJ408" i="5"/>
  <c r="AI128" i="5"/>
  <c r="AJ128" i="5"/>
  <c r="AI85" i="5"/>
  <c r="AJ85" i="5"/>
  <c r="AJ121" i="5"/>
  <c r="AI121" i="5"/>
  <c r="AJ65" i="5"/>
  <c r="AI65" i="5"/>
  <c r="AJ293" i="5"/>
  <c r="AI293" i="5"/>
  <c r="AI199" i="5"/>
  <c r="AJ199" i="5"/>
  <c r="AJ237" i="5"/>
  <c r="AI237" i="5"/>
  <c r="AI271" i="5"/>
  <c r="AJ271" i="5"/>
  <c r="AI510" i="5"/>
  <c r="AJ510" i="5"/>
  <c r="AI292" i="5"/>
  <c r="AJ292" i="5"/>
  <c r="AJ236" i="5"/>
  <c r="AI236" i="5"/>
  <c r="AI115" i="5"/>
  <c r="AJ115" i="5"/>
  <c r="AI376" i="5"/>
  <c r="AJ376" i="5"/>
  <c r="AJ323" i="5"/>
  <c r="AI323" i="5"/>
  <c r="AJ27" i="5"/>
  <c r="AI27" i="5"/>
  <c r="AI82" i="5"/>
  <c r="AJ82" i="5"/>
  <c r="AI226" i="5"/>
  <c r="AJ226" i="5"/>
  <c r="AJ383" i="5"/>
  <c r="AI383" i="5"/>
  <c r="AJ439" i="5"/>
  <c r="AI439" i="5"/>
  <c r="AJ462" i="5"/>
  <c r="AI462" i="5"/>
  <c r="AI280" i="5"/>
  <c r="AJ280" i="5"/>
  <c r="AI364" i="5"/>
  <c r="AJ364" i="5"/>
  <c r="AJ283" i="5"/>
  <c r="AI283" i="5"/>
  <c r="AJ48" i="5"/>
  <c r="AI48" i="5"/>
  <c r="AJ91" i="5"/>
  <c r="AI91" i="5"/>
  <c r="AJ70" i="5"/>
  <c r="AI70" i="5"/>
  <c r="AI31" i="5"/>
  <c r="AJ31" i="5"/>
  <c r="AJ165" i="5"/>
  <c r="AI165" i="5"/>
  <c r="AJ80" i="5"/>
  <c r="AI80" i="5"/>
  <c r="AJ297" i="5"/>
  <c r="AI297" i="5"/>
  <c r="AO468" i="5"/>
  <c r="AP468" i="5" s="1"/>
  <c r="AO157" i="5"/>
  <c r="AP157" i="5" s="1"/>
  <c r="AO267" i="5"/>
  <c r="AP267" i="5" s="1"/>
  <c r="AO163" i="5"/>
  <c r="AP163" i="5" s="1"/>
  <c r="AO254" i="5"/>
  <c r="AP254" i="5" s="1"/>
  <c r="AO51" i="5"/>
  <c r="AP51" i="5" s="1"/>
  <c r="AO220" i="5"/>
  <c r="AP220" i="5" s="1"/>
  <c r="AO507" i="5"/>
  <c r="AP507" i="5" s="1"/>
  <c r="AO262" i="5"/>
  <c r="AP262" i="5" s="1"/>
  <c r="AO366" i="5"/>
  <c r="AP366" i="5" s="1"/>
  <c r="AO29" i="5"/>
  <c r="AP29" i="5" s="1"/>
  <c r="AO258" i="5"/>
  <c r="AP258" i="5" s="1"/>
  <c r="AO219" i="5"/>
  <c r="AP219" i="5" s="1"/>
  <c r="AO504" i="5"/>
  <c r="AP504" i="5" s="1"/>
  <c r="AO156" i="5"/>
  <c r="AP156" i="5" s="1"/>
  <c r="AO338" i="5"/>
  <c r="AP338" i="5" s="1"/>
  <c r="AO384" i="5"/>
  <c r="AP384" i="5" s="1"/>
  <c r="AO102" i="5"/>
  <c r="AP102" i="5" s="1"/>
  <c r="AO274" i="5"/>
  <c r="AP274" i="5" s="1"/>
  <c r="AO380" i="5"/>
  <c r="AP380" i="5" s="1"/>
  <c r="AO428" i="5"/>
  <c r="AP428" i="5" s="1"/>
  <c r="AO88" i="5"/>
  <c r="AP88" i="5" s="1"/>
  <c r="AO257" i="5"/>
  <c r="AP257" i="5" s="1"/>
  <c r="AO235" i="5"/>
  <c r="AP235" i="5" s="1"/>
  <c r="AO471" i="5"/>
  <c r="AP471" i="5" s="1"/>
  <c r="AO302" i="5"/>
  <c r="AP302" i="5" s="1"/>
  <c r="AO308" i="5"/>
  <c r="AP308" i="5" s="1"/>
  <c r="AO150" i="5"/>
  <c r="AP150" i="5" s="1"/>
  <c r="AO77" i="5"/>
  <c r="AP77" i="5" s="1"/>
  <c r="AO367" i="5"/>
  <c r="AP367" i="5" s="1"/>
  <c r="AO276" i="5"/>
  <c r="AP276" i="5" s="1"/>
  <c r="AO462" i="5"/>
  <c r="AP462" i="5" s="1"/>
  <c r="AO331" i="5"/>
  <c r="AP331" i="5" s="1"/>
  <c r="AO178" i="5"/>
  <c r="AP178" i="5" s="1"/>
  <c r="AO64" i="5"/>
  <c r="AP64" i="5" s="1"/>
  <c r="AO447" i="5"/>
  <c r="AP447" i="5" s="1"/>
  <c r="AO117" i="5"/>
  <c r="AP117" i="5" s="1"/>
  <c r="AO144" i="5"/>
  <c r="AP144" i="5" s="1"/>
  <c r="AO427" i="5"/>
  <c r="AP427" i="5" s="1"/>
  <c r="AO381" i="5"/>
  <c r="AP381" i="5" s="1"/>
  <c r="AO221" i="5"/>
  <c r="AP221" i="5" s="1"/>
  <c r="AO390" i="5"/>
  <c r="AP390" i="5" s="1"/>
  <c r="AO426" i="5"/>
  <c r="AP426" i="5" s="1"/>
  <c r="AO130" i="5"/>
  <c r="AP130" i="5" s="1"/>
  <c r="AO26" i="5"/>
  <c r="AP26" i="5" s="1"/>
  <c r="AO261" i="5"/>
  <c r="AP261" i="5" s="1"/>
  <c r="AO161" i="5"/>
  <c r="AP161" i="5" s="1"/>
  <c r="AO453" i="5"/>
  <c r="AP453" i="5" s="1"/>
  <c r="AO183" i="5"/>
  <c r="AP183" i="5" s="1"/>
  <c r="AO334" i="5"/>
  <c r="AP334" i="5" s="1"/>
  <c r="AO173" i="5"/>
  <c r="AP173" i="5" s="1"/>
  <c r="AO266" i="5"/>
  <c r="AP266" i="5" s="1"/>
  <c r="AO136" i="5"/>
  <c r="AP136" i="5" s="1"/>
  <c r="AO27" i="5"/>
  <c r="AP27" i="5" s="1"/>
  <c r="AO286" i="5"/>
  <c r="AP286" i="5" s="1"/>
  <c r="AO226" i="5"/>
  <c r="AP226" i="5" s="1"/>
  <c r="AO83" i="5"/>
  <c r="AP83" i="5" s="1"/>
  <c r="AO280" i="5"/>
  <c r="AP280" i="5" s="1"/>
  <c r="AO82" i="5"/>
  <c r="AP82" i="5" s="1"/>
  <c r="AO376" i="5"/>
  <c r="AP376" i="5" s="1"/>
  <c r="AO301" i="5"/>
  <c r="AP301" i="5" s="1"/>
  <c r="AO65" i="5"/>
  <c r="AP65" i="5" s="1"/>
  <c r="AO476" i="5"/>
  <c r="AP476" i="5" s="1"/>
  <c r="AO210" i="5"/>
  <c r="AP210" i="5" s="1"/>
  <c r="AO478" i="5"/>
  <c r="AP478" i="5" s="1"/>
  <c r="AO259" i="5"/>
  <c r="AP259" i="5" s="1"/>
  <c r="AO48" i="5"/>
  <c r="AP48" i="5" s="1"/>
  <c r="AO225" i="5"/>
  <c r="AP225" i="5" s="1"/>
  <c r="AO207" i="5"/>
  <c r="AP207" i="5" s="1"/>
  <c r="AO233" i="5"/>
  <c r="AP233" i="5" s="1"/>
  <c r="AO260" i="5"/>
  <c r="AP260" i="5" s="1"/>
  <c r="AO169" i="5"/>
  <c r="AP169" i="5" s="1"/>
  <c r="AO365" i="5"/>
  <c r="AP365" i="5" s="1"/>
  <c r="AO368" i="5"/>
  <c r="AP368" i="5" s="1"/>
  <c r="AO78" i="5"/>
  <c r="AP78" i="5" s="1"/>
  <c r="AO228" i="5"/>
  <c r="AP228" i="5" s="1"/>
  <c r="AO369" i="5"/>
  <c r="AP369" i="5" s="1"/>
  <c r="AO455" i="5"/>
  <c r="AP455" i="5" s="1"/>
  <c r="AO33" i="5"/>
  <c r="AP33" i="5" s="1"/>
  <c r="AO359" i="5"/>
  <c r="AP359" i="5" s="1"/>
  <c r="AO403" i="5"/>
  <c r="AP403" i="5" s="1"/>
  <c r="AO355" i="5"/>
  <c r="AP355" i="5" s="1"/>
  <c r="AO312" i="5"/>
  <c r="AP312" i="5" s="1"/>
  <c r="AO241" i="5"/>
  <c r="AP241" i="5" s="1"/>
  <c r="AO111" i="5"/>
  <c r="AP111" i="5" s="1"/>
  <c r="AO154" i="5"/>
  <c r="AP154" i="5" s="1"/>
  <c r="AO422" i="5"/>
  <c r="AP422" i="5" s="1"/>
  <c r="AO50" i="5"/>
  <c r="AP50" i="5" s="1"/>
  <c r="AO396" i="5"/>
  <c r="AP396" i="5" s="1"/>
  <c r="AO506" i="5"/>
  <c r="AP506" i="5" s="1"/>
  <c r="K25" i="5"/>
  <c r="N25" i="5"/>
  <c r="AJ71" i="5"/>
  <c r="AI71" i="5"/>
  <c r="AJ66" i="5"/>
  <c r="AI66" i="5"/>
  <c r="AI423" i="5"/>
  <c r="AJ423" i="5"/>
  <c r="AJ473" i="5"/>
  <c r="AI473" i="5"/>
  <c r="AI152" i="5"/>
  <c r="AJ152" i="5"/>
  <c r="AI346" i="5"/>
  <c r="AJ346" i="5"/>
  <c r="AI318" i="5"/>
  <c r="AJ318" i="5"/>
  <c r="AJ392" i="5"/>
  <c r="AI392" i="5"/>
  <c r="AJ458" i="5"/>
  <c r="AI458" i="5"/>
  <c r="AJ30" i="5"/>
  <c r="AI30" i="5"/>
  <c r="AI466" i="5"/>
  <c r="AJ466" i="5"/>
  <c r="AJ391" i="5"/>
  <c r="AI391" i="5"/>
  <c r="AI281" i="5"/>
  <c r="AJ281" i="5"/>
  <c r="AI324" i="5"/>
  <c r="AJ324" i="5"/>
  <c r="AI229" i="5"/>
  <c r="AJ229" i="5"/>
  <c r="AI140" i="5"/>
  <c r="AJ140" i="5"/>
  <c r="AI263" i="5"/>
  <c r="AJ263" i="5"/>
  <c r="AI437" i="5"/>
  <c r="AJ437" i="5"/>
  <c r="AJ320" i="5"/>
  <c r="AI320" i="5"/>
  <c r="AJ46" i="5"/>
  <c r="AI46" i="5"/>
  <c r="AJ198" i="5"/>
  <c r="AI198" i="5"/>
  <c r="AI474" i="5"/>
  <c r="AJ474" i="5"/>
  <c r="AJ95" i="5"/>
  <c r="AI95" i="5"/>
  <c r="AI361" i="5"/>
  <c r="AJ361" i="5"/>
  <c r="AJ498" i="5"/>
  <c r="AI498" i="5"/>
  <c r="AI388" i="5"/>
  <c r="AJ388" i="5"/>
  <c r="AI333" i="5"/>
  <c r="AJ333" i="5"/>
  <c r="AI406" i="5"/>
  <c r="AJ406" i="5"/>
  <c r="AJ58" i="5"/>
  <c r="AI58" i="5"/>
  <c r="AI114" i="5"/>
  <c r="AJ114" i="5"/>
  <c r="AI256" i="5"/>
  <c r="AJ256" i="5"/>
  <c r="AJ393" i="5"/>
  <c r="AI393" i="5"/>
  <c r="AJ314" i="5"/>
  <c r="AI314" i="5"/>
  <c r="AI240" i="5"/>
  <c r="AJ240" i="5"/>
  <c r="AJ179" i="5"/>
  <c r="AI179" i="5"/>
  <c r="AI223" i="5"/>
  <c r="AJ223" i="5"/>
  <c r="AI477" i="5"/>
  <c r="AJ477" i="5"/>
  <c r="AI442" i="5"/>
  <c r="AJ442" i="5"/>
  <c r="AJ38" i="5"/>
  <c r="AI38" i="5"/>
  <c r="AI116" i="5"/>
  <c r="AJ116" i="5"/>
  <c r="AJ282" i="5"/>
  <c r="AI282" i="5"/>
  <c r="AI329" i="5"/>
  <c r="AJ329" i="5"/>
  <c r="AI410" i="5"/>
  <c r="AJ410" i="5"/>
  <c r="AJ270" i="5"/>
  <c r="AI270" i="5"/>
  <c r="AI112" i="5"/>
  <c r="AJ112" i="5"/>
  <c r="AI377" i="5"/>
  <c r="AJ377" i="5"/>
  <c r="AJ421" i="5"/>
  <c r="AI421" i="5"/>
  <c r="AJ344" i="5"/>
  <c r="AI344" i="5"/>
  <c r="AI92" i="5"/>
  <c r="AJ92" i="5"/>
  <c r="AJ137" i="5"/>
  <c r="AI137" i="5"/>
  <c r="AJ222" i="5"/>
  <c r="AI222" i="5"/>
  <c r="AI398" i="5"/>
  <c r="AJ398" i="5"/>
  <c r="AJ172" i="5"/>
  <c r="AI172" i="5"/>
  <c r="AI461" i="5"/>
  <c r="AJ461" i="5"/>
  <c r="AJ445" i="5"/>
  <c r="AI445" i="5"/>
  <c r="AI203" i="5"/>
  <c r="AJ203" i="5"/>
  <c r="AJ190" i="5"/>
  <c r="AI190" i="5"/>
  <c r="AJ108" i="5"/>
  <c r="AI108" i="5"/>
  <c r="AJ217" i="5"/>
  <c r="AI217" i="5"/>
  <c r="AI84" i="5"/>
  <c r="AJ84" i="5"/>
  <c r="AJ363" i="5"/>
  <c r="AI363" i="5"/>
  <c r="AI247" i="5"/>
  <c r="AJ247" i="5"/>
  <c r="AI197" i="5"/>
  <c r="AJ197" i="5"/>
  <c r="AJ72" i="5"/>
  <c r="AI72" i="5"/>
  <c r="AI41" i="5"/>
  <c r="AJ41" i="5"/>
  <c r="AJ180" i="5"/>
  <c r="AI180" i="5"/>
  <c r="AI490" i="5"/>
  <c r="AJ490" i="5"/>
  <c r="AJ194" i="5"/>
  <c r="AI194" i="5"/>
  <c r="AJ119" i="5"/>
  <c r="AI119" i="5"/>
  <c r="AI337" i="5"/>
  <c r="AJ337" i="5"/>
  <c r="AJ348" i="5"/>
  <c r="AI348" i="5"/>
  <c r="AJ118" i="5"/>
  <c r="AI118" i="5"/>
  <c r="AI294" i="5"/>
  <c r="AJ294" i="5"/>
  <c r="AJ416" i="5"/>
  <c r="AI416" i="5"/>
  <c r="AJ135" i="5"/>
  <c r="AI135" i="5"/>
  <c r="AI420" i="5"/>
  <c r="AJ420" i="5"/>
  <c r="AJ272" i="5"/>
  <c r="AI272" i="5"/>
  <c r="AJ147" i="5"/>
  <c r="AI147" i="5"/>
  <c r="AJ332" i="5"/>
  <c r="AI332" i="5"/>
  <c r="AI349" i="5"/>
  <c r="AJ349" i="5"/>
  <c r="AJ98" i="5"/>
  <c r="AI98" i="5"/>
  <c r="AJ211" i="5"/>
  <c r="AI211" i="5"/>
  <c r="AJ386" i="5"/>
  <c r="AI386" i="5"/>
  <c r="AJ76" i="5"/>
  <c r="AI76" i="5"/>
  <c r="AI415" i="5"/>
  <c r="AJ415" i="5"/>
  <c r="AI508" i="5"/>
  <c r="AJ508" i="5"/>
  <c r="AJ405" i="5"/>
  <c r="AI405" i="5"/>
  <c r="AI362" i="5"/>
  <c r="AJ362" i="5"/>
  <c r="AJ191" i="5"/>
  <c r="AI191" i="5"/>
  <c r="AJ146" i="5"/>
  <c r="AI146" i="5"/>
  <c r="AI424" i="5"/>
  <c r="AJ424" i="5"/>
  <c r="AJ472" i="5"/>
  <c r="AI472" i="5"/>
  <c r="AI385" i="5"/>
  <c r="AJ385" i="5"/>
  <c r="AI400" i="5"/>
  <c r="AJ400" i="5"/>
  <c r="AJ75" i="5"/>
  <c r="AI75" i="5"/>
  <c r="AJ89" i="5"/>
  <c r="AI89" i="5"/>
  <c r="AJ250" i="5"/>
  <c r="AI250" i="5"/>
  <c r="AI113" i="5"/>
  <c r="AJ113" i="5"/>
  <c r="AI483" i="5"/>
  <c r="AJ483" i="5"/>
  <c r="AI311" i="5"/>
  <c r="AJ311" i="5"/>
  <c r="AJ265" i="5"/>
  <c r="AI265" i="5"/>
  <c r="AI68" i="5"/>
  <c r="AJ68" i="5"/>
  <c r="AJ502" i="5"/>
  <c r="AI502" i="5"/>
  <c r="AI53" i="5"/>
  <c r="AJ53" i="5"/>
  <c r="AJ414" i="5"/>
  <c r="AI414" i="5"/>
  <c r="AJ176" i="5"/>
  <c r="AI176" i="5"/>
  <c r="AI412" i="5"/>
  <c r="AJ412" i="5"/>
  <c r="AI42" i="5"/>
  <c r="AJ42" i="5"/>
  <c r="AI459" i="5"/>
  <c r="AJ459" i="5"/>
  <c r="AJ49" i="5"/>
  <c r="AI49" i="5"/>
  <c r="AJ86" i="5"/>
  <c r="AI86" i="5"/>
  <c r="AI123" i="5"/>
  <c r="AJ123" i="5"/>
  <c r="AI322" i="5"/>
  <c r="AJ322" i="5"/>
  <c r="AI214" i="5"/>
  <c r="AJ214" i="5"/>
  <c r="AJ488" i="5"/>
  <c r="AI488" i="5"/>
  <c r="AJ200" i="5"/>
  <c r="AI200" i="5"/>
  <c r="AJ449" i="5"/>
  <c r="AI449" i="5"/>
  <c r="AJ96" i="5"/>
  <c r="AI96" i="5"/>
  <c r="AI441" i="5"/>
  <c r="AJ441" i="5"/>
  <c r="AO252" i="5"/>
  <c r="AP252" i="5" s="1"/>
  <c r="AO402" i="5"/>
  <c r="AP402" i="5" s="1"/>
  <c r="AO443" i="5"/>
  <c r="AP443" i="5" s="1"/>
  <c r="AO42" i="5"/>
  <c r="AP42" i="5" s="1"/>
  <c r="AO310" i="5"/>
  <c r="AP310" i="5" s="1"/>
  <c r="AO319" i="5"/>
  <c r="AP319" i="5" s="1"/>
  <c r="AO54" i="5"/>
  <c r="AP54" i="5" s="1"/>
  <c r="AO44" i="5"/>
  <c r="AP44" i="5" s="1"/>
  <c r="AO89" i="5"/>
  <c r="AP89" i="5" s="1"/>
  <c r="AO446" i="5"/>
  <c r="AP446" i="5" s="1"/>
  <c r="AO164" i="5"/>
  <c r="AP164" i="5" s="1"/>
  <c r="AO244" i="5"/>
  <c r="AP244" i="5" s="1"/>
  <c r="AO431" i="5"/>
  <c r="AP431" i="5" s="1"/>
  <c r="AO152" i="5"/>
  <c r="AP152" i="5" s="1"/>
  <c r="AO126" i="5"/>
  <c r="AP126" i="5" s="1"/>
  <c r="AO491" i="5"/>
  <c r="AP491" i="5" s="1"/>
  <c r="AO237" i="5"/>
  <c r="AP237" i="5" s="1"/>
  <c r="AO268" i="5"/>
  <c r="AP268" i="5" s="1"/>
  <c r="AO277" i="5"/>
  <c r="AP277" i="5" s="1"/>
  <c r="AO505" i="5"/>
  <c r="AP505" i="5" s="1"/>
  <c r="AO333" i="5"/>
  <c r="AP333" i="5" s="1"/>
  <c r="AO196" i="5"/>
  <c r="AP196" i="5" s="1"/>
  <c r="AO263" i="5"/>
  <c r="AP263" i="5" s="1"/>
  <c r="AO175" i="5"/>
  <c r="AP175" i="5" s="1"/>
  <c r="AO387" i="5"/>
  <c r="AP387" i="5" s="1"/>
  <c r="AO404" i="5"/>
  <c r="AP404" i="5" s="1"/>
  <c r="AO500" i="5"/>
  <c r="AP500" i="5" s="1"/>
  <c r="AO438" i="5"/>
  <c r="AP438" i="5" s="1"/>
  <c r="AO248" i="5"/>
  <c r="AP248" i="5" s="1"/>
  <c r="AO138" i="5"/>
  <c r="AP138" i="5" s="1"/>
  <c r="AO391" i="5"/>
  <c r="AP391" i="5" s="1"/>
  <c r="AO303" i="5"/>
  <c r="AP303" i="5" s="1"/>
  <c r="AO311" i="5"/>
  <c r="AP311" i="5" s="1"/>
  <c r="AO60" i="5"/>
  <c r="AP60" i="5" s="1"/>
  <c r="AO149" i="5"/>
  <c r="AP149" i="5" s="1"/>
  <c r="AO37" i="5"/>
  <c r="AP37" i="5" s="1"/>
  <c r="AO125" i="5"/>
  <c r="AP125" i="5" s="1"/>
  <c r="AO205" i="5"/>
  <c r="AP205" i="5" s="1"/>
  <c r="AO124" i="5"/>
  <c r="AP124" i="5" s="1"/>
  <c r="AO114" i="5"/>
  <c r="AP114" i="5" s="1"/>
  <c r="AO231" i="5"/>
  <c r="AP231" i="5" s="1"/>
  <c r="AO249" i="5"/>
  <c r="AP249" i="5" s="1"/>
  <c r="AO434" i="5"/>
  <c r="AP434" i="5" s="1"/>
  <c r="AO57" i="5"/>
  <c r="AP57" i="5" s="1"/>
  <c r="AO214" i="5"/>
  <c r="AP214" i="5" s="1"/>
  <c r="AO285" i="5"/>
  <c r="AP285" i="5" s="1"/>
  <c r="AO475" i="5"/>
  <c r="AP475" i="5" s="1"/>
  <c r="AO162" i="5"/>
  <c r="AP162" i="5" s="1"/>
  <c r="AO477" i="5"/>
  <c r="AP477" i="5" s="1"/>
  <c r="AO97" i="5"/>
  <c r="AP97" i="5" s="1"/>
  <c r="AO304" i="5"/>
  <c r="AP304" i="5" s="1"/>
  <c r="AO361" i="5"/>
  <c r="AP361" i="5" s="1"/>
  <c r="AO284" i="5"/>
  <c r="AP284" i="5" s="1"/>
  <c r="AO325" i="5"/>
  <c r="AP325" i="5" s="1"/>
  <c r="AO278" i="5"/>
  <c r="AP278" i="5" s="1"/>
  <c r="AO80" i="5"/>
  <c r="AP80" i="5" s="1"/>
  <c r="AO315" i="5"/>
  <c r="AP315" i="5" s="1"/>
  <c r="AO349" i="5"/>
  <c r="AP349" i="5" s="1"/>
  <c r="AO461" i="5"/>
  <c r="AP461" i="5" s="1"/>
  <c r="AO411" i="5"/>
  <c r="AP411" i="5" s="1"/>
  <c r="AO408" i="5"/>
  <c r="AP408" i="5" s="1"/>
  <c r="AO352" i="5"/>
  <c r="AP352" i="5" s="1"/>
  <c r="AO100" i="5"/>
  <c r="AP100" i="5" s="1"/>
  <c r="AO449" i="5"/>
  <c r="AP449" i="5" s="1"/>
  <c r="AO135" i="5"/>
  <c r="AP135" i="5" s="1"/>
  <c r="AO218" i="5"/>
  <c r="AP218" i="5" s="1"/>
  <c r="AO133" i="5"/>
  <c r="AP133" i="5" s="1"/>
  <c r="AO36" i="5"/>
  <c r="AP36" i="5" s="1"/>
  <c r="AO127" i="5"/>
  <c r="AP127" i="5" s="1"/>
  <c r="AO203" i="5"/>
  <c r="AP203" i="5" s="1"/>
  <c r="AO463" i="5"/>
  <c r="AP463" i="5" s="1"/>
  <c r="AO172" i="5"/>
  <c r="AP172" i="5" s="1"/>
  <c r="AO229" i="5"/>
  <c r="AP229" i="5" s="1"/>
  <c r="AO264" i="5"/>
  <c r="AP264" i="5" s="1"/>
  <c r="AO253" i="5"/>
  <c r="AP253" i="5" s="1"/>
  <c r="AO372" i="5"/>
  <c r="AP372" i="5" s="1"/>
  <c r="AO509" i="5"/>
  <c r="AP509" i="5" s="1"/>
  <c r="AO95" i="5"/>
  <c r="AP95" i="5" s="1"/>
  <c r="AO399" i="5"/>
  <c r="AP399" i="5" s="1"/>
  <c r="AO374" i="5"/>
  <c r="AP374" i="5" s="1"/>
  <c r="AO115" i="5"/>
  <c r="AP115" i="5" s="1"/>
  <c r="AO483" i="5"/>
  <c r="AP483" i="5" s="1"/>
  <c r="AO121" i="5"/>
  <c r="AP121" i="5" s="1"/>
  <c r="AO208" i="5"/>
  <c r="AP208" i="5" s="1"/>
  <c r="AO454" i="5"/>
  <c r="AP454" i="5" s="1"/>
  <c r="AO90" i="5"/>
  <c r="AP90" i="5" s="1"/>
  <c r="AO350" i="5"/>
  <c r="AP350" i="5" s="1"/>
  <c r="AO62" i="5"/>
  <c r="AP62" i="5" s="1"/>
  <c r="AO216" i="5"/>
  <c r="AP216" i="5" s="1"/>
  <c r="AO132" i="5"/>
  <c r="AP132" i="5" s="1"/>
  <c r="AO424" i="5"/>
  <c r="AP424" i="5" s="1"/>
  <c r="AO270" i="5"/>
  <c r="AP270" i="5" s="1"/>
  <c r="AO177" i="5"/>
  <c r="AP177" i="5" s="1"/>
  <c r="AO313" i="5"/>
  <c r="AP313" i="5" s="1"/>
  <c r="AO256" i="5"/>
  <c r="AP256" i="5" s="1"/>
  <c r="AO275" i="5"/>
  <c r="AP275" i="5" s="1"/>
  <c r="AO409" i="5"/>
  <c r="AP409" i="5" s="1"/>
  <c r="AO482" i="5"/>
  <c r="AP482" i="5" s="1"/>
  <c r="AO112" i="5"/>
  <c r="AP112" i="5" s="1"/>
  <c r="AO129" i="5"/>
  <c r="AP129" i="5" s="1"/>
  <c r="AO58" i="5"/>
  <c r="AP58" i="5" s="1"/>
  <c r="AO181" i="5"/>
  <c r="AP181" i="5" s="1"/>
  <c r="AO395" i="5"/>
  <c r="AP395" i="5" s="1"/>
  <c r="AO99" i="5"/>
  <c r="AP99" i="5" s="1"/>
  <c r="AO442" i="5"/>
  <c r="AP442" i="5" s="1"/>
  <c r="AO158" i="5"/>
  <c r="AP158" i="5" s="1"/>
  <c r="AO122" i="5"/>
  <c r="AP122" i="5" s="1"/>
  <c r="AO490" i="5"/>
  <c r="AP490" i="5" s="1"/>
  <c r="AO72" i="5"/>
  <c r="AP72" i="5" s="1"/>
  <c r="AO432" i="5"/>
  <c r="AP432" i="5" s="1"/>
  <c r="AO452" i="5"/>
  <c r="AP452" i="5" s="1"/>
  <c r="AO474" i="5"/>
  <c r="AP474" i="5" s="1"/>
  <c r="AO109" i="5"/>
  <c r="AP109" i="5" s="1"/>
  <c r="AO494" i="5"/>
  <c r="AP494" i="5" s="1"/>
  <c r="AO501" i="5"/>
  <c r="AP501" i="5" s="1"/>
  <c r="AO189" i="5"/>
  <c r="AP189" i="5" s="1"/>
  <c r="AO195" i="5"/>
  <c r="AP195" i="5" s="1"/>
  <c r="AO68" i="5"/>
  <c r="AP68" i="5" s="1"/>
  <c r="AO271" i="5"/>
  <c r="AP271" i="5" s="1"/>
  <c r="AO425" i="5"/>
  <c r="AP425" i="5" s="1"/>
  <c r="AO293" i="5"/>
  <c r="AP293" i="5" s="1"/>
  <c r="AO400" i="5"/>
  <c r="AP400" i="5" s="1"/>
  <c r="W507" i="6" l="1"/>
  <c r="W468" i="11"/>
  <c r="W465" i="6"/>
  <c r="W448" i="6"/>
  <c r="G44" i="2"/>
  <c r="B59" i="2" s="1"/>
  <c r="W482" i="11"/>
  <c r="W464" i="6"/>
  <c r="W490" i="11"/>
  <c r="W509" i="6"/>
  <c r="W460" i="11"/>
  <c r="W458" i="11"/>
  <c r="W509" i="11"/>
  <c r="W448" i="11"/>
  <c r="W464" i="11"/>
  <c r="W507" i="11"/>
  <c r="W462" i="11"/>
  <c r="W482" i="6"/>
  <c r="AE28" i="6"/>
  <c r="W184" i="6"/>
  <c r="W178" i="6"/>
  <c r="W255" i="6"/>
  <c r="W445" i="6"/>
  <c r="W412" i="6"/>
  <c r="W180" i="6"/>
  <c r="W359" i="6"/>
  <c r="W309" i="6"/>
  <c r="W384" i="6"/>
  <c r="W345" i="6"/>
  <c r="W395" i="6"/>
  <c r="W320" i="6"/>
  <c r="W156" i="6"/>
  <c r="W270" i="6"/>
  <c r="W377" i="6"/>
  <c r="W187" i="6"/>
  <c r="W405" i="6"/>
  <c r="W163" i="6"/>
  <c r="W430" i="6"/>
  <c r="W213" i="6"/>
  <c r="W429" i="6"/>
  <c r="B58" i="2"/>
  <c r="W422" i="6"/>
  <c r="W336" i="6"/>
  <c r="W368" i="6"/>
  <c r="W207" i="6"/>
  <c r="W348" i="6"/>
  <c r="W311" i="6"/>
  <c r="W289" i="6"/>
  <c r="W418" i="6"/>
  <c r="W354" i="6"/>
  <c r="W312" i="6"/>
  <c r="W340" i="6"/>
  <c r="W323" i="6"/>
  <c r="W231" i="6"/>
  <c r="W355" i="6"/>
  <c r="W149" i="6"/>
  <c r="W277" i="6"/>
  <c r="W433" i="6"/>
  <c r="W442" i="6"/>
  <c r="W195" i="6"/>
  <c r="W413" i="6"/>
  <c r="W200" i="6"/>
  <c r="W362" i="6"/>
  <c r="W393" i="6"/>
  <c r="W349" i="6"/>
  <c r="W248" i="6"/>
  <c r="W281" i="6"/>
  <c r="W230" i="6"/>
  <c r="W219" i="6"/>
  <c r="W225" i="6"/>
  <c r="W210" i="6"/>
  <c r="W439" i="6"/>
  <c r="W279" i="6"/>
  <c r="W166" i="6"/>
  <c r="W247" i="6"/>
  <c r="W283" i="6"/>
  <c r="W319" i="6"/>
  <c r="W361" i="6"/>
  <c r="W344" i="6"/>
  <c r="W258" i="6"/>
  <c r="W370" i="6"/>
  <c r="W252" i="6"/>
  <c r="W357" i="6"/>
  <c r="W261" i="6"/>
  <c r="W198" i="6"/>
  <c r="W260" i="6"/>
  <c r="W302" i="6"/>
  <c r="W308" i="6"/>
  <c r="W177" i="6"/>
  <c r="W306" i="6"/>
  <c r="W155" i="6"/>
  <c r="W263" i="6"/>
  <c r="W303" i="6"/>
  <c r="W440" i="6"/>
  <c r="W300" i="6"/>
  <c r="W179" i="6"/>
  <c r="W371" i="6"/>
  <c r="W290" i="6"/>
  <c r="W421" i="6"/>
  <c r="W341" i="6"/>
  <c r="W268" i="6"/>
  <c r="W301" i="6"/>
  <c r="W151" i="6"/>
  <c r="W278" i="6"/>
  <c r="W183" i="6"/>
  <c r="W228" i="6"/>
  <c r="W197" i="6"/>
  <c r="W147" i="6"/>
  <c r="W146" i="6"/>
  <c r="W203" i="6"/>
  <c r="W227" i="6"/>
  <c r="W202" i="6"/>
  <c r="W262" i="6"/>
  <c r="W369" i="6"/>
  <c r="W343" i="6"/>
  <c r="W224" i="6"/>
  <c r="W244" i="6"/>
  <c r="W381" i="6"/>
  <c r="W338" i="6"/>
  <c r="W250" i="6"/>
  <c r="W152" i="6"/>
  <c r="W401" i="6"/>
  <c r="W175" i="6"/>
  <c r="W416" i="6"/>
  <c r="W390" i="6"/>
  <c r="W254" i="6"/>
  <c r="W292" i="6"/>
  <c r="W352" i="6"/>
  <c r="W194" i="6"/>
  <c r="W211" i="6"/>
  <c r="W400" i="6"/>
  <c r="W243" i="6"/>
  <c r="W171" i="6"/>
  <c r="W441" i="6"/>
  <c r="W192" i="6"/>
  <c r="W403" i="6"/>
  <c r="W410" i="6"/>
  <c r="W164" i="6"/>
  <c r="W396" i="6"/>
  <c r="W221" i="6"/>
  <c r="W209" i="6"/>
  <c r="W318" i="6"/>
  <c r="W295" i="6"/>
  <c r="W307" i="6"/>
  <c r="W269" i="6"/>
  <c r="W257" i="6"/>
  <c r="W334" i="6"/>
  <c r="W386" i="6"/>
  <c r="W273" i="6"/>
  <c r="W363" i="6"/>
  <c r="W325" i="6"/>
  <c r="W388" i="6"/>
  <c r="W238" i="6"/>
  <c r="W249" i="6"/>
  <c r="W414" i="6"/>
  <c r="W272" i="6"/>
  <c r="W335" i="6"/>
  <c r="W435" i="6"/>
  <c r="W251" i="6"/>
  <c r="W256" i="6"/>
  <c r="W317" i="6"/>
  <c r="W316" i="6"/>
  <c r="W161" i="6"/>
  <c r="W154" i="6"/>
  <c r="W389" i="6"/>
  <c r="W240" i="6"/>
  <c r="W186" i="6"/>
  <c r="W294" i="6"/>
  <c r="W169" i="6"/>
  <c r="W185" i="6"/>
  <c r="W191" i="6"/>
  <c r="W356" i="6"/>
  <c r="W436" i="6"/>
  <c r="W392" i="6"/>
  <c r="W173" i="6"/>
  <c r="W360" i="6"/>
  <c r="W162" i="6"/>
  <c r="W328" i="6"/>
  <c r="W415" i="6"/>
  <c r="W226" i="6"/>
  <c r="W385" i="6"/>
  <c r="W327" i="6"/>
  <c r="W291" i="6"/>
  <c r="W259" i="6"/>
  <c r="W159" i="6"/>
  <c r="W298" i="6"/>
  <c r="W216" i="6"/>
  <c r="W394" i="6"/>
  <c r="W217" i="6"/>
  <c r="W375" i="6"/>
  <c r="W234" i="6"/>
  <c r="W408" i="6"/>
  <c r="W232" i="6"/>
  <c r="W314" i="6"/>
  <c r="W324" i="6"/>
  <c r="W266" i="6"/>
  <c r="W150" i="6"/>
  <c r="W427" i="6"/>
  <c r="W204" i="6"/>
  <c r="W222" i="6"/>
  <c r="W337" i="6"/>
  <c r="W236" i="6"/>
  <c r="W305" i="6"/>
  <c r="W229" i="6"/>
  <c r="W406" i="6"/>
  <c r="W274" i="6"/>
  <c r="W331" i="6"/>
  <c r="W419" i="6"/>
  <c r="W322" i="6"/>
  <c r="W310" i="6"/>
  <c r="W212" i="6"/>
  <c r="W275" i="6"/>
  <c r="W432" i="6"/>
  <c r="W297" i="6"/>
  <c r="W339" i="6"/>
  <c r="W201" i="6"/>
  <c r="W342" i="6"/>
  <c r="W404" i="6"/>
  <c r="W223" i="6"/>
  <c r="W374" i="6"/>
  <c r="W242" i="6"/>
  <c r="W417" i="6"/>
  <c r="W165" i="6"/>
  <c r="W148" i="6"/>
  <c r="W206" i="6"/>
  <c r="W296" i="6"/>
  <c r="W353" i="6"/>
  <c r="W237" i="6"/>
  <c r="W420" i="6"/>
  <c r="W208" i="6"/>
  <c r="W387" i="6"/>
  <c r="W364" i="6"/>
  <c r="W391" i="6"/>
  <c r="W399" i="6"/>
  <c r="W172" i="6"/>
  <c r="W425" i="6"/>
  <c r="W376" i="6"/>
  <c r="W153" i="6"/>
  <c r="W332" i="6"/>
  <c r="W350" i="6"/>
  <c r="W373" i="6"/>
  <c r="W358" i="6"/>
  <c r="W189" i="6"/>
  <c r="W287" i="6"/>
  <c r="W411" i="6"/>
  <c r="W190" i="6"/>
  <c r="W443" i="6"/>
  <c r="W382" i="6"/>
  <c r="W167" i="6"/>
  <c r="W158" i="6"/>
  <c r="W402" i="6"/>
  <c r="W313" i="6"/>
  <c r="W407" i="6"/>
  <c r="W326" i="6"/>
  <c r="W444" i="6"/>
  <c r="W196" i="6"/>
  <c r="W288" i="6"/>
  <c r="W253" i="6"/>
  <c r="W157" i="6"/>
  <c r="W346" i="6"/>
  <c r="W246" i="6"/>
  <c r="W215" i="6"/>
  <c r="W333" i="6"/>
  <c r="W282" i="6"/>
  <c r="W437" i="6"/>
  <c r="W438" i="6"/>
  <c r="W235" i="6"/>
  <c r="W193" i="6"/>
  <c r="W285" i="6"/>
  <c r="W321" i="6"/>
  <c r="W205" i="6"/>
  <c r="W426" i="6"/>
  <c r="W347" i="6"/>
  <c r="W218" i="6"/>
  <c r="W366" i="6"/>
  <c r="W383" i="6"/>
  <c r="W280" i="6"/>
  <c r="W299" i="6"/>
  <c r="W365" i="6"/>
  <c r="W174" i="6"/>
  <c r="W351" i="6"/>
  <c r="W428" i="6"/>
  <c r="W329" i="6"/>
  <c r="W397" i="6"/>
  <c r="W241" i="6"/>
  <c r="W181" i="6"/>
  <c r="W276" i="6"/>
  <c r="W409" i="6"/>
  <c r="W431" i="6"/>
  <c r="W424" i="6"/>
  <c r="W214" i="6"/>
  <c r="W293" i="6"/>
  <c r="W176" i="6"/>
  <c r="W304" i="6"/>
  <c r="W239" i="6"/>
  <c r="W245" i="6"/>
  <c r="W265" i="6"/>
  <c r="W380" i="6"/>
  <c r="W284" i="6"/>
  <c r="W423" i="6"/>
  <c r="W220" i="6"/>
  <c r="W434" i="6"/>
  <c r="W199" i="6"/>
  <c r="W182" i="6"/>
  <c r="W367" i="6"/>
  <c r="W264" i="6"/>
  <c r="W286" i="6"/>
  <c r="W160" i="6"/>
  <c r="W188" i="6"/>
  <c r="W233" i="6"/>
  <c r="W378" i="6"/>
  <c r="W168" i="6"/>
  <c r="W379" i="6"/>
  <c r="W315" i="6"/>
  <c r="W267" i="6"/>
  <c r="W372" i="6"/>
  <c r="W330" i="6"/>
  <c r="W271" i="6"/>
  <c r="W398" i="6"/>
  <c r="W170" i="6"/>
  <c r="AD29" i="11"/>
  <c r="W36" i="11" s="1"/>
  <c r="U504" i="6"/>
  <c r="I504" i="6" s="1"/>
  <c r="U460" i="6"/>
  <c r="I460" i="6" s="1"/>
  <c r="U478" i="6"/>
  <c r="I478" i="6" s="1"/>
  <c r="U496" i="11"/>
  <c r="I496" i="11" s="1"/>
  <c r="U508" i="11"/>
  <c r="I508" i="11" s="1"/>
  <c r="U451" i="6"/>
  <c r="I451" i="6" s="1"/>
  <c r="U458" i="11"/>
  <c r="I458" i="11" s="1"/>
  <c r="U451" i="11"/>
  <c r="I451" i="11" s="1"/>
  <c r="U503" i="11"/>
  <c r="I503" i="11" s="1"/>
  <c r="U474" i="11"/>
  <c r="I474" i="11" s="1"/>
  <c r="U472" i="6"/>
  <c r="I472" i="6" s="1"/>
  <c r="U485" i="11"/>
  <c r="I485" i="11" s="1"/>
  <c r="U446" i="6"/>
  <c r="I446" i="6" s="1"/>
  <c r="U497" i="11"/>
  <c r="I497" i="11" s="1"/>
  <c r="U486" i="11"/>
  <c r="I486" i="11" s="1"/>
  <c r="U452" i="6"/>
  <c r="I452" i="6" s="1"/>
  <c r="U496" i="6"/>
  <c r="I496" i="6" s="1"/>
  <c r="U489" i="6"/>
  <c r="I489" i="6" s="1"/>
  <c r="U500" i="11"/>
  <c r="I500" i="11" s="1"/>
  <c r="U470" i="6"/>
  <c r="I470" i="6" s="1"/>
  <c r="U493" i="11"/>
  <c r="I493" i="11" s="1"/>
  <c r="U494" i="11"/>
  <c r="I494" i="11" s="1"/>
  <c r="U505" i="11"/>
  <c r="I505" i="11" s="1"/>
  <c r="U510" i="6"/>
  <c r="I510" i="6" s="1"/>
  <c r="U457" i="11"/>
  <c r="I457" i="11" s="1"/>
  <c r="U490" i="6"/>
  <c r="I490" i="6" s="1"/>
  <c r="W260" i="11"/>
  <c r="W443" i="11"/>
  <c r="W361" i="11"/>
  <c r="W200" i="11"/>
  <c r="W402" i="11"/>
  <c r="W320" i="11"/>
  <c r="W412" i="11"/>
  <c r="W323" i="11"/>
  <c r="W341" i="11"/>
  <c r="W225" i="11"/>
  <c r="W387" i="11"/>
  <c r="W342" i="11"/>
  <c r="W191" i="11"/>
  <c r="W417" i="11"/>
  <c r="W309" i="11"/>
  <c r="W316" i="11"/>
  <c r="W253" i="11"/>
  <c r="W337" i="11"/>
  <c r="W189" i="11"/>
  <c r="W444" i="11"/>
  <c r="W367" i="11"/>
  <c r="W174" i="11"/>
  <c r="W425" i="11"/>
  <c r="W199" i="11"/>
  <c r="W148" i="11"/>
  <c r="W311" i="11"/>
  <c r="W221" i="11"/>
  <c r="W240" i="11"/>
  <c r="W405" i="11"/>
  <c r="W360" i="11"/>
  <c r="W351" i="11"/>
  <c r="W267" i="11"/>
  <c r="W261" i="11"/>
  <c r="W172" i="11"/>
  <c r="W247" i="11"/>
  <c r="W427" i="11"/>
  <c r="W362" i="11"/>
  <c r="W177" i="11"/>
  <c r="W269" i="11"/>
  <c r="W415" i="11"/>
  <c r="W173" i="11"/>
  <c r="W207" i="11"/>
  <c r="W264" i="11"/>
  <c r="W416" i="11"/>
  <c r="W401" i="11"/>
  <c r="W179" i="11"/>
  <c r="W413" i="11"/>
  <c r="W374" i="11"/>
  <c r="W294" i="11"/>
  <c r="W187" i="11"/>
  <c r="W198" i="11"/>
  <c r="W237" i="11"/>
  <c r="W228" i="11"/>
  <c r="W255" i="11"/>
  <c r="W298" i="11"/>
  <c r="W195" i="11"/>
  <c r="W324" i="11"/>
  <c r="W252" i="11"/>
  <c r="W314" i="11"/>
  <c r="W290" i="11"/>
  <c r="W315" i="11"/>
  <c r="W288" i="11"/>
  <c r="W218" i="11"/>
  <c r="W373" i="11"/>
  <c r="W159" i="11"/>
  <c r="W258" i="11"/>
  <c r="W349" i="11"/>
  <c r="W161" i="11"/>
  <c r="W234" i="11"/>
  <c r="W420" i="11"/>
  <c r="W196" i="11"/>
  <c r="W286" i="11"/>
  <c r="W332" i="11"/>
  <c r="W289" i="11"/>
  <c r="W403" i="11"/>
  <c r="W439" i="11"/>
  <c r="W432" i="11"/>
  <c r="W424" i="11"/>
  <c r="W334" i="11"/>
  <c r="W250" i="11"/>
  <c r="W185" i="11"/>
  <c r="W232" i="11"/>
  <c r="W180" i="11"/>
  <c r="W152" i="11"/>
  <c r="W329" i="11"/>
  <c r="W404" i="11"/>
  <c r="W348" i="11"/>
  <c r="W164" i="11"/>
  <c r="W150" i="11"/>
  <c r="W284" i="11"/>
  <c r="W158" i="11"/>
  <c r="W370" i="11"/>
  <c r="W271" i="11"/>
  <c r="W399" i="11"/>
  <c r="W214" i="11"/>
  <c r="W170" i="11"/>
  <c r="W436" i="11"/>
  <c r="W410" i="11"/>
  <c r="W359" i="11"/>
  <c r="W266" i="11"/>
  <c r="W278" i="11"/>
  <c r="W366" i="11"/>
  <c r="W380" i="11"/>
  <c r="W176" i="11"/>
  <c r="W281" i="11"/>
  <c r="W317" i="11"/>
  <c r="W364" i="11"/>
  <c r="W277" i="11"/>
  <c r="W353" i="11"/>
  <c r="W230" i="11"/>
  <c r="W149" i="11"/>
  <c r="W254" i="11"/>
  <c r="W222" i="11"/>
  <c r="W375" i="11"/>
  <c r="W184" i="11"/>
  <c r="W165" i="11"/>
  <c r="W423" i="11"/>
  <c r="W301" i="11"/>
  <c r="W396" i="11"/>
  <c r="W285" i="11"/>
  <c r="W213" i="11"/>
  <c r="W430" i="11"/>
  <c r="W297" i="11"/>
  <c r="W385" i="11"/>
  <c r="W346" i="11"/>
  <c r="W392" i="11"/>
  <c r="W307" i="11"/>
  <c r="W220" i="11"/>
  <c r="W209" i="11"/>
  <c r="W295" i="11"/>
  <c r="W217" i="11"/>
  <c r="W226" i="11"/>
  <c r="W155" i="11"/>
  <c r="W384" i="11"/>
  <c r="W440" i="11"/>
  <c r="W190" i="11"/>
  <c r="W389" i="11"/>
  <c r="W224" i="11"/>
  <c r="W354" i="11"/>
  <c r="W355" i="11"/>
  <c r="W299" i="11"/>
  <c r="W243" i="11"/>
  <c r="W245" i="11"/>
  <c r="W280" i="11"/>
  <c r="W345" i="11"/>
  <c r="W358" i="11"/>
  <c r="W171" i="11"/>
  <c r="W193" i="11"/>
  <c r="W175" i="11"/>
  <c r="W441" i="11"/>
  <c r="W328" i="11"/>
  <c r="W162" i="11"/>
  <c r="W292" i="11"/>
  <c r="W300" i="11"/>
  <c r="W208" i="11"/>
  <c r="W268" i="11"/>
  <c r="W219" i="11"/>
  <c r="W371" i="11"/>
  <c r="W204" i="11"/>
  <c r="W381" i="11"/>
  <c r="W210" i="11"/>
  <c r="W186" i="11"/>
  <c r="W313" i="11"/>
  <c r="W205" i="11"/>
  <c r="W302" i="11"/>
  <c r="W393" i="11"/>
  <c r="W338" i="11"/>
  <c r="W350" i="11"/>
  <c r="W296" i="11"/>
  <c r="W377" i="11"/>
  <c r="W163" i="11"/>
  <c r="W327" i="11"/>
  <c r="W291" i="11"/>
  <c r="W206" i="11"/>
  <c r="W182" i="11"/>
  <c r="W157" i="11"/>
  <c r="W293" i="11"/>
  <c r="W372" i="11"/>
  <c r="W394" i="11"/>
  <c r="W244" i="11"/>
  <c r="W169" i="11"/>
  <c r="W273" i="11"/>
  <c r="W151" i="11"/>
  <c r="W356" i="11"/>
  <c r="W368" i="11"/>
  <c r="W339" i="11"/>
  <c r="W352" i="11"/>
  <c r="W242" i="11"/>
  <c r="W188" i="11"/>
  <c r="W434" i="11"/>
  <c r="W287" i="11"/>
  <c r="W211" i="11"/>
  <c r="W194" i="11"/>
  <c r="W216" i="11"/>
  <c r="W263" i="11"/>
  <c r="W408" i="11"/>
  <c r="W227" i="11"/>
  <c r="W365" i="11"/>
  <c r="W153" i="11"/>
  <c r="W433" i="11"/>
  <c r="W330" i="11"/>
  <c r="W212" i="11"/>
  <c r="W202" i="11"/>
  <c r="W262" i="11"/>
  <c r="W167" i="11"/>
  <c r="W231" i="11"/>
  <c r="W265" i="11"/>
  <c r="W183" i="11"/>
  <c r="W279" i="11"/>
  <c r="W308" i="11"/>
  <c r="W400" i="11"/>
  <c r="W229" i="11"/>
  <c r="W283" i="11"/>
  <c r="W386" i="11"/>
  <c r="W146" i="11"/>
  <c r="W379" i="11"/>
  <c r="W223" i="11"/>
  <c r="W442" i="11"/>
  <c r="W233" i="11"/>
  <c r="W259" i="11"/>
  <c r="W347" i="11"/>
  <c r="W321" i="11"/>
  <c r="W421" i="11"/>
  <c r="W270" i="11"/>
  <c r="W395" i="11"/>
  <c r="W376" i="11"/>
  <c r="W383" i="11"/>
  <c r="W305" i="11"/>
  <c r="W160" i="11"/>
  <c r="W336" i="11"/>
  <c r="W391" i="11"/>
  <c r="W197" i="11"/>
  <c r="W236" i="11"/>
  <c r="W178" i="11"/>
  <c r="W363" i="11"/>
  <c r="W147" i="11"/>
  <c r="W398" i="11"/>
  <c r="W239" i="11"/>
  <c r="W257" i="11"/>
  <c r="W246" i="11"/>
  <c r="W248" i="11"/>
  <c r="W344" i="11"/>
  <c r="W369" i="11"/>
  <c r="W326" i="11"/>
  <c r="W156" i="11"/>
  <c r="W426" i="11"/>
  <c r="W343" i="11"/>
  <c r="W192" i="11"/>
  <c r="W303" i="11"/>
  <c r="W306" i="11"/>
  <c r="W319" i="11"/>
  <c r="W201" i="11"/>
  <c r="W382" i="11"/>
  <c r="W445" i="11"/>
  <c r="W397" i="11"/>
  <c r="W166" i="11"/>
  <c r="W429" i="11"/>
  <c r="W340" i="11"/>
  <c r="W154" i="11"/>
  <c r="W411" i="11"/>
  <c r="W390" i="11"/>
  <c r="W357" i="11"/>
  <c r="W275" i="11"/>
  <c r="W318" i="11"/>
  <c r="W407" i="11"/>
  <c r="W422" i="11"/>
  <c r="W418" i="11"/>
  <c r="W312" i="11"/>
  <c r="W203" i="11"/>
  <c r="W428" i="11"/>
  <c r="W272" i="11"/>
  <c r="W251" i="11"/>
  <c r="W168" i="11"/>
  <c r="W406" i="11"/>
  <c r="W409" i="11"/>
  <c r="W331" i="11"/>
  <c r="W304" i="11"/>
  <c r="W274" i="11"/>
  <c r="W215" i="11"/>
  <c r="W238" i="11"/>
  <c r="W325" i="11"/>
  <c r="W276" i="11"/>
  <c r="W322" i="11"/>
  <c r="W438" i="11"/>
  <c r="W241" i="11"/>
  <c r="W431" i="11"/>
  <c r="W437" i="11"/>
  <c r="W419" i="11"/>
  <c r="W333" i="11"/>
  <c r="W235" i="11"/>
  <c r="W414" i="11"/>
  <c r="W310" i="11"/>
  <c r="W282" i="11"/>
  <c r="W181" i="11"/>
  <c r="W256" i="11"/>
  <c r="W388" i="11"/>
  <c r="W435" i="11"/>
  <c r="W249" i="11"/>
  <c r="W335" i="11"/>
  <c r="W378" i="11"/>
  <c r="J28" i="5"/>
  <c r="X28" i="5"/>
  <c r="AP24" i="5"/>
  <c r="AE28" i="11"/>
  <c r="AK134" i="5"/>
  <c r="AK145" i="5"/>
  <c r="AK403" i="5"/>
  <c r="AK286" i="5"/>
  <c r="AK319" i="5"/>
  <c r="AK231" i="5"/>
  <c r="Z29" i="5"/>
  <c r="V29" i="5" s="1"/>
  <c r="AK280" i="5"/>
  <c r="AK226" i="5"/>
  <c r="AK342" i="5"/>
  <c r="AK470" i="5"/>
  <c r="AK131" i="5"/>
  <c r="AK253" i="5"/>
  <c r="AK325" i="5"/>
  <c r="AK429" i="5"/>
  <c r="AK56" i="5"/>
  <c r="AK295" i="5"/>
  <c r="AK209" i="5"/>
  <c r="AK148" i="5"/>
  <c r="AK136" i="5"/>
  <c r="AK505" i="5"/>
  <c r="AK275" i="5"/>
  <c r="AK448" i="5"/>
  <c r="AK35" i="5"/>
  <c r="AK441" i="5"/>
  <c r="AK322" i="5"/>
  <c r="AK459" i="5"/>
  <c r="AK412" i="5"/>
  <c r="AK483" i="5"/>
  <c r="AK385" i="5"/>
  <c r="AK424" i="5"/>
  <c r="AK415" i="5"/>
  <c r="AK294" i="5"/>
  <c r="AK490" i="5"/>
  <c r="AK41" i="5"/>
  <c r="AK197" i="5"/>
  <c r="AK92" i="5"/>
  <c r="AK112" i="5"/>
  <c r="AK410" i="5"/>
  <c r="AK477" i="5"/>
  <c r="AK256" i="5"/>
  <c r="AK333" i="5"/>
  <c r="AK263" i="5"/>
  <c r="AK229" i="5"/>
  <c r="AK281" i="5"/>
  <c r="AK466" i="5"/>
  <c r="AK52" i="5"/>
  <c r="AK196" i="5"/>
  <c r="AK239" i="5"/>
  <c r="AK63" i="5"/>
  <c r="AK60" i="5"/>
  <c r="AK511" i="5"/>
  <c r="AK141" i="5"/>
  <c r="AK267" i="5"/>
  <c r="AK475" i="5"/>
  <c r="AK291" i="5"/>
  <c r="AK299" i="5"/>
  <c r="AK422" i="5"/>
  <c r="AK215" i="5"/>
  <c r="AK468" i="5"/>
  <c r="AK301" i="5"/>
  <c r="AK339" i="5"/>
  <c r="AK506" i="5"/>
  <c r="AK254" i="5"/>
  <c r="AK303" i="5"/>
  <c r="AK125" i="5"/>
  <c r="AK482" i="5"/>
  <c r="AK205" i="5"/>
  <c r="AK208" i="5"/>
  <c r="AK32" i="5"/>
  <c r="AK111" i="5"/>
  <c r="AK370" i="5"/>
  <c r="AK486" i="5"/>
  <c r="AK457" i="5"/>
  <c r="AK409" i="5"/>
  <c r="AK154" i="5"/>
  <c r="AK221" i="5"/>
  <c r="AK218" i="5"/>
  <c r="AK109" i="5"/>
  <c r="AK178" i="5"/>
  <c r="AK171" i="5"/>
  <c r="AK452" i="5"/>
  <c r="AK77" i="5"/>
  <c r="AK55" i="5"/>
  <c r="AK93" i="5"/>
  <c r="AK306" i="5"/>
  <c r="AK355" i="5"/>
  <c r="AK390" i="5"/>
  <c r="AK212" i="5"/>
  <c r="AK187" i="5"/>
  <c r="AK216" i="5"/>
  <c r="AK244" i="5"/>
  <c r="AK54" i="5"/>
  <c r="AK366" i="5"/>
  <c r="AK97" i="5"/>
  <c r="AK345" i="5"/>
  <c r="AK435" i="5"/>
  <c r="AK500" i="5"/>
  <c r="AK368" i="5"/>
  <c r="AK64" i="5"/>
  <c r="AK427" i="5"/>
  <c r="AK433" i="5"/>
  <c r="AK127" i="5"/>
  <c r="AK104" i="5"/>
  <c r="AK464" i="5"/>
  <c r="AK160" i="5"/>
  <c r="AK87" i="5"/>
  <c r="AK28" i="5"/>
  <c r="AK503" i="5"/>
  <c r="AK387" i="5"/>
  <c r="AK378" i="5"/>
  <c r="AK78" i="5"/>
  <c r="AK335" i="5"/>
  <c r="AK69" i="5"/>
  <c r="AK79" i="5"/>
  <c r="AK495" i="5"/>
  <c r="AK394" i="5"/>
  <c r="AK159" i="5"/>
  <c r="AK175" i="5"/>
  <c r="AK305" i="5"/>
  <c r="AK166" i="5"/>
  <c r="AK290" i="5"/>
  <c r="AK255" i="5"/>
  <c r="AK380" i="5"/>
  <c r="AK353" i="5"/>
  <c r="AK248" i="5"/>
  <c r="AK430" i="5"/>
  <c r="AK207" i="5"/>
  <c r="AK235" i="5"/>
  <c r="AK88" i="5"/>
  <c r="AK499" i="5"/>
  <c r="AK302" i="5"/>
  <c r="AK277" i="5"/>
  <c r="AK110" i="5"/>
  <c r="AK162" i="5"/>
  <c r="AK450" i="5"/>
  <c r="AK285" i="5"/>
  <c r="AK242" i="5"/>
  <c r="AK352" i="5"/>
  <c r="AK233" i="5"/>
  <c r="AK51" i="5"/>
  <c r="AK61" i="5"/>
  <c r="AK481" i="5"/>
  <c r="AK389" i="5"/>
  <c r="AK384" i="5"/>
  <c r="AK107" i="5"/>
  <c r="AK373" i="5"/>
  <c r="AK411" i="5"/>
  <c r="AK364" i="5"/>
  <c r="AK115" i="5"/>
  <c r="AK292" i="5"/>
  <c r="AK271" i="5"/>
  <c r="AK199" i="5"/>
  <c r="AK85" i="5"/>
  <c r="AK408" i="5"/>
  <c r="AK308" i="5"/>
  <c r="AK220" i="5"/>
  <c r="AK101" i="5"/>
  <c r="AK266" i="5"/>
  <c r="AK186" i="5"/>
  <c r="AK318" i="5"/>
  <c r="AK152" i="5"/>
  <c r="AK245" i="5"/>
  <c r="AK423" i="5"/>
  <c r="AK297" i="5"/>
  <c r="AK165" i="5"/>
  <c r="AK70" i="5"/>
  <c r="AK462" i="5"/>
  <c r="AK356" i="5"/>
  <c r="AK80" i="5"/>
  <c r="AK91" i="5"/>
  <c r="AK27" i="5"/>
  <c r="AK236" i="5"/>
  <c r="AK237" i="5"/>
  <c r="AK293" i="5"/>
  <c r="AK193" i="5"/>
  <c r="AK177" i="5"/>
  <c r="AK369" i="5"/>
  <c r="AK260" i="5"/>
  <c r="AK96" i="5"/>
  <c r="AK49" i="5"/>
  <c r="AK176" i="5"/>
  <c r="AK89" i="5"/>
  <c r="AK472" i="5"/>
  <c r="AK146" i="5"/>
  <c r="AK76" i="5"/>
  <c r="AK211" i="5"/>
  <c r="AK147" i="5"/>
  <c r="AK416" i="5"/>
  <c r="AK118" i="5"/>
  <c r="AK194" i="5"/>
  <c r="AK180" i="5"/>
  <c r="AK72" i="5"/>
  <c r="AK108" i="5"/>
  <c r="AK137" i="5"/>
  <c r="AK344" i="5"/>
  <c r="AK393" i="5"/>
  <c r="AK46" i="5"/>
  <c r="AK391" i="5"/>
  <c r="AK30" i="5"/>
  <c r="AK392" i="5"/>
  <c r="AK473" i="5"/>
  <c r="AK66" i="5"/>
  <c r="AK48" i="5"/>
  <c r="AK354" i="5"/>
  <c r="AK200" i="5"/>
  <c r="AK270" i="5"/>
  <c r="AK201" i="5"/>
  <c r="AK439" i="5"/>
  <c r="AK121" i="5"/>
  <c r="AK428" i="5"/>
  <c r="AK33" i="5"/>
  <c r="AK206" i="5"/>
  <c r="AK246" i="5"/>
  <c r="AK465" i="5"/>
  <c r="AK210" i="5"/>
  <c r="AK234" i="5"/>
  <c r="AK149" i="5"/>
  <c r="AK62" i="5"/>
  <c r="AK155" i="5"/>
  <c r="AK341" i="5"/>
  <c r="AK365" i="5"/>
  <c r="AK37" i="5"/>
  <c r="AK26" i="5"/>
  <c r="AK330" i="5"/>
  <c r="AK39" i="5"/>
  <c r="AK491" i="5"/>
  <c r="AK331" i="5"/>
  <c r="AK436" i="5"/>
  <c r="AK509" i="5"/>
  <c r="AK264" i="5"/>
  <c r="AK340" i="5"/>
  <c r="AK243" i="5"/>
  <c r="AK173" i="5"/>
  <c r="AK120" i="5"/>
  <c r="AK124" i="5"/>
  <c r="AK238" i="5"/>
  <c r="AK347" i="5"/>
  <c r="AK381" i="5"/>
  <c r="AK492" i="5"/>
  <c r="AK259" i="5"/>
  <c r="AK326" i="5"/>
  <c r="AK350" i="5"/>
  <c r="AK82" i="5"/>
  <c r="AK440" i="5"/>
  <c r="AK174" i="5"/>
  <c r="AK478" i="5"/>
  <c r="AK357" i="5"/>
  <c r="AK501" i="5"/>
  <c r="AK183" i="5"/>
  <c r="AK189" i="5"/>
  <c r="AK143" i="5"/>
  <c r="AK431" i="5"/>
  <c r="AK315" i="5"/>
  <c r="AK371" i="5"/>
  <c r="AK484" i="5"/>
  <c r="AK382" i="5"/>
  <c r="AK232" i="5"/>
  <c r="AK489" i="5"/>
  <c r="AK419" i="5"/>
  <c r="AK50" i="5"/>
  <c r="AK40" i="5"/>
  <c r="AK139" i="5"/>
  <c r="AK321" i="5"/>
  <c r="AK399" i="5"/>
  <c r="AK296" i="5"/>
  <c r="AK241" i="5"/>
  <c r="AK397" i="5"/>
  <c r="AK252" i="5"/>
  <c r="AK81" i="5"/>
  <c r="AK456" i="5"/>
  <c r="AK249" i="5"/>
  <c r="AK31" i="5"/>
  <c r="AK376" i="5"/>
  <c r="AK510" i="5"/>
  <c r="AK128" i="5"/>
  <c r="AK401" i="5"/>
  <c r="AK463" i="5"/>
  <c r="AK379" i="5"/>
  <c r="AK454" i="5"/>
  <c r="AK29" i="5"/>
  <c r="AK185" i="5"/>
  <c r="AK99" i="5"/>
  <c r="AK312" i="5"/>
  <c r="AK496" i="5"/>
  <c r="AK219" i="5"/>
  <c r="AK451" i="5"/>
  <c r="AK307" i="5"/>
  <c r="AK94" i="5"/>
  <c r="AK230" i="5"/>
  <c r="AK105" i="5"/>
  <c r="AK455" i="5"/>
  <c r="N25" i="11"/>
  <c r="K25" i="11"/>
  <c r="AK257" i="5"/>
  <c r="AK471" i="5"/>
  <c r="AK446" i="5"/>
  <c r="AK169" i="5"/>
  <c r="AK195" i="5"/>
  <c r="AK167" i="5"/>
  <c r="AK425" i="5"/>
  <c r="AK418" i="5"/>
  <c r="AK360" i="5"/>
  <c r="AK126" i="5"/>
  <c r="AK181" i="5"/>
  <c r="AK507" i="5"/>
  <c r="AK100" i="5"/>
  <c r="AK487" i="5"/>
  <c r="AK83" i="5"/>
  <c r="AK122" i="5"/>
  <c r="AK44" i="5"/>
  <c r="AK182" i="5"/>
  <c r="AK432" i="5"/>
  <c r="AK106" i="5"/>
  <c r="AK192" i="5"/>
  <c r="AK351" i="5"/>
  <c r="AK367" i="5"/>
  <c r="AK261" i="5"/>
  <c r="AK485" i="5"/>
  <c r="AK358" i="5"/>
  <c r="AK138" i="5"/>
  <c r="AK317" i="5"/>
  <c r="AK202" i="5"/>
  <c r="AK404" i="5"/>
  <c r="AK313" i="5"/>
  <c r="AK283" i="5"/>
  <c r="AK150" i="5"/>
  <c r="AK434" i="5"/>
  <c r="AK142" i="5"/>
  <c r="AK164" i="5"/>
  <c r="B28" i="6"/>
  <c r="V28" i="6" s="1"/>
  <c r="B28" i="11"/>
  <c r="V28" i="11" s="1"/>
  <c r="B29" i="5"/>
  <c r="AK184" i="5"/>
  <c r="AK278" i="5"/>
  <c r="AK469" i="5"/>
  <c r="AK269" i="5"/>
  <c r="AK170" i="5"/>
  <c r="AK228" i="5"/>
  <c r="AK476" i="5"/>
  <c r="AK453" i="5"/>
  <c r="AK334" i="5"/>
  <c r="AK372" i="5"/>
  <c r="AK300" i="5"/>
  <c r="AK188" i="5"/>
  <c r="AK67" i="5"/>
  <c r="AK443" i="5"/>
  <c r="AK130" i="5"/>
  <c r="AK73" i="5"/>
  <c r="AK133" i="5"/>
  <c r="AK327" i="5"/>
  <c r="AK395" i="5"/>
  <c r="AK57" i="5"/>
  <c r="AK132" i="5"/>
  <c r="AK36" i="5"/>
  <c r="AK504" i="5"/>
  <c r="AK494" i="5"/>
  <c r="AK316" i="5"/>
  <c r="AK467" i="5"/>
  <c r="AK151" i="5"/>
  <c r="AK258" i="5"/>
  <c r="AK161" i="5"/>
  <c r="AK279" i="5"/>
  <c r="AK287" i="5"/>
  <c r="AK309" i="5"/>
  <c r="AK396" i="5"/>
  <c r="AK447" i="5"/>
  <c r="AK227" i="5"/>
  <c r="AK157" i="5"/>
  <c r="AK310" i="5"/>
  <c r="AK45" i="5"/>
  <c r="AK74" i="5"/>
  <c r="AK407" i="5"/>
  <c r="AK168" i="5"/>
  <c r="AK402" i="5"/>
  <c r="AK262" i="5"/>
  <c r="AK90" i="5"/>
  <c r="AK156" i="5"/>
  <c r="AK274" i="5"/>
  <c r="AK144" i="5"/>
  <c r="AK273" i="5"/>
  <c r="AK343" i="5"/>
  <c r="AK34" i="5"/>
  <c r="AK479" i="5"/>
  <c r="AK449" i="5"/>
  <c r="AK488" i="5"/>
  <c r="AK86" i="5"/>
  <c r="AK414" i="5"/>
  <c r="AK502" i="5"/>
  <c r="AK265" i="5"/>
  <c r="AK250" i="5"/>
  <c r="AK75" i="5"/>
  <c r="AK191" i="5"/>
  <c r="AK405" i="5"/>
  <c r="AK386" i="5"/>
  <c r="AK98" i="5"/>
  <c r="AK332" i="5"/>
  <c r="AK272" i="5"/>
  <c r="AK135" i="5"/>
  <c r="AK348" i="5"/>
  <c r="AK119" i="5"/>
  <c r="AK363" i="5"/>
  <c r="AK217" i="5"/>
  <c r="AK190" i="5"/>
  <c r="AK445" i="5"/>
  <c r="AK172" i="5"/>
  <c r="AK222" i="5"/>
  <c r="AK421" i="5"/>
  <c r="AK282" i="5"/>
  <c r="AK38" i="5"/>
  <c r="AK179" i="5"/>
  <c r="AK314" i="5"/>
  <c r="AK58" i="5"/>
  <c r="AK498" i="5"/>
  <c r="AK95" i="5"/>
  <c r="AK198" i="5"/>
  <c r="AK320" i="5"/>
  <c r="AK458" i="5"/>
  <c r="AK71" i="5"/>
  <c r="AG25" i="5"/>
  <c r="AK158" i="5"/>
  <c r="AK276" i="5"/>
  <c r="AK417" i="5"/>
  <c r="AK163" i="5"/>
  <c r="AK426" i="5"/>
  <c r="AK374" i="5"/>
  <c r="AK117" i="5"/>
  <c r="AK480" i="5"/>
  <c r="AK268" i="5"/>
  <c r="AK497" i="5"/>
  <c r="AK289" i="5"/>
  <c r="AK460" i="5"/>
  <c r="AK43" i="5"/>
  <c r="AK103" i="5"/>
  <c r="AK214" i="5"/>
  <c r="AK123" i="5"/>
  <c r="AK42" i="5"/>
  <c r="AK53" i="5"/>
  <c r="AK68" i="5"/>
  <c r="AK311" i="5"/>
  <c r="AK113" i="5"/>
  <c r="AK400" i="5"/>
  <c r="AK362" i="5"/>
  <c r="AK508" i="5"/>
  <c r="AK349" i="5"/>
  <c r="AK420" i="5"/>
  <c r="AK337" i="5"/>
  <c r="AK247" i="5"/>
  <c r="AK84" i="5"/>
  <c r="AK203" i="5"/>
  <c r="AK461" i="5"/>
  <c r="AK398" i="5"/>
  <c r="AK377" i="5"/>
  <c r="AK329" i="5"/>
  <c r="AK116" i="5"/>
  <c r="AK442" i="5"/>
  <c r="AK223" i="5"/>
  <c r="AK240" i="5"/>
  <c r="AK114" i="5"/>
  <c r="AK406" i="5"/>
  <c r="AK388" i="5"/>
  <c r="AK361" i="5"/>
  <c r="AK474" i="5"/>
  <c r="AK437" i="5"/>
  <c r="AK140" i="5"/>
  <c r="AK324" i="5"/>
  <c r="AK346" i="5"/>
  <c r="AK383" i="5"/>
  <c r="AK323" i="5"/>
  <c r="AK65" i="5"/>
  <c r="AK375" i="5"/>
  <c r="AK213" i="5"/>
  <c r="AK438" i="5"/>
  <c r="AK224" i="5"/>
  <c r="AK359" i="5"/>
  <c r="AK251" i="5"/>
  <c r="AK102" i="5"/>
  <c r="AK328" i="5"/>
  <c r="AK338" i="5"/>
  <c r="AK288" i="5"/>
  <c r="AK153" i="5"/>
  <c r="AK413" i="5"/>
  <c r="AK225" i="5"/>
  <c r="AK444" i="5"/>
  <c r="AK336" i="5"/>
  <c r="AK59" i="5"/>
  <c r="AK298" i="5"/>
  <c r="AK204" i="5"/>
  <c r="AK304" i="5"/>
  <c r="AK129" i="5"/>
  <c r="AK493" i="5"/>
  <c r="AK47" i="5"/>
  <c r="AK284" i="5"/>
  <c r="N25" i="6"/>
  <c r="K25" i="6"/>
  <c r="D15" i="6" l="1"/>
  <c r="W69" i="11"/>
  <c r="W80" i="11"/>
  <c r="W53" i="11"/>
  <c r="W130" i="11"/>
  <c r="W30" i="11"/>
  <c r="W116" i="11"/>
  <c r="W75" i="11"/>
  <c r="W66" i="11"/>
  <c r="W54" i="11"/>
  <c r="W96" i="11"/>
  <c r="W115" i="11"/>
  <c r="W120" i="11"/>
  <c r="W99" i="11"/>
  <c r="W103" i="11"/>
  <c r="W34" i="11"/>
  <c r="W85" i="11"/>
  <c r="W97" i="11"/>
  <c r="W77" i="11"/>
  <c r="W78" i="11"/>
  <c r="W131" i="11"/>
  <c r="W136" i="11"/>
  <c r="W83" i="11"/>
  <c r="W117" i="11"/>
  <c r="W138" i="11"/>
  <c r="W46" i="11"/>
  <c r="W28" i="11"/>
  <c r="W119" i="11"/>
  <c r="W94" i="11"/>
  <c r="W82" i="11"/>
  <c r="W90" i="11"/>
  <c r="W133" i="11"/>
  <c r="W140" i="11"/>
  <c r="W58" i="11"/>
  <c r="W55" i="11"/>
  <c r="W98" i="11"/>
  <c r="W122" i="11"/>
  <c r="W76" i="11"/>
  <c r="W114" i="11"/>
  <c r="W74" i="11"/>
  <c r="W57" i="11"/>
  <c r="W101" i="11"/>
  <c r="W68" i="11"/>
  <c r="W61" i="11"/>
  <c r="W127" i="11"/>
  <c r="W121" i="11"/>
  <c r="W29" i="11"/>
  <c r="W137" i="11"/>
  <c r="W144" i="11"/>
  <c r="W143" i="11"/>
  <c r="W40" i="11"/>
  <c r="W48" i="11"/>
  <c r="W106" i="11"/>
  <c r="W113" i="11"/>
  <c r="W95" i="11"/>
  <c r="W124" i="11"/>
  <c r="W71" i="11"/>
  <c r="W104" i="11"/>
  <c r="W126" i="11"/>
  <c r="W51" i="11"/>
  <c r="W112" i="11"/>
  <c r="W41" i="11"/>
  <c r="W141" i="11"/>
  <c r="W89" i="11"/>
  <c r="W52" i="11"/>
  <c r="W84" i="11"/>
  <c r="W26" i="11"/>
  <c r="Q26" i="11" s="1"/>
  <c r="F26" i="11" s="1"/>
  <c r="W43" i="11"/>
  <c r="W81" i="11"/>
  <c r="W142" i="11"/>
  <c r="W79" i="11"/>
  <c r="W100" i="11"/>
  <c r="W63" i="11"/>
  <c r="W93" i="11"/>
  <c r="W64" i="11"/>
  <c r="W37" i="11"/>
  <c r="W33" i="11"/>
  <c r="W67" i="11"/>
  <c r="W102" i="11"/>
  <c r="W47" i="11"/>
  <c r="W110" i="11"/>
  <c r="W27" i="11"/>
  <c r="W139" i="11"/>
  <c r="W45" i="11"/>
  <c r="W87" i="11"/>
  <c r="W50" i="11"/>
  <c r="W56" i="11"/>
  <c r="W59" i="11"/>
  <c r="W35" i="11"/>
  <c r="W92" i="11"/>
  <c r="W65" i="11"/>
  <c r="W49" i="11"/>
  <c r="W105" i="11"/>
  <c r="W145" i="11"/>
  <c r="W107" i="11"/>
  <c r="W109" i="11"/>
  <c r="W42" i="11"/>
  <c r="W73" i="11"/>
  <c r="W91" i="11"/>
  <c r="W111" i="11"/>
  <c r="W134" i="11"/>
  <c r="W118" i="11"/>
  <c r="W129" i="11"/>
  <c r="W38" i="11"/>
  <c r="W31" i="11"/>
  <c r="W39" i="11"/>
  <c r="W62" i="11"/>
  <c r="W44" i="11"/>
  <c r="W32" i="11"/>
  <c r="W70" i="11"/>
  <c r="W123" i="11"/>
  <c r="W60" i="11"/>
  <c r="W135" i="11"/>
  <c r="W108" i="11"/>
  <c r="W132" i="11"/>
  <c r="W72" i="11"/>
  <c r="W128" i="11"/>
  <c r="W88" i="11"/>
  <c r="W125" i="11"/>
  <c r="W86" i="11"/>
  <c r="J29" i="5"/>
  <c r="X29" i="5"/>
  <c r="AK18" i="5"/>
  <c r="Z30" i="5"/>
  <c r="V30" i="5" s="1"/>
  <c r="B30" i="5"/>
  <c r="B29" i="6"/>
  <c r="V29" i="6" s="1"/>
  <c r="B29" i="11"/>
  <c r="V29" i="11" s="1"/>
  <c r="AI25" i="6"/>
  <c r="AI25" i="11"/>
  <c r="W61" i="2" l="1"/>
  <c r="E27" i="2" s="1"/>
  <c r="G25" i="2" s="1"/>
  <c r="J30" i="5"/>
  <c r="X30" i="5"/>
  <c r="Z31" i="5"/>
  <c r="V31" i="5" s="1"/>
  <c r="B31" i="5"/>
  <c r="B30" i="11"/>
  <c r="V30" i="11" s="1"/>
  <c r="B30" i="6"/>
  <c r="V30" i="6" s="1"/>
  <c r="B31" i="2" l="1"/>
  <c r="J31" i="5"/>
  <c r="X31" i="5"/>
  <c r="Z32" i="5"/>
  <c r="V32" i="5" s="1"/>
  <c r="B31" i="6"/>
  <c r="V31" i="6" s="1"/>
  <c r="B32" i="5"/>
  <c r="B31" i="11"/>
  <c r="V31" i="11" s="1"/>
  <c r="J32" i="5" l="1"/>
  <c r="X32" i="5"/>
  <c r="Z33" i="5"/>
  <c r="V33" i="5" s="1"/>
  <c r="B32" i="11"/>
  <c r="V32" i="11" s="1"/>
  <c r="B33" i="5"/>
  <c r="B32" i="6"/>
  <c r="V32" i="6" s="1"/>
  <c r="J33" i="5" l="1"/>
  <c r="X33" i="5"/>
  <c r="Z34" i="5"/>
  <c r="V34" i="5" s="1"/>
  <c r="B33" i="11"/>
  <c r="V33" i="11" s="1"/>
  <c r="B34" i="5"/>
  <c r="B33" i="6"/>
  <c r="V33" i="6" s="1"/>
  <c r="J34" i="5" l="1"/>
  <c r="X34" i="5"/>
  <c r="Z35" i="5"/>
  <c r="V35" i="5" s="1"/>
  <c r="B34" i="6"/>
  <c r="V34" i="6" s="1"/>
  <c r="B35" i="5"/>
  <c r="B34" i="11"/>
  <c r="V34" i="11" s="1"/>
  <c r="J35" i="5" l="1"/>
  <c r="X35" i="5"/>
  <c r="Z36" i="5"/>
  <c r="V36" i="5" s="1"/>
  <c r="B35" i="6"/>
  <c r="V35" i="6" s="1"/>
  <c r="B36" i="5"/>
  <c r="B35" i="11"/>
  <c r="V35" i="11" s="1"/>
  <c r="J36" i="5" l="1"/>
  <c r="X36" i="5"/>
  <c r="Z37" i="5"/>
  <c r="V37" i="5" s="1"/>
  <c r="B36" i="11"/>
  <c r="V36" i="11" s="1"/>
  <c r="B37" i="5"/>
  <c r="B36" i="6"/>
  <c r="V36" i="6" s="1"/>
  <c r="J37" i="5" l="1"/>
  <c r="X37" i="5"/>
  <c r="Z38" i="5"/>
  <c r="V38" i="5" s="1"/>
  <c r="B37" i="11"/>
  <c r="V37" i="11" s="1"/>
  <c r="B37" i="6"/>
  <c r="V37" i="6" s="1"/>
  <c r="B38" i="5"/>
  <c r="J38" i="5" l="1"/>
  <c r="X38" i="5"/>
  <c r="Z39" i="5"/>
  <c r="V39" i="5" s="1"/>
  <c r="B38" i="6"/>
  <c r="V38" i="6" s="1"/>
  <c r="B39" i="5"/>
  <c r="B38" i="11"/>
  <c r="V38" i="11" s="1"/>
  <c r="J39" i="5" l="1"/>
  <c r="X39" i="5"/>
  <c r="Z40" i="5"/>
  <c r="V40" i="5" s="1"/>
  <c r="B39" i="11"/>
  <c r="V39" i="11" s="1"/>
  <c r="B40" i="5"/>
  <c r="B39" i="6"/>
  <c r="V39" i="6" s="1"/>
  <c r="J40" i="5" l="1"/>
  <c r="X40" i="5"/>
  <c r="Z41" i="5"/>
  <c r="V41" i="5" s="1"/>
  <c r="B40" i="6"/>
  <c r="V40" i="6" s="1"/>
  <c r="B40" i="11"/>
  <c r="V40" i="11" s="1"/>
  <c r="B41" i="5"/>
  <c r="J41" i="5" l="1"/>
  <c r="X41" i="5"/>
  <c r="Z42" i="5"/>
  <c r="V42" i="5" s="1"/>
  <c r="B41" i="11"/>
  <c r="V41" i="11" s="1"/>
  <c r="B41" i="6"/>
  <c r="V41" i="6" s="1"/>
  <c r="B42" i="5"/>
  <c r="J42" i="5" l="1"/>
  <c r="X42" i="5"/>
  <c r="Z43" i="5"/>
  <c r="V43" i="5" s="1"/>
  <c r="B42" i="6"/>
  <c r="V42" i="6" s="1"/>
  <c r="B43" i="5"/>
  <c r="B42" i="11"/>
  <c r="V42" i="11" s="1"/>
  <c r="J43" i="5" l="1"/>
  <c r="X43" i="5"/>
  <c r="Z44" i="5"/>
  <c r="V44" i="5" s="1"/>
  <c r="B43" i="11"/>
  <c r="V43" i="11" s="1"/>
  <c r="B44" i="5"/>
  <c r="B43" i="6"/>
  <c r="V43" i="6" s="1"/>
  <c r="J44" i="5" l="1"/>
  <c r="X44" i="5"/>
  <c r="Z45" i="5"/>
  <c r="V45" i="5" s="1"/>
  <c r="B44" i="6"/>
  <c r="V44" i="6" s="1"/>
  <c r="B45" i="5"/>
  <c r="B44" i="11"/>
  <c r="V44" i="11" s="1"/>
  <c r="J45" i="5" l="1"/>
  <c r="X45" i="5"/>
  <c r="Z46" i="5"/>
  <c r="V46" i="5" s="1"/>
  <c r="B45" i="6"/>
  <c r="V45" i="6" s="1"/>
  <c r="B45" i="11"/>
  <c r="V45" i="11" s="1"/>
  <c r="B46" i="5"/>
  <c r="J46" i="5" l="1"/>
  <c r="X46" i="5"/>
  <c r="Z47" i="5"/>
  <c r="V47" i="5" s="1"/>
  <c r="B47" i="5"/>
  <c r="B46" i="6"/>
  <c r="V46" i="6" s="1"/>
  <c r="B46" i="11"/>
  <c r="V46" i="11" s="1"/>
  <c r="J47" i="5" l="1"/>
  <c r="X47" i="5"/>
  <c r="Z48" i="5"/>
  <c r="V48" i="5" s="1"/>
  <c r="B47" i="6"/>
  <c r="V47" i="6" s="1"/>
  <c r="B48" i="5"/>
  <c r="B47" i="11"/>
  <c r="V47" i="11" s="1"/>
  <c r="J48" i="5" l="1"/>
  <c r="X48" i="5"/>
  <c r="Z49" i="5"/>
  <c r="V49" i="5" s="1"/>
  <c r="B48" i="6"/>
  <c r="V48" i="6" s="1"/>
  <c r="B49" i="5"/>
  <c r="B48" i="11"/>
  <c r="V48" i="11" s="1"/>
  <c r="J49" i="5" l="1"/>
  <c r="X49" i="5"/>
  <c r="Z50" i="5"/>
  <c r="V50" i="5" s="1"/>
  <c r="B49" i="6"/>
  <c r="V49" i="6" s="1"/>
  <c r="B49" i="11"/>
  <c r="V49" i="11" s="1"/>
  <c r="B50" i="5"/>
  <c r="J50" i="5" l="1"/>
  <c r="X50" i="5"/>
  <c r="Z51" i="5"/>
  <c r="V51" i="5" s="1"/>
  <c r="B50" i="11"/>
  <c r="V50" i="11" s="1"/>
  <c r="B51" i="5"/>
  <c r="B50" i="6"/>
  <c r="V50" i="6" s="1"/>
  <c r="J51" i="5" l="1"/>
  <c r="X51" i="5"/>
  <c r="Z52" i="5"/>
  <c r="V52" i="5" s="1"/>
  <c r="B51" i="6"/>
  <c r="V51" i="6" s="1"/>
  <c r="B52" i="5"/>
  <c r="B51" i="11"/>
  <c r="V51" i="11" s="1"/>
  <c r="J52" i="5" l="1"/>
  <c r="X52" i="5"/>
  <c r="Z53" i="5"/>
  <c r="V53" i="5" s="1"/>
  <c r="B52" i="6"/>
  <c r="V52" i="6" s="1"/>
  <c r="B53" i="5"/>
  <c r="B52" i="11"/>
  <c r="V52" i="11" s="1"/>
  <c r="J53" i="5" l="1"/>
  <c r="X53" i="5"/>
  <c r="Z54" i="5"/>
  <c r="V54" i="5" s="1"/>
  <c r="B53" i="6"/>
  <c r="V53" i="6" s="1"/>
  <c r="B54" i="5"/>
  <c r="B53" i="11"/>
  <c r="V53" i="11" s="1"/>
  <c r="J54" i="5" l="1"/>
  <c r="X54" i="5"/>
  <c r="Z55" i="5"/>
  <c r="V55" i="5" s="1"/>
  <c r="B54" i="6"/>
  <c r="V54" i="6" s="1"/>
  <c r="B55" i="5"/>
  <c r="B54" i="11"/>
  <c r="V54" i="11" s="1"/>
  <c r="J55" i="5" l="1"/>
  <c r="X55" i="5"/>
  <c r="Z56" i="5"/>
  <c r="V56" i="5" s="1"/>
  <c r="B55" i="11"/>
  <c r="V55" i="11" s="1"/>
  <c r="B56" i="5"/>
  <c r="B55" i="6"/>
  <c r="V55" i="6" s="1"/>
  <c r="J56" i="5" l="1"/>
  <c r="X56" i="5"/>
  <c r="Z57" i="5"/>
  <c r="V57" i="5" s="1"/>
  <c r="B56" i="6"/>
  <c r="V56" i="6" s="1"/>
  <c r="B57" i="5"/>
  <c r="B56" i="11"/>
  <c r="V56" i="11" s="1"/>
  <c r="J57" i="5" l="1"/>
  <c r="X57" i="5"/>
  <c r="Z58" i="5"/>
  <c r="V58" i="5" s="1"/>
  <c r="B58" i="5"/>
  <c r="B57" i="6"/>
  <c r="V57" i="6" s="1"/>
  <c r="B57" i="11"/>
  <c r="V57" i="11" s="1"/>
  <c r="J58" i="5" l="1"/>
  <c r="X58" i="5"/>
  <c r="Z59" i="5"/>
  <c r="V59" i="5" s="1"/>
  <c r="B59" i="5"/>
  <c r="B58" i="11"/>
  <c r="V58" i="11" s="1"/>
  <c r="B58" i="6"/>
  <c r="V58" i="6" s="1"/>
  <c r="J59" i="5" l="1"/>
  <c r="X59" i="5"/>
  <c r="Z60" i="5"/>
  <c r="V60" i="5" s="1"/>
  <c r="B59" i="6"/>
  <c r="V59" i="6" s="1"/>
  <c r="B60" i="5"/>
  <c r="B59" i="11"/>
  <c r="V59" i="11" s="1"/>
  <c r="J60" i="5" l="1"/>
  <c r="X60" i="5"/>
  <c r="Z61" i="5"/>
  <c r="V61" i="5" s="1"/>
  <c r="B60" i="11"/>
  <c r="V60" i="11" s="1"/>
  <c r="B61" i="5"/>
  <c r="B60" i="6"/>
  <c r="V60" i="6" s="1"/>
  <c r="J61" i="5" l="1"/>
  <c r="X61" i="5"/>
  <c r="Z62" i="5"/>
  <c r="V62" i="5" s="1"/>
  <c r="B61" i="11"/>
  <c r="V61" i="11" s="1"/>
  <c r="B62" i="5"/>
  <c r="B61" i="6"/>
  <c r="V61" i="6" s="1"/>
  <c r="J62" i="5" l="1"/>
  <c r="X62" i="5"/>
  <c r="Z63" i="5"/>
  <c r="V63" i="5" s="1"/>
  <c r="B62" i="11"/>
  <c r="V62" i="11" s="1"/>
  <c r="B63" i="5"/>
  <c r="B62" i="6"/>
  <c r="V62" i="6" s="1"/>
  <c r="J63" i="5" l="1"/>
  <c r="X63" i="5"/>
  <c r="Z64" i="5"/>
  <c r="V64" i="5" s="1"/>
  <c r="B63" i="11"/>
  <c r="V63" i="11" s="1"/>
  <c r="B64" i="5"/>
  <c r="B63" i="6"/>
  <c r="V63" i="6" s="1"/>
  <c r="J64" i="5" l="1"/>
  <c r="X64" i="5"/>
  <c r="Z65" i="5"/>
  <c r="V65" i="5" s="1"/>
  <c r="B64" i="11"/>
  <c r="V64" i="11" s="1"/>
  <c r="B64" i="6"/>
  <c r="V64" i="6" s="1"/>
  <c r="B65" i="5"/>
  <c r="J65" i="5" l="1"/>
  <c r="X65" i="5"/>
  <c r="Z66" i="5"/>
  <c r="V66" i="5" s="1"/>
  <c r="B65" i="11"/>
  <c r="V65" i="11" s="1"/>
  <c r="B65" i="6"/>
  <c r="V65" i="6" s="1"/>
  <c r="B66" i="5"/>
  <c r="J66" i="5" l="1"/>
  <c r="X66" i="5"/>
  <c r="Z67" i="5"/>
  <c r="V67" i="5" s="1"/>
  <c r="B67" i="5"/>
  <c r="B66" i="6"/>
  <c r="V66" i="6" s="1"/>
  <c r="B66" i="11"/>
  <c r="V66" i="11" s="1"/>
  <c r="J67" i="5" l="1"/>
  <c r="X67" i="5"/>
  <c r="Z68" i="5"/>
  <c r="V68" i="5" s="1"/>
  <c r="B67" i="6"/>
  <c r="V67" i="6" s="1"/>
  <c r="B68" i="5"/>
  <c r="B67" i="11"/>
  <c r="V67" i="11" s="1"/>
  <c r="J68" i="5" l="1"/>
  <c r="X68" i="5"/>
  <c r="Z69" i="5"/>
  <c r="V69" i="5" s="1"/>
  <c r="B68" i="6"/>
  <c r="V68" i="6" s="1"/>
  <c r="B68" i="11"/>
  <c r="V68" i="11" s="1"/>
  <c r="B69" i="5"/>
  <c r="J69" i="5" l="1"/>
  <c r="X69" i="5"/>
  <c r="Z70" i="5"/>
  <c r="V70" i="5" s="1"/>
  <c r="B69" i="11"/>
  <c r="V69" i="11" s="1"/>
  <c r="B69" i="6"/>
  <c r="V69" i="6" s="1"/>
  <c r="B70" i="5"/>
  <c r="J70" i="5" l="1"/>
  <c r="X70" i="5"/>
  <c r="Z71" i="5"/>
  <c r="V71" i="5" s="1"/>
  <c r="B71" i="5"/>
  <c r="B70" i="11"/>
  <c r="V70" i="11" s="1"/>
  <c r="B70" i="6"/>
  <c r="V70" i="6" s="1"/>
  <c r="J71" i="5" l="1"/>
  <c r="X71" i="5"/>
  <c r="Z72" i="5"/>
  <c r="V72" i="5" s="1"/>
  <c r="B71" i="6"/>
  <c r="V71" i="6" s="1"/>
  <c r="B72" i="5"/>
  <c r="B71" i="11"/>
  <c r="V71" i="11" s="1"/>
  <c r="J72" i="5" l="1"/>
  <c r="X72" i="5"/>
  <c r="Z73" i="5"/>
  <c r="V73" i="5" s="1"/>
  <c r="B72" i="6"/>
  <c r="V72" i="6" s="1"/>
  <c r="B72" i="11"/>
  <c r="V72" i="11" s="1"/>
  <c r="B73" i="5"/>
  <c r="J73" i="5" l="1"/>
  <c r="X73" i="5"/>
  <c r="Z74" i="5"/>
  <c r="V74" i="5" s="1"/>
  <c r="B73" i="11"/>
  <c r="V73" i="11" s="1"/>
  <c r="B74" i="5"/>
  <c r="B73" i="6"/>
  <c r="V73" i="6" s="1"/>
  <c r="J74" i="5" l="1"/>
  <c r="X74" i="5"/>
  <c r="Z75" i="5"/>
  <c r="V75" i="5" s="1"/>
  <c r="B74" i="11"/>
  <c r="V74" i="11" s="1"/>
  <c r="B75" i="5"/>
  <c r="B74" i="6"/>
  <c r="V74" i="6" s="1"/>
  <c r="J75" i="5" l="1"/>
  <c r="X75" i="5"/>
  <c r="Z76" i="5"/>
  <c r="V76" i="5" s="1"/>
  <c r="B75" i="11"/>
  <c r="V75" i="11" s="1"/>
  <c r="B76" i="5"/>
  <c r="B75" i="6"/>
  <c r="V75" i="6" s="1"/>
  <c r="J76" i="5" l="1"/>
  <c r="X76" i="5"/>
  <c r="Z77" i="5"/>
  <c r="V77" i="5" s="1"/>
  <c r="B76" i="11"/>
  <c r="V76" i="11" s="1"/>
  <c r="B77" i="5"/>
  <c r="B76" i="6"/>
  <c r="V76" i="6" s="1"/>
  <c r="J77" i="5" l="1"/>
  <c r="X77" i="5"/>
  <c r="Z78" i="5"/>
  <c r="V78" i="5" s="1"/>
  <c r="B77" i="11"/>
  <c r="V77" i="11" s="1"/>
  <c r="B78" i="5"/>
  <c r="B77" i="6"/>
  <c r="V77" i="6" s="1"/>
  <c r="J78" i="5" l="1"/>
  <c r="X78" i="5"/>
  <c r="Z79" i="5"/>
  <c r="V79" i="5" s="1"/>
  <c r="B79" i="5"/>
  <c r="B78" i="11"/>
  <c r="V78" i="11" s="1"/>
  <c r="B78" i="6"/>
  <c r="V78" i="6" s="1"/>
  <c r="J79" i="5" l="1"/>
  <c r="X79" i="5"/>
  <c r="Z80" i="5"/>
  <c r="V80" i="5" s="1"/>
  <c r="B79" i="11"/>
  <c r="V79" i="11" s="1"/>
  <c r="B80" i="5"/>
  <c r="B79" i="6"/>
  <c r="V79" i="6" s="1"/>
  <c r="J80" i="5" l="1"/>
  <c r="X80" i="5"/>
  <c r="Z81" i="5"/>
  <c r="V81" i="5" s="1"/>
  <c r="B80" i="11"/>
  <c r="V80" i="11" s="1"/>
  <c r="B80" i="6"/>
  <c r="V80" i="6" s="1"/>
  <c r="B81" i="5"/>
  <c r="J81" i="5" l="1"/>
  <c r="X81" i="5"/>
  <c r="Z82" i="5"/>
  <c r="V82" i="5" s="1"/>
  <c r="B81" i="6"/>
  <c r="V81" i="6" s="1"/>
  <c r="B81" i="11"/>
  <c r="V81" i="11" s="1"/>
  <c r="B82" i="5"/>
  <c r="J82" i="5" l="1"/>
  <c r="X82" i="5"/>
  <c r="Z83" i="5"/>
  <c r="V83" i="5" s="1"/>
  <c r="B83" i="5"/>
  <c r="B82" i="6"/>
  <c r="V82" i="6" s="1"/>
  <c r="B82" i="11"/>
  <c r="V82" i="11" s="1"/>
  <c r="J83" i="5" l="1"/>
  <c r="X83" i="5"/>
  <c r="Z84" i="5"/>
  <c r="V84" i="5" s="1"/>
  <c r="B83" i="11"/>
  <c r="V83" i="11" s="1"/>
  <c r="B84" i="5"/>
  <c r="B83" i="6"/>
  <c r="V83" i="6" s="1"/>
  <c r="J84" i="5" l="1"/>
  <c r="X84" i="5"/>
  <c r="Z85" i="5"/>
  <c r="V85" i="5" s="1"/>
  <c r="B84" i="11"/>
  <c r="V84" i="11" s="1"/>
  <c r="B84" i="6"/>
  <c r="V84" i="6" s="1"/>
  <c r="B85" i="5"/>
  <c r="J85" i="5" l="1"/>
  <c r="X85" i="5"/>
  <c r="Z86" i="5"/>
  <c r="V86" i="5" s="1"/>
  <c r="B85" i="11"/>
  <c r="V85" i="11" s="1"/>
  <c r="B86" i="5"/>
  <c r="B85" i="6"/>
  <c r="V85" i="6" s="1"/>
  <c r="J86" i="5" l="1"/>
  <c r="X86" i="5"/>
  <c r="Z87" i="5"/>
  <c r="V87" i="5" s="1"/>
  <c r="B87" i="5"/>
  <c r="B86" i="6"/>
  <c r="V86" i="6" s="1"/>
  <c r="B86" i="11"/>
  <c r="V86" i="11" s="1"/>
  <c r="J87" i="5" l="1"/>
  <c r="X87" i="5"/>
  <c r="Z88" i="5"/>
  <c r="V88" i="5" s="1"/>
  <c r="B87" i="11"/>
  <c r="V87" i="11" s="1"/>
  <c r="B88" i="5"/>
  <c r="B87" i="6"/>
  <c r="V87" i="6" s="1"/>
  <c r="J88" i="5" l="1"/>
  <c r="X88" i="5"/>
  <c r="Z89" i="5"/>
  <c r="V89" i="5" s="1"/>
  <c r="B89" i="5"/>
  <c r="B88" i="6"/>
  <c r="V88" i="6" s="1"/>
  <c r="B88" i="11"/>
  <c r="V88" i="11" s="1"/>
  <c r="J89" i="5" l="1"/>
  <c r="X89" i="5"/>
  <c r="Z90" i="5"/>
  <c r="V90" i="5" s="1"/>
  <c r="B89" i="11"/>
  <c r="V89" i="11" s="1"/>
  <c r="B90" i="5"/>
  <c r="B89" i="6"/>
  <c r="V89" i="6" s="1"/>
  <c r="J90" i="5" l="1"/>
  <c r="X90" i="5"/>
  <c r="Z91" i="5"/>
  <c r="V91" i="5" s="1"/>
  <c r="B91" i="5"/>
  <c r="B90" i="11"/>
  <c r="V90" i="11" s="1"/>
  <c r="B90" i="6"/>
  <c r="V90" i="6" s="1"/>
  <c r="J91" i="5" l="1"/>
  <c r="X91" i="5"/>
  <c r="Z92" i="5"/>
  <c r="V92" i="5" s="1"/>
  <c r="B91" i="11"/>
  <c r="V91" i="11" s="1"/>
  <c r="B92" i="5"/>
  <c r="B91" i="6"/>
  <c r="V91" i="6" s="1"/>
  <c r="J92" i="5" l="1"/>
  <c r="X92" i="5"/>
  <c r="Z93" i="5"/>
  <c r="V93" i="5" s="1"/>
  <c r="B92" i="11"/>
  <c r="V92" i="11" s="1"/>
  <c r="B93" i="5"/>
  <c r="B92" i="6"/>
  <c r="V92" i="6" s="1"/>
  <c r="J93" i="5" l="1"/>
  <c r="X93" i="5"/>
  <c r="Z94" i="5"/>
  <c r="V94" i="5" s="1"/>
  <c r="B93" i="11"/>
  <c r="V93" i="11" s="1"/>
  <c r="B94" i="5"/>
  <c r="B93" i="6"/>
  <c r="V93" i="6" s="1"/>
  <c r="J94" i="5" l="1"/>
  <c r="X94" i="5"/>
  <c r="Z95" i="5"/>
  <c r="V95" i="5" s="1"/>
  <c r="B95" i="5"/>
  <c r="B94" i="11"/>
  <c r="V94" i="11" s="1"/>
  <c r="B94" i="6"/>
  <c r="V94" i="6" s="1"/>
  <c r="J95" i="5" l="1"/>
  <c r="X95" i="5"/>
  <c r="Z96" i="5"/>
  <c r="V96" i="5" s="1"/>
  <c r="B95" i="11"/>
  <c r="V95" i="11" s="1"/>
  <c r="B95" i="6"/>
  <c r="V95" i="6" s="1"/>
  <c r="B96" i="5"/>
  <c r="J96" i="5" l="1"/>
  <c r="X96" i="5"/>
  <c r="Z97" i="5"/>
  <c r="V97" i="5" s="1"/>
  <c r="B96" i="6"/>
  <c r="V96" i="6" s="1"/>
  <c r="B96" i="11"/>
  <c r="V96" i="11" s="1"/>
  <c r="B97" i="5"/>
  <c r="J97" i="5" l="1"/>
  <c r="X97" i="5"/>
  <c r="Z98" i="5"/>
  <c r="V98" i="5" s="1"/>
  <c r="B97" i="11"/>
  <c r="V97" i="11" s="1"/>
  <c r="B98" i="5"/>
  <c r="B97" i="6"/>
  <c r="V97" i="6" s="1"/>
  <c r="J98" i="5" l="1"/>
  <c r="X98" i="5"/>
  <c r="Z99" i="5"/>
  <c r="V99" i="5" s="1"/>
  <c r="B98" i="6"/>
  <c r="V98" i="6" s="1"/>
  <c r="B99" i="5"/>
  <c r="B98" i="11"/>
  <c r="V98" i="11" s="1"/>
  <c r="J99" i="5" l="1"/>
  <c r="X99" i="5"/>
  <c r="Z100" i="5"/>
  <c r="V100" i="5" s="1"/>
  <c r="B99" i="6"/>
  <c r="V99" i="6" s="1"/>
  <c r="B100" i="5"/>
  <c r="B99" i="11"/>
  <c r="V99" i="11" s="1"/>
  <c r="J100" i="5" l="1"/>
  <c r="X100" i="5"/>
  <c r="Z101" i="5"/>
  <c r="V101" i="5" s="1"/>
  <c r="B100" i="6"/>
  <c r="V100" i="6" s="1"/>
  <c r="B101" i="5"/>
  <c r="B100" i="11"/>
  <c r="V100" i="11" s="1"/>
  <c r="J101" i="5" l="1"/>
  <c r="X101" i="5"/>
  <c r="Z102" i="5"/>
  <c r="V102" i="5" s="1"/>
  <c r="B101" i="11"/>
  <c r="V101" i="11" s="1"/>
  <c r="B102" i="5"/>
  <c r="B101" i="6"/>
  <c r="V101" i="6" s="1"/>
  <c r="J102" i="5" l="1"/>
  <c r="X102" i="5"/>
  <c r="Z103" i="5"/>
  <c r="V103" i="5" s="1"/>
  <c r="B103" i="5"/>
  <c r="B102" i="11"/>
  <c r="V102" i="11" s="1"/>
  <c r="B102" i="6"/>
  <c r="V102" i="6" s="1"/>
  <c r="J103" i="5" l="1"/>
  <c r="X103" i="5"/>
  <c r="Z104" i="5"/>
  <c r="V104" i="5" s="1"/>
  <c r="B103" i="11"/>
  <c r="V103" i="11" s="1"/>
  <c r="B103" i="6"/>
  <c r="V103" i="6" s="1"/>
  <c r="B104" i="5"/>
  <c r="J104" i="5" l="1"/>
  <c r="X104" i="5"/>
  <c r="Z105" i="5"/>
  <c r="V105" i="5" s="1"/>
  <c r="B104" i="6"/>
  <c r="V104" i="6" s="1"/>
  <c r="B104" i="11"/>
  <c r="V104" i="11" s="1"/>
  <c r="B105" i="5"/>
  <c r="J105" i="5" l="1"/>
  <c r="X105" i="5"/>
  <c r="Z106" i="5"/>
  <c r="V106" i="5" s="1"/>
  <c r="B105" i="11"/>
  <c r="V105" i="11" s="1"/>
  <c r="B106" i="5"/>
  <c r="B105" i="6"/>
  <c r="V105" i="6" s="1"/>
  <c r="J106" i="5" l="1"/>
  <c r="X106" i="5"/>
  <c r="Z107" i="5"/>
  <c r="V107" i="5" s="1"/>
  <c r="B106" i="6"/>
  <c r="V106" i="6" s="1"/>
  <c r="B107" i="5"/>
  <c r="B106" i="11"/>
  <c r="V106" i="11" s="1"/>
  <c r="J107" i="5" l="1"/>
  <c r="X107" i="5"/>
  <c r="Z108" i="5"/>
  <c r="V108" i="5" s="1"/>
  <c r="B107" i="11"/>
  <c r="V107" i="11" s="1"/>
  <c r="B108" i="5"/>
  <c r="B107" i="6"/>
  <c r="V107" i="6" s="1"/>
  <c r="J108" i="5" l="1"/>
  <c r="X108" i="5"/>
  <c r="Z109" i="5"/>
  <c r="V109" i="5" s="1"/>
  <c r="B108" i="6"/>
  <c r="V108" i="6" s="1"/>
  <c r="B108" i="11"/>
  <c r="V108" i="11" s="1"/>
  <c r="B109" i="5"/>
  <c r="J109" i="5" l="1"/>
  <c r="X109" i="5"/>
  <c r="Z110" i="5"/>
  <c r="V110" i="5" s="1"/>
  <c r="B109" i="6"/>
  <c r="V109" i="6" s="1"/>
  <c r="B109" i="11"/>
  <c r="V109" i="11" s="1"/>
  <c r="B110" i="5"/>
  <c r="J110" i="5" l="1"/>
  <c r="X110" i="5"/>
  <c r="Z111" i="5"/>
  <c r="V111" i="5" s="1"/>
  <c r="B110" i="11"/>
  <c r="V110" i="11" s="1"/>
  <c r="B111" i="5"/>
  <c r="B110" i="6"/>
  <c r="V110" i="6" s="1"/>
  <c r="J111" i="5" l="1"/>
  <c r="X111" i="5"/>
  <c r="Z112" i="5"/>
  <c r="V112" i="5" s="1"/>
  <c r="B111" i="6"/>
  <c r="V111" i="6" s="1"/>
  <c r="B112" i="5"/>
  <c r="B111" i="11"/>
  <c r="V111" i="11" s="1"/>
  <c r="J112" i="5" l="1"/>
  <c r="X112" i="5"/>
  <c r="Z113" i="5"/>
  <c r="V113" i="5" s="1"/>
  <c r="B112" i="11"/>
  <c r="V112" i="11" s="1"/>
  <c r="B112" i="6"/>
  <c r="V112" i="6" s="1"/>
  <c r="B113" i="5"/>
  <c r="J113" i="5" l="1"/>
  <c r="X113" i="5"/>
  <c r="Z114" i="5"/>
  <c r="V114" i="5" s="1"/>
  <c r="B113" i="6"/>
  <c r="V113" i="6" s="1"/>
  <c r="B114" i="5"/>
  <c r="B113" i="11"/>
  <c r="V113" i="11" s="1"/>
  <c r="J114" i="5" l="1"/>
  <c r="X114" i="5"/>
  <c r="Z115" i="5"/>
  <c r="V115" i="5" s="1"/>
  <c r="B115" i="5"/>
  <c r="B114" i="11"/>
  <c r="V114" i="11" s="1"/>
  <c r="B114" i="6"/>
  <c r="V114" i="6" s="1"/>
  <c r="J115" i="5" l="1"/>
  <c r="X115" i="5"/>
  <c r="Z116" i="5"/>
  <c r="V116" i="5" s="1"/>
  <c r="B115" i="11"/>
  <c r="V115" i="11" s="1"/>
  <c r="B116" i="5"/>
  <c r="B115" i="6"/>
  <c r="V115" i="6" s="1"/>
  <c r="J116" i="5" l="1"/>
  <c r="X116" i="5"/>
  <c r="Z117" i="5"/>
  <c r="V117" i="5" s="1"/>
  <c r="B116" i="6"/>
  <c r="V116" i="6" s="1"/>
  <c r="B116" i="11"/>
  <c r="V116" i="11" s="1"/>
  <c r="B117" i="5"/>
  <c r="J117" i="5" l="1"/>
  <c r="X117" i="5"/>
  <c r="Z118" i="5"/>
  <c r="V118" i="5" s="1"/>
  <c r="B117" i="11"/>
  <c r="V117" i="11" s="1"/>
  <c r="B117" i="6"/>
  <c r="V117" i="6" s="1"/>
  <c r="B118" i="5"/>
  <c r="J118" i="5" l="1"/>
  <c r="X118" i="5"/>
  <c r="Z119" i="5"/>
  <c r="V119" i="5" s="1"/>
  <c r="B119" i="5"/>
  <c r="B118" i="6"/>
  <c r="V118" i="6" s="1"/>
  <c r="B118" i="11"/>
  <c r="V118" i="11" s="1"/>
  <c r="J119" i="5" l="1"/>
  <c r="X119" i="5"/>
  <c r="Z120" i="5"/>
  <c r="V120" i="5" s="1"/>
  <c r="B119" i="6"/>
  <c r="V119" i="6" s="1"/>
  <c r="B120" i="5"/>
  <c r="B119" i="11"/>
  <c r="V119" i="11" s="1"/>
  <c r="J120" i="5" l="1"/>
  <c r="X120" i="5"/>
  <c r="Z121" i="5"/>
  <c r="V121" i="5" s="1"/>
  <c r="B120" i="6"/>
  <c r="V120" i="6" s="1"/>
  <c r="B120" i="11"/>
  <c r="V120" i="11" s="1"/>
  <c r="B121" i="5"/>
  <c r="J121" i="5" l="1"/>
  <c r="X121" i="5"/>
  <c r="Z122" i="5"/>
  <c r="V122" i="5" s="1"/>
  <c r="B122" i="5"/>
  <c r="B121" i="6"/>
  <c r="V121" i="6" s="1"/>
  <c r="B121" i="11"/>
  <c r="V121" i="11" s="1"/>
  <c r="J122" i="5" l="1"/>
  <c r="X122" i="5"/>
  <c r="Z123" i="5"/>
  <c r="V123" i="5" s="1"/>
  <c r="B123" i="5"/>
  <c r="B122" i="11"/>
  <c r="V122" i="11" s="1"/>
  <c r="B122" i="6"/>
  <c r="V122" i="6" s="1"/>
  <c r="J123" i="5" l="1"/>
  <c r="X123" i="5"/>
  <c r="Z124" i="5"/>
  <c r="V124" i="5" s="1"/>
  <c r="B123" i="6"/>
  <c r="V123" i="6" s="1"/>
  <c r="B124" i="5"/>
  <c r="B123" i="11"/>
  <c r="V123" i="11" s="1"/>
  <c r="J124" i="5" l="1"/>
  <c r="X124" i="5"/>
  <c r="Z125" i="5"/>
  <c r="V125" i="5" s="1"/>
  <c r="B125" i="5"/>
  <c r="B124" i="6"/>
  <c r="V124" i="6" s="1"/>
  <c r="B124" i="11"/>
  <c r="V124" i="11" s="1"/>
  <c r="J125" i="5" l="1"/>
  <c r="X125" i="5"/>
  <c r="Z126" i="5"/>
  <c r="V126" i="5" s="1"/>
  <c r="B125" i="6"/>
  <c r="V125" i="6" s="1"/>
  <c r="B126" i="5"/>
  <c r="B125" i="11"/>
  <c r="V125" i="11" s="1"/>
  <c r="J126" i="5" l="1"/>
  <c r="X126" i="5"/>
  <c r="Z127" i="5"/>
  <c r="V127" i="5" s="1"/>
  <c r="B127" i="5"/>
  <c r="B126" i="6"/>
  <c r="V126" i="6" s="1"/>
  <c r="B126" i="11"/>
  <c r="V126" i="11" s="1"/>
  <c r="J127" i="5" l="1"/>
  <c r="X127" i="5"/>
  <c r="Z128" i="5"/>
  <c r="V128" i="5" s="1"/>
  <c r="B127" i="6"/>
  <c r="V127" i="6" s="1"/>
  <c r="B128" i="5"/>
  <c r="B127" i="11"/>
  <c r="V127" i="11" s="1"/>
  <c r="J128" i="5" l="1"/>
  <c r="X128" i="5"/>
  <c r="Z129" i="5"/>
  <c r="V129" i="5" s="1"/>
  <c r="B129" i="5"/>
  <c r="B128" i="6"/>
  <c r="V128" i="6" s="1"/>
  <c r="B128" i="11"/>
  <c r="V128" i="11" s="1"/>
  <c r="J129" i="5" l="1"/>
  <c r="X129" i="5"/>
  <c r="Z130" i="5"/>
  <c r="V130" i="5" s="1"/>
  <c r="B129" i="11"/>
  <c r="V129" i="11" s="1"/>
  <c r="B130" i="5"/>
  <c r="B129" i="6"/>
  <c r="V129" i="6" s="1"/>
  <c r="J130" i="5" l="1"/>
  <c r="X130" i="5"/>
  <c r="Z131" i="5"/>
  <c r="V131" i="5" s="1"/>
  <c r="B130" i="6"/>
  <c r="V130" i="6" s="1"/>
  <c r="B131" i="5"/>
  <c r="B130" i="11"/>
  <c r="V130" i="11" s="1"/>
  <c r="J131" i="5" l="1"/>
  <c r="X131" i="5"/>
  <c r="Z132" i="5"/>
  <c r="V132" i="5" s="1"/>
  <c r="B131" i="11"/>
  <c r="V131" i="11" s="1"/>
  <c r="B131" i="6"/>
  <c r="V131" i="6" s="1"/>
  <c r="B132" i="5"/>
  <c r="J132" i="5" l="1"/>
  <c r="X132" i="5"/>
  <c r="Z133" i="5"/>
  <c r="V133" i="5" s="1"/>
  <c r="B132" i="6"/>
  <c r="V132" i="6" s="1"/>
  <c r="B132" i="11"/>
  <c r="V132" i="11" s="1"/>
  <c r="B133" i="5"/>
  <c r="J133" i="5" l="1"/>
  <c r="X133" i="5"/>
  <c r="Z134" i="5"/>
  <c r="V134" i="5" s="1"/>
  <c r="B133" i="6"/>
  <c r="V133" i="6" s="1"/>
  <c r="B134" i="5"/>
  <c r="B133" i="11"/>
  <c r="V133" i="11" s="1"/>
  <c r="J134" i="5" l="1"/>
  <c r="X134" i="5"/>
  <c r="Z135" i="5"/>
  <c r="V135" i="5" s="1"/>
  <c r="B135" i="5"/>
  <c r="B134" i="11"/>
  <c r="V134" i="11" s="1"/>
  <c r="B134" i="6"/>
  <c r="V134" i="6" s="1"/>
  <c r="J135" i="5" l="1"/>
  <c r="X135" i="5"/>
  <c r="Z136" i="5"/>
  <c r="V136" i="5" s="1"/>
  <c r="B135" i="11"/>
  <c r="V135" i="11" s="1"/>
  <c r="B136" i="5"/>
  <c r="B135" i="6"/>
  <c r="V135" i="6" s="1"/>
  <c r="J136" i="5" l="1"/>
  <c r="X136" i="5"/>
  <c r="Z137" i="5"/>
  <c r="V137" i="5" s="1"/>
  <c r="B136" i="11"/>
  <c r="V136" i="11" s="1"/>
  <c r="B136" i="6"/>
  <c r="V136" i="6" s="1"/>
  <c r="B137" i="5"/>
  <c r="J137" i="5" l="1"/>
  <c r="X137" i="5"/>
  <c r="Z138" i="5"/>
  <c r="V138" i="5" s="1"/>
  <c r="B137" i="6"/>
  <c r="V137" i="6" s="1"/>
  <c r="B138" i="5"/>
  <c r="B137" i="11"/>
  <c r="V137" i="11" s="1"/>
  <c r="J138" i="5" l="1"/>
  <c r="X138" i="5"/>
  <c r="Z139" i="5"/>
  <c r="V139" i="5" s="1"/>
  <c r="B139" i="5"/>
  <c r="B138" i="11"/>
  <c r="V138" i="11" s="1"/>
  <c r="B138" i="6"/>
  <c r="V138" i="6" s="1"/>
  <c r="J139" i="5" l="1"/>
  <c r="X139" i="5"/>
  <c r="Z140" i="5"/>
  <c r="V140" i="5" s="1"/>
  <c r="B139" i="11"/>
  <c r="V139" i="11" s="1"/>
  <c r="B140" i="5"/>
  <c r="B139" i="6"/>
  <c r="V139" i="6" s="1"/>
  <c r="J140" i="5" l="1"/>
  <c r="X140" i="5"/>
  <c r="Z141" i="5"/>
  <c r="V141" i="5" s="1"/>
  <c r="B140" i="11"/>
  <c r="V140" i="11" s="1"/>
  <c r="B140" i="6"/>
  <c r="V140" i="6" s="1"/>
  <c r="B141" i="5"/>
  <c r="J141" i="5" l="1"/>
  <c r="X141" i="5"/>
  <c r="Z142" i="5"/>
  <c r="V142" i="5" s="1"/>
  <c r="B141" i="6"/>
  <c r="V141" i="6" s="1"/>
  <c r="B142" i="5"/>
  <c r="B141" i="11"/>
  <c r="V141" i="11" s="1"/>
  <c r="J142" i="5" l="1"/>
  <c r="X142" i="5"/>
  <c r="Z143" i="5"/>
  <c r="V143" i="5" s="1"/>
  <c r="B143" i="5"/>
  <c r="B142" i="6"/>
  <c r="V142" i="6" s="1"/>
  <c r="B142" i="11"/>
  <c r="V142" i="11" s="1"/>
  <c r="J143" i="5" l="1"/>
  <c r="X143" i="5"/>
  <c r="Z144" i="5"/>
  <c r="V144" i="5" s="1"/>
  <c r="B143" i="11"/>
  <c r="V143" i="11" s="1"/>
  <c r="B144" i="5"/>
  <c r="B143" i="6"/>
  <c r="V143" i="6" s="1"/>
  <c r="J144" i="5" l="1"/>
  <c r="X144" i="5"/>
  <c r="Z145" i="5"/>
  <c r="V145" i="5" s="1"/>
  <c r="B145" i="5"/>
  <c r="B144" i="11"/>
  <c r="V144" i="11" s="1"/>
  <c r="B144" i="6"/>
  <c r="V144" i="6" s="1"/>
  <c r="J145" i="5" l="1"/>
  <c r="X145" i="5"/>
  <c r="Z146" i="5"/>
  <c r="V146" i="5" s="1"/>
  <c r="B145" i="6"/>
  <c r="V145" i="6" s="1"/>
  <c r="B146" i="5"/>
  <c r="B145" i="11"/>
  <c r="V145" i="11" s="1"/>
  <c r="J146" i="5" l="1"/>
  <c r="X146" i="5"/>
  <c r="Z147" i="5"/>
  <c r="V147" i="5" s="1"/>
  <c r="B147" i="5"/>
  <c r="B146" i="6"/>
  <c r="V146" i="6" s="1"/>
  <c r="B146" i="11"/>
  <c r="V146" i="11" s="1"/>
  <c r="J147" i="5" l="1"/>
  <c r="X147" i="5"/>
  <c r="Z148" i="5"/>
  <c r="V148" i="5" s="1"/>
  <c r="B147" i="11"/>
  <c r="V147" i="11" s="1"/>
  <c r="B148" i="5"/>
  <c r="B147" i="6"/>
  <c r="V147" i="6" s="1"/>
  <c r="J148" i="5" l="1"/>
  <c r="X148" i="5"/>
  <c r="Z149" i="5"/>
  <c r="V149" i="5" s="1"/>
  <c r="B148" i="6"/>
  <c r="V148" i="6" s="1"/>
  <c r="B148" i="11"/>
  <c r="V148" i="11" s="1"/>
  <c r="B149" i="5"/>
  <c r="J149" i="5" l="1"/>
  <c r="X149" i="5"/>
  <c r="Z150" i="5"/>
  <c r="V150" i="5" s="1"/>
  <c r="B149" i="6"/>
  <c r="V149" i="6" s="1"/>
  <c r="B149" i="11"/>
  <c r="V149" i="11" s="1"/>
  <c r="B150" i="5"/>
  <c r="J150" i="5" l="1"/>
  <c r="X150" i="5"/>
  <c r="Z151" i="5"/>
  <c r="V151" i="5" s="1"/>
  <c r="B150" i="11"/>
  <c r="V150" i="11" s="1"/>
  <c r="B151" i="5"/>
  <c r="B150" i="6"/>
  <c r="V150" i="6" s="1"/>
  <c r="J151" i="5" l="1"/>
  <c r="X151" i="5"/>
  <c r="Z152" i="5"/>
  <c r="V152" i="5" s="1"/>
  <c r="B151" i="11"/>
  <c r="V151" i="11" s="1"/>
  <c r="B152" i="5"/>
  <c r="B151" i="6"/>
  <c r="V151" i="6" s="1"/>
  <c r="J152" i="5" l="1"/>
  <c r="X152" i="5"/>
  <c r="Z153" i="5"/>
  <c r="V153" i="5" s="1"/>
  <c r="B152" i="11"/>
  <c r="V152" i="11" s="1"/>
  <c r="B152" i="6"/>
  <c r="V152" i="6" s="1"/>
  <c r="B153" i="5"/>
  <c r="J153" i="5" l="1"/>
  <c r="X153" i="5"/>
  <c r="Z154" i="5"/>
  <c r="V154" i="5" s="1"/>
  <c r="B153" i="6"/>
  <c r="V153" i="6" s="1"/>
  <c r="B154" i="5"/>
  <c r="B153" i="11"/>
  <c r="V153" i="11" s="1"/>
  <c r="J154" i="5" l="1"/>
  <c r="X154" i="5"/>
  <c r="Z155" i="5"/>
  <c r="V155" i="5" s="1"/>
  <c r="B155" i="5"/>
  <c r="B154" i="11"/>
  <c r="V154" i="11" s="1"/>
  <c r="B154" i="6"/>
  <c r="V154" i="6" s="1"/>
  <c r="J155" i="5" l="1"/>
  <c r="X155" i="5"/>
  <c r="Z156" i="5"/>
  <c r="V156" i="5" s="1"/>
  <c r="B155" i="11"/>
  <c r="V155" i="11" s="1"/>
  <c r="B156" i="5"/>
  <c r="B155" i="6"/>
  <c r="V155" i="6" s="1"/>
  <c r="J156" i="5" l="1"/>
  <c r="X156" i="5"/>
  <c r="Z157" i="5"/>
  <c r="V157" i="5" s="1"/>
  <c r="B156" i="11"/>
  <c r="V156" i="11" s="1"/>
  <c r="B156" i="6"/>
  <c r="V156" i="6" s="1"/>
  <c r="B157" i="5"/>
  <c r="J157" i="5" l="1"/>
  <c r="X157" i="5"/>
  <c r="Z158" i="5"/>
  <c r="V158" i="5" s="1"/>
  <c r="B157" i="6"/>
  <c r="V157" i="6" s="1"/>
  <c r="B157" i="11"/>
  <c r="V157" i="11" s="1"/>
  <c r="B158" i="5"/>
  <c r="J158" i="5" l="1"/>
  <c r="X158" i="5"/>
  <c r="Z159" i="5"/>
  <c r="V159" i="5" s="1"/>
  <c r="B159" i="5"/>
  <c r="B158" i="11"/>
  <c r="V158" i="11" s="1"/>
  <c r="B158" i="6"/>
  <c r="V158" i="6" s="1"/>
  <c r="J159" i="5" l="1"/>
  <c r="X159" i="5"/>
  <c r="Z160" i="5"/>
  <c r="V160" i="5" s="1"/>
  <c r="B159" i="11"/>
  <c r="V159" i="11" s="1"/>
  <c r="B160" i="5"/>
  <c r="B159" i="6"/>
  <c r="V159" i="6" s="1"/>
  <c r="J160" i="5" l="1"/>
  <c r="X160" i="5"/>
  <c r="Z161" i="5"/>
  <c r="V161" i="5" s="1"/>
  <c r="B160" i="6"/>
  <c r="V160" i="6" s="1"/>
  <c r="B160" i="11"/>
  <c r="V160" i="11" s="1"/>
  <c r="B161" i="5"/>
  <c r="J161" i="5" l="1"/>
  <c r="X161" i="5"/>
  <c r="Z162" i="5"/>
  <c r="V162" i="5" s="1"/>
  <c r="B161" i="6"/>
  <c r="V161" i="6" s="1"/>
  <c r="B161" i="11"/>
  <c r="V161" i="11" s="1"/>
  <c r="B162" i="5"/>
  <c r="J162" i="5" l="1"/>
  <c r="X162" i="5"/>
  <c r="Z163" i="5"/>
  <c r="V163" i="5" s="1"/>
  <c r="B163" i="5"/>
  <c r="B162" i="11"/>
  <c r="V162" i="11" s="1"/>
  <c r="B162" i="6"/>
  <c r="V162" i="6" s="1"/>
  <c r="J163" i="5" l="1"/>
  <c r="X163" i="5"/>
  <c r="Z164" i="5"/>
  <c r="V164" i="5" s="1"/>
  <c r="B163" i="11"/>
  <c r="V163" i="11" s="1"/>
  <c r="B164" i="5"/>
  <c r="B163" i="6"/>
  <c r="V163" i="6" s="1"/>
  <c r="J164" i="5" l="1"/>
  <c r="X164" i="5"/>
  <c r="Z165" i="5"/>
  <c r="V165" i="5" s="1"/>
  <c r="B164" i="11"/>
  <c r="V164" i="11" s="1"/>
  <c r="B164" i="6"/>
  <c r="V164" i="6" s="1"/>
  <c r="B165" i="5"/>
  <c r="J165" i="5" l="1"/>
  <c r="X165" i="5"/>
  <c r="Z166" i="5"/>
  <c r="V166" i="5" s="1"/>
  <c r="B166" i="5"/>
  <c r="B165" i="6"/>
  <c r="V165" i="6" s="1"/>
  <c r="B165" i="11"/>
  <c r="V165" i="11" s="1"/>
  <c r="J166" i="5" l="1"/>
  <c r="X166" i="5"/>
  <c r="Z167" i="5"/>
  <c r="V167" i="5" s="1"/>
  <c r="B166" i="6"/>
  <c r="V166" i="6" s="1"/>
  <c r="B167" i="5"/>
  <c r="B166" i="11"/>
  <c r="V166" i="11" s="1"/>
  <c r="J167" i="5" l="1"/>
  <c r="X167" i="5"/>
  <c r="Z168" i="5"/>
  <c r="V168" i="5" s="1"/>
  <c r="B167" i="6"/>
  <c r="V167" i="6" s="1"/>
  <c r="B168" i="5"/>
  <c r="B167" i="11"/>
  <c r="V167" i="11" s="1"/>
  <c r="J168" i="5" l="1"/>
  <c r="X168" i="5"/>
  <c r="Z169" i="5"/>
  <c r="V169" i="5" s="1"/>
  <c r="B168" i="6"/>
  <c r="V168" i="6" s="1"/>
  <c r="B168" i="11"/>
  <c r="V168" i="11" s="1"/>
  <c r="B169" i="5"/>
  <c r="J169" i="5" l="1"/>
  <c r="X169" i="5"/>
  <c r="Z170" i="5"/>
  <c r="V170" i="5" s="1"/>
  <c r="B170" i="5"/>
  <c r="B169" i="6"/>
  <c r="V169" i="6" s="1"/>
  <c r="B169" i="11"/>
  <c r="V169" i="11" s="1"/>
  <c r="J170" i="5" l="1"/>
  <c r="X170" i="5"/>
  <c r="Z171" i="5"/>
  <c r="V171" i="5" s="1"/>
  <c r="B170" i="11"/>
  <c r="V170" i="11" s="1"/>
  <c r="B171" i="5"/>
  <c r="B170" i="6"/>
  <c r="V170" i="6" s="1"/>
  <c r="J171" i="5" l="1"/>
  <c r="X171" i="5"/>
  <c r="Z172" i="5"/>
  <c r="V172" i="5" s="1"/>
  <c r="B171" i="11"/>
  <c r="V171" i="11" s="1"/>
  <c r="B172" i="5"/>
  <c r="B171" i="6"/>
  <c r="V171" i="6" s="1"/>
  <c r="J172" i="5" l="1"/>
  <c r="X172" i="5"/>
  <c r="Z173" i="5"/>
  <c r="V173" i="5" s="1"/>
  <c r="B172" i="11"/>
  <c r="V172" i="11" s="1"/>
  <c r="B172" i="6"/>
  <c r="V172" i="6" s="1"/>
  <c r="B173" i="5"/>
  <c r="J173" i="5" l="1"/>
  <c r="X173" i="5"/>
  <c r="Z174" i="5"/>
  <c r="V174" i="5" s="1"/>
  <c r="B173" i="6"/>
  <c r="V173" i="6" s="1"/>
  <c r="B174" i="5"/>
  <c r="B173" i="11"/>
  <c r="V173" i="11" s="1"/>
  <c r="J174" i="5" l="1"/>
  <c r="X174" i="5"/>
  <c r="Z175" i="5"/>
  <c r="V175" i="5" s="1"/>
  <c r="B175" i="5"/>
  <c r="B174" i="11"/>
  <c r="V174" i="11" s="1"/>
  <c r="B174" i="6"/>
  <c r="V174" i="6" s="1"/>
  <c r="J175" i="5" l="1"/>
  <c r="X175" i="5"/>
  <c r="Z176" i="5"/>
  <c r="V176" i="5" s="1"/>
  <c r="B175" i="6"/>
  <c r="V175" i="6" s="1"/>
  <c r="B176" i="5"/>
  <c r="B175" i="11"/>
  <c r="V175" i="11" s="1"/>
  <c r="J176" i="5" l="1"/>
  <c r="X176" i="5"/>
  <c r="Z177" i="5"/>
  <c r="V177" i="5" s="1"/>
  <c r="B177" i="5"/>
  <c r="B176" i="11"/>
  <c r="V176" i="11" s="1"/>
  <c r="B176" i="6"/>
  <c r="V176" i="6" s="1"/>
  <c r="J177" i="5" l="1"/>
  <c r="X177" i="5"/>
  <c r="Z178" i="5"/>
  <c r="V178" i="5" s="1"/>
  <c r="B177" i="6"/>
  <c r="V177" i="6" s="1"/>
  <c r="B177" i="11"/>
  <c r="V177" i="11" s="1"/>
  <c r="B178" i="5"/>
  <c r="J178" i="5" l="1"/>
  <c r="X178" i="5"/>
  <c r="Z179" i="5"/>
  <c r="V179" i="5" s="1"/>
  <c r="B179" i="5"/>
  <c r="B178" i="11"/>
  <c r="V178" i="11" s="1"/>
  <c r="B178" i="6"/>
  <c r="V178" i="6" s="1"/>
  <c r="J179" i="5" l="1"/>
  <c r="X179" i="5"/>
  <c r="Z180" i="5"/>
  <c r="V180" i="5" s="1"/>
  <c r="B179" i="6"/>
  <c r="V179" i="6" s="1"/>
  <c r="B180" i="5"/>
  <c r="B179" i="11"/>
  <c r="V179" i="11" s="1"/>
  <c r="J180" i="5" l="1"/>
  <c r="X180" i="5"/>
  <c r="Z181" i="5"/>
  <c r="V181" i="5" s="1"/>
  <c r="B180" i="6"/>
  <c r="V180" i="6" s="1"/>
  <c r="B180" i="11"/>
  <c r="V180" i="11" s="1"/>
  <c r="B181" i="5"/>
  <c r="J181" i="5" l="1"/>
  <c r="X181" i="5"/>
  <c r="Z182" i="5"/>
  <c r="V182" i="5" s="1"/>
  <c r="B182" i="5"/>
  <c r="B181" i="11"/>
  <c r="V181" i="11" s="1"/>
  <c r="B181" i="6"/>
  <c r="V181" i="6" s="1"/>
  <c r="J182" i="5" l="1"/>
  <c r="X182" i="5"/>
  <c r="Z183" i="5"/>
  <c r="V183" i="5" s="1"/>
  <c r="B183" i="5"/>
  <c r="B182" i="6"/>
  <c r="V182" i="6" s="1"/>
  <c r="B182" i="11"/>
  <c r="V182" i="11" s="1"/>
  <c r="J183" i="5" l="1"/>
  <c r="X183" i="5"/>
  <c r="Z184" i="5"/>
  <c r="V184" i="5" s="1"/>
  <c r="B183" i="11"/>
  <c r="V183" i="11" s="1"/>
  <c r="B184" i="5"/>
  <c r="B183" i="6"/>
  <c r="V183" i="6" s="1"/>
  <c r="J184" i="5" l="1"/>
  <c r="X184" i="5"/>
  <c r="Z185" i="5"/>
  <c r="V185" i="5" s="1"/>
  <c r="B184" i="6"/>
  <c r="V184" i="6" s="1"/>
  <c r="B184" i="11"/>
  <c r="V184" i="11" s="1"/>
  <c r="B185" i="5"/>
  <c r="J185" i="5" l="1"/>
  <c r="X185" i="5"/>
  <c r="Z186" i="5"/>
  <c r="V186" i="5" s="1"/>
  <c r="B185" i="11"/>
  <c r="V185" i="11" s="1"/>
  <c r="B186" i="5"/>
  <c r="B185" i="6"/>
  <c r="V185" i="6" s="1"/>
  <c r="J186" i="5" l="1"/>
  <c r="X186" i="5"/>
  <c r="Z187" i="5"/>
  <c r="V187" i="5" s="1"/>
  <c r="B186" i="6"/>
  <c r="V186" i="6" s="1"/>
  <c r="B187" i="5"/>
  <c r="B186" i="11"/>
  <c r="V186" i="11" s="1"/>
  <c r="J187" i="5" l="1"/>
  <c r="X187" i="5"/>
  <c r="Z188" i="5"/>
  <c r="V188" i="5" s="1"/>
  <c r="B187" i="6"/>
  <c r="V187" i="6" s="1"/>
  <c r="B188" i="5"/>
  <c r="B187" i="11"/>
  <c r="V187" i="11" s="1"/>
  <c r="J188" i="5" l="1"/>
  <c r="X188" i="5"/>
  <c r="Z189" i="5"/>
  <c r="V189" i="5" s="1"/>
  <c r="B188" i="6"/>
  <c r="V188" i="6" s="1"/>
  <c r="B188" i="11"/>
  <c r="V188" i="11" s="1"/>
  <c r="B189" i="5"/>
  <c r="J189" i="5" l="1"/>
  <c r="X189" i="5"/>
  <c r="Z190" i="5"/>
  <c r="V190" i="5" s="1"/>
  <c r="B189" i="6"/>
  <c r="V189" i="6" s="1"/>
  <c r="B189" i="11"/>
  <c r="V189" i="11" s="1"/>
  <c r="B190" i="5"/>
  <c r="J190" i="5" l="1"/>
  <c r="X190" i="5"/>
  <c r="Z191" i="5"/>
  <c r="V191" i="5" s="1"/>
  <c r="B191" i="5"/>
  <c r="B190" i="6"/>
  <c r="V190" i="6" s="1"/>
  <c r="B190" i="11"/>
  <c r="V190" i="11" s="1"/>
  <c r="J191" i="5" l="1"/>
  <c r="X191" i="5"/>
  <c r="Z192" i="5"/>
  <c r="V192" i="5" s="1"/>
  <c r="B191" i="6"/>
  <c r="V191" i="6" s="1"/>
  <c r="B192" i="5"/>
  <c r="B191" i="11"/>
  <c r="V191" i="11" s="1"/>
  <c r="J192" i="5" l="1"/>
  <c r="X192" i="5"/>
  <c r="Z193" i="5"/>
  <c r="V193" i="5" s="1"/>
  <c r="B192" i="11"/>
  <c r="V192" i="11" s="1"/>
  <c r="B192" i="6"/>
  <c r="V192" i="6" s="1"/>
  <c r="B193" i="5"/>
  <c r="J193" i="5" l="1"/>
  <c r="X193" i="5"/>
  <c r="Z194" i="5"/>
  <c r="V194" i="5" s="1"/>
  <c r="B193" i="11"/>
  <c r="V193" i="11" s="1"/>
  <c r="B194" i="5"/>
  <c r="B193" i="6"/>
  <c r="V193" i="6" s="1"/>
  <c r="J194" i="5" l="1"/>
  <c r="X194" i="5"/>
  <c r="Z195" i="5"/>
  <c r="V195" i="5" s="1"/>
  <c r="B194" i="11"/>
  <c r="V194" i="11" s="1"/>
  <c r="B195" i="5"/>
  <c r="B194" i="6"/>
  <c r="V194" i="6" s="1"/>
  <c r="J195" i="5" l="1"/>
  <c r="X195" i="5"/>
  <c r="Z196" i="5"/>
  <c r="V196" i="5" s="1"/>
  <c r="B195" i="11"/>
  <c r="V195" i="11" s="1"/>
  <c r="B196" i="5"/>
  <c r="B195" i="6"/>
  <c r="V195" i="6" s="1"/>
  <c r="J196" i="5" l="1"/>
  <c r="X196" i="5"/>
  <c r="Z197" i="5"/>
  <c r="V197" i="5" s="1"/>
  <c r="B196" i="6"/>
  <c r="V196" i="6" s="1"/>
  <c r="B196" i="11"/>
  <c r="V196" i="11" s="1"/>
  <c r="B197" i="5"/>
  <c r="J197" i="5" l="1"/>
  <c r="X197" i="5"/>
  <c r="Z198" i="5"/>
  <c r="V198" i="5" s="1"/>
  <c r="B197" i="11"/>
  <c r="V197" i="11" s="1"/>
  <c r="B197" i="6"/>
  <c r="V197" i="6" s="1"/>
  <c r="B198" i="5"/>
  <c r="J198" i="5" l="1"/>
  <c r="X198" i="5"/>
  <c r="Z199" i="5"/>
  <c r="V199" i="5" s="1"/>
  <c r="B198" i="11"/>
  <c r="V198" i="11" s="1"/>
  <c r="B199" i="5"/>
  <c r="B198" i="6"/>
  <c r="V198" i="6" s="1"/>
  <c r="J199" i="5" l="1"/>
  <c r="X199" i="5"/>
  <c r="Z200" i="5"/>
  <c r="V200" i="5" s="1"/>
  <c r="B199" i="6"/>
  <c r="V199" i="6" s="1"/>
  <c r="B199" i="11"/>
  <c r="V199" i="11" s="1"/>
  <c r="B200" i="5"/>
  <c r="J200" i="5" l="1"/>
  <c r="X200" i="5"/>
  <c r="Z201" i="5"/>
  <c r="V201" i="5" s="1"/>
  <c r="B200" i="11"/>
  <c r="V200" i="11" s="1"/>
  <c r="B200" i="6"/>
  <c r="V200" i="6" s="1"/>
  <c r="B201" i="5"/>
  <c r="J201" i="5" l="1"/>
  <c r="X201" i="5"/>
  <c r="Z202" i="5"/>
  <c r="V202" i="5" s="1"/>
  <c r="B201" i="6"/>
  <c r="V201" i="6" s="1"/>
  <c r="B202" i="5"/>
  <c r="B201" i="11"/>
  <c r="V201" i="11" s="1"/>
  <c r="J202" i="5" l="1"/>
  <c r="X202" i="5"/>
  <c r="Z203" i="5"/>
  <c r="V203" i="5" s="1"/>
  <c r="B203" i="5"/>
  <c r="B202" i="11"/>
  <c r="V202" i="11" s="1"/>
  <c r="B202" i="6"/>
  <c r="V202" i="6" s="1"/>
  <c r="J203" i="5" l="1"/>
  <c r="X203" i="5"/>
  <c r="Z204" i="5"/>
  <c r="V204" i="5" s="1"/>
  <c r="B203" i="6"/>
  <c r="V203" i="6" s="1"/>
  <c r="B204" i="5"/>
  <c r="B203" i="11"/>
  <c r="V203" i="11" s="1"/>
  <c r="J204" i="5" l="1"/>
  <c r="X204" i="5"/>
  <c r="Z205" i="5"/>
  <c r="V205" i="5" s="1"/>
  <c r="B204" i="11"/>
  <c r="V204" i="11" s="1"/>
  <c r="B204" i="6"/>
  <c r="V204" i="6" s="1"/>
  <c r="B205" i="5"/>
  <c r="J205" i="5" l="1"/>
  <c r="X205" i="5"/>
  <c r="Z206" i="5"/>
  <c r="V206" i="5" s="1"/>
  <c r="B205" i="6"/>
  <c r="V205" i="6" s="1"/>
  <c r="B206" i="5"/>
  <c r="B205" i="11"/>
  <c r="V205" i="11" s="1"/>
  <c r="J206" i="5" l="1"/>
  <c r="X206" i="5"/>
  <c r="Z207" i="5"/>
  <c r="V207" i="5" s="1"/>
  <c r="B206" i="6"/>
  <c r="V206" i="6" s="1"/>
  <c r="B207" i="5"/>
  <c r="B206" i="11"/>
  <c r="V206" i="11" s="1"/>
  <c r="J207" i="5" l="1"/>
  <c r="X207" i="5"/>
  <c r="Z208" i="5"/>
  <c r="V208" i="5" s="1"/>
  <c r="B207" i="11"/>
  <c r="V207" i="11" s="1"/>
  <c r="B208" i="5"/>
  <c r="B207" i="6"/>
  <c r="V207" i="6" s="1"/>
  <c r="J208" i="5" l="1"/>
  <c r="X208" i="5"/>
  <c r="Z209" i="5"/>
  <c r="V209" i="5" s="1"/>
  <c r="B208" i="11"/>
  <c r="V208" i="11" s="1"/>
  <c r="B208" i="6"/>
  <c r="V208" i="6" s="1"/>
  <c r="B209" i="5"/>
  <c r="J209" i="5" l="1"/>
  <c r="X209" i="5"/>
  <c r="Z210" i="5"/>
  <c r="V210" i="5" s="1"/>
  <c r="B209" i="11"/>
  <c r="V209" i="11" s="1"/>
  <c r="B209" i="6"/>
  <c r="V209" i="6" s="1"/>
  <c r="B210" i="5"/>
  <c r="J210" i="5" l="1"/>
  <c r="X210" i="5"/>
  <c r="Z211" i="5"/>
  <c r="V211" i="5" s="1"/>
  <c r="B210" i="11"/>
  <c r="V210" i="11" s="1"/>
  <c r="B211" i="5"/>
  <c r="B210" i="6"/>
  <c r="V210" i="6" s="1"/>
  <c r="J211" i="5" l="1"/>
  <c r="X211" i="5"/>
  <c r="Z212" i="5"/>
  <c r="V212" i="5" s="1"/>
  <c r="B211" i="6"/>
  <c r="V211" i="6" s="1"/>
  <c r="B212" i="5"/>
  <c r="B211" i="11"/>
  <c r="V211" i="11" s="1"/>
  <c r="J212" i="5" l="1"/>
  <c r="X212" i="5"/>
  <c r="Z213" i="5"/>
  <c r="V213" i="5" s="1"/>
  <c r="B212" i="6"/>
  <c r="V212" i="6" s="1"/>
  <c r="B212" i="11"/>
  <c r="V212" i="11" s="1"/>
  <c r="B213" i="5"/>
  <c r="J213" i="5" l="1"/>
  <c r="X213" i="5"/>
  <c r="Z214" i="5"/>
  <c r="V214" i="5" s="1"/>
  <c r="B213" i="11"/>
  <c r="V213" i="11" s="1"/>
  <c r="B213" i="6"/>
  <c r="V213" i="6" s="1"/>
  <c r="B214" i="5"/>
  <c r="J214" i="5" l="1"/>
  <c r="X214" i="5"/>
  <c r="Z215" i="5"/>
  <c r="V215" i="5" s="1"/>
  <c r="B215" i="5"/>
  <c r="B214" i="11"/>
  <c r="V214" i="11" s="1"/>
  <c r="B214" i="6"/>
  <c r="V214" i="6" s="1"/>
  <c r="J215" i="5" l="1"/>
  <c r="X215" i="5"/>
  <c r="Z216" i="5"/>
  <c r="V216" i="5" s="1"/>
  <c r="B215" i="11"/>
  <c r="V215" i="11" s="1"/>
  <c r="B215" i="6"/>
  <c r="V215" i="6" s="1"/>
  <c r="B216" i="5"/>
  <c r="J216" i="5" l="1"/>
  <c r="X216" i="5"/>
  <c r="Z217" i="5"/>
  <c r="V217" i="5" s="1"/>
  <c r="B216" i="11"/>
  <c r="V216" i="11" s="1"/>
  <c r="B216" i="6"/>
  <c r="V216" i="6" s="1"/>
  <c r="B217" i="5"/>
  <c r="J217" i="5" l="1"/>
  <c r="X217" i="5"/>
  <c r="Z218" i="5"/>
  <c r="V218" i="5" s="1"/>
  <c r="B217" i="11"/>
  <c r="V217" i="11" s="1"/>
  <c r="B217" i="6"/>
  <c r="V217" i="6" s="1"/>
  <c r="B218" i="5"/>
  <c r="J218" i="5" l="1"/>
  <c r="X218" i="5"/>
  <c r="Z219" i="5"/>
  <c r="V219" i="5" s="1"/>
  <c r="B219" i="5"/>
  <c r="B218" i="6"/>
  <c r="V218" i="6" s="1"/>
  <c r="B218" i="11"/>
  <c r="V218" i="11" s="1"/>
  <c r="J219" i="5" l="1"/>
  <c r="X219" i="5"/>
  <c r="Z220" i="5"/>
  <c r="V220" i="5" s="1"/>
  <c r="B219" i="6"/>
  <c r="V219" i="6" s="1"/>
  <c r="B220" i="5"/>
  <c r="B219" i="11"/>
  <c r="V219" i="11" s="1"/>
  <c r="J220" i="5" l="1"/>
  <c r="X220" i="5"/>
  <c r="Z221" i="5"/>
  <c r="V221" i="5" s="1"/>
  <c r="B221" i="5"/>
  <c r="B220" i="11"/>
  <c r="V220" i="11" s="1"/>
  <c r="B220" i="6"/>
  <c r="V220" i="6" s="1"/>
  <c r="J221" i="5" l="1"/>
  <c r="X221" i="5"/>
  <c r="Z222" i="5"/>
  <c r="V222" i="5" s="1"/>
  <c r="B221" i="11"/>
  <c r="V221" i="11" s="1"/>
  <c r="B222" i="5"/>
  <c r="B221" i="6"/>
  <c r="V221" i="6" s="1"/>
  <c r="J222" i="5" l="1"/>
  <c r="X222" i="5"/>
  <c r="Z223" i="5"/>
  <c r="V223" i="5" s="1"/>
  <c r="B223" i="5"/>
  <c r="B222" i="11"/>
  <c r="V222" i="11" s="1"/>
  <c r="B222" i="6"/>
  <c r="V222" i="6" s="1"/>
  <c r="J223" i="5" l="1"/>
  <c r="X223" i="5"/>
  <c r="Z224" i="5"/>
  <c r="V224" i="5" s="1"/>
  <c r="B223" i="6"/>
  <c r="V223" i="6" s="1"/>
  <c r="B224" i="5"/>
  <c r="B223" i="11"/>
  <c r="V223" i="11" s="1"/>
  <c r="J224" i="5" l="1"/>
  <c r="X224" i="5"/>
  <c r="Z225" i="5"/>
  <c r="V225" i="5" s="1"/>
  <c r="B224" i="11"/>
  <c r="V224" i="11" s="1"/>
  <c r="B224" i="6"/>
  <c r="V224" i="6" s="1"/>
  <c r="B225" i="5"/>
  <c r="J225" i="5" l="1"/>
  <c r="X225" i="5"/>
  <c r="Z226" i="5"/>
  <c r="V226" i="5" s="1"/>
  <c r="B225" i="6"/>
  <c r="V225" i="6" s="1"/>
  <c r="B226" i="5"/>
  <c r="B225" i="11"/>
  <c r="V225" i="11" s="1"/>
  <c r="J226" i="5" l="1"/>
  <c r="X226" i="5"/>
  <c r="Z227" i="5"/>
  <c r="V227" i="5" s="1"/>
  <c r="B227" i="5"/>
  <c r="B226" i="11"/>
  <c r="V226" i="11" s="1"/>
  <c r="B226" i="6"/>
  <c r="V226" i="6" s="1"/>
  <c r="J227" i="5" l="1"/>
  <c r="X227" i="5"/>
  <c r="Z228" i="5"/>
  <c r="V228" i="5" s="1"/>
  <c r="B227" i="6"/>
  <c r="V227" i="6" s="1"/>
  <c r="B227" i="11"/>
  <c r="V227" i="11" s="1"/>
  <c r="B228" i="5"/>
  <c r="J228" i="5" l="1"/>
  <c r="X228" i="5"/>
  <c r="Z229" i="5"/>
  <c r="V229" i="5" s="1"/>
  <c r="B228" i="6"/>
  <c r="V228" i="6" s="1"/>
  <c r="B229" i="5"/>
  <c r="B228" i="11"/>
  <c r="V228" i="11" s="1"/>
  <c r="J229" i="5" l="1"/>
  <c r="X229" i="5"/>
  <c r="Z230" i="5"/>
  <c r="V230" i="5" s="1"/>
  <c r="B230" i="5"/>
  <c r="B229" i="6"/>
  <c r="V229" i="6" s="1"/>
  <c r="B229" i="11"/>
  <c r="V229" i="11" s="1"/>
  <c r="J230" i="5" l="1"/>
  <c r="X230" i="5"/>
  <c r="Z231" i="5"/>
  <c r="V231" i="5" s="1"/>
  <c r="B231" i="5"/>
  <c r="B230" i="6"/>
  <c r="V230" i="6" s="1"/>
  <c r="B230" i="11"/>
  <c r="V230" i="11" s="1"/>
  <c r="J231" i="5" l="1"/>
  <c r="X231" i="5"/>
  <c r="Z232" i="5"/>
  <c r="V232" i="5" s="1"/>
  <c r="B231" i="6"/>
  <c r="V231" i="6" s="1"/>
  <c r="B231" i="11"/>
  <c r="V231" i="11" s="1"/>
  <c r="B232" i="5"/>
  <c r="J232" i="5" l="1"/>
  <c r="X232" i="5"/>
  <c r="Z233" i="5"/>
  <c r="V233" i="5" s="1"/>
  <c r="B233" i="5"/>
  <c r="B232" i="6"/>
  <c r="V232" i="6" s="1"/>
  <c r="B232" i="11"/>
  <c r="V232" i="11" s="1"/>
  <c r="J233" i="5" l="1"/>
  <c r="X233" i="5"/>
  <c r="Z234" i="5"/>
  <c r="V234" i="5" s="1"/>
  <c r="B233" i="6"/>
  <c r="V233" i="6" s="1"/>
  <c r="B234" i="5"/>
  <c r="B233" i="11"/>
  <c r="V233" i="11" s="1"/>
  <c r="J234" i="5" l="1"/>
  <c r="X234" i="5"/>
  <c r="Z235" i="5"/>
  <c r="V235" i="5" s="1"/>
  <c r="B235" i="5"/>
  <c r="B234" i="6"/>
  <c r="V234" i="6" s="1"/>
  <c r="B234" i="11"/>
  <c r="V234" i="11" s="1"/>
  <c r="J235" i="5" l="1"/>
  <c r="X235" i="5"/>
  <c r="Z236" i="5"/>
  <c r="V236" i="5" s="1"/>
  <c r="B235" i="6"/>
  <c r="V235" i="6" s="1"/>
  <c r="B236" i="5"/>
  <c r="B235" i="11"/>
  <c r="V235" i="11" s="1"/>
  <c r="J236" i="5" l="1"/>
  <c r="X236" i="5"/>
  <c r="Z237" i="5"/>
  <c r="V237" i="5" s="1"/>
  <c r="B236" i="11"/>
  <c r="V236" i="11" s="1"/>
  <c r="B237" i="5"/>
  <c r="B236" i="6"/>
  <c r="V236" i="6" s="1"/>
  <c r="J237" i="5" l="1"/>
  <c r="X237" i="5"/>
  <c r="Z238" i="5"/>
  <c r="V238" i="5" s="1"/>
  <c r="B238" i="5"/>
  <c r="B237" i="6"/>
  <c r="V237" i="6" s="1"/>
  <c r="B237" i="11"/>
  <c r="V237" i="11" s="1"/>
  <c r="J238" i="5" l="1"/>
  <c r="X238" i="5"/>
  <c r="Z239" i="5"/>
  <c r="V239" i="5" s="1"/>
  <c r="B239" i="5"/>
  <c r="B238" i="11"/>
  <c r="V238" i="11" s="1"/>
  <c r="B238" i="6"/>
  <c r="V238" i="6" s="1"/>
  <c r="J239" i="5" l="1"/>
  <c r="X239" i="5"/>
  <c r="Z240" i="5"/>
  <c r="V240" i="5" s="1"/>
  <c r="B239" i="11"/>
  <c r="V239" i="11" s="1"/>
  <c r="B240" i="5"/>
  <c r="B239" i="6"/>
  <c r="V239" i="6" s="1"/>
  <c r="J240" i="5" l="1"/>
  <c r="X240" i="5"/>
  <c r="Z241" i="5"/>
  <c r="V241" i="5" s="1"/>
  <c r="B240" i="6"/>
  <c r="V240" i="6" s="1"/>
  <c r="B240" i="11"/>
  <c r="V240" i="11" s="1"/>
  <c r="B241" i="5"/>
  <c r="J241" i="5" l="1"/>
  <c r="X241" i="5"/>
  <c r="Z242" i="5"/>
  <c r="V242" i="5" s="1"/>
  <c r="B241" i="6"/>
  <c r="V241" i="6" s="1"/>
  <c r="B242" i="5"/>
  <c r="B241" i="11"/>
  <c r="V241" i="11" s="1"/>
  <c r="J242" i="5" l="1"/>
  <c r="X242" i="5"/>
  <c r="Z243" i="5"/>
  <c r="V243" i="5" s="1"/>
  <c r="B242" i="11"/>
  <c r="V242" i="11" s="1"/>
  <c r="B243" i="5"/>
  <c r="B242" i="6"/>
  <c r="V242" i="6" s="1"/>
  <c r="J243" i="5" l="1"/>
  <c r="X243" i="5"/>
  <c r="Z244" i="5"/>
  <c r="V244" i="5" s="1"/>
  <c r="B243" i="11"/>
  <c r="V243" i="11" s="1"/>
  <c r="B244" i="5"/>
  <c r="B243" i="6"/>
  <c r="V243" i="6" s="1"/>
  <c r="J244" i="5" l="1"/>
  <c r="X244" i="5"/>
  <c r="Z245" i="5"/>
  <c r="V245" i="5" s="1"/>
  <c r="B244" i="6"/>
  <c r="V244" i="6" s="1"/>
  <c r="B245" i="5"/>
  <c r="B244" i="11"/>
  <c r="V244" i="11" s="1"/>
  <c r="J245" i="5" l="1"/>
  <c r="X245" i="5"/>
  <c r="Z246" i="5"/>
  <c r="V246" i="5" s="1"/>
  <c r="B245" i="11"/>
  <c r="V245" i="11" s="1"/>
  <c r="B246" i="5"/>
  <c r="B245" i="6"/>
  <c r="V245" i="6" s="1"/>
  <c r="J246" i="5" l="1"/>
  <c r="X246" i="5"/>
  <c r="Z247" i="5"/>
  <c r="V247" i="5" s="1"/>
  <c r="B247" i="5"/>
  <c r="B246" i="6"/>
  <c r="V246" i="6" s="1"/>
  <c r="B246" i="11"/>
  <c r="V246" i="11" s="1"/>
  <c r="J247" i="5" l="1"/>
  <c r="X247" i="5"/>
  <c r="Z248" i="5"/>
  <c r="V248" i="5" s="1"/>
  <c r="B247" i="6"/>
  <c r="V247" i="6" s="1"/>
  <c r="B248" i="5"/>
  <c r="B247" i="11"/>
  <c r="V247" i="11" s="1"/>
  <c r="J248" i="5" l="1"/>
  <c r="X248" i="5"/>
  <c r="Z249" i="5"/>
  <c r="V249" i="5" s="1"/>
  <c r="B248" i="11"/>
  <c r="V248" i="11" s="1"/>
  <c r="B248" i="6"/>
  <c r="V248" i="6" s="1"/>
  <c r="B249" i="5"/>
  <c r="J249" i="5" l="1"/>
  <c r="X249" i="5"/>
  <c r="Z250" i="5"/>
  <c r="V250" i="5" s="1"/>
  <c r="B249" i="11"/>
  <c r="V249" i="11" s="1"/>
  <c r="B250" i="5"/>
  <c r="B249" i="6"/>
  <c r="V249" i="6" s="1"/>
  <c r="J250" i="5" l="1"/>
  <c r="X250" i="5"/>
  <c r="Z251" i="5"/>
  <c r="V251" i="5" s="1"/>
  <c r="B250" i="11"/>
  <c r="V250" i="11" s="1"/>
  <c r="B251" i="5"/>
  <c r="B250" i="6"/>
  <c r="V250" i="6" s="1"/>
  <c r="J251" i="5" l="1"/>
  <c r="X251" i="5"/>
  <c r="Z252" i="5"/>
  <c r="V252" i="5" s="1"/>
  <c r="B251" i="11"/>
  <c r="V251" i="11" s="1"/>
  <c r="B252" i="5"/>
  <c r="B251" i="6"/>
  <c r="V251" i="6" s="1"/>
  <c r="J252" i="5" l="1"/>
  <c r="X252" i="5"/>
  <c r="Z253" i="5"/>
  <c r="V253" i="5" s="1"/>
  <c r="B253" i="5"/>
  <c r="B252" i="11"/>
  <c r="V252" i="11" s="1"/>
  <c r="B252" i="6"/>
  <c r="V252" i="6" s="1"/>
  <c r="J253" i="5" l="1"/>
  <c r="X253" i="5"/>
  <c r="Z254" i="5"/>
  <c r="V254" i="5" s="1"/>
  <c r="B254" i="5"/>
  <c r="B253" i="6"/>
  <c r="V253" i="6" s="1"/>
  <c r="B253" i="11"/>
  <c r="V253" i="11" s="1"/>
  <c r="J254" i="5" l="1"/>
  <c r="X254" i="5"/>
  <c r="Z255" i="5"/>
  <c r="V255" i="5" s="1"/>
  <c r="B255" i="5"/>
  <c r="B254" i="11"/>
  <c r="V254" i="11" s="1"/>
  <c r="B254" i="6"/>
  <c r="V254" i="6" s="1"/>
  <c r="J255" i="5" l="1"/>
  <c r="X255" i="5"/>
  <c r="Z256" i="5"/>
  <c r="V256" i="5" s="1"/>
  <c r="B255" i="11"/>
  <c r="V255" i="11" s="1"/>
  <c r="B256" i="5"/>
  <c r="B255" i="6"/>
  <c r="V255" i="6" s="1"/>
  <c r="J256" i="5" l="1"/>
  <c r="X256" i="5"/>
  <c r="Z257" i="5"/>
  <c r="V257" i="5" s="1"/>
  <c r="B256" i="11"/>
  <c r="V256" i="11" s="1"/>
  <c r="B256" i="6"/>
  <c r="V256" i="6" s="1"/>
  <c r="B257" i="5"/>
  <c r="J257" i="5" l="1"/>
  <c r="X257" i="5"/>
  <c r="Z258" i="5"/>
  <c r="V258" i="5" s="1"/>
  <c r="B257" i="11"/>
  <c r="V257" i="11" s="1"/>
  <c r="B258" i="5"/>
  <c r="B257" i="6"/>
  <c r="V257" i="6" s="1"/>
  <c r="J258" i="5" l="1"/>
  <c r="X258" i="5"/>
  <c r="Z259" i="5"/>
  <c r="V259" i="5" s="1"/>
  <c r="B258" i="11"/>
  <c r="V258" i="11" s="1"/>
  <c r="B258" i="6"/>
  <c r="V258" i="6" s="1"/>
  <c r="B259" i="5"/>
  <c r="J259" i="5" l="1"/>
  <c r="X259" i="5"/>
  <c r="Z260" i="5"/>
  <c r="V260" i="5" s="1"/>
  <c r="B259" i="6"/>
  <c r="V259" i="6" s="1"/>
  <c r="B260" i="5"/>
  <c r="B259" i="11"/>
  <c r="V259" i="11" s="1"/>
  <c r="J260" i="5" l="1"/>
  <c r="X260" i="5"/>
  <c r="Z261" i="5"/>
  <c r="V261" i="5" s="1"/>
  <c r="B260" i="6"/>
  <c r="V260" i="6" s="1"/>
  <c r="B261" i="5"/>
  <c r="B260" i="11"/>
  <c r="V260" i="11" s="1"/>
  <c r="J261" i="5" l="1"/>
  <c r="X261" i="5"/>
  <c r="Z262" i="5"/>
  <c r="V262" i="5" s="1"/>
  <c r="B261" i="11"/>
  <c r="V261" i="11" s="1"/>
  <c r="B262" i="5"/>
  <c r="B261" i="6"/>
  <c r="V261" i="6" s="1"/>
  <c r="J262" i="5" l="1"/>
  <c r="X262" i="5"/>
  <c r="Z263" i="5"/>
  <c r="V263" i="5" s="1"/>
  <c r="B262" i="11"/>
  <c r="V262" i="11" s="1"/>
  <c r="B263" i="5"/>
  <c r="B262" i="6"/>
  <c r="V262" i="6" s="1"/>
  <c r="J263" i="5" l="1"/>
  <c r="X263" i="5"/>
  <c r="Z264" i="5"/>
  <c r="V264" i="5" s="1"/>
  <c r="B263" i="6"/>
  <c r="V263" i="6" s="1"/>
  <c r="B264" i="5"/>
  <c r="B263" i="11"/>
  <c r="V263" i="11" s="1"/>
  <c r="J264" i="5" l="1"/>
  <c r="X264" i="5"/>
  <c r="Z265" i="5"/>
  <c r="V265" i="5" s="1"/>
  <c r="B264" i="6"/>
  <c r="V264" i="6" s="1"/>
  <c r="B264" i="11"/>
  <c r="V264" i="11" s="1"/>
  <c r="B265" i="5"/>
  <c r="J265" i="5" l="1"/>
  <c r="X265" i="5"/>
  <c r="Z266" i="5"/>
  <c r="V266" i="5" s="1"/>
  <c r="B265" i="6"/>
  <c r="V265" i="6" s="1"/>
  <c r="B266" i="5"/>
  <c r="B265" i="11"/>
  <c r="V265" i="11" s="1"/>
  <c r="J266" i="5" l="1"/>
  <c r="X266" i="5"/>
  <c r="Z267" i="5"/>
  <c r="V267" i="5" s="1"/>
  <c r="B266" i="6"/>
  <c r="V266" i="6" s="1"/>
  <c r="B266" i="11"/>
  <c r="V266" i="11" s="1"/>
  <c r="B267" i="5"/>
  <c r="J267" i="5" l="1"/>
  <c r="X267" i="5"/>
  <c r="Z268" i="5"/>
  <c r="V268" i="5" s="1"/>
  <c r="B267" i="6"/>
  <c r="V267" i="6" s="1"/>
  <c r="B267" i="11"/>
  <c r="V267" i="11" s="1"/>
  <c r="B268" i="5"/>
  <c r="J268" i="5" l="1"/>
  <c r="X268" i="5"/>
  <c r="Z269" i="5"/>
  <c r="V269" i="5" s="1"/>
  <c r="B268" i="6"/>
  <c r="V268" i="6" s="1"/>
  <c r="B269" i="5"/>
  <c r="B268" i="11"/>
  <c r="V268" i="11" s="1"/>
  <c r="J269" i="5" l="1"/>
  <c r="X269" i="5"/>
  <c r="Z270" i="5"/>
  <c r="V270" i="5" s="1"/>
  <c r="B269" i="6"/>
  <c r="V269" i="6" s="1"/>
  <c r="B270" i="5"/>
  <c r="B269" i="11"/>
  <c r="V269" i="11" s="1"/>
  <c r="J270" i="5" l="1"/>
  <c r="X270" i="5"/>
  <c r="Z271" i="5"/>
  <c r="V271" i="5" s="1"/>
  <c r="B270" i="6"/>
  <c r="V270" i="6" s="1"/>
  <c r="B271" i="5"/>
  <c r="B270" i="11"/>
  <c r="V270" i="11" s="1"/>
  <c r="J271" i="5" l="1"/>
  <c r="X271" i="5"/>
  <c r="Z272" i="5"/>
  <c r="V272" i="5" s="1"/>
  <c r="B271" i="11"/>
  <c r="V271" i="11" s="1"/>
  <c r="B272" i="5"/>
  <c r="B271" i="6"/>
  <c r="V271" i="6" s="1"/>
  <c r="J272" i="5" l="1"/>
  <c r="X272" i="5"/>
  <c r="Z273" i="5"/>
  <c r="V273" i="5" s="1"/>
  <c r="B272" i="11"/>
  <c r="V272" i="11" s="1"/>
  <c r="B272" i="6"/>
  <c r="V272" i="6" s="1"/>
  <c r="B273" i="5"/>
  <c r="J273" i="5" l="1"/>
  <c r="X273" i="5"/>
  <c r="Z274" i="5"/>
  <c r="V274" i="5" s="1"/>
  <c r="B273" i="6"/>
  <c r="V273" i="6" s="1"/>
  <c r="B274" i="5"/>
  <c r="B273" i="11"/>
  <c r="V273" i="11" s="1"/>
  <c r="J274" i="5" l="1"/>
  <c r="X274" i="5"/>
  <c r="Z275" i="5"/>
  <c r="V275" i="5" s="1"/>
  <c r="B275" i="5"/>
  <c r="B274" i="11"/>
  <c r="V274" i="11" s="1"/>
  <c r="B274" i="6"/>
  <c r="V274" i="6" s="1"/>
  <c r="J275" i="5" l="1"/>
  <c r="X275" i="5"/>
  <c r="Z276" i="5"/>
  <c r="V276" i="5" s="1"/>
  <c r="B275" i="11"/>
  <c r="V275" i="11" s="1"/>
  <c r="B276" i="5"/>
  <c r="B275" i="6"/>
  <c r="V275" i="6" s="1"/>
  <c r="J276" i="5" l="1"/>
  <c r="X276" i="5"/>
  <c r="Z277" i="5"/>
  <c r="V277" i="5" s="1"/>
  <c r="B276" i="11"/>
  <c r="V276" i="11" s="1"/>
  <c r="B277" i="5"/>
  <c r="B276" i="6"/>
  <c r="V276" i="6" s="1"/>
  <c r="J277" i="5" l="1"/>
  <c r="X277" i="5"/>
  <c r="Z278" i="5"/>
  <c r="V278" i="5" s="1"/>
  <c r="B277" i="6"/>
  <c r="V277" i="6" s="1"/>
  <c r="B278" i="5"/>
  <c r="B277" i="11"/>
  <c r="V277" i="11" s="1"/>
  <c r="J278" i="5" l="1"/>
  <c r="X278" i="5"/>
  <c r="Z279" i="5"/>
  <c r="V279" i="5" s="1"/>
  <c r="B279" i="5"/>
  <c r="B278" i="6"/>
  <c r="V278" i="6" s="1"/>
  <c r="B278" i="11"/>
  <c r="V278" i="11" s="1"/>
  <c r="J279" i="5" l="1"/>
  <c r="X279" i="5"/>
  <c r="Z280" i="5"/>
  <c r="V280" i="5" s="1"/>
  <c r="B279" i="11"/>
  <c r="V279" i="11" s="1"/>
  <c r="B280" i="5"/>
  <c r="B279" i="6"/>
  <c r="V279" i="6" s="1"/>
  <c r="J280" i="5" l="1"/>
  <c r="X280" i="5"/>
  <c r="Z281" i="5"/>
  <c r="V281" i="5" s="1"/>
  <c r="B280" i="11"/>
  <c r="V280" i="11" s="1"/>
  <c r="B280" i="6"/>
  <c r="V280" i="6" s="1"/>
  <c r="B281" i="5"/>
  <c r="J281" i="5" l="1"/>
  <c r="X281" i="5"/>
  <c r="Z282" i="5"/>
  <c r="V282" i="5" s="1"/>
  <c r="B281" i="6"/>
  <c r="V281" i="6" s="1"/>
  <c r="B282" i="5"/>
  <c r="B281" i="11"/>
  <c r="V281" i="11" s="1"/>
  <c r="J282" i="5" l="1"/>
  <c r="X282" i="5"/>
  <c r="Z283" i="5"/>
  <c r="V283" i="5" s="1"/>
  <c r="B282" i="11"/>
  <c r="V282" i="11" s="1"/>
  <c r="B282" i="6"/>
  <c r="V282" i="6" s="1"/>
  <c r="B283" i="5"/>
  <c r="J283" i="5" l="1"/>
  <c r="X283" i="5"/>
  <c r="Z284" i="5"/>
  <c r="V284" i="5" s="1"/>
  <c r="B283" i="6"/>
  <c r="V283" i="6" s="1"/>
  <c r="B283" i="11"/>
  <c r="V283" i="11" s="1"/>
  <c r="B284" i="5"/>
  <c r="J284" i="5" l="1"/>
  <c r="X284" i="5"/>
  <c r="Z285" i="5"/>
  <c r="V285" i="5" s="1"/>
  <c r="B284" i="11"/>
  <c r="V284" i="11" s="1"/>
  <c r="B285" i="5"/>
  <c r="B284" i="6"/>
  <c r="V284" i="6" s="1"/>
  <c r="J285" i="5" l="1"/>
  <c r="X285" i="5"/>
  <c r="Z286" i="5"/>
  <c r="V286" i="5" s="1"/>
  <c r="B286" i="5"/>
  <c r="B285" i="11"/>
  <c r="V285" i="11" s="1"/>
  <c r="B285" i="6"/>
  <c r="V285" i="6" s="1"/>
  <c r="J286" i="5" l="1"/>
  <c r="X286" i="5"/>
  <c r="Z287" i="5"/>
  <c r="V287" i="5" s="1"/>
  <c r="B287" i="5"/>
  <c r="B286" i="11"/>
  <c r="V286" i="11" s="1"/>
  <c r="B286" i="6"/>
  <c r="V286" i="6" s="1"/>
  <c r="J287" i="5" l="1"/>
  <c r="X287" i="5"/>
  <c r="Z288" i="5"/>
  <c r="V288" i="5" s="1"/>
  <c r="B287" i="11"/>
  <c r="V287" i="11" s="1"/>
  <c r="B288" i="5"/>
  <c r="B287" i="6"/>
  <c r="V287" i="6" s="1"/>
  <c r="J288" i="5" l="1"/>
  <c r="X288" i="5"/>
  <c r="Z289" i="5"/>
  <c r="V289" i="5" s="1"/>
  <c r="B288" i="6"/>
  <c r="V288" i="6" s="1"/>
  <c r="B289" i="5"/>
  <c r="B288" i="11"/>
  <c r="V288" i="11" s="1"/>
  <c r="J289" i="5" l="1"/>
  <c r="X289" i="5"/>
  <c r="Z290" i="5"/>
  <c r="V290" i="5" s="1"/>
  <c r="B289" i="11"/>
  <c r="V289" i="11" s="1"/>
  <c r="B290" i="5"/>
  <c r="B289" i="6"/>
  <c r="V289" i="6" s="1"/>
  <c r="J290" i="5" l="1"/>
  <c r="X290" i="5"/>
  <c r="Z291" i="5"/>
  <c r="V291" i="5" s="1"/>
  <c r="B291" i="5"/>
  <c r="B290" i="11"/>
  <c r="V290" i="11" s="1"/>
  <c r="B290" i="6"/>
  <c r="V290" i="6" s="1"/>
  <c r="J291" i="5" l="1"/>
  <c r="X291" i="5"/>
  <c r="Z292" i="5"/>
  <c r="V292" i="5" s="1"/>
  <c r="B291" i="6"/>
  <c r="V291" i="6" s="1"/>
  <c r="B292" i="5"/>
  <c r="B291" i="11"/>
  <c r="V291" i="11" s="1"/>
  <c r="J292" i="5" l="1"/>
  <c r="X292" i="5"/>
  <c r="Z293" i="5"/>
  <c r="V293" i="5" s="1"/>
  <c r="B292" i="11"/>
  <c r="V292" i="11" s="1"/>
  <c r="B293" i="5"/>
  <c r="B292" i="6"/>
  <c r="V292" i="6" s="1"/>
  <c r="J293" i="5" l="1"/>
  <c r="X293" i="5"/>
  <c r="Z294" i="5"/>
  <c r="V294" i="5" s="1"/>
  <c r="B293" i="11"/>
  <c r="V293" i="11" s="1"/>
  <c r="B294" i="5"/>
  <c r="B293" i="6"/>
  <c r="V293" i="6" s="1"/>
  <c r="J294" i="5" l="1"/>
  <c r="X294" i="5"/>
  <c r="Z295" i="5"/>
  <c r="V295" i="5" s="1"/>
  <c r="B295" i="5"/>
  <c r="B294" i="6"/>
  <c r="V294" i="6" s="1"/>
  <c r="B294" i="11"/>
  <c r="V294" i="11" s="1"/>
  <c r="J295" i="5" l="1"/>
  <c r="X295" i="5"/>
  <c r="Z296" i="5"/>
  <c r="V296" i="5" s="1"/>
  <c r="B295" i="6"/>
  <c r="V295" i="6" s="1"/>
  <c r="B295" i="11"/>
  <c r="V295" i="11" s="1"/>
  <c r="B296" i="5"/>
  <c r="J296" i="5" l="1"/>
  <c r="X296" i="5"/>
  <c r="Z297" i="5"/>
  <c r="V297" i="5" s="1"/>
  <c r="B296" i="11"/>
  <c r="V296" i="11" s="1"/>
  <c r="B297" i="5"/>
  <c r="B296" i="6"/>
  <c r="V296" i="6" s="1"/>
  <c r="J297" i="5" l="1"/>
  <c r="X297" i="5"/>
  <c r="Z298" i="5"/>
  <c r="V298" i="5" s="1"/>
  <c r="B298" i="5"/>
  <c r="B297" i="11"/>
  <c r="V297" i="11" s="1"/>
  <c r="B297" i="6"/>
  <c r="V297" i="6" s="1"/>
  <c r="J298" i="5" l="1"/>
  <c r="X298" i="5"/>
  <c r="Z299" i="5"/>
  <c r="V299" i="5" s="1"/>
  <c r="B299" i="5"/>
  <c r="B298" i="11"/>
  <c r="V298" i="11" s="1"/>
  <c r="B298" i="6"/>
  <c r="V298" i="6" s="1"/>
  <c r="J299" i="5" l="1"/>
  <c r="X299" i="5"/>
  <c r="Z300" i="5"/>
  <c r="V300" i="5" s="1"/>
  <c r="B299" i="6"/>
  <c r="V299" i="6" s="1"/>
  <c r="B300" i="5"/>
  <c r="B299" i="11"/>
  <c r="V299" i="11" s="1"/>
  <c r="J300" i="5" l="1"/>
  <c r="X300" i="5"/>
  <c r="Z301" i="5"/>
  <c r="V301" i="5" s="1"/>
  <c r="B300" i="6"/>
  <c r="V300" i="6" s="1"/>
  <c r="B300" i="11"/>
  <c r="V300" i="11" s="1"/>
  <c r="B301" i="5"/>
  <c r="J301" i="5" l="1"/>
  <c r="X301" i="5"/>
  <c r="Z302" i="5"/>
  <c r="V302" i="5" s="1"/>
  <c r="B301" i="11"/>
  <c r="V301" i="11" s="1"/>
  <c r="B302" i="5"/>
  <c r="B301" i="6"/>
  <c r="V301" i="6" s="1"/>
  <c r="J302" i="5" l="1"/>
  <c r="X302" i="5"/>
  <c r="Z303" i="5"/>
  <c r="V303" i="5" s="1"/>
  <c r="B302" i="6"/>
  <c r="V302" i="6" s="1"/>
  <c r="B302" i="11"/>
  <c r="V302" i="11" s="1"/>
  <c r="B303" i="5"/>
  <c r="J303" i="5" l="1"/>
  <c r="X303" i="5"/>
  <c r="Z304" i="5"/>
  <c r="V304" i="5" s="1"/>
  <c r="B303" i="6"/>
  <c r="V303" i="6" s="1"/>
  <c r="B304" i="5"/>
  <c r="B303" i="11"/>
  <c r="V303" i="11" s="1"/>
  <c r="J304" i="5" l="1"/>
  <c r="X304" i="5"/>
  <c r="Z305" i="5"/>
  <c r="V305" i="5" s="1"/>
  <c r="B304" i="11"/>
  <c r="V304" i="11" s="1"/>
  <c r="B305" i="5"/>
  <c r="B304" i="6"/>
  <c r="V304" i="6" s="1"/>
  <c r="J305" i="5" l="1"/>
  <c r="X305" i="5"/>
  <c r="Z306" i="5"/>
  <c r="V306" i="5" s="1"/>
  <c r="B305" i="6"/>
  <c r="V305" i="6" s="1"/>
  <c r="B305" i="11"/>
  <c r="V305" i="11" s="1"/>
  <c r="B306" i="5"/>
  <c r="J306" i="5" l="1"/>
  <c r="X306" i="5"/>
  <c r="Z307" i="5"/>
  <c r="V307" i="5" s="1"/>
  <c r="B306" i="6"/>
  <c r="V306" i="6" s="1"/>
  <c r="B307" i="5"/>
  <c r="B306" i="11"/>
  <c r="V306" i="11" s="1"/>
  <c r="J307" i="5" l="1"/>
  <c r="X307" i="5"/>
  <c r="Z308" i="5"/>
  <c r="V308" i="5" s="1"/>
  <c r="B307" i="6"/>
  <c r="V307" i="6" s="1"/>
  <c r="B308" i="5"/>
  <c r="B307" i="11"/>
  <c r="V307" i="11" s="1"/>
  <c r="J308" i="5" l="1"/>
  <c r="X308" i="5"/>
  <c r="Z309" i="5"/>
  <c r="V309" i="5" s="1"/>
  <c r="B309" i="5"/>
  <c r="B308" i="6"/>
  <c r="V308" i="6" s="1"/>
  <c r="B308" i="11"/>
  <c r="V308" i="11" s="1"/>
  <c r="J309" i="5" l="1"/>
  <c r="X309" i="5"/>
  <c r="Z310" i="5"/>
  <c r="V310" i="5" s="1"/>
  <c r="B309" i="11"/>
  <c r="V309" i="11" s="1"/>
  <c r="B310" i="5"/>
  <c r="B309" i="6"/>
  <c r="V309" i="6" s="1"/>
  <c r="J310" i="5" l="1"/>
  <c r="X310" i="5"/>
  <c r="Z311" i="5"/>
  <c r="V311" i="5" s="1"/>
  <c r="B310" i="6"/>
  <c r="V310" i="6" s="1"/>
  <c r="B311" i="5"/>
  <c r="B310" i="11"/>
  <c r="V310" i="11" s="1"/>
  <c r="J311" i="5" l="1"/>
  <c r="X311" i="5"/>
  <c r="Z312" i="5"/>
  <c r="V312" i="5" s="1"/>
  <c r="B311" i="6"/>
  <c r="V311" i="6" s="1"/>
  <c r="B311" i="11"/>
  <c r="V311" i="11" s="1"/>
  <c r="B312" i="5"/>
  <c r="J312" i="5" l="1"/>
  <c r="X312" i="5"/>
  <c r="Z313" i="5"/>
  <c r="V313" i="5" s="1"/>
  <c r="B313" i="5"/>
  <c r="B312" i="11"/>
  <c r="V312" i="11" s="1"/>
  <c r="B312" i="6"/>
  <c r="V312" i="6" s="1"/>
  <c r="J313" i="5" l="1"/>
  <c r="X313" i="5"/>
  <c r="Z314" i="5"/>
  <c r="V314" i="5" s="1"/>
  <c r="B313" i="6"/>
  <c r="V313" i="6" s="1"/>
  <c r="B314" i="5"/>
  <c r="B313" i="11"/>
  <c r="V313" i="11" s="1"/>
  <c r="J314" i="5" l="1"/>
  <c r="X314" i="5"/>
  <c r="Z315" i="5"/>
  <c r="V315" i="5" s="1"/>
  <c r="B315" i="5"/>
  <c r="B314" i="6"/>
  <c r="V314" i="6" s="1"/>
  <c r="B314" i="11"/>
  <c r="V314" i="11" s="1"/>
  <c r="J315" i="5" l="1"/>
  <c r="X315" i="5"/>
  <c r="Z316" i="5"/>
  <c r="V316" i="5" s="1"/>
  <c r="B315" i="6"/>
  <c r="V315" i="6" s="1"/>
  <c r="B316" i="5"/>
  <c r="B315" i="11"/>
  <c r="V315" i="11" s="1"/>
  <c r="J316" i="5" l="1"/>
  <c r="X316" i="5"/>
  <c r="Z317" i="5"/>
  <c r="V317" i="5" s="1"/>
  <c r="B316" i="6"/>
  <c r="V316" i="6" s="1"/>
  <c r="B316" i="11"/>
  <c r="V316" i="11" s="1"/>
  <c r="B317" i="5"/>
  <c r="J317" i="5" l="1"/>
  <c r="X317" i="5"/>
  <c r="Z318" i="5"/>
  <c r="V318" i="5" s="1"/>
  <c r="B317" i="6"/>
  <c r="V317" i="6" s="1"/>
  <c r="B318" i="5"/>
  <c r="B317" i="11"/>
  <c r="V317" i="11" s="1"/>
  <c r="J318" i="5" l="1"/>
  <c r="X318" i="5"/>
  <c r="Z319" i="5"/>
  <c r="V319" i="5" s="1"/>
  <c r="B318" i="11"/>
  <c r="V318" i="11" s="1"/>
  <c r="B319" i="5"/>
  <c r="B318" i="6"/>
  <c r="V318" i="6" s="1"/>
  <c r="J319" i="5" l="1"/>
  <c r="X319" i="5"/>
  <c r="Z320" i="5"/>
  <c r="V320" i="5" s="1"/>
  <c r="B319" i="6"/>
  <c r="V319" i="6" s="1"/>
  <c r="B320" i="5"/>
  <c r="B319" i="11"/>
  <c r="V319" i="11" s="1"/>
  <c r="J320" i="5" l="1"/>
  <c r="X320" i="5"/>
  <c r="Z321" i="5"/>
  <c r="V321" i="5" s="1"/>
  <c r="B320" i="11"/>
  <c r="V320" i="11" s="1"/>
  <c r="B321" i="5"/>
  <c r="B320" i="6"/>
  <c r="V320" i="6" s="1"/>
  <c r="J321" i="5" l="1"/>
  <c r="X321" i="5"/>
  <c r="Z322" i="5"/>
  <c r="V322" i="5" s="1"/>
  <c r="B321" i="11"/>
  <c r="V321" i="11" s="1"/>
  <c r="B322" i="5"/>
  <c r="B321" i="6"/>
  <c r="V321" i="6" s="1"/>
  <c r="J322" i="5" l="1"/>
  <c r="X322" i="5"/>
  <c r="Z323" i="5"/>
  <c r="V323" i="5" s="1"/>
  <c r="B323" i="5"/>
  <c r="B322" i="11"/>
  <c r="V322" i="11" s="1"/>
  <c r="B322" i="6"/>
  <c r="V322" i="6" s="1"/>
  <c r="J323" i="5" l="1"/>
  <c r="X323" i="5"/>
  <c r="Z324" i="5"/>
  <c r="V324" i="5" s="1"/>
  <c r="B323" i="6"/>
  <c r="V323" i="6" s="1"/>
  <c r="B324" i="5"/>
  <c r="B323" i="11"/>
  <c r="V323" i="11" s="1"/>
  <c r="J324" i="5" l="1"/>
  <c r="X324" i="5"/>
  <c r="Z325" i="5"/>
  <c r="V325" i="5" s="1"/>
  <c r="B324" i="11"/>
  <c r="V324" i="11" s="1"/>
  <c r="B324" i="6"/>
  <c r="V324" i="6" s="1"/>
  <c r="B325" i="5"/>
  <c r="J325" i="5" l="1"/>
  <c r="X325" i="5"/>
  <c r="Z326" i="5"/>
  <c r="V326" i="5" s="1"/>
  <c r="B326" i="5"/>
  <c r="B325" i="6"/>
  <c r="V325" i="6" s="1"/>
  <c r="B325" i="11"/>
  <c r="V325" i="11" s="1"/>
  <c r="J326" i="5" l="1"/>
  <c r="X326" i="5"/>
  <c r="Z327" i="5"/>
  <c r="V327" i="5" s="1"/>
  <c r="B327" i="5"/>
  <c r="B326" i="11"/>
  <c r="V326" i="11" s="1"/>
  <c r="B326" i="6"/>
  <c r="V326" i="6" s="1"/>
  <c r="J327" i="5" l="1"/>
  <c r="X327" i="5"/>
  <c r="Z328" i="5"/>
  <c r="V328" i="5" s="1"/>
  <c r="B327" i="11"/>
  <c r="V327" i="11" s="1"/>
  <c r="B328" i="5"/>
  <c r="B327" i="6"/>
  <c r="V327" i="6" s="1"/>
  <c r="J328" i="5" l="1"/>
  <c r="X328" i="5"/>
  <c r="Z329" i="5"/>
  <c r="V329" i="5" s="1"/>
  <c r="B328" i="11"/>
  <c r="V328" i="11" s="1"/>
  <c r="B329" i="5"/>
  <c r="B328" i="6"/>
  <c r="V328" i="6" s="1"/>
  <c r="J329" i="5" l="1"/>
  <c r="X329" i="5"/>
  <c r="Z330" i="5"/>
  <c r="V330" i="5" s="1"/>
  <c r="B330" i="5"/>
  <c r="B329" i="6"/>
  <c r="V329" i="6" s="1"/>
  <c r="B329" i="11"/>
  <c r="V329" i="11" s="1"/>
  <c r="J330" i="5" l="1"/>
  <c r="X330" i="5"/>
  <c r="Z331" i="5"/>
  <c r="V331" i="5" s="1"/>
  <c r="B331" i="5"/>
  <c r="B330" i="11"/>
  <c r="V330" i="11" s="1"/>
  <c r="B330" i="6"/>
  <c r="V330" i="6" s="1"/>
  <c r="J331" i="5" l="1"/>
  <c r="X331" i="5"/>
  <c r="Z332" i="5"/>
  <c r="V332" i="5" s="1"/>
  <c r="B331" i="6"/>
  <c r="V331" i="6" s="1"/>
  <c r="B332" i="5"/>
  <c r="B331" i="11"/>
  <c r="V331" i="11" s="1"/>
  <c r="J332" i="5" l="1"/>
  <c r="X332" i="5"/>
  <c r="Z333" i="5"/>
  <c r="V333" i="5" s="1"/>
  <c r="B332" i="6"/>
  <c r="V332" i="6" s="1"/>
  <c r="B332" i="11"/>
  <c r="V332" i="11" s="1"/>
  <c r="B333" i="5"/>
  <c r="J333" i="5" l="1"/>
  <c r="X333" i="5"/>
  <c r="Z334" i="5"/>
  <c r="V334" i="5" s="1"/>
  <c r="B333" i="11"/>
  <c r="V333" i="11" s="1"/>
  <c r="B334" i="5"/>
  <c r="B333" i="6"/>
  <c r="V333" i="6" s="1"/>
  <c r="J334" i="5" l="1"/>
  <c r="X334" i="5"/>
  <c r="Z335" i="5"/>
  <c r="V335" i="5" s="1"/>
  <c r="B335" i="5"/>
  <c r="B334" i="11"/>
  <c r="V334" i="11" s="1"/>
  <c r="B334" i="6"/>
  <c r="V334" i="6" s="1"/>
  <c r="J335" i="5" l="1"/>
  <c r="X335" i="5"/>
  <c r="Z336" i="5"/>
  <c r="V336" i="5" s="1"/>
  <c r="B335" i="11"/>
  <c r="V335" i="11" s="1"/>
  <c r="B336" i="5"/>
  <c r="B335" i="6"/>
  <c r="V335" i="6" s="1"/>
  <c r="J336" i="5" l="1"/>
  <c r="X336" i="5"/>
  <c r="Z337" i="5"/>
  <c r="V337" i="5" s="1"/>
  <c r="B336" i="11"/>
  <c r="V336" i="11" s="1"/>
  <c r="B337" i="5"/>
  <c r="B336" i="6"/>
  <c r="V336" i="6" s="1"/>
  <c r="J337" i="5" l="1"/>
  <c r="X337" i="5"/>
  <c r="Z338" i="5"/>
  <c r="V338" i="5" s="1"/>
  <c r="B337" i="6"/>
  <c r="V337" i="6" s="1"/>
  <c r="B338" i="5"/>
  <c r="B337" i="11"/>
  <c r="V337" i="11" s="1"/>
  <c r="J338" i="5" l="1"/>
  <c r="X338" i="5"/>
  <c r="Z339" i="5"/>
  <c r="V339" i="5" s="1"/>
  <c r="B339" i="5"/>
  <c r="B338" i="6"/>
  <c r="V338" i="6" s="1"/>
  <c r="B338" i="11"/>
  <c r="V338" i="11" s="1"/>
  <c r="J339" i="5" l="1"/>
  <c r="X339" i="5"/>
  <c r="Z340" i="5"/>
  <c r="V340" i="5" s="1"/>
  <c r="B339" i="11"/>
  <c r="V339" i="11" s="1"/>
  <c r="B340" i="5"/>
  <c r="B339" i="6"/>
  <c r="V339" i="6" s="1"/>
  <c r="J340" i="5" l="1"/>
  <c r="X340" i="5"/>
  <c r="Z341" i="5"/>
  <c r="V341" i="5" s="1"/>
  <c r="B340" i="6"/>
  <c r="V340" i="6" s="1"/>
  <c r="B340" i="11"/>
  <c r="V340" i="11" s="1"/>
  <c r="B341" i="5"/>
  <c r="J341" i="5" l="1"/>
  <c r="X341" i="5"/>
  <c r="Z342" i="5"/>
  <c r="V342" i="5" s="1"/>
  <c r="B341" i="11"/>
  <c r="V341" i="11" s="1"/>
  <c r="B342" i="5"/>
  <c r="B341" i="6"/>
  <c r="V341" i="6" s="1"/>
  <c r="J342" i="5" l="1"/>
  <c r="X342" i="5"/>
  <c r="Z343" i="5"/>
  <c r="V343" i="5" s="1"/>
  <c r="B343" i="5"/>
  <c r="B342" i="6"/>
  <c r="V342" i="6" s="1"/>
  <c r="B342" i="11"/>
  <c r="V342" i="11" s="1"/>
  <c r="J343" i="5" l="1"/>
  <c r="X343" i="5"/>
  <c r="Z344" i="5"/>
  <c r="V344" i="5" s="1"/>
  <c r="B343" i="11"/>
  <c r="V343" i="11" s="1"/>
  <c r="B344" i="5"/>
  <c r="B343" i="6"/>
  <c r="V343" i="6" s="1"/>
  <c r="J344" i="5" l="1"/>
  <c r="X344" i="5"/>
  <c r="Z345" i="5"/>
  <c r="V345" i="5" s="1"/>
  <c r="B345" i="5"/>
  <c r="B344" i="11"/>
  <c r="V344" i="11" s="1"/>
  <c r="B344" i="6"/>
  <c r="V344" i="6" s="1"/>
  <c r="J345" i="5" l="1"/>
  <c r="X345" i="5"/>
  <c r="Z346" i="5"/>
  <c r="V346" i="5" s="1"/>
  <c r="B345" i="6"/>
  <c r="V345" i="6" s="1"/>
  <c r="B346" i="5"/>
  <c r="B345" i="11"/>
  <c r="V345" i="11" s="1"/>
  <c r="J346" i="5" l="1"/>
  <c r="X346" i="5"/>
  <c r="Z347" i="5"/>
  <c r="V347" i="5" s="1"/>
  <c r="B347" i="5"/>
  <c r="B346" i="6"/>
  <c r="V346" i="6" s="1"/>
  <c r="B346" i="11"/>
  <c r="V346" i="11" s="1"/>
  <c r="J347" i="5" l="1"/>
  <c r="X347" i="5"/>
  <c r="Z348" i="5"/>
  <c r="V348" i="5" s="1"/>
  <c r="B347" i="11"/>
  <c r="V347" i="11" s="1"/>
  <c r="B348" i="5"/>
  <c r="B347" i="6"/>
  <c r="V347" i="6" s="1"/>
  <c r="J348" i="5" l="1"/>
  <c r="X348" i="5"/>
  <c r="Z349" i="5"/>
  <c r="V349" i="5" s="1"/>
  <c r="B348" i="11"/>
  <c r="V348" i="11" s="1"/>
  <c r="B348" i="6"/>
  <c r="V348" i="6" s="1"/>
  <c r="B349" i="5"/>
  <c r="J349" i="5" l="1"/>
  <c r="X349" i="5"/>
  <c r="Z350" i="5"/>
  <c r="V350" i="5" s="1"/>
  <c r="B349" i="11"/>
  <c r="V349" i="11" s="1"/>
  <c r="B349" i="6"/>
  <c r="V349" i="6" s="1"/>
  <c r="B350" i="5"/>
  <c r="J350" i="5" l="1"/>
  <c r="X350" i="5"/>
  <c r="Z351" i="5"/>
  <c r="V351" i="5" s="1"/>
  <c r="B351" i="5"/>
  <c r="B350" i="11"/>
  <c r="V350" i="11" s="1"/>
  <c r="B350" i="6"/>
  <c r="V350" i="6" s="1"/>
  <c r="J351" i="5" l="1"/>
  <c r="X351" i="5"/>
  <c r="Z352" i="5"/>
  <c r="V352" i="5" s="1"/>
  <c r="B351" i="11"/>
  <c r="V351" i="11" s="1"/>
  <c r="B351" i="6"/>
  <c r="V351" i="6" s="1"/>
  <c r="B352" i="5"/>
  <c r="J352" i="5" l="1"/>
  <c r="X352" i="5"/>
  <c r="Z353" i="5"/>
  <c r="V353" i="5" s="1"/>
  <c r="B352" i="11"/>
  <c r="V352" i="11" s="1"/>
  <c r="B353" i="5"/>
  <c r="B352" i="6"/>
  <c r="V352" i="6" s="1"/>
  <c r="J353" i="5" l="1"/>
  <c r="X353" i="5"/>
  <c r="Z354" i="5"/>
  <c r="V354" i="5" s="1"/>
  <c r="B353" i="6"/>
  <c r="V353" i="6" s="1"/>
  <c r="B354" i="5"/>
  <c r="B353" i="11"/>
  <c r="V353" i="11" s="1"/>
  <c r="J354" i="5" l="1"/>
  <c r="X354" i="5"/>
  <c r="Z355" i="5"/>
  <c r="V355" i="5" s="1"/>
  <c r="B355" i="5"/>
  <c r="B354" i="11"/>
  <c r="V354" i="11" s="1"/>
  <c r="B354" i="6"/>
  <c r="V354" i="6" s="1"/>
  <c r="J355" i="5" l="1"/>
  <c r="X355" i="5"/>
  <c r="Z356" i="5"/>
  <c r="V356" i="5" s="1"/>
  <c r="B355" i="6"/>
  <c r="V355" i="6" s="1"/>
  <c r="B355" i="11"/>
  <c r="V355" i="11" s="1"/>
  <c r="B356" i="5"/>
  <c r="J356" i="5" l="1"/>
  <c r="X356" i="5"/>
  <c r="Z357" i="5"/>
  <c r="V357" i="5" s="1"/>
  <c r="B357" i="5"/>
  <c r="B356" i="6"/>
  <c r="V356" i="6" s="1"/>
  <c r="B356" i="11"/>
  <c r="V356" i="11" s="1"/>
  <c r="J357" i="5" l="1"/>
  <c r="X357" i="5"/>
  <c r="Z358" i="5"/>
  <c r="V358" i="5" s="1"/>
  <c r="B357" i="6"/>
  <c r="V357" i="6" s="1"/>
  <c r="B358" i="5"/>
  <c r="B357" i="11"/>
  <c r="V357" i="11" s="1"/>
  <c r="J358" i="5" l="1"/>
  <c r="X358" i="5"/>
  <c r="Z359" i="5"/>
  <c r="V359" i="5" s="1"/>
  <c r="B359" i="5"/>
  <c r="B358" i="11"/>
  <c r="V358" i="11" s="1"/>
  <c r="B358" i="6"/>
  <c r="V358" i="6" s="1"/>
  <c r="J359" i="5" l="1"/>
  <c r="X359" i="5"/>
  <c r="Z360" i="5"/>
  <c r="V360" i="5" s="1"/>
  <c r="B359" i="6"/>
  <c r="V359" i="6" s="1"/>
  <c r="B359" i="11"/>
  <c r="V359" i="11" s="1"/>
  <c r="B360" i="5"/>
  <c r="J360" i="5" l="1"/>
  <c r="X360" i="5"/>
  <c r="Z361" i="5"/>
  <c r="V361" i="5" s="1"/>
  <c r="B360" i="6"/>
  <c r="V360" i="6" s="1"/>
  <c r="B361" i="5"/>
  <c r="B360" i="11"/>
  <c r="V360" i="11" s="1"/>
  <c r="J361" i="5" l="1"/>
  <c r="X361" i="5"/>
  <c r="Z362" i="5"/>
  <c r="V362" i="5" s="1"/>
  <c r="B361" i="11"/>
  <c r="V361" i="11" s="1"/>
  <c r="B361" i="6"/>
  <c r="V361" i="6" s="1"/>
  <c r="B362" i="5"/>
  <c r="J362" i="5" l="1"/>
  <c r="X362" i="5"/>
  <c r="Z363" i="5"/>
  <c r="V363" i="5" s="1"/>
  <c r="B362" i="6"/>
  <c r="V362" i="6" s="1"/>
  <c r="B362" i="11"/>
  <c r="V362" i="11" s="1"/>
  <c r="B363" i="5"/>
  <c r="J363" i="5" l="1"/>
  <c r="X363" i="5"/>
  <c r="Z364" i="5"/>
  <c r="V364" i="5" s="1"/>
  <c r="B363" i="11"/>
  <c r="V363" i="11" s="1"/>
  <c r="B364" i="5"/>
  <c r="B363" i="6"/>
  <c r="V363" i="6" s="1"/>
  <c r="J364" i="5" l="1"/>
  <c r="X364" i="5"/>
  <c r="Z365" i="5"/>
  <c r="V365" i="5" s="1"/>
  <c r="B364" i="6"/>
  <c r="V364" i="6" s="1"/>
  <c r="B365" i="5"/>
  <c r="B364" i="11"/>
  <c r="V364" i="11" s="1"/>
  <c r="J365" i="5" l="1"/>
  <c r="X365" i="5"/>
  <c r="Z366" i="5"/>
  <c r="V366" i="5" s="1"/>
  <c r="B365" i="6"/>
  <c r="V365" i="6" s="1"/>
  <c r="B365" i="11"/>
  <c r="V365" i="11" s="1"/>
  <c r="B366" i="5"/>
  <c r="J366" i="5" l="1"/>
  <c r="X366" i="5"/>
  <c r="Z367" i="5"/>
  <c r="V367" i="5" s="1"/>
  <c r="B366" i="11"/>
  <c r="V366" i="11" s="1"/>
  <c r="B366" i="6"/>
  <c r="V366" i="6" s="1"/>
  <c r="B367" i="5"/>
  <c r="J367" i="5" l="1"/>
  <c r="X367" i="5"/>
  <c r="Z368" i="5"/>
  <c r="V368" i="5" s="1"/>
  <c r="B367" i="11"/>
  <c r="V367" i="11" s="1"/>
  <c r="B368" i="5"/>
  <c r="B367" i="6"/>
  <c r="V367" i="6" s="1"/>
  <c r="J368" i="5" l="1"/>
  <c r="X368" i="5"/>
  <c r="Z369" i="5"/>
  <c r="V369" i="5" s="1"/>
  <c r="B368" i="11"/>
  <c r="V368" i="11" s="1"/>
  <c r="B369" i="5"/>
  <c r="B368" i="6"/>
  <c r="V368" i="6" s="1"/>
  <c r="J369" i="5" l="1"/>
  <c r="X369" i="5"/>
  <c r="Z370" i="5"/>
  <c r="V370" i="5" s="1"/>
  <c r="B369" i="6"/>
  <c r="V369" i="6" s="1"/>
  <c r="B370" i="5"/>
  <c r="B369" i="11"/>
  <c r="V369" i="11" s="1"/>
  <c r="J370" i="5" l="1"/>
  <c r="X370" i="5"/>
  <c r="Z371" i="5"/>
  <c r="V371" i="5" s="1"/>
  <c r="B371" i="5"/>
  <c r="B370" i="11"/>
  <c r="V370" i="11" s="1"/>
  <c r="B370" i="6"/>
  <c r="V370" i="6" s="1"/>
  <c r="J371" i="5" l="1"/>
  <c r="X371" i="5"/>
  <c r="Z372" i="5"/>
  <c r="V372" i="5" s="1"/>
  <c r="B371" i="11"/>
  <c r="V371" i="11" s="1"/>
  <c r="B372" i="5"/>
  <c r="B371" i="6"/>
  <c r="V371" i="6" s="1"/>
  <c r="J372" i="5" l="1"/>
  <c r="X372" i="5"/>
  <c r="Z373" i="5"/>
  <c r="V373" i="5" s="1"/>
  <c r="B372" i="11"/>
  <c r="V372" i="11" s="1"/>
  <c r="B372" i="6"/>
  <c r="V372" i="6" s="1"/>
  <c r="B373" i="5"/>
  <c r="J373" i="5" l="1"/>
  <c r="X373" i="5"/>
  <c r="Z374" i="5"/>
  <c r="V374" i="5" s="1"/>
  <c r="B373" i="11"/>
  <c r="V373" i="11" s="1"/>
  <c r="B373" i="6"/>
  <c r="V373" i="6" s="1"/>
  <c r="B374" i="5"/>
  <c r="J374" i="5" l="1"/>
  <c r="X374" i="5"/>
  <c r="Z375" i="5"/>
  <c r="V375" i="5" s="1"/>
  <c r="B375" i="5"/>
  <c r="B374" i="11"/>
  <c r="V374" i="11" s="1"/>
  <c r="B374" i="6"/>
  <c r="V374" i="6" s="1"/>
  <c r="J375" i="5" l="1"/>
  <c r="X375" i="5"/>
  <c r="Z376" i="5"/>
  <c r="V376" i="5" s="1"/>
  <c r="B375" i="6"/>
  <c r="V375" i="6" s="1"/>
  <c r="B376" i="5"/>
  <c r="B375" i="11"/>
  <c r="V375" i="11" s="1"/>
  <c r="J376" i="5" l="1"/>
  <c r="X376" i="5"/>
  <c r="Z377" i="5"/>
  <c r="V377" i="5" s="1"/>
  <c r="B376" i="11"/>
  <c r="V376" i="11" s="1"/>
  <c r="B377" i="5"/>
  <c r="B376" i="6"/>
  <c r="V376" i="6" s="1"/>
  <c r="J377" i="5" l="1"/>
  <c r="X377" i="5"/>
  <c r="Z378" i="5"/>
  <c r="V378" i="5" s="1"/>
  <c r="B377" i="11"/>
  <c r="V377" i="11" s="1"/>
  <c r="B378" i="5"/>
  <c r="B377" i="6"/>
  <c r="V377" i="6" s="1"/>
  <c r="J378" i="5" l="1"/>
  <c r="X378" i="5"/>
  <c r="Z379" i="5"/>
  <c r="V379" i="5" s="1"/>
  <c r="B379" i="5"/>
  <c r="B378" i="11"/>
  <c r="V378" i="11" s="1"/>
  <c r="B378" i="6"/>
  <c r="V378" i="6" s="1"/>
  <c r="J379" i="5" l="1"/>
  <c r="X379" i="5"/>
  <c r="Z380" i="5"/>
  <c r="V380" i="5" s="1"/>
  <c r="B379" i="6"/>
  <c r="V379" i="6" s="1"/>
  <c r="B380" i="5"/>
  <c r="B379" i="11"/>
  <c r="V379" i="11" s="1"/>
  <c r="J380" i="5" l="1"/>
  <c r="X380" i="5"/>
  <c r="Z381" i="5"/>
  <c r="V381" i="5" s="1"/>
  <c r="B380" i="6"/>
  <c r="V380" i="6" s="1"/>
  <c r="B381" i="5"/>
  <c r="B380" i="11"/>
  <c r="V380" i="11" s="1"/>
  <c r="J381" i="5" l="1"/>
  <c r="X381" i="5"/>
  <c r="Z382" i="5"/>
  <c r="V382" i="5" s="1"/>
  <c r="B381" i="6"/>
  <c r="V381" i="6" s="1"/>
  <c r="B382" i="5"/>
  <c r="B381" i="11"/>
  <c r="V381" i="11" s="1"/>
  <c r="J382" i="5" l="1"/>
  <c r="X382" i="5"/>
  <c r="Z383" i="5"/>
  <c r="V383" i="5" s="1"/>
  <c r="B383" i="5"/>
  <c r="B382" i="11"/>
  <c r="V382" i="11" s="1"/>
  <c r="B382" i="6"/>
  <c r="V382" i="6" s="1"/>
  <c r="J383" i="5" l="1"/>
  <c r="X383" i="5"/>
  <c r="Z384" i="5"/>
  <c r="V384" i="5" s="1"/>
  <c r="B383" i="11"/>
  <c r="V383" i="11" s="1"/>
  <c r="B384" i="5"/>
  <c r="B383" i="6"/>
  <c r="V383" i="6" s="1"/>
  <c r="J384" i="5" l="1"/>
  <c r="X384" i="5"/>
  <c r="Z385" i="5"/>
  <c r="V385" i="5" s="1"/>
  <c r="B384" i="11"/>
  <c r="V384" i="11" s="1"/>
  <c r="B385" i="5"/>
  <c r="B384" i="6"/>
  <c r="V384" i="6" s="1"/>
  <c r="J385" i="5" l="1"/>
  <c r="X385" i="5"/>
  <c r="Z386" i="5"/>
  <c r="V386" i="5" s="1"/>
  <c r="B385" i="6"/>
  <c r="V385" i="6" s="1"/>
  <c r="B386" i="5"/>
  <c r="B385" i="11"/>
  <c r="V385" i="11" s="1"/>
  <c r="J386" i="5" l="1"/>
  <c r="X386" i="5"/>
  <c r="Z387" i="5"/>
  <c r="V387" i="5" s="1"/>
  <c r="B386" i="6"/>
  <c r="V386" i="6" s="1"/>
  <c r="B386" i="11"/>
  <c r="V386" i="11" s="1"/>
  <c r="B387" i="5"/>
  <c r="J387" i="5" l="1"/>
  <c r="X387" i="5"/>
  <c r="Z388" i="5"/>
  <c r="V388" i="5" s="1"/>
  <c r="B387" i="6"/>
  <c r="V387" i="6" s="1"/>
  <c r="B388" i="5"/>
  <c r="B387" i="11"/>
  <c r="V387" i="11" s="1"/>
  <c r="J388" i="5" l="1"/>
  <c r="X388" i="5"/>
  <c r="Z389" i="5"/>
  <c r="V389" i="5" s="1"/>
  <c r="B388" i="11"/>
  <c r="V388" i="11" s="1"/>
  <c r="B388" i="6"/>
  <c r="V388" i="6" s="1"/>
  <c r="B389" i="5"/>
  <c r="J389" i="5" l="1"/>
  <c r="X389" i="5"/>
  <c r="Z390" i="5"/>
  <c r="V390" i="5" s="1"/>
  <c r="B389" i="6"/>
  <c r="V389" i="6" s="1"/>
  <c r="B390" i="5"/>
  <c r="B389" i="11"/>
  <c r="V389" i="11" s="1"/>
  <c r="J390" i="5" l="1"/>
  <c r="X390" i="5"/>
  <c r="Z391" i="5"/>
  <c r="V391" i="5" s="1"/>
  <c r="B391" i="5"/>
  <c r="B390" i="11"/>
  <c r="V390" i="11" s="1"/>
  <c r="B390" i="6"/>
  <c r="V390" i="6" s="1"/>
  <c r="J391" i="5" l="1"/>
  <c r="X391" i="5"/>
  <c r="Z392" i="5"/>
  <c r="V392" i="5" s="1"/>
  <c r="B391" i="6"/>
  <c r="V391" i="6" s="1"/>
  <c r="B392" i="5"/>
  <c r="B391" i="11"/>
  <c r="V391" i="11" s="1"/>
  <c r="J392" i="5" l="1"/>
  <c r="X392" i="5"/>
  <c r="Z393" i="5"/>
  <c r="V393" i="5" s="1"/>
  <c r="B392" i="11"/>
  <c r="V392" i="11" s="1"/>
  <c r="B393" i="5"/>
  <c r="B392" i="6"/>
  <c r="V392" i="6" s="1"/>
  <c r="J393" i="5" l="1"/>
  <c r="X393" i="5"/>
  <c r="Z394" i="5"/>
  <c r="V394" i="5" s="1"/>
  <c r="B393" i="6"/>
  <c r="V393" i="6" s="1"/>
  <c r="B394" i="5"/>
  <c r="B393" i="11"/>
  <c r="V393" i="11" s="1"/>
  <c r="J394" i="5" l="1"/>
  <c r="X394" i="5"/>
  <c r="Z395" i="5"/>
  <c r="V395" i="5" s="1"/>
  <c r="B395" i="5"/>
  <c r="B394" i="6"/>
  <c r="V394" i="6" s="1"/>
  <c r="B394" i="11"/>
  <c r="V394" i="11" s="1"/>
  <c r="J395" i="5" l="1"/>
  <c r="X395" i="5"/>
  <c r="Z396" i="5"/>
  <c r="V396" i="5" s="1"/>
  <c r="B395" i="6"/>
  <c r="V395" i="6" s="1"/>
  <c r="B396" i="5"/>
  <c r="B395" i="11"/>
  <c r="V395" i="11" s="1"/>
  <c r="J396" i="5" l="1"/>
  <c r="X396" i="5"/>
  <c r="Z397" i="5"/>
  <c r="V397" i="5" s="1"/>
  <c r="B396" i="11"/>
  <c r="V396" i="11" s="1"/>
  <c r="B396" i="6"/>
  <c r="V396" i="6" s="1"/>
  <c r="B397" i="5"/>
  <c r="J397" i="5" l="1"/>
  <c r="X397" i="5"/>
  <c r="Z398" i="5"/>
  <c r="V398" i="5" s="1"/>
  <c r="B397" i="6"/>
  <c r="V397" i="6" s="1"/>
  <c r="B398" i="5"/>
  <c r="B397" i="11"/>
  <c r="V397" i="11" s="1"/>
  <c r="J398" i="5" l="1"/>
  <c r="X398" i="5"/>
  <c r="Z399" i="5"/>
  <c r="V399" i="5" s="1"/>
  <c r="B399" i="5"/>
  <c r="B398" i="11"/>
  <c r="V398" i="11" s="1"/>
  <c r="B398" i="6"/>
  <c r="V398" i="6" s="1"/>
  <c r="J399" i="5" l="1"/>
  <c r="X399" i="5"/>
  <c r="Z400" i="5"/>
  <c r="V400" i="5" s="1"/>
  <c r="B399" i="6"/>
  <c r="V399" i="6" s="1"/>
  <c r="B399" i="11"/>
  <c r="V399" i="11" s="1"/>
  <c r="B400" i="5"/>
  <c r="J400" i="5" l="1"/>
  <c r="X400" i="5"/>
  <c r="Z401" i="5"/>
  <c r="V401" i="5" s="1"/>
  <c r="B400" i="11"/>
  <c r="V400" i="11" s="1"/>
  <c r="B401" i="5"/>
  <c r="B400" i="6"/>
  <c r="V400" i="6" s="1"/>
  <c r="J401" i="5" l="1"/>
  <c r="X401" i="5"/>
  <c r="Z402" i="5"/>
  <c r="V402" i="5" s="1"/>
  <c r="B401" i="6"/>
  <c r="V401" i="6" s="1"/>
  <c r="B402" i="5"/>
  <c r="B401" i="11"/>
  <c r="V401" i="11" s="1"/>
  <c r="J402" i="5" l="1"/>
  <c r="X402" i="5"/>
  <c r="Z403" i="5"/>
  <c r="V403" i="5" s="1"/>
  <c r="B403" i="5"/>
  <c r="B402" i="11"/>
  <c r="V402" i="11" s="1"/>
  <c r="B402" i="6"/>
  <c r="V402" i="6" s="1"/>
  <c r="J403" i="5" l="1"/>
  <c r="X403" i="5"/>
  <c r="Z404" i="5"/>
  <c r="V404" i="5" s="1"/>
  <c r="B403" i="6"/>
  <c r="V403" i="6" s="1"/>
  <c r="B404" i="5"/>
  <c r="B403" i="11"/>
  <c r="V403" i="11" s="1"/>
  <c r="J404" i="5" l="1"/>
  <c r="X404" i="5"/>
  <c r="Z405" i="5"/>
  <c r="V405" i="5" s="1"/>
  <c r="B404" i="6"/>
  <c r="V404" i="6" s="1"/>
  <c r="B404" i="11"/>
  <c r="V404" i="11" s="1"/>
  <c r="B405" i="5"/>
  <c r="J405" i="5" l="1"/>
  <c r="X405" i="5"/>
  <c r="Z406" i="5"/>
  <c r="V406" i="5" s="1"/>
  <c r="B405" i="11"/>
  <c r="V405" i="11" s="1"/>
  <c r="B406" i="5"/>
  <c r="B405" i="6"/>
  <c r="V405" i="6" s="1"/>
  <c r="J406" i="5" l="1"/>
  <c r="X406" i="5"/>
  <c r="Z407" i="5"/>
  <c r="V407" i="5" s="1"/>
  <c r="B407" i="5"/>
  <c r="B406" i="11"/>
  <c r="V406" i="11" s="1"/>
  <c r="B406" i="6"/>
  <c r="V406" i="6" s="1"/>
  <c r="J407" i="5" l="1"/>
  <c r="X407" i="5"/>
  <c r="Z408" i="5"/>
  <c r="V408" i="5" s="1"/>
  <c r="B407" i="6"/>
  <c r="V407" i="6" s="1"/>
  <c r="B408" i="5"/>
  <c r="B407" i="11"/>
  <c r="V407" i="11" s="1"/>
  <c r="J408" i="5" l="1"/>
  <c r="X408" i="5"/>
  <c r="Z409" i="5"/>
  <c r="V409" i="5" s="1"/>
  <c r="B408" i="11"/>
  <c r="V408" i="11" s="1"/>
  <c r="B409" i="5"/>
  <c r="B408" i="6"/>
  <c r="V408" i="6" s="1"/>
  <c r="J409" i="5" l="1"/>
  <c r="X409" i="5"/>
  <c r="Z410" i="5"/>
  <c r="V410" i="5" s="1"/>
  <c r="B410" i="5"/>
  <c r="B409" i="6"/>
  <c r="V409" i="6" s="1"/>
  <c r="B409" i="11"/>
  <c r="V409" i="11" s="1"/>
  <c r="J410" i="5" l="1"/>
  <c r="X410" i="5"/>
  <c r="Z411" i="5"/>
  <c r="V411" i="5" s="1"/>
  <c r="B411" i="5"/>
  <c r="B410" i="11"/>
  <c r="V410" i="11" s="1"/>
  <c r="B410" i="6"/>
  <c r="V410" i="6" s="1"/>
  <c r="J411" i="5" l="1"/>
  <c r="X411" i="5"/>
  <c r="Z412" i="5"/>
  <c r="V412" i="5" s="1"/>
  <c r="B411" i="6"/>
  <c r="V411" i="6" s="1"/>
  <c r="B412" i="5"/>
  <c r="B411" i="11"/>
  <c r="V411" i="11" s="1"/>
  <c r="J412" i="5" l="1"/>
  <c r="X412" i="5"/>
  <c r="Z413" i="5"/>
  <c r="V413" i="5" s="1"/>
  <c r="B412" i="11"/>
  <c r="V412" i="11" s="1"/>
  <c r="B412" i="6"/>
  <c r="V412" i="6" s="1"/>
  <c r="B413" i="5"/>
  <c r="J413" i="5" l="1"/>
  <c r="X413" i="5"/>
  <c r="Z414" i="5"/>
  <c r="V414" i="5" s="1"/>
  <c r="B413" i="11"/>
  <c r="V413" i="11" s="1"/>
  <c r="B414" i="5"/>
  <c r="B413" i="6"/>
  <c r="V413" i="6" s="1"/>
  <c r="J414" i="5" l="1"/>
  <c r="X414" i="5"/>
  <c r="Z415" i="5"/>
  <c r="V415" i="5" s="1"/>
  <c r="B415" i="5"/>
  <c r="B414" i="11"/>
  <c r="V414" i="11" s="1"/>
  <c r="B414" i="6"/>
  <c r="V414" i="6" s="1"/>
  <c r="J415" i="5" l="1"/>
  <c r="X415" i="5"/>
  <c r="Z416" i="5"/>
  <c r="V416" i="5" s="1"/>
  <c r="B415" i="11"/>
  <c r="V415" i="11" s="1"/>
  <c r="B416" i="5"/>
  <c r="B415" i="6"/>
  <c r="V415" i="6" s="1"/>
  <c r="J416" i="5" l="1"/>
  <c r="X416" i="5"/>
  <c r="Z417" i="5"/>
  <c r="V417" i="5" s="1"/>
  <c r="B416" i="11"/>
  <c r="V416" i="11" s="1"/>
  <c r="B417" i="5"/>
  <c r="B416" i="6"/>
  <c r="V416" i="6" s="1"/>
  <c r="J417" i="5" l="1"/>
  <c r="X417" i="5"/>
  <c r="Z418" i="5"/>
  <c r="V418" i="5" s="1"/>
  <c r="B417" i="11"/>
  <c r="V417" i="11" s="1"/>
  <c r="B417" i="6"/>
  <c r="V417" i="6" s="1"/>
  <c r="B418" i="5"/>
  <c r="J418" i="5" l="1"/>
  <c r="X418" i="5"/>
  <c r="Z419" i="5"/>
  <c r="V419" i="5" s="1"/>
  <c r="B419" i="5"/>
  <c r="B418" i="11"/>
  <c r="V418" i="11" s="1"/>
  <c r="B418" i="6"/>
  <c r="V418" i="6" s="1"/>
  <c r="J419" i="5" l="1"/>
  <c r="X419" i="5"/>
  <c r="Z420" i="5"/>
  <c r="V420" i="5" s="1"/>
  <c r="B419" i="11"/>
  <c r="V419" i="11" s="1"/>
  <c r="B420" i="5"/>
  <c r="B419" i="6"/>
  <c r="V419" i="6" s="1"/>
  <c r="J420" i="5" l="1"/>
  <c r="X420" i="5"/>
  <c r="Z421" i="5"/>
  <c r="V421" i="5" s="1"/>
  <c r="B421" i="5"/>
  <c r="B420" i="6"/>
  <c r="V420" i="6" s="1"/>
  <c r="B420" i="11"/>
  <c r="V420" i="11" s="1"/>
  <c r="J421" i="5" l="1"/>
  <c r="X421" i="5"/>
  <c r="Z422" i="5"/>
  <c r="V422" i="5" s="1"/>
  <c r="B421" i="11"/>
  <c r="V421" i="11" s="1"/>
  <c r="B422" i="5"/>
  <c r="B421" i="6"/>
  <c r="V421" i="6" s="1"/>
  <c r="J422" i="5" l="1"/>
  <c r="X422" i="5"/>
  <c r="Z423" i="5"/>
  <c r="V423" i="5" s="1"/>
  <c r="B423" i="5"/>
  <c r="B422" i="6"/>
  <c r="V422" i="6" s="1"/>
  <c r="B422" i="11"/>
  <c r="V422" i="11" s="1"/>
  <c r="J423" i="5" l="1"/>
  <c r="X423" i="5"/>
  <c r="Z424" i="5"/>
  <c r="V424" i="5" s="1"/>
  <c r="B423" i="6"/>
  <c r="V423" i="6" s="1"/>
  <c r="B424" i="5"/>
  <c r="B423" i="11"/>
  <c r="V423" i="11" s="1"/>
  <c r="J424" i="5" l="1"/>
  <c r="X424" i="5"/>
  <c r="Z425" i="5"/>
  <c r="V425" i="5" s="1"/>
  <c r="B424" i="6"/>
  <c r="V424" i="6" s="1"/>
  <c r="B425" i="5"/>
  <c r="B424" i="11"/>
  <c r="V424" i="11" s="1"/>
  <c r="J425" i="5" l="1"/>
  <c r="X425" i="5"/>
  <c r="Z426" i="5"/>
  <c r="V426" i="5" s="1"/>
  <c r="B425" i="11"/>
  <c r="V425" i="11" s="1"/>
  <c r="B426" i="5"/>
  <c r="B425" i="6"/>
  <c r="V425" i="6" s="1"/>
  <c r="J426" i="5" l="1"/>
  <c r="X426" i="5"/>
  <c r="Z427" i="5"/>
  <c r="V427" i="5" s="1"/>
  <c r="B427" i="5"/>
  <c r="B426" i="11"/>
  <c r="V426" i="11" s="1"/>
  <c r="B426" i="6"/>
  <c r="V426" i="6" s="1"/>
  <c r="J427" i="5" l="1"/>
  <c r="X427" i="5"/>
  <c r="Z428" i="5"/>
  <c r="V428" i="5" s="1"/>
  <c r="B427" i="6"/>
  <c r="V427" i="6" s="1"/>
  <c r="B427" i="11"/>
  <c r="V427" i="11" s="1"/>
  <c r="B428" i="5"/>
  <c r="J428" i="5" l="1"/>
  <c r="X428" i="5"/>
  <c r="Z429" i="5"/>
  <c r="V429" i="5" s="1"/>
  <c r="B428" i="6"/>
  <c r="V428" i="6" s="1"/>
  <c r="B429" i="5"/>
  <c r="B428" i="11"/>
  <c r="V428" i="11" s="1"/>
  <c r="J429" i="5" l="1"/>
  <c r="X429" i="5"/>
  <c r="Z430" i="5"/>
  <c r="V430" i="5" s="1"/>
  <c r="B429" i="6"/>
  <c r="V429" i="6" s="1"/>
  <c r="B430" i="5"/>
  <c r="B429" i="11"/>
  <c r="V429" i="11" s="1"/>
  <c r="J430" i="5" l="1"/>
  <c r="X430" i="5"/>
  <c r="Z431" i="5"/>
  <c r="V431" i="5" s="1"/>
  <c r="B431" i="5"/>
  <c r="B430" i="6"/>
  <c r="V430" i="6" s="1"/>
  <c r="B430" i="11"/>
  <c r="V430" i="11" s="1"/>
  <c r="J431" i="5" l="1"/>
  <c r="X431" i="5"/>
  <c r="Z432" i="5"/>
  <c r="V432" i="5" s="1"/>
  <c r="B431" i="11"/>
  <c r="V431" i="11" s="1"/>
  <c r="B431" i="6"/>
  <c r="V431" i="6" s="1"/>
  <c r="B432" i="5"/>
  <c r="J432" i="5" l="1"/>
  <c r="X432" i="5"/>
  <c r="Z433" i="5"/>
  <c r="V433" i="5" s="1"/>
  <c r="B432" i="11"/>
  <c r="V432" i="11" s="1"/>
  <c r="B433" i="5"/>
  <c r="B432" i="6"/>
  <c r="V432" i="6" s="1"/>
  <c r="J433" i="5" l="1"/>
  <c r="X433" i="5"/>
  <c r="Z434" i="5"/>
  <c r="V434" i="5" s="1"/>
  <c r="B433" i="6"/>
  <c r="V433" i="6" s="1"/>
  <c r="B434" i="5"/>
  <c r="B433" i="11"/>
  <c r="V433" i="11" s="1"/>
  <c r="J434" i="5" l="1"/>
  <c r="X434" i="5"/>
  <c r="Z435" i="5"/>
  <c r="V435" i="5" s="1"/>
  <c r="B435" i="5"/>
  <c r="B434" i="11"/>
  <c r="V434" i="11" s="1"/>
  <c r="B434" i="6"/>
  <c r="V434" i="6" s="1"/>
  <c r="J435" i="5" l="1"/>
  <c r="X435" i="5"/>
  <c r="Z436" i="5"/>
  <c r="V436" i="5" s="1"/>
  <c r="B435" i="6"/>
  <c r="V435" i="6" s="1"/>
  <c r="B436" i="5"/>
  <c r="B435" i="11"/>
  <c r="V435" i="11" s="1"/>
  <c r="J436" i="5" l="1"/>
  <c r="X436" i="5"/>
  <c r="Z437" i="5"/>
  <c r="V437" i="5" s="1"/>
  <c r="B436" i="6"/>
  <c r="V436" i="6" s="1"/>
  <c r="B436" i="11"/>
  <c r="V436" i="11" s="1"/>
  <c r="B437" i="5"/>
  <c r="J437" i="5" l="1"/>
  <c r="X437" i="5"/>
  <c r="Z438" i="5"/>
  <c r="V438" i="5" s="1"/>
  <c r="B437" i="6"/>
  <c r="V437" i="6" s="1"/>
  <c r="B438" i="5"/>
  <c r="B437" i="11"/>
  <c r="V437" i="11" s="1"/>
  <c r="J438" i="5" l="1"/>
  <c r="X438" i="5"/>
  <c r="Z439" i="5"/>
  <c r="V439" i="5" s="1"/>
  <c r="B438" i="11"/>
  <c r="V438" i="11" s="1"/>
  <c r="B438" i="6"/>
  <c r="V438" i="6" s="1"/>
  <c r="B439" i="5"/>
  <c r="J439" i="5" l="1"/>
  <c r="X439" i="5"/>
  <c r="Z440" i="5"/>
  <c r="V440" i="5" s="1"/>
  <c r="B439" i="6"/>
  <c r="V439" i="6" s="1"/>
  <c r="B440" i="5"/>
  <c r="B439" i="11"/>
  <c r="V439" i="11" s="1"/>
  <c r="J440" i="5" l="1"/>
  <c r="X440" i="5"/>
  <c r="Z441" i="5"/>
  <c r="V441" i="5" s="1"/>
  <c r="B440" i="6"/>
  <c r="V440" i="6" s="1"/>
  <c r="B441" i="5"/>
  <c r="B440" i="11"/>
  <c r="V440" i="11" s="1"/>
  <c r="J441" i="5" l="1"/>
  <c r="X441" i="5"/>
  <c r="Z442" i="5"/>
  <c r="V442" i="5" s="1"/>
  <c r="B441" i="6"/>
  <c r="V441" i="6" s="1"/>
  <c r="B442" i="5"/>
  <c r="B441" i="11"/>
  <c r="V441" i="11" s="1"/>
  <c r="J442" i="5" l="1"/>
  <c r="X442" i="5"/>
  <c r="Z443" i="5"/>
  <c r="V443" i="5" s="1"/>
  <c r="B443" i="5"/>
  <c r="B442" i="11"/>
  <c r="V442" i="11" s="1"/>
  <c r="B442" i="6"/>
  <c r="V442" i="6" s="1"/>
  <c r="J443" i="5" l="1"/>
  <c r="X443" i="5"/>
  <c r="Z444" i="5"/>
  <c r="V444" i="5" s="1"/>
  <c r="B443" i="6"/>
  <c r="V443" i="6" s="1"/>
  <c r="B443" i="11"/>
  <c r="V443" i="11" s="1"/>
  <c r="B444" i="5"/>
  <c r="J444" i="5" l="1"/>
  <c r="X444" i="5"/>
  <c r="Z445" i="5"/>
  <c r="V445" i="5" s="1"/>
  <c r="B444" i="6"/>
  <c r="V444" i="6" s="1"/>
  <c r="B444" i="11"/>
  <c r="V444" i="11" s="1"/>
  <c r="B445" i="5"/>
  <c r="J445" i="5" l="1"/>
  <c r="X445" i="5"/>
  <c r="X18" i="5" s="1"/>
  <c r="R445" i="5" s="1"/>
  <c r="Z446" i="5"/>
  <c r="V446" i="5" s="1"/>
  <c r="B445" i="6"/>
  <c r="V445" i="6" s="1"/>
  <c r="B446" i="5"/>
  <c r="B445" i="11"/>
  <c r="V445" i="11" s="1"/>
  <c r="R446" i="5" l="1"/>
  <c r="J446" i="5"/>
  <c r="X446" i="5"/>
  <c r="AS445" i="5"/>
  <c r="X1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Z447" i="5"/>
  <c r="V447" i="5" s="1"/>
  <c r="B447" i="5"/>
  <c r="B446" i="6"/>
  <c r="V446" i="6" s="1"/>
  <c r="B446" i="11"/>
  <c r="V446" i="11" s="1"/>
  <c r="J447" i="5" l="1"/>
  <c r="R447" i="5"/>
  <c r="X447" i="5"/>
  <c r="AS446" i="5"/>
  <c r="AS444" i="5"/>
  <c r="AS440" i="5"/>
  <c r="AS436" i="5"/>
  <c r="AS432" i="5"/>
  <c r="AS428" i="5"/>
  <c r="AS424" i="5"/>
  <c r="AS420" i="5"/>
  <c r="AS416" i="5"/>
  <c r="AS412" i="5"/>
  <c r="AS408" i="5"/>
  <c r="AS404" i="5"/>
  <c r="AS400" i="5"/>
  <c r="AS396" i="5"/>
  <c r="AS392" i="5"/>
  <c r="AS388" i="5"/>
  <c r="AS384" i="5"/>
  <c r="AS380" i="5"/>
  <c r="AS376" i="5"/>
  <c r="AS372" i="5"/>
  <c r="AS368" i="5"/>
  <c r="AS364" i="5"/>
  <c r="AS360" i="5"/>
  <c r="AS356" i="5"/>
  <c r="AS352" i="5"/>
  <c r="AS348" i="5"/>
  <c r="AS344" i="5"/>
  <c r="AS340" i="5"/>
  <c r="AS336" i="5"/>
  <c r="AS332" i="5"/>
  <c r="AS328" i="5"/>
  <c r="AS324" i="5"/>
  <c r="AS320" i="5"/>
  <c r="AS316" i="5"/>
  <c r="AS312" i="5"/>
  <c r="AS308" i="5"/>
  <c r="AS304" i="5"/>
  <c r="AS300" i="5"/>
  <c r="AS296" i="5"/>
  <c r="AS292" i="5"/>
  <c r="AS288" i="5"/>
  <c r="AS284" i="5"/>
  <c r="AS280" i="5"/>
  <c r="AS276" i="5"/>
  <c r="AS272" i="5"/>
  <c r="AS268" i="5"/>
  <c r="AS264" i="5"/>
  <c r="AS260" i="5"/>
  <c r="AS256" i="5"/>
  <c r="AS252" i="5"/>
  <c r="AS248" i="5"/>
  <c r="AS244" i="5"/>
  <c r="AS240" i="5"/>
  <c r="AS236" i="5"/>
  <c r="AS232" i="5"/>
  <c r="AS228" i="5"/>
  <c r="AS224" i="5"/>
  <c r="AS220" i="5"/>
  <c r="AS216" i="5"/>
  <c r="AS212" i="5"/>
  <c r="AS208" i="5"/>
  <c r="AS204" i="5"/>
  <c r="AS200" i="5"/>
  <c r="AS196" i="5"/>
  <c r="AS192" i="5"/>
  <c r="AS188" i="5"/>
  <c r="AS184" i="5"/>
  <c r="AS180" i="5"/>
  <c r="AS176" i="5"/>
  <c r="AS172" i="5"/>
  <c r="AS168" i="5"/>
  <c r="AS164" i="5"/>
  <c r="AS160" i="5"/>
  <c r="AS156" i="5"/>
  <c r="AS152" i="5"/>
  <c r="AS148" i="5"/>
  <c r="AS144" i="5"/>
  <c r="AS140" i="5"/>
  <c r="AS136" i="5"/>
  <c r="AS132" i="5"/>
  <c r="AS128" i="5"/>
  <c r="AS124" i="5"/>
  <c r="AS120" i="5"/>
  <c r="AS116" i="5"/>
  <c r="AS112" i="5"/>
  <c r="AS108" i="5"/>
  <c r="AS104" i="5"/>
  <c r="AS100" i="5"/>
  <c r="AS96" i="5"/>
  <c r="AS92" i="5"/>
  <c r="AS88" i="5"/>
  <c r="AS84" i="5"/>
  <c r="AS80" i="5"/>
  <c r="AS76" i="5"/>
  <c r="AS72" i="5"/>
  <c r="AS68" i="5"/>
  <c r="AS64" i="5"/>
  <c r="AS60" i="5"/>
  <c r="AS56" i="5"/>
  <c r="AS52" i="5"/>
  <c r="AS48" i="5"/>
  <c r="AS44" i="5"/>
  <c r="AS40" i="5"/>
  <c r="AS36" i="5"/>
  <c r="AS32" i="5"/>
  <c r="AS28" i="5"/>
  <c r="AS443" i="5"/>
  <c r="AS439" i="5"/>
  <c r="AS435" i="5"/>
  <c r="AS431" i="5"/>
  <c r="AS427" i="5"/>
  <c r="AS423" i="5"/>
  <c r="AS419" i="5"/>
  <c r="AS415" i="5"/>
  <c r="AS411" i="5"/>
  <c r="AS407" i="5"/>
  <c r="AS403" i="5"/>
  <c r="AS399" i="5"/>
  <c r="AS395" i="5"/>
  <c r="AS391" i="5"/>
  <c r="AS387" i="5"/>
  <c r="AS383" i="5"/>
  <c r="AS379" i="5"/>
  <c r="AS375" i="5"/>
  <c r="AS371" i="5"/>
  <c r="AS367" i="5"/>
  <c r="AS363" i="5"/>
  <c r="AS359" i="5"/>
  <c r="AS355" i="5"/>
  <c r="AS351" i="5"/>
  <c r="AS347" i="5"/>
  <c r="AS343" i="5"/>
  <c r="AS339" i="5"/>
  <c r="AS335" i="5"/>
  <c r="AS331" i="5"/>
  <c r="AS327" i="5"/>
  <c r="AS323" i="5"/>
  <c r="AS319" i="5"/>
  <c r="AS315" i="5"/>
  <c r="AS311" i="5"/>
  <c r="AS307" i="5"/>
  <c r="AS303" i="5"/>
  <c r="AS299" i="5"/>
  <c r="AS295" i="5"/>
  <c r="AS291" i="5"/>
  <c r="AS287" i="5"/>
  <c r="AS283" i="5"/>
  <c r="AS279" i="5"/>
  <c r="AS275" i="5"/>
  <c r="AS271" i="5"/>
  <c r="AS267" i="5"/>
  <c r="AS263" i="5"/>
  <c r="AS259" i="5"/>
  <c r="AS255" i="5"/>
  <c r="AS251" i="5"/>
  <c r="AS247" i="5"/>
  <c r="AS243" i="5"/>
  <c r="AS239" i="5"/>
  <c r="AS235" i="5"/>
  <c r="AS231" i="5"/>
  <c r="AS227" i="5"/>
  <c r="AS223" i="5"/>
  <c r="AS219" i="5"/>
  <c r="AS215" i="5"/>
  <c r="AS211" i="5"/>
  <c r="AS207" i="5"/>
  <c r="AS203" i="5"/>
  <c r="AS199" i="5"/>
  <c r="AS195" i="5"/>
  <c r="AS191" i="5"/>
  <c r="AS187" i="5"/>
  <c r="AS183" i="5"/>
  <c r="AS179" i="5"/>
  <c r="AS175" i="5"/>
  <c r="AS171" i="5"/>
  <c r="AS167" i="5"/>
  <c r="AS163" i="5"/>
  <c r="AS159" i="5"/>
  <c r="AS155" i="5"/>
  <c r="AS151" i="5"/>
  <c r="AS147" i="5"/>
  <c r="AS143" i="5"/>
  <c r="AS139" i="5"/>
  <c r="AS135" i="5"/>
  <c r="AS131" i="5"/>
  <c r="AS127" i="5"/>
  <c r="AS123" i="5"/>
  <c r="AS119" i="5"/>
  <c r="AS115" i="5"/>
  <c r="AS111" i="5"/>
  <c r="AS107" i="5"/>
  <c r="AS103" i="5"/>
  <c r="AS99" i="5"/>
  <c r="AS95" i="5"/>
  <c r="AS91" i="5"/>
  <c r="AS87" i="5"/>
  <c r="AS83" i="5"/>
  <c r="AS79" i="5"/>
  <c r="AS75" i="5"/>
  <c r="AS71" i="5"/>
  <c r="AS67" i="5"/>
  <c r="AS63" i="5"/>
  <c r="AS59" i="5"/>
  <c r="AS55" i="5"/>
  <c r="AS51" i="5"/>
  <c r="AS47" i="5"/>
  <c r="AS43" i="5"/>
  <c r="AS39" i="5"/>
  <c r="AS35" i="5"/>
  <c r="AS31" i="5"/>
  <c r="AS27" i="5"/>
  <c r="AS442" i="5"/>
  <c r="AS438" i="5"/>
  <c r="AS434" i="5"/>
  <c r="AS430" i="5"/>
  <c r="AS426" i="5"/>
  <c r="AS422" i="5"/>
  <c r="AS418" i="5"/>
  <c r="AS414" i="5"/>
  <c r="AS410" i="5"/>
  <c r="AS406" i="5"/>
  <c r="AS402" i="5"/>
  <c r="AS398" i="5"/>
  <c r="AS394" i="5"/>
  <c r="AS390" i="5"/>
  <c r="AS386" i="5"/>
  <c r="AS382" i="5"/>
  <c r="AS378" i="5"/>
  <c r="AS374" i="5"/>
  <c r="AS370" i="5"/>
  <c r="AS366" i="5"/>
  <c r="AS362" i="5"/>
  <c r="AS358" i="5"/>
  <c r="AS354" i="5"/>
  <c r="AS350" i="5"/>
  <c r="AS346" i="5"/>
  <c r="AS342" i="5"/>
  <c r="AS338" i="5"/>
  <c r="AS334" i="5"/>
  <c r="AS330" i="5"/>
  <c r="AS326" i="5"/>
  <c r="AS322" i="5"/>
  <c r="AS318" i="5"/>
  <c r="AS314" i="5"/>
  <c r="AS310" i="5"/>
  <c r="AS306" i="5"/>
  <c r="AS302" i="5"/>
  <c r="AS298" i="5"/>
  <c r="AS294" i="5"/>
  <c r="AS290" i="5"/>
  <c r="AS286" i="5"/>
  <c r="AS282" i="5"/>
  <c r="AS278" i="5"/>
  <c r="AS274" i="5"/>
  <c r="AS270" i="5"/>
  <c r="AS266" i="5"/>
  <c r="AS262" i="5"/>
  <c r="AS258" i="5"/>
  <c r="AS254" i="5"/>
  <c r="AS250" i="5"/>
  <c r="AS246" i="5"/>
  <c r="AS242" i="5"/>
  <c r="AS238" i="5"/>
  <c r="AS234" i="5"/>
  <c r="AS230" i="5"/>
  <c r="AS226" i="5"/>
  <c r="AS222" i="5"/>
  <c r="AS218" i="5"/>
  <c r="AS214" i="5"/>
  <c r="AS210" i="5"/>
  <c r="AS206" i="5"/>
  <c r="AS202" i="5"/>
  <c r="AS198" i="5"/>
  <c r="AS194" i="5"/>
  <c r="AS190" i="5"/>
  <c r="AS186" i="5"/>
  <c r="AS182" i="5"/>
  <c r="AS178" i="5"/>
  <c r="AS174" i="5"/>
  <c r="AS170" i="5"/>
  <c r="AS166" i="5"/>
  <c r="AS162" i="5"/>
  <c r="AS158" i="5"/>
  <c r="AS154" i="5"/>
  <c r="AS150" i="5"/>
  <c r="AS146" i="5"/>
  <c r="AS142" i="5"/>
  <c r="AS138" i="5"/>
  <c r="AS134" i="5"/>
  <c r="AS130" i="5"/>
  <c r="AS126" i="5"/>
  <c r="AS122" i="5"/>
  <c r="AS118" i="5"/>
  <c r="AS114" i="5"/>
  <c r="AS110" i="5"/>
  <c r="AS106" i="5"/>
  <c r="AS102" i="5"/>
  <c r="AS98" i="5"/>
  <c r="AS94" i="5"/>
  <c r="AS90" i="5"/>
  <c r="AS86" i="5"/>
  <c r="AS82" i="5"/>
  <c r="AS78" i="5"/>
  <c r="AS74" i="5"/>
  <c r="AS70" i="5"/>
  <c r="AS66" i="5"/>
  <c r="AS62" i="5"/>
  <c r="AS58" i="5"/>
  <c r="AS54" i="5"/>
  <c r="AS50" i="5"/>
  <c r="AS46" i="5"/>
  <c r="AS42" i="5"/>
  <c r="AS38" i="5"/>
  <c r="AS34" i="5"/>
  <c r="AS30" i="5"/>
  <c r="AS26" i="5"/>
  <c r="P26" i="5"/>
  <c r="E26" i="5" s="1"/>
  <c r="G26" i="5" s="1"/>
  <c r="O26" i="5"/>
  <c r="AS441" i="5"/>
  <c r="AS437" i="5"/>
  <c r="AS433" i="5"/>
  <c r="AS429" i="5"/>
  <c r="AS425" i="5"/>
  <c r="AS421" i="5"/>
  <c r="AS417" i="5"/>
  <c r="AS413" i="5"/>
  <c r="AS409" i="5"/>
  <c r="AS405" i="5"/>
  <c r="AS401" i="5"/>
  <c r="AS397" i="5"/>
  <c r="AS393" i="5"/>
  <c r="AS389" i="5"/>
  <c r="AS385" i="5"/>
  <c r="AS381" i="5"/>
  <c r="AS377" i="5"/>
  <c r="AS373" i="5"/>
  <c r="AS369" i="5"/>
  <c r="AS365" i="5"/>
  <c r="AS361" i="5"/>
  <c r="AS357" i="5"/>
  <c r="AS353" i="5"/>
  <c r="AS349" i="5"/>
  <c r="AS345" i="5"/>
  <c r="AS341" i="5"/>
  <c r="AS337" i="5"/>
  <c r="AS333" i="5"/>
  <c r="AS329" i="5"/>
  <c r="AS325" i="5"/>
  <c r="AS321" i="5"/>
  <c r="AS317" i="5"/>
  <c r="AS313" i="5"/>
  <c r="AS309" i="5"/>
  <c r="AS305" i="5"/>
  <c r="AS301" i="5"/>
  <c r="AS297" i="5"/>
  <c r="AS293" i="5"/>
  <c r="AS289" i="5"/>
  <c r="AS285" i="5"/>
  <c r="AS281" i="5"/>
  <c r="AS277" i="5"/>
  <c r="AS273" i="5"/>
  <c r="AS269" i="5"/>
  <c r="AS265" i="5"/>
  <c r="AS261" i="5"/>
  <c r="AS257" i="5"/>
  <c r="AS253" i="5"/>
  <c r="AS249" i="5"/>
  <c r="AS245" i="5"/>
  <c r="AS241" i="5"/>
  <c r="AS237" i="5"/>
  <c r="AS233" i="5"/>
  <c r="AS229" i="5"/>
  <c r="AS225" i="5"/>
  <c r="AS221" i="5"/>
  <c r="AS217" i="5"/>
  <c r="AS213" i="5"/>
  <c r="AS209" i="5"/>
  <c r="AS205" i="5"/>
  <c r="AS201" i="5"/>
  <c r="AS197" i="5"/>
  <c r="AS193" i="5"/>
  <c r="AS189" i="5"/>
  <c r="AS185" i="5"/>
  <c r="AS181" i="5"/>
  <c r="AS177" i="5"/>
  <c r="AS173" i="5"/>
  <c r="AS169" i="5"/>
  <c r="AS165" i="5"/>
  <c r="AS161" i="5"/>
  <c r="AS157" i="5"/>
  <c r="AS153" i="5"/>
  <c r="AS149" i="5"/>
  <c r="AS145" i="5"/>
  <c r="AS141" i="5"/>
  <c r="AS137" i="5"/>
  <c r="AS133" i="5"/>
  <c r="AS129" i="5"/>
  <c r="AS125" i="5"/>
  <c r="AS121" i="5"/>
  <c r="AS117" i="5"/>
  <c r="AS113" i="5"/>
  <c r="AS109" i="5"/>
  <c r="AS105" i="5"/>
  <c r="AS101" i="5"/>
  <c r="AS97" i="5"/>
  <c r="AS93" i="5"/>
  <c r="AS89" i="5"/>
  <c r="AS85" i="5"/>
  <c r="AS81" i="5"/>
  <c r="AS77" i="5"/>
  <c r="AS73" i="5"/>
  <c r="AS69" i="5"/>
  <c r="AS65" i="5"/>
  <c r="AS61" i="5"/>
  <c r="AS57" i="5"/>
  <c r="AS53" i="5"/>
  <c r="AS49" i="5"/>
  <c r="AS45" i="5"/>
  <c r="AS41" i="5"/>
  <c r="AS37" i="5"/>
  <c r="AS33" i="5"/>
  <c r="AS29" i="5"/>
  <c r="Z448" i="5"/>
  <c r="V448" i="5" s="1"/>
  <c r="B447" i="6"/>
  <c r="V447" i="6" s="1"/>
  <c r="B448" i="5"/>
  <c r="B447" i="11"/>
  <c r="V447" i="11" s="1"/>
  <c r="AS447" i="5" l="1"/>
  <c r="R448" i="5"/>
  <c r="J448" i="5"/>
  <c r="X448" i="5"/>
  <c r="S26" i="5"/>
  <c r="Q27" i="5"/>
  <c r="D26" i="5"/>
  <c r="O27" i="5"/>
  <c r="AS24" i="5"/>
  <c r="Z449" i="5"/>
  <c r="V449" i="5" s="1"/>
  <c r="B449" i="5"/>
  <c r="B448" i="11"/>
  <c r="V448" i="11" s="1"/>
  <c r="B448" i="6"/>
  <c r="V448" i="6" s="1"/>
  <c r="J449" i="5" l="1"/>
  <c r="R449" i="5"/>
  <c r="X449" i="5"/>
  <c r="AS448" i="5"/>
  <c r="S27" i="5"/>
  <c r="Q28" i="5"/>
  <c r="O28" i="5"/>
  <c r="D27" i="5"/>
  <c r="F27" i="5"/>
  <c r="P27" i="5"/>
  <c r="E27" i="5" s="1"/>
  <c r="H26" i="5"/>
  <c r="AG26" i="5"/>
  <c r="Z450" i="5"/>
  <c r="V450" i="5" s="1"/>
  <c r="B449" i="6"/>
  <c r="V449" i="6" s="1"/>
  <c r="B449" i="11"/>
  <c r="V449" i="11" s="1"/>
  <c r="B450" i="5"/>
  <c r="J450" i="5" l="1"/>
  <c r="R450" i="5"/>
  <c r="X450" i="5"/>
  <c r="AS449" i="5"/>
  <c r="S28" i="5"/>
  <c r="Q29" i="5"/>
  <c r="D28" i="5"/>
  <c r="O29" i="5"/>
  <c r="N26" i="5"/>
  <c r="K26" i="5"/>
  <c r="F28" i="5"/>
  <c r="P28" i="5"/>
  <c r="E28" i="5" s="1"/>
  <c r="G27" i="5"/>
  <c r="H27" i="5"/>
  <c r="N27" i="5" s="1"/>
  <c r="AG27" i="5"/>
  <c r="Z451" i="5"/>
  <c r="V451" i="5" s="1"/>
  <c r="B451" i="5"/>
  <c r="B450" i="11"/>
  <c r="V450" i="11" s="1"/>
  <c r="B450" i="6"/>
  <c r="V450" i="6" s="1"/>
  <c r="AS450" i="5" l="1"/>
  <c r="R451" i="5"/>
  <c r="J451" i="5"/>
  <c r="X451" i="5"/>
  <c r="K27" i="5"/>
  <c r="G28" i="5"/>
  <c r="S29" i="5"/>
  <c r="O30" i="5"/>
  <c r="Q30" i="5"/>
  <c r="D29" i="5"/>
  <c r="F29" i="5"/>
  <c r="P29" i="5"/>
  <c r="E29" i="5" s="1"/>
  <c r="H28" i="5"/>
  <c r="N28" i="5" s="1"/>
  <c r="AG28" i="5"/>
  <c r="Z452" i="5"/>
  <c r="V452" i="5" s="1"/>
  <c r="B451" i="6"/>
  <c r="V451" i="6" s="1"/>
  <c r="B452" i="5"/>
  <c r="B451" i="11"/>
  <c r="V451" i="11" s="1"/>
  <c r="AS451" i="5" l="1"/>
  <c r="J452" i="5"/>
  <c r="R452" i="5"/>
  <c r="X452" i="5"/>
  <c r="G29" i="5"/>
  <c r="S30" i="5"/>
  <c r="O31" i="5"/>
  <c r="D30" i="5"/>
  <c r="Q31" i="5"/>
  <c r="H29" i="5"/>
  <c r="N29" i="5" s="1"/>
  <c r="AG29" i="5"/>
  <c r="K28" i="5"/>
  <c r="F30" i="5"/>
  <c r="P30" i="5"/>
  <c r="E30" i="5" s="1"/>
  <c r="Z453" i="5"/>
  <c r="V453" i="5" s="1"/>
  <c r="B452" i="11"/>
  <c r="V452" i="11" s="1"/>
  <c r="B453" i="5"/>
  <c r="B452" i="6"/>
  <c r="V452" i="6" s="1"/>
  <c r="J453" i="5" l="1"/>
  <c r="R453" i="5"/>
  <c r="X453" i="5"/>
  <c r="AS452" i="5"/>
  <c r="K29" i="5"/>
  <c r="F31" i="5"/>
  <c r="P31" i="5"/>
  <c r="E31" i="5" s="1"/>
  <c r="H30" i="5"/>
  <c r="N30" i="5" s="1"/>
  <c r="AG30" i="5"/>
  <c r="G30" i="5"/>
  <c r="S31" i="5"/>
  <c r="Q32" i="5"/>
  <c r="O32" i="5"/>
  <c r="D31" i="5"/>
  <c r="Z454" i="5"/>
  <c r="V454" i="5" s="1"/>
  <c r="B453" i="11"/>
  <c r="V453" i="11" s="1"/>
  <c r="B454" i="5"/>
  <c r="B453" i="6"/>
  <c r="V453" i="6" s="1"/>
  <c r="J454" i="5" l="1"/>
  <c r="R454" i="5"/>
  <c r="X454" i="5"/>
  <c r="AS453" i="5"/>
  <c r="K30" i="5"/>
  <c r="H31" i="5"/>
  <c r="N31" i="5" s="1"/>
  <c r="AG31" i="5"/>
  <c r="S32" i="5"/>
  <c r="D32" i="5"/>
  <c r="O33" i="5"/>
  <c r="Q33" i="5"/>
  <c r="G31" i="5"/>
  <c r="F32" i="5"/>
  <c r="P32" i="5"/>
  <c r="E32" i="5" s="1"/>
  <c r="Z455" i="5"/>
  <c r="V455" i="5" s="1"/>
  <c r="B454" i="11"/>
  <c r="V454" i="11" s="1"/>
  <c r="B455" i="5"/>
  <c r="B454" i="6"/>
  <c r="V454" i="6" s="1"/>
  <c r="R455" i="5" l="1"/>
  <c r="J455" i="5"/>
  <c r="X455" i="5"/>
  <c r="AS454" i="5"/>
  <c r="K31" i="5"/>
  <c r="G32" i="5"/>
  <c r="H32" i="5"/>
  <c r="N32" i="5" s="1"/>
  <c r="AG32" i="5"/>
  <c r="F33" i="5"/>
  <c r="P33" i="5"/>
  <c r="E33" i="5" s="1"/>
  <c r="S33" i="5"/>
  <c r="Q34" i="5"/>
  <c r="D33" i="5"/>
  <c r="O34" i="5"/>
  <c r="Z456" i="5"/>
  <c r="V456" i="5" s="1"/>
  <c r="B455" i="11"/>
  <c r="V455" i="11" s="1"/>
  <c r="B456" i="5"/>
  <c r="B455" i="6"/>
  <c r="V455" i="6" s="1"/>
  <c r="AS455" i="5" l="1"/>
  <c r="R456" i="5"/>
  <c r="J456" i="5"/>
  <c r="X456" i="5"/>
  <c r="K32" i="5"/>
  <c r="F34" i="5"/>
  <c r="P34" i="5"/>
  <c r="E34" i="5" s="1"/>
  <c r="G33" i="5"/>
  <c r="H33" i="5"/>
  <c r="N33" i="5" s="1"/>
  <c r="AG33" i="5"/>
  <c r="S34" i="5"/>
  <c r="D34" i="5"/>
  <c r="O35" i="5"/>
  <c r="Q35" i="5"/>
  <c r="Z457" i="5"/>
  <c r="V457" i="5" s="1"/>
  <c r="B456" i="11"/>
  <c r="V456" i="11" s="1"/>
  <c r="B456" i="6"/>
  <c r="V456" i="6" s="1"/>
  <c r="B457" i="5"/>
  <c r="R457" i="5" l="1"/>
  <c r="J457" i="5"/>
  <c r="X457" i="5"/>
  <c r="AS456" i="5"/>
  <c r="F35" i="5"/>
  <c r="P35" i="5"/>
  <c r="E35" i="5" s="1"/>
  <c r="S35" i="5"/>
  <c r="Q36" i="5"/>
  <c r="O36" i="5"/>
  <c r="D35" i="5"/>
  <c r="G34" i="5"/>
  <c r="K33" i="5"/>
  <c r="H34" i="5"/>
  <c r="N34" i="5" s="1"/>
  <c r="AG34" i="5"/>
  <c r="Z458" i="5"/>
  <c r="V458" i="5" s="1"/>
  <c r="B457" i="11"/>
  <c r="V457" i="11" s="1"/>
  <c r="B458" i="5"/>
  <c r="B457" i="6"/>
  <c r="V457" i="6" s="1"/>
  <c r="J458" i="5" l="1"/>
  <c r="R458" i="5"/>
  <c r="X458" i="5"/>
  <c r="AS457" i="5"/>
  <c r="G35" i="5"/>
  <c r="F36" i="5"/>
  <c r="P36" i="5"/>
  <c r="E36" i="5" s="1"/>
  <c r="S36" i="5"/>
  <c r="O37" i="5"/>
  <c r="D36" i="5"/>
  <c r="Q37" i="5"/>
  <c r="K34" i="5"/>
  <c r="H35" i="5"/>
  <c r="N35" i="5" s="1"/>
  <c r="AG35" i="5"/>
  <c r="Z459" i="5"/>
  <c r="V459" i="5" s="1"/>
  <c r="B458" i="11"/>
  <c r="V458" i="11" s="1"/>
  <c r="B459" i="5"/>
  <c r="B458" i="6"/>
  <c r="V458" i="6" s="1"/>
  <c r="J459" i="5" l="1"/>
  <c r="R459" i="5"/>
  <c r="X459" i="5"/>
  <c r="AS458" i="5"/>
  <c r="H36" i="5"/>
  <c r="N36" i="5" s="1"/>
  <c r="AG36" i="5"/>
  <c r="G36" i="5"/>
  <c r="F37" i="5"/>
  <c r="P37" i="5"/>
  <c r="E37" i="5" s="1"/>
  <c r="S37" i="5"/>
  <c r="O38" i="5"/>
  <c r="Q38" i="5"/>
  <c r="D37" i="5"/>
  <c r="K35" i="5"/>
  <c r="Z460" i="5"/>
  <c r="V460" i="5" s="1"/>
  <c r="B459" i="6"/>
  <c r="V459" i="6" s="1"/>
  <c r="B460" i="5"/>
  <c r="B459" i="11"/>
  <c r="V459" i="11" s="1"/>
  <c r="J460" i="5" l="1"/>
  <c r="R460" i="5"/>
  <c r="X460" i="5"/>
  <c r="AS459" i="5"/>
  <c r="K36" i="5"/>
  <c r="F38" i="5"/>
  <c r="P38" i="5"/>
  <c r="E38" i="5" s="1"/>
  <c r="G37" i="5"/>
  <c r="H37" i="5"/>
  <c r="N37" i="5" s="1"/>
  <c r="AG37" i="5"/>
  <c r="S38" i="5"/>
  <c r="Q39" i="5"/>
  <c r="O39" i="5"/>
  <c r="D38" i="5"/>
  <c r="Z461" i="5"/>
  <c r="V461" i="5" s="1"/>
  <c r="B461" i="5"/>
  <c r="B460" i="6"/>
  <c r="V460" i="6" s="1"/>
  <c r="B460" i="11"/>
  <c r="V460" i="11" s="1"/>
  <c r="R461" i="5" l="1"/>
  <c r="J461" i="5"/>
  <c r="X461" i="5"/>
  <c r="AS460" i="5"/>
  <c r="S39" i="5"/>
  <c r="Q40" i="5"/>
  <c r="D39" i="5"/>
  <c r="O40" i="5"/>
  <c r="K37" i="5"/>
  <c r="F39" i="5"/>
  <c r="P39" i="5"/>
  <c r="E39" i="5" s="1"/>
  <c r="G38" i="5"/>
  <c r="H38" i="5"/>
  <c r="N38" i="5" s="1"/>
  <c r="AG38" i="5"/>
  <c r="Z462" i="5"/>
  <c r="V462" i="5" s="1"/>
  <c r="B461" i="6"/>
  <c r="V461" i="6" s="1"/>
  <c r="B461" i="11"/>
  <c r="V461" i="11" s="1"/>
  <c r="B462" i="5"/>
  <c r="J462" i="5" l="1"/>
  <c r="R462" i="5"/>
  <c r="X462" i="5"/>
  <c r="AS461" i="5"/>
  <c r="K38" i="5"/>
  <c r="F40" i="5"/>
  <c r="P40" i="5"/>
  <c r="E40" i="5" s="1"/>
  <c r="G39" i="5"/>
  <c r="H39" i="5"/>
  <c r="N39" i="5" s="1"/>
  <c r="AG39" i="5"/>
  <c r="S40" i="5"/>
  <c r="O41" i="5"/>
  <c r="D40" i="5"/>
  <c r="Q41" i="5"/>
  <c r="Z463" i="5"/>
  <c r="V463" i="5" s="1"/>
  <c r="B462" i="6"/>
  <c r="V462" i="6" s="1"/>
  <c r="B463" i="5"/>
  <c r="B462" i="11"/>
  <c r="V462" i="11" s="1"/>
  <c r="AS462" i="5" l="1"/>
  <c r="J463" i="5"/>
  <c r="R463" i="5"/>
  <c r="X463" i="5"/>
  <c r="G40" i="5"/>
  <c r="K39" i="5"/>
  <c r="F41" i="5"/>
  <c r="P41" i="5"/>
  <c r="E41" i="5" s="1"/>
  <c r="S41" i="5"/>
  <c r="O42" i="5"/>
  <c r="D41" i="5"/>
  <c r="Q42" i="5"/>
  <c r="H40" i="5"/>
  <c r="N40" i="5" s="1"/>
  <c r="AG40" i="5"/>
  <c r="Z464" i="5"/>
  <c r="V464" i="5" s="1"/>
  <c r="B463" i="11"/>
  <c r="V463" i="11" s="1"/>
  <c r="B464" i="5"/>
  <c r="B463" i="6"/>
  <c r="V463" i="6" s="1"/>
  <c r="J464" i="5" l="1"/>
  <c r="R464" i="5"/>
  <c r="X464" i="5"/>
  <c r="AS463" i="5"/>
  <c r="K40" i="5"/>
  <c r="F42" i="5"/>
  <c r="P42" i="5"/>
  <c r="E42" i="5" s="1"/>
  <c r="S42" i="5"/>
  <c r="D42" i="5"/>
  <c r="Q43" i="5"/>
  <c r="O43" i="5"/>
  <c r="G41" i="5"/>
  <c r="H41" i="5"/>
  <c r="N41" i="5" s="1"/>
  <c r="AG41" i="5"/>
  <c r="Z465" i="5"/>
  <c r="V465" i="5" s="1"/>
  <c r="B464" i="11"/>
  <c r="V464" i="11" s="1"/>
  <c r="B465" i="5"/>
  <c r="B464" i="6"/>
  <c r="V464" i="6" s="1"/>
  <c r="R465" i="5" l="1"/>
  <c r="J465" i="5"/>
  <c r="X465" i="5"/>
  <c r="AS464" i="5"/>
  <c r="K41" i="5"/>
  <c r="H42" i="5"/>
  <c r="N42" i="5" s="1"/>
  <c r="AG42" i="5"/>
  <c r="S43" i="5"/>
  <c r="D43" i="5"/>
  <c r="Q44" i="5"/>
  <c r="O44" i="5"/>
  <c r="G42" i="5"/>
  <c r="F43" i="5"/>
  <c r="P43" i="5"/>
  <c r="E43" i="5" s="1"/>
  <c r="Z466" i="5"/>
  <c r="V466" i="5" s="1"/>
  <c r="B465" i="6"/>
  <c r="V465" i="6" s="1"/>
  <c r="B465" i="11"/>
  <c r="V465" i="11" s="1"/>
  <c r="B466" i="5"/>
  <c r="J466" i="5" l="1"/>
  <c r="R466" i="5"/>
  <c r="X466" i="5"/>
  <c r="AS465" i="5"/>
  <c r="G43" i="5"/>
  <c r="S44" i="5"/>
  <c r="D44" i="5"/>
  <c r="Q45" i="5"/>
  <c r="O45" i="5"/>
  <c r="F44" i="5"/>
  <c r="P44" i="5"/>
  <c r="E44" i="5" s="1"/>
  <c r="K42" i="5"/>
  <c r="H43" i="5"/>
  <c r="N43" i="5" s="1"/>
  <c r="AG43" i="5"/>
  <c r="Z467" i="5"/>
  <c r="V467" i="5" s="1"/>
  <c r="B466" i="11"/>
  <c r="V466" i="11" s="1"/>
  <c r="B467" i="5"/>
  <c r="B466" i="6"/>
  <c r="V466" i="6" s="1"/>
  <c r="AS466" i="5" l="1"/>
  <c r="R467" i="5"/>
  <c r="J467" i="5"/>
  <c r="X467" i="5"/>
  <c r="G44" i="5"/>
  <c r="F45" i="5"/>
  <c r="P45" i="5"/>
  <c r="E45" i="5" s="1"/>
  <c r="H44" i="5"/>
  <c r="N44" i="5" s="1"/>
  <c r="AG44" i="5"/>
  <c r="S45" i="5"/>
  <c r="Q46" i="5"/>
  <c r="D45" i="5"/>
  <c r="O46" i="5"/>
  <c r="K43" i="5"/>
  <c r="Z468" i="5"/>
  <c r="V468" i="5" s="1"/>
  <c r="B468" i="5"/>
  <c r="B467" i="6"/>
  <c r="V467" i="6" s="1"/>
  <c r="B467" i="11"/>
  <c r="V467" i="11" s="1"/>
  <c r="AS467" i="5" l="1"/>
  <c r="R468" i="5"/>
  <c r="J468" i="5"/>
  <c r="X468" i="5"/>
  <c r="K44" i="5"/>
  <c r="F46" i="5"/>
  <c r="P46" i="5"/>
  <c r="E46" i="5" s="1"/>
  <c r="H45" i="5"/>
  <c r="N45" i="5" s="1"/>
  <c r="AG45" i="5"/>
  <c r="S46" i="5"/>
  <c r="Q47" i="5"/>
  <c r="D46" i="5"/>
  <c r="O47" i="5"/>
  <c r="G45" i="5"/>
  <c r="Z469" i="5"/>
  <c r="V469" i="5" s="1"/>
  <c r="B469" i="5"/>
  <c r="B468" i="6"/>
  <c r="V468" i="6" s="1"/>
  <c r="B468" i="11"/>
  <c r="V468" i="11" s="1"/>
  <c r="R469" i="5" l="1"/>
  <c r="J469" i="5"/>
  <c r="X469" i="5"/>
  <c r="AS468" i="5"/>
  <c r="K45" i="5"/>
  <c r="F47" i="5"/>
  <c r="P47" i="5"/>
  <c r="E47" i="5" s="1"/>
  <c r="H46" i="5"/>
  <c r="N46" i="5" s="1"/>
  <c r="AG46" i="5"/>
  <c r="G46" i="5"/>
  <c r="S47" i="5"/>
  <c r="D47" i="5"/>
  <c r="Q48" i="5"/>
  <c r="O48" i="5"/>
  <c r="Z470" i="5"/>
  <c r="V470" i="5" s="1"/>
  <c r="B469" i="6"/>
  <c r="V469" i="6" s="1"/>
  <c r="B469" i="11"/>
  <c r="V469" i="11" s="1"/>
  <c r="B470" i="5"/>
  <c r="R470" i="5" l="1"/>
  <c r="J470" i="5"/>
  <c r="X470" i="5"/>
  <c r="AS469" i="5"/>
  <c r="K46" i="5"/>
  <c r="H47" i="5"/>
  <c r="N47" i="5" s="1"/>
  <c r="AG47" i="5"/>
  <c r="S48" i="5"/>
  <c r="D48" i="5"/>
  <c r="O49" i="5"/>
  <c r="Q49" i="5"/>
  <c r="G47" i="5"/>
  <c r="F48" i="5"/>
  <c r="P48" i="5"/>
  <c r="E48" i="5" s="1"/>
  <c r="Z471" i="5"/>
  <c r="V471" i="5" s="1"/>
  <c r="B470" i="11"/>
  <c r="V470" i="11" s="1"/>
  <c r="B471" i="5"/>
  <c r="B470" i="6"/>
  <c r="V470" i="6" s="1"/>
  <c r="R471" i="5" l="1"/>
  <c r="J471" i="5"/>
  <c r="X471" i="5"/>
  <c r="AS470" i="5"/>
  <c r="K47" i="5"/>
  <c r="G48" i="5"/>
  <c r="H48" i="5"/>
  <c r="N48" i="5" s="1"/>
  <c r="AG48" i="5"/>
  <c r="F49" i="5"/>
  <c r="P49" i="5"/>
  <c r="E49" i="5" s="1"/>
  <c r="S49" i="5"/>
  <c r="O50" i="5"/>
  <c r="Q50" i="5"/>
  <c r="D49" i="5"/>
  <c r="Z472" i="5"/>
  <c r="V472" i="5" s="1"/>
  <c r="B471" i="6"/>
  <c r="V471" i="6" s="1"/>
  <c r="B472" i="5"/>
  <c r="B471" i="11"/>
  <c r="V471" i="11" s="1"/>
  <c r="J472" i="5" l="1"/>
  <c r="R472" i="5"/>
  <c r="X472" i="5"/>
  <c r="AS471" i="5"/>
  <c r="K48" i="5"/>
  <c r="S50" i="5"/>
  <c r="O51" i="5"/>
  <c r="D50" i="5"/>
  <c r="Q51" i="5"/>
  <c r="G49" i="5"/>
  <c r="H49" i="5"/>
  <c r="N49" i="5" s="1"/>
  <c r="AG49" i="5"/>
  <c r="F50" i="5"/>
  <c r="P50" i="5"/>
  <c r="E50" i="5" s="1"/>
  <c r="Z473" i="5"/>
  <c r="V473" i="5" s="1"/>
  <c r="B472" i="11"/>
  <c r="V472" i="11" s="1"/>
  <c r="B473" i="5"/>
  <c r="B472" i="6"/>
  <c r="V472" i="6" s="1"/>
  <c r="J473" i="5" l="1"/>
  <c r="R473" i="5"/>
  <c r="X473" i="5"/>
  <c r="AS472" i="5"/>
  <c r="K49" i="5"/>
  <c r="S51" i="5"/>
  <c r="O52" i="5"/>
  <c r="D51" i="5"/>
  <c r="Q52" i="5"/>
  <c r="H50" i="5"/>
  <c r="N50" i="5" s="1"/>
  <c r="AG50" i="5"/>
  <c r="G50" i="5"/>
  <c r="F51" i="5"/>
  <c r="P51" i="5"/>
  <c r="E51" i="5" s="1"/>
  <c r="Z474" i="5"/>
  <c r="V474" i="5" s="1"/>
  <c r="B473" i="11"/>
  <c r="V473" i="11" s="1"/>
  <c r="B473" i="6"/>
  <c r="V473" i="6" s="1"/>
  <c r="B474" i="5"/>
  <c r="AS473" i="5" l="1"/>
  <c r="J474" i="5"/>
  <c r="R474" i="5"/>
  <c r="X474" i="5"/>
  <c r="K50" i="5"/>
  <c r="H51" i="5"/>
  <c r="N51" i="5" s="1"/>
  <c r="AG51" i="5"/>
  <c r="F52" i="5"/>
  <c r="P52" i="5"/>
  <c r="E52" i="5" s="1"/>
  <c r="G51" i="5"/>
  <c r="S52" i="5"/>
  <c r="D52" i="5"/>
  <c r="O53" i="5"/>
  <c r="Q53" i="5"/>
  <c r="Z475" i="5"/>
  <c r="V475" i="5" s="1"/>
  <c r="B474" i="11"/>
  <c r="V474" i="11" s="1"/>
  <c r="B475" i="5"/>
  <c r="B474" i="6"/>
  <c r="V474" i="6" s="1"/>
  <c r="J475" i="5" l="1"/>
  <c r="R475" i="5"/>
  <c r="X475" i="5"/>
  <c r="AS474" i="5"/>
  <c r="K51" i="5"/>
  <c r="F53" i="5"/>
  <c r="P53" i="5"/>
  <c r="E53" i="5" s="1"/>
  <c r="S53" i="5"/>
  <c r="O54" i="5"/>
  <c r="D53" i="5"/>
  <c r="Q54" i="5"/>
  <c r="G52" i="5"/>
  <c r="H52" i="5"/>
  <c r="N52" i="5" s="1"/>
  <c r="AG52" i="5"/>
  <c r="Z476" i="5"/>
  <c r="V476" i="5" s="1"/>
  <c r="B475" i="11"/>
  <c r="V475" i="11" s="1"/>
  <c r="B475" i="6"/>
  <c r="V475" i="6" s="1"/>
  <c r="B476" i="5"/>
  <c r="J476" i="5" l="1"/>
  <c r="R476" i="5"/>
  <c r="X476" i="5"/>
  <c r="AS475" i="5"/>
  <c r="K52" i="5"/>
  <c r="H53" i="5"/>
  <c r="N53" i="5" s="1"/>
  <c r="AG53" i="5"/>
  <c r="F54" i="5"/>
  <c r="P54" i="5"/>
  <c r="E54" i="5" s="1"/>
  <c r="G53" i="5"/>
  <c r="S54" i="5"/>
  <c r="O55" i="5"/>
  <c r="D54" i="5"/>
  <c r="Q55" i="5"/>
  <c r="Z477" i="5"/>
  <c r="V477" i="5" s="1"/>
  <c r="B476" i="11"/>
  <c r="V476" i="11" s="1"/>
  <c r="B476" i="6"/>
  <c r="V476" i="6" s="1"/>
  <c r="B477" i="5"/>
  <c r="AS476" i="5" l="1"/>
  <c r="R477" i="5"/>
  <c r="J477" i="5"/>
  <c r="X477" i="5"/>
  <c r="K53" i="5"/>
  <c r="G54" i="5"/>
  <c r="H54" i="5"/>
  <c r="N54" i="5" s="1"/>
  <c r="AG54" i="5"/>
  <c r="F55" i="5"/>
  <c r="P55" i="5"/>
  <c r="E55" i="5" s="1"/>
  <c r="S55" i="5"/>
  <c r="O56" i="5"/>
  <c r="D55" i="5"/>
  <c r="Q56" i="5"/>
  <c r="Z478" i="5"/>
  <c r="V478" i="5" s="1"/>
  <c r="B477" i="11"/>
  <c r="V477" i="11" s="1"/>
  <c r="B478" i="5"/>
  <c r="B477" i="6"/>
  <c r="V477" i="6" s="1"/>
  <c r="J478" i="5" l="1"/>
  <c r="R478" i="5"/>
  <c r="X478" i="5"/>
  <c r="AS477" i="5"/>
  <c r="K54" i="5"/>
  <c r="H55" i="5"/>
  <c r="N55" i="5" s="1"/>
  <c r="AG55" i="5"/>
  <c r="F56" i="5"/>
  <c r="P56" i="5"/>
  <c r="E56" i="5" s="1"/>
  <c r="G55" i="5"/>
  <c r="S56" i="5"/>
  <c r="Q57" i="5"/>
  <c r="O57" i="5"/>
  <c r="D56" i="5"/>
  <c r="Z479" i="5"/>
  <c r="V479" i="5" s="1"/>
  <c r="B478" i="11"/>
  <c r="V478" i="11" s="1"/>
  <c r="B479" i="5"/>
  <c r="B478" i="6"/>
  <c r="V478" i="6" s="1"/>
  <c r="AS478" i="5" l="1"/>
  <c r="J479" i="5"/>
  <c r="R479" i="5"/>
  <c r="X479" i="5"/>
  <c r="K55" i="5"/>
  <c r="H56" i="5"/>
  <c r="N56" i="5" s="1"/>
  <c r="AG56" i="5"/>
  <c r="S57" i="5"/>
  <c r="O58" i="5"/>
  <c r="D57" i="5"/>
  <c r="Q58" i="5"/>
  <c r="F57" i="5"/>
  <c r="P57" i="5"/>
  <c r="E57" i="5" s="1"/>
  <c r="G56" i="5"/>
  <c r="Z480" i="5"/>
  <c r="V480" i="5" s="1"/>
  <c r="B480" i="5"/>
  <c r="B479" i="6"/>
  <c r="V479" i="6" s="1"/>
  <c r="B479" i="11"/>
  <c r="V479" i="11" s="1"/>
  <c r="K56" i="5" l="1"/>
  <c r="J480" i="5"/>
  <c r="R480" i="5"/>
  <c r="X480" i="5"/>
  <c r="AS479" i="5"/>
  <c r="H57" i="5"/>
  <c r="N57" i="5" s="1"/>
  <c r="AG57" i="5"/>
  <c r="F58" i="5"/>
  <c r="P58" i="5"/>
  <c r="E58" i="5" s="1"/>
  <c r="G57" i="5"/>
  <c r="S58" i="5"/>
  <c r="D58" i="5"/>
  <c r="O59" i="5"/>
  <c r="Q59" i="5"/>
  <c r="Z481" i="5"/>
  <c r="V481" i="5" s="1"/>
  <c r="B480" i="6"/>
  <c r="V480" i="6" s="1"/>
  <c r="B481" i="5"/>
  <c r="B480" i="11"/>
  <c r="V480" i="11" s="1"/>
  <c r="AS480" i="5" l="1"/>
  <c r="R481" i="5"/>
  <c r="J481" i="5"/>
  <c r="X481" i="5"/>
  <c r="K57" i="5"/>
  <c r="H58" i="5"/>
  <c r="N58" i="5" s="1"/>
  <c r="AG58" i="5"/>
  <c r="F59" i="5"/>
  <c r="P59" i="5"/>
  <c r="E59" i="5" s="1"/>
  <c r="G58" i="5"/>
  <c r="S59" i="5"/>
  <c r="D59" i="5"/>
  <c r="O60" i="5"/>
  <c r="Q60" i="5"/>
  <c r="Z482" i="5"/>
  <c r="V482" i="5" s="1"/>
  <c r="B481" i="11"/>
  <c r="V481" i="11" s="1"/>
  <c r="B482" i="5"/>
  <c r="B481" i="6"/>
  <c r="V481" i="6" s="1"/>
  <c r="AS481" i="5" l="1"/>
  <c r="J482" i="5"/>
  <c r="R482" i="5"/>
  <c r="X482" i="5"/>
  <c r="K58" i="5"/>
  <c r="F60" i="5"/>
  <c r="P60" i="5"/>
  <c r="E60" i="5" s="1"/>
  <c r="S60" i="5"/>
  <c r="Q61" i="5"/>
  <c r="O61" i="5"/>
  <c r="D60" i="5"/>
  <c r="G59" i="5"/>
  <c r="H59" i="5"/>
  <c r="N59" i="5" s="1"/>
  <c r="AG59" i="5"/>
  <c r="Z483" i="5"/>
  <c r="V483" i="5" s="1"/>
  <c r="B482" i="11"/>
  <c r="V482" i="11" s="1"/>
  <c r="B483" i="5"/>
  <c r="B482" i="6"/>
  <c r="V482" i="6" s="1"/>
  <c r="J483" i="5" l="1"/>
  <c r="R483" i="5"/>
  <c r="X483" i="5"/>
  <c r="AS482" i="5"/>
  <c r="K59" i="5"/>
  <c r="S61" i="5"/>
  <c r="D61" i="5"/>
  <c r="O62" i="5"/>
  <c r="Q62" i="5"/>
  <c r="F61" i="5"/>
  <c r="P61" i="5"/>
  <c r="E61" i="5" s="1"/>
  <c r="G60" i="5"/>
  <c r="H60" i="5"/>
  <c r="N60" i="5" s="1"/>
  <c r="AG60" i="5"/>
  <c r="Z484" i="5"/>
  <c r="V484" i="5" s="1"/>
  <c r="B484" i="5"/>
  <c r="B483" i="11"/>
  <c r="V483" i="11" s="1"/>
  <c r="B483" i="6"/>
  <c r="V483" i="6" s="1"/>
  <c r="AS483" i="5" l="1"/>
  <c r="J484" i="5"/>
  <c r="R484" i="5"/>
  <c r="X484" i="5"/>
  <c r="K60" i="5"/>
  <c r="H61" i="5"/>
  <c r="N61" i="5" s="1"/>
  <c r="AG61" i="5"/>
  <c r="F62" i="5"/>
  <c r="P62" i="5"/>
  <c r="E62" i="5" s="1"/>
  <c r="G61" i="5"/>
  <c r="S62" i="5"/>
  <c r="D62" i="5"/>
  <c r="O63" i="5"/>
  <c r="Q63" i="5"/>
  <c r="Z485" i="5"/>
  <c r="V485" i="5" s="1"/>
  <c r="B484" i="6"/>
  <c r="V484" i="6" s="1"/>
  <c r="B484" i="11"/>
  <c r="V484" i="11" s="1"/>
  <c r="B485" i="5"/>
  <c r="J485" i="5" l="1"/>
  <c r="R485" i="5"/>
  <c r="X485" i="5"/>
  <c r="AS484" i="5"/>
  <c r="S63" i="5"/>
  <c r="Q64" i="5"/>
  <c r="D63" i="5"/>
  <c r="O64" i="5"/>
  <c r="H62" i="5"/>
  <c r="N62" i="5" s="1"/>
  <c r="AG62" i="5"/>
  <c r="G62" i="5"/>
  <c r="F63" i="5"/>
  <c r="P63" i="5"/>
  <c r="E63" i="5" s="1"/>
  <c r="K61" i="5"/>
  <c r="Z486" i="5"/>
  <c r="V486" i="5" s="1"/>
  <c r="B485" i="6"/>
  <c r="V485" i="6" s="1"/>
  <c r="B485" i="11"/>
  <c r="V485" i="11" s="1"/>
  <c r="B486" i="5"/>
  <c r="AS485" i="5" l="1"/>
  <c r="R486" i="5"/>
  <c r="J486" i="5"/>
  <c r="X486" i="5"/>
  <c r="K62" i="5"/>
  <c r="G63" i="5"/>
  <c r="F64" i="5"/>
  <c r="P64" i="5"/>
  <c r="E64" i="5" s="1"/>
  <c r="H63" i="5"/>
  <c r="N63" i="5" s="1"/>
  <c r="AG63" i="5"/>
  <c r="S64" i="5"/>
  <c r="Q65" i="5"/>
  <c r="O65" i="5"/>
  <c r="D64" i="5"/>
  <c r="Z487" i="5"/>
  <c r="V487" i="5" s="1"/>
  <c r="B486" i="11"/>
  <c r="V486" i="11" s="1"/>
  <c r="B486" i="6"/>
  <c r="V486" i="6" s="1"/>
  <c r="B487" i="5"/>
  <c r="R487" i="5" l="1"/>
  <c r="J487" i="5"/>
  <c r="X487" i="5"/>
  <c r="AS486" i="5"/>
  <c r="G64" i="5"/>
  <c r="H64" i="5"/>
  <c r="N64" i="5" s="1"/>
  <c r="AG64" i="5"/>
  <c r="K63" i="5"/>
  <c r="S65" i="5"/>
  <c r="D65" i="5"/>
  <c r="Q66" i="5"/>
  <c r="O66" i="5"/>
  <c r="F65" i="5"/>
  <c r="P65" i="5"/>
  <c r="E65" i="5" s="1"/>
  <c r="Z488" i="5"/>
  <c r="V488" i="5" s="1"/>
  <c r="B488" i="5"/>
  <c r="B487" i="11"/>
  <c r="V487" i="11" s="1"/>
  <c r="B487" i="6"/>
  <c r="V487" i="6" s="1"/>
  <c r="AS487" i="5" l="1"/>
  <c r="J488" i="5"/>
  <c r="R488" i="5"/>
  <c r="X488" i="5"/>
  <c r="K64" i="5"/>
  <c r="G65" i="5"/>
  <c r="F66" i="5"/>
  <c r="P66" i="5"/>
  <c r="E66" i="5" s="1"/>
  <c r="H65" i="5"/>
  <c r="N65" i="5" s="1"/>
  <c r="AG65" i="5"/>
  <c r="S66" i="5"/>
  <c r="Q67" i="5"/>
  <c r="D66" i="5"/>
  <c r="O67" i="5"/>
  <c r="Z489" i="5"/>
  <c r="V489" i="5" s="1"/>
  <c r="B489" i="5"/>
  <c r="B488" i="6"/>
  <c r="V488" i="6" s="1"/>
  <c r="B488" i="11"/>
  <c r="V488" i="11" s="1"/>
  <c r="R489" i="5" l="1"/>
  <c r="J489" i="5"/>
  <c r="X489" i="5"/>
  <c r="AS488" i="5"/>
  <c r="H66" i="5"/>
  <c r="N66" i="5" s="1"/>
  <c r="AG66" i="5"/>
  <c r="S67" i="5"/>
  <c r="D67" i="5"/>
  <c r="O68" i="5"/>
  <c r="Q68" i="5"/>
  <c r="K65" i="5"/>
  <c r="G66" i="5"/>
  <c r="F67" i="5"/>
  <c r="P67" i="5"/>
  <c r="E67" i="5" s="1"/>
  <c r="Z490" i="5"/>
  <c r="V490" i="5" s="1"/>
  <c r="B489" i="11"/>
  <c r="V489" i="11" s="1"/>
  <c r="B490" i="5"/>
  <c r="B489" i="6"/>
  <c r="V489" i="6" s="1"/>
  <c r="J490" i="5" l="1"/>
  <c r="R490" i="5"/>
  <c r="X490" i="5"/>
  <c r="AS489" i="5"/>
  <c r="K66" i="5"/>
  <c r="G67" i="5"/>
  <c r="F68" i="5"/>
  <c r="P68" i="5"/>
  <c r="E68" i="5" s="1"/>
  <c r="S68" i="5"/>
  <c r="Q69" i="5"/>
  <c r="D68" i="5"/>
  <c r="O69" i="5"/>
  <c r="H67" i="5"/>
  <c r="N67" i="5" s="1"/>
  <c r="AG67" i="5"/>
  <c r="Z491" i="5"/>
  <c r="V491" i="5" s="1"/>
  <c r="B490" i="11"/>
  <c r="V490" i="11" s="1"/>
  <c r="B491" i="5"/>
  <c r="B490" i="6"/>
  <c r="V490" i="6" s="1"/>
  <c r="J491" i="5" l="1"/>
  <c r="R491" i="5"/>
  <c r="X491" i="5"/>
  <c r="AS490" i="5"/>
  <c r="F69" i="5"/>
  <c r="P69" i="5"/>
  <c r="E69" i="5" s="1"/>
  <c r="G68" i="5"/>
  <c r="H68" i="5"/>
  <c r="N68" i="5" s="1"/>
  <c r="AG68" i="5"/>
  <c r="K67" i="5"/>
  <c r="S69" i="5"/>
  <c r="D69" i="5"/>
  <c r="Q70" i="5"/>
  <c r="O70" i="5"/>
  <c r="Z492" i="5"/>
  <c r="V492" i="5" s="1"/>
  <c r="B492" i="5"/>
  <c r="B491" i="11"/>
  <c r="V491" i="11" s="1"/>
  <c r="B491" i="6"/>
  <c r="V491" i="6" s="1"/>
  <c r="J492" i="5" l="1"/>
  <c r="R492" i="5"/>
  <c r="X492" i="5"/>
  <c r="AS491" i="5"/>
  <c r="F70" i="5"/>
  <c r="P70" i="5"/>
  <c r="E70" i="5" s="1"/>
  <c r="K68" i="5"/>
  <c r="H69" i="5"/>
  <c r="N69" i="5" s="1"/>
  <c r="AG69" i="5"/>
  <c r="G69" i="5"/>
  <c r="S70" i="5"/>
  <c r="D70" i="5"/>
  <c r="Q71" i="5"/>
  <c r="O71" i="5"/>
  <c r="Z493" i="5"/>
  <c r="V493" i="5" s="1"/>
  <c r="B492" i="6"/>
  <c r="V492" i="6" s="1"/>
  <c r="B492" i="11"/>
  <c r="V492" i="11" s="1"/>
  <c r="B493" i="5"/>
  <c r="AS492" i="5" l="1"/>
  <c r="J493" i="5"/>
  <c r="R493" i="5"/>
  <c r="X493" i="5"/>
  <c r="H70" i="5"/>
  <c r="N70" i="5" s="1"/>
  <c r="AG70" i="5"/>
  <c r="S71" i="5"/>
  <c r="O72" i="5"/>
  <c r="D71" i="5"/>
  <c r="Q72" i="5"/>
  <c r="G70" i="5"/>
  <c r="F71" i="5"/>
  <c r="P71" i="5"/>
  <c r="E71" i="5" s="1"/>
  <c r="K69" i="5"/>
  <c r="Z494" i="5"/>
  <c r="V494" i="5" s="1"/>
  <c r="B493" i="11"/>
  <c r="V493" i="11" s="1"/>
  <c r="B493" i="6"/>
  <c r="V493" i="6" s="1"/>
  <c r="B494" i="5"/>
  <c r="R494" i="5" l="1"/>
  <c r="J494" i="5"/>
  <c r="X494" i="5"/>
  <c r="AS493" i="5"/>
  <c r="K70" i="5"/>
  <c r="G71" i="5"/>
  <c r="H71" i="5"/>
  <c r="N71" i="5" s="1"/>
  <c r="AG71" i="5"/>
  <c r="F72" i="5"/>
  <c r="P72" i="5"/>
  <c r="E72" i="5" s="1"/>
  <c r="S72" i="5"/>
  <c r="O73" i="5"/>
  <c r="D72" i="5"/>
  <c r="Q73" i="5"/>
  <c r="Z495" i="5"/>
  <c r="V495" i="5" s="1"/>
  <c r="B494" i="11"/>
  <c r="V494" i="11" s="1"/>
  <c r="B495" i="5"/>
  <c r="B494" i="6"/>
  <c r="V494" i="6" s="1"/>
  <c r="J495" i="5" l="1"/>
  <c r="R495" i="5"/>
  <c r="X495" i="5"/>
  <c r="AS494" i="5"/>
  <c r="H72" i="5"/>
  <c r="N72" i="5" s="1"/>
  <c r="AG72" i="5"/>
  <c r="F73" i="5"/>
  <c r="P73" i="5"/>
  <c r="E73" i="5" s="1"/>
  <c r="G72" i="5"/>
  <c r="K71" i="5"/>
  <c r="S73" i="5"/>
  <c r="O74" i="5"/>
  <c r="D73" i="5"/>
  <c r="Q74" i="5"/>
  <c r="Z496" i="5"/>
  <c r="V496" i="5" s="1"/>
  <c r="B496" i="5"/>
  <c r="B495" i="11"/>
  <c r="V495" i="11" s="1"/>
  <c r="B495" i="6"/>
  <c r="V495" i="6" s="1"/>
  <c r="K72" i="5" l="1"/>
  <c r="R496" i="5"/>
  <c r="J496" i="5"/>
  <c r="X496" i="5"/>
  <c r="AS495" i="5"/>
  <c r="S74" i="5"/>
  <c r="D74" i="5"/>
  <c r="Q75" i="5"/>
  <c r="O75" i="5"/>
  <c r="H73" i="5"/>
  <c r="N73" i="5" s="1"/>
  <c r="AG73" i="5"/>
  <c r="G73" i="5"/>
  <c r="F74" i="5"/>
  <c r="P74" i="5"/>
  <c r="E74" i="5" s="1"/>
  <c r="Z497" i="5"/>
  <c r="V497" i="5" s="1"/>
  <c r="B496" i="11"/>
  <c r="V496" i="11" s="1"/>
  <c r="B497" i="5"/>
  <c r="B496" i="6"/>
  <c r="V496" i="6" s="1"/>
  <c r="J497" i="5" l="1"/>
  <c r="R497" i="5"/>
  <c r="X497" i="5"/>
  <c r="AS496" i="5"/>
  <c r="G74" i="5"/>
  <c r="F75" i="5"/>
  <c r="P75" i="5"/>
  <c r="E75" i="5" s="1"/>
  <c r="H74" i="5"/>
  <c r="N74" i="5" s="1"/>
  <c r="AG74" i="5"/>
  <c r="K73" i="5"/>
  <c r="S75" i="5"/>
  <c r="Q76" i="5"/>
  <c r="D75" i="5"/>
  <c r="O76" i="5"/>
  <c r="Z498" i="5"/>
  <c r="V498" i="5" s="1"/>
  <c r="B497" i="6"/>
  <c r="V497" i="6" s="1"/>
  <c r="B498" i="5"/>
  <c r="B497" i="11"/>
  <c r="V497" i="11" s="1"/>
  <c r="J498" i="5" l="1"/>
  <c r="R498" i="5"/>
  <c r="X498" i="5"/>
  <c r="AS497" i="5"/>
  <c r="F76" i="5"/>
  <c r="P76" i="5"/>
  <c r="E76" i="5" s="1"/>
  <c r="K74" i="5"/>
  <c r="G75" i="5"/>
  <c r="H75" i="5"/>
  <c r="N75" i="5" s="1"/>
  <c r="AG75" i="5"/>
  <c r="S76" i="5"/>
  <c r="D76" i="5"/>
  <c r="Q77" i="5"/>
  <c r="O77" i="5"/>
  <c r="Z499" i="5"/>
  <c r="V499" i="5" s="1"/>
  <c r="B498" i="6"/>
  <c r="V498" i="6" s="1"/>
  <c r="B498" i="11"/>
  <c r="V498" i="11" s="1"/>
  <c r="B499" i="5"/>
  <c r="J499" i="5" l="1"/>
  <c r="R499" i="5"/>
  <c r="X499" i="5"/>
  <c r="AS498" i="5"/>
  <c r="H76" i="5"/>
  <c r="N76" i="5" s="1"/>
  <c r="AG76" i="5"/>
  <c r="S77" i="5"/>
  <c r="D77" i="5"/>
  <c r="Q78" i="5"/>
  <c r="O78" i="5"/>
  <c r="K75" i="5"/>
  <c r="G76" i="5"/>
  <c r="F77" i="5"/>
  <c r="P77" i="5"/>
  <c r="E77" i="5" s="1"/>
  <c r="Z500" i="5"/>
  <c r="V500" i="5" s="1"/>
  <c r="B500" i="5"/>
  <c r="B499" i="6"/>
  <c r="V499" i="6" s="1"/>
  <c r="B499" i="11"/>
  <c r="V499" i="11" s="1"/>
  <c r="AS499" i="5" l="1"/>
  <c r="R500" i="5"/>
  <c r="J500" i="5"/>
  <c r="X500" i="5"/>
  <c r="K76" i="5"/>
  <c r="G77" i="5"/>
  <c r="H77" i="5"/>
  <c r="N77" i="5" s="1"/>
  <c r="AG77" i="5"/>
  <c r="S78" i="5"/>
  <c r="Q79" i="5"/>
  <c r="O79" i="5"/>
  <c r="D78" i="5"/>
  <c r="F78" i="5"/>
  <c r="P78" i="5"/>
  <c r="E78" i="5" s="1"/>
  <c r="Z501" i="5"/>
  <c r="V501" i="5" s="1"/>
  <c r="B500" i="11"/>
  <c r="V500" i="11" s="1"/>
  <c r="B500" i="6"/>
  <c r="V500" i="6" s="1"/>
  <c r="B501" i="5"/>
  <c r="R501" i="5" l="1"/>
  <c r="J501" i="5"/>
  <c r="X501" i="5"/>
  <c r="AS500" i="5"/>
  <c r="K77" i="5"/>
  <c r="S79" i="5"/>
  <c r="Q80" i="5"/>
  <c r="O80" i="5"/>
  <c r="D79" i="5"/>
  <c r="G78" i="5"/>
  <c r="F79" i="5"/>
  <c r="P79" i="5"/>
  <c r="E79" i="5" s="1"/>
  <c r="H78" i="5"/>
  <c r="N78" i="5" s="1"/>
  <c r="AG78" i="5"/>
  <c r="Z502" i="5"/>
  <c r="V502" i="5" s="1"/>
  <c r="B501" i="6"/>
  <c r="V501" i="6" s="1"/>
  <c r="B501" i="11"/>
  <c r="V501" i="11" s="1"/>
  <c r="B502" i="5"/>
  <c r="R502" i="5" l="1"/>
  <c r="J502" i="5"/>
  <c r="X502" i="5"/>
  <c r="AS501" i="5"/>
  <c r="K78" i="5"/>
  <c r="G79" i="5"/>
  <c r="S80" i="5"/>
  <c r="D80" i="5"/>
  <c r="O81" i="5"/>
  <c r="Q81" i="5"/>
  <c r="F80" i="5"/>
  <c r="P80" i="5"/>
  <c r="E80" i="5" s="1"/>
  <c r="H79" i="5"/>
  <c r="N79" i="5" s="1"/>
  <c r="AG79" i="5"/>
  <c r="Z503" i="5"/>
  <c r="V503" i="5" s="1"/>
  <c r="B503" i="5"/>
  <c r="B502" i="11"/>
  <c r="V502" i="11" s="1"/>
  <c r="B502" i="6"/>
  <c r="V502" i="6" s="1"/>
  <c r="J503" i="5" l="1"/>
  <c r="R503" i="5"/>
  <c r="X503" i="5"/>
  <c r="AS502" i="5"/>
  <c r="S81" i="5"/>
  <c r="O82" i="5"/>
  <c r="Q82" i="5"/>
  <c r="D81" i="5"/>
  <c r="G80" i="5"/>
  <c r="H80" i="5"/>
  <c r="N80" i="5" s="1"/>
  <c r="AG80" i="5"/>
  <c r="F81" i="5"/>
  <c r="P81" i="5"/>
  <c r="E81" i="5" s="1"/>
  <c r="K79" i="5"/>
  <c r="Z504" i="5"/>
  <c r="V504" i="5" s="1"/>
  <c r="B504" i="5"/>
  <c r="B503" i="6"/>
  <c r="V503" i="6" s="1"/>
  <c r="B503" i="11"/>
  <c r="V503" i="11" s="1"/>
  <c r="AS503" i="5" l="1"/>
  <c r="R504" i="5"/>
  <c r="J504" i="5"/>
  <c r="X504" i="5"/>
  <c r="K80" i="5"/>
  <c r="G81" i="5"/>
  <c r="F82" i="5"/>
  <c r="P82" i="5"/>
  <c r="E82" i="5" s="1"/>
  <c r="S82" i="5"/>
  <c r="O83" i="5"/>
  <c r="Q83" i="5"/>
  <c r="D82" i="5"/>
  <c r="H81" i="5"/>
  <c r="N81" i="5" s="1"/>
  <c r="AG81" i="5"/>
  <c r="Z505" i="5"/>
  <c r="V505" i="5" s="1"/>
  <c r="B504" i="11"/>
  <c r="V504" i="11" s="1"/>
  <c r="B505" i="5"/>
  <c r="B504" i="6"/>
  <c r="V504" i="6" s="1"/>
  <c r="R505" i="5" l="1"/>
  <c r="J505" i="5"/>
  <c r="X505" i="5"/>
  <c r="AS504" i="5"/>
  <c r="S83" i="5"/>
  <c r="O84" i="5"/>
  <c r="Q84" i="5"/>
  <c r="D83" i="5"/>
  <c r="H82" i="5"/>
  <c r="N82" i="5" s="1"/>
  <c r="AG82" i="5"/>
  <c r="G82" i="5"/>
  <c r="F83" i="5"/>
  <c r="P83" i="5"/>
  <c r="E83" i="5" s="1"/>
  <c r="K81" i="5"/>
  <c r="Z506" i="5"/>
  <c r="V506" i="5" s="1"/>
  <c r="B505" i="11"/>
  <c r="V505" i="11" s="1"/>
  <c r="B506" i="5"/>
  <c r="B505" i="6"/>
  <c r="V505" i="6" s="1"/>
  <c r="J506" i="5" l="1"/>
  <c r="R506" i="5"/>
  <c r="X506" i="5"/>
  <c r="AS505" i="5"/>
  <c r="G83" i="5"/>
  <c r="K82" i="5"/>
  <c r="S84" i="5"/>
  <c r="D84" i="5"/>
  <c r="O85" i="5"/>
  <c r="Q85" i="5"/>
  <c r="H83" i="5"/>
  <c r="N83" i="5" s="1"/>
  <c r="AG83" i="5"/>
  <c r="F84" i="5"/>
  <c r="P84" i="5"/>
  <c r="E84" i="5" s="1"/>
  <c r="Z507" i="5"/>
  <c r="V507" i="5" s="1"/>
  <c r="B507" i="5"/>
  <c r="B506" i="6"/>
  <c r="V506" i="6" s="1"/>
  <c r="B506" i="11"/>
  <c r="V506" i="11" s="1"/>
  <c r="J507" i="5" l="1"/>
  <c r="R507" i="5"/>
  <c r="X507" i="5"/>
  <c r="AS506" i="5"/>
  <c r="H84" i="5"/>
  <c r="N84" i="5" s="1"/>
  <c r="AG84" i="5"/>
  <c r="G84" i="5"/>
  <c r="F85" i="5"/>
  <c r="P85" i="5"/>
  <c r="E85" i="5" s="1"/>
  <c r="S85" i="5"/>
  <c r="D85" i="5"/>
  <c r="O86" i="5"/>
  <c r="Q86" i="5"/>
  <c r="K83" i="5"/>
  <c r="Z508" i="5"/>
  <c r="V508" i="5" s="1"/>
  <c r="B508" i="5"/>
  <c r="B507" i="11"/>
  <c r="V507" i="11" s="1"/>
  <c r="B507" i="6"/>
  <c r="V507" i="6" s="1"/>
  <c r="J508" i="5" l="1"/>
  <c r="R508" i="5"/>
  <c r="X508" i="5"/>
  <c r="AS507" i="5"/>
  <c r="K84" i="5"/>
  <c r="S86" i="5"/>
  <c r="D86" i="5"/>
  <c r="O87" i="5"/>
  <c r="Q87" i="5"/>
  <c r="H85" i="5"/>
  <c r="N85" i="5" s="1"/>
  <c r="AG85" i="5"/>
  <c r="G85" i="5"/>
  <c r="F86" i="5"/>
  <c r="P86" i="5"/>
  <c r="E86" i="5" s="1"/>
  <c r="Z509" i="5"/>
  <c r="V509" i="5" s="1"/>
  <c r="B508" i="6"/>
  <c r="V508" i="6" s="1"/>
  <c r="B509" i="5"/>
  <c r="B508" i="11"/>
  <c r="V508" i="11" s="1"/>
  <c r="AS508" i="5" l="1"/>
  <c r="R509" i="5"/>
  <c r="J509" i="5"/>
  <c r="X509" i="5"/>
  <c r="K85" i="5"/>
  <c r="F87" i="5"/>
  <c r="P87" i="5"/>
  <c r="E87" i="5" s="1"/>
  <c r="S87" i="5"/>
  <c r="D87" i="5"/>
  <c r="O88" i="5"/>
  <c r="Q88" i="5"/>
  <c r="G86" i="5"/>
  <c r="H86" i="5"/>
  <c r="N86" i="5" s="1"/>
  <c r="AG86" i="5"/>
  <c r="Z510" i="5"/>
  <c r="V510" i="5" s="1"/>
  <c r="B509" i="11"/>
  <c r="V509" i="11" s="1"/>
  <c r="B510" i="5"/>
  <c r="B509" i="6"/>
  <c r="V509" i="6" s="1"/>
  <c r="J510" i="5" l="1"/>
  <c r="R510" i="5"/>
  <c r="X510" i="5"/>
  <c r="AS509" i="5"/>
  <c r="G87" i="5"/>
  <c r="K86" i="5"/>
  <c r="H87" i="5"/>
  <c r="N87" i="5" s="1"/>
  <c r="AG87" i="5"/>
  <c r="F88" i="5"/>
  <c r="P88" i="5"/>
  <c r="E88" i="5" s="1"/>
  <c r="S88" i="5"/>
  <c r="D88" i="5"/>
  <c r="Q89" i="5"/>
  <c r="O89" i="5"/>
  <c r="Z511" i="5"/>
  <c r="V511" i="5" s="1"/>
  <c r="B510" i="11"/>
  <c r="V510" i="11" s="1"/>
  <c r="B511" i="5"/>
  <c r="B510" i="6"/>
  <c r="V510" i="6" s="1"/>
  <c r="J511" i="5" l="1"/>
  <c r="R511" i="5"/>
  <c r="X511" i="5"/>
  <c r="AS510" i="5"/>
  <c r="F89" i="5"/>
  <c r="P89" i="5"/>
  <c r="E89" i="5" s="1"/>
  <c r="G88" i="5"/>
  <c r="H88" i="5"/>
  <c r="N88" i="5" s="1"/>
  <c r="AG88" i="5"/>
  <c r="K87" i="5"/>
  <c r="S89" i="5"/>
  <c r="Q90" i="5"/>
  <c r="D89" i="5"/>
  <c r="O90" i="5"/>
  <c r="B511" i="11"/>
  <c r="V511" i="11" s="1"/>
  <c r="B511" i="6"/>
  <c r="V511" i="6" s="1"/>
  <c r="AS511" i="5" l="1"/>
  <c r="G89" i="5"/>
  <c r="H89" i="5"/>
  <c r="N89" i="5" s="1"/>
  <c r="AG89" i="5"/>
  <c r="S90" i="5"/>
  <c r="Q91" i="5"/>
  <c r="D90" i="5"/>
  <c r="O91" i="5"/>
  <c r="K88" i="5"/>
  <c r="F90" i="5"/>
  <c r="P90" i="5"/>
  <c r="E90" i="5" s="1"/>
  <c r="K89" i="5" l="1"/>
  <c r="H90" i="5"/>
  <c r="N90" i="5" s="1"/>
  <c r="AG90" i="5"/>
  <c r="S91" i="5"/>
  <c r="D91" i="5"/>
  <c r="O92" i="5"/>
  <c r="Q92" i="5"/>
  <c r="G90" i="5"/>
  <c r="F91" i="5"/>
  <c r="P91" i="5"/>
  <c r="E91" i="5" s="1"/>
  <c r="K90" i="5" l="1"/>
  <c r="F92" i="5"/>
  <c r="P92" i="5"/>
  <c r="E92" i="5" s="1"/>
  <c r="S92" i="5"/>
  <c r="Q93" i="5"/>
  <c r="D92" i="5"/>
  <c r="O93" i="5"/>
  <c r="G91" i="5"/>
  <c r="H91" i="5"/>
  <c r="N91" i="5" s="1"/>
  <c r="AG91" i="5"/>
  <c r="S93" i="5" l="1"/>
  <c r="O94" i="5"/>
  <c r="Q94" i="5"/>
  <c r="D93" i="5"/>
  <c r="K91" i="5"/>
  <c r="F93" i="5"/>
  <c r="P93" i="5"/>
  <c r="E93" i="5" s="1"/>
  <c r="H92" i="5"/>
  <c r="N92" i="5" s="1"/>
  <c r="AG92" i="5"/>
  <c r="G92" i="5"/>
  <c r="K92" i="5" l="1"/>
  <c r="F94" i="5"/>
  <c r="P94" i="5"/>
  <c r="E94" i="5" s="1"/>
  <c r="G93" i="5"/>
  <c r="S94" i="5"/>
  <c r="O95" i="5"/>
  <c r="Q95" i="5"/>
  <c r="D94" i="5"/>
  <c r="H93" i="5"/>
  <c r="N93" i="5" s="1"/>
  <c r="AG93" i="5"/>
  <c r="G94" i="5" l="1"/>
  <c r="S95" i="5"/>
  <c r="O96" i="5"/>
  <c r="D95" i="5"/>
  <c r="Q96" i="5"/>
  <c r="H94" i="5"/>
  <c r="N94" i="5" s="1"/>
  <c r="AG94" i="5"/>
  <c r="K93" i="5"/>
  <c r="F95" i="5"/>
  <c r="P95" i="5"/>
  <c r="E95" i="5" s="1"/>
  <c r="S96" i="5" l="1"/>
  <c r="D96" i="5"/>
  <c r="Q97" i="5"/>
  <c r="O97" i="5"/>
  <c r="K94" i="5"/>
  <c r="H95" i="5"/>
  <c r="N95" i="5" s="1"/>
  <c r="AG95" i="5"/>
  <c r="G95" i="5"/>
  <c r="F96" i="5"/>
  <c r="P96" i="5"/>
  <c r="E96" i="5" s="1"/>
  <c r="G96" i="5" l="1"/>
  <c r="K95" i="5"/>
  <c r="H96" i="5"/>
  <c r="N96" i="5" s="1"/>
  <c r="AG96" i="5"/>
  <c r="S97" i="5"/>
  <c r="Q98" i="5"/>
  <c r="O98" i="5"/>
  <c r="D97" i="5"/>
  <c r="F97" i="5"/>
  <c r="P97" i="5"/>
  <c r="E97" i="5" s="1"/>
  <c r="G97" i="5" l="1"/>
  <c r="S98" i="5"/>
  <c r="O99" i="5"/>
  <c r="D98" i="5"/>
  <c r="Q99" i="5"/>
  <c r="H97" i="5"/>
  <c r="N97" i="5" s="1"/>
  <c r="AG97" i="5"/>
  <c r="F98" i="5"/>
  <c r="P98" i="5"/>
  <c r="E98" i="5" s="1"/>
  <c r="K96" i="5"/>
  <c r="S99" i="5" l="1"/>
  <c r="O100" i="5"/>
  <c r="Q100" i="5"/>
  <c r="D99" i="5"/>
  <c r="G98" i="5"/>
  <c r="H98" i="5"/>
  <c r="N98" i="5" s="1"/>
  <c r="AG98" i="5"/>
  <c r="F99" i="5"/>
  <c r="P99" i="5"/>
  <c r="E99" i="5" s="1"/>
  <c r="K97" i="5"/>
  <c r="G99" i="5" l="1"/>
  <c r="K98" i="5"/>
  <c r="F100" i="5"/>
  <c r="P100" i="5"/>
  <c r="E100" i="5" s="1"/>
  <c r="S100" i="5"/>
  <c r="Q101" i="5"/>
  <c r="D100" i="5"/>
  <c r="O101" i="5"/>
  <c r="H99" i="5"/>
  <c r="N99" i="5" s="1"/>
  <c r="AG99" i="5"/>
  <c r="G100" i="5" l="1"/>
  <c r="S101" i="5"/>
  <c r="O102" i="5"/>
  <c r="D101" i="5"/>
  <c r="Q102" i="5"/>
  <c r="F101" i="5"/>
  <c r="P101" i="5"/>
  <c r="E101" i="5" s="1"/>
  <c r="H100" i="5"/>
  <c r="N100" i="5" s="1"/>
  <c r="AG100" i="5"/>
  <c r="K99" i="5"/>
  <c r="G101" i="5" l="1"/>
  <c r="S102" i="5"/>
  <c r="Q103" i="5"/>
  <c r="O103" i="5"/>
  <c r="D102" i="5"/>
  <c r="H101" i="5"/>
  <c r="N101" i="5" s="1"/>
  <c r="AG101" i="5"/>
  <c r="K100" i="5"/>
  <c r="F102" i="5"/>
  <c r="P102" i="5"/>
  <c r="E102" i="5" s="1"/>
  <c r="G102" i="5" l="1"/>
  <c r="K101" i="5"/>
  <c r="S103" i="5"/>
  <c r="D103" i="5"/>
  <c r="Q104" i="5"/>
  <c r="O104" i="5"/>
  <c r="F103" i="5"/>
  <c r="P103" i="5"/>
  <c r="E103" i="5" s="1"/>
  <c r="H102" i="5"/>
  <c r="N102" i="5" s="1"/>
  <c r="AG102" i="5"/>
  <c r="H103" i="5" l="1"/>
  <c r="N103" i="5" s="1"/>
  <c r="AG103" i="5"/>
  <c r="S104" i="5"/>
  <c r="Q105" i="5"/>
  <c r="D104" i="5"/>
  <c r="O105" i="5"/>
  <c r="G103" i="5"/>
  <c r="F104" i="5"/>
  <c r="P104" i="5"/>
  <c r="E104" i="5" s="1"/>
  <c r="K102" i="5"/>
  <c r="G104" i="5" l="1"/>
  <c r="F105" i="5"/>
  <c r="P105" i="5"/>
  <c r="E105" i="5" s="1"/>
  <c r="H104" i="5"/>
  <c r="N104" i="5" s="1"/>
  <c r="AG104" i="5"/>
  <c r="S105" i="5"/>
  <c r="Q106" i="5"/>
  <c r="D105" i="5"/>
  <c r="O106" i="5"/>
  <c r="K103" i="5"/>
  <c r="K104" i="5" l="1"/>
  <c r="S106" i="5"/>
  <c r="D106" i="5"/>
  <c r="Q107" i="5"/>
  <c r="O107" i="5"/>
  <c r="G105" i="5"/>
  <c r="F106" i="5"/>
  <c r="P106" i="5"/>
  <c r="E106" i="5" s="1"/>
  <c r="H105" i="5"/>
  <c r="N105" i="5" s="1"/>
  <c r="AG105" i="5"/>
  <c r="G106" i="5" l="1"/>
  <c r="S107" i="5"/>
  <c r="Q108" i="5"/>
  <c r="D107" i="5"/>
  <c r="O108" i="5"/>
  <c r="F107" i="5"/>
  <c r="P107" i="5"/>
  <c r="E107" i="5" s="1"/>
  <c r="K105" i="5"/>
  <c r="H106" i="5"/>
  <c r="N106" i="5" s="1"/>
  <c r="AG106" i="5"/>
  <c r="K106" i="5" l="1"/>
  <c r="F108" i="5"/>
  <c r="P108" i="5"/>
  <c r="E108" i="5" s="1"/>
  <c r="G107" i="5"/>
  <c r="H107" i="5"/>
  <c r="N107" i="5" s="1"/>
  <c r="AG107" i="5"/>
  <c r="S108" i="5"/>
  <c r="O109" i="5"/>
  <c r="Q109" i="5"/>
  <c r="D108" i="5"/>
  <c r="K107" i="5" l="1"/>
  <c r="H108" i="5"/>
  <c r="N108" i="5" s="1"/>
  <c r="AG108" i="5"/>
  <c r="F109" i="5"/>
  <c r="P109" i="5"/>
  <c r="E109" i="5" s="1"/>
  <c r="G108" i="5"/>
  <c r="S109" i="5"/>
  <c r="D109" i="5"/>
  <c r="Q110" i="5"/>
  <c r="O110" i="5"/>
  <c r="K108" i="5" l="1"/>
  <c r="H109" i="5"/>
  <c r="N109" i="5" s="1"/>
  <c r="AG109" i="5"/>
  <c r="S110" i="5"/>
  <c r="D110" i="5"/>
  <c r="Q111" i="5"/>
  <c r="O111" i="5"/>
  <c r="G109" i="5"/>
  <c r="F110" i="5"/>
  <c r="P110" i="5"/>
  <c r="E110" i="5" s="1"/>
  <c r="K109" i="5" l="1"/>
  <c r="G110" i="5"/>
  <c r="H110" i="5"/>
  <c r="N110" i="5" s="1"/>
  <c r="AG110" i="5"/>
  <c r="S111" i="5"/>
  <c r="Q112" i="5"/>
  <c r="O112" i="5"/>
  <c r="D111" i="5"/>
  <c r="F111" i="5"/>
  <c r="P111" i="5"/>
  <c r="E111" i="5" s="1"/>
  <c r="K110" i="5" l="1"/>
  <c r="F112" i="5"/>
  <c r="P112" i="5"/>
  <c r="E112" i="5" s="1"/>
  <c r="H111" i="5"/>
  <c r="N111" i="5" s="1"/>
  <c r="AG111" i="5"/>
  <c r="G111" i="5"/>
  <c r="S112" i="5"/>
  <c r="O113" i="5"/>
  <c r="D112" i="5"/>
  <c r="Q113" i="5"/>
  <c r="K111" i="5" l="1"/>
  <c r="S113" i="5"/>
  <c r="Q114" i="5"/>
  <c r="D113" i="5"/>
  <c r="O114" i="5"/>
  <c r="G112" i="5"/>
  <c r="H112" i="5"/>
  <c r="N112" i="5" s="1"/>
  <c r="AG112" i="5"/>
  <c r="F113" i="5"/>
  <c r="P113" i="5"/>
  <c r="E113" i="5" s="1"/>
  <c r="F114" i="5" l="1"/>
  <c r="P114" i="5"/>
  <c r="E114" i="5" s="1"/>
  <c r="K112" i="5"/>
  <c r="H113" i="5"/>
  <c r="N113" i="5" s="1"/>
  <c r="AG113" i="5"/>
  <c r="G113" i="5"/>
  <c r="S114" i="5"/>
  <c r="Q115" i="5"/>
  <c r="O115" i="5"/>
  <c r="D114" i="5"/>
  <c r="K113" i="5" l="1"/>
  <c r="S115" i="5"/>
  <c r="O116" i="5"/>
  <c r="Q116" i="5"/>
  <c r="D115" i="5"/>
  <c r="F115" i="5"/>
  <c r="P115" i="5"/>
  <c r="E115" i="5" s="1"/>
  <c r="G114" i="5"/>
  <c r="H114" i="5"/>
  <c r="N114" i="5" s="1"/>
  <c r="AG114" i="5"/>
  <c r="S116" i="5" l="1"/>
  <c r="Q117" i="5"/>
  <c r="O117" i="5"/>
  <c r="D116" i="5"/>
  <c r="G115" i="5"/>
  <c r="H115" i="5"/>
  <c r="N115" i="5" s="1"/>
  <c r="AG115" i="5"/>
  <c r="K114" i="5"/>
  <c r="F116" i="5"/>
  <c r="P116" i="5"/>
  <c r="E116" i="5" s="1"/>
  <c r="G116" i="5" l="1"/>
  <c r="K115" i="5"/>
  <c r="F117" i="5"/>
  <c r="P117" i="5"/>
  <c r="E117" i="5" s="1"/>
  <c r="H116" i="5"/>
  <c r="N116" i="5" s="1"/>
  <c r="AG116" i="5"/>
  <c r="S117" i="5"/>
  <c r="Q118" i="5"/>
  <c r="O118" i="5"/>
  <c r="D117" i="5"/>
  <c r="H117" i="5" l="1"/>
  <c r="N117" i="5" s="1"/>
  <c r="AG117" i="5"/>
  <c r="S118" i="5"/>
  <c r="O119" i="5"/>
  <c r="Q119" i="5"/>
  <c r="D118" i="5"/>
  <c r="G117" i="5"/>
  <c r="F118" i="5"/>
  <c r="P118" i="5"/>
  <c r="E118" i="5" s="1"/>
  <c r="K116" i="5"/>
  <c r="K117" i="5" l="1"/>
  <c r="G118" i="5"/>
  <c r="S119" i="5"/>
  <c r="Q120" i="5"/>
  <c r="O120" i="5"/>
  <c r="D119" i="5"/>
  <c r="H118" i="5"/>
  <c r="N118" i="5" s="1"/>
  <c r="AG118" i="5"/>
  <c r="F119" i="5"/>
  <c r="P119" i="5"/>
  <c r="E119" i="5" s="1"/>
  <c r="G119" i="5" l="1"/>
  <c r="K118" i="5"/>
  <c r="S120" i="5"/>
  <c r="Q121" i="5"/>
  <c r="O121" i="5"/>
  <c r="D120" i="5"/>
  <c r="F120" i="5"/>
  <c r="P120" i="5"/>
  <c r="E120" i="5" s="1"/>
  <c r="H119" i="5"/>
  <c r="N119" i="5" s="1"/>
  <c r="AG119" i="5"/>
  <c r="F121" i="5" l="1"/>
  <c r="P121" i="5"/>
  <c r="E121" i="5" s="1"/>
  <c r="G120" i="5"/>
  <c r="H120" i="5"/>
  <c r="N120" i="5" s="1"/>
  <c r="AG120" i="5"/>
  <c r="S121" i="5"/>
  <c r="O122" i="5"/>
  <c r="D121" i="5"/>
  <c r="Q122" i="5"/>
  <c r="K119" i="5"/>
  <c r="K120" i="5" l="1"/>
  <c r="S122" i="5"/>
  <c r="O123" i="5"/>
  <c r="Q123" i="5"/>
  <c r="D122" i="5"/>
  <c r="H121" i="5"/>
  <c r="N121" i="5" s="1"/>
  <c r="AG121" i="5"/>
  <c r="F122" i="5"/>
  <c r="P122" i="5"/>
  <c r="E122" i="5" s="1"/>
  <c r="G121" i="5"/>
  <c r="K121" i="5" l="1"/>
  <c r="G122" i="5"/>
  <c r="H122" i="5"/>
  <c r="N122" i="5" s="1"/>
  <c r="AG122" i="5"/>
  <c r="F123" i="5"/>
  <c r="P123" i="5"/>
  <c r="E123" i="5" s="1"/>
  <c r="S123" i="5"/>
  <c r="Q124" i="5"/>
  <c r="O124" i="5"/>
  <c r="D123" i="5"/>
  <c r="G123" i="5" l="1"/>
  <c r="K122" i="5"/>
  <c r="S124" i="5"/>
  <c r="O125" i="5"/>
  <c r="Q125" i="5"/>
  <c r="D124" i="5"/>
  <c r="H123" i="5"/>
  <c r="N123" i="5" s="1"/>
  <c r="AG123" i="5"/>
  <c r="F124" i="5"/>
  <c r="P124" i="5"/>
  <c r="E124" i="5" s="1"/>
  <c r="F125" i="5" l="1"/>
  <c r="P125" i="5"/>
  <c r="E125" i="5" s="1"/>
  <c r="S125" i="5"/>
  <c r="Q126" i="5"/>
  <c r="O126" i="5"/>
  <c r="D125" i="5"/>
  <c r="G124" i="5"/>
  <c r="K123" i="5"/>
  <c r="H124" i="5"/>
  <c r="N124" i="5" s="1"/>
  <c r="AG124" i="5"/>
  <c r="K124" i="5" l="1"/>
  <c r="S126" i="5"/>
  <c r="Q127" i="5"/>
  <c r="D126" i="5"/>
  <c r="O127" i="5"/>
  <c r="G125" i="5"/>
  <c r="F126" i="5"/>
  <c r="P126" i="5"/>
  <c r="E126" i="5" s="1"/>
  <c r="H125" i="5"/>
  <c r="N125" i="5" s="1"/>
  <c r="AG125" i="5"/>
  <c r="S127" i="5" l="1"/>
  <c r="O128" i="5"/>
  <c r="Q128" i="5"/>
  <c r="D127" i="5"/>
  <c r="G126" i="5"/>
  <c r="F127" i="5"/>
  <c r="P127" i="5"/>
  <c r="E127" i="5" s="1"/>
  <c r="K125" i="5"/>
  <c r="H126" i="5"/>
  <c r="N126" i="5" s="1"/>
  <c r="AG126" i="5"/>
  <c r="F128" i="5" l="1"/>
  <c r="P128" i="5"/>
  <c r="E128" i="5" s="1"/>
  <c r="G127" i="5"/>
  <c r="S128" i="5"/>
  <c r="O129" i="5"/>
  <c r="Q129" i="5"/>
  <c r="D128" i="5"/>
  <c r="K126" i="5"/>
  <c r="H127" i="5"/>
  <c r="N127" i="5" s="1"/>
  <c r="AG127" i="5"/>
  <c r="S129" i="5" l="1"/>
  <c r="O130" i="5"/>
  <c r="D129" i="5"/>
  <c r="Q130" i="5"/>
  <c r="H128" i="5"/>
  <c r="N128" i="5" s="1"/>
  <c r="AG128" i="5"/>
  <c r="K127" i="5"/>
  <c r="G128" i="5"/>
  <c r="F129" i="5"/>
  <c r="P129" i="5"/>
  <c r="E129" i="5" s="1"/>
  <c r="K128" i="5" l="1"/>
  <c r="G129" i="5"/>
  <c r="S130" i="5"/>
  <c r="D130" i="5"/>
  <c r="Q131" i="5"/>
  <c r="O131" i="5"/>
  <c r="H129" i="5"/>
  <c r="N129" i="5" s="1"/>
  <c r="AG129" i="5"/>
  <c r="F130" i="5"/>
  <c r="P130" i="5"/>
  <c r="E130" i="5" s="1"/>
  <c r="H130" i="5" l="1"/>
  <c r="N130" i="5" s="1"/>
  <c r="AG130" i="5"/>
  <c r="S131" i="5"/>
  <c r="Q132" i="5"/>
  <c r="D131" i="5"/>
  <c r="O132" i="5"/>
  <c r="K129" i="5"/>
  <c r="G130" i="5"/>
  <c r="F131" i="5"/>
  <c r="P131" i="5"/>
  <c r="E131" i="5" s="1"/>
  <c r="K130" i="5" l="1"/>
  <c r="G131" i="5"/>
  <c r="F132" i="5"/>
  <c r="P132" i="5"/>
  <c r="E132" i="5" s="1"/>
  <c r="H131" i="5"/>
  <c r="N131" i="5" s="1"/>
  <c r="AG131" i="5"/>
  <c r="S132" i="5"/>
  <c r="D132" i="5"/>
  <c r="Q133" i="5"/>
  <c r="O133" i="5"/>
  <c r="H132" i="5" l="1"/>
  <c r="N132" i="5" s="1"/>
  <c r="AG132" i="5"/>
  <c r="S133" i="5"/>
  <c r="D133" i="5"/>
  <c r="Q134" i="5"/>
  <c r="O134" i="5"/>
  <c r="G132" i="5"/>
  <c r="F133" i="5"/>
  <c r="P133" i="5"/>
  <c r="E133" i="5" s="1"/>
  <c r="K131" i="5"/>
  <c r="K132" i="5" l="1"/>
  <c r="H133" i="5"/>
  <c r="N133" i="5" s="1"/>
  <c r="AG133" i="5"/>
  <c r="G133" i="5"/>
  <c r="S134" i="5"/>
  <c r="D134" i="5"/>
  <c r="Q135" i="5"/>
  <c r="O135" i="5"/>
  <c r="F134" i="5"/>
  <c r="P134" i="5"/>
  <c r="E134" i="5" s="1"/>
  <c r="K133" i="5" l="1"/>
  <c r="H134" i="5"/>
  <c r="N134" i="5" s="1"/>
  <c r="AG134" i="5"/>
  <c r="G134" i="5"/>
  <c r="F135" i="5"/>
  <c r="P135" i="5"/>
  <c r="E135" i="5" s="1"/>
  <c r="S135" i="5"/>
  <c r="D135" i="5"/>
  <c r="O136" i="5"/>
  <c r="Q136" i="5"/>
  <c r="K134" i="5" l="1"/>
  <c r="S136" i="5"/>
  <c r="Q137" i="5"/>
  <c r="D136" i="5"/>
  <c r="O137" i="5"/>
  <c r="H135" i="5"/>
  <c r="N135" i="5" s="1"/>
  <c r="AG135" i="5"/>
  <c r="F136" i="5"/>
  <c r="P136" i="5"/>
  <c r="E136" i="5" s="1"/>
  <c r="G135" i="5"/>
  <c r="G136" i="5" l="1"/>
  <c r="K135" i="5"/>
  <c r="S137" i="5"/>
  <c r="D137" i="5"/>
  <c r="O138" i="5"/>
  <c r="Q138" i="5"/>
  <c r="F137" i="5"/>
  <c r="P137" i="5"/>
  <c r="E137" i="5" s="1"/>
  <c r="H136" i="5"/>
  <c r="N136" i="5" s="1"/>
  <c r="AG136" i="5"/>
  <c r="G137" i="5" l="1"/>
  <c r="H137" i="5"/>
  <c r="N137" i="5" s="1"/>
  <c r="AG137" i="5"/>
  <c r="F138" i="5"/>
  <c r="P138" i="5"/>
  <c r="E138" i="5" s="1"/>
  <c r="S138" i="5"/>
  <c r="Q139" i="5"/>
  <c r="O139" i="5"/>
  <c r="D138" i="5"/>
  <c r="K136" i="5"/>
  <c r="K137" i="5" l="1"/>
  <c r="G138" i="5"/>
  <c r="H138" i="5"/>
  <c r="N138" i="5" s="1"/>
  <c r="AG138" i="5"/>
  <c r="S139" i="5"/>
  <c r="D139" i="5"/>
  <c r="Q140" i="5"/>
  <c r="O140" i="5"/>
  <c r="F139" i="5"/>
  <c r="P139" i="5"/>
  <c r="E139" i="5" s="1"/>
  <c r="G139" i="5" l="1"/>
  <c r="K138" i="5"/>
  <c r="S140" i="5"/>
  <c r="D140" i="5"/>
  <c r="Q141" i="5"/>
  <c r="O141" i="5"/>
  <c r="F140" i="5"/>
  <c r="P140" i="5"/>
  <c r="E140" i="5" s="1"/>
  <c r="H139" i="5"/>
  <c r="N139" i="5" s="1"/>
  <c r="AG139" i="5"/>
  <c r="S141" i="5" l="1"/>
  <c r="D141" i="5"/>
  <c r="Q142" i="5"/>
  <c r="O142" i="5"/>
  <c r="F141" i="5"/>
  <c r="P141" i="5"/>
  <c r="E141" i="5" s="1"/>
  <c r="G140" i="5"/>
  <c r="K139" i="5"/>
  <c r="H140" i="5"/>
  <c r="N140" i="5" s="1"/>
  <c r="AG140" i="5"/>
  <c r="G141" i="5" l="1"/>
  <c r="F142" i="5"/>
  <c r="P142" i="5"/>
  <c r="E142" i="5" s="1"/>
  <c r="K140" i="5"/>
  <c r="H141" i="5"/>
  <c r="N141" i="5" s="1"/>
  <c r="AG141" i="5"/>
  <c r="S142" i="5"/>
  <c r="Q143" i="5"/>
  <c r="D142" i="5"/>
  <c r="O143" i="5"/>
  <c r="H142" i="5" l="1"/>
  <c r="N142" i="5" s="1"/>
  <c r="AG142" i="5"/>
  <c r="F143" i="5"/>
  <c r="P143" i="5"/>
  <c r="E143" i="5" s="1"/>
  <c r="S143" i="5"/>
  <c r="D143" i="5"/>
  <c r="Q144" i="5"/>
  <c r="O144" i="5"/>
  <c r="G142" i="5"/>
  <c r="K141" i="5"/>
  <c r="G143" i="5" l="1"/>
  <c r="K142" i="5"/>
  <c r="F144" i="5"/>
  <c r="P144" i="5"/>
  <c r="E144" i="5" s="1"/>
  <c r="H143" i="5"/>
  <c r="N143" i="5" s="1"/>
  <c r="AG143" i="5"/>
  <c r="S144" i="5"/>
  <c r="O145" i="5"/>
  <c r="D144" i="5"/>
  <c r="Q145" i="5"/>
  <c r="S145" i="5" l="1"/>
  <c r="D145" i="5"/>
  <c r="O146" i="5"/>
  <c r="Q146" i="5"/>
  <c r="K143" i="5"/>
  <c r="H144" i="5"/>
  <c r="N144" i="5" s="1"/>
  <c r="AG144" i="5"/>
  <c r="F145" i="5"/>
  <c r="P145" i="5"/>
  <c r="E145" i="5" s="1"/>
  <c r="G144" i="5"/>
  <c r="K144" i="5" l="1"/>
  <c r="F146" i="5"/>
  <c r="P146" i="5"/>
  <c r="E146" i="5" s="1"/>
  <c r="G145" i="5"/>
  <c r="S146" i="5"/>
  <c r="Q147" i="5"/>
  <c r="D146" i="5"/>
  <c r="O147" i="5"/>
  <c r="H145" i="5"/>
  <c r="N145" i="5" s="1"/>
  <c r="AG145" i="5"/>
  <c r="S147" i="5" l="1"/>
  <c r="Q148" i="5"/>
  <c r="O148" i="5"/>
  <c r="D147" i="5"/>
  <c r="K145" i="5"/>
  <c r="F147" i="5"/>
  <c r="P147" i="5"/>
  <c r="E147" i="5" s="1"/>
  <c r="H146" i="5"/>
  <c r="N146" i="5" s="1"/>
  <c r="AG146" i="5"/>
  <c r="G146" i="5"/>
  <c r="K146" i="5" l="1"/>
  <c r="S148" i="5"/>
  <c r="O149" i="5"/>
  <c r="Q149" i="5"/>
  <c r="D148" i="5"/>
  <c r="F148" i="5"/>
  <c r="P148" i="5"/>
  <c r="E148" i="5" s="1"/>
  <c r="H147" i="5"/>
  <c r="N147" i="5" s="1"/>
  <c r="AG147" i="5"/>
  <c r="G147" i="5"/>
  <c r="K147" i="5" l="1"/>
  <c r="F149" i="5"/>
  <c r="P149" i="5"/>
  <c r="E149" i="5" s="1"/>
  <c r="S149" i="5"/>
  <c r="O150" i="5"/>
  <c r="D149" i="5"/>
  <c r="Q150" i="5"/>
  <c r="H148" i="5"/>
  <c r="N148" i="5" s="1"/>
  <c r="AG148" i="5"/>
  <c r="G148" i="5"/>
  <c r="F150" i="5" l="1"/>
  <c r="P150" i="5"/>
  <c r="E150" i="5" s="1"/>
  <c r="K148" i="5"/>
  <c r="S150" i="5"/>
  <c r="Q151" i="5"/>
  <c r="O151" i="5"/>
  <c r="D150" i="5"/>
  <c r="H149" i="5"/>
  <c r="N149" i="5" s="1"/>
  <c r="AG149" i="5"/>
  <c r="G149" i="5"/>
  <c r="K149" i="5" l="1"/>
  <c r="H150" i="5"/>
  <c r="N150" i="5" s="1"/>
  <c r="AG150" i="5"/>
  <c r="S151" i="5"/>
  <c r="Q152" i="5"/>
  <c r="O152" i="5"/>
  <c r="D151" i="5"/>
  <c r="G150" i="5"/>
  <c r="F151" i="5"/>
  <c r="P151" i="5"/>
  <c r="E151" i="5" s="1"/>
  <c r="K150" i="5" l="1"/>
  <c r="G151" i="5"/>
  <c r="F152" i="5"/>
  <c r="P152" i="5"/>
  <c r="E152" i="5" s="1"/>
  <c r="H151" i="5"/>
  <c r="N151" i="5" s="1"/>
  <c r="AG151" i="5"/>
  <c r="S152" i="5"/>
  <c r="D152" i="5"/>
  <c r="O153" i="5"/>
  <c r="Q153" i="5"/>
  <c r="G152" i="5" l="1"/>
  <c r="F153" i="5"/>
  <c r="P153" i="5"/>
  <c r="E153" i="5" s="1"/>
  <c r="K151" i="5"/>
  <c r="H152" i="5"/>
  <c r="N152" i="5" s="1"/>
  <c r="AG152" i="5"/>
  <c r="S153" i="5"/>
  <c r="Q154" i="5"/>
  <c r="D153" i="5"/>
  <c r="O154" i="5"/>
  <c r="H153" i="5" l="1"/>
  <c r="N153" i="5" s="1"/>
  <c r="AG153" i="5"/>
  <c r="G153" i="5"/>
  <c r="S154" i="5"/>
  <c r="D154" i="5"/>
  <c r="O155" i="5"/>
  <c r="Q155" i="5"/>
  <c r="K152" i="5"/>
  <c r="F154" i="5"/>
  <c r="P154" i="5"/>
  <c r="E154" i="5" s="1"/>
  <c r="F155" i="5" l="1"/>
  <c r="P155" i="5"/>
  <c r="E155" i="5" s="1"/>
  <c r="K153" i="5"/>
  <c r="S155" i="5"/>
  <c r="D155" i="5"/>
  <c r="Q156" i="5"/>
  <c r="O156" i="5"/>
  <c r="G154" i="5"/>
  <c r="H154" i="5"/>
  <c r="N154" i="5" s="1"/>
  <c r="AG154" i="5"/>
  <c r="S156" i="5" l="1"/>
  <c r="Q157" i="5"/>
  <c r="D156" i="5"/>
  <c r="O157" i="5"/>
  <c r="F156" i="5"/>
  <c r="P156" i="5"/>
  <c r="E156" i="5" s="1"/>
  <c r="G155" i="5"/>
  <c r="K154" i="5"/>
  <c r="H155" i="5"/>
  <c r="N155" i="5" s="1"/>
  <c r="AG155" i="5"/>
  <c r="K155" i="5" l="1"/>
  <c r="S157" i="5"/>
  <c r="O158" i="5"/>
  <c r="Q158" i="5"/>
  <c r="D157" i="5"/>
  <c r="G156" i="5"/>
  <c r="F157" i="5"/>
  <c r="P157" i="5"/>
  <c r="E157" i="5" s="1"/>
  <c r="H156" i="5"/>
  <c r="N156" i="5" s="1"/>
  <c r="AG156" i="5"/>
  <c r="F158" i="5" l="1"/>
  <c r="P158" i="5"/>
  <c r="E158" i="5" s="1"/>
  <c r="K156" i="5"/>
  <c r="S158" i="5"/>
  <c r="D158" i="5"/>
  <c r="Q159" i="5"/>
  <c r="O159" i="5"/>
  <c r="G157" i="5"/>
  <c r="H157" i="5"/>
  <c r="N157" i="5" s="1"/>
  <c r="AG157" i="5"/>
  <c r="S159" i="5" l="1"/>
  <c r="Q160" i="5"/>
  <c r="O160" i="5"/>
  <c r="D159" i="5"/>
  <c r="F159" i="5"/>
  <c r="P159" i="5"/>
  <c r="E159" i="5" s="1"/>
  <c r="G158" i="5"/>
  <c r="K157" i="5"/>
  <c r="H158" i="5"/>
  <c r="N158" i="5" s="1"/>
  <c r="AG158" i="5"/>
  <c r="S160" i="5" l="1"/>
  <c r="O161" i="5"/>
  <c r="Q161" i="5"/>
  <c r="D160" i="5"/>
  <c r="K158" i="5"/>
  <c r="G159" i="5"/>
  <c r="F160" i="5"/>
  <c r="P160" i="5"/>
  <c r="E160" i="5" s="1"/>
  <c r="H159" i="5"/>
  <c r="N159" i="5" s="1"/>
  <c r="AG159" i="5"/>
  <c r="G160" i="5" l="1"/>
  <c r="H160" i="5"/>
  <c r="N160" i="5" s="1"/>
  <c r="AG160" i="5"/>
  <c r="K159" i="5"/>
  <c r="F161" i="5"/>
  <c r="P161" i="5"/>
  <c r="E161" i="5" s="1"/>
  <c r="S161" i="5"/>
  <c r="O162" i="5"/>
  <c r="Q162" i="5"/>
  <c r="D161" i="5"/>
  <c r="F162" i="5" l="1"/>
  <c r="P162" i="5"/>
  <c r="E162" i="5" s="1"/>
  <c r="G161" i="5"/>
  <c r="S162" i="5"/>
  <c r="D162" i="5"/>
  <c r="Q163" i="5"/>
  <c r="O163" i="5"/>
  <c r="H161" i="5"/>
  <c r="N161" i="5" s="1"/>
  <c r="AG161" i="5"/>
  <c r="K160" i="5"/>
  <c r="G162" i="5" l="1"/>
  <c r="F163" i="5"/>
  <c r="P163" i="5"/>
  <c r="E163" i="5" s="1"/>
  <c r="K161" i="5"/>
  <c r="H162" i="5"/>
  <c r="N162" i="5" s="1"/>
  <c r="AG162" i="5"/>
  <c r="S163" i="5"/>
  <c r="D163" i="5"/>
  <c r="Q164" i="5"/>
  <c r="O164" i="5"/>
  <c r="K162" i="5" l="1"/>
  <c r="F164" i="5"/>
  <c r="P164" i="5"/>
  <c r="E164" i="5" s="1"/>
  <c r="H163" i="5"/>
  <c r="N163" i="5" s="1"/>
  <c r="AG163" i="5"/>
  <c r="S164" i="5"/>
  <c r="Q165" i="5"/>
  <c r="O165" i="5"/>
  <c r="D164" i="5"/>
  <c r="G163" i="5"/>
  <c r="F165" i="5" l="1"/>
  <c r="P165" i="5"/>
  <c r="E165" i="5" s="1"/>
  <c r="H164" i="5"/>
  <c r="N164" i="5" s="1"/>
  <c r="AG164" i="5"/>
  <c r="K163" i="5"/>
  <c r="S165" i="5"/>
  <c r="D165" i="5"/>
  <c r="O166" i="5"/>
  <c r="Q166" i="5"/>
  <c r="G164" i="5"/>
  <c r="K164" i="5" l="1"/>
  <c r="F166" i="5"/>
  <c r="P166" i="5"/>
  <c r="E166" i="5" s="1"/>
  <c r="S166" i="5"/>
  <c r="Q167" i="5"/>
  <c r="O167" i="5"/>
  <c r="D166" i="5"/>
  <c r="G165" i="5"/>
  <c r="H165" i="5"/>
  <c r="N165" i="5" s="1"/>
  <c r="AG165" i="5"/>
  <c r="H166" i="5" l="1"/>
  <c r="N166" i="5" s="1"/>
  <c r="AG166" i="5"/>
  <c r="S167" i="5"/>
  <c r="D167" i="5"/>
  <c r="Q168" i="5"/>
  <c r="O168" i="5"/>
  <c r="G166" i="5"/>
  <c r="K165" i="5"/>
  <c r="F167" i="5"/>
  <c r="P167" i="5"/>
  <c r="E167" i="5" s="1"/>
  <c r="K166" i="5" l="1"/>
  <c r="G167" i="5"/>
  <c r="S168" i="5"/>
  <c r="D168" i="5"/>
  <c r="Q169" i="5"/>
  <c r="O169" i="5"/>
  <c r="F168" i="5"/>
  <c r="P168" i="5"/>
  <c r="E168" i="5" s="1"/>
  <c r="H167" i="5"/>
  <c r="N167" i="5" s="1"/>
  <c r="AG167" i="5"/>
  <c r="G168" i="5" l="1"/>
  <c r="K167" i="5"/>
  <c r="H168" i="5"/>
  <c r="N168" i="5" s="1"/>
  <c r="AG168" i="5"/>
  <c r="S169" i="5"/>
  <c r="D169" i="5"/>
  <c r="Q170" i="5"/>
  <c r="O170" i="5"/>
  <c r="F169" i="5"/>
  <c r="P169" i="5"/>
  <c r="E169" i="5" s="1"/>
  <c r="G169" i="5" l="1"/>
  <c r="H169" i="5"/>
  <c r="N169" i="5" s="1"/>
  <c r="AG169" i="5"/>
  <c r="S170" i="5"/>
  <c r="O171" i="5"/>
  <c r="D170" i="5"/>
  <c r="Q171" i="5"/>
  <c r="F170" i="5"/>
  <c r="P170" i="5"/>
  <c r="E170" i="5" s="1"/>
  <c r="K168" i="5"/>
  <c r="G170" i="5" l="1"/>
  <c r="F171" i="5"/>
  <c r="P171" i="5"/>
  <c r="E171" i="5" s="1"/>
  <c r="S171" i="5"/>
  <c r="D171" i="5"/>
  <c r="O172" i="5"/>
  <c r="Q172" i="5"/>
  <c r="H170" i="5"/>
  <c r="N170" i="5" s="1"/>
  <c r="AG170" i="5"/>
  <c r="K169" i="5"/>
  <c r="G171" i="5" l="1"/>
  <c r="H171" i="5"/>
  <c r="N171" i="5" s="1"/>
  <c r="AG171" i="5"/>
  <c r="F172" i="5"/>
  <c r="P172" i="5"/>
  <c r="E172" i="5" s="1"/>
  <c r="S172" i="5"/>
  <c r="O173" i="5"/>
  <c r="Q173" i="5"/>
  <c r="D172" i="5"/>
  <c r="K170" i="5"/>
  <c r="G172" i="5" l="1"/>
  <c r="K171" i="5"/>
  <c r="H172" i="5"/>
  <c r="N172" i="5" s="1"/>
  <c r="AG172" i="5"/>
  <c r="F173" i="5"/>
  <c r="P173" i="5"/>
  <c r="E173" i="5" s="1"/>
  <c r="S173" i="5"/>
  <c r="Q174" i="5"/>
  <c r="D173" i="5"/>
  <c r="O174" i="5"/>
  <c r="G173" i="5" l="1"/>
  <c r="F174" i="5"/>
  <c r="P174" i="5"/>
  <c r="E174" i="5" s="1"/>
  <c r="K172" i="5"/>
  <c r="H173" i="5"/>
  <c r="N173" i="5" s="1"/>
  <c r="AG173" i="5"/>
  <c r="S174" i="5"/>
  <c r="D174" i="5"/>
  <c r="Q175" i="5"/>
  <c r="O175" i="5"/>
  <c r="H174" i="5" l="1"/>
  <c r="N174" i="5" s="1"/>
  <c r="AG174" i="5"/>
  <c r="S175" i="5"/>
  <c r="D175" i="5"/>
  <c r="Q176" i="5"/>
  <c r="O176" i="5"/>
  <c r="G174" i="5"/>
  <c r="F175" i="5"/>
  <c r="P175" i="5"/>
  <c r="E175" i="5" s="1"/>
  <c r="K173" i="5"/>
  <c r="K174" i="5" l="1"/>
  <c r="S176" i="5"/>
  <c r="Q177" i="5"/>
  <c r="O177" i="5"/>
  <c r="D176" i="5"/>
  <c r="G175" i="5"/>
  <c r="F176" i="5"/>
  <c r="P176" i="5"/>
  <c r="E176" i="5" s="1"/>
  <c r="H175" i="5"/>
  <c r="N175" i="5" s="1"/>
  <c r="AG175" i="5"/>
  <c r="K175" i="5" l="1"/>
  <c r="S177" i="5"/>
  <c r="O178" i="5"/>
  <c r="Q178" i="5"/>
  <c r="D177" i="5"/>
  <c r="G176" i="5"/>
  <c r="F177" i="5"/>
  <c r="P177" i="5"/>
  <c r="E177" i="5" s="1"/>
  <c r="H176" i="5"/>
  <c r="N176" i="5" s="1"/>
  <c r="AG176" i="5"/>
  <c r="G177" i="5" l="1"/>
  <c r="F178" i="5"/>
  <c r="P178" i="5"/>
  <c r="E178" i="5" s="1"/>
  <c r="S178" i="5"/>
  <c r="O179" i="5"/>
  <c r="Q179" i="5"/>
  <c r="D178" i="5"/>
  <c r="K176" i="5"/>
  <c r="H177" i="5"/>
  <c r="N177" i="5" s="1"/>
  <c r="AG177" i="5"/>
  <c r="G178" i="5" l="1"/>
  <c r="F179" i="5"/>
  <c r="P179" i="5"/>
  <c r="E179" i="5" s="1"/>
  <c r="S179" i="5"/>
  <c r="D179" i="5"/>
  <c r="Q180" i="5"/>
  <c r="O180" i="5"/>
  <c r="H178" i="5"/>
  <c r="N178" i="5" s="1"/>
  <c r="AG178" i="5"/>
  <c r="K177" i="5"/>
  <c r="F180" i="5" l="1"/>
  <c r="P180" i="5"/>
  <c r="E180" i="5" s="1"/>
  <c r="K178" i="5"/>
  <c r="H179" i="5"/>
  <c r="N179" i="5" s="1"/>
  <c r="AG179" i="5"/>
  <c r="S180" i="5"/>
  <c r="O181" i="5"/>
  <c r="Q181" i="5"/>
  <c r="D180" i="5"/>
  <c r="G179" i="5"/>
  <c r="K179" i="5" l="1"/>
  <c r="S181" i="5"/>
  <c r="Q182" i="5"/>
  <c r="D181" i="5"/>
  <c r="O182" i="5"/>
  <c r="H180" i="5"/>
  <c r="N180" i="5" s="1"/>
  <c r="AG180" i="5"/>
  <c r="G180" i="5"/>
  <c r="F181" i="5"/>
  <c r="P181" i="5"/>
  <c r="E181" i="5" s="1"/>
  <c r="G181" i="5" l="1"/>
  <c r="F182" i="5"/>
  <c r="P182" i="5"/>
  <c r="E182" i="5" s="1"/>
  <c r="H181" i="5"/>
  <c r="N181" i="5" s="1"/>
  <c r="AG181" i="5"/>
  <c r="K180" i="5"/>
  <c r="S182" i="5"/>
  <c r="Q183" i="5"/>
  <c r="D182" i="5"/>
  <c r="O183" i="5"/>
  <c r="K181" i="5" l="1"/>
  <c r="G182" i="5"/>
  <c r="H182" i="5"/>
  <c r="N182" i="5" s="1"/>
  <c r="AG182" i="5"/>
  <c r="S183" i="5"/>
  <c r="D183" i="5"/>
  <c r="Q184" i="5"/>
  <c r="O184" i="5"/>
  <c r="F183" i="5"/>
  <c r="P183" i="5"/>
  <c r="E183" i="5" s="1"/>
  <c r="K182" i="5" l="1"/>
  <c r="G183" i="5"/>
  <c r="S184" i="5"/>
  <c r="Q185" i="5"/>
  <c r="O185" i="5"/>
  <c r="D184" i="5"/>
  <c r="F184" i="5"/>
  <c r="P184" i="5"/>
  <c r="E184" i="5" s="1"/>
  <c r="H183" i="5"/>
  <c r="N183" i="5" s="1"/>
  <c r="AG183" i="5"/>
  <c r="G184" i="5" l="1"/>
  <c r="S185" i="5"/>
  <c r="D185" i="5"/>
  <c r="Q186" i="5"/>
  <c r="O186" i="5"/>
  <c r="F185" i="5"/>
  <c r="P185" i="5"/>
  <c r="E185" i="5" s="1"/>
  <c r="H184" i="5"/>
  <c r="N184" i="5" s="1"/>
  <c r="AG184" i="5"/>
  <c r="K183" i="5"/>
  <c r="G185" i="5" l="1"/>
  <c r="H185" i="5"/>
  <c r="N185" i="5" s="1"/>
  <c r="AG185" i="5"/>
  <c r="S186" i="5"/>
  <c r="D186" i="5"/>
  <c r="Q187" i="5"/>
  <c r="O187" i="5"/>
  <c r="K184" i="5"/>
  <c r="F186" i="5"/>
  <c r="P186" i="5"/>
  <c r="E186" i="5" s="1"/>
  <c r="G186" i="5" l="1"/>
  <c r="S187" i="5"/>
  <c r="Q188" i="5"/>
  <c r="O188" i="5"/>
  <c r="D187" i="5"/>
  <c r="F187" i="5"/>
  <c r="P187" i="5"/>
  <c r="E187" i="5" s="1"/>
  <c r="K185" i="5"/>
  <c r="H186" i="5"/>
  <c r="N186" i="5" s="1"/>
  <c r="AG186" i="5"/>
  <c r="S188" i="5" l="1"/>
  <c r="O189" i="5"/>
  <c r="D188" i="5"/>
  <c r="Q189" i="5"/>
  <c r="G187" i="5"/>
  <c r="F188" i="5"/>
  <c r="P188" i="5"/>
  <c r="E188" i="5" s="1"/>
  <c r="K186" i="5"/>
  <c r="H187" i="5"/>
  <c r="N187" i="5" s="1"/>
  <c r="AG187" i="5"/>
  <c r="K187" i="5" l="1"/>
  <c r="H188" i="5"/>
  <c r="N188" i="5" s="1"/>
  <c r="AG188" i="5"/>
  <c r="G188" i="5"/>
  <c r="F189" i="5"/>
  <c r="P189" i="5"/>
  <c r="E189" i="5" s="1"/>
  <c r="S189" i="5"/>
  <c r="D189" i="5"/>
  <c r="O190" i="5"/>
  <c r="Q190" i="5"/>
  <c r="G189" i="5" l="1"/>
  <c r="K188" i="5"/>
  <c r="S190" i="5"/>
  <c r="Q191" i="5"/>
  <c r="D190" i="5"/>
  <c r="O191" i="5"/>
  <c r="H189" i="5"/>
  <c r="N189" i="5" s="1"/>
  <c r="AG189" i="5"/>
  <c r="F190" i="5"/>
  <c r="P190" i="5"/>
  <c r="E190" i="5" s="1"/>
  <c r="K189" i="5" l="1"/>
  <c r="F191" i="5"/>
  <c r="P191" i="5"/>
  <c r="E191" i="5" s="1"/>
  <c r="G190" i="5"/>
  <c r="H190" i="5"/>
  <c r="N190" i="5" s="1"/>
  <c r="AG190" i="5"/>
  <c r="S191" i="5"/>
  <c r="Q192" i="5"/>
  <c r="O192" i="5"/>
  <c r="D191" i="5"/>
  <c r="G191" i="5" l="1"/>
  <c r="S192" i="5"/>
  <c r="O193" i="5"/>
  <c r="D192" i="5"/>
  <c r="Q193" i="5"/>
  <c r="F192" i="5"/>
  <c r="P192" i="5"/>
  <c r="E192" i="5" s="1"/>
  <c r="H191" i="5"/>
  <c r="N191" i="5" s="1"/>
  <c r="AG191" i="5"/>
  <c r="K190" i="5"/>
  <c r="G192" i="5" l="1"/>
  <c r="F193" i="5"/>
  <c r="P193" i="5"/>
  <c r="E193" i="5" s="1"/>
  <c r="S193" i="5"/>
  <c r="Q194" i="5"/>
  <c r="D193" i="5"/>
  <c r="O194" i="5"/>
  <c r="K191" i="5"/>
  <c r="H192" i="5"/>
  <c r="N192" i="5" s="1"/>
  <c r="AG192" i="5"/>
  <c r="F194" i="5" l="1"/>
  <c r="P194" i="5"/>
  <c r="E194" i="5" s="1"/>
  <c r="G193" i="5"/>
  <c r="H193" i="5"/>
  <c r="N193" i="5" s="1"/>
  <c r="AG193" i="5"/>
  <c r="S194" i="5"/>
  <c r="D194" i="5"/>
  <c r="O195" i="5"/>
  <c r="Q195" i="5"/>
  <c r="K192" i="5"/>
  <c r="K193" i="5" l="1"/>
  <c r="G194" i="5"/>
  <c r="H194" i="5"/>
  <c r="N194" i="5" s="1"/>
  <c r="AG194" i="5"/>
  <c r="F195" i="5"/>
  <c r="P195" i="5"/>
  <c r="E195" i="5" s="1"/>
  <c r="S195" i="5"/>
  <c r="Q196" i="5"/>
  <c r="O196" i="5"/>
  <c r="D195" i="5"/>
  <c r="S196" i="5" l="1"/>
  <c r="Q197" i="5"/>
  <c r="O197" i="5"/>
  <c r="D196" i="5"/>
  <c r="K194" i="5"/>
  <c r="F196" i="5"/>
  <c r="P196" i="5"/>
  <c r="E196" i="5" s="1"/>
  <c r="H195" i="5"/>
  <c r="N195" i="5" s="1"/>
  <c r="AG195" i="5"/>
  <c r="G195" i="5"/>
  <c r="K195" i="5" l="1"/>
  <c r="G196" i="5"/>
  <c r="S197" i="5"/>
  <c r="D197" i="5"/>
  <c r="Q198" i="5"/>
  <c r="O198" i="5"/>
  <c r="F197" i="5"/>
  <c r="P197" i="5"/>
  <c r="E197" i="5" s="1"/>
  <c r="H196" i="5"/>
  <c r="N196" i="5" s="1"/>
  <c r="AG196" i="5"/>
  <c r="H197" i="5" l="1"/>
  <c r="N197" i="5" s="1"/>
  <c r="AG197" i="5"/>
  <c r="S198" i="5"/>
  <c r="O199" i="5"/>
  <c r="Q199" i="5"/>
  <c r="D198" i="5"/>
  <c r="K196" i="5"/>
  <c r="F198" i="5"/>
  <c r="P198" i="5"/>
  <c r="E198" i="5" s="1"/>
  <c r="G197" i="5"/>
  <c r="K197" i="5" l="1"/>
  <c r="G198" i="5"/>
  <c r="S199" i="5"/>
  <c r="D199" i="5"/>
  <c r="Q200" i="5"/>
  <c r="O200" i="5"/>
  <c r="H198" i="5"/>
  <c r="N198" i="5" s="1"/>
  <c r="AG198" i="5"/>
  <c r="F199" i="5"/>
  <c r="P199" i="5"/>
  <c r="E199" i="5" s="1"/>
  <c r="G199" i="5" l="1"/>
  <c r="H199" i="5"/>
  <c r="N199" i="5" s="1"/>
  <c r="AG199" i="5"/>
  <c r="S200" i="5"/>
  <c r="Q201" i="5"/>
  <c r="D200" i="5"/>
  <c r="O201" i="5"/>
  <c r="K198" i="5"/>
  <c r="F200" i="5"/>
  <c r="P200" i="5"/>
  <c r="E200" i="5" s="1"/>
  <c r="G200" i="5" l="1"/>
  <c r="S201" i="5"/>
  <c r="D201" i="5"/>
  <c r="O202" i="5"/>
  <c r="Q202" i="5"/>
  <c r="F201" i="5"/>
  <c r="P201" i="5"/>
  <c r="E201" i="5" s="1"/>
  <c r="H200" i="5"/>
  <c r="N200" i="5" s="1"/>
  <c r="AG200" i="5"/>
  <c r="K199" i="5"/>
  <c r="K200" i="5" l="1"/>
  <c r="H201" i="5"/>
  <c r="N201" i="5" s="1"/>
  <c r="AG201" i="5"/>
  <c r="F202" i="5"/>
  <c r="P202" i="5"/>
  <c r="E202" i="5" s="1"/>
  <c r="G201" i="5"/>
  <c r="S202" i="5"/>
  <c r="O203" i="5"/>
  <c r="Q203" i="5"/>
  <c r="D202" i="5"/>
  <c r="K201" i="5" l="1"/>
  <c r="H202" i="5"/>
  <c r="N202" i="5" s="1"/>
  <c r="AG202" i="5"/>
  <c r="F203" i="5"/>
  <c r="P203" i="5"/>
  <c r="E203" i="5" s="1"/>
  <c r="S203" i="5"/>
  <c r="D203" i="5"/>
  <c r="O204" i="5"/>
  <c r="Q204" i="5"/>
  <c r="G202" i="5"/>
  <c r="K202" i="5" l="1"/>
  <c r="S204" i="5"/>
  <c r="O205" i="5"/>
  <c r="Q205" i="5"/>
  <c r="D204" i="5"/>
  <c r="G203" i="5"/>
  <c r="H203" i="5"/>
  <c r="N203" i="5" s="1"/>
  <c r="AG203" i="5"/>
  <c r="F204" i="5"/>
  <c r="P204" i="5"/>
  <c r="E204" i="5" s="1"/>
  <c r="K203" i="5" l="1"/>
  <c r="F205" i="5"/>
  <c r="P205" i="5"/>
  <c r="E205" i="5" s="1"/>
  <c r="S205" i="5"/>
  <c r="D205" i="5"/>
  <c r="Q206" i="5"/>
  <c r="O206" i="5"/>
  <c r="G204" i="5"/>
  <c r="H204" i="5"/>
  <c r="N204" i="5" s="1"/>
  <c r="AG204" i="5"/>
  <c r="S206" i="5" l="1"/>
  <c r="D206" i="5"/>
  <c r="Q207" i="5"/>
  <c r="O207" i="5"/>
  <c r="F206" i="5"/>
  <c r="P206" i="5"/>
  <c r="E206" i="5" s="1"/>
  <c r="G205" i="5"/>
  <c r="K204" i="5"/>
  <c r="H205" i="5"/>
  <c r="N205" i="5" s="1"/>
  <c r="AG205" i="5"/>
  <c r="K205" i="5" l="1"/>
  <c r="F207" i="5"/>
  <c r="P207" i="5"/>
  <c r="E207" i="5" s="1"/>
  <c r="S207" i="5"/>
  <c r="D207" i="5"/>
  <c r="Q208" i="5"/>
  <c r="O208" i="5"/>
  <c r="G206" i="5"/>
  <c r="H206" i="5"/>
  <c r="N206" i="5" s="1"/>
  <c r="AG206" i="5"/>
  <c r="K206" i="5" l="1"/>
  <c r="F208" i="5"/>
  <c r="P208" i="5"/>
  <c r="E208" i="5" s="1"/>
  <c r="H207" i="5"/>
  <c r="N207" i="5" s="1"/>
  <c r="AG207" i="5"/>
  <c r="G207" i="5"/>
  <c r="S208" i="5"/>
  <c r="O209" i="5"/>
  <c r="D208" i="5"/>
  <c r="Q209" i="5"/>
  <c r="S209" i="5" l="1"/>
  <c r="D209" i="5"/>
  <c r="O210" i="5"/>
  <c r="Q210" i="5"/>
  <c r="H208" i="5"/>
  <c r="N208" i="5" s="1"/>
  <c r="AG208" i="5"/>
  <c r="F209" i="5"/>
  <c r="P209" i="5"/>
  <c r="E209" i="5" s="1"/>
  <c r="K207" i="5"/>
  <c r="G208" i="5"/>
  <c r="K208" i="5" l="1"/>
  <c r="F210" i="5"/>
  <c r="P210" i="5"/>
  <c r="E210" i="5" s="1"/>
  <c r="G209" i="5"/>
  <c r="S210" i="5"/>
  <c r="O211" i="5"/>
  <c r="D210" i="5"/>
  <c r="Q211" i="5"/>
  <c r="H209" i="5"/>
  <c r="N209" i="5" s="1"/>
  <c r="AG209" i="5"/>
  <c r="H210" i="5" l="1"/>
  <c r="N210" i="5" s="1"/>
  <c r="AG210" i="5"/>
  <c r="S211" i="5"/>
  <c r="Q212" i="5"/>
  <c r="O212" i="5"/>
  <c r="D211" i="5"/>
  <c r="F211" i="5"/>
  <c r="P211" i="5"/>
  <c r="E211" i="5" s="1"/>
  <c r="K209" i="5"/>
  <c r="G210" i="5"/>
  <c r="K210" i="5" l="1"/>
  <c r="H211" i="5"/>
  <c r="N211" i="5" s="1"/>
  <c r="AG211" i="5"/>
  <c r="F212" i="5"/>
  <c r="P212" i="5"/>
  <c r="E212" i="5" s="1"/>
  <c r="G211" i="5"/>
  <c r="S212" i="5"/>
  <c r="D212" i="5"/>
  <c r="O213" i="5"/>
  <c r="Q213" i="5"/>
  <c r="K211" i="5" l="1"/>
  <c r="S213" i="5"/>
  <c r="Q214" i="5"/>
  <c r="O214" i="5"/>
  <c r="D213" i="5"/>
  <c r="G212" i="5"/>
  <c r="F213" i="5"/>
  <c r="P213" i="5"/>
  <c r="E213" i="5" s="1"/>
  <c r="H212" i="5"/>
  <c r="N212" i="5" s="1"/>
  <c r="AG212" i="5"/>
  <c r="K212" i="5" l="1"/>
  <c r="G213" i="5"/>
  <c r="F214" i="5"/>
  <c r="P214" i="5"/>
  <c r="E214" i="5" s="1"/>
  <c r="H213" i="5"/>
  <c r="N213" i="5" s="1"/>
  <c r="AG213" i="5"/>
  <c r="S214" i="5"/>
  <c r="Q215" i="5"/>
  <c r="O215" i="5"/>
  <c r="D214" i="5"/>
  <c r="S215" i="5" l="1"/>
  <c r="O216" i="5"/>
  <c r="Q216" i="5"/>
  <c r="D215" i="5"/>
  <c r="F215" i="5"/>
  <c r="P215" i="5"/>
  <c r="E215" i="5" s="1"/>
  <c r="G214" i="5"/>
  <c r="H214" i="5"/>
  <c r="N214" i="5" s="1"/>
  <c r="AG214" i="5"/>
  <c r="K213" i="5"/>
  <c r="G215" i="5" l="1"/>
  <c r="F216" i="5"/>
  <c r="P216" i="5"/>
  <c r="E216" i="5" s="1"/>
  <c r="S216" i="5"/>
  <c r="O217" i="5"/>
  <c r="Q217" i="5"/>
  <c r="D216" i="5"/>
  <c r="K214" i="5"/>
  <c r="H215" i="5"/>
  <c r="N215" i="5" s="1"/>
  <c r="AG215" i="5"/>
  <c r="H216" i="5" l="1"/>
  <c r="N216" i="5" s="1"/>
  <c r="AG216" i="5"/>
  <c r="G216" i="5"/>
  <c r="S217" i="5"/>
  <c r="D217" i="5"/>
  <c r="O218" i="5"/>
  <c r="Q218" i="5"/>
  <c r="K215" i="5"/>
  <c r="F217" i="5"/>
  <c r="P217" i="5"/>
  <c r="E217" i="5" s="1"/>
  <c r="S218" i="5" l="1"/>
  <c r="O219" i="5"/>
  <c r="Q219" i="5"/>
  <c r="D218" i="5"/>
  <c r="G217" i="5"/>
  <c r="H217" i="5"/>
  <c r="N217" i="5" s="1"/>
  <c r="AG217" i="5"/>
  <c r="F218" i="5"/>
  <c r="P218" i="5"/>
  <c r="E218" i="5" s="1"/>
  <c r="K216" i="5"/>
  <c r="S219" i="5" l="1"/>
  <c r="D219" i="5"/>
  <c r="Q220" i="5"/>
  <c r="O220" i="5"/>
  <c r="F219" i="5"/>
  <c r="P219" i="5"/>
  <c r="E219" i="5" s="1"/>
  <c r="G218" i="5"/>
  <c r="K217" i="5"/>
  <c r="H218" i="5"/>
  <c r="N218" i="5" s="1"/>
  <c r="AG218" i="5"/>
  <c r="S220" i="5" l="1"/>
  <c r="D220" i="5"/>
  <c r="O221" i="5"/>
  <c r="Q221" i="5"/>
  <c r="F220" i="5"/>
  <c r="P220" i="5"/>
  <c r="E220" i="5" s="1"/>
  <c r="K218" i="5"/>
  <c r="G219" i="5"/>
  <c r="H219" i="5"/>
  <c r="N219" i="5" s="1"/>
  <c r="AG219" i="5"/>
  <c r="K219" i="5" l="1"/>
  <c r="G220" i="5"/>
  <c r="S221" i="5"/>
  <c r="O222" i="5"/>
  <c r="Q222" i="5"/>
  <c r="D221" i="5"/>
  <c r="F221" i="5"/>
  <c r="P221" i="5"/>
  <c r="E221" i="5" s="1"/>
  <c r="H220" i="5"/>
  <c r="N220" i="5" s="1"/>
  <c r="AG220" i="5"/>
  <c r="G221" i="5" l="1"/>
  <c r="H221" i="5"/>
  <c r="N221" i="5" s="1"/>
  <c r="AG221" i="5"/>
  <c r="F222" i="5"/>
  <c r="P222" i="5"/>
  <c r="E222" i="5" s="1"/>
  <c r="S222" i="5"/>
  <c r="O223" i="5"/>
  <c r="Q223" i="5"/>
  <c r="D222" i="5"/>
  <c r="K220" i="5"/>
  <c r="K221" i="5" l="1"/>
  <c r="H222" i="5"/>
  <c r="N222" i="5" s="1"/>
  <c r="AG222" i="5"/>
  <c r="G222" i="5"/>
  <c r="S223" i="5"/>
  <c r="Q224" i="5"/>
  <c r="O224" i="5"/>
  <c r="D223" i="5"/>
  <c r="F223" i="5"/>
  <c r="P223" i="5"/>
  <c r="E223" i="5" s="1"/>
  <c r="K222" i="5" l="1"/>
  <c r="H223" i="5"/>
  <c r="N223" i="5" s="1"/>
  <c r="AG223" i="5"/>
  <c r="S224" i="5"/>
  <c r="O225" i="5"/>
  <c r="Q225" i="5"/>
  <c r="D224" i="5"/>
  <c r="G223" i="5"/>
  <c r="F224" i="5"/>
  <c r="P224" i="5"/>
  <c r="E224" i="5" s="1"/>
  <c r="K223" i="5" l="1"/>
  <c r="F225" i="5"/>
  <c r="P225" i="5"/>
  <c r="E225" i="5" s="1"/>
  <c r="H224" i="5"/>
  <c r="N224" i="5" s="1"/>
  <c r="AG224" i="5"/>
  <c r="G224" i="5"/>
  <c r="S225" i="5"/>
  <c r="D225" i="5"/>
  <c r="Q226" i="5"/>
  <c r="O226" i="5"/>
  <c r="K224" i="5" l="1"/>
  <c r="F226" i="5"/>
  <c r="P226" i="5"/>
  <c r="E226" i="5" s="1"/>
  <c r="G225" i="5"/>
  <c r="H225" i="5"/>
  <c r="N225" i="5" s="1"/>
  <c r="AG225" i="5"/>
  <c r="S226" i="5"/>
  <c r="D226" i="5"/>
  <c r="Q227" i="5"/>
  <c r="O227" i="5"/>
  <c r="H226" i="5" l="1"/>
  <c r="N226" i="5" s="1"/>
  <c r="AG226" i="5"/>
  <c r="K225" i="5"/>
  <c r="S227" i="5"/>
  <c r="O228" i="5"/>
  <c r="D227" i="5"/>
  <c r="Q228" i="5"/>
  <c r="F227" i="5"/>
  <c r="P227" i="5"/>
  <c r="E227" i="5" s="1"/>
  <c r="G226" i="5"/>
  <c r="K226" i="5" l="1"/>
  <c r="G227" i="5"/>
  <c r="H227" i="5"/>
  <c r="N227" i="5" s="1"/>
  <c r="AG227" i="5"/>
  <c r="F228" i="5"/>
  <c r="P228" i="5"/>
  <c r="E228" i="5" s="1"/>
  <c r="S228" i="5"/>
  <c r="O229" i="5"/>
  <c r="Q229" i="5"/>
  <c r="D228" i="5"/>
  <c r="F229" i="5" l="1"/>
  <c r="P229" i="5"/>
  <c r="E229" i="5" s="1"/>
  <c r="G228" i="5"/>
  <c r="H228" i="5"/>
  <c r="N228" i="5" s="1"/>
  <c r="AG228" i="5"/>
  <c r="S229" i="5"/>
  <c r="Q230" i="5"/>
  <c r="O230" i="5"/>
  <c r="D229" i="5"/>
  <c r="K227" i="5"/>
  <c r="S230" i="5" l="1"/>
  <c r="Q231" i="5"/>
  <c r="O231" i="5"/>
  <c r="D230" i="5"/>
  <c r="F230" i="5"/>
  <c r="P230" i="5"/>
  <c r="E230" i="5" s="1"/>
  <c r="H229" i="5"/>
  <c r="N229" i="5" s="1"/>
  <c r="AG229" i="5"/>
  <c r="K228" i="5"/>
  <c r="G229" i="5"/>
  <c r="K229" i="5" l="1"/>
  <c r="G230" i="5"/>
  <c r="S231" i="5"/>
  <c r="O232" i="5"/>
  <c r="D231" i="5"/>
  <c r="Q232" i="5"/>
  <c r="F231" i="5"/>
  <c r="P231" i="5"/>
  <c r="E231" i="5" s="1"/>
  <c r="H230" i="5"/>
  <c r="N230" i="5" s="1"/>
  <c r="AG230" i="5"/>
  <c r="S232" i="5" l="1"/>
  <c r="O233" i="5"/>
  <c r="Q233" i="5"/>
  <c r="D232" i="5"/>
  <c r="G231" i="5"/>
  <c r="F232" i="5"/>
  <c r="P232" i="5"/>
  <c r="E232" i="5" s="1"/>
  <c r="H231" i="5"/>
  <c r="N231" i="5" s="1"/>
  <c r="AG231" i="5"/>
  <c r="K230" i="5"/>
  <c r="K231" i="5" l="1"/>
  <c r="F233" i="5"/>
  <c r="P233" i="5"/>
  <c r="E233" i="5" s="1"/>
  <c r="S233" i="5"/>
  <c r="Q234" i="5"/>
  <c r="O234" i="5"/>
  <c r="D233" i="5"/>
  <c r="G232" i="5"/>
  <c r="H232" i="5"/>
  <c r="N232" i="5" s="1"/>
  <c r="AG232" i="5"/>
  <c r="S234" i="5" l="1"/>
  <c r="Q235" i="5"/>
  <c r="O235" i="5"/>
  <c r="D234" i="5"/>
  <c r="K232" i="5"/>
  <c r="F234" i="5"/>
  <c r="P234" i="5"/>
  <c r="E234" i="5" s="1"/>
  <c r="G233" i="5"/>
  <c r="H233" i="5"/>
  <c r="N233" i="5" s="1"/>
  <c r="AG233" i="5"/>
  <c r="S235" i="5" l="1"/>
  <c r="Q236" i="5"/>
  <c r="D235" i="5"/>
  <c r="O236" i="5"/>
  <c r="G234" i="5"/>
  <c r="F235" i="5"/>
  <c r="P235" i="5"/>
  <c r="E235" i="5" s="1"/>
  <c r="H234" i="5"/>
  <c r="N234" i="5" s="1"/>
  <c r="AG234" i="5"/>
  <c r="K233" i="5"/>
  <c r="G235" i="5" l="1"/>
  <c r="F236" i="5"/>
  <c r="P236" i="5"/>
  <c r="E236" i="5" s="1"/>
  <c r="K234" i="5"/>
  <c r="H235" i="5"/>
  <c r="N235" i="5" s="1"/>
  <c r="AG235" i="5"/>
  <c r="S236" i="5"/>
  <c r="Q237" i="5"/>
  <c r="O237" i="5"/>
  <c r="D236" i="5"/>
  <c r="K235" i="5" l="1"/>
  <c r="S237" i="5"/>
  <c r="D237" i="5"/>
  <c r="O238" i="5"/>
  <c r="Q238" i="5"/>
  <c r="F237" i="5"/>
  <c r="P237" i="5"/>
  <c r="E237" i="5" s="1"/>
  <c r="H236" i="5"/>
  <c r="N236" i="5" s="1"/>
  <c r="AG236" i="5"/>
  <c r="G236" i="5"/>
  <c r="K236" i="5" l="1"/>
  <c r="G237" i="5"/>
  <c r="H237" i="5"/>
  <c r="N237" i="5" s="1"/>
  <c r="AG237" i="5"/>
  <c r="F238" i="5"/>
  <c r="P238" i="5"/>
  <c r="E238" i="5" s="1"/>
  <c r="S238" i="5"/>
  <c r="D238" i="5"/>
  <c r="O239" i="5"/>
  <c r="Q239" i="5"/>
  <c r="H238" i="5" l="1"/>
  <c r="N238" i="5" s="1"/>
  <c r="AG238" i="5"/>
  <c r="G238" i="5"/>
  <c r="K237" i="5"/>
  <c r="F239" i="5"/>
  <c r="P239" i="5"/>
  <c r="E239" i="5" s="1"/>
  <c r="S239" i="5"/>
  <c r="O240" i="5"/>
  <c r="D239" i="5"/>
  <c r="Q240" i="5"/>
  <c r="G239" i="5" l="1"/>
  <c r="S240" i="5"/>
  <c r="O241" i="5"/>
  <c r="Q241" i="5"/>
  <c r="D240" i="5"/>
  <c r="H239" i="5"/>
  <c r="N239" i="5" s="1"/>
  <c r="AG239" i="5"/>
  <c r="F240" i="5"/>
  <c r="P240" i="5"/>
  <c r="E240" i="5" s="1"/>
  <c r="K238" i="5"/>
  <c r="G240" i="5" l="1"/>
  <c r="F241" i="5"/>
  <c r="P241" i="5"/>
  <c r="E241" i="5" s="1"/>
  <c r="S241" i="5"/>
  <c r="O242" i="5"/>
  <c r="Q242" i="5"/>
  <c r="D241" i="5"/>
  <c r="K239" i="5"/>
  <c r="H240" i="5"/>
  <c r="N240" i="5" s="1"/>
  <c r="AG240" i="5"/>
  <c r="F242" i="5" l="1"/>
  <c r="P242" i="5"/>
  <c r="E242" i="5" s="1"/>
  <c r="K240" i="5"/>
  <c r="S242" i="5"/>
  <c r="D242" i="5"/>
  <c r="Q243" i="5"/>
  <c r="O243" i="5"/>
  <c r="H241" i="5"/>
  <c r="N241" i="5" s="1"/>
  <c r="AG241" i="5"/>
  <c r="G241" i="5"/>
  <c r="K241" i="5" l="1"/>
  <c r="G242" i="5"/>
  <c r="H242" i="5"/>
  <c r="N242" i="5" s="1"/>
  <c r="AG242" i="5"/>
  <c r="S243" i="5"/>
  <c r="D243" i="5"/>
  <c r="Q244" i="5"/>
  <c r="O244" i="5"/>
  <c r="F243" i="5"/>
  <c r="P243" i="5"/>
  <c r="E243" i="5" s="1"/>
  <c r="K242" i="5" l="1"/>
  <c r="G243" i="5"/>
  <c r="H243" i="5"/>
  <c r="N243" i="5" s="1"/>
  <c r="AG243" i="5"/>
  <c r="S244" i="5"/>
  <c r="Q245" i="5"/>
  <c r="D244" i="5"/>
  <c r="O245" i="5"/>
  <c r="F244" i="5"/>
  <c r="P244" i="5"/>
  <c r="E244" i="5" s="1"/>
  <c r="G244" i="5" l="1"/>
  <c r="H244" i="5"/>
  <c r="N244" i="5" s="1"/>
  <c r="AG244" i="5"/>
  <c r="S245" i="5"/>
  <c r="Q246" i="5"/>
  <c r="O246" i="5"/>
  <c r="D245" i="5"/>
  <c r="F245" i="5"/>
  <c r="P245" i="5"/>
  <c r="E245" i="5" s="1"/>
  <c r="K243" i="5"/>
  <c r="K244" i="5" l="1"/>
  <c r="G245" i="5"/>
  <c r="F246" i="5"/>
  <c r="P246" i="5"/>
  <c r="E246" i="5" s="1"/>
  <c r="H245" i="5"/>
  <c r="N245" i="5" s="1"/>
  <c r="AG245" i="5"/>
  <c r="S246" i="5"/>
  <c r="D246" i="5"/>
  <c r="Q247" i="5"/>
  <c r="O247" i="5"/>
  <c r="K245" i="5" l="1"/>
  <c r="G246" i="5"/>
  <c r="F247" i="5"/>
  <c r="P247" i="5"/>
  <c r="E247" i="5" s="1"/>
  <c r="H246" i="5"/>
  <c r="N246" i="5" s="1"/>
  <c r="AG246" i="5"/>
  <c r="S247" i="5"/>
  <c r="D247" i="5"/>
  <c r="Q248" i="5"/>
  <c r="O248" i="5"/>
  <c r="G247" i="5" l="1"/>
  <c r="S248" i="5"/>
  <c r="D248" i="5"/>
  <c r="O249" i="5"/>
  <c r="Q249" i="5"/>
  <c r="F248" i="5"/>
  <c r="P248" i="5"/>
  <c r="E248" i="5" s="1"/>
  <c r="K246" i="5"/>
  <c r="H247" i="5"/>
  <c r="N247" i="5" s="1"/>
  <c r="AG247" i="5"/>
  <c r="G248" i="5" l="1"/>
  <c r="H248" i="5"/>
  <c r="N248" i="5" s="1"/>
  <c r="AG248" i="5"/>
  <c r="F249" i="5"/>
  <c r="P249" i="5"/>
  <c r="E249" i="5" s="1"/>
  <c r="K247" i="5"/>
  <c r="S249" i="5"/>
  <c r="O250" i="5"/>
  <c r="D249" i="5"/>
  <c r="Q250" i="5"/>
  <c r="S250" i="5" l="1"/>
  <c r="O251" i="5"/>
  <c r="D250" i="5"/>
  <c r="Q251" i="5"/>
  <c r="H249" i="5"/>
  <c r="N249" i="5" s="1"/>
  <c r="AG249" i="5"/>
  <c r="F250" i="5"/>
  <c r="P250" i="5"/>
  <c r="E250" i="5" s="1"/>
  <c r="G249" i="5"/>
  <c r="K248" i="5"/>
  <c r="K249" i="5" l="1"/>
  <c r="S251" i="5"/>
  <c r="D251" i="5"/>
  <c r="O252" i="5"/>
  <c r="Q252" i="5"/>
  <c r="G250" i="5"/>
  <c r="H250" i="5"/>
  <c r="N250" i="5" s="1"/>
  <c r="AG250" i="5"/>
  <c r="F251" i="5"/>
  <c r="P251" i="5"/>
  <c r="E251" i="5" s="1"/>
  <c r="F252" i="5" l="1"/>
  <c r="P252" i="5"/>
  <c r="E252" i="5" s="1"/>
  <c r="S252" i="5"/>
  <c r="Q253" i="5"/>
  <c r="D252" i="5"/>
  <c r="O253" i="5"/>
  <c r="G251" i="5"/>
  <c r="K250" i="5"/>
  <c r="H251" i="5"/>
  <c r="N251" i="5" s="1"/>
  <c r="AG251" i="5"/>
  <c r="F253" i="5" l="1"/>
  <c r="P253" i="5"/>
  <c r="E253" i="5" s="1"/>
  <c r="K251" i="5"/>
  <c r="H252" i="5"/>
  <c r="N252" i="5" s="1"/>
  <c r="AG252" i="5"/>
  <c r="G252" i="5"/>
  <c r="S253" i="5"/>
  <c r="D253" i="5"/>
  <c r="Q254" i="5"/>
  <c r="O254" i="5"/>
  <c r="K252" i="5" l="1"/>
  <c r="H253" i="5"/>
  <c r="N253" i="5" s="1"/>
  <c r="AG253" i="5"/>
  <c r="S254" i="5"/>
  <c r="Q255" i="5"/>
  <c r="D254" i="5"/>
  <c r="O255" i="5"/>
  <c r="F254" i="5"/>
  <c r="P254" i="5"/>
  <c r="E254" i="5" s="1"/>
  <c r="G253" i="5"/>
  <c r="K253" i="5" l="1"/>
  <c r="F255" i="5"/>
  <c r="P255" i="5"/>
  <c r="E255" i="5" s="1"/>
  <c r="G254" i="5"/>
  <c r="H254" i="5"/>
  <c r="N254" i="5" s="1"/>
  <c r="AG254" i="5"/>
  <c r="S255" i="5"/>
  <c r="Q256" i="5"/>
  <c r="O256" i="5"/>
  <c r="D255" i="5"/>
  <c r="K254" i="5" l="1"/>
  <c r="H255" i="5"/>
  <c r="N255" i="5" s="1"/>
  <c r="AG255" i="5"/>
  <c r="S256" i="5"/>
  <c r="D256" i="5"/>
  <c r="Q257" i="5"/>
  <c r="O257" i="5"/>
  <c r="F256" i="5"/>
  <c r="P256" i="5"/>
  <c r="E256" i="5" s="1"/>
  <c r="G255" i="5"/>
  <c r="K255" i="5" l="1"/>
  <c r="H256" i="5"/>
  <c r="N256" i="5" s="1"/>
  <c r="AG256" i="5"/>
  <c r="S257" i="5"/>
  <c r="D257" i="5"/>
  <c r="O258" i="5"/>
  <c r="Q258" i="5"/>
  <c r="F257" i="5"/>
  <c r="P257" i="5"/>
  <c r="E257" i="5" s="1"/>
  <c r="G256" i="5"/>
  <c r="K256" i="5" l="1"/>
  <c r="H257" i="5"/>
  <c r="N257" i="5" s="1"/>
  <c r="AG257" i="5"/>
  <c r="F258" i="5"/>
  <c r="P258" i="5"/>
  <c r="E258" i="5" s="1"/>
  <c r="S258" i="5"/>
  <c r="Q259" i="5"/>
  <c r="D258" i="5"/>
  <c r="O259" i="5"/>
  <c r="G257" i="5"/>
  <c r="K257" i="5" l="1"/>
  <c r="S259" i="5"/>
  <c r="O260" i="5"/>
  <c r="Q260" i="5"/>
  <c r="D259" i="5"/>
  <c r="G258" i="5"/>
  <c r="F259" i="5"/>
  <c r="P259" i="5"/>
  <c r="E259" i="5" s="1"/>
  <c r="H258" i="5"/>
  <c r="N258" i="5" s="1"/>
  <c r="AG258" i="5"/>
  <c r="G259" i="5" l="1"/>
  <c r="F260" i="5"/>
  <c r="P260" i="5"/>
  <c r="E260" i="5" s="1"/>
  <c r="K258" i="5"/>
  <c r="S260" i="5"/>
  <c r="Q261" i="5"/>
  <c r="D260" i="5"/>
  <c r="O261" i="5"/>
  <c r="H259" i="5"/>
  <c r="N259" i="5" s="1"/>
  <c r="AG259" i="5"/>
  <c r="S261" i="5" l="1"/>
  <c r="D261" i="5"/>
  <c r="Q262" i="5"/>
  <c r="O262" i="5"/>
  <c r="F261" i="5"/>
  <c r="P261" i="5"/>
  <c r="E261" i="5" s="1"/>
  <c r="G260" i="5"/>
  <c r="K259" i="5"/>
  <c r="H260" i="5"/>
  <c r="N260" i="5" s="1"/>
  <c r="AG260" i="5"/>
  <c r="G261" i="5" l="1"/>
  <c r="S262" i="5"/>
  <c r="O263" i="5"/>
  <c r="D262" i="5"/>
  <c r="Q263" i="5"/>
  <c r="K260" i="5"/>
  <c r="F262" i="5"/>
  <c r="P262" i="5"/>
  <c r="E262" i="5" s="1"/>
  <c r="H261" i="5"/>
  <c r="N261" i="5" s="1"/>
  <c r="AG261" i="5"/>
  <c r="G262" i="5" l="1"/>
  <c r="S263" i="5"/>
  <c r="D263" i="5"/>
  <c r="Q264" i="5"/>
  <c r="O264" i="5"/>
  <c r="H262" i="5"/>
  <c r="N262" i="5" s="1"/>
  <c r="AG262" i="5"/>
  <c r="K261" i="5"/>
  <c r="F263" i="5"/>
  <c r="P263" i="5"/>
  <c r="E263" i="5" s="1"/>
  <c r="F264" i="5" l="1"/>
  <c r="P264" i="5"/>
  <c r="E264" i="5" s="1"/>
  <c r="H263" i="5"/>
  <c r="N263" i="5" s="1"/>
  <c r="AG263" i="5"/>
  <c r="G263" i="5"/>
  <c r="S264" i="5"/>
  <c r="O265" i="5"/>
  <c r="Q265" i="5"/>
  <c r="D264" i="5"/>
  <c r="K262" i="5"/>
  <c r="K263" i="5" l="1"/>
  <c r="H264" i="5"/>
  <c r="N264" i="5" s="1"/>
  <c r="AG264" i="5"/>
  <c r="G264" i="5"/>
  <c r="F265" i="5"/>
  <c r="P265" i="5"/>
  <c r="E265" i="5" s="1"/>
  <c r="S265" i="5"/>
  <c r="Q266" i="5"/>
  <c r="O266" i="5"/>
  <c r="D265" i="5"/>
  <c r="G265" i="5" l="1"/>
  <c r="K264" i="5"/>
  <c r="F266" i="5"/>
  <c r="P266" i="5"/>
  <c r="E266" i="5" s="1"/>
  <c r="S266" i="5"/>
  <c r="O267" i="5"/>
  <c r="D266" i="5"/>
  <c r="Q267" i="5"/>
  <c r="H265" i="5"/>
  <c r="N265" i="5" s="1"/>
  <c r="AG265" i="5"/>
  <c r="S267" i="5" l="1"/>
  <c r="O268" i="5"/>
  <c r="Q268" i="5"/>
  <c r="D267" i="5"/>
  <c r="H266" i="5"/>
  <c r="N266" i="5" s="1"/>
  <c r="AG266" i="5"/>
  <c r="G266" i="5"/>
  <c r="F267" i="5"/>
  <c r="P267" i="5"/>
  <c r="E267" i="5" s="1"/>
  <c r="K265" i="5"/>
  <c r="K266" i="5" l="1"/>
  <c r="F268" i="5"/>
  <c r="P268" i="5"/>
  <c r="E268" i="5" s="1"/>
  <c r="G267" i="5"/>
  <c r="S268" i="5"/>
  <c r="D268" i="5"/>
  <c r="Q269" i="5"/>
  <c r="O269" i="5"/>
  <c r="H267" i="5"/>
  <c r="N267" i="5" s="1"/>
  <c r="AG267" i="5"/>
  <c r="S269" i="5" l="1"/>
  <c r="O270" i="5"/>
  <c r="Q270" i="5"/>
  <c r="D269" i="5"/>
  <c r="K267" i="5"/>
  <c r="F269" i="5"/>
  <c r="P269" i="5"/>
  <c r="E269" i="5" s="1"/>
  <c r="H268" i="5"/>
  <c r="N268" i="5" s="1"/>
  <c r="AG268" i="5"/>
  <c r="G268" i="5"/>
  <c r="K268" i="5" l="1"/>
  <c r="G269" i="5"/>
  <c r="S270" i="5"/>
  <c r="D270" i="5"/>
  <c r="Q271" i="5"/>
  <c r="O271" i="5"/>
  <c r="H269" i="5"/>
  <c r="N269" i="5" s="1"/>
  <c r="AG269" i="5"/>
  <c r="F270" i="5"/>
  <c r="P270" i="5"/>
  <c r="E270" i="5" s="1"/>
  <c r="H270" i="5" l="1"/>
  <c r="N270" i="5" s="1"/>
  <c r="AG270" i="5"/>
  <c r="S271" i="5"/>
  <c r="Q272" i="5"/>
  <c r="D271" i="5"/>
  <c r="O272" i="5"/>
  <c r="K269" i="5"/>
  <c r="F271" i="5"/>
  <c r="P271" i="5"/>
  <c r="E271" i="5" s="1"/>
  <c r="G270" i="5"/>
  <c r="K270" i="5" l="1"/>
  <c r="H271" i="5"/>
  <c r="N271" i="5" s="1"/>
  <c r="AG271" i="5"/>
  <c r="G271" i="5"/>
  <c r="S272" i="5"/>
  <c r="Q273" i="5"/>
  <c r="O273" i="5"/>
  <c r="D272" i="5"/>
  <c r="F272" i="5"/>
  <c r="P272" i="5"/>
  <c r="E272" i="5" s="1"/>
  <c r="S273" i="5" l="1"/>
  <c r="O274" i="5"/>
  <c r="D273" i="5"/>
  <c r="Q274" i="5"/>
  <c r="F273" i="5"/>
  <c r="P273" i="5"/>
  <c r="E273" i="5" s="1"/>
  <c r="H272" i="5"/>
  <c r="N272" i="5" s="1"/>
  <c r="AG272" i="5"/>
  <c r="G272" i="5"/>
  <c r="K271" i="5"/>
  <c r="K272" i="5" l="1"/>
  <c r="F274" i="5"/>
  <c r="P274" i="5"/>
  <c r="E274" i="5" s="1"/>
  <c r="S274" i="5"/>
  <c r="D274" i="5"/>
  <c r="O275" i="5"/>
  <c r="Q275" i="5"/>
  <c r="G273" i="5"/>
  <c r="H273" i="5"/>
  <c r="N273" i="5" s="1"/>
  <c r="AG273" i="5"/>
  <c r="K273" i="5" l="1"/>
  <c r="H274" i="5"/>
  <c r="N274" i="5" s="1"/>
  <c r="AG274" i="5"/>
  <c r="G274" i="5"/>
  <c r="F275" i="5"/>
  <c r="P275" i="5"/>
  <c r="E275" i="5" s="1"/>
  <c r="S275" i="5"/>
  <c r="D275" i="5"/>
  <c r="Q276" i="5"/>
  <c r="O276" i="5"/>
  <c r="K274" i="5" l="1"/>
  <c r="F276" i="5"/>
  <c r="P276" i="5"/>
  <c r="E276" i="5" s="1"/>
  <c r="G275" i="5"/>
  <c r="H275" i="5"/>
  <c r="N275" i="5" s="1"/>
  <c r="AG275" i="5"/>
  <c r="S276" i="5"/>
  <c r="D276" i="5"/>
  <c r="Q277" i="5"/>
  <c r="O277" i="5"/>
  <c r="K275" i="5" l="1"/>
  <c r="S277" i="5"/>
  <c r="Q278" i="5"/>
  <c r="O278" i="5"/>
  <c r="D277" i="5"/>
  <c r="F277" i="5"/>
  <c r="P277" i="5"/>
  <c r="E277" i="5" s="1"/>
  <c r="G276" i="5"/>
  <c r="H276" i="5"/>
  <c r="N276" i="5" s="1"/>
  <c r="AG276" i="5"/>
  <c r="K276" i="5" l="1"/>
  <c r="S278" i="5"/>
  <c r="O279" i="5"/>
  <c r="Q279" i="5"/>
  <c r="D278" i="5"/>
  <c r="G277" i="5"/>
  <c r="F278" i="5"/>
  <c r="P278" i="5"/>
  <c r="E278" i="5" s="1"/>
  <c r="H277" i="5"/>
  <c r="N277" i="5" s="1"/>
  <c r="AG277" i="5"/>
  <c r="F279" i="5" l="1"/>
  <c r="P279" i="5"/>
  <c r="E279" i="5" s="1"/>
  <c r="G278" i="5"/>
  <c r="S279" i="5"/>
  <c r="D279" i="5"/>
  <c r="Q280" i="5"/>
  <c r="O280" i="5"/>
  <c r="K277" i="5"/>
  <c r="H278" i="5"/>
  <c r="N278" i="5" s="1"/>
  <c r="AG278" i="5"/>
  <c r="H279" i="5" l="1"/>
  <c r="N279" i="5" s="1"/>
  <c r="AG279" i="5"/>
  <c r="G279" i="5"/>
  <c r="S280" i="5"/>
  <c r="D280" i="5"/>
  <c r="Q281" i="5"/>
  <c r="O281" i="5"/>
  <c r="K278" i="5"/>
  <c r="F280" i="5"/>
  <c r="P280" i="5"/>
  <c r="E280" i="5" s="1"/>
  <c r="F281" i="5" l="1"/>
  <c r="P281" i="5"/>
  <c r="E281" i="5" s="1"/>
  <c r="G280" i="5"/>
  <c r="H280" i="5"/>
  <c r="N280" i="5" s="1"/>
  <c r="AG280" i="5"/>
  <c r="S281" i="5"/>
  <c r="Q282" i="5"/>
  <c r="D281" i="5"/>
  <c r="O282" i="5"/>
  <c r="K279" i="5"/>
  <c r="K280" i="5" l="1"/>
  <c r="H281" i="5"/>
  <c r="N281" i="5" s="1"/>
  <c r="AG281" i="5"/>
  <c r="S282" i="5"/>
  <c r="Q283" i="5"/>
  <c r="D282" i="5"/>
  <c r="O283" i="5"/>
  <c r="G281" i="5"/>
  <c r="F282" i="5"/>
  <c r="P282" i="5"/>
  <c r="E282" i="5" s="1"/>
  <c r="K281" i="5" l="1"/>
  <c r="H282" i="5"/>
  <c r="N282" i="5" s="1"/>
  <c r="AG282" i="5"/>
  <c r="S283" i="5"/>
  <c r="D283" i="5"/>
  <c r="O284" i="5"/>
  <c r="Q284" i="5"/>
  <c r="G282" i="5"/>
  <c r="F283" i="5"/>
  <c r="P283" i="5"/>
  <c r="E283" i="5" s="1"/>
  <c r="K282" i="5" l="1"/>
  <c r="G283" i="5"/>
  <c r="H283" i="5"/>
  <c r="N283" i="5" s="1"/>
  <c r="AG283" i="5"/>
  <c r="F284" i="5"/>
  <c r="P284" i="5"/>
  <c r="E284" i="5" s="1"/>
  <c r="S284" i="5"/>
  <c r="D284" i="5"/>
  <c r="Q285" i="5"/>
  <c r="O285" i="5"/>
  <c r="H284" i="5" l="1"/>
  <c r="N284" i="5" s="1"/>
  <c r="AG284" i="5"/>
  <c r="S285" i="5"/>
  <c r="Q286" i="5"/>
  <c r="O286" i="5"/>
  <c r="D285" i="5"/>
  <c r="F285" i="5"/>
  <c r="P285" i="5"/>
  <c r="E285" i="5" s="1"/>
  <c r="G284" i="5"/>
  <c r="K283" i="5"/>
  <c r="K284" i="5" l="1"/>
  <c r="H285" i="5"/>
  <c r="N285" i="5" s="1"/>
  <c r="AG285" i="5"/>
  <c r="S286" i="5"/>
  <c r="D286" i="5"/>
  <c r="Q287" i="5"/>
  <c r="O287" i="5"/>
  <c r="G285" i="5"/>
  <c r="F286" i="5"/>
  <c r="P286" i="5"/>
  <c r="E286" i="5" s="1"/>
  <c r="K285" i="5" l="1"/>
  <c r="S287" i="5"/>
  <c r="Q288" i="5"/>
  <c r="D287" i="5"/>
  <c r="O288" i="5"/>
  <c r="H286" i="5"/>
  <c r="N286" i="5" s="1"/>
  <c r="AG286" i="5"/>
  <c r="G286" i="5"/>
  <c r="F287" i="5"/>
  <c r="P287" i="5"/>
  <c r="E287" i="5" s="1"/>
  <c r="K286" i="5" l="1"/>
  <c r="H287" i="5"/>
  <c r="N287" i="5" s="1"/>
  <c r="AG287" i="5"/>
  <c r="S288" i="5"/>
  <c r="Q289" i="5"/>
  <c r="O289" i="5"/>
  <c r="D288" i="5"/>
  <c r="G287" i="5"/>
  <c r="F288" i="5"/>
  <c r="P288" i="5"/>
  <c r="E288" i="5" s="1"/>
  <c r="S289" i="5" l="1"/>
  <c r="Q290" i="5"/>
  <c r="O290" i="5"/>
  <c r="D289" i="5"/>
  <c r="K287" i="5"/>
  <c r="F289" i="5"/>
  <c r="P289" i="5"/>
  <c r="E289" i="5" s="1"/>
  <c r="G288" i="5"/>
  <c r="H288" i="5"/>
  <c r="N288" i="5" s="1"/>
  <c r="AG288" i="5"/>
  <c r="K288" i="5" l="1"/>
  <c r="G289" i="5"/>
  <c r="S290" i="5"/>
  <c r="O291" i="5"/>
  <c r="Q291" i="5"/>
  <c r="D290" i="5"/>
  <c r="F290" i="5"/>
  <c r="P290" i="5"/>
  <c r="E290" i="5" s="1"/>
  <c r="H289" i="5"/>
  <c r="N289" i="5" s="1"/>
  <c r="AG289" i="5"/>
  <c r="H290" i="5" l="1"/>
  <c r="N290" i="5" s="1"/>
  <c r="AG290" i="5"/>
  <c r="K289" i="5"/>
  <c r="G290" i="5"/>
  <c r="F291" i="5"/>
  <c r="P291" i="5"/>
  <c r="E291" i="5" s="1"/>
  <c r="S291" i="5"/>
  <c r="D291" i="5"/>
  <c r="O292" i="5"/>
  <c r="Q292" i="5"/>
  <c r="K290" i="5" l="1"/>
  <c r="S292" i="5"/>
  <c r="Q293" i="5"/>
  <c r="O293" i="5"/>
  <c r="D292" i="5"/>
  <c r="G291" i="5"/>
  <c r="H291" i="5"/>
  <c r="N291" i="5" s="1"/>
  <c r="AG291" i="5"/>
  <c r="F292" i="5"/>
  <c r="P292" i="5"/>
  <c r="E292" i="5" s="1"/>
  <c r="F293" i="5" l="1"/>
  <c r="P293" i="5"/>
  <c r="E293" i="5" s="1"/>
  <c r="H292" i="5"/>
  <c r="N292" i="5" s="1"/>
  <c r="AG292" i="5"/>
  <c r="G292" i="5"/>
  <c r="K291" i="5"/>
  <c r="S293" i="5"/>
  <c r="D293" i="5"/>
  <c r="O294" i="5"/>
  <c r="Q294" i="5"/>
  <c r="K292" i="5" l="1"/>
  <c r="H293" i="5"/>
  <c r="N293" i="5" s="1"/>
  <c r="AG293" i="5"/>
  <c r="F294" i="5"/>
  <c r="P294" i="5"/>
  <c r="E294" i="5" s="1"/>
  <c r="S294" i="5"/>
  <c r="O295" i="5"/>
  <c r="Q295" i="5"/>
  <c r="D294" i="5"/>
  <c r="G293" i="5"/>
  <c r="K293" i="5" l="1"/>
  <c r="F295" i="5"/>
  <c r="P295" i="5"/>
  <c r="E295" i="5" s="1"/>
  <c r="S295" i="5"/>
  <c r="Q296" i="5"/>
  <c r="O296" i="5"/>
  <c r="D295" i="5"/>
  <c r="G294" i="5"/>
  <c r="H294" i="5"/>
  <c r="N294" i="5" s="1"/>
  <c r="AG294" i="5"/>
  <c r="K294" i="5" l="1"/>
  <c r="S296" i="5"/>
  <c r="O297" i="5"/>
  <c r="D296" i="5"/>
  <c r="Q297" i="5"/>
  <c r="G295" i="5"/>
  <c r="F296" i="5"/>
  <c r="P296" i="5"/>
  <c r="E296" i="5" s="1"/>
  <c r="H295" i="5"/>
  <c r="N295" i="5" s="1"/>
  <c r="AG295" i="5"/>
  <c r="G296" i="5" l="1"/>
  <c r="S297" i="5"/>
  <c r="O298" i="5"/>
  <c r="Q298" i="5"/>
  <c r="D297" i="5"/>
  <c r="K295" i="5"/>
  <c r="H296" i="5"/>
  <c r="N296" i="5" s="1"/>
  <c r="AG296" i="5"/>
  <c r="F297" i="5"/>
  <c r="P297" i="5"/>
  <c r="E297" i="5" s="1"/>
  <c r="H297" i="5" l="1"/>
  <c r="N297" i="5" s="1"/>
  <c r="AG297" i="5"/>
  <c r="G297" i="5"/>
  <c r="K296" i="5"/>
  <c r="F298" i="5"/>
  <c r="P298" i="5"/>
  <c r="E298" i="5" s="1"/>
  <c r="S298" i="5"/>
  <c r="O299" i="5"/>
  <c r="Q299" i="5"/>
  <c r="D298" i="5"/>
  <c r="F299" i="5" l="1"/>
  <c r="P299" i="5"/>
  <c r="E299" i="5" s="1"/>
  <c r="K297" i="5"/>
  <c r="S299" i="5"/>
  <c r="Q300" i="5"/>
  <c r="O300" i="5"/>
  <c r="D299" i="5"/>
  <c r="G298" i="5"/>
  <c r="H298" i="5"/>
  <c r="N298" i="5" s="1"/>
  <c r="AG298" i="5"/>
  <c r="G299" i="5" l="1"/>
  <c r="S300" i="5"/>
  <c r="Q301" i="5"/>
  <c r="O301" i="5"/>
  <c r="D300" i="5"/>
  <c r="F300" i="5"/>
  <c r="P300" i="5"/>
  <c r="E300" i="5" s="1"/>
  <c r="K298" i="5"/>
  <c r="H299" i="5"/>
  <c r="N299" i="5" s="1"/>
  <c r="AG299" i="5"/>
  <c r="G300" i="5" l="1"/>
  <c r="S301" i="5"/>
  <c r="O302" i="5"/>
  <c r="Q302" i="5"/>
  <c r="D301" i="5"/>
  <c r="F301" i="5"/>
  <c r="P301" i="5"/>
  <c r="E301" i="5" s="1"/>
  <c r="K299" i="5"/>
  <c r="H300" i="5"/>
  <c r="N300" i="5" s="1"/>
  <c r="AG300" i="5"/>
  <c r="G301" i="5" l="1"/>
  <c r="K300" i="5"/>
  <c r="F302" i="5"/>
  <c r="P302" i="5"/>
  <c r="E302" i="5" s="1"/>
  <c r="S302" i="5"/>
  <c r="D302" i="5"/>
  <c r="Q303" i="5"/>
  <c r="O303" i="5"/>
  <c r="H301" i="5"/>
  <c r="N301" i="5" s="1"/>
  <c r="AG301" i="5"/>
  <c r="G302" i="5" l="1"/>
  <c r="F303" i="5"/>
  <c r="P303" i="5"/>
  <c r="E303" i="5" s="1"/>
  <c r="H302" i="5"/>
  <c r="N302" i="5" s="1"/>
  <c r="AG302" i="5"/>
  <c r="K301" i="5"/>
  <c r="S303" i="5"/>
  <c r="D303" i="5"/>
  <c r="O304" i="5"/>
  <c r="Q304" i="5"/>
  <c r="K302" i="5" l="1"/>
  <c r="H303" i="5"/>
  <c r="N303" i="5" s="1"/>
  <c r="AG303" i="5"/>
  <c r="F304" i="5"/>
  <c r="P304" i="5"/>
  <c r="E304" i="5" s="1"/>
  <c r="S304" i="5"/>
  <c r="O305" i="5"/>
  <c r="D304" i="5"/>
  <c r="Q305" i="5"/>
  <c r="G303" i="5"/>
  <c r="K303" i="5" l="1"/>
  <c r="G304" i="5"/>
  <c r="S305" i="5"/>
  <c r="D305" i="5"/>
  <c r="Q306" i="5"/>
  <c r="O306" i="5"/>
  <c r="H304" i="5"/>
  <c r="N304" i="5" s="1"/>
  <c r="AG304" i="5"/>
  <c r="F305" i="5"/>
  <c r="P305" i="5"/>
  <c r="E305" i="5" s="1"/>
  <c r="S306" i="5" l="1"/>
  <c r="D306" i="5"/>
  <c r="Q307" i="5"/>
  <c r="O307" i="5"/>
  <c r="K304" i="5"/>
  <c r="F306" i="5"/>
  <c r="P306" i="5"/>
  <c r="E306" i="5" s="1"/>
  <c r="G305" i="5"/>
  <c r="H305" i="5"/>
  <c r="N305" i="5" s="1"/>
  <c r="AG305" i="5"/>
  <c r="K305" i="5" l="1"/>
  <c r="H306" i="5"/>
  <c r="N306" i="5" s="1"/>
  <c r="AG306" i="5"/>
  <c r="S307" i="5"/>
  <c r="O308" i="5"/>
  <c r="D307" i="5"/>
  <c r="Q308" i="5"/>
  <c r="F307" i="5"/>
  <c r="P307" i="5"/>
  <c r="E307" i="5" s="1"/>
  <c r="G306" i="5"/>
  <c r="K306" i="5" l="1"/>
  <c r="H307" i="5"/>
  <c r="N307" i="5" s="1"/>
  <c r="AG307" i="5"/>
  <c r="F308" i="5"/>
  <c r="P308" i="5"/>
  <c r="E308" i="5" s="1"/>
  <c r="G307" i="5"/>
  <c r="S308" i="5"/>
  <c r="O309" i="5"/>
  <c r="Q309" i="5"/>
  <c r="D308" i="5"/>
  <c r="K307" i="5" l="1"/>
  <c r="F309" i="5"/>
  <c r="P309" i="5"/>
  <c r="E309" i="5" s="1"/>
  <c r="S309" i="5"/>
  <c r="O310" i="5"/>
  <c r="Q310" i="5"/>
  <c r="D309" i="5"/>
  <c r="G308" i="5"/>
  <c r="H308" i="5"/>
  <c r="N308" i="5" s="1"/>
  <c r="AG308" i="5"/>
  <c r="K308" i="5" l="1"/>
  <c r="F310" i="5"/>
  <c r="P310" i="5"/>
  <c r="E310" i="5" s="1"/>
  <c r="G309" i="5"/>
  <c r="S310" i="5"/>
  <c r="Q311" i="5"/>
  <c r="O311" i="5"/>
  <c r="D310" i="5"/>
  <c r="H309" i="5"/>
  <c r="N309" i="5" s="1"/>
  <c r="AG309" i="5"/>
  <c r="H310" i="5" l="1"/>
  <c r="N310" i="5" s="1"/>
  <c r="AG310" i="5"/>
  <c r="K309" i="5"/>
  <c r="S311" i="5"/>
  <c r="Q312" i="5"/>
  <c r="O312" i="5"/>
  <c r="D311" i="5"/>
  <c r="F311" i="5"/>
  <c r="P311" i="5"/>
  <c r="E311" i="5" s="1"/>
  <c r="G310" i="5"/>
  <c r="K310" i="5" l="1"/>
  <c r="G311" i="5"/>
  <c r="F312" i="5"/>
  <c r="P312" i="5"/>
  <c r="E312" i="5" s="1"/>
  <c r="H311" i="5"/>
  <c r="N311" i="5" s="1"/>
  <c r="AG311" i="5"/>
  <c r="S312" i="5"/>
  <c r="D312" i="5"/>
  <c r="O313" i="5"/>
  <c r="Q313" i="5"/>
  <c r="S313" i="5" l="1"/>
  <c r="D313" i="5"/>
  <c r="Q314" i="5"/>
  <c r="O314" i="5"/>
  <c r="H312" i="5"/>
  <c r="N312" i="5" s="1"/>
  <c r="AG312" i="5"/>
  <c r="G312" i="5"/>
  <c r="F313" i="5"/>
  <c r="P313" i="5"/>
  <c r="E313" i="5" s="1"/>
  <c r="K311" i="5"/>
  <c r="H313" i="5" l="1"/>
  <c r="N313" i="5" s="1"/>
  <c r="AG313" i="5"/>
  <c r="G313" i="5"/>
  <c r="S314" i="5"/>
  <c r="Q315" i="5"/>
  <c r="D314" i="5"/>
  <c r="O315" i="5"/>
  <c r="F314" i="5"/>
  <c r="P314" i="5"/>
  <c r="E314" i="5" s="1"/>
  <c r="K312" i="5"/>
  <c r="K313" i="5" l="1"/>
  <c r="H314" i="5"/>
  <c r="N314" i="5" s="1"/>
  <c r="AG314" i="5"/>
  <c r="G314" i="5"/>
  <c r="S315" i="5"/>
  <c r="Q316" i="5"/>
  <c r="D315" i="5"/>
  <c r="O316" i="5"/>
  <c r="F315" i="5"/>
  <c r="P315" i="5"/>
  <c r="E315" i="5" s="1"/>
  <c r="K314" i="5" l="1"/>
  <c r="F316" i="5"/>
  <c r="P316" i="5"/>
  <c r="E316" i="5" s="1"/>
  <c r="H315" i="5"/>
  <c r="N315" i="5" s="1"/>
  <c r="AG315" i="5"/>
  <c r="S316" i="5"/>
  <c r="Q317" i="5"/>
  <c r="O317" i="5"/>
  <c r="D316" i="5"/>
  <c r="G315" i="5"/>
  <c r="K315" i="5" l="1"/>
  <c r="H316" i="5"/>
  <c r="N316" i="5" s="1"/>
  <c r="AG316" i="5"/>
  <c r="S317" i="5"/>
  <c r="O318" i="5"/>
  <c r="Q318" i="5"/>
  <c r="D317" i="5"/>
  <c r="F317" i="5"/>
  <c r="P317" i="5"/>
  <c r="E317" i="5" s="1"/>
  <c r="G316" i="5"/>
  <c r="K316" i="5" l="1"/>
  <c r="F318" i="5"/>
  <c r="P318" i="5"/>
  <c r="E318" i="5" s="1"/>
  <c r="G317" i="5"/>
  <c r="S318" i="5"/>
  <c r="D318" i="5"/>
  <c r="O319" i="5"/>
  <c r="Q319" i="5"/>
  <c r="H317" i="5"/>
  <c r="N317" i="5" s="1"/>
  <c r="AG317" i="5"/>
  <c r="K317" i="5" l="1"/>
  <c r="F319" i="5"/>
  <c r="P319" i="5"/>
  <c r="E319" i="5" s="1"/>
  <c r="S319" i="5"/>
  <c r="O320" i="5"/>
  <c r="Q320" i="5"/>
  <c r="D319" i="5"/>
  <c r="G318" i="5"/>
  <c r="H318" i="5"/>
  <c r="N318" i="5" s="1"/>
  <c r="AG318" i="5"/>
  <c r="H319" i="5" l="1"/>
  <c r="N319" i="5" s="1"/>
  <c r="AG319" i="5"/>
  <c r="F320" i="5"/>
  <c r="P320" i="5"/>
  <c r="E320" i="5" s="1"/>
  <c r="K318" i="5"/>
  <c r="S320" i="5"/>
  <c r="Q321" i="5"/>
  <c r="O321" i="5"/>
  <c r="D320" i="5"/>
  <c r="G319" i="5"/>
  <c r="K319" i="5" l="1"/>
  <c r="H320" i="5"/>
  <c r="N320" i="5" s="1"/>
  <c r="AG320" i="5"/>
  <c r="S321" i="5"/>
  <c r="O322" i="5"/>
  <c r="D321" i="5"/>
  <c r="Q322" i="5"/>
  <c r="F321" i="5"/>
  <c r="P321" i="5"/>
  <c r="E321" i="5" s="1"/>
  <c r="G320" i="5"/>
  <c r="K320" i="5" l="1"/>
  <c r="G321" i="5"/>
  <c r="F322" i="5"/>
  <c r="P322" i="5"/>
  <c r="E322" i="5" s="1"/>
  <c r="S322" i="5"/>
  <c r="O323" i="5"/>
  <c r="Q323" i="5"/>
  <c r="D322" i="5"/>
  <c r="H321" i="5"/>
  <c r="N321" i="5" s="1"/>
  <c r="AG321" i="5"/>
  <c r="F323" i="5" l="1"/>
  <c r="P323" i="5"/>
  <c r="E323" i="5" s="1"/>
  <c r="S323" i="5"/>
  <c r="Q324" i="5"/>
  <c r="O324" i="5"/>
  <c r="D323" i="5"/>
  <c r="G322" i="5"/>
  <c r="K321" i="5"/>
  <c r="H322" i="5"/>
  <c r="N322" i="5" s="1"/>
  <c r="AG322" i="5"/>
  <c r="S324" i="5" l="1"/>
  <c r="Q325" i="5"/>
  <c r="O325" i="5"/>
  <c r="D324" i="5"/>
  <c r="G323" i="5"/>
  <c r="K322" i="5"/>
  <c r="F324" i="5"/>
  <c r="P324" i="5"/>
  <c r="E324" i="5" s="1"/>
  <c r="H323" i="5"/>
  <c r="N323" i="5" s="1"/>
  <c r="AG323" i="5"/>
  <c r="G324" i="5" l="1"/>
  <c r="S325" i="5"/>
  <c r="O326" i="5"/>
  <c r="Q326" i="5"/>
  <c r="D325" i="5"/>
  <c r="F325" i="5"/>
  <c r="P325" i="5"/>
  <c r="E325" i="5" s="1"/>
  <c r="K323" i="5"/>
  <c r="H324" i="5"/>
  <c r="N324" i="5" s="1"/>
  <c r="AG324" i="5"/>
  <c r="F326" i="5" l="1"/>
  <c r="P326" i="5"/>
  <c r="E326" i="5" s="1"/>
  <c r="S326" i="5"/>
  <c r="D326" i="5"/>
  <c r="O327" i="5"/>
  <c r="Q327" i="5"/>
  <c r="G325" i="5"/>
  <c r="H325" i="5"/>
  <c r="N325" i="5" s="1"/>
  <c r="AG325" i="5"/>
  <c r="K324" i="5"/>
  <c r="K325" i="5" l="1"/>
  <c r="S327" i="5"/>
  <c r="Q328" i="5"/>
  <c r="D327" i="5"/>
  <c r="O328" i="5"/>
  <c r="G326" i="5"/>
  <c r="H326" i="5"/>
  <c r="N326" i="5" s="1"/>
  <c r="AG326" i="5"/>
  <c r="F327" i="5"/>
  <c r="P327" i="5"/>
  <c r="E327" i="5" s="1"/>
  <c r="S328" i="5" l="1"/>
  <c r="D328" i="5"/>
  <c r="O329" i="5"/>
  <c r="Q329" i="5"/>
  <c r="G327" i="5"/>
  <c r="F328" i="5"/>
  <c r="P328" i="5"/>
  <c r="E328" i="5" s="1"/>
  <c r="K326" i="5"/>
  <c r="H327" i="5"/>
  <c r="N327" i="5" s="1"/>
  <c r="AG327" i="5"/>
  <c r="S329" i="5" l="1"/>
  <c r="O330" i="5"/>
  <c r="D329" i="5"/>
  <c r="Q330" i="5"/>
  <c r="G328" i="5"/>
  <c r="H328" i="5"/>
  <c r="N328" i="5" s="1"/>
  <c r="AG328" i="5"/>
  <c r="K327" i="5"/>
  <c r="F329" i="5"/>
  <c r="P329" i="5"/>
  <c r="E329" i="5" s="1"/>
  <c r="G329" i="5" l="1"/>
  <c r="F330" i="5"/>
  <c r="P330" i="5"/>
  <c r="E330" i="5" s="1"/>
  <c r="K328" i="5"/>
  <c r="S330" i="5"/>
  <c r="O331" i="5"/>
  <c r="Q331" i="5"/>
  <c r="D330" i="5"/>
  <c r="H329" i="5"/>
  <c r="N329" i="5" s="1"/>
  <c r="AG329" i="5"/>
  <c r="S331" i="5" l="1"/>
  <c r="O332" i="5"/>
  <c r="D331" i="5"/>
  <c r="Q332" i="5"/>
  <c r="H330" i="5"/>
  <c r="N330" i="5" s="1"/>
  <c r="AG330" i="5"/>
  <c r="G330" i="5"/>
  <c r="F331" i="5"/>
  <c r="P331" i="5"/>
  <c r="E331" i="5" s="1"/>
  <c r="K329" i="5"/>
  <c r="F332" i="5" l="1"/>
  <c r="P332" i="5"/>
  <c r="E332" i="5" s="1"/>
  <c r="G331" i="5"/>
  <c r="S332" i="5"/>
  <c r="O333" i="5"/>
  <c r="Q333" i="5"/>
  <c r="D332" i="5"/>
  <c r="K330" i="5"/>
  <c r="H331" i="5"/>
  <c r="N331" i="5" s="1"/>
  <c r="AG331" i="5"/>
  <c r="F333" i="5" l="1"/>
  <c r="P333" i="5"/>
  <c r="E333" i="5" s="1"/>
  <c r="K331" i="5"/>
  <c r="S333" i="5"/>
  <c r="Q334" i="5"/>
  <c r="O334" i="5"/>
  <c r="D333" i="5"/>
  <c r="H332" i="5"/>
  <c r="N332" i="5" s="1"/>
  <c r="AG332" i="5"/>
  <c r="G332" i="5"/>
  <c r="K332" i="5" l="1"/>
  <c r="H333" i="5"/>
  <c r="N333" i="5" s="1"/>
  <c r="AG333" i="5"/>
  <c r="S334" i="5"/>
  <c r="Q335" i="5"/>
  <c r="O335" i="5"/>
  <c r="D334" i="5"/>
  <c r="G333" i="5"/>
  <c r="F334" i="5"/>
  <c r="P334" i="5"/>
  <c r="E334" i="5" s="1"/>
  <c r="K333" i="5" l="1"/>
  <c r="S335" i="5"/>
  <c r="Q336" i="5"/>
  <c r="D335" i="5"/>
  <c r="O336" i="5"/>
  <c r="F335" i="5"/>
  <c r="P335" i="5"/>
  <c r="E335" i="5" s="1"/>
  <c r="H334" i="5"/>
  <c r="N334" i="5" s="1"/>
  <c r="AG334" i="5"/>
  <c r="G334" i="5"/>
  <c r="K334" i="5" l="1"/>
  <c r="H335" i="5"/>
  <c r="N335" i="5" s="1"/>
  <c r="AG335" i="5"/>
  <c r="S336" i="5"/>
  <c r="Q337" i="5"/>
  <c r="O337" i="5"/>
  <c r="D336" i="5"/>
  <c r="G335" i="5"/>
  <c r="F336" i="5"/>
  <c r="P336" i="5"/>
  <c r="E336" i="5" s="1"/>
  <c r="K335" i="5" l="1"/>
  <c r="G336" i="5"/>
  <c r="S337" i="5"/>
  <c r="D337" i="5"/>
  <c r="O338" i="5"/>
  <c r="Q338" i="5"/>
  <c r="F337" i="5"/>
  <c r="P337" i="5"/>
  <c r="E337" i="5" s="1"/>
  <c r="H336" i="5"/>
  <c r="N336" i="5" s="1"/>
  <c r="AG336" i="5"/>
  <c r="S338" i="5" l="1"/>
  <c r="D338" i="5"/>
  <c r="Q339" i="5"/>
  <c r="O339" i="5"/>
  <c r="G337" i="5"/>
  <c r="H337" i="5"/>
  <c r="N337" i="5" s="1"/>
  <c r="AG337" i="5"/>
  <c r="F338" i="5"/>
  <c r="P338" i="5"/>
  <c r="E338" i="5" s="1"/>
  <c r="K336" i="5"/>
  <c r="S339" i="5" l="1"/>
  <c r="Q340" i="5"/>
  <c r="O340" i="5"/>
  <c r="D339" i="5"/>
  <c r="F339" i="5"/>
  <c r="P339" i="5"/>
  <c r="E339" i="5" s="1"/>
  <c r="G338" i="5"/>
  <c r="K337" i="5"/>
  <c r="H338" i="5"/>
  <c r="N338" i="5" s="1"/>
  <c r="AG338" i="5"/>
  <c r="G339" i="5" l="1"/>
  <c r="S340" i="5"/>
  <c r="Q341" i="5"/>
  <c r="O341" i="5"/>
  <c r="D340" i="5"/>
  <c r="K338" i="5"/>
  <c r="F340" i="5"/>
  <c r="P340" i="5"/>
  <c r="E340" i="5" s="1"/>
  <c r="H339" i="5"/>
  <c r="N339" i="5" s="1"/>
  <c r="AG339" i="5"/>
  <c r="H340" i="5" l="1"/>
  <c r="N340" i="5" s="1"/>
  <c r="AG340" i="5"/>
  <c r="K339" i="5"/>
  <c r="S341" i="5"/>
  <c r="Q342" i="5"/>
  <c r="O342" i="5"/>
  <c r="D341" i="5"/>
  <c r="G340" i="5"/>
  <c r="F341" i="5"/>
  <c r="P341" i="5"/>
  <c r="E341" i="5" s="1"/>
  <c r="G341" i="5" l="1"/>
  <c r="K340" i="5"/>
  <c r="S342" i="5"/>
  <c r="Q343" i="5"/>
  <c r="D342" i="5"/>
  <c r="O343" i="5"/>
  <c r="F342" i="5"/>
  <c r="P342" i="5"/>
  <c r="E342" i="5" s="1"/>
  <c r="H341" i="5"/>
  <c r="N341" i="5" s="1"/>
  <c r="AG341" i="5"/>
  <c r="G342" i="5" l="1"/>
  <c r="F343" i="5"/>
  <c r="P343" i="5"/>
  <c r="E343" i="5" s="1"/>
  <c r="H342" i="5"/>
  <c r="N342" i="5" s="1"/>
  <c r="AG342" i="5"/>
  <c r="S343" i="5"/>
  <c r="Q344" i="5"/>
  <c r="O344" i="5"/>
  <c r="D343" i="5"/>
  <c r="K341" i="5"/>
  <c r="S344" i="5" l="1"/>
  <c r="O345" i="5"/>
  <c r="Q345" i="5"/>
  <c r="D344" i="5"/>
  <c r="K342" i="5"/>
  <c r="F344" i="5"/>
  <c r="P344" i="5"/>
  <c r="E344" i="5" s="1"/>
  <c r="G343" i="5"/>
  <c r="H343" i="5"/>
  <c r="N343" i="5" s="1"/>
  <c r="AG343" i="5"/>
  <c r="K343" i="5" l="1"/>
  <c r="F345" i="5"/>
  <c r="P345" i="5"/>
  <c r="E345" i="5" s="1"/>
  <c r="S345" i="5"/>
  <c r="D345" i="5"/>
  <c r="Q346" i="5"/>
  <c r="O346" i="5"/>
  <c r="H344" i="5"/>
  <c r="N344" i="5" s="1"/>
  <c r="AG344" i="5"/>
  <c r="G344" i="5"/>
  <c r="K344" i="5" l="1"/>
  <c r="H345" i="5"/>
  <c r="N345" i="5" s="1"/>
  <c r="AG345" i="5"/>
  <c r="S346" i="5"/>
  <c r="O347" i="5"/>
  <c r="D346" i="5"/>
  <c r="Q347" i="5"/>
  <c r="G345" i="5"/>
  <c r="F346" i="5"/>
  <c r="P346" i="5"/>
  <c r="E346" i="5" s="1"/>
  <c r="K345" i="5" l="1"/>
  <c r="H346" i="5"/>
  <c r="N346" i="5" s="1"/>
  <c r="AG346" i="5"/>
  <c r="G346" i="5"/>
  <c r="F347" i="5"/>
  <c r="P347" i="5"/>
  <c r="E347" i="5" s="1"/>
  <c r="S347" i="5"/>
  <c r="Q348" i="5"/>
  <c r="D347" i="5"/>
  <c r="O348" i="5"/>
  <c r="F348" i="5" l="1"/>
  <c r="P348" i="5"/>
  <c r="E348" i="5" s="1"/>
  <c r="H347" i="5"/>
  <c r="N347" i="5" s="1"/>
  <c r="AG347" i="5"/>
  <c r="S348" i="5"/>
  <c r="Q349" i="5"/>
  <c r="D348" i="5"/>
  <c r="O349" i="5"/>
  <c r="G347" i="5"/>
  <c r="K346" i="5"/>
  <c r="K347" i="5" l="1"/>
  <c r="S349" i="5"/>
  <c r="O350" i="5"/>
  <c r="Q350" i="5"/>
  <c r="D349" i="5"/>
  <c r="H348" i="5"/>
  <c r="N348" i="5" s="1"/>
  <c r="AG348" i="5"/>
  <c r="F349" i="5"/>
  <c r="P349" i="5"/>
  <c r="E349" i="5" s="1"/>
  <c r="G348" i="5"/>
  <c r="K348" i="5" l="1"/>
  <c r="G349" i="5"/>
  <c r="S350" i="5"/>
  <c r="Q351" i="5"/>
  <c r="D350" i="5"/>
  <c r="O351" i="5"/>
  <c r="H349" i="5"/>
  <c r="N349" i="5" s="1"/>
  <c r="AG349" i="5"/>
  <c r="F350" i="5"/>
  <c r="P350" i="5"/>
  <c r="E350" i="5" s="1"/>
  <c r="K349" i="5" l="1"/>
  <c r="S351" i="5"/>
  <c r="D351" i="5"/>
  <c r="Q352" i="5"/>
  <c r="O352" i="5"/>
  <c r="F351" i="5"/>
  <c r="P351" i="5"/>
  <c r="E351" i="5" s="1"/>
  <c r="G350" i="5"/>
  <c r="H350" i="5"/>
  <c r="N350" i="5" s="1"/>
  <c r="AG350" i="5"/>
  <c r="G351" i="5" l="1"/>
  <c r="S352" i="5"/>
  <c r="O353" i="5"/>
  <c r="Q353" i="5"/>
  <c r="D352" i="5"/>
  <c r="F352" i="5"/>
  <c r="P352" i="5"/>
  <c r="E352" i="5" s="1"/>
  <c r="K350" i="5"/>
  <c r="H351" i="5"/>
  <c r="N351" i="5" s="1"/>
  <c r="AG351" i="5"/>
  <c r="F353" i="5" l="1"/>
  <c r="P353" i="5"/>
  <c r="E353" i="5" s="1"/>
  <c r="S353" i="5"/>
  <c r="O354" i="5"/>
  <c r="Q354" i="5"/>
  <c r="D353" i="5"/>
  <c r="G352" i="5"/>
  <c r="H352" i="5"/>
  <c r="N352" i="5" s="1"/>
  <c r="AG352" i="5"/>
  <c r="K351" i="5"/>
  <c r="K352" i="5" l="1"/>
  <c r="F354" i="5"/>
  <c r="P354" i="5"/>
  <c r="E354" i="5" s="1"/>
  <c r="S354" i="5"/>
  <c r="O355" i="5"/>
  <c r="D354" i="5"/>
  <c r="Q355" i="5"/>
  <c r="H353" i="5"/>
  <c r="N353" i="5" s="1"/>
  <c r="AG353" i="5"/>
  <c r="G353" i="5"/>
  <c r="K353" i="5" l="1"/>
  <c r="G354" i="5"/>
  <c r="H354" i="5"/>
  <c r="N354" i="5" s="1"/>
  <c r="AG354" i="5"/>
  <c r="F355" i="5"/>
  <c r="P355" i="5"/>
  <c r="E355" i="5" s="1"/>
  <c r="S355" i="5"/>
  <c r="Q356" i="5"/>
  <c r="D355" i="5"/>
  <c r="O356" i="5"/>
  <c r="K354" i="5" l="1"/>
  <c r="F356" i="5"/>
  <c r="P356" i="5"/>
  <c r="E356" i="5" s="1"/>
  <c r="H355" i="5"/>
  <c r="N355" i="5" s="1"/>
  <c r="AG355" i="5"/>
  <c r="G355" i="5"/>
  <c r="S356" i="5"/>
  <c r="D356" i="5"/>
  <c r="O357" i="5"/>
  <c r="Q357" i="5"/>
  <c r="K355" i="5" l="1"/>
  <c r="F357" i="5"/>
  <c r="P357" i="5"/>
  <c r="E357" i="5" s="1"/>
  <c r="S357" i="5"/>
  <c r="Q358" i="5"/>
  <c r="O358" i="5"/>
  <c r="D357" i="5"/>
  <c r="G356" i="5"/>
  <c r="H356" i="5"/>
  <c r="N356" i="5" s="1"/>
  <c r="AG356" i="5"/>
  <c r="F358" i="5" l="1"/>
  <c r="P358" i="5"/>
  <c r="E358" i="5" s="1"/>
  <c r="H357" i="5"/>
  <c r="N357" i="5" s="1"/>
  <c r="AG357" i="5"/>
  <c r="K356" i="5"/>
  <c r="S358" i="5"/>
  <c r="D358" i="5"/>
  <c r="Q359" i="5"/>
  <c r="O359" i="5"/>
  <c r="G357" i="5"/>
  <c r="K357" i="5" l="1"/>
  <c r="H358" i="5"/>
  <c r="N358" i="5" s="1"/>
  <c r="AG358" i="5"/>
  <c r="S359" i="5"/>
  <c r="Q360" i="5"/>
  <c r="O360" i="5"/>
  <c r="D359" i="5"/>
  <c r="G358" i="5"/>
  <c r="F359" i="5"/>
  <c r="P359" i="5"/>
  <c r="E359" i="5" s="1"/>
  <c r="K358" i="5" l="1"/>
  <c r="S360" i="5"/>
  <c r="Q361" i="5"/>
  <c r="O361" i="5"/>
  <c r="D360" i="5"/>
  <c r="G359" i="5"/>
  <c r="F360" i="5"/>
  <c r="P360" i="5"/>
  <c r="E360" i="5" s="1"/>
  <c r="H359" i="5"/>
  <c r="N359" i="5" s="1"/>
  <c r="AG359" i="5"/>
  <c r="K359" i="5" l="1"/>
  <c r="F361" i="5"/>
  <c r="P361" i="5"/>
  <c r="E361" i="5" s="1"/>
  <c r="H360" i="5"/>
  <c r="N360" i="5" s="1"/>
  <c r="AG360" i="5"/>
  <c r="G360" i="5"/>
  <c r="S361" i="5"/>
  <c r="O362" i="5"/>
  <c r="Q362" i="5"/>
  <c r="D361" i="5"/>
  <c r="K360" i="5" l="1"/>
  <c r="F362" i="5"/>
  <c r="P362" i="5"/>
  <c r="E362" i="5" s="1"/>
  <c r="S362" i="5"/>
  <c r="D362" i="5"/>
  <c r="O363" i="5"/>
  <c r="Q363" i="5"/>
  <c r="H361" i="5"/>
  <c r="N361" i="5" s="1"/>
  <c r="AG361" i="5"/>
  <c r="G361" i="5"/>
  <c r="K361" i="5" l="1"/>
  <c r="H362" i="5"/>
  <c r="N362" i="5" s="1"/>
  <c r="AG362" i="5"/>
  <c r="F363" i="5"/>
  <c r="P363" i="5"/>
  <c r="E363" i="5" s="1"/>
  <c r="S363" i="5"/>
  <c r="D363" i="5"/>
  <c r="Q364" i="5"/>
  <c r="O364" i="5"/>
  <c r="G362" i="5"/>
  <c r="K362" i="5" l="1"/>
  <c r="G363" i="5"/>
  <c r="F364" i="5"/>
  <c r="P364" i="5"/>
  <c r="E364" i="5" s="1"/>
  <c r="H363" i="5"/>
  <c r="N363" i="5" s="1"/>
  <c r="AG363" i="5"/>
  <c r="S364" i="5"/>
  <c r="Q365" i="5"/>
  <c r="D364" i="5"/>
  <c r="O365" i="5"/>
  <c r="F365" i="5" l="1"/>
  <c r="P365" i="5"/>
  <c r="E365" i="5" s="1"/>
  <c r="H364" i="5"/>
  <c r="N364" i="5" s="1"/>
  <c r="AG364" i="5"/>
  <c r="K363" i="5"/>
  <c r="S365" i="5"/>
  <c r="Q366" i="5"/>
  <c r="D365" i="5"/>
  <c r="O366" i="5"/>
  <c r="G364" i="5"/>
  <c r="K364" i="5" l="1"/>
  <c r="F366" i="5"/>
  <c r="P366" i="5"/>
  <c r="E366" i="5" s="1"/>
  <c r="H365" i="5"/>
  <c r="N365" i="5" s="1"/>
  <c r="AG365" i="5"/>
  <c r="S366" i="5"/>
  <c r="O367" i="5"/>
  <c r="Q367" i="5"/>
  <c r="D366" i="5"/>
  <c r="G365" i="5"/>
  <c r="K365" i="5" l="1"/>
  <c r="G366" i="5"/>
  <c r="F367" i="5"/>
  <c r="P367" i="5"/>
  <c r="E367" i="5" s="1"/>
  <c r="S367" i="5"/>
  <c r="D367" i="5"/>
  <c r="Q368" i="5"/>
  <c r="O368" i="5"/>
  <c r="H366" i="5"/>
  <c r="N366" i="5" s="1"/>
  <c r="AG366" i="5"/>
  <c r="K366" i="5" l="1"/>
  <c r="H367" i="5"/>
  <c r="N367" i="5" s="1"/>
  <c r="AG367" i="5"/>
  <c r="S368" i="5"/>
  <c r="Q369" i="5"/>
  <c r="O369" i="5"/>
  <c r="D368" i="5"/>
  <c r="F368" i="5"/>
  <c r="P368" i="5"/>
  <c r="E368" i="5" s="1"/>
  <c r="G367" i="5"/>
  <c r="K367" i="5" l="1"/>
  <c r="G368" i="5"/>
  <c r="H368" i="5"/>
  <c r="N368" i="5" s="1"/>
  <c r="AG368" i="5"/>
  <c r="S369" i="5"/>
  <c r="Q370" i="5"/>
  <c r="D369" i="5"/>
  <c r="O370" i="5"/>
  <c r="F369" i="5"/>
  <c r="P369" i="5"/>
  <c r="E369" i="5" s="1"/>
  <c r="G369" i="5" l="1"/>
  <c r="F370" i="5"/>
  <c r="P370" i="5"/>
  <c r="E370" i="5" s="1"/>
  <c r="H369" i="5"/>
  <c r="N369" i="5" s="1"/>
  <c r="AG369" i="5"/>
  <c r="S370" i="5"/>
  <c r="Q371" i="5"/>
  <c r="O371" i="5"/>
  <c r="D370" i="5"/>
  <c r="K368" i="5"/>
  <c r="H370" i="5" l="1"/>
  <c r="N370" i="5" s="1"/>
  <c r="AG370" i="5"/>
  <c r="K369" i="5"/>
  <c r="S371" i="5"/>
  <c r="Q372" i="5"/>
  <c r="D371" i="5"/>
  <c r="O372" i="5"/>
  <c r="F371" i="5"/>
  <c r="P371" i="5"/>
  <c r="E371" i="5" s="1"/>
  <c r="G370" i="5"/>
  <c r="K370" i="5" l="1"/>
  <c r="F372" i="5"/>
  <c r="P372" i="5"/>
  <c r="E372" i="5" s="1"/>
  <c r="G371" i="5"/>
  <c r="H371" i="5"/>
  <c r="N371" i="5" s="1"/>
  <c r="AG371" i="5"/>
  <c r="S372" i="5"/>
  <c r="Q373" i="5"/>
  <c r="O373" i="5"/>
  <c r="D372" i="5"/>
  <c r="G372" i="5" l="1"/>
  <c r="S373" i="5"/>
  <c r="Q374" i="5"/>
  <c r="O374" i="5"/>
  <c r="D373" i="5"/>
  <c r="F373" i="5"/>
  <c r="P373" i="5"/>
  <c r="E373" i="5" s="1"/>
  <c r="K371" i="5"/>
  <c r="H372" i="5"/>
  <c r="N372" i="5" s="1"/>
  <c r="AG372" i="5"/>
  <c r="S374" i="5" l="1"/>
  <c r="Q375" i="5"/>
  <c r="O375" i="5"/>
  <c r="D374" i="5"/>
  <c r="F374" i="5"/>
  <c r="P374" i="5"/>
  <c r="E374" i="5" s="1"/>
  <c r="K372" i="5"/>
  <c r="G373" i="5"/>
  <c r="H373" i="5"/>
  <c r="N373" i="5" s="1"/>
  <c r="AG373" i="5"/>
  <c r="G374" i="5" l="1"/>
  <c r="K373" i="5"/>
  <c r="F375" i="5"/>
  <c r="P375" i="5"/>
  <c r="E375" i="5" s="1"/>
  <c r="H374" i="5"/>
  <c r="N374" i="5" s="1"/>
  <c r="AG374" i="5"/>
  <c r="S375" i="5"/>
  <c r="Q376" i="5"/>
  <c r="D375" i="5"/>
  <c r="O376" i="5"/>
  <c r="G375" i="5" l="1"/>
  <c r="K374" i="5"/>
  <c r="H375" i="5"/>
  <c r="N375" i="5" s="1"/>
  <c r="AG375" i="5"/>
  <c r="S376" i="5"/>
  <c r="D376" i="5"/>
  <c r="Q377" i="5"/>
  <c r="O377" i="5"/>
  <c r="F376" i="5"/>
  <c r="P376" i="5"/>
  <c r="E376" i="5" s="1"/>
  <c r="K375" i="5" l="1"/>
  <c r="H376" i="5"/>
  <c r="N376" i="5" s="1"/>
  <c r="AG376" i="5"/>
  <c r="S377" i="5"/>
  <c r="O378" i="5"/>
  <c r="Q378" i="5"/>
  <c r="D377" i="5"/>
  <c r="F377" i="5"/>
  <c r="P377" i="5"/>
  <c r="E377" i="5" s="1"/>
  <c r="G376" i="5"/>
  <c r="K376" i="5" l="1"/>
  <c r="G377" i="5"/>
  <c r="H377" i="5"/>
  <c r="N377" i="5" s="1"/>
  <c r="AG377" i="5"/>
  <c r="F378" i="5"/>
  <c r="P378" i="5"/>
  <c r="E378" i="5" s="1"/>
  <c r="S378" i="5"/>
  <c r="O379" i="5"/>
  <c r="D378" i="5"/>
  <c r="Q379" i="5"/>
  <c r="K377" i="5" l="1"/>
  <c r="G378" i="5"/>
  <c r="H378" i="5"/>
  <c r="N378" i="5" s="1"/>
  <c r="AG378" i="5"/>
  <c r="S379" i="5"/>
  <c r="Q380" i="5"/>
  <c r="O380" i="5"/>
  <c r="D379" i="5"/>
  <c r="F379" i="5"/>
  <c r="P379" i="5"/>
  <c r="E379" i="5" s="1"/>
  <c r="G379" i="5" l="1"/>
  <c r="H379" i="5"/>
  <c r="N379" i="5" s="1"/>
  <c r="AG379" i="5"/>
  <c r="S380" i="5"/>
  <c r="Q381" i="5"/>
  <c r="O381" i="5"/>
  <c r="D380" i="5"/>
  <c r="F380" i="5"/>
  <c r="P380" i="5"/>
  <c r="E380" i="5" s="1"/>
  <c r="K378" i="5"/>
  <c r="K379" i="5" l="1"/>
  <c r="S381" i="5"/>
  <c r="Q382" i="5"/>
  <c r="D381" i="5"/>
  <c r="O382" i="5"/>
  <c r="G380" i="5"/>
  <c r="F381" i="5"/>
  <c r="P381" i="5"/>
  <c r="E381" i="5" s="1"/>
  <c r="H380" i="5"/>
  <c r="N380" i="5" s="1"/>
  <c r="AG380" i="5"/>
  <c r="S382" i="5" l="1"/>
  <c r="D382" i="5"/>
  <c r="Q383" i="5"/>
  <c r="O383" i="5"/>
  <c r="G381" i="5"/>
  <c r="F382" i="5"/>
  <c r="P382" i="5"/>
  <c r="E382" i="5" s="1"/>
  <c r="K380" i="5"/>
  <c r="H381" i="5"/>
  <c r="N381" i="5" s="1"/>
  <c r="AG381" i="5"/>
  <c r="S383" i="5" l="1"/>
  <c r="O384" i="5"/>
  <c r="D383" i="5"/>
  <c r="Q384" i="5"/>
  <c r="G382" i="5"/>
  <c r="F383" i="5"/>
  <c r="P383" i="5"/>
  <c r="E383" i="5" s="1"/>
  <c r="K381" i="5"/>
  <c r="H382" i="5"/>
  <c r="N382" i="5" s="1"/>
  <c r="AG382" i="5"/>
  <c r="F384" i="5" l="1"/>
  <c r="P384" i="5"/>
  <c r="E384" i="5" s="1"/>
  <c r="G383" i="5"/>
  <c r="S384" i="5"/>
  <c r="Q385" i="5"/>
  <c r="O385" i="5"/>
  <c r="D384" i="5"/>
  <c r="K382" i="5"/>
  <c r="H383" i="5"/>
  <c r="N383" i="5" s="1"/>
  <c r="AG383" i="5"/>
  <c r="K383" i="5" l="1"/>
  <c r="H384" i="5"/>
  <c r="N384" i="5" s="1"/>
  <c r="AG384" i="5"/>
  <c r="S385" i="5"/>
  <c r="Q386" i="5"/>
  <c r="D385" i="5"/>
  <c r="O386" i="5"/>
  <c r="F385" i="5"/>
  <c r="P385" i="5"/>
  <c r="E385" i="5" s="1"/>
  <c r="G384" i="5"/>
  <c r="K384" i="5" l="1"/>
  <c r="G385" i="5"/>
  <c r="H385" i="5"/>
  <c r="N385" i="5" s="1"/>
  <c r="AG385" i="5"/>
  <c r="F386" i="5"/>
  <c r="P386" i="5"/>
  <c r="E386" i="5" s="1"/>
  <c r="S386" i="5"/>
  <c r="Q387" i="5"/>
  <c r="D386" i="5"/>
  <c r="O387" i="5"/>
  <c r="G386" i="5" l="1"/>
  <c r="F387" i="5"/>
  <c r="P387" i="5"/>
  <c r="E387" i="5" s="1"/>
  <c r="H386" i="5"/>
  <c r="N386" i="5" s="1"/>
  <c r="AG386" i="5"/>
  <c r="S387" i="5"/>
  <c r="O388" i="5"/>
  <c r="D387" i="5"/>
  <c r="Q388" i="5"/>
  <c r="K385" i="5"/>
  <c r="S388" i="5" l="1"/>
  <c r="D388" i="5"/>
  <c r="O389" i="5"/>
  <c r="Q389" i="5"/>
  <c r="H387" i="5"/>
  <c r="N387" i="5" s="1"/>
  <c r="AG387" i="5"/>
  <c r="F388" i="5"/>
  <c r="P388" i="5"/>
  <c r="E388" i="5" s="1"/>
  <c r="K386" i="5"/>
  <c r="G387" i="5"/>
  <c r="G388" i="5" l="1"/>
  <c r="S389" i="5"/>
  <c r="D389" i="5"/>
  <c r="O390" i="5"/>
  <c r="Q390" i="5"/>
  <c r="F389" i="5"/>
  <c r="P389" i="5"/>
  <c r="E389" i="5" s="1"/>
  <c r="K387" i="5"/>
  <c r="H388" i="5"/>
  <c r="N388" i="5" s="1"/>
  <c r="AG388" i="5"/>
  <c r="S390" i="5" l="1"/>
  <c r="D390" i="5"/>
  <c r="Q391" i="5"/>
  <c r="O391" i="5"/>
  <c r="G389" i="5"/>
  <c r="H389" i="5"/>
  <c r="N389" i="5" s="1"/>
  <c r="AG389" i="5"/>
  <c r="F390" i="5"/>
  <c r="P390" i="5"/>
  <c r="E390" i="5" s="1"/>
  <c r="K388" i="5"/>
  <c r="G390" i="5" l="1"/>
  <c r="F391" i="5"/>
  <c r="P391" i="5"/>
  <c r="E391" i="5" s="1"/>
  <c r="S391" i="5"/>
  <c r="O392" i="5"/>
  <c r="D391" i="5"/>
  <c r="Q392" i="5"/>
  <c r="K389" i="5"/>
  <c r="H390" i="5"/>
  <c r="N390" i="5" s="1"/>
  <c r="AG390" i="5"/>
  <c r="F392" i="5" l="1"/>
  <c r="P392" i="5"/>
  <c r="E392" i="5" s="1"/>
  <c r="G391" i="5"/>
  <c r="H391" i="5"/>
  <c r="N391" i="5" s="1"/>
  <c r="AG391" i="5"/>
  <c r="S392" i="5"/>
  <c r="O393" i="5"/>
  <c r="D392" i="5"/>
  <c r="Q393" i="5"/>
  <c r="K390" i="5"/>
  <c r="S393" i="5" l="1"/>
  <c r="D393" i="5"/>
  <c r="O394" i="5"/>
  <c r="Q394" i="5"/>
  <c r="K391" i="5"/>
  <c r="H392" i="5"/>
  <c r="N392" i="5" s="1"/>
  <c r="AG392" i="5"/>
  <c r="F393" i="5"/>
  <c r="P393" i="5"/>
  <c r="E393" i="5" s="1"/>
  <c r="G392" i="5"/>
  <c r="K392" i="5" l="1"/>
  <c r="G393" i="5"/>
  <c r="F394" i="5"/>
  <c r="P394" i="5"/>
  <c r="E394" i="5" s="1"/>
  <c r="S394" i="5"/>
  <c r="D394" i="5"/>
  <c r="Q395" i="5"/>
  <c r="O395" i="5"/>
  <c r="H393" i="5"/>
  <c r="N393" i="5" s="1"/>
  <c r="AG393" i="5"/>
  <c r="G394" i="5" l="1"/>
  <c r="K393" i="5"/>
  <c r="H394" i="5"/>
  <c r="N394" i="5" s="1"/>
  <c r="AG394" i="5"/>
  <c r="S395" i="5"/>
  <c r="D395" i="5"/>
  <c r="Q396" i="5"/>
  <c r="O396" i="5"/>
  <c r="F395" i="5"/>
  <c r="P395" i="5"/>
  <c r="E395" i="5" s="1"/>
  <c r="K394" i="5" l="1"/>
  <c r="G395" i="5"/>
  <c r="H395" i="5"/>
  <c r="N395" i="5" s="1"/>
  <c r="AG395" i="5"/>
  <c r="S396" i="5"/>
  <c r="D396" i="5"/>
  <c r="Q397" i="5"/>
  <c r="O397" i="5"/>
  <c r="F396" i="5"/>
  <c r="P396" i="5"/>
  <c r="E396" i="5" s="1"/>
  <c r="G396" i="5" l="1"/>
  <c r="S397" i="5"/>
  <c r="Q398" i="5"/>
  <c r="D397" i="5"/>
  <c r="O398" i="5"/>
  <c r="H396" i="5"/>
  <c r="N396" i="5" s="1"/>
  <c r="AG396" i="5"/>
  <c r="F397" i="5"/>
  <c r="P397" i="5"/>
  <c r="E397" i="5" s="1"/>
  <c r="K395" i="5"/>
  <c r="G397" i="5" l="1"/>
  <c r="F398" i="5"/>
  <c r="P398" i="5"/>
  <c r="E398" i="5" s="1"/>
  <c r="H397" i="5"/>
  <c r="N397" i="5" s="1"/>
  <c r="AG397" i="5"/>
  <c r="S398" i="5"/>
  <c r="Q399" i="5"/>
  <c r="D398" i="5"/>
  <c r="O399" i="5"/>
  <c r="K396" i="5"/>
  <c r="F399" i="5" l="1"/>
  <c r="P399" i="5"/>
  <c r="E399" i="5" s="1"/>
  <c r="H398" i="5"/>
  <c r="N398" i="5" s="1"/>
  <c r="AG398" i="5"/>
  <c r="G398" i="5"/>
  <c r="S399" i="5"/>
  <c r="O400" i="5"/>
  <c r="Q400" i="5"/>
  <c r="D399" i="5"/>
  <c r="K397" i="5"/>
  <c r="F400" i="5" l="1"/>
  <c r="P400" i="5"/>
  <c r="E400" i="5" s="1"/>
  <c r="H399" i="5"/>
  <c r="N399" i="5" s="1"/>
  <c r="AG399" i="5"/>
  <c r="S400" i="5"/>
  <c r="D400" i="5"/>
  <c r="O401" i="5"/>
  <c r="Q401" i="5"/>
  <c r="K398" i="5"/>
  <c r="G399" i="5"/>
  <c r="K399" i="5" l="1"/>
  <c r="S401" i="5"/>
  <c r="D401" i="5"/>
  <c r="O402" i="5"/>
  <c r="Q402" i="5"/>
  <c r="H400" i="5"/>
  <c r="N400" i="5" s="1"/>
  <c r="AG400" i="5"/>
  <c r="F401" i="5"/>
  <c r="P401" i="5"/>
  <c r="E401" i="5" s="1"/>
  <c r="G400" i="5"/>
  <c r="K400" i="5" l="1"/>
  <c r="G401" i="5"/>
  <c r="H401" i="5"/>
  <c r="N401" i="5" s="1"/>
  <c r="AG401" i="5"/>
  <c r="S402" i="5"/>
  <c r="D402" i="5"/>
  <c r="Q403" i="5"/>
  <c r="O403" i="5"/>
  <c r="F402" i="5"/>
  <c r="P402" i="5"/>
  <c r="E402" i="5" s="1"/>
  <c r="G402" i="5" l="1"/>
  <c r="S403" i="5"/>
  <c r="O404" i="5"/>
  <c r="Q404" i="5"/>
  <c r="D403" i="5"/>
  <c r="F403" i="5"/>
  <c r="P403" i="5"/>
  <c r="E403" i="5" s="1"/>
  <c r="H402" i="5"/>
  <c r="N402" i="5" s="1"/>
  <c r="AG402" i="5"/>
  <c r="K401" i="5"/>
  <c r="S404" i="5" l="1"/>
  <c r="O405" i="5"/>
  <c r="D404" i="5"/>
  <c r="Q405" i="5"/>
  <c r="G403" i="5"/>
  <c r="H403" i="5"/>
  <c r="N403" i="5" s="1"/>
  <c r="AG403" i="5"/>
  <c r="F404" i="5"/>
  <c r="P404" i="5"/>
  <c r="E404" i="5" s="1"/>
  <c r="K402" i="5"/>
  <c r="G404" i="5" l="1"/>
  <c r="S405" i="5"/>
  <c r="O406" i="5"/>
  <c r="D405" i="5"/>
  <c r="Q406" i="5"/>
  <c r="F405" i="5"/>
  <c r="P405" i="5"/>
  <c r="E405" i="5" s="1"/>
  <c r="K403" i="5"/>
  <c r="H404" i="5"/>
  <c r="N404" i="5" s="1"/>
  <c r="AG404" i="5"/>
  <c r="S406" i="5" l="1"/>
  <c r="D406" i="5"/>
  <c r="Q407" i="5"/>
  <c r="O407" i="5"/>
  <c r="G405" i="5"/>
  <c r="H405" i="5"/>
  <c r="N405" i="5" s="1"/>
  <c r="AG405" i="5"/>
  <c r="F406" i="5"/>
  <c r="P406" i="5"/>
  <c r="E406" i="5" s="1"/>
  <c r="K404" i="5"/>
  <c r="G406" i="5" l="1"/>
  <c r="F407" i="5"/>
  <c r="P407" i="5"/>
  <c r="E407" i="5" s="1"/>
  <c r="S407" i="5"/>
  <c r="D407" i="5"/>
  <c r="O408" i="5"/>
  <c r="Q408" i="5"/>
  <c r="K405" i="5"/>
  <c r="H406" i="5"/>
  <c r="N406" i="5" s="1"/>
  <c r="AG406" i="5"/>
  <c r="K406" i="5" l="1"/>
  <c r="H407" i="5"/>
  <c r="N407" i="5" s="1"/>
  <c r="AG407" i="5"/>
  <c r="F408" i="5"/>
  <c r="P408" i="5"/>
  <c r="E408" i="5" s="1"/>
  <c r="S408" i="5"/>
  <c r="Q409" i="5"/>
  <c r="D408" i="5"/>
  <c r="O409" i="5"/>
  <c r="G407" i="5"/>
  <c r="K407" i="5" l="1"/>
  <c r="G408" i="5"/>
  <c r="F409" i="5"/>
  <c r="P409" i="5"/>
  <c r="E409" i="5" s="1"/>
  <c r="H408" i="5"/>
  <c r="N408" i="5" s="1"/>
  <c r="AG408" i="5"/>
  <c r="S409" i="5"/>
  <c r="O410" i="5"/>
  <c r="D409" i="5"/>
  <c r="Q410" i="5"/>
  <c r="S410" i="5" l="1"/>
  <c r="D410" i="5"/>
  <c r="Q411" i="5"/>
  <c r="O411" i="5"/>
  <c r="K408" i="5"/>
  <c r="H409" i="5"/>
  <c r="N409" i="5" s="1"/>
  <c r="AG409" i="5"/>
  <c r="F410" i="5"/>
  <c r="P410" i="5"/>
  <c r="E410" i="5" s="1"/>
  <c r="G409" i="5"/>
  <c r="K409" i="5" l="1"/>
  <c r="G410" i="5"/>
  <c r="F411" i="5"/>
  <c r="P411" i="5"/>
  <c r="E411" i="5" s="1"/>
  <c r="S411" i="5"/>
  <c r="Q412" i="5"/>
  <c r="O412" i="5"/>
  <c r="D411" i="5"/>
  <c r="H410" i="5"/>
  <c r="N410" i="5" s="1"/>
  <c r="AG410" i="5"/>
  <c r="H411" i="5" l="1"/>
  <c r="N411" i="5" s="1"/>
  <c r="AG411" i="5"/>
  <c r="S412" i="5"/>
  <c r="Q413" i="5"/>
  <c r="O413" i="5"/>
  <c r="D412" i="5"/>
  <c r="G411" i="5"/>
  <c r="F412" i="5"/>
  <c r="P412" i="5"/>
  <c r="E412" i="5" s="1"/>
  <c r="K410" i="5"/>
  <c r="K411" i="5" l="1"/>
  <c r="G412" i="5"/>
  <c r="H412" i="5"/>
  <c r="N412" i="5" s="1"/>
  <c r="AG412" i="5"/>
  <c r="S413" i="5"/>
  <c r="O414" i="5"/>
  <c r="Q414" i="5"/>
  <c r="D413" i="5"/>
  <c r="F413" i="5"/>
  <c r="P413" i="5"/>
  <c r="E413" i="5" s="1"/>
  <c r="K412" i="5" l="1"/>
  <c r="G413" i="5"/>
  <c r="H413" i="5"/>
  <c r="N413" i="5" s="1"/>
  <c r="AG413" i="5"/>
  <c r="F414" i="5"/>
  <c r="P414" i="5"/>
  <c r="E414" i="5" s="1"/>
  <c r="S414" i="5"/>
  <c r="D414" i="5"/>
  <c r="Q415" i="5"/>
  <c r="O415" i="5"/>
  <c r="K413" i="5" l="1"/>
  <c r="F415" i="5"/>
  <c r="P415" i="5"/>
  <c r="E415" i="5" s="1"/>
  <c r="G414" i="5"/>
  <c r="H414" i="5"/>
  <c r="N414" i="5" s="1"/>
  <c r="AG414" i="5"/>
  <c r="S415" i="5"/>
  <c r="O416" i="5"/>
  <c r="D415" i="5"/>
  <c r="Q416" i="5"/>
  <c r="S416" i="5" l="1"/>
  <c r="Q417" i="5"/>
  <c r="D416" i="5"/>
  <c r="O417" i="5"/>
  <c r="K414" i="5"/>
  <c r="H415" i="5"/>
  <c r="N415" i="5" s="1"/>
  <c r="AG415" i="5"/>
  <c r="F416" i="5"/>
  <c r="P416" i="5"/>
  <c r="E416" i="5" s="1"/>
  <c r="G415" i="5"/>
  <c r="K415" i="5" l="1"/>
  <c r="G416" i="5"/>
  <c r="S417" i="5"/>
  <c r="D417" i="5"/>
  <c r="O418" i="5"/>
  <c r="Q418" i="5"/>
  <c r="F417" i="5"/>
  <c r="P417" i="5"/>
  <c r="E417" i="5" s="1"/>
  <c r="H416" i="5"/>
  <c r="N416" i="5" s="1"/>
  <c r="AG416" i="5"/>
  <c r="S418" i="5" l="1"/>
  <c r="O419" i="5"/>
  <c r="Q419" i="5"/>
  <c r="D418" i="5"/>
  <c r="G417" i="5"/>
  <c r="H417" i="5"/>
  <c r="N417" i="5" s="1"/>
  <c r="AG417" i="5"/>
  <c r="F418" i="5"/>
  <c r="P418" i="5"/>
  <c r="E418" i="5" s="1"/>
  <c r="K416" i="5"/>
  <c r="G418" i="5" l="1"/>
  <c r="F419" i="5"/>
  <c r="P419" i="5"/>
  <c r="E419" i="5" s="1"/>
  <c r="S419" i="5"/>
  <c r="D419" i="5"/>
  <c r="O420" i="5"/>
  <c r="Q420" i="5"/>
  <c r="K417" i="5"/>
  <c r="H418" i="5"/>
  <c r="N418" i="5" s="1"/>
  <c r="AG418" i="5"/>
  <c r="K418" i="5" l="1"/>
  <c r="H419" i="5"/>
  <c r="N419" i="5" s="1"/>
  <c r="AG419" i="5"/>
  <c r="F420" i="5"/>
  <c r="P420" i="5"/>
  <c r="E420" i="5" s="1"/>
  <c r="S420" i="5"/>
  <c r="D420" i="5"/>
  <c r="O421" i="5"/>
  <c r="Q421" i="5"/>
  <c r="G419" i="5"/>
  <c r="K419" i="5" l="1"/>
  <c r="F421" i="5"/>
  <c r="P421" i="5"/>
  <c r="E421" i="5" s="1"/>
  <c r="S421" i="5"/>
  <c r="Q422" i="5"/>
  <c r="D421" i="5"/>
  <c r="O422" i="5"/>
  <c r="G420" i="5"/>
  <c r="H420" i="5"/>
  <c r="N420" i="5" s="1"/>
  <c r="AG420" i="5"/>
  <c r="F422" i="5" l="1"/>
  <c r="P422" i="5"/>
  <c r="E422" i="5" s="1"/>
  <c r="K420" i="5"/>
  <c r="H421" i="5"/>
  <c r="N421" i="5" s="1"/>
  <c r="AG421" i="5"/>
  <c r="S422" i="5"/>
  <c r="D422" i="5"/>
  <c r="O423" i="5"/>
  <c r="Q423" i="5"/>
  <c r="G421" i="5"/>
  <c r="K421" i="5" l="1"/>
  <c r="S423" i="5"/>
  <c r="O424" i="5"/>
  <c r="Q424" i="5"/>
  <c r="D423" i="5"/>
  <c r="H422" i="5"/>
  <c r="N422" i="5" s="1"/>
  <c r="AG422" i="5"/>
  <c r="F423" i="5"/>
  <c r="P423" i="5"/>
  <c r="E423" i="5" s="1"/>
  <c r="G422" i="5"/>
  <c r="K422" i="5" l="1"/>
  <c r="G423" i="5"/>
  <c r="F424" i="5"/>
  <c r="P424" i="5"/>
  <c r="E424" i="5" s="1"/>
  <c r="S424" i="5"/>
  <c r="O425" i="5"/>
  <c r="D424" i="5"/>
  <c r="Q425" i="5"/>
  <c r="H423" i="5"/>
  <c r="N423" i="5" s="1"/>
  <c r="AG423" i="5"/>
  <c r="H424" i="5" l="1"/>
  <c r="N424" i="5" s="1"/>
  <c r="AG424" i="5"/>
  <c r="F425" i="5"/>
  <c r="P425" i="5"/>
  <c r="E425" i="5" s="1"/>
  <c r="G424" i="5"/>
  <c r="S425" i="5"/>
  <c r="D425" i="5"/>
  <c r="Q426" i="5"/>
  <c r="O426" i="5"/>
  <c r="K423" i="5"/>
  <c r="K424" i="5" l="1"/>
  <c r="F426" i="5"/>
  <c r="P426" i="5"/>
  <c r="E426" i="5" s="1"/>
  <c r="G425" i="5"/>
  <c r="H425" i="5"/>
  <c r="N425" i="5" s="1"/>
  <c r="AG425" i="5"/>
  <c r="S426" i="5"/>
  <c r="D426" i="5"/>
  <c r="O427" i="5"/>
  <c r="Q427" i="5"/>
  <c r="S427" i="5" l="1"/>
  <c r="Q428" i="5"/>
  <c r="O428" i="5"/>
  <c r="D427" i="5"/>
  <c r="K425" i="5"/>
  <c r="H426" i="5"/>
  <c r="N426" i="5" s="1"/>
  <c r="AG426" i="5"/>
  <c r="F427" i="5"/>
  <c r="P427" i="5"/>
  <c r="E427" i="5" s="1"/>
  <c r="G426" i="5"/>
  <c r="K426" i="5" l="1"/>
  <c r="G427" i="5"/>
  <c r="S428" i="5"/>
  <c r="Q429" i="5"/>
  <c r="D428" i="5"/>
  <c r="O429" i="5"/>
  <c r="F428" i="5"/>
  <c r="P428" i="5"/>
  <c r="E428" i="5" s="1"/>
  <c r="H427" i="5"/>
  <c r="N427" i="5" s="1"/>
  <c r="AG427" i="5"/>
  <c r="F429" i="5" l="1"/>
  <c r="P429" i="5"/>
  <c r="E429" i="5" s="1"/>
  <c r="G428" i="5"/>
  <c r="H428" i="5"/>
  <c r="N428" i="5" s="1"/>
  <c r="AG428" i="5"/>
  <c r="S429" i="5"/>
  <c r="O430" i="5"/>
  <c r="Q430" i="5"/>
  <c r="D429" i="5"/>
  <c r="K427" i="5"/>
  <c r="H429" i="5" l="1"/>
  <c r="N429" i="5" s="1"/>
  <c r="AG429" i="5"/>
  <c r="F430" i="5"/>
  <c r="P430" i="5"/>
  <c r="E430" i="5" s="1"/>
  <c r="S430" i="5"/>
  <c r="D430" i="5"/>
  <c r="Q431" i="5"/>
  <c r="O431" i="5"/>
  <c r="K428" i="5"/>
  <c r="G429" i="5"/>
  <c r="K429" i="5" l="1"/>
  <c r="S431" i="5"/>
  <c r="O432" i="5"/>
  <c r="D431" i="5"/>
  <c r="Q432" i="5"/>
  <c r="F431" i="5"/>
  <c r="P431" i="5"/>
  <c r="E431" i="5" s="1"/>
  <c r="G430" i="5"/>
  <c r="H430" i="5"/>
  <c r="N430" i="5" s="1"/>
  <c r="AG430" i="5"/>
  <c r="K430" i="5" l="1"/>
  <c r="F432" i="5"/>
  <c r="P432" i="5"/>
  <c r="E432" i="5" s="1"/>
  <c r="S432" i="5"/>
  <c r="Q433" i="5"/>
  <c r="O433" i="5"/>
  <c r="D432" i="5"/>
  <c r="G431" i="5"/>
  <c r="H431" i="5"/>
  <c r="N431" i="5" s="1"/>
  <c r="AG431" i="5"/>
  <c r="K431" i="5" l="1"/>
  <c r="F433" i="5"/>
  <c r="P433" i="5"/>
  <c r="E433" i="5" s="1"/>
  <c r="H432" i="5"/>
  <c r="N432" i="5" s="1"/>
  <c r="AG432" i="5"/>
  <c r="S433" i="5"/>
  <c r="D433" i="5"/>
  <c r="Q434" i="5"/>
  <c r="O434" i="5"/>
  <c r="G432" i="5"/>
  <c r="S434" i="5" l="1"/>
  <c r="O435" i="5"/>
  <c r="Q435" i="5"/>
  <c r="D434" i="5"/>
  <c r="F434" i="5"/>
  <c r="P434" i="5"/>
  <c r="E434" i="5" s="1"/>
  <c r="K432" i="5"/>
  <c r="H433" i="5"/>
  <c r="N433" i="5" s="1"/>
  <c r="AG433" i="5"/>
  <c r="G433" i="5"/>
  <c r="K433" i="5" l="1"/>
  <c r="F435" i="5"/>
  <c r="P435" i="5"/>
  <c r="E435" i="5" s="1"/>
  <c r="S435" i="5"/>
  <c r="D435" i="5"/>
  <c r="Q436" i="5"/>
  <c r="O436" i="5"/>
  <c r="G434" i="5"/>
  <c r="H434" i="5"/>
  <c r="N434" i="5" s="1"/>
  <c r="AG434" i="5"/>
  <c r="K434" i="5" l="1"/>
  <c r="H435" i="5"/>
  <c r="N435" i="5" s="1"/>
  <c r="AG435" i="5"/>
  <c r="S436" i="5"/>
  <c r="Q437" i="5"/>
  <c r="D436" i="5"/>
  <c r="O437" i="5"/>
  <c r="F436" i="5"/>
  <c r="P436" i="5"/>
  <c r="E436" i="5" s="1"/>
  <c r="G435" i="5"/>
  <c r="K435" i="5" l="1"/>
  <c r="G436" i="5"/>
  <c r="H436" i="5"/>
  <c r="N436" i="5" s="1"/>
  <c r="AG436" i="5"/>
  <c r="S437" i="5"/>
  <c r="D437" i="5"/>
  <c r="Q438" i="5"/>
  <c r="O438" i="5"/>
  <c r="F437" i="5"/>
  <c r="P437" i="5"/>
  <c r="E437" i="5" s="1"/>
  <c r="G437" i="5" l="1"/>
  <c r="H437" i="5"/>
  <c r="N437" i="5" s="1"/>
  <c r="AG437" i="5"/>
  <c r="S438" i="5"/>
  <c r="Q439" i="5"/>
  <c r="D438" i="5"/>
  <c r="O439" i="5"/>
  <c r="F438" i="5"/>
  <c r="P438" i="5"/>
  <c r="E438" i="5" s="1"/>
  <c r="K436" i="5"/>
  <c r="K437" i="5" l="1"/>
  <c r="G438" i="5"/>
  <c r="H438" i="5"/>
  <c r="N438" i="5" s="1"/>
  <c r="AG438" i="5"/>
  <c r="S439" i="5"/>
  <c r="O440" i="5"/>
  <c r="Q440" i="5"/>
  <c r="D439" i="5"/>
  <c r="F439" i="5"/>
  <c r="P439" i="5"/>
  <c r="E439" i="5" s="1"/>
  <c r="G439" i="5" l="1"/>
  <c r="H439" i="5"/>
  <c r="N439" i="5" s="1"/>
  <c r="AG439" i="5"/>
  <c r="F440" i="5"/>
  <c r="P440" i="5"/>
  <c r="E440" i="5" s="1"/>
  <c r="S440" i="5"/>
  <c r="O441" i="5"/>
  <c r="D440" i="5"/>
  <c r="Q441" i="5"/>
  <c r="K438" i="5"/>
  <c r="G440" i="5" l="1"/>
  <c r="S441" i="5"/>
  <c r="O442" i="5"/>
  <c r="D441" i="5"/>
  <c r="Q442" i="5"/>
  <c r="H440" i="5"/>
  <c r="N440" i="5" s="1"/>
  <c r="AG440" i="5"/>
  <c r="F441" i="5"/>
  <c r="P441" i="5"/>
  <c r="E441" i="5" s="1"/>
  <c r="K439" i="5"/>
  <c r="G441" i="5" l="1"/>
  <c r="S442" i="5"/>
  <c r="D442" i="5"/>
  <c r="Q443" i="5"/>
  <c r="O443" i="5"/>
  <c r="H441" i="5"/>
  <c r="N441" i="5" s="1"/>
  <c r="AG441" i="5"/>
  <c r="F442" i="5"/>
  <c r="P442" i="5"/>
  <c r="E442" i="5" s="1"/>
  <c r="K440" i="5"/>
  <c r="F443" i="5" l="1"/>
  <c r="P443" i="5"/>
  <c r="E443" i="5" s="1"/>
  <c r="H442" i="5"/>
  <c r="N442" i="5" s="1"/>
  <c r="AG442" i="5"/>
  <c r="G442" i="5"/>
  <c r="S443" i="5"/>
  <c r="D443" i="5"/>
  <c r="Q444" i="5"/>
  <c r="O444" i="5"/>
  <c r="K441" i="5"/>
  <c r="F444" i="5" l="1"/>
  <c r="P444" i="5"/>
  <c r="E444" i="5" s="1"/>
  <c r="H443" i="5"/>
  <c r="N443" i="5" s="1"/>
  <c r="AG443" i="5"/>
  <c r="S444" i="5"/>
  <c r="O445" i="5"/>
  <c r="Q446" i="5" s="1"/>
  <c r="D444" i="5"/>
  <c r="Q445" i="5"/>
  <c r="K442" i="5"/>
  <c r="G443" i="5"/>
  <c r="F446" i="5" l="1"/>
  <c r="P446" i="5"/>
  <c r="E446" i="5" s="1"/>
  <c r="K443" i="5"/>
  <c r="F445" i="5"/>
  <c r="P445" i="5"/>
  <c r="E445" i="5" s="1"/>
  <c r="S445" i="5"/>
  <c r="O446" i="5"/>
  <c r="D445" i="5"/>
  <c r="H444" i="5"/>
  <c r="N444" i="5" s="1"/>
  <c r="AG444" i="5"/>
  <c r="G444" i="5"/>
  <c r="S446" i="5" l="1"/>
  <c r="Q447" i="5"/>
  <c r="G446" i="5"/>
  <c r="K444" i="5"/>
  <c r="O447" i="5"/>
  <c r="D446" i="5"/>
  <c r="H445" i="5"/>
  <c r="N445" i="5" s="1"/>
  <c r="N24" i="5" s="1"/>
  <c r="AG445" i="5"/>
  <c r="AH15" i="5" s="1"/>
  <c r="AG24" i="5" s="1"/>
  <c r="G445" i="5"/>
  <c r="F447" i="5" l="1"/>
  <c r="P447" i="5"/>
  <c r="E447" i="5" s="1"/>
  <c r="S447" i="5"/>
  <c r="Q448" i="5"/>
  <c r="H446" i="5"/>
  <c r="N446" i="5" s="1"/>
  <c r="AG446" i="5"/>
  <c r="AC59" i="5"/>
  <c r="K445" i="5"/>
  <c r="O448" i="5"/>
  <c r="D447" i="5"/>
  <c r="S448" i="5" l="1"/>
  <c r="H448" i="5" s="1"/>
  <c r="N448" i="5" s="1"/>
  <c r="Q449" i="5"/>
  <c r="H447" i="5"/>
  <c r="N447" i="5" s="1"/>
  <c r="AG447" i="5"/>
  <c r="K446" i="5"/>
  <c r="AG448" i="5"/>
  <c r="F448" i="5"/>
  <c r="P448" i="5"/>
  <c r="E448" i="5" s="1"/>
  <c r="G447" i="5"/>
  <c r="D448" i="5"/>
  <c r="O449" i="5"/>
  <c r="K447" i="5" l="1"/>
  <c r="F449" i="5"/>
  <c r="P449" i="5"/>
  <c r="E449" i="5" s="1"/>
  <c r="D18" i="5"/>
  <c r="S449" i="5"/>
  <c r="Q450" i="5"/>
  <c r="G448" i="5"/>
  <c r="K448" i="5" s="1"/>
  <c r="O450" i="5"/>
  <c r="D449" i="5"/>
  <c r="G449" i="5" l="1"/>
  <c r="F450" i="5"/>
  <c r="P450" i="5"/>
  <c r="E450" i="5" s="1"/>
  <c r="S450" i="5"/>
  <c r="Q451" i="5"/>
  <c r="H449" i="5"/>
  <c r="AG449" i="5"/>
  <c r="O451" i="5"/>
  <c r="D450" i="5"/>
  <c r="H450" i="5" l="1"/>
  <c r="N450" i="5" s="1"/>
  <c r="AG450" i="5"/>
  <c r="F451" i="5"/>
  <c r="P451" i="5"/>
  <c r="E451" i="5" s="1"/>
  <c r="S451" i="5"/>
  <c r="Q452" i="5"/>
  <c r="N449" i="5"/>
  <c r="K449" i="5"/>
  <c r="G450" i="5"/>
  <c r="K450" i="5" s="1"/>
  <c r="O452" i="5"/>
  <c r="D451" i="5"/>
  <c r="G451" i="5" l="1"/>
  <c r="S452" i="5"/>
  <c r="Q453" i="5"/>
  <c r="F452" i="5"/>
  <c r="P452" i="5"/>
  <c r="E452" i="5" s="1"/>
  <c r="H451" i="5"/>
  <c r="N451" i="5" s="1"/>
  <c r="AG451" i="5"/>
  <c r="D452" i="5"/>
  <c r="O453" i="5"/>
  <c r="G452" i="5" l="1"/>
  <c r="F453" i="5"/>
  <c r="P453" i="5"/>
  <c r="E453" i="5" s="1"/>
  <c r="H452" i="5"/>
  <c r="N452" i="5" s="1"/>
  <c r="AG452" i="5"/>
  <c r="S453" i="5"/>
  <c r="Q454" i="5"/>
  <c r="K451" i="5"/>
  <c r="O454" i="5"/>
  <c r="D453" i="5"/>
  <c r="G453" i="5" l="1"/>
  <c r="F454" i="5"/>
  <c r="P454" i="5"/>
  <c r="E454" i="5" s="1"/>
  <c r="H453" i="5"/>
  <c r="N453" i="5" s="1"/>
  <c r="AG453" i="5"/>
  <c r="S454" i="5"/>
  <c r="Q455" i="5"/>
  <c r="K452" i="5"/>
  <c r="D454" i="5"/>
  <c r="O455" i="5"/>
  <c r="K453" i="5" l="1"/>
  <c r="S455" i="5"/>
  <c r="Q456" i="5"/>
  <c r="F455" i="5"/>
  <c r="P455" i="5"/>
  <c r="E455" i="5" s="1"/>
  <c r="H454" i="5"/>
  <c r="N454" i="5" s="1"/>
  <c r="AG454" i="5"/>
  <c r="G454" i="5"/>
  <c r="O456" i="5"/>
  <c r="D455" i="5"/>
  <c r="K454" i="5" l="1"/>
  <c r="G455" i="5"/>
  <c r="F456" i="5"/>
  <c r="P456" i="5"/>
  <c r="E456" i="5" s="1"/>
  <c r="S456" i="5"/>
  <c r="Q457" i="5"/>
  <c r="H455" i="5"/>
  <c r="N455" i="5" s="1"/>
  <c r="AG455" i="5"/>
  <c r="O457" i="5"/>
  <c r="D456" i="5"/>
  <c r="H456" i="5" l="1"/>
  <c r="N456" i="5" s="1"/>
  <c r="AG456" i="5"/>
  <c r="G456" i="5"/>
  <c r="K456" i="5" s="1"/>
  <c r="S457" i="5"/>
  <c r="Q458" i="5"/>
  <c r="F457" i="5"/>
  <c r="P457" i="5"/>
  <c r="E457" i="5" s="1"/>
  <c r="K455" i="5"/>
  <c r="D457" i="5"/>
  <c r="O458" i="5"/>
  <c r="S458" i="5" l="1"/>
  <c r="Q459" i="5"/>
  <c r="G457" i="5"/>
  <c r="H457" i="5"/>
  <c r="N457" i="5" s="1"/>
  <c r="AG457" i="5"/>
  <c r="F458" i="5"/>
  <c r="P458" i="5"/>
  <c r="E458" i="5" s="1"/>
  <c r="D458" i="5"/>
  <c r="O459" i="5"/>
  <c r="G458" i="5" l="1"/>
  <c r="F459" i="5"/>
  <c r="P459" i="5"/>
  <c r="E459" i="5" s="1"/>
  <c r="K457" i="5"/>
  <c r="S459" i="5"/>
  <c r="Q460" i="5"/>
  <c r="H458" i="5"/>
  <c r="N458" i="5" s="1"/>
  <c r="AG458" i="5"/>
  <c r="O460" i="5"/>
  <c r="D459" i="5"/>
  <c r="S460" i="5" l="1"/>
  <c r="H460" i="5" s="1"/>
  <c r="N460" i="5" s="1"/>
  <c r="Q461" i="5"/>
  <c r="F460" i="5"/>
  <c r="P460" i="5"/>
  <c r="E460" i="5" s="1"/>
  <c r="G459" i="5"/>
  <c r="AG460" i="5"/>
  <c r="H459" i="5"/>
  <c r="N459" i="5" s="1"/>
  <c r="AG459" i="5"/>
  <c r="K458" i="5"/>
  <c r="D460" i="5"/>
  <c r="O461" i="5"/>
  <c r="K459" i="5" l="1"/>
  <c r="F461" i="5"/>
  <c r="P461" i="5"/>
  <c r="E461" i="5" s="1"/>
  <c r="S461" i="5"/>
  <c r="Q462" i="5"/>
  <c r="G460" i="5"/>
  <c r="K460" i="5" s="1"/>
  <c r="O462" i="5"/>
  <c r="D461" i="5"/>
  <c r="G461" i="5" l="1"/>
  <c r="S462" i="5"/>
  <c r="Q463" i="5"/>
  <c r="F462" i="5"/>
  <c r="P462" i="5"/>
  <c r="E462" i="5" s="1"/>
  <c r="H461" i="5"/>
  <c r="AG461" i="5"/>
  <c r="D462" i="5"/>
  <c r="O463" i="5"/>
  <c r="S463" i="5" l="1"/>
  <c r="Q464" i="5"/>
  <c r="G462" i="5"/>
  <c r="F463" i="5"/>
  <c r="P463" i="5"/>
  <c r="E463" i="5" s="1"/>
  <c r="N461" i="5"/>
  <c r="K461" i="5"/>
  <c r="H462" i="5"/>
  <c r="N462" i="5" s="1"/>
  <c r="AG462" i="5"/>
  <c r="D463" i="5"/>
  <c r="O464" i="5"/>
  <c r="G463" i="5" l="1"/>
  <c r="S464" i="5"/>
  <c r="Q465" i="5"/>
  <c r="K462" i="5"/>
  <c r="F464" i="5"/>
  <c r="P464" i="5"/>
  <c r="E464" i="5" s="1"/>
  <c r="H463" i="5"/>
  <c r="N463" i="5" s="1"/>
  <c r="AG463" i="5"/>
  <c r="D464" i="5"/>
  <c r="O465" i="5"/>
  <c r="G464" i="5" l="1"/>
  <c r="S465" i="5"/>
  <c r="Q466" i="5"/>
  <c r="K463" i="5"/>
  <c r="F465" i="5"/>
  <c r="P465" i="5"/>
  <c r="E465" i="5" s="1"/>
  <c r="H464" i="5"/>
  <c r="N464" i="5" s="1"/>
  <c r="AG464" i="5"/>
  <c r="O466" i="5"/>
  <c r="D465" i="5"/>
  <c r="F466" i="5" l="1"/>
  <c r="P466" i="5"/>
  <c r="E466" i="5" s="1"/>
  <c r="H465" i="5"/>
  <c r="N465" i="5" s="1"/>
  <c r="AG465" i="5"/>
  <c r="S466" i="5"/>
  <c r="Q467" i="5"/>
  <c r="G465" i="5"/>
  <c r="K465" i="5" s="1"/>
  <c r="K464" i="5"/>
  <c r="O467" i="5"/>
  <c r="D466" i="5"/>
  <c r="F467" i="5" l="1"/>
  <c r="P467" i="5"/>
  <c r="E467" i="5" s="1"/>
  <c r="S467" i="5"/>
  <c r="Q468" i="5"/>
  <c r="H466" i="5"/>
  <c r="N466" i="5" s="1"/>
  <c r="AG466" i="5"/>
  <c r="G466" i="5"/>
  <c r="O468" i="5"/>
  <c r="D467" i="5"/>
  <c r="K466" i="5" l="1"/>
  <c r="S468" i="5"/>
  <c r="Q469" i="5"/>
  <c r="F468" i="5"/>
  <c r="P468" i="5"/>
  <c r="E468" i="5" s="1"/>
  <c r="H467" i="5"/>
  <c r="N467" i="5" s="1"/>
  <c r="AG467" i="5"/>
  <c r="G467" i="5"/>
  <c r="O469" i="5"/>
  <c r="D468" i="5"/>
  <c r="S469" i="5" l="1"/>
  <c r="Q470" i="5"/>
  <c r="G468" i="5"/>
  <c r="K467" i="5"/>
  <c r="F469" i="5"/>
  <c r="P469" i="5"/>
  <c r="E469" i="5" s="1"/>
  <c r="H468" i="5"/>
  <c r="N468" i="5" s="1"/>
  <c r="AG468" i="5"/>
  <c r="O470" i="5"/>
  <c r="D469" i="5"/>
  <c r="G469" i="5" l="1"/>
  <c r="K468" i="5"/>
  <c r="S470" i="5"/>
  <c r="Q471" i="5"/>
  <c r="F470" i="5"/>
  <c r="P470" i="5"/>
  <c r="E470" i="5" s="1"/>
  <c r="H469" i="5"/>
  <c r="N469" i="5" s="1"/>
  <c r="AG469" i="5"/>
  <c r="D470" i="5"/>
  <c r="O471" i="5"/>
  <c r="G470" i="5" l="1"/>
  <c r="F471" i="5"/>
  <c r="P471" i="5"/>
  <c r="E471" i="5" s="1"/>
  <c r="S471" i="5"/>
  <c r="Q472" i="5"/>
  <c r="K469" i="5"/>
  <c r="H470" i="5"/>
  <c r="N470" i="5" s="1"/>
  <c r="AG470" i="5"/>
  <c r="D471" i="5"/>
  <c r="O472" i="5"/>
  <c r="S472" i="5" l="1"/>
  <c r="H472" i="5" s="1"/>
  <c r="N472" i="5" s="1"/>
  <c r="Q473" i="5"/>
  <c r="G471" i="5"/>
  <c r="K470" i="5"/>
  <c r="H471" i="5"/>
  <c r="N471" i="5" s="1"/>
  <c r="AG471" i="5"/>
  <c r="AG472" i="5"/>
  <c r="F472" i="5"/>
  <c r="P472" i="5"/>
  <c r="E472" i="5" s="1"/>
  <c r="D472" i="5"/>
  <c r="O473" i="5"/>
  <c r="K471" i="5" l="1"/>
  <c r="F473" i="5"/>
  <c r="P473" i="5"/>
  <c r="E473" i="5" s="1"/>
  <c r="S473" i="5"/>
  <c r="Q474" i="5"/>
  <c r="G472" i="5"/>
  <c r="K472" i="5" s="1"/>
  <c r="D473" i="5"/>
  <c r="O474" i="5"/>
  <c r="G473" i="5" l="1"/>
  <c r="F474" i="5"/>
  <c r="P474" i="5"/>
  <c r="E474" i="5" s="1"/>
  <c r="S474" i="5"/>
  <c r="Q475" i="5"/>
  <c r="H473" i="5"/>
  <c r="AG473" i="5"/>
  <c r="D474" i="5"/>
  <c r="O475" i="5"/>
  <c r="F475" i="5" l="1"/>
  <c r="P475" i="5"/>
  <c r="E475" i="5" s="1"/>
  <c r="H474" i="5"/>
  <c r="N474" i="5" s="1"/>
  <c r="AG474" i="5"/>
  <c r="S475" i="5"/>
  <c r="Q476" i="5"/>
  <c r="N473" i="5"/>
  <c r="K473" i="5"/>
  <c r="G474" i="5"/>
  <c r="D475" i="5"/>
  <c r="O476" i="5"/>
  <c r="K474" i="5" l="1"/>
  <c r="F476" i="5"/>
  <c r="P476" i="5"/>
  <c r="E476" i="5" s="1"/>
  <c r="S476" i="5"/>
  <c r="Q477" i="5"/>
  <c r="H475" i="5"/>
  <c r="N475" i="5" s="1"/>
  <c r="AG475" i="5"/>
  <c r="G475" i="5"/>
  <c r="K475" i="5" s="1"/>
  <c r="D476" i="5"/>
  <c r="O477" i="5"/>
  <c r="F477" i="5" l="1"/>
  <c r="P477" i="5"/>
  <c r="E477" i="5" s="1"/>
  <c r="H476" i="5"/>
  <c r="N476" i="5" s="1"/>
  <c r="AG476" i="5"/>
  <c r="S477" i="5"/>
  <c r="Q478" i="5"/>
  <c r="G476" i="5"/>
  <c r="D477" i="5"/>
  <c r="O478" i="5"/>
  <c r="F478" i="5" l="1"/>
  <c r="P478" i="5"/>
  <c r="E478" i="5" s="1"/>
  <c r="K476" i="5"/>
  <c r="S478" i="5"/>
  <c r="Q479" i="5"/>
  <c r="H477" i="5"/>
  <c r="N477" i="5" s="1"/>
  <c r="AG477" i="5"/>
  <c r="G477" i="5"/>
  <c r="D478" i="5"/>
  <c r="O479" i="5"/>
  <c r="H478" i="5" l="1"/>
  <c r="N478" i="5" s="1"/>
  <c r="AG478" i="5"/>
  <c r="F479" i="5"/>
  <c r="P479" i="5"/>
  <c r="E479" i="5" s="1"/>
  <c r="K477" i="5"/>
  <c r="S479" i="5"/>
  <c r="Q480" i="5"/>
  <c r="G478" i="5"/>
  <c r="K478" i="5" s="1"/>
  <c r="O480" i="5"/>
  <c r="D479" i="5"/>
  <c r="F480" i="5" l="1"/>
  <c r="P480" i="5"/>
  <c r="E480" i="5" s="1"/>
  <c r="G479" i="5"/>
  <c r="H479" i="5"/>
  <c r="N479" i="5" s="1"/>
  <c r="AG479" i="5"/>
  <c r="S480" i="5"/>
  <c r="Q481" i="5"/>
  <c r="O481" i="5"/>
  <c r="D480" i="5"/>
  <c r="S481" i="5" l="1"/>
  <c r="Q482" i="5"/>
  <c r="F481" i="5"/>
  <c r="P481" i="5"/>
  <c r="E481" i="5" s="1"/>
  <c r="K479" i="5"/>
  <c r="H480" i="5"/>
  <c r="N480" i="5" s="1"/>
  <c r="AG480" i="5"/>
  <c r="G480" i="5"/>
  <c r="K480" i="5" s="1"/>
  <c r="D481" i="5"/>
  <c r="O482" i="5"/>
  <c r="G481" i="5" l="1"/>
  <c r="F482" i="5"/>
  <c r="P482" i="5"/>
  <c r="E482" i="5" s="1"/>
  <c r="S482" i="5"/>
  <c r="Q483" i="5"/>
  <c r="H481" i="5"/>
  <c r="N481" i="5" s="1"/>
  <c r="AG481" i="5"/>
  <c r="O483" i="5"/>
  <c r="D482" i="5"/>
  <c r="H482" i="5" l="1"/>
  <c r="N482" i="5" s="1"/>
  <c r="AG482" i="5"/>
  <c r="S483" i="5"/>
  <c r="Q484" i="5"/>
  <c r="G482" i="5"/>
  <c r="K482" i="5" s="1"/>
  <c r="F483" i="5"/>
  <c r="P483" i="5"/>
  <c r="E483" i="5" s="1"/>
  <c r="K481" i="5"/>
  <c r="O484" i="5"/>
  <c r="D483" i="5"/>
  <c r="S484" i="5" l="1"/>
  <c r="H484" i="5" s="1"/>
  <c r="N484" i="5" s="1"/>
  <c r="Q485" i="5"/>
  <c r="G483" i="5"/>
  <c r="F484" i="5"/>
  <c r="P484" i="5"/>
  <c r="E484" i="5" s="1"/>
  <c r="H483" i="5"/>
  <c r="N483" i="5" s="1"/>
  <c r="AG483" i="5"/>
  <c r="K483" i="5"/>
  <c r="AG484" i="5"/>
  <c r="D484" i="5"/>
  <c r="O485" i="5"/>
  <c r="F485" i="5" l="1"/>
  <c r="P485" i="5"/>
  <c r="E485" i="5" s="1"/>
  <c r="S485" i="5"/>
  <c r="Q486" i="5"/>
  <c r="G484" i="5"/>
  <c r="K484" i="5" s="1"/>
  <c r="D485" i="5"/>
  <c r="O486" i="5"/>
  <c r="G485" i="5" l="1"/>
  <c r="F486" i="5"/>
  <c r="P486" i="5"/>
  <c r="E486" i="5" s="1"/>
  <c r="S486" i="5"/>
  <c r="Q487" i="5"/>
  <c r="H485" i="5"/>
  <c r="AG485" i="5"/>
  <c r="D486" i="5"/>
  <c r="O487" i="5"/>
  <c r="F487" i="5" l="1"/>
  <c r="P487" i="5"/>
  <c r="E487" i="5" s="1"/>
  <c r="H486" i="5"/>
  <c r="N486" i="5" s="1"/>
  <c r="AG486" i="5"/>
  <c r="S487" i="5"/>
  <c r="Q488" i="5"/>
  <c r="N485" i="5"/>
  <c r="K485" i="5"/>
  <c r="G486" i="5"/>
  <c r="D487" i="5"/>
  <c r="O488" i="5"/>
  <c r="K486" i="5" l="1"/>
  <c r="S488" i="5"/>
  <c r="Q489" i="5"/>
  <c r="F488" i="5"/>
  <c r="P488" i="5"/>
  <c r="E488" i="5" s="1"/>
  <c r="H487" i="5"/>
  <c r="N487" i="5" s="1"/>
  <c r="AG487" i="5"/>
  <c r="G487" i="5"/>
  <c r="D488" i="5"/>
  <c r="O489" i="5"/>
  <c r="K487" i="5" l="1"/>
  <c r="G488" i="5"/>
  <c r="F489" i="5"/>
  <c r="P489" i="5"/>
  <c r="E489" i="5" s="1"/>
  <c r="S489" i="5"/>
  <c r="Q490" i="5"/>
  <c r="H488" i="5"/>
  <c r="N488" i="5" s="1"/>
  <c r="AG488" i="5"/>
  <c r="D489" i="5"/>
  <c r="O490" i="5"/>
  <c r="G489" i="5" l="1"/>
  <c r="H489" i="5"/>
  <c r="N489" i="5" s="1"/>
  <c r="AG489" i="5"/>
  <c r="K489" i="5"/>
  <c r="S490" i="5"/>
  <c r="Q491" i="5"/>
  <c r="F490" i="5"/>
  <c r="P490" i="5"/>
  <c r="E490" i="5" s="1"/>
  <c r="K488" i="5"/>
  <c r="O491" i="5"/>
  <c r="D490" i="5"/>
  <c r="H490" i="5" l="1"/>
  <c r="N490" i="5" s="1"/>
  <c r="AG490" i="5"/>
  <c r="G490" i="5"/>
  <c r="K490" i="5" s="1"/>
  <c r="S491" i="5"/>
  <c r="Q492" i="5"/>
  <c r="F491" i="5"/>
  <c r="P491" i="5"/>
  <c r="E491" i="5" s="1"/>
  <c r="O492" i="5"/>
  <c r="D491" i="5"/>
  <c r="H491" i="5" l="1"/>
  <c r="N491" i="5" s="1"/>
  <c r="AG491" i="5"/>
  <c r="S492" i="5"/>
  <c r="Q493" i="5"/>
  <c r="G491" i="5"/>
  <c r="K491" i="5" s="1"/>
  <c r="F492" i="5"/>
  <c r="P492" i="5"/>
  <c r="E492" i="5" s="1"/>
  <c r="D492" i="5"/>
  <c r="O493" i="5"/>
  <c r="S493" i="5" l="1"/>
  <c r="Q494" i="5"/>
  <c r="F493" i="5"/>
  <c r="P493" i="5"/>
  <c r="E493" i="5" s="1"/>
  <c r="H492" i="5"/>
  <c r="N492" i="5" s="1"/>
  <c r="AG492" i="5"/>
  <c r="G492" i="5"/>
  <c r="K492" i="5" s="1"/>
  <c r="O494" i="5"/>
  <c r="D493" i="5"/>
  <c r="G493" i="5" l="1"/>
  <c r="S494" i="5"/>
  <c r="Q495" i="5"/>
  <c r="F494" i="5"/>
  <c r="P494" i="5"/>
  <c r="E494" i="5" s="1"/>
  <c r="H493" i="5"/>
  <c r="N493" i="5" s="1"/>
  <c r="AG493" i="5"/>
  <c r="O495" i="5"/>
  <c r="D494" i="5"/>
  <c r="G494" i="5" l="1"/>
  <c r="S495" i="5"/>
  <c r="Q496" i="5"/>
  <c r="F495" i="5"/>
  <c r="P495" i="5"/>
  <c r="E495" i="5" s="1"/>
  <c r="H494" i="5"/>
  <c r="N494" i="5" s="1"/>
  <c r="AG494" i="5"/>
  <c r="K493" i="5"/>
  <c r="O496" i="5"/>
  <c r="D495" i="5"/>
  <c r="S496" i="5" l="1"/>
  <c r="H496" i="5" s="1"/>
  <c r="N496" i="5" s="1"/>
  <c r="Q497" i="5"/>
  <c r="AG496" i="5"/>
  <c r="G495" i="5"/>
  <c r="F496" i="5"/>
  <c r="P496" i="5"/>
  <c r="E496" i="5" s="1"/>
  <c r="H495" i="5"/>
  <c r="N495" i="5" s="1"/>
  <c r="AG495" i="5"/>
  <c r="K494" i="5"/>
  <c r="O497" i="5"/>
  <c r="D496" i="5"/>
  <c r="F497" i="5" l="1"/>
  <c r="P497" i="5"/>
  <c r="E497" i="5" s="1"/>
  <c r="G496" i="5"/>
  <c r="K496" i="5" s="1"/>
  <c r="K495" i="5"/>
  <c r="S497" i="5"/>
  <c r="Q498" i="5"/>
  <c r="D497" i="5"/>
  <c r="O498" i="5"/>
  <c r="G497" i="5" l="1"/>
  <c r="H497" i="5"/>
  <c r="AG497" i="5"/>
  <c r="F498" i="5"/>
  <c r="P498" i="5"/>
  <c r="E498" i="5" s="1"/>
  <c r="S498" i="5"/>
  <c r="Q499" i="5"/>
  <c r="O499" i="5"/>
  <c r="D498" i="5"/>
  <c r="G498" i="5" l="1"/>
  <c r="F499" i="5"/>
  <c r="P499" i="5"/>
  <c r="E499" i="5" s="1"/>
  <c r="S499" i="5"/>
  <c r="Q500" i="5"/>
  <c r="H498" i="5"/>
  <c r="N498" i="5" s="1"/>
  <c r="AG498" i="5"/>
  <c r="N497" i="5"/>
  <c r="K497" i="5"/>
  <c r="D499" i="5"/>
  <c r="O500" i="5"/>
  <c r="H499" i="5" l="1"/>
  <c r="N499" i="5" s="1"/>
  <c r="AG499" i="5"/>
  <c r="S500" i="5"/>
  <c r="Q501" i="5"/>
  <c r="G499" i="5"/>
  <c r="K499" i="5" s="1"/>
  <c r="F500" i="5"/>
  <c r="P500" i="5"/>
  <c r="E500" i="5" s="1"/>
  <c r="K498" i="5"/>
  <c r="O501" i="5"/>
  <c r="D500" i="5"/>
  <c r="F501" i="5" l="1"/>
  <c r="P501" i="5"/>
  <c r="E501" i="5" s="1"/>
  <c r="H500" i="5"/>
  <c r="N500" i="5" s="1"/>
  <c r="AG500" i="5"/>
  <c r="G500" i="5"/>
  <c r="K500" i="5" s="1"/>
  <c r="S501" i="5"/>
  <c r="Q502" i="5"/>
  <c r="O502" i="5"/>
  <c r="D501" i="5"/>
  <c r="S502" i="5" l="1"/>
  <c r="Q503" i="5"/>
  <c r="F502" i="5"/>
  <c r="P502" i="5"/>
  <c r="E502" i="5" s="1"/>
  <c r="H501" i="5"/>
  <c r="N501" i="5" s="1"/>
  <c r="AG501" i="5"/>
  <c r="G501" i="5"/>
  <c r="D502" i="5"/>
  <c r="O503" i="5"/>
  <c r="K501" i="5" l="1"/>
  <c r="G502" i="5"/>
  <c r="S503" i="5"/>
  <c r="Q504" i="5"/>
  <c r="F503" i="5"/>
  <c r="P503" i="5"/>
  <c r="E503" i="5" s="1"/>
  <c r="H502" i="5"/>
  <c r="N502" i="5" s="1"/>
  <c r="AG502" i="5"/>
  <c r="O504" i="5"/>
  <c r="D503" i="5"/>
  <c r="F504" i="5" l="1"/>
  <c r="P504" i="5"/>
  <c r="E504" i="5" s="1"/>
  <c r="H503" i="5"/>
  <c r="N503" i="5" s="1"/>
  <c r="AG503" i="5"/>
  <c r="K502" i="5"/>
  <c r="S504" i="5"/>
  <c r="Q505" i="5"/>
  <c r="G503" i="5"/>
  <c r="O505" i="5"/>
  <c r="D504" i="5"/>
  <c r="K503" i="5" l="1"/>
  <c r="F505" i="5"/>
  <c r="P505" i="5"/>
  <c r="E505" i="5" s="1"/>
  <c r="H504" i="5"/>
  <c r="N504" i="5" s="1"/>
  <c r="AG504" i="5"/>
  <c r="S505" i="5"/>
  <c r="Q506" i="5"/>
  <c r="G504" i="5"/>
  <c r="K504" i="5" s="1"/>
  <c r="D505" i="5"/>
  <c r="O506" i="5"/>
  <c r="F506" i="5" l="1"/>
  <c r="P506" i="5"/>
  <c r="E506" i="5" s="1"/>
  <c r="S506" i="5"/>
  <c r="Q507" i="5"/>
  <c r="H505" i="5"/>
  <c r="N505" i="5" s="1"/>
  <c r="AG505" i="5"/>
  <c r="G505" i="5"/>
  <c r="D506" i="5"/>
  <c r="O507" i="5"/>
  <c r="K505" i="5" l="1"/>
  <c r="F507" i="5"/>
  <c r="P507" i="5"/>
  <c r="E507" i="5" s="1"/>
  <c r="H506" i="5"/>
  <c r="N506" i="5" s="1"/>
  <c r="AG506" i="5"/>
  <c r="S507" i="5"/>
  <c r="Q508" i="5"/>
  <c r="G506" i="5"/>
  <c r="K506" i="5" s="1"/>
  <c r="D507" i="5"/>
  <c r="O508" i="5"/>
  <c r="S508" i="5" l="1"/>
  <c r="H508" i="5" s="1"/>
  <c r="N508" i="5" s="1"/>
  <c r="Q509" i="5"/>
  <c r="F508" i="5"/>
  <c r="P508" i="5"/>
  <c r="E508" i="5" s="1"/>
  <c r="AG508" i="5"/>
  <c r="H507" i="5"/>
  <c r="N507" i="5" s="1"/>
  <c r="AG507" i="5"/>
  <c r="G507" i="5"/>
  <c r="O509" i="5"/>
  <c r="D508" i="5"/>
  <c r="F509" i="5" l="1"/>
  <c r="P509" i="5"/>
  <c r="E509" i="5" s="1"/>
  <c r="K507" i="5"/>
  <c r="S509" i="5"/>
  <c r="Q510" i="5"/>
  <c r="G508" i="5"/>
  <c r="K508" i="5" s="1"/>
  <c r="O510" i="5"/>
  <c r="D509" i="5"/>
  <c r="G509" i="5" l="1"/>
  <c r="S510" i="5"/>
  <c r="Q511" i="5"/>
  <c r="F510" i="5"/>
  <c r="P510" i="5"/>
  <c r="E510" i="5" s="1"/>
  <c r="H509" i="5"/>
  <c r="AG509" i="5"/>
  <c r="D510" i="5"/>
  <c r="O511" i="5"/>
  <c r="D511" i="5" l="1"/>
  <c r="S511" i="5"/>
  <c r="G510" i="5"/>
  <c r="F511" i="5"/>
  <c r="P511" i="5"/>
  <c r="E511" i="5" s="1"/>
  <c r="N509" i="5"/>
  <c r="K509" i="5"/>
  <c r="H510" i="5"/>
  <c r="N510" i="5" s="1"/>
  <c r="AG510" i="5"/>
  <c r="G511" i="5" l="1"/>
  <c r="K510" i="5"/>
  <c r="H511" i="5"/>
  <c r="N511" i="5" s="1"/>
  <c r="AG511" i="5"/>
  <c r="K511" i="5" l="1"/>
  <c r="P26" i="11" l="1"/>
  <c r="O26" i="11" s="1"/>
  <c r="D26" i="11" s="1"/>
  <c r="P26" i="6"/>
  <c r="O26" i="6" s="1"/>
  <c r="S26" i="6" s="1"/>
  <c r="H26" i="6" s="1"/>
  <c r="N26" i="6" s="1"/>
  <c r="D26" i="6" l="1"/>
  <c r="Q27" i="6"/>
  <c r="F27" i="6" s="1"/>
  <c r="R26" i="6"/>
  <c r="E26" i="6"/>
  <c r="G26" i="6" s="1"/>
  <c r="K26" i="6" s="1"/>
  <c r="E26" i="11"/>
  <c r="G26" i="11" s="1"/>
  <c r="R26" i="11"/>
  <c r="Q27" i="11"/>
  <c r="F27" i="11" s="1"/>
  <c r="S26" i="11"/>
  <c r="H26" i="11" s="1"/>
  <c r="N26" i="11" s="1"/>
  <c r="P27" i="6"/>
  <c r="E27" i="6" s="1"/>
  <c r="P27" i="11"/>
  <c r="E27" i="11" s="1"/>
  <c r="G27" i="6" l="1"/>
  <c r="K26" i="11"/>
  <c r="D42" i="2" s="1"/>
  <c r="D41" i="2" s="1"/>
  <c r="G42" i="2"/>
  <c r="AI26" i="6"/>
  <c r="AL26" i="6"/>
  <c r="AI26" i="11"/>
  <c r="AL26" i="11"/>
  <c r="G27" i="11"/>
  <c r="O27" i="11"/>
  <c r="R27" i="11"/>
  <c r="O27" i="6"/>
  <c r="R27" i="6"/>
  <c r="G41" i="2" l="1"/>
  <c r="G29" i="2"/>
  <c r="AL27" i="11"/>
  <c r="AL27" i="6"/>
  <c r="P28" i="11"/>
  <c r="E28" i="11" s="1"/>
  <c r="D27" i="11"/>
  <c r="S27" i="11"/>
  <c r="H27" i="11" s="1"/>
  <c r="N27" i="11" s="1"/>
  <c r="Q28" i="11"/>
  <c r="P28" i="6"/>
  <c r="E28" i="6" s="1"/>
  <c r="Q28" i="6"/>
  <c r="D27" i="6"/>
  <c r="S27" i="6"/>
  <c r="H27" i="6" s="1"/>
  <c r="N27" i="6" l="1"/>
  <c r="K27" i="6"/>
  <c r="K27" i="11"/>
  <c r="AI27" i="11"/>
  <c r="AI27" i="6"/>
  <c r="R28" i="6"/>
  <c r="F28" i="6"/>
  <c r="G28" i="6" s="1"/>
  <c r="O28" i="6"/>
  <c r="O28" i="11"/>
  <c r="F28" i="11"/>
  <c r="G28" i="11" s="1"/>
  <c r="R28" i="11"/>
  <c r="AL28" i="6" l="1"/>
  <c r="AL28" i="11"/>
  <c r="P29" i="11"/>
  <c r="E29" i="11" s="1"/>
  <c r="D28" i="11"/>
  <c r="Q29" i="11"/>
  <c r="S28" i="11"/>
  <c r="H28" i="11" s="1"/>
  <c r="N28" i="11" s="1"/>
  <c r="P29" i="6"/>
  <c r="E29" i="6" s="1"/>
  <c r="Q29" i="6"/>
  <c r="D28" i="6"/>
  <c r="S28" i="6"/>
  <c r="H28" i="6" s="1"/>
  <c r="N28" i="6" s="1"/>
  <c r="AI28" i="6" l="1"/>
  <c r="AI28" i="11"/>
  <c r="K28" i="11"/>
  <c r="K28" i="6"/>
  <c r="F29" i="11"/>
  <c r="G29" i="11" s="1"/>
  <c r="R29" i="11"/>
  <c r="R29" i="6"/>
  <c r="F29" i="6"/>
  <c r="G29" i="6" s="1"/>
  <c r="O29" i="6"/>
  <c r="O29" i="11"/>
  <c r="AL29" i="6" l="1"/>
  <c r="AL29" i="11"/>
  <c r="P30" i="11"/>
  <c r="E30" i="11" s="1"/>
  <c r="Q30" i="11"/>
  <c r="S29" i="11"/>
  <c r="H29" i="11" s="1"/>
  <c r="N29" i="11" s="1"/>
  <c r="D29" i="11"/>
  <c r="P30" i="6"/>
  <c r="E30" i="6" s="1"/>
  <c r="Q30" i="6"/>
  <c r="D29" i="6"/>
  <c r="S29" i="6"/>
  <c r="H29" i="6" s="1"/>
  <c r="N29" i="6" s="1"/>
  <c r="K29" i="11" l="1"/>
  <c r="AI29" i="6"/>
  <c r="AI29" i="11"/>
  <c r="K29" i="6"/>
  <c r="R30" i="6"/>
  <c r="F30" i="6"/>
  <c r="G30" i="6" s="1"/>
  <c r="O30" i="6"/>
  <c r="F30" i="11"/>
  <c r="G30" i="11" s="1"/>
  <c r="R30" i="11"/>
  <c r="O30" i="11"/>
  <c r="AL30" i="11" l="1"/>
  <c r="AL30" i="6"/>
  <c r="P31" i="6"/>
  <c r="E31" i="6" s="1"/>
  <c r="D30" i="6"/>
  <c r="S30" i="6"/>
  <c r="H30" i="6" s="1"/>
  <c r="N30" i="6" s="1"/>
  <c r="Q31" i="6"/>
  <c r="P31" i="11"/>
  <c r="E31" i="11" s="1"/>
  <c r="Q31" i="11"/>
  <c r="D30" i="11"/>
  <c r="S30" i="11"/>
  <c r="H30" i="11" s="1"/>
  <c r="N30" i="11" s="1"/>
  <c r="AI30" i="11" l="1"/>
  <c r="AI30" i="6"/>
  <c r="K30" i="6"/>
  <c r="K30" i="11"/>
  <c r="F31" i="6"/>
  <c r="G31" i="6" s="1"/>
  <c r="R31" i="6"/>
  <c r="R31" i="11"/>
  <c r="F31" i="11"/>
  <c r="G31" i="11" s="1"/>
  <c r="O31" i="11"/>
  <c r="O31" i="6"/>
  <c r="AL31" i="11" l="1"/>
  <c r="AL31" i="6"/>
  <c r="P32" i="6"/>
  <c r="E32" i="6" s="1"/>
  <c r="S31" i="6"/>
  <c r="H31" i="6" s="1"/>
  <c r="N31" i="6" s="1"/>
  <c r="Q32" i="6"/>
  <c r="D31" i="6"/>
  <c r="P32" i="11"/>
  <c r="E32" i="11" s="1"/>
  <c r="Q32" i="11"/>
  <c r="D31" i="11"/>
  <c r="S31" i="11"/>
  <c r="H31" i="11" s="1"/>
  <c r="N31" i="11" s="1"/>
  <c r="K31" i="11" l="1"/>
  <c r="K31" i="6"/>
  <c r="AI31" i="6"/>
  <c r="AI31" i="11"/>
  <c r="R32" i="11"/>
  <c r="F32" i="11"/>
  <c r="G32" i="11" s="1"/>
  <c r="R32" i="6"/>
  <c r="F32" i="6"/>
  <c r="G32" i="6" s="1"/>
  <c r="O32" i="11"/>
  <c r="O32" i="6"/>
  <c r="AL32" i="11" l="1"/>
  <c r="AL32" i="6"/>
  <c r="P33" i="6"/>
  <c r="E33" i="6" s="1"/>
  <c r="Q33" i="6"/>
  <c r="D32" i="6"/>
  <c r="S32" i="6"/>
  <c r="H32" i="6" s="1"/>
  <c r="N32" i="6" s="1"/>
  <c r="P33" i="11"/>
  <c r="E33" i="11" s="1"/>
  <c r="D32" i="11"/>
  <c r="Q33" i="11"/>
  <c r="S32" i="11"/>
  <c r="H32" i="11" s="1"/>
  <c r="N32" i="11" s="1"/>
  <c r="K32" i="6" l="1"/>
  <c r="K32" i="11"/>
  <c r="AI32" i="6"/>
  <c r="AI32" i="11"/>
  <c r="F33" i="11"/>
  <c r="G33" i="11" s="1"/>
  <c r="R33" i="11"/>
  <c r="O33" i="11"/>
  <c r="R33" i="6"/>
  <c r="F33" i="6"/>
  <c r="G33" i="6" s="1"/>
  <c r="O33" i="6"/>
  <c r="AL33" i="6" l="1"/>
  <c r="AL33" i="11"/>
  <c r="P34" i="6"/>
  <c r="E34" i="6" s="1"/>
  <c r="Q34" i="6"/>
  <c r="D33" i="6"/>
  <c r="S33" i="6"/>
  <c r="H33" i="6" s="1"/>
  <c r="N33" i="6" s="1"/>
  <c r="P34" i="11"/>
  <c r="E34" i="11" s="1"/>
  <c r="Q34" i="11"/>
  <c r="D33" i="11"/>
  <c r="S33" i="11"/>
  <c r="H33" i="11" s="1"/>
  <c r="N33" i="11" s="1"/>
  <c r="AI33" i="6" l="1"/>
  <c r="K33" i="6"/>
  <c r="AI33" i="11"/>
  <c r="K33" i="11"/>
  <c r="F34" i="11"/>
  <c r="G34" i="11" s="1"/>
  <c r="R34" i="11"/>
  <c r="O34" i="11"/>
  <c r="R34" i="6"/>
  <c r="F34" i="6"/>
  <c r="G34" i="6" s="1"/>
  <c r="O34" i="6"/>
  <c r="AL34" i="6" l="1"/>
  <c r="AL34" i="11"/>
  <c r="P35" i="11"/>
  <c r="E35" i="11" s="1"/>
  <c r="Q35" i="11"/>
  <c r="S34" i="11"/>
  <c r="H34" i="11" s="1"/>
  <c r="N34" i="11" s="1"/>
  <c r="D34" i="11"/>
  <c r="P35" i="6"/>
  <c r="E35" i="6" s="1"/>
  <c r="D34" i="6"/>
  <c r="S34" i="6"/>
  <c r="H34" i="6" s="1"/>
  <c r="N34" i="6" s="1"/>
  <c r="Q35" i="6"/>
  <c r="AI34" i="11" l="1"/>
  <c r="K34" i="6"/>
  <c r="K34" i="11"/>
  <c r="AI34" i="6"/>
  <c r="O35" i="6"/>
  <c r="F35" i="11"/>
  <c r="G35" i="11" s="1"/>
  <c r="R35" i="11"/>
  <c r="O35" i="11"/>
  <c r="F35" i="6"/>
  <c r="G35" i="6" s="1"/>
  <c r="R35" i="6"/>
  <c r="AL35" i="11" l="1"/>
  <c r="AL35" i="6"/>
  <c r="P36" i="11"/>
  <c r="E36" i="11" s="1"/>
  <c r="D35" i="11"/>
  <c r="Q36" i="11"/>
  <c r="S35" i="11"/>
  <c r="H35" i="11" s="1"/>
  <c r="N35" i="11" s="1"/>
  <c r="P36" i="6"/>
  <c r="E36" i="6" s="1"/>
  <c r="S35" i="6"/>
  <c r="H35" i="6" s="1"/>
  <c r="N35" i="6" s="1"/>
  <c r="Q36" i="6"/>
  <c r="D35" i="6"/>
  <c r="K35" i="11" l="1"/>
  <c r="AI35" i="6"/>
  <c r="K35" i="6"/>
  <c r="AI35" i="11"/>
  <c r="R36" i="6"/>
  <c r="F36" i="6"/>
  <c r="G36" i="6" s="1"/>
  <c r="R36" i="11"/>
  <c r="F36" i="11"/>
  <c r="G36" i="11" s="1"/>
  <c r="O36" i="6"/>
  <c r="O36" i="11"/>
  <c r="AL36" i="6" l="1"/>
  <c r="AL36" i="11"/>
  <c r="P37" i="11"/>
  <c r="E37" i="11" s="1"/>
  <c r="D36" i="11"/>
  <c r="Q37" i="11"/>
  <c r="S36" i="11"/>
  <c r="H36" i="11" s="1"/>
  <c r="N36" i="11" s="1"/>
  <c r="P37" i="6"/>
  <c r="E37" i="6" s="1"/>
  <c r="Q37" i="6"/>
  <c r="D36" i="6"/>
  <c r="S36" i="6"/>
  <c r="H36" i="6" s="1"/>
  <c r="N36" i="6" s="1"/>
  <c r="K36" i="11" l="1"/>
  <c r="AI36" i="11"/>
  <c r="K36" i="6"/>
  <c r="AI36" i="6"/>
  <c r="O37" i="6"/>
  <c r="S37" i="6" s="1"/>
  <c r="H37" i="6" s="1"/>
  <c r="N37" i="6" s="1"/>
  <c r="F37" i="11"/>
  <c r="G37" i="11" s="1"/>
  <c r="R37" i="11"/>
  <c r="O37" i="11"/>
  <c r="R37" i="6"/>
  <c r="F37" i="6"/>
  <c r="G37" i="6" s="1"/>
  <c r="D37" i="6" l="1"/>
  <c r="Q38" i="6"/>
  <c r="F38" i="6" s="1"/>
  <c r="P38" i="6"/>
  <c r="E38" i="6" s="1"/>
  <c r="K37" i="6"/>
  <c r="AL37" i="6"/>
  <c r="AI37" i="6"/>
  <c r="AL37" i="11"/>
  <c r="P38" i="11"/>
  <c r="E38" i="11" s="1"/>
  <c r="Q38" i="11"/>
  <c r="D37" i="11"/>
  <c r="S37" i="11"/>
  <c r="H37" i="11" s="1"/>
  <c r="N37" i="11" s="1"/>
  <c r="R38" i="6" l="1"/>
  <c r="G38" i="6"/>
  <c r="O38" i="6"/>
  <c r="S38" i="6" s="1"/>
  <c r="H38" i="6" s="1"/>
  <c r="N38" i="6" s="1"/>
  <c r="AI37" i="11"/>
  <c r="AL38" i="6"/>
  <c r="K37" i="11"/>
  <c r="R38" i="11"/>
  <c r="F38" i="11"/>
  <c r="G38" i="11" s="1"/>
  <c r="O38" i="11"/>
  <c r="Q39" i="6" l="1"/>
  <c r="F39" i="6" s="1"/>
  <c r="D38" i="6"/>
  <c r="P39" i="6"/>
  <c r="E39" i="6" s="1"/>
  <c r="AI38" i="6"/>
  <c r="AL38" i="11"/>
  <c r="K38" i="6"/>
  <c r="P39" i="11"/>
  <c r="E39" i="11" s="1"/>
  <c r="Q39" i="11"/>
  <c r="D38" i="11"/>
  <c r="S38" i="11"/>
  <c r="H38" i="11" s="1"/>
  <c r="N38" i="11" s="1"/>
  <c r="G39" i="6" l="1"/>
  <c r="O39" i="6"/>
  <c r="Q40" i="6" s="1"/>
  <c r="R39" i="6"/>
  <c r="AL39" i="6" s="1"/>
  <c r="AI38" i="11"/>
  <c r="K38" i="11"/>
  <c r="O39" i="11"/>
  <c r="F39" i="11"/>
  <c r="G39" i="11" s="1"/>
  <c r="R39" i="11"/>
  <c r="D39" i="6" l="1"/>
  <c r="S39" i="6"/>
  <c r="H39" i="6" s="1"/>
  <c r="N39" i="6" s="1"/>
  <c r="P40" i="6"/>
  <c r="E40" i="6" s="1"/>
  <c r="AL39" i="11"/>
  <c r="F40" i="6"/>
  <c r="P40" i="11"/>
  <c r="E40" i="11" s="1"/>
  <c r="D39" i="11"/>
  <c r="Q40" i="11"/>
  <c r="S39" i="11"/>
  <c r="H39" i="11" s="1"/>
  <c r="N39" i="11" s="1"/>
  <c r="K39" i="6" l="1"/>
  <c r="AI39" i="6"/>
  <c r="R40" i="6"/>
  <c r="AL40" i="6" s="1"/>
  <c r="O40" i="6"/>
  <c r="Q41" i="6" s="1"/>
  <c r="G40" i="6"/>
  <c r="AI39" i="11"/>
  <c r="K39" i="11"/>
  <c r="O40" i="11"/>
  <c r="R40" i="11"/>
  <c r="F40" i="11"/>
  <c r="G40" i="11" s="1"/>
  <c r="P41" i="6" l="1"/>
  <c r="E41" i="6" s="1"/>
  <c r="S40" i="6"/>
  <c r="H40" i="6" s="1"/>
  <c r="N40" i="6" s="1"/>
  <c r="D40" i="6"/>
  <c r="AL40" i="11"/>
  <c r="F41" i="6"/>
  <c r="P41" i="11"/>
  <c r="E41" i="11" s="1"/>
  <c r="S40" i="11"/>
  <c r="H40" i="11" s="1"/>
  <c r="N40" i="11" s="1"/>
  <c r="Q41" i="11"/>
  <c r="D40" i="11"/>
  <c r="K40" i="6" l="1"/>
  <c r="O41" i="6"/>
  <c r="D41" i="6" s="1"/>
  <c r="R41" i="6"/>
  <c r="G41" i="6"/>
  <c r="AI40" i="6"/>
  <c r="AL41" i="6"/>
  <c r="AI40" i="11"/>
  <c r="K40" i="11"/>
  <c r="F41" i="11"/>
  <c r="G41" i="11" s="1"/>
  <c r="R41" i="11"/>
  <c r="O41" i="11"/>
  <c r="S41" i="6" l="1"/>
  <c r="H41" i="6" s="1"/>
  <c r="N41" i="6" s="1"/>
  <c r="Q42" i="6"/>
  <c r="F42" i="6" s="1"/>
  <c r="P42" i="6"/>
  <c r="E42" i="6" s="1"/>
  <c r="AL41" i="11"/>
  <c r="P42" i="11"/>
  <c r="E42" i="11" s="1"/>
  <c r="Q42" i="11"/>
  <c r="S41" i="11"/>
  <c r="H41" i="11" s="1"/>
  <c r="N41" i="11" s="1"/>
  <c r="D41" i="11"/>
  <c r="K41" i="6" l="1"/>
  <c r="AI41" i="6"/>
  <c r="G42" i="6"/>
  <c r="R42" i="6"/>
  <c r="AL42" i="6" s="1"/>
  <c r="O42" i="6"/>
  <c r="D42" i="6" s="1"/>
  <c r="K41" i="11"/>
  <c r="AI41" i="11"/>
  <c r="O42" i="11"/>
  <c r="F42" i="11"/>
  <c r="G42" i="11" s="1"/>
  <c r="R42" i="11"/>
  <c r="Q43" i="6" l="1"/>
  <c r="F43" i="6" s="1"/>
  <c r="P43" i="6"/>
  <c r="E43" i="6" s="1"/>
  <c r="S42" i="6"/>
  <c r="H42" i="6" s="1"/>
  <c r="N42" i="6" s="1"/>
  <c r="AL42" i="11"/>
  <c r="P43" i="11"/>
  <c r="E43" i="11" s="1"/>
  <c r="Q43" i="11"/>
  <c r="D42" i="11"/>
  <c r="S42" i="11"/>
  <c r="H42" i="11" s="1"/>
  <c r="N42" i="11" s="1"/>
  <c r="AI42" i="6" l="1"/>
  <c r="K42" i="6"/>
  <c r="O43" i="6"/>
  <c r="S43" i="6" s="1"/>
  <c r="H43" i="6" s="1"/>
  <c r="N43" i="6" s="1"/>
  <c r="R43" i="6"/>
  <c r="G43" i="6"/>
  <c r="K42" i="11"/>
  <c r="AL43" i="6"/>
  <c r="AI42" i="11"/>
  <c r="O43" i="11"/>
  <c r="F43" i="11"/>
  <c r="G43" i="11" s="1"/>
  <c r="R43" i="11"/>
  <c r="D43" i="6" l="1"/>
  <c r="Q44" i="6"/>
  <c r="F44" i="6" s="1"/>
  <c r="P44" i="6"/>
  <c r="E44" i="6" s="1"/>
  <c r="K43" i="6"/>
  <c r="AL43" i="11"/>
  <c r="AI43" i="6"/>
  <c r="P44" i="11"/>
  <c r="E44" i="11" s="1"/>
  <c r="D43" i="11"/>
  <c r="Q44" i="11"/>
  <c r="S43" i="11"/>
  <c r="H43" i="11" s="1"/>
  <c r="N43" i="11" s="1"/>
  <c r="O44" i="6" l="1"/>
  <c r="S44" i="6" s="1"/>
  <c r="H44" i="6" s="1"/>
  <c r="N44" i="6" s="1"/>
  <c r="G44" i="6"/>
  <c r="R44" i="6"/>
  <c r="K43" i="11"/>
  <c r="AL44" i="6"/>
  <c r="AI43" i="11"/>
  <c r="O44" i="11"/>
  <c r="F44" i="11"/>
  <c r="G44" i="11" s="1"/>
  <c r="R44" i="11"/>
  <c r="D44" i="6" l="1"/>
  <c r="Q45" i="6"/>
  <c r="P45" i="6"/>
  <c r="E45" i="6" s="1"/>
  <c r="AI44" i="6"/>
  <c r="AL44" i="11"/>
  <c r="K44" i="6"/>
  <c r="P45" i="11"/>
  <c r="E45" i="11" s="1"/>
  <c r="S44" i="11"/>
  <c r="H44" i="11" s="1"/>
  <c r="N44" i="11" s="1"/>
  <c r="Q45" i="11"/>
  <c r="D44" i="11"/>
  <c r="R45" i="6" l="1"/>
  <c r="O45" i="6"/>
  <c r="P46" i="6" s="1"/>
  <c r="E46" i="6" s="1"/>
  <c r="F45" i="6"/>
  <c r="G45" i="6" s="1"/>
  <c r="K44" i="11"/>
  <c r="AL45" i="6"/>
  <c r="AI44" i="11"/>
  <c r="O45" i="11"/>
  <c r="F45" i="11"/>
  <c r="G45" i="11" s="1"/>
  <c r="R45" i="11"/>
  <c r="D45" i="6" l="1"/>
  <c r="Q46" i="6"/>
  <c r="F46" i="6" s="1"/>
  <c r="G46" i="6" s="1"/>
  <c r="S45" i="6"/>
  <c r="H45" i="6" s="1"/>
  <c r="N45" i="6" s="1"/>
  <c r="AL45" i="11"/>
  <c r="P46" i="11"/>
  <c r="E46" i="11" s="1"/>
  <c r="Q46" i="11"/>
  <c r="S45" i="11"/>
  <c r="H45" i="11" s="1"/>
  <c r="N45" i="11" s="1"/>
  <c r="D45" i="11"/>
  <c r="O46" i="6"/>
  <c r="AI45" i="6" l="1"/>
  <c r="K45" i="6"/>
  <c r="R46" i="6"/>
  <c r="AL46" i="6" s="1"/>
  <c r="AI45" i="11"/>
  <c r="K45" i="11"/>
  <c r="P47" i="6"/>
  <c r="E47" i="6" s="1"/>
  <c r="D46" i="6"/>
  <c r="S46" i="6"/>
  <c r="H46" i="6" s="1"/>
  <c r="N46" i="6" s="1"/>
  <c r="Q47" i="6"/>
  <c r="O46" i="11"/>
  <c r="F46" i="11"/>
  <c r="G46" i="11" s="1"/>
  <c r="R46" i="11"/>
  <c r="AI46" i="6" l="1"/>
  <c r="AL46" i="11"/>
  <c r="K46" i="6"/>
  <c r="F47" i="6"/>
  <c r="G47" i="6" s="1"/>
  <c r="R47" i="6"/>
  <c r="P47" i="11"/>
  <c r="E47" i="11" s="1"/>
  <c r="Q47" i="11"/>
  <c r="D46" i="11"/>
  <c r="S46" i="11"/>
  <c r="H46" i="11" s="1"/>
  <c r="N46" i="11" s="1"/>
  <c r="O47" i="6"/>
  <c r="AL47" i="6" l="1"/>
  <c r="AI46" i="11"/>
  <c r="K46" i="11"/>
  <c r="P48" i="6"/>
  <c r="E48" i="6" s="1"/>
  <c r="Q48" i="6"/>
  <c r="D47" i="6"/>
  <c r="S47" i="6"/>
  <c r="H47" i="6" s="1"/>
  <c r="N47" i="6" s="1"/>
  <c r="O47" i="11"/>
  <c r="F47" i="11"/>
  <c r="G47" i="11" s="1"/>
  <c r="R47" i="11"/>
  <c r="K47" i="6" l="1"/>
  <c r="AL47" i="11"/>
  <c r="AI47" i="6"/>
  <c r="R48" i="6"/>
  <c r="F48" i="6"/>
  <c r="G48" i="6" s="1"/>
  <c r="P48" i="11"/>
  <c r="E48" i="11" s="1"/>
  <c r="Q48" i="11"/>
  <c r="D47" i="11"/>
  <c r="S47" i="11"/>
  <c r="H47" i="11" s="1"/>
  <c r="N47" i="11" s="1"/>
  <c r="O48" i="6"/>
  <c r="K47" i="11" l="1"/>
  <c r="AL48" i="6"/>
  <c r="AI47" i="11"/>
  <c r="P49" i="6"/>
  <c r="E49" i="6" s="1"/>
  <c r="Q49" i="6"/>
  <c r="D48" i="6"/>
  <c r="S48" i="6"/>
  <c r="H48" i="6" s="1"/>
  <c r="N48" i="6" s="1"/>
  <c r="O48" i="11"/>
  <c r="R48" i="11"/>
  <c r="F48" i="11"/>
  <c r="G48" i="11" s="1"/>
  <c r="AI48" i="6" l="1"/>
  <c r="AL48" i="11"/>
  <c r="K48" i="6"/>
  <c r="O49" i="6"/>
  <c r="D49" i="6" s="1"/>
  <c r="R49" i="6"/>
  <c r="F49" i="6"/>
  <c r="G49" i="6" s="1"/>
  <c r="P49" i="11"/>
  <c r="E49" i="11" s="1"/>
  <c r="S48" i="11"/>
  <c r="H48" i="11" s="1"/>
  <c r="N48" i="11" s="1"/>
  <c r="Q49" i="11"/>
  <c r="D48" i="11"/>
  <c r="P50" i="6" l="1"/>
  <c r="E50" i="6" s="1"/>
  <c r="Q50" i="6"/>
  <c r="F50" i="6" s="1"/>
  <c r="S49" i="6"/>
  <c r="H49" i="6" s="1"/>
  <c r="N49" i="6" s="1"/>
  <c r="AL49" i="6"/>
  <c r="AI48" i="11"/>
  <c r="K48" i="11"/>
  <c r="F49" i="11"/>
  <c r="G49" i="11" s="1"/>
  <c r="R49" i="11"/>
  <c r="O49" i="11"/>
  <c r="O50" i="6" l="1"/>
  <c r="S50" i="6" s="1"/>
  <c r="H50" i="6" s="1"/>
  <c r="N50" i="6" s="1"/>
  <c r="G50" i="6"/>
  <c r="R50" i="6"/>
  <c r="AL50" i="6" s="1"/>
  <c r="K49" i="6"/>
  <c r="AI49" i="6"/>
  <c r="AL49" i="11"/>
  <c r="P50" i="11"/>
  <c r="E50" i="11" s="1"/>
  <c r="Q50" i="11"/>
  <c r="D49" i="11"/>
  <c r="S49" i="11"/>
  <c r="H49" i="11" s="1"/>
  <c r="N49" i="11" s="1"/>
  <c r="D50" i="6" l="1"/>
  <c r="Q51" i="6"/>
  <c r="F51" i="6" s="1"/>
  <c r="P51" i="6"/>
  <c r="E51" i="6" s="1"/>
  <c r="K49" i="11"/>
  <c r="K50" i="6"/>
  <c r="AI50" i="6"/>
  <c r="AI49" i="11"/>
  <c r="F50" i="11"/>
  <c r="G50" i="11" s="1"/>
  <c r="R50" i="11"/>
  <c r="O50" i="11"/>
  <c r="R51" i="6" l="1"/>
  <c r="G51" i="6"/>
  <c r="O51" i="6"/>
  <c r="S51" i="6" s="1"/>
  <c r="H51" i="6" s="1"/>
  <c r="N51" i="6" s="1"/>
  <c r="AL50" i="11"/>
  <c r="AL51" i="6"/>
  <c r="P51" i="11"/>
  <c r="E51" i="11" s="1"/>
  <c r="Q51" i="11"/>
  <c r="S50" i="11"/>
  <c r="H50" i="11" s="1"/>
  <c r="N50" i="11" s="1"/>
  <c r="D50" i="11"/>
  <c r="D51" i="6" l="1"/>
  <c r="Q52" i="6"/>
  <c r="F52" i="6" s="1"/>
  <c r="P52" i="6"/>
  <c r="E52" i="6" s="1"/>
  <c r="K50" i="11"/>
  <c r="K51" i="6"/>
  <c r="AI51" i="6"/>
  <c r="AI50" i="11"/>
  <c r="R51" i="11"/>
  <c r="F51" i="11"/>
  <c r="G51" i="11" s="1"/>
  <c r="O51" i="11"/>
  <c r="R52" i="6" l="1"/>
  <c r="G52" i="6"/>
  <c r="O52" i="6"/>
  <c r="D52" i="6" s="1"/>
  <c r="AL52" i="6"/>
  <c r="AL51" i="11"/>
  <c r="P52" i="11"/>
  <c r="E52" i="11" s="1"/>
  <c r="Q52" i="11"/>
  <c r="D51" i="11"/>
  <c r="S51" i="11"/>
  <c r="H51" i="11" s="1"/>
  <c r="N51" i="11" s="1"/>
  <c r="Q53" i="6" l="1"/>
  <c r="F53" i="6" s="1"/>
  <c r="P53" i="6"/>
  <c r="E53" i="6" s="1"/>
  <c r="S52" i="6"/>
  <c r="H52" i="6" s="1"/>
  <c r="N52" i="6" s="1"/>
  <c r="K51" i="11"/>
  <c r="AI51" i="11"/>
  <c r="R52" i="11"/>
  <c r="F52" i="11"/>
  <c r="G52" i="11" s="1"/>
  <c r="O52" i="11"/>
  <c r="AI52" i="6" l="1"/>
  <c r="O53" i="6"/>
  <c r="S53" i="6" s="1"/>
  <c r="H53" i="6" s="1"/>
  <c r="N53" i="6" s="1"/>
  <c r="R53" i="6"/>
  <c r="AL53" i="6" s="1"/>
  <c r="G53" i="6"/>
  <c r="K52" i="6"/>
  <c r="AL52" i="11"/>
  <c r="P53" i="11"/>
  <c r="E53" i="11" s="1"/>
  <c r="D52" i="11"/>
  <c r="Q53" i="11"/>
  <c r="S52" i="11"/>
  <c r="H52" i="11" s="1"/>
  <c r="N52" i="11" s="1"/>
  <c r="D53" i="6" l="1"/>
  <c r="P54" i="6"/>
  <c r="E54" i="6" s="1"/>
  <c r="Q54" i="6"/>
  <c r="F54" i="6" s="1"/>
  <c r="K52" i="11"/>
  <c r="K53" i="6"/>
  <c r="AI53" i="6"/>
  <c r="AI52" i="11"/>
  <c r="F53" i="11"/>
  <c r="G53" i="11" s="1"/>
  <c r="R53" i="11"/>
  <c r="O53" i="11"/>
  <c r="O54" i="6" l="1"/>
  <c r="D54" i="6" s="1"/>
  <c r="R54" i="6"/>
  <c r="G54" i="6"/>
  <c r="AL54" i="6"/>
  <c r="AL53" i="11"/>
  <c r="P54" i="11"/>
  <c r="E54" i="11" s="1"/>
  <c r="Q54" i="11"/>
  <c r="D53" i="11"/>
  <c r="S53" i="11"/>
  <c r="H53" i="11" s="1"/>
  <c r="N53" i="11" s="1"/>
  <c r="P55" i="6" l="1"/>
  <c r="E55" i="6" s="1"/>
  <c r="Q55" i="6"/>
  <c r="F55" i="6" s="1"/>
  <c r="S54" i="6"/>
  <c r="H54" i="6" s="1"/>
  <c r="N54" i="6" s="1"/>
  <c r="AI53" i="11"/>
  <c r="K53" i="11"/>
  <c r="R54" i="11"/>
  <c r="F54" i="11"/>
  <c r="G54" i="11" s="1"/>
  <c r="O54" i="11"/>
  <c r="AI54" i="6" l="1"/>
  <c r="K54" i="6"/>
  <c r="O55" i="6"/>
  <c r="D55" i="6" s="1"/>
  <c r="G55" i="6"/>
  <c r="R55" i="6"/>
  <c r="AL55" i="6" s="1"/>
  <c r="AL54" i="11"/>
  <c r="P55" i="11"/>
  <c r="E55" i="11" s="1"/>
  <c r="Q55" i="11"/>
  <c r="D54" i="11"/>
  <c r="S54" i="11"/>
  <c r="H54" i="11" s="1"/>
  <c r="N54" i="11" s="1"/>
  <c r="P56" i="6" l="1"/>
  <c r="E56" i="6" s="1"/>
  <c r="Q56" i="6"/>
  <c r="F56" i="6" s="1"/>
  <c r="S55" i="6"/>
  <c r="H55" i="6" s="1"/>
  <c r="N55" i="6" s="1"/>
  <c r="K54" i="11"/>
  <c r="AI54" i="11"/>
  <c r="R55" i="11"/>
  <c r="F55" i="11"/>
  <c r="G55" i="11" s="1"/>
  <c r="O55" i="11"/>
  <c r="AI55" i="6" l="1"/>
  <c r="O56" i="6"/>
  <c r="S56" i="6" s="1"/>
  <c r="H56" i="6" s="1"/>
  <c r="N56" i="6" s="1"/>
  <c r="R56" i="6"/>
  <c r="G56" i="6"/>
  <c r="K55" i="6"/>
  <c r="AL56" i="6"/>
  <c r="AL55" i="11"/>
  <c r="P56" i="11"/>
  <c r="E56" i="11" s="1"/>
  <c r="D55" i="11"/>
  <c r="Q56" i="11"/>
  <c r="S55" i="11"/>
  <c r="H55" i="11" s="1"/>
  <c r="N55" i="11" s="1"/>
  <c r="P57" i="6" l="1"/>
  <c r="E57" i="6" s="1"/>
  <c r="D56" i="6"/>
  <c r="Q57" i="6"/>
  <c r="K56" i="6"/>
  <c r="K55" i="11"/>
  <c r="AI56" i="6"/>
  <c r="AI55" i="11"/>
  <c r="R56" i="11"/>
  <c r="F56" i="11"/>
  <c r="G56" i="11" s="1"/>
  <c r="O56" i="11"/>
  <c r="R57" i="6" l="1"/>
  <c r="O57" i="6"/>
  <c r="Q58" i="6" s="1"/>
  <c r="F57" i="6"/>
  <c r="G57" i="6" s="1"/>
  <c r="AL57" i="6"/>
  <c r="AL56" i="11"/>
  <c r="P57" i="11"/>
  <c r="E57" i="11" s="1"/>
  <c r="S56" i="11"/>
  <c r="H56" i="11" s="1"/>
  <c r="N56" i="11" s="1"/>
  <c r="Q57" i="11"/>
  <c r="D56" i="11"/>
  <c r="P58" i="6" l="1"/>
  <c r="E58" i="6" s="1"/>
  <c r="S57" i="6"/>
  <c r="H57" i="6" s="1"/>
  <c r="N57" i="6" s="1"/>
  <c r="D57" i="6"/>
  <c r="K56" i="11"/>
  <c r="AI56" i="11"/>
  <c r="F57" i="11"/>
  <c r="G57" i="11" s="1"/>
  <c r="R57" i="11"/>
  <c r="F58" i="6"/>
  <c r="O57" i="11"/>
  <c r="AI57" i="6" l="1"/>
  <c r="K57" i="6"/>
  <c r="O58" i="6"/>
  <c r="D58" i="6" s="1"/>
  <c r="G58" i="6"/>
  <c r="R58" i="6"/>
  <c r="AL58" i="6" s="1"/>
  <c r="AL57" i="11"/>
  <c r="P58" i="11"/>
  <c r="E58" i="11" s="1"/>
  <c r="Q58" i="11"/>
  <c r="S57" i="11"/>
  <c r="H57" i="11" s="1"/>
  <c r="N57" i="11" s="1"/>
  <c r="D57" i="11"/>
  <c r="Q59" i="6" l="1"/>
  <c r="S58" i="6"/>
  <c r="H58" i="6" s="1"/>
  <c r="N58" i="6" s="1"/>
  <c r="P59" i="6"/>
  <c r="E59" i="6" s="1"/>
  <c r="AI57" i="11"/>
  <c r="AI58" i="6"/>
  <c r="K57" i="11"/>
  <c r="K58" i="6"/>
  <c r="F59" i="6"/>
  <c r="F58" i="11"/>
  <c r="G58" i="11" s="1"/>
  <c r="R58" i="11"/>
  <c r="O58" i="11"/>
  <c r="G59" i="6" l="1"/>
  <c r="O59" i="6"/>
  <c r="S59" i="6" s="1"/>
  <c r="H59" i="6" s="1"/>
  <c r="N59" i="6" s="1"/>
  <c r="R59" i="6"/>
  <c r="AL59" i="6"/>
  <c r="AL58" i="11"/>
  <c r="P60" i="6"/>
  <c r="E60" i="6" s="1"/>
  <c r="Q60" i="6"/>
  <c r="D59" i="6"/>
  <c r="P59" i="11"/>
  <c r="E59" i="11" s="1"/>
  <c r="Q59" i="11"/>
  <c r="D58" i="11"/>
  <c r="S58" i="11"/>
  <c r="H58" i="11" s="1"/>
  <c r="N58" i="11" s="1"/>
  <c r="AI59" i="6" l="1"/>
  <c r="K58" i="11"/>
  <c r="AI58" i="11"/>
  <c r="K59" i="6"/>
  <c r="F59" i="11"/>
  <c r="G59" i="11" s="1"/>
  <c r="R59" i="11"/>
  <c r="O59" i="11"/>
  <c r="R60" i="6"/>
  <c r="F60" i="6"/>
  <c r="G60" i="6" s="1"/>
  <c r="O60" i="6"/>
  <c r="AL60" i="6" l="1"/>
  <c r="AL59" i="11"/>
  <c r="P60" i="11"/>
  <c r="E60" i="11" s="1"/>
  <c r="Q60" i="11"/>
  <c r="D59" i="11"/>
  <c r="S59" i="11"/>
  <c r="H59" i="11" s="1"/>
  <c r="N59" i="11" s="1"/>
  <c r="P61" i="6"/>
  <c r="E61" i="6" s="1"/>
  <c r="Q61" i="6"/>
  <c r="D60" i="6"/>
  <c r="S60" i="6"/>
  <c r="H60" i="6" s="1"/>
  <c r="N60" i="6" s="1"/>
  <c r="AI60" i="6" l="1"/>
  <c r="K60" i="6"/>
  <c r="AI59" i="11"/>
  <c r="K59" i="11"/>
  <c r="O61" i="6"/>
  <c r="D61" i="6" s="1"/>
  <c r="R61" i="6"/>
  <c r="F61" i="6"/>
  <c r="G61" i="6" s="1"/>
  <c r="F60" i="11"/>
  <c r="G60" i="11" s="1"/>
  <c r="R60" i="11"/>
  <c r="O60" i="11"/>
  <c r="Q62" i="6" l="1"/>
  <c r="P62" i="6"/>
  <c r="E62" i="6" s="1"/>
  <c r="AL60" i="11"/>
  <c r="S61" i="6"/>
  <c r="H61" i="6" s="1"/>
  <c r="N61" i="6" s="1"/>
  <c r="AL61" i="6"/>
  <c r="P61" i="11"/>
  <c r="E61" i="11" s="1"/>
  <c r="S60" i="11"/>
  <c r="H60" i="11" s="1"/>
  <c r="N60" i="11" s="1"/>
  <c r="Q61" i="11"/>
  <c r="D60" i="11"/>
  <c r="R62" i="6" l="1"/>
  <c r="AL62" i="6" s="1"/>
  <c r="O62" i="6"/>
  <c r="P63" i="6" s="1"/>
  <c r="E63" i="6" s="1"/>
  <c r="F62" i="6"/>
  <c r="G62" i="6" s="1"/>
  <c r="AI61" i="6"/>
  <c r="AI60" i="11"/>
  <c r="K61" i="6"/>
  <c r="K60" i="11"/>
  <c r="O61" i="11"/>
  <c r="F61" i="11"/>
  <c r="G61" i="11" s="1"/>
  <c r="R61" i="11"/>
  <c r="Q63" i="6" l="1"/>
  <c r="F63" i="6" s="1"/>
  <c r="G63" i="6" s="1"/>
  <c r="S62" i="6"/>
  <c r="H62" i="6" s="1"/>
  <c r="N62" i="6" s="1"/>
  <c r="D62" i="6"/>
  <c r="AL61" i="11"/>
  <c r="O63" i="6"/>
  <c r="P62" i="11"/>
  <c r="E62" i="11" s="1"/>
  <c r="Q62" i="11"/>
  <c r="D61" i="11"/>
  <c r="S61" i="11"/>
  <c r="H61" i="11" s="1"/>
  <c r="N61" i="11" s="1"/>
  <c r="AI62" i="6" l="1"/>
  <c r="K62" i="6"/>
  <c r="R63" i="6"/>
  <c r="AL63" i="6" s="1"/>
  <c r="AI61" i="11"/>
  <c r="K61" i="11"/>
  <c r="P64" i="6"/>
  <c r="E64" i="6" s="1"/>
  <c r="S63" i="6"/>
  <c r="H63" i="6" s="1"/>
  <c r="N63" i="6" s="1"/>
  <c r="Q64" i="6"/>
  <c r="D63" i="6"/>
  <c r="F62" i="11"/>
  <c r="G62" i="11" s="1"/>
  <c r="R62" i="11"/>
  <c r="O62" i="11"/>
  <c r="K63" i="6" l="1"/>
  <c r="AI63" i="6"/>
  <c r="AL62" i="11"/>
  <c r="R64" i="6"/>
  <c r="F64" i="6"/>
  <c r="G64" i="6" s="1"/>
  <c r="P63" i="11"/>
  <c r="E63" i="11" s="1"/>
  <c r="Q63" i="11"/>
  <c r="D62" i="11"/>
  <c r="S62" i="11"/>
  <c r="H62" i="11" s="1"/>
  <c r="N62" i="11" s="1"/>
  <c r="O64" i="6"/>
  <c r="AI62" i="11" l="1"/>
  <c r="K62" i="11"/>
  <c r="AL64" i="6"/>
  <c r="P65" i="6"/>
  <c r="E65" i="6" s="1"/>
  <c r="Q65" i="6"/>
  <c r="D64" i="6"/>
  <c r="S64" i="6"/>
  <c r="H64" i="6" s="1"/>
  <c r="N64" i="6" s="1"/>
  <c r="O63" i="11"/>
  <c r="R63" i="11"/>
  <c r="F63" i="11"/>
  <c r="G63" i="11" s="1"/>
  <c r="AI64" i="6" l="1"/>
  <c r="AL63" i="11"/>
  <c r="K64" i="6"/>
  <c r="R65" i="6"/>
  <c r="F65" i="6"/>
  <c r="G65" i="6" s="1"/>
  <c r="P64" i="11"/>
  <c r="E64" i="11" s="1"/>
  <c r="Q64" i="11"/>
  <c r="D63" i="11"/>
  <c r="S63" i="11"/>
  <c r="H63" i="11" s="1"/>
  <c r="N63" i="11" s="1"/>
  <c r="O65" i="6"/>
  <c r="AI63" i="11" l="1"/>
  <c r="AL65" i="6"/>
  <c r="K63" i="11"/>
  <c r="P66" i="6"/>
  <c r="E66" i="6" s="1"/>
  <c r="Q66" i="6"/>
  <c r="D65" i="6"/>
  <c r="S65" i="6"/>
  <c r="H65" i="6" s="1"/>
  <c r="N65" i="6" s="1"/>
  <c r="O64" i="11"/>
  <c r="R64" i="11"/>
  <c r="F64" i="11"/>
  <c r="G64" i="11" s="1"/>
  <c r="AI65" i="6" l="1"/>
  <c r="AL64" i="11"/>
  <c r="K65" i="6"/>
  <c r="R66" i="6"/>
  <c r="F66" i="6"/>
  <c r="G66" i="6" s="1"/>
  <c r="P65" i="11"/>
  <c r="E65" i="11" s="1"/>
  <c r="S64" i="11"/>
  <c r="H64" i="11" s="1"/>
  <c r="N64" i="11" s="1"/>
  <c r="Q65" i="11"/>
  <c r="D64" i="11"/>
  <c r="O66" i="6"/>
  <c r="AI64" i="11" l="1"/>
  <c r="AL66" i="6"/>
  <c r="K64" i="11"/>
  <c r="P67" i="6"/>
  <c r="E67" i="6" s="1"/>
  <c r="D66" i="6"/>
  <c r="S66" i="6"/>
  <c r="H66" i="6" s="1"/>
  <c r="N66" i="6" s="1"/>
  <c r="Q67" i="6"/>
  <c r="O65" i="11"/>
  <c r="F65" i="11"/>
  <c r="G65" i="11" s="1"/>
  <c r="R65" i="11"/>
  <c r="AI66" i="6" l="1"/>
  <c r="AL65" i="11"/>
  <c r="K66" i="6"/>
  <c r="F67" i="6"/>
  <c r="G67" i="6" s="1"/>
  <c r="R67" i="6"/>
  <c r="P66" i="11"/>
  <c r="E66" i="11" s="1"/>
  <c r="Q66" i="11"/>
  <c r="D65" i="11"/>
  <c r="S65" i="11"/>
  <c r="H65" i="11" s="1"/>
  <c r="N65" i="11" s="1"/>
  <c r="O67" i="6"/>
  <c r="AL67" i="6" l="1"/>
  <c r="K65" i="11"/>
  <c r="AI65" i="11"/>
  <c r="O66" i="11"/>
  <c r="P68" i="6"/>
  <c r="E68" i="6" s="1"/>
  <c r="Q68" i="6"/>
  <c r="D67" i="6"/>
  <c r="S67" i="6"/>
  <c r="H67" i="6" s="1"/>
  <c r="N67" i="6" s="1"/>
  <c r="R66" i="11"/>
  <c r="F66" i="11"/>
  <c r="G66" i="11" s="1"/>
  <c r="K67" i="6" l="1"/>
  <c r="AI67" i="6"/>
  <c r="AL66" i="11"/>
  <c r="R68" i="6"/>
  <c r="F68" i="6"/>
  <c r="G68" i="6" s="1"/>
  <c r="O68" i="6"/>
  <c r="P67" i="11"/>
  <c r="E67" i="11" s="1"/>
  <c r="Q67" i="11"/>
  <c r="S66" i="11"/>
  <c r="H66" i="11" s="1"/>
  <c r="N66" i="11" s="1"/>
  <c r="D66" i="11"/>
  <c r="AI66" i="11" l="1"/>
  <c r="K66" i="11"/>
  <c r="AL68" i="6"/>
  <c r="R67" i="11"/>
  <c r="F67" i="11"/>
  <c r="G67" i="11" s="1"/>
  <c r="P69" i="6"/>
  <c r="E69" i="6" s="1"/>
  <c r="Q69" i="6"/>
  <c r="D68" i="6"/>
  <c r="S68" i="6"/>
  <c r="H68" i="6" s="1"/>
  <c r="N68" i="6" s="1"/>
  <c r="O67" i="11"/>
  <c r="AL67" i="11" l="1"/>
  <c r="K68" i="6"/>
  <c r="AI68" i="6"/>
  <c r="P68" i="11"/>
  <c r="E68" i="11" s="1"/>
  <c r="Q68" i="11"/>
  <c r="D67" i="11"/>
  <c r="S67" i="11"/>
  <c r="H67" i="11" s="1"/>
  <c r="N67" i="11" s="1"/>
  <c r="O69" i="6"/>
  <c r="R69" i="6"/>
  <c r="F69" i="6"/>
  <c r="G69" i="6" s="1"/>
  <c r="AL69" i="6" l="1"/>
  <c r="AI67" i="11"/>
  <c r="K67" i="11"/>
  <c r="R68" i="11"/>
  <c r="F68" i="11"/>
  <c r="G68" i="11" s="1"/>
  <c r="P70" i="6"/>
  <c r="E70" i="6" s="1"/>
  <c r="Q70" i="6"/>
  <c r="D69" i="6"/>
  <c r="S69" i="6"/>
  <c r="H69" i="6" s="1"/>
  <c r="N69" i="6" s="1"/>
  <c r="O68" i="11"/>
  <c r="AI69" i="6" l="1"/>
  <c r="AL68" i="11"/>
  <c r="K69" i="6"/>
  <c r="O70" i="6"/>
  <c r="S70" i="6" s="1"/>
  <c r="H70" i="6" s="1"/>
  <c r="N70" i="6" s="1"/>
  <c r="P69" i="11"/>
  <c r="E69" i="11" s="1"/>
  <c r="D68" i="11"/>
  <c r="Q69" i="11"/>
  <c r="S68" i="11"/>
  <c r="H68" i="11" s="1"/>
  <c r="N68" i="11" s="1"/>
  <c r="R70" i="6"/>
  <c r="F70" i="6"/>
  <c r="G70" i="6" s="1"/>
  <c r="P71" i="6" l="1"/>
  <c r="E71" i="6" s="1"/>
  <c r="Q71" i="6"/>
  <c r="F71" i="6" s="1"/>
  <c r="D70" i="6"/>
  <c r="K68" i="11"/>
  <c r="K70" i="6"/>
  <c r="AL70" i="6"/>
  <c r="AI70" i="6"/>
  <c r="AI68" i="11"/>
  <c r="O69" i="11"/>
  <c r="F69" i="11"/>
  <c r="G69" i="11" s="1"/>
  <c r="R69" i="11"/>
  <c r="G71" i="6" l="1"/>
  <c r="O71" i="6"/>
  <c r="D71" i="6" s="1"/>
  <c r="R71" i="6"/>
  <c r="AL71" i="6" s="1"/>
  <c r="AL69" i="11"/>
  <c r="P70" i="11"/>
  <c r="E70" i="11" s="1"/>
  <c r="Q70" i="11"/>
  <c r="S69" i="11"/>
  <c r="H69" i="11" s="1"/>
  <c r="N69" i="11" s="1"/>
  <c r="D69" i="11"/>
  <c r="S71" i="6" l="1"/>
  <c r="H71" i="6" s="1"/>
  <c r="N71" i="6" s="1"/>
  <c r="P72" i="6"/>
  <c r="E72" i="6" s="1"/>
  <c r="Q72" i="6"/>
  <c r="F72" i="6" s="1"/>
  <c r="AI69" i="11"/>
  <c r="K69" i="11"/>
  <c r="F70" i="11"/>
  <c r="G70" i="11" s="1"/>
  <c r="R70" i="11"/>
  <c r="O70" i="11"/>
  <c r="AI71" i="6" l="1"/>
  <c r="G72" i="6"/>
  <c r="R72" i="6"/>
  <c r="K71" i="6"/>
  <c r="O72" i="6"/>
  <c r="AL70" i="11"/>
  <c r="P71" i="11"/>
  <c r="E71" i="11" s="1"/>
  <c r="Q71" i="11"/>
  <c r="S70" i="11"/>
  <c r="H70" i="11" s="1"/>
  <c r="N70" i="11" s="1"/>
  <c r="D70" i="11"/>
  <c r="S72" i="6" l="1"/>
  <c r="H72" i="6" s="1"/>
  <c r="N72" i="6" s="1"/>
  <c r="P73" i="6"/>
  <c r="E73" i="6" s="1"/>
  <c r="Q73" i="6"/>
  <c r="D72" i="6"/>
  <c r="AL72" i="6"/>
  <c r="K70" i="11"/>
  <c r="AI70" i="11"/>
  <c r="F71" i="11"/>
  <c r="G71" i="11" s="1"/>
  <c r="R71" i="11"/>
  <c r="O71" i="11"/>
  <c r="K72" i="6" l="1"/>
  <c r="O73" i="6"/>
  <c r="AI72" i="6"/>
  <c r="R73" i="6"/>
  <c r="F73" i="6"/>
  <c r="G73" i="6" s="1"/>
  <c r="AL71" i="11"/>
  <c r="P72" i="11"/>
  <c r="E72" i="11" s="1"/>
  <c r="Q72" i="11"/>
  <c r="D71" i="11"/>
  <c r="S71" i="11"/>
  <c r="H71" i="11" s="1"/>
  <c r="N71" i="11" s="1"/>
  <c r="AL73" i="6" l="1"/>
  <c r="D73" i="6"/>
  <c r="S73" i="6"/>
  <c r="H73" i="6" s="1"/>
  <c r="N73" i="6" s="1"/>
  <c r="P74" i="6"/>
  <c r="E74" i="6" s="1"/>
  <c r="Q74" i="6"/>
  <c r="AI71" i="11"/>
  <c r="K71" i="11"/>
  <c r="R72" i="11"/>
  <c r="F72" i="11"/>
  <c r="G72" i="11" s="1"/>
  <c r="O72" i="11"/>
  <c r="K73" i="6" l="1"/>
  <c r="AI73" i="6"/>
  <c r="O74" i="6"/>
  <c r="R74" i="6"/>
  <c r="F74" i="6"/>
  <c r="G74" i="6" s="1"/>
  <c r="AL72" i="11"/>
  <c r="P73" i="11"/>
  <c r="E73" i="11" s="1"/>
  <c r="D72" i="11"/>
  <c r="Q73" i="11"/>
  <c r="S72" i="11"/>
  <c r="H72" i="11" s="1"/>
  <c r="N72" i="11" s="1"/>
  <c r="AL74" i="6" l="1"/>
  <c r="Q75" i="6"/>
  <c r="S74" i="6"/>
  <c r="H74" i="6" s="1"/>
  <c r="N74" i="6" s="1"/>
  <c r="P75" i="6"/>
  <c r="E75" i="6" s="1"/>
  <c r="D74" i="6"/>
  <c r="K72" i="11"/>
  <c r="AI72" i="11"/>
  <c r="F73" i="11"/>
  <c r="G73" i="11" s="1"/>
  <c r="R73" i="11"/>
  <c r="O73" i="11"/>
  <c r="O75" i="6" l="1"/>
  <c r="R75" i="6"/>
  <c r="F75" i="6"/>
  <c r="G75" i="6" s="1"/>
  <c r="AI74" i="6"/>
  <c r="K74" i="6"/>
  <c r="AL73" i="11"/>
  <c r="P74" i="11"/>
  <c r="E74" i="11" s="1"/>
  <c r="Q74" i="11"/>
  <c r="S73" i="11"/>
  <c r="H73" i="11" s="1"/>
  <c r="N73" i="11" s="1"/>
  <c r="D73" i="11"/>
  <c r="AL75" i="6" l="1"/>
  <c r="P76" i="6"/>
  <c r="E76" i="6" s="1"/>
  <c r="Q76" i="6"/>
  <c r="S75" i="6"/>
  <c r="H75" i="6" s="1"/>
  <c r="N75" i="6" s="1"/>
  <c r="D75" i="6"/>
  <c r="K73" i="11"/>
  <c r="AI73" i="11"/>
  <c r="O74" i="11"/>
  <c r="S74" i="11" s="1"/>
  <c r="H74" i="11" s="1"/>
  <c r="N74" i="11" s="1"/>
  <c r="F74" i="11"/>
  <c r="G74" i="11" s="1"/>
  <c r="R74" i="11"/>
  <c r="O76" i="6" l="1"/>
  <c r="Q77" i="6" s="1"/>
  <c r="AI75" i="6"/>
  <c r="R76" i="6"/>
  <c r="F76" i="6"/>
  <c r="G76" i="6" s="1"/>
  <c r="K75" i="6"/>
  <c r="Q75" i="11"/>
  <c r="F75" i="11" s="1"/>
  <c r="D74" i="11"/>
  <c r="P75" i="11"/>
  <c r="E75" i="11" s="1"/>
  <c r="K74" i="11"/>
  <c r="AI74" i="11"/>
  <c r="AL74" i="11"/>
  <c r="D76" i="6" l="1"/>
  <c r="P77" i="6"/>
  <c r="E77" i="6" s="1"/>
  <c r="S76" i="6"/>
  <c r="H76" i="6" s="1"/>
  <c r="N76" i="6" s="1"/>
  <c r="AL76" i="6"/>
  <c r="F77" i="6"/>
  <c r="G75" i="11"/>
  <c r="O75" i="11"/>
  <c r="P76" i="11" s="1"/>
  <c r="E76" i="11" s="1"/>
  <c r="R75" i="11"/>
  <c r="AI76" i="6" l="1"/>
  <c r="K76" i="6"/>
  <c r="O77" i="6"/>
  <c r="S77" i="6" s="1"/>
  <c r="H77" i="6" s="1"/>
  <c r="N77" i="6" s="1"/>
  <c r="G77" i="6"/>
  <c r="R77" i="6"/>
  <c r="AL77" i="6" s="1"/>
  <c r="S75" i="11"/>
  <c r="H75" i="11" s="1"/>
  <c r="N75" i="11" s="1"/>
  <c r="D75" i="11"/>
  <c r="AL75" i="11"/>
  <c r="Q76" i="11"/>
  <c r="R76" i="11" s="1"/>
  <c r="O76" i="11"/>
  <c r="Q78" i="6" l="1"/>
  <c r="F78" i="6" s="1"/>
  <c r="P78" i="6"/>
  <c r="O78" i="6" s="1"/>
  <c r="D77" i="6"/>
  <c r="AI77" i="6"/>
  <c r="K77" i="6"/>
  <c r="AI75" i="11"/>
  <c r="K75" i="11"/>
  <c r="F76" i="11"/>
  <c r="G76" i="11" s="1"/>
  <c r="AL76" i="11"/>
  <c r="P77" i="11"/>
  <c r="E77" i="11" s="1"/>
  <c r="S76" i="11"/>
  <c r="H76" i="11" s="1"/>
  <c r="N76" i="11" s="1"/>
  <c r="Q77" i="11"/>
  <c r="D76" i="11"/>
  <c r="E78" i="6" l="1"/>
  <c r="G78" i="6" s="1"/>
  <c r="R78" i="6"/>
  <c r="AL78" i="6" s="1"/>
  <c r="D78" i="6"/>
  <c r="S78" i="6"/>
  <c r="H78" i="6" s="1"/>
  <c r="N78" i="6" s="1"/>
  <c r="Q79" i="6"/>
  <c r="P79" i="6"/>
  <c r="K76" i="11"/>
  <c r="AI76" i="11"/>
  <c r="F77" i="11"/>
  <c r="G77" i="11" s="1"/>
  <c r="R77" i="11"/>
  <c r="O77" i="11"/>
  <c r="R79" i="6" l="1"/>
  <c r="AL79" i="6" s="1"/>
  <c r="F79" i="6"/>
  <c r="AI78" i="6"/>
  <c r="E79" i="6"/>
  <c r="O79" i="6"/>
  <c r="K78" i="6"/>
  <c r="AL77" i="11"/>
  <c r="P78" i="11"/>
  <c r="E78" i="11" s="1"/>
  <c r="Q78" i="11"/>
  <c r="S77" i="11"/>
  <c r="H77" i="11" s="1"/>
  <c r="N77" i="11" s="1"/>
  <c r="D77" i="11"/>
  <c r="G79" i="6" l="1"/>
  <c r="S79" i="6"/>
  <c r="Q80" i="6"/>
  <c r="D79" i="6"/>
  <c r="P80" i="6"/>
  <c r="K77" i="11"/>
  <c r="AI77" i="11"/>
  <c r="R78" i="11"/>
  <c r="F78" i="11"/>
  <c r="G78" i="11" s="1"/>
  <c r="O78" i="11"/>
  <c r="R80" i="6" l="1"/>
  <c r="AL80" i="6" s="1"/>
  <c r="F80" i="6"/>
  <c r="H79" i="6"/>
  <c r="N79" i="6" s="1"/>
  <c r="AI79" i="6"/>
  <c r="E80" i="6"/>
  <c r="O80" i="6"/>
  <c r="K79" i="6"/>
  <c r="AL78" i="11"/>
  <c r="P79" i="11"/>
  <c r="E79" i="11" s="1"/>
  <c r="Q79" i="11"/>
  <c r="D78" i="11"/>
  <c r="S78" i="11"/>
  <c r="H78" i="11" s="1"/>
  <c r="N78" i="11" s="1"/>
  <c r="D80" i="6" l="1"/>
  <c r="S80" i="6"/>
  <c r="P81" i="6"/>
  <c r="Q81" i="6"/>
  <c r="G80" i="6"/>
  <c r="AI78" i="11"/>
  <c r="K78" i="11"/>
  <c r="F79" i="11"/>
  <c r="G79" i="11" s="1"/>
  <c r="R79" i="11"/>
  <c r="O79" i="11"/>
  <c r="R81" i="6" l="1"/>
  <c r="AL81" i="6" s="1"/>
  <c r="F81" i="6"/>
  <c r="E81" i="6"/>
  <c r="O81" i="6"/>
  <c r="H80" i="6"/>
  <c r="N80" i="6" s="1"/>
  <c r="AI80" i="6"/>
  <c r="AL79" i="11"/>
  <c r="P80" i="11"/>
  <c r="E80" i="11" s="1"/>
  <c r="D79" i="11"/>
  <c r="Q80" i="11"/>
  <c r="S79" i="11"/>
  <c r="H79" i="11" s="1"/>
  <c r="N79" i="11" s="1"/>
  <c r="G81" i="6" l="1"/>
  <c r="Q82" i="6"/>
  <c r="P82" i="6"/>
  <c r="E82" i="6" s="1"/>
  <c r="D81" i="6"/>
  <c r="S81" i="6"/>
  <c r="K80" i="6"/>
  <c r="AI79" i="11"/>
  <c r="K79" i="11"/>
  <c r="R80" i="11"/>
  <c r="F80" i="11"/>
  <c r="G80" i="11" s="1"/>
  <c r="O80" i="11"/>
  <c r="F82" i="6" l="1"/>
  <c r="G82" i="6" s="1"/>
  <c r="R82" i="6"/>
  <c r="AL82" i="6" s="1"/>
  <c r="H81" i="6"/>
  <c r="AI81" i="6"/>
  <c r="O82" i="6"/>
  <c r="AL80" i="11"/>
  <c r="P81" i="11"/>
  <c r="E81" i="11" s="1"/>
  <c r="S80" i="11"/>
  <c r="H80" i="11" s="1"/>
  <c r="N80" i="11" s="1"/>
  <c r="Q81" i="11"/>
  <c r="D80" i="11"/>
  <c r="N81" i="6" l="1"/>
  <c r="K81" i="6"/>
  <c r="P83" i="6"/>
  <c r="E83" i="6" s="1"/>
  <c r="S82" i="6"/>
  <c r="H82" i="6" s="1"/>
  <c r="Q83" i="6"/>
  <c r="D82" i="6"/>
  <c r="K80" i="11"/>
  <c r="AI80" i="11"/>
  <c r="O81" i="11"/>
  <c r="F81" i="11"/>
  <c r="G81" i="11" s="1"/>
  <c r="R81" i="11"/>
  <c r="O83" i="6" l="1"/>
  <c r="Q84" i="6" s="1"/>
  <c r="R83" i="6"/>
  <c r="F83" i="6"/>
  <c r="G83" i="6" s="1"/>
  <c r="N82" i="6"/>
  <c r="K82" i="6"/>
  <c r="AI82" i="6"/>
  <c r="AL81" i="11"/>
  <c r="P82" i="11"/>
  <c r="E82" i="11" s="1"/>
  <c r="Q82" i="11"/>
  <c r="S81" i="11"/>
  <c r="H81" i="11" s="1"/>
  <c r="N81" i="11" s="1"/>
  <c r="D81" i="11"/>
  <c r="P84" i="6" l="1"/>
  <c r="E84" i="6" s="1"/>
  <c r="S83" i="6"/>
  <c r="H83" i="6" s="1"/>
  <c r="N83" i="6" s="1"/>
  <c r="D83" i="6"/>
  <c r="AL83" i="6"/>
  <c r="AI83" i="6"/>
  <c r="F84" i="6"/>
  <c r="AI81" i="11"/>
  <c r="K81" i="11"/>
  <c r="O82" i="11"/>
  <c r="F82" i="11"/>
  <c r="G82" i="11" s="1"/>
  <c r="R82" i="11"/>
  <c r="K83" i="6" l="1"/>
  <c r="O84" i="6"/>
  <c r="D84" i="6" s="1"/>
  <c r="G84" i="6"/>
  <c r="R84" i="6"/>
  <c r="AL84" i="6" s="1"/>
  <c r="AL82" i="11"/>
  <c r="P83" i="11"/>
  <c r="E83" i="11" s="1"/>
  <c r="Q83" i="11"/>
  <c r="D82" i="11"/>
  <c r="S82" i="11"/>
  <c r="H82" i="11" s="1"/>
  <c r="N82" i="11" s="1"/>
  <c r="P85" i="6" l="1"/>
  <c r="E85" i="6" s="1"/>
  <c r="S84" i="6"/>
  <c r="H84" i="6" s="1"/>
  <c r="N84" i="6" s="1"/>
  <c r="Q85" i="6"/>
  <c r="F85" i="6" s="1"/>
  <c r="K82" i="11"/>
  <c r="AI82" i="11"/>
  <c r="F83" i="11"/>
  <c r="G83" i="11" s="1"/>
  <c r="R83" i="11"/>
  <c r="O83" i="11"/>
  <c r="AI84" i="6" l="1"/>
  <c r="K84" i="6"/>
  <c r="R85" i="6"/>
  <c r="AL85" i="6" s="1"/>
  <c r="O85" i="6"/>
  <c r="D85" i="6" s="1"/>
  <c r="G85" i="6"/>
  <c r="AL83" i="11"/>
  <c r="P84" i="11"/>
  <c r="E84" i="11" s="1"/>
  <c r="D83" i="11"/>
  <c r="Q84" i="11"/>
  <c r="S83" i="11"/>
  <c r="H83" i="11" s="1"/>
  <c r="N83" i="11" s="1"/>
  <c r="Q86" i="6" l="1"/>
  <c r="F86" i="6" s="1"/>
  <c r="P86" i="6"/>
  <c r="S85" i="6"/>
  <c r="K83" i="11"/>
  <c r="AI83" i="11"/>
  <c r="O84" i="11"/>
  <c r="P85" i="11" s="1"/>
  <c r="E85" i="11" s="1"/>
  <c r="R84" i="11"/>
  <c r="F84" i="11"/>
  <c r="G84" i="11" s="1"/>
  <c r="H85" i="6" l="1"/>
  <c r="AI85" i="6"/>
  <c r="R86" i="6"/>
  <c r="AL86" i="6" s="1"/>
  <c r="E86" i="6"/>
  <c r="G86" i="6" s="1"/>
  <c r="O86" i="6"/>
  <c r="D86" i="6" s="1"/>
  <c r="Q85" i="11"/>
  <c r="F85" i="11" s="1"/>
  <c r="G85" i="11" s="1"/>
  <c r="S84" i="11"/>
  <c r="H84" i="11" s="1"/>
  <c r="N84" i="11" s="1"/>
  <c r="AL84" i="11"/>
  <c r="D84" i="11"/>
  <c r="O85" i="11"/>
  <c r="N85" i="6" l="1"/>
  <c r="K85" i="6"/>
  <c r="P87" i="6"/>
  <c r="E87" i="6" s="1"/>
  <c r="S86" i="6"/>
  <c r="H86" i="6" s="1"/>
  <c r="N86" i="6" s="1"/>
  <c r="Q87" i="6"/>
  <c r="R85" i="11"/>
  <c r="AL85" i="11" s="1"/>
  <c r="AI84" i="11"/>
  <c r="K84" i="11"/>
  <c r="P86" i="11"/>
  <c r="E86" i="11" s="1"/>
  <c r="Q86" i="11"/>
  <c r="D85" i="11"/>
  <c r="S85" i="11"/>
  <c r="H85" i="11" s="1"/>
  <c r="N85" i="11" s="1"/>
  <c r="K86" i="6" l="1"/>
  <c r="AI86" i="6"/>
  <c r="O87" i="6"/>
  <c r="Q88" i="6" s="1"/>
  <c r="F88" i="6" s="1"/>
  <c r="R87" i="6"/>
  <c r="AL87" i="6" s="1"/>
  <c r="F87" i="6"/>
  <c r="G87" i="6" s="1"/>
  <c r="AI85" i="11"/>
  <c r="K85" i="11"/>
  <c r="F86" i="11"/>
  <c r="G86" i="11" s="1"/>
  <c r="R86" i="11"/>
  <c r="O86" i="11"/>
  <c r="S87" i="6" l="1"/>
  <c r="H87" i="6" s="1"/>
  <c r="N87" i="6" s="1"/>
  <c r="P88" i="6"/>
  <c r="O88" i="6" s="1"/>
  <c r="S88" i="6" s="1"/>
  <c r="H88" i="6" s="1"/>
  <c r="N88" i="6" s="1"/>
  <c r="D87" i="6"/>
  <c r="AL86" i="11"/>
  <c r="P87" i="11"/>
  <c r="E87" i="11" s="1"/>
  <c r="Q87" i="11"/>
  <c r="S86" i="11"/>
  <c r="H86" i="11" s="1"/>
  <c r="N86" i="11" s="1"/>
  <c r="D86" i="11"/>
  <c r="AI87" i="6" l="1"/>
  <c r="K87" i="6"/>
  <c r="Q89" i="6"/>
  <c r="F89" i="6" s="1"/>
  <c r="P89" i="6"/>
  <c r="E89" i="6" s="1"/>
  <c r="R88" i="6"/>
  <c r="AL88" i="6" s="1"/>
  <c r="D88" i="6"/>
  <c r="E88" i="6"/>
  <c r="G88" i="6" s="1"/>
  <c r="K88" i="6" s="1"/>
  <c r="K86" i="11"/>
  <c r="AI86" i="11"/>
  <c r="R87" i="11"/>
  <c r="F87" i="11"/>
  <c r="G87" i="11" s="1"/>
  <c r="O87" i="11"/>
  <c r="R89" i="6" l="1"/>
  <c r="AL89" i="6" s="1"/>
  <c r="O89" i="6"/>
  <c r="P90" i="6" s="1"/>
  <c r="E90" i="6" s="1"/>
  <c r="AI88" i="6"/>
  <c r="G89" i="6"/>
  <c r="AL87" i="11"/>
  <c r="P88" i="11"/>
  <c r="E88" i="11" s="1"/>
  <c r="D87" i="11"/>
  <c r="Q88" i="11"/>
  <c r="S87" i="11"/>
  <c r="H87" i="11" s="1"/>
  <c r="N87" i="11" s="1"/>
  <c r="Q90" i="6" l="1"/>
  <c r="F90" i="6" s="1"/>
  <c r="G90" i="6" s="1"/>
  <c r="S89" i="6"/>
  <c r="H89" i="6" s="1"/>
  <c r="D89" i="6"/>
  <c r="AI89" i="6"/>
  <c r="O90" i="6"/>
  <c r="N89" i="6"/>
  <c r="K89" i="6"/>
  <c r="AI87" i="11"/>
  <c r="K87" i="11"/>
  <c r="R88" i="11"/>
  <c r="F88" i="11"/>
  <c r="G88" i="11" s="1"/>
  <c r="O88" i="11"/>
  <c r="R90" i="6" l="1"/>
  <c r="AL90" i="6" s="1"/>
  <c r="D90" i="6"/>
  <c r="P91" i="6"/>
  <c r="Q91" i="6"/>
  <c r="S90" i="6"/>
  <c r="H90" i="6" s="1"/>
  <c r="N90" i="6" s="1"/>
  <c r="AL88" i="11"/>
  <c r="P89" i="11"/>
  <c r="E89" i="11" s="1"/>
  <c r="D88" i="11"/>
  <c r="Q89" i="11"/>
  <c r="S88" i="11"/>
  <c r="H88" i="11" s="1"/>
  <c r="N88" i="11" s="1"/>
  <c r="E91" i="6" l="1"/>
  <c r="O91" i="6"/>
  <c r="AI90" i="6"/>
  <c r="R91" i="6"/>
  <c r="AL91" i="6" s="1"/>
  <c r="F91" i="6"/>
  <c r="K90" i="6"/>
  <c r="AI88" i="11"/>
  <c r="K88" i="11"/>
  <c r="O89" i="11"/>
  <c r="D89" i="11" s="1"/>
  <c r="F89" i="11"/>
  <c r="G89" i="11" s="1"/>
  <c r="R89" i="11"/>
  <c r="G91" i="6" l="1"/>
  <c r="D91" i="6"/>
  <c r="S91" i="6"/>
  <c r="P92" i="6"/>
  <c r="Q92" i="6"/>
  <c r="P90" i="11"/>
  <c r="E90" i="11" s="1"/>
  <c r="S89" i="11"/>
  <c r="H89" i="11" s="1"/>
  <c r="N89" i="11" s="1"/>
  <c r="AL89" i="11"/>
  <c r="Q90" i="11"/>
  <c r="F90" i="11" s="1"/>
  <c r="O90" i="11" l="1"/>
  <c r="S90" i="11" s="1"/>
  <c r="H90" i="11" s="1"/>
  <c r="N90" i="11" s="1"/>
  <c r="G90" i="11"/>
  <c r="E92" i="6"/>
  <c r="O92" i="6"/>
  <c r="H91" i="6"/>
  <c r="AI91" i="6"/>
  <c r="F92" i="6"/>
  <c r="R92" i="6"/>
  <c r="AL92" i="6" s="1"/>
  <c r="R90" i="11"/>
  <c r="AL90" i="11" s="1"/>
  <c r="K89" i="11"/>
  <c r="AI89" i="11"/>
  <c r="D90" i="11" l="1"/>
  <c r="Q91" i="11"/>
  <c r="F91" i="11" s="1"/>
  <c r="G92" i="6"/>
  <c r="P91" i="11"/>
  <c r="E91" i="11" s="1"/>
  <c r="N91" i="6"/>
  <c r="K91" i="6"/>
  <c r="D92" i="6"/>
  <c r="P93" i="6"/>
  <c r="Q93" i="6"/>
  <c r="S92" i="6"/>
  <c r="H92" i="6" s="1"/>
  <c r="K90" i="11"/>
  <c r="AI90" i="11"/>
  <c r="O91" i="11" l="1"/>
  <c r="S91" i="11" s="1"/>
  <c r="H91" i="11" s="1"/>
  <c r="N91" i="11" s="1"/>
  <c r="R91" i="11"/>
  <c r="G91" i="11"/>
  <c r="N92" i="6"/>
  <c r="K92" i="6"/>
  <c r="F93" i="6"/>
  <c r="R93" i="6"/>
  <c r="AL93" i="6" s="1"/>
  <c r="E93" i="6"/>
  <c r="O93" i="6"/>
  <c r="AI92" i="6"/>
  <c r="AL91" i="11"/>
  <c r="Q92" i="11" l="1"/>
  <c r="F92" i="11" s="1"/>
  <c r="P92" i="11"/>
  <c r="E92" i="11" s="1"/>
  <c r="D91" i="11"/>
  <c r="Q94" i="6"/>
  <c r="D93" i="6"/>
  <c r="P94" i="6"/>
  <c r="E94" i="6" s="1"/>
  <c r="S93" i="6"/>
  <c r="G93" i="6"/>
  <c r="AI91" i="11"/>
  <c r="K91" i="11"/>
  <c r="R92" i="11" l="1"/>
  <c r="G92" i="11"/>
  <c r="O92" i="11"/>
  <c r="Q93" i="11" s="1"/>
  <c r="H93" i="6"/>
  <c r="N93" i="6" s="1"/>
  <c r="AI93" i="6"/>
  <c r="O94" i="6"/>
  <c r="R94" i="6"/>
  <c r="AL94" i="6" s="1"/>
  <c r="F94" i="6"/>
  <c r="G94" i="6" s="1"/>
  <c r="AL92" i="11"/>
  <c r="K93" i="6" l="1"/>
  <c r="S92" i="11"/>
  <c r="H92" i="11" s="1"/>
  <c r="N92" i="11" s="1"/>
  <c r="P93" i="11"/>
  <c r="E93" i="11" s="1"/>
  <c r="D92" i="11"/>
  <c r="Q95" i="6"/>
  <c r="D94" i="6"/>
  <c r="P95" i="6"/>
  <c r="E95" i="6" s="1"/>
  <c r="S94" i="6"/>
  <c r="F93" i="11"/>
  <c r="AI92" i="11" l="1"/>
  <c r="K92" i="11"/>
  <c r="G93" i="11"/>
  <c r="O93" i="11"/>
  <c r="D93" i="11" s="1"/>
  <c r="R93" i="11"/>
  <c r="AL93" i="11" s="1"/>
  <c r="O95" i="6"/>
  <c r="P96" i="6" s="1"/>
  <c r="E96" i="6" s="1"/>
  <c r="H94" i="6"/>
  <c r="AI94" i="6"/>
  <c r="F95" i="6"/>
  <c r="G95" i="6" s="1"/>
  <c r="R95" i="6"/>
  <c r="AL95" i="6" s="1"/>
  <c r="Q94" i="11" l="1"/>
  <c r="F94" i="11" s="1"/>
  <c r="S93" i="11"/>
  <c r="H93" i="11" s="1"/>
  <c r="N93" i="11" s="1"/>
  <c r="P94" i="11"/>
  <c r="E94" i="11" s="1"/>
  <c r="D95" i="6"/>
  <c r="Q96" i="6"/>
  <c r="F96" i="6" s="1"/>
  <c r="G96" i="6" s="1"/>
  <c r="S95" i="6"/>
  <c r="O96" i="6"/>
  <c r="P97" i="6" s="1"/>
  <c r="E97" i="6" s="1"/>
  <c r="N94" i="6"/>
  <c r="K94" i="6"/>
  <c r="K93" i="11" l="1"/>
  <c r="AI93" i="11"/>
  <c r="G94" i="11"/>
  <c r="O94" i="11"/>
  <c r="P95" i="11" s="1"/>
  <c r="E95" i="11" s="1"/>
  <c r="R94" i="11"/>
  <c r="AL94" i="11" s="1"/>
  <c r="Q97" i="6"/>
  <c r="F97" i="6" s="1"/>
  <c r="G97" i="6" s="1"/>
  <c r="R96" i="6"/>
  <c r="AL96" i="6" s="1"/>
  <c r="H95" i="6"/>
  <c r="AI95" i="6"/>
  <c r="D96" i="6"/>
  <c r="S96" i="6"/>
  <c r="H96" i="6" s="1"/>
  <c r="N96" i="6" s="1"/>
  <c r="O97" i="6"/>
  <c r="D94" i="11" l="1"/>
  <c r="S94" i="11"/>
  <c r="H94" i="11" s="1"/>
  <c r="N94" i="11" s="1"/>
  <c r="Q95" i="11"/>
  <c r="R95" i="11" s="1"/>
  <c r="R97" i="6"/>
  <c r="AL97" i="6" s="1"/>
  <c r="K96" i="6"/>
  <c r="N95" i="6"/>
  <c r="K95" i="6"/>
  <c r="AI96" i="6"/>
  <c r="O95" i="11"/>
  <c r="P98" i="6"/>
  <c r="E98" i="6" s="1"/>
  <c r="S97" i="6"/>
  <c r="H97" i="6" s="1"/>
  <c r="N97" i="6" s="1"/>
  <c r="Q98" i="6"/>
  <c r="D97" i="6"/>
  <c r="AI94" i="11" l="1"/>
  <c r="K94" i="11"/>
  <c r="F95" i="11"/>
  <c r="G95" i="11" s="1"/>
  <c r="K97" i="6"/>
  <c r="AI97" i="6"/>
  <c r="AL95" i="11"/>
  <c r="O98" i="6"/>
  <c r="R98" i="6"/>
  <c r="F98" i="6"/>
  <c r="G98" i="6" s="1"/>
  <c r="P96" i="11"/>
  <c r="E96" i="11" s="1"/>
  <c r="D95" i="11"/>
  <c r="Q96" i="11"/>
  <c r="S95" i="11"/>
  <c r="H95" i="11" s="1"/>
  <c r="N95" i="11" s="1"/>
  <c r="K95" i="11" l="1"/>
  <c r="AI95" i="11"/>
  <c r="AL98" i="6"/>
  <c r="R96" i="11"/>
  <c r="F96" i="11"/>
  <c r="G96" i="11" s="1"/>
  <c r="O96" i="11"/>
  <c r="P99" i="6"/>
  <c r="E99" i="6" s="1"/>
  <c r="Q99" i="6"/>
  <c r="D98" i="6"/>
  <c r="S98" i="6"/>
  <c r="H98" i="6" s="1"/>
  <c r="N98" i="6" s="1"/>
  <c r="AL96" i="11" l="1"/>
  <c r="AI98" i="6"/>
  <c r="K98" i="6"/>
  <c r="P97" i="11"/>
  <c r="E97" i="11" s="1"/>
  <c r="S96" i="11"/>
  <c r="H96" i="11" s="1"/>
  <c r="N96" i="11" s="1"/>
  <c r="Q97" i="11"/>
  <c r="D96" i="11"/>
  <c r="R99" i="6"/>
  <c r="F99" i="6"/>
  <c r="G99" i="6" s="1"/>
  <c r="O99" i="6"/>
  <c r="AI96" i="11" l="1"/>
  <c r="AL99" i="6"/>
  <c r="K96" i="11"/>
  <c r="O97" i="11"/>
  <c r="S97" i="11" s="1"/>
  <c r="H97" i="11" s="1"/>
  <c r="N97" i="11" s="1"/>
  <c r="F97" i="11"/>
  <c r="G97" i="11" s="1"/>
  <c r="R97" i="11"/>
  <c r="P100" i="6"/>
  <c r="E100" i="6" s="1"/>
  <c r="Q100" i="6"/>
  <c r="D99" i="6"/>
  <c r="S99" i="6"/>
  <c r="H99" i="6" s="1"/>
  <c r="N99" i="6" s="1"/>
  <c r="D97" i="11" l="1"/>
  <c r="Q98" i="11"/>
  <c r="F98" i="11" s="1"/>
  <c r="P98" i="11"/>
  <c r="E98" i="11" s="1"/>
  <c r="AI99" i="6"/>
  <c r="K97" i="11"/>
  <c r="AI97" i="11"/>
  <c r="AL97" i="11"/>
  <c r="K99" i="6"/>
  <c r="O100" i="6"/>
  <c r="R100" i="6"/>
  <c r="F100" i="6"/>
  <c r="G100" i="6" s="1"/>
  <c r="O98" i="11" l="1"/>
  <c r="Q99" i="11" s="1"/>
  <c r="G98" i="11"/>
  <c r="R98" i="11"/>
  <c r="AL98" i="11" s="1"/>
  <c r="AL100" i="6"/>
  <c r="P101" i="6"/>
  <c r="E101" i="6" s="1"/>
  <c r="D100" i="6"/>
  <c r="S100" i="6"/>
  <c r="H100" i="6" s="1"/>
  <c r="N100" i="6" s="1"/>
  <c r="Q101" i="6"/>
  <c r="P99" i="11" l="1"/>
  <c r="E99" i="11" s="1"/>
  <c r="S98" i="11"/>
  <c r="H98" i="11" s="1"/>
  <c r="N98" i="11" s="1"/>
  <c r="D98" i="11"/>
  <c r="K100" i="6"/>
  <c r="AI100" i="6"/>
  <c r="K98" i="11"/>
  <c r="F101" i="6"/>
  <c r="G101" i="6" s="1"/>
  <c r="R101" i="6"/>
  <c r="O101" i="6"/>
  <c r="F99" i="11"/>
  <c r="AI98" i="11" l="1"/>
  <c r="O99" i="11"/>
  <c r="D99" i="11" s="1"/>
  <c r="G99" i="11"/>
  <c r="R99" i="11"/>
  <c r="AL99" i="11" s="1"/>
  <c r="AL101" i="6"/>
  <c r="P102" i="6"/>
  <c r="E102" i="6" s="1"/>
  <c r="S101" i="6"/>
  <c r="H101" i="6" s="1"/>
  <c r="N101" i="6" s="1"/>
  <c r="Q102" i="6"/>
  <c r="D101" i="6"/>
  <c r="P100" i="11" l="1"/>
  <c r="E100" i="11" s="1"/>
  <c r="Q100" i="11"/>
  <c r="S99" i="11"/>
  <c r="H99" i="11" s="1"/>
  <c r="N99" i="11" s="1"/>
  <c r="K101" i="6"/>
  <c r="AI101" i="6"/>
  <c r="R102" i="6"/>
  <c r="F102" i="6"/>
  <c r="G102" i="6" s="1"/>
  <c r="O102" i="6"/>
  <c r="K99" i="11" l="1"/>
  <c r="O100" i="11"/>
  <c r="D100" i="11" s="1"/>
  <c r="R100" i="11"/>
  <c r="AI99" i="11"/>
  <c r="F100" i="11"/>
  <c r="G100" i="11" s="1"/>
  <c r="AL100" i="11"/>
  <c r="AL102" i="6"/>
  <c r="P103" i="6"/>
  <c r="E103" i="6" s="1"/>
  <c r="Q103" i="6"/>
  <c r="D102" i="6"/>
  <c r="S102" i="6"/>
  <c r="H102" i="6" s="1"/>
  <c r="N102" i="6" s="1"/>
  <c r="S100" i="11" l="1"/>
  <c r="H100" i="11" s="1"/>
  <c r="N100" i="11" s="1"/>
  <c r="Q101" i="11"/>
  <c r="F101" i="11" s="1"/>
  <c r="P101" i="11"/>
  <c r="E101" i="11" s="1"/>
  <c r="K102" i="6"/>
  <c r="K100" i="11"/>
  <c r="AI102" i="6"/>
  <c r="AI100" i="11"/>
  <c r="R103" i="6"/>
  <c r="F103" i="6"/>
  <c r="G103" i="6" s="1"/>
  <c r="O103" i="6"/>
  <c r="R101" i="11" l="1"/>
  <c r="G101" i="11"/>
  <c r="O101" i="11"/>
  <c r="D101" i="11" s="1"/>
  <c r="AL101" i="11"/>
  <c r="AL103" i="6"/>
  <c r="P104" i="6"/>
  <c r="E104" i="6" s="1"/>
  <c r="Q104" i="6"/>
  <c r="D103" i="6"/>
  <c r="S103" i="6"/>
  <c r="H103" i="6" s="1"/>
  <c r="N103" i="6" s="1"/>
  <c r="S101" i="11" l="1"/>
  <c r="H101" i="11" s="1"/>
  <c r="N101" i="11" s="1"/>
  <c r="Q102" i="11"/>
  <c r="F102" i="11" s="1"/>
  <c r="P102" i="11"/>
  <c r="E102" i="11" s="1"/>
  <c r="AI101" i="11"/>
  <c r="AI103" i="6"/>
  <c r="K103" i="6"/>
  <c r="R104" i="6"/>
  <c r="F104" i="6"/>
  <c r="G104" i="6" s="1"/>
  <c r="O104" i="6"/>
  <c r="K101" i="11" l="1"/>
  <c r="G102" i="11"/>
  <c r="O102" i="11"/>
  <c r="S102" i="11" s="1"/>
  <c r="H102" i="11" s="1"/>
  <c r="N102" i="11" s="1"/>
  <c r="R102" i="11"/>
  <c r="AL104" i="6"/>
  <c r="AL102" i="11"/>
  <c r="P105" i="6"/>
  <c r="E105" i="6" s="1"/>
  <c r="D104" i="6"/>
  <c r="S104" i="6"/>
  <c r="H104" i="6" s="1"/>
  <c r="N104" i="6" s="1"/>
  <c r="Q105" i="6"/>
  <c r="D102" i="11" l="1"/>
  <c r="P103" i="11"/>
  <c r="E103" i="11" s="1"/>
  <c r="Q103" i="11"/>
  <c r="F103" i="11" s="1"/>
  <c r="K104" i="6"/>
  <c r="K102" i="11"/>
  <c r="AI104" i="6"/>
  <c r="AI102" i="11"/>
  <c r="F105" i="6"/>
  <c r="G105" i="6" s="1"/>
  <c r="R105" i="6"/>
  <c r="O105" i="6"/>
  <c r="R103" i="11" l="1"/>
  <c r="G103" i="11"/>
  <c r="O103" i="11"/>
  <c r="S103" i="11" s="1"/>
  <c r="H103" i="11" s="1"/>
  <c r="N103" i="11" s="1"/>
  <c r="AL105" i="6"/>
  <c r="AL103" i="11"/>
  <c r="P106" i="6"/>
  <c r="E106" i="6" s="1"/>
  <c r="S105" i="6"/>
  <c r="H105" i="6" s="1"/>
  <c r="N105" i="6" s="1"/>
  <c r="Q106" i="6"/>
  <c r="D105" i="6"/>
  <c r="Q104" i="11" l="1"/>
  <c r="F104" i="11" s="1"/>
  <c r="D103" i="11"/>
  <c r="P104" i="11"/>
  <c r="E104" i="11" s="1"/>
  <c r="AI103" i="11"/>
  <c r="K105" i="6"/>
  <c r="AI105" i="6"/>
  <c r="K103" i="11"/>
  <c r="R106" i="6"/>
  <c r="F106" i="6"/>
  <c r="G106" i="6" s="1"/>
  <c r="O106" i="6"/>
  <c r="O104" i="11" l="1"/>
  <c r="Q105" i="11" s="1"/>
  <c r="G104" i="11"/>
  <c r="R104" i="11"/>
  <c r="AL104" i="11"/>
  <c r="AL106" i="6"/>
  <c r="P107" i="6"/>
  <c r="E107" i="6" s="1"/>
  <c r="Q107" i="6"/>
  <c r="D106" i="6"/>
  <c r="S106" i="6"/>
  <c r="H106" i="6" s="1"/>
  <c r="N106" i="6" s="1"/>
  <c r="S104" i="11" l="1"/>
  <c r="H104" i="11" s="1"/>
  <c r="N104" i="11" s="1"/>
  <c r="P105" i="11"/>
  <c r="E105" i="11" s="1"/>
  <c r="D104" i="11"/>
  <c r="AI106" i="6"/>
  <c r="K106" i="6"/>
  <c r="K104" i="11"/>
  <c r="F105" i="11"/>
  <c r="R107" i="6"/>
  <c r="F107" i="6"/>
  <c r="G107" i="6" s="1"/>
  <c r="O107" i="6"/>
  <c r="AI104" i="11" l="1"/>
  <c r="O105" i="11"/>
  <c r="Q106" i="11" s="1"/>
  <c r="R105" i="11"/>
  <c r="AL105" i="11" s="1"/>
  <c r="G105" i="11"/>
  <c r="AL107" i="6"/>
  <c r="P108" i="6"/>
  <c r="E108" i="6" s="1"/>
  <c r="Q108" i="6"/>
  <c r="D107" i="6"/>
  <c r="S107" i="6"/>
  <c r="H107" i="6" s="1"/>
  <c r="N107" i="6" s="1"/>
  <c r="D105" i="11" l="1"/>
  <c r="P106" i="11"/>
  <c r="E106" i="11" s="1"/>
  <c r="S105" i="11"/>
  <c r="H105" i="11" s="1"/>
  <c r="N105" i="11" s="1"/>
  <c r="AI107" i="6"/>
  <c r="K107" i="6"/>
  <c r="F106" i="11"/>
  <c r="R108" i="6"/>
  <c r="F108" i="6"/>
  <c r="G108" i="6" s="1"/>
  <c r="O108" i="6"/>
  <c r="K105" i="11" l="1"/>
  <c r="AI105" i="11"/>
  <c r="G106" i="11"/>
  <c r="O106" i="11"/>
  <c r="S106" i="11" s="1"/>
  <c r="H106" i="11" s="1"/>
  <c r="N106" i="11" s="1"/>
  <c r="R106" i="11"/>
  <c r="AL108" i="6"/>
  <c r="AL106" i="11"/>
  <c r="P109" i="6"/>
  <c r="E109" i="6" s="1"/>
  <c r="D108" i="6"/>
  <c r="S108" i="6"/>
  <c r="H108" i="6" s="1"/>
  <c r="N108" i="6" s="1"/>
  <c r="Q109" i="6"/>
  <c r="D106" i="11" l="1"/>
  <c r="Q107" i="11"/>
  <c r="F107" i="11" s="1"/>
  <c r="P107" i="11"/>
  <c r="E107" i="11" s="1"/>
  <c r="AI106" i="11"/>
  <c r="AI108" i="6"/>
  <c r="K106" i="11"/>
  <c r="K108" i="6"/>
  <c r="F109" i="6"/>
  <c r="G109" i="6" s="1"/>
  <c r="R109" i="6"/>
  <c r="O109" i="6"/>
  <c r="G107" i="11" l="1"/>
  <c r="O107" i="11"/>
  <c r="D107" i="11" s="1"/>
  <c r="R107" i="11"/>
  <c r="AL107" i="11" s="1"/>
  <c r="AL109" i="6"/>
  <c r="P110" i="6"/>
  <c r="E110" i="6" s="1"/>
  <c r="S109" i="6"/>
  <c r="H109" i="6" s="1"/>
  <c r="N109" i="6" s="1"/>
  <c r="Q110" i="6"/>
  <c r="D109" i="6"/>
  <c r="Q108" i="11" l="1"/>
  <c r="P108" i="11"/>
  <c r="E108" i="11" s="1"/>
  <c r="S107" i="11"/>
  <c r="H107" i="11" s="1"/>
  <c r="N107" i="11" s="1"/>
  <c r="K109" i="6"/>
  <c r="AI109" i="6"/>
  <c r="F108" i="11"/>
  <c r="R110" i="6"/>
  <c r="F110" i="6"/>
  <c r="G110" i="6" s="1"/>
  <c r="O110" i="6"/>
  <c r="AI107" i="11" l="1"/>
  <c r="K107" i="11"/>
  <c r="G108" i="11"/>
  <c r="O108" i="11"/>
  <c r="Q109" i="11" s="1"/>
  <c r="R108" i="11"/>
  <c r="AL110" i="6"/>
  <c r="AL108" i="11"/>
  <c r="P111" i="6"/>
  <c r="E111" i="6" s="1"/>
  <c r="Q111" i="6"/>
  <c r="D110" i="6"/>
  <c r="S110" i="6"/>
  <c r="H110" i="6" s="1"/>
  <c r="N110" i="6" s="1"/>
  <c r="S108" i="11" l="1"/>
  <c r="H108" i="11" s="1"/>
  <c r="N108" i="11" s="1"/>
  <c r="D108" i="11"/>
  <c r="P109" i="11"/>
  <c r="E109" i="11" s="1"/>
  <c r="AI110" i="6"/>
  <c r="AI108" i="11"/>
  <c r="K108" i="11"/>
  <c r="K110" i="6"/>
  <c r="F109" i="11"/>
  <c r="R111" i="6"/>
  <c r="F111" i="6"/>
  <c r="G111" i="6" s="1"/>
  <c r="O111" i="6"/>
  <c r="G109" i="11" l="1"/>
  <c r="R109" i="11"/>
  <c r="O109" i="11"/>
  <c r="D109" i="11" s="1"/>
  <c r="AL111" i="6"/>
  <c r="AL109" i="11"/>
  <c r="S109" i="11"/>
  <c r="H109" i="11" s="1"/>
  <c r="N109" i="11" s="1"/>
  <c r="Q110" i="11"/>
  <c r="P112" i="6"/>
  <c r="E112" i="6" s="1"/>
  <c r="Q112" i="6"/>
  <c r="D111" i="6"/>
  <c r="S111" i="6"/>
  <c r="H111" i="6" s="1"/>
  <c r="N111" i="6" s="1"/>
  <c r="P110" i="11" l="1"/>
  <c r="E110" i="11" s="1"/>
  <c r="AI111" i="6"/>
  <c r="K111" i="6"/>
  <c r="AI109" i="11"/>
  <c r="K109" i="11"/>
  <c r="O112" i="6"/>
  <c r="Q113" i="6" s="1"/>
  <c r="F110" i="11"/>
  <c r="O110" i="11"/>
  <c r="R112" i="6"/>
  <c r="F112" i="6"/>
  <c r="G112" i="6" s="1"/>
  <c r="R110" i="11" l="1"/>
  <c r="G110" i="11"/>
  <c r="S112" i="6"/>
  <c r="H112" i="6" s="1"/>
  <c r="N112" i="6" s="1"/>
  <c r="D112" i="6"/>
  <c r="P113" i="6"/>
  <c r="E113" i="6" s="1"/>
  <c r="AL110" i="11"/>
  <c r="AL112" i="6"/>
  <c r="P111" i="11"/>
  <c r="E111" i="11" s="1"/>
  <c r="Q111" i="11"/>
  <c r="S110" i="11"/>
  <c r="H110" i="11" s="1"/>
  <c r="N110" i="11" s="1"/>
  <c r="D110" i="11"/>
  <c r="F113" i="6"/>
  <c r="K112" i="6" l="1"/>
  <c r="AI112" i="6"/>
  <c r="G113" i="6"/>
  <c r="O113" i="6"/>
  <c r="D113" i="6" s="1"/>
  <c r="R113" i="6"/>
  <c r="AL113" i="6" s="1"/>
  <c r="K110" i="11"/>
  <c r="AI110" i="11"/>
  <c r="F111" i="11"/>
  <c r="G111" i="11" s="1"/>
  <c r="R111" i="11"/>
  <c r="O111" i="11"/>
  <c r="S113" i="6" l="1"/>
  <c r="H113" i="6" s="1"/>
  <c r="N113" i="6" s="1"/>
  <c r="Q114" i="6"/>
  <c r="F114" i="6" s="1"/>
  <c r="P114" i="6"/>
  <c r="E114" i="6" s="1"/>
  <c r="AL111" i="11"/>
  <c r="P112" i="11"/>
  <c r="E112" i="11" s="1"/>
  <c r="Q112" i="11"/>
  <c r="D111" i="11"/>
  <c r="S111" i="11"/>
  <c r="H111" i="11" s="1"/>
  <c r="N111" i="11" s="1"/>
  <c r="AI113" i="6" l="1"/>
  <c r="K113" i="6"/>
  <c r="O114" i="6"/>
  <c r="D114" i="6" s="1"/>
  <c r="R114" i="6"/>
  <c r="AL114" i="6" s="1"/>
  <c r="G114" i="6"/>
  <c r="AI111" i="11"/>
  <c r="K111" i="11"/>
  <c r="O112" i="11"/>
  <c r="P113" i="11" s="1"/>
  <c r="E113" i="11" s="1"/>
  <c r="F112" i="11"/>
  <c r="G112" i="11" s="1"/>
  <c r="R112" i="11"/>
  <c r="Q115" i="6" l="1"/>
  <c r="F115" i="6" s="1"/>
  <c r="P115" i="6"/>
  <c r="E115" i="6" s="1"/>
  <c r="S114" i="6"/>
  <c r="H114" i="6" s="1"/>
  <c r="N114" i="6" s="1"/>
  <c r="S112" i="11"/>
  <c r="H112" i="11" s="1"/>
  <c r="N112" i="11" s="1"/>
  <c r="D112" i="11"/>
  <c r="Q113" i="11"/>
  <c r="R113" i="11" s="1"/>
  <c r="AL112" i="11"/>
  <c r="O113" i="11"/>
  <c r="R115" i="6" l="1"/>
  <c r="O115" i="6"/>
  <c r="D115" i="6" s="1"/>
  <c r="AI112" i="11"/>
  <c r="K112" i="11"/>
  <c r="K114" i="6"/>
  <c r="AI114" i="6"/>
  <c r="G115" i="6"/>
  <c r="F113" i="11"/>
  <c r="G113" i="11" s="1"/>
  <c r="AL115" i="6"/>
  <c r="AL113" i="11"/>
  <c r="P114" i="11"/>
  <c r="E114" i="11" s="1"/>
  <c r="D113" i="11"/>
  <c r="Q114" i="11"/>
  <c r="S113" i="11"/>
  <c r="H113" i="11" s="1"/>
  <c r="N113" i="11" s="1"/>
  <c r="P116" i="6" l="1"/>
  <c r="E116" i="6" s="1"/>
  <c r="S115" i="6"/>
  <c r="H115" i="6" s="1"/>
  <c r="N115" i="6" s="1"/>
  <c r="Q116" i="6"/>
  <c r="AI113" i="11"/>
  <c r="K113" i="11"/>
  <c r="F114" i="11"/>
  <c r="G114" i="11" s="1"/>
  <c r="R114" i="11"/>
  <c r="O114" i="11"/>
  <c r="O116" i="6" l="1"/>
  <c r="R116" i="6"/>
  <c r="K115" i="6"/>
  <c r="AI115" i="6"/>
  <c r="F116" i="6"/>
  <c r="G116" i="6" s="1"/>
  <c r="AL114" i="11"/>
  <c r="AL116" i="6"/>
  <c r="P115" i="11"/>
  <c r="E115" i="11" s="1"/>
  <c r="Q115" i="11"/>
  <c r="S114" i="11"/>
  <c r="H114" i="11" s="1"/>
  <c r="N114" i="11" s="1"/>
  <c r="D114" i="11"/>
  <c r="P117" i="6"/>
  <c r="E117" i="6" s="1"/>
  <c r="D116" i="6"/>
  <c r="S116" i="6"/>
  <c r="H116" i="6" s="1"/>
  <c r="N116" i="6" s="1"/>
  <c r="Q117" i="6"/>
  <c r="K114" i="11" l="1"/>
  <c r="K116" i="6"/>
  <c r="AI116" i="6"/>
  <c r="AI114" i="11"/>
  <c r="O117" i="6"/>
  <c r="F115" i="11"/>
  <c r="G115" i="11" s="1"/>
  <c r="R115" i="11"/>
  <c r="F117" i="6"/>
  <c r="G117" i="6" s="1"/>
  <c r="R117" i="6"/>
  <c r="O115" i="11"/>
  <c r="AL117" i="6" l="1"/>
  <c r="AL115" i="11"/>
  <c r="P116" i="11"/>
  <c r="E116" i="11" s="1"/>
  <c r="Q116" i="11"/>
  <c r="S115" i="11"/>
  <c r="H115" i="11" s="1"/>
  <c r="N115" i="11" s="1"/>
  <c r="D115" i="11"/>
  <c r="P118" i="6"/>
  <c r="E118" i="6" s="1"/>
  <c r="S117" i="6"/>
  <c r="H117" i="6" s="1"/>
  <c r="N117" i="6" s="1"/>
  <c r="Q118" i="6"/>
  <c r="D117" i="6"/>
  <c r="AI115" i="11" l="1"/>
  <c r="AI117" i="6"/>
  <c r="K115" i="11"/>
  <c r="K117" i="6"/>
  <c r="O118" i="6"/>
  <c r="D118" i="6" s="1"/>
  <c r="F116" i="11"/>
  <c r="G116" i="11" s="1"/>
  <c r="R116" i="11"/>
  <c r="O116" i="11"/>
  <c r="R118" i="6"/>
  <c r="F118" i="6"/>
  <c r="G118" i="6" s="1"/>
  <c r="Q119" i="6" l="1"/>
  <c r="F119" i="6" s="1"/>
  <c r="P119" i="6"/>
  <c r="E119" i="6" s="1"/>
  <c r="AL116" i="11"/>
  <c r="AL118" i="6"/>
  <c r="S118" i="6"/>
  <c r="H118" i="6" s="1"/>
  <c r="N118" i="6" s="1"/>
  <c r="P117" i="11"/>
  <c r="E117" i="11" s="1"/>
  <c r="D116" i="11"/>
  <c r="Q117" i="11"/>
  <c r="S116" i="11"/>
  <c r="H116" i="11" s="1"/>
  <c r="N116" i="11" s="1"/>
  <c r="O119" i="6" l="1"/>
  <c r="Q120" i="6" s="1"/>
  <c r="G119" i="6"/>
  <c r="R119" i="6"/>
  <c r="AL119" i="6" s="1"/>
  <c r="AI118" i="6"/>
  <c r="AI116" i="11"/>
  <c r="K116" i="11"/>
  <c r="K118" i="6"/>
  <c r="F117" i="11"/>
  <c r="G117" i="11" s="1"/>
  <c r="R117" i="11"/>
  <c r="O117" i="11"/>
  <c r="P120" i="6" l="1"/>
  <c r="E120" i="6" s="1"/>
  <c r="S119" i="6"/>
  <c r="H119" i="6" s="1"/>
  <c r="N119" i="6" s="1"/>
  <c r="D119" i="6"/>
  <c r="AI119" i="6"/>
  <c r="AL117" i="11"/>
  <c r="P118" i="11"/>
  <c r="E118" i="11" s="1"/>
  <c r="D117" i="11"/>
  <c r="Q118" i="11"/>
  <c r="S117" i="11"/>
  <c r="H117" i="11" s="1"/>
  <c r="N117" i="11" s="1"/>
  <c r="F120" i="6"/>
  <c r="K119" i="6" l="1"/>
  <c r="G120" i="6"/>
  <c r="R120" i="6"/>
  <c r="AL120" i="6" s="1"/>
  <c r="O120" i="6"/>
  <c r="P121" i="6" s="1"/>
  <c r="E121" i="6" s="1"/>
  <c r="AI117" i="11"/>
  <c r="K117" i="11"/>
  <c r="F118" i="11"/>
  <c r="G118" i="11" s="1"/>
  <c r="R118" i="11"/>
  <c r="O118" i="11"/>
  <c r="Q121" i="6" l="1"/>
  <c r="F121" i="6" s="1"/>
  <c r="G121" i="6" s="1"/>
  <c r="S120" i="6"/>
  <c r="H120" i="6" s="1"/>
  <c r="N120" i="6" s="1"/>
  <c r="D120" i="6"/>
  <c r="AL118" i="11"/>
  <c r="O121" i="6"/>
  <c r="P119" i="11"/>
  <c r="E119" i="11" s="1"/>
  <c r="Q119" i="11"/>
  <c r="S118" i="11"/>
  <c r="H118" i="11" s="1"/>
  <c r="N118" i="11" s="1"/>
  <c r="D118" i="11"/>
  <c r="R121" i="6" l="1"/>
  <c r="AI120" i="6"/>
  <c r="K120" i="6"/>
  <c r="K118" i="11"/>
  <c r="AL121" i="6"/>
  <c r="AI118" i="11"/>
  <c r="F119" i="11"/>
  <c r="G119" i="11" s="1"/>
  <c r="R119" i="11"/>
  <c r="O119" i="11"/>
  <c r="P122" i="6"/>
  <c r="E122" i="6" s="1"/>
  <c r="S121" i="6"/>
  <c r="H121" i="6" s="1"/>
  <c r="N121" i="6" s="1"/>
  <c r="Q122" i="6"/>
  <c r="D121" i="6"/>
  <c r="K121" i="6" l="1"/>
  <c r="AL119" i="11"/>
  <c r="AI121" i="6"/>
  <c r="R122" i="6"/>
  <c r="F122" i="6"/>
  <c r="G122" i="6" s="1"/>
  <c r="P120" i="11"/>
  <c r="E120" i="11" s="1"/>
  <c r="Q120" i="11"/>
  <c r="D119" i="11"/>
  <c r="S119" i="11"/>
  <c r="H119" i="11" s="1"/>
  <c r="N119" i="11" s="1"/>
  <c r="O122" i="6"/>
  <c r="AL122" i="6" l="1"/>
  <c r="AI119" i="11"/>
  <c r="K119" i="11"/>
  <c r="P123" i="6"/>
  <c r="E123" i="6" s="1"/>
  <c r="Q123" i="6"/>
  <c r="D122" i="6"/>
  <c r="S122" i="6"/>
  <c r="H122" i="6" s="1"/>
  <c r="N122" i="6" s="1"/>
  <c r="O120" i="11"/>
  <c r="F120" i="11"/>
  <c r="G120" i="11" s="1"/>
  <c r="R120" i="11"/>
  <c r="AI122" i="6" l="1"/>
  <c r="AL120" i="11"/>
  <c r="K122" i="6"/>
  <c r="R123" i="6"/>
  <c r="F123" i="6"/>
  <c r="G123" i="6" s="1"/>
  <c r="P121" i="11"/>
  <c r="E121" i="11" s="1"/>
  <c r="Q121" i="11"/>
  <c r="D120" i="11"/>
  <c r="S120" i="11"/>
  <c r="H120" i="11" s="1"/>
  <c r="N120" i="11" s="1"/>
  <c r="O123" i="6"/>
  <c r="K120" i="11" l="1"/>
  <c r="AL123" i="6"/>
  <c r="AI120" i="11"/>
  <c r="O121" i="11"/>
  <c r="P124" i="6"/>
  <c r="E124" i="6" s="1"/>
  <c r="Q124" i="6"/>
  <c r="D123" i="6"/>
  <c r="S123" i="6"/>
  <c r="H123" i="6" s="1"/>
  <c r="N123" i="6" s="1"/>
  <c r="F121" i="11"/>
  <c r="G121" i="11" s="1"/>
  <c r="R121" i="11"/>
  <c r="AI123" i="6" l="1"/>
  <c r="AL121" i="11"/>
  <c r="K123" i="6"/>
  <c r="O124" i="6"/>
  <c r="R124" i="6"/>
  <c r="F124" i="6"/>
  <c r="G124" i="6" s="1"/>
  <c r="P122" i="11"/>
  <c r="E122" i="11" s="1"/>
  <c r="D121" i="11"/>
  <c r="Q122" i="11"/>
  <c r="S121" i="11"/>
  <c r="H121" i="11" s="1"/>
  <c r="N121" i="11" s="1"/>
  <c r="K121" i="11" l="1"/>
  <c r="AL124" i="6"/>
  <c r="AI121" i="11"/>
  <c r="F122" i="11"/>
  <c r="G122" i="11" s="1"/>
  <c r="R122" i="11"/>
  <c r="O122" i="11"/>
  <c r="P125" i="6"/>
  <c r="E125" i="6" s="1"/>
  <c r="S124" i="6"/>
  <c r="H124" i="6" s="1"/>
  <c r="N124" i="6" s="1"/>
  <c r="Q125" i="6"/>
  <c r="D124" i="6"/>
  <c r="AI124" i="6" l="1"/>
  <c r="AL122" i="11"/>
  <c r="K124" i="6"/>
  <c r="F125" i="6"/>
  <c r="G125" i="6" s="1"/>
  <c r="R125" i="6"/>
  <c r="P123" i="11"/>
  <c r="E123" i="11" s="1"/>
  <c r="Q123" i="11"/>
  <c r="D122" i="11"/>
  <c r="S122" i="11"/>
  <c r="H122" i="11" s="1"/>
  <c r="N122" i="11" s="1"/>
  <c r="O125" i="6"/>
  <c r="K122" i="11" l="1"/>
  <c r="AL125" i="6"/>
  <c r="AI122" i="11"/>
  <c r="O123" i="11"/>
  <c r="P126" i="6"/>
  <c r="E126" i="6" s="1"/>
  <c r="Q126" i="6"/>
  <c r="D125" i="6"/>
  <c r="S125" i="6"/>
  <c r="H125" i="6" s="1"/>
  <c r="N125" i="6" s="1"/>
  <c r="F123" i="11"/>
  <c r="G123" i="11" s="1"/>
  <c r="R123" i="11"/>
  <c r="AI125" i="6" l="1"/>
  <c r="AL123" i="11"/>
  <c r="K125" i="6"/>
  <c r="R126" i="6"/>
  <c r="F126" i="6"/>
  <c r="G126" i="6" s="1"/>
  <c r="O126" i="6"/>
  <c r="P124" i="11"/>
  <c r="E124" i="11" s="1"/>
  <c r="Q124" i="11"/>
  <c r="S123" i="11"/>
  <c r="H123" i="11" s="1"/>
  <c r="N123" i="11" s="1"/>
  <c r="D123" i="11"/>
  <c r="K123" i="11" l="1"/>
  <c r="AL126" i="6"/>
  <c r="AI123" i="11"/>
  <c r="O124" i="11"/>
  <c r="P125" i="11" s="1"/>
  <c r="E125" i="11" s="1"/>
  <c r="P127" i="6"/>
  <c r="E127" i="6" s="1"/>
  <c r="Q127" i="6"/>
  <c r="D126" i="6"/>
  <c r="S126" i="6"/>
  <c r="H126" i="6" s="1"/>
  <c r="N126" i="6" s="1"/>
  <c r="F124" i="11"/>
  <c r="G124" i="11" s="1"/>
  <c r="R124" i="11"/>
  <c r="S124" i="11" l="1"/>
  <c r="H124" i="11" s="1"/>
  <c r="N124" i="11" s="1"/>
  <c r="D124" i="11"/>
  <c r="Q125" i="11"/>
  <c r="R125" i="11" s="1"/>
  <c r="AI126" i="6"/>
  <c r="K126" i="6"/>
  <c r="AL124" i="11"/>
  <c r="O125" i="11"/>
  <c r="R127" i="6"/>
  <c r="F127" i="6"/>
  <c r="G127" i="6" s="1"/>
  <c r="O127" i="6"/>
  <c r="AI124" i="11" l="1"/>
  <c r="K124" i="11"/>
  <c r="F125" i="11"/>
  <c r="G125" i="11" s="1"/>
  <c r="AL127" i="6"/>
  <c r="AL125" i="11"/>
  <c r="P128" i="6"/>
  <c r="E128" i="6" s="1"/>
  <c r="Q128" i="6"/>
  <c r="D127" i="6"/>
  <c r="S127" i="6"/>
  <c r="H127" i="6" s="1"/>
  <c r="N127" i="6" s="1"/>
  <c r="P126" i="11"/>
  <c r="E126" i="11" s="1"/>
  <c r="D125" i="11"/>
  <c r="Q126" i="11"/>
  <c r="S125" i="11"/>
  <c r="H125" i="11" s="1"/>
  <c r="N125" i="11" s="1"/>
  <c r="AI127" i="6" l="1"/>
  <c r="K127" i="6"/>
  <c r="AI125" i="11"/>
  <c r="K125" i="11"/>
  <c r="R128" i="6"/>
  <c r="F128" i="6"/>
  <c r="G128" i="6" s="1"/>
  <c r="O126" i="11"/>
  <c r="O128" i="6"/>
  <c r="F126" i="11"/>
  <c r="G126" i="11" s="1"/>
  <c r="R126" i="11"/>
  <c r="AL128" i="6" l="1"/>
  <c r="AL126" i="11"/>
  <c r="P129" i="6"/>
  <c r="E129" i="6" s="1"/>
  <c r="S128" i="6"/>
  <c r="H128" i="6" s="1"/>
  <c r="N128" i="6" s="1"/>
  <c r="Q129" i="6"/>
  <c r="D128" i="6"/>
  <c r="P127" i="11"/>
  <c r="E127" i="11" s="1"/>
  <c r="Q127" i="11"/>
  <c r="D126" i="11"/>
  <c r="S126" i="11"/>
  <c r="H126" i="11" s="1"/>
  <c r="N126" i="11" s="1"/>
  <c r="AI126" i="11" l="1"/>
  <c r="K126" i="11"/>
  <c r="K128" i="6"/>
  <c r="AI128" i="6"/>
  <c r="F127" i="11"/>
  <c r="G127" i="11" s="1"/>
  <c r="R127" i="11"/>
  <c r="F129" i="6"/>
  <c r="G129" i="6" s="1"/>
  <c r="R129" i="6"/>
  <c r="O127" i="11"/>
  <c r="O129" i="6"/>
  <c r="AL129" i="6" l="1"/>
  <c r="AL127" i="11"/>
  <c r="P130" i="6"/>
  <c r="E130" i="6" s="1"/>
  <c r="S129" i="6"/>
  <c r="H129" i="6" s="1"/>
  <c r="N129" i="6" s="1"/>
  <c r="Q130" i="6"/>
  <c r="D129" i="6"/>
  <c r="P128" i="11"/>
  <c r="E128" i="11" s="1"/>
  <c r="Q128" i="11"/>
  <c r="S127" i="11"/>
  <c r="H127" i="11" s="1"/>
  <c r="N127" i="11" s="1"/>
  <c r="D127" i="11"/>
  <c r="AI127" i="11" l="1"/>
  <c r="K127" i="11"/>
  <c r="AI129" i="6"/>
  <c r="K129" i="6"/>
  <c r="F128" i="11"/>
  <c r="G128" i="11" s="1"/>
  <c r="R128" i="11"/>
  <c r="R130" i="6"/>
  <c r="F130" i="6"/>
  <c r="G130" i="6" s="1"/>
  <c r="O128" i="11"/>
  <c r="O130" i="6"/>
  <c r="AL130" i="6" l="1"/>
  <c r="AL128" i="11"/>
  <c r="P131" i="6"/>
  <c r="E131" i="6" s="1"/>
  <c r="Q131" i="6"/>
  <c r="D130" i="6"/>
  <c r="S130" i="6"/>
  <c r="H130" i="6" s="1"/>
  <c r="N130" i="6" s="1"/>
  <c r="P129" i="11"/>
  <c r="E129" i="11" s="1"/>
  <c r="Q129" i="11"/>
  <c r="D128" i="11"/>
  <c r="S128" i="11"/>
  <c r="H128" i="11" s="1"/>
  <c r="N128" i="11" s="1"/>
  <c r="AI128" i="11" l="1"/>
  <c r="K130" i="6"/>
  <c r="K128" i="11"/>
  <c r="AI130" i="6"/>
  <c r="F129" i="11"/>
  <c r="G129" i="11" s="1"/>
  <c r="R129" i="11"/>
  <c r="R131" i="6"/>
  <c r="F131" i="6"/>
  <c r="G131" i="6" s="1"/>
  <c r="O129" i="11"/>
  <c r="O131" i="6"/>
  <c r="AL131" i="6" l="1"/>
  <c r="AL129" i="11"/>
  <c r="P132" i="6"/>
  <c r="E132" i="6" s="1"/>
  <c r="Q132" i="6"/>
  <c r="D131" i="6"/>
  <c r="S131" i="6"/>
  <c r="H131" i="6" s="1"/>
  <c r="N131" i="6" s="1"/>
  <c r="P130" i="11"/>
  <c r="E130" i="11" s="1"/>
  <c r="D129" i="11"/>
  <c r="Q130" i="11"/>
  <c r="S129" i="11"/>
  <c r="H129" i="11" s="1"/>
  <c r="N129" i="11" s="1"/>
  <c r="AI129" i="11" l="1"/>
  <c r="AI131" i="6"/>
  <c r="K131" i="6"/>
  <c r="K129" i="11"/>
  <c r="R132" i="6"/>
  <c r="F132" i="6"/>
  <c r="G132" i="6" s="1"/>
  <c r="O130" i="11"/>
  <c r="O132" i="6"/>
  <c r="F130" i="11"/>
  <c r="G130" i="11" s="1"/>
  <c r="R130" i="11"/>
  <c r="AL132" i="6" l="1"/>
  <c r="AL130" i="11"/>
  <c r="P133" i="6"/>
  <c r="E133" i="6" s="1"/>
  <c r="D132" i="6"/>
  <c r="S132" i="6"/>
  <c r="H132" i="6" s="1"/>
  <c r="N132" i="6" s="1"/>
  <c r="Q133" i="6"/>
  <c r="P131" i="11"/>
  <c r="E131" i="11" s="1"/>
  <c r="Q131" i="11"/>
  <c r="S130" i="11"/>
  <c r="H130" i="11" s="1"/>
  <c r="N130" i="11" s="1"/>
  <c r="D130" i="11"/>
  <c r="AI132" i="6" l="1"/>
  <c r="K130" i="11"/>
  <c r="AI130" i="11"/>
  <c r="K132" i="6"/>
  <c r="F131" i="11"/>
  <c r="G131" i="11" s="1"/>
  <c r="R131" i="11"/>
  <c r="O131" i="11"/>
  <c r="O133" i="6"/>
  <c r="F133" i="6"/>
  <c r="G133" i="6" s="1"/>
  <c r="R133" i="6"/>
  <c r="AL133" i="6" l="1"/>
  <c r="AL131" i="11"/>
  <c r="P134" i="6"/>
  <c r="E134" i="6" s="1"/>
  <c r="S133" i="6"/>
  <c r="H133" i="6" s="1"/>
  <c r="N133" i="6" s="1"/>
  <c r="Q134" i="6"/>
  <c r="D133" i="6"/>
  <c r="P132" i="11"/>
  <c r="E132" i="11" s="1"/>
  <c r="Q132" i="11"/>
  <c r="S131" i="11"/>
  <c r="H131" i="11" s="1"/>
  <c r="N131" i="11" s="1"/>
  <c r="D131" i="11"/>
  <c r="K133" i="6" l="1"/>
  <c r="AI133" i="6"/>
  <c r="AI131" i="11"/>
  <c r="K131" i="11"/>
  <c r="F132" i="11"/>
  <c r="G132" i="11" s="1"/>
  <c r="R132" i="11"/>
  <c r="R134" i="6"/>
  <c r="F134" i="6"/>
  <c r="G134" i="6" s="1"/>
  <c r="O132" i="11"/>
  <c r="O134" i="6"/>
  <c r="AL134" i="6" l="1"/>
  <c r="AL132" i="11"/>
  <c r="P135" i="6"/>
  <c r="E135" i="6" s="1"/>
  <c r="Q135" i="6"/>
  <c r="D134" i="6"/>
  <c r="S134" i="6"/>
  <c r="H134" i="6" s="1"/>
  <c r="N134" i="6" s="1"/>
  <c r="P133" i="11"/>
  <c r="E133" i="11" s="1"/>
  <c r="D132" i="11"/>
  <c r="Q133" i="11"/>
  <c r="S132" i="11"/>
  <c r="H132" i="11" s="1"/>
  <c r="N132" i="11" s="1"/>
  <c r="AI132" i="11" l="1"/>
  <c r="AI134" i="6"/>
  <c r="K132" i="11"/>
  <c r="K134" i="6"/>
  <c r="R135" i="6"/>
  <c r="F135" i="6"/>
  <c r="G135" i="6" s="1"/>
  <c r="O133" i="11"/>
  <c r="O135" i="6"/>
  <c r="F133" i="11"/>
  <c r="G133" i="11" s="1"/>
  <c r="R133" i="11"/>
  <c r="AL135" i="6" l="1"/>
  <c r="AL133" i="11"/>
  <c r="P136" i="6"/>
  <c r="E136" i="6" s="1"/>
  <c r="Q136" i="6"/>
  <c r="D135" i="6"/>
  <c r="S135" i="6"/>
  <c r="H135" i="6" s="1"/>
  <c r="N135" i="6" s="1"/>
  <c r="P134" i="11"/>
  <c r="E134" i="11" s="1"/>
  <c r="D133" i="11"/>
  <c r="Q134" i="11"/>
  <c r="S133" i="11"/>
  <c r="H133" i="11" s="1"/>
  <c r="N133" i="11" s="1"/>
  <c r="AI133" i="11" l="1"/>
  <c r="AI135" i="6"/>
  <c r="K135" i="6"/>
  <c r="K133" i="11"/>
  <c r="R136" i="6"/>
  <c r="F136" i="6"/>
  <c r="G136" i="6" s="1"/>
  <c r="O134" i="11"/>
  <c r="O136" i="6"/>
  <c r="F134" i="11"/>
  <c r="G134" i="11" s="1"/>
  <c r="R134" i="11"/>
  <c r="AL134" i="11" l="1"/>
  <c r="AL136" i="6"/>
  <c r="P135" i="11"/>
  <c r="E135" i="11" s="1"/>
  <c r="Q135" i="11"/>
  <c r="D134" i="11"/>
  <c r="S134" i="11"/>
  <c r="H134" i="11" s="1"/>
  <c r="N134" i="11" s="1"/>
  <c r="P137" i="6"/>
  <c r="E137" i="6" s="1"/>
  <c r="D136" i="6"/>
  <c r="S136" i="6"/>
  <c r="H136" i="6" s="1"/>
  <c r="N136" i="6" s="1"/>
  <c r="Q137" i="6"/>
  <c r="K134" i="11" l="1"/>
  <c r="AI136" i="6"/>
  <c r="AI134" i="11"/>
  <c r="K136" i="6"/>
  <c r="O137" i="6"/>
  <c r="Q138" i="6" s="1"/>
  <c r="F135" i="11"/>
  <c r="G135" i="11" s="1"/>
  <c r="R135" i="11"/>
  <c r="F137" i="6"/>
  <c r="G137" i="6" s="1"/>
  <c r="R137" i="6"/>
  <c r="O135" i="11"/>
  <c r="S137" i="6" l="1"/>
  <c r="H137" i="6" s="1"/>
  <c r="N137" i="6" s="1"/>
  <c r="AL137" i="6"/>
  <c r="AI137" i="6"/>
  <c r="P138" i="6"/>
  <c r="E138" i="6" s="1"/>
  <c r="D137" i="6"/>
  <c r="AL135" i="11"/>
  <c r="F138" i="6"/>
  <c r="P136" i="11"/>
  <c r="E136" i="11" s="1"/>
  <c r="Q136" i="11"/>
  <c r="S135" i="11"/>
  <c r="H135" i="11" s="1"/>
  <c r="N135" i="11" s="1"/>
  <c r="D135" i="11"/>
  <c r="K137" i="6" l="1"/>
  <c r="K135" i="11"/>
  <c r="R138" i="6"/>
  <c r="AI135" i="11"/>
  <c r="G138" i="6"/>
  <c r="O138" i="6"/>
  <c r="D138" i="6" s="1"/>
  <c r="O136" i="11"/>
  <c r="D136" i="11" s="1"/>
  <c r="F136" i="11"/>
  <c r="G136" i="11" s="1"/>
  <c r="R136" i="11"/>
  <c r="P139" i="6" l="1"/>
  <c r="E139" i="6" s="1"/>
  <c r="Q139" i="6"/>
  <c r="F139" i="6" s="1"/>
  <c r="S136" i="11"/>
  <c r="H136" i="11" s="1"/>
  <c r="N136" i="11" s="1"/>
  <c r="Q137" i="11"/>
  <c r="F137" i="11" s="1"/>
  <c r="P137" i="11"/>
  <c r="E137" i="11" s="1"/>
  <c r="AL136" i="11"/>
  <c r="S138" i="6"/>
  <c r="H138" i="6" s="1"/>
  <c r="N138" i="6" s="1"/>
  <c r="AL138" i="6"/>
  <c r="R139" i="6" l="1"/>
  <c r="O139" i="6"/>
  <c r="S139" i="6" s="1"/>
  <c r="H139" i="6" s="1"/>
  <c r="N139" i="6" s="1"/>
  <c r="G139" i="6"/>
  <c r="AI136" i="11"/>
  <c r="K136" i="11"/>
  <c r="R137" i="11"/>
  <c r="AL137" i="11" s="1"/>
  <c r="O137" i="11"/>
  <c r="D137" i="11" s="1"/>
  <c r="G137" i="11"/>
  <c r="AI138" i="6"/>
  <c r="K138" i="6"/>
  <c r="AL139" i="6"/>
  <c r="P140" i="6" l="1"/>
  <c r="E140" i="6" s="1"/>
  <c r="D139" i="6"/>
  <c r="Q140" i="6"/>
  <c r="S137" i="11"/>
  <c r="H137" i="11" s="1"/>
  <c r="N137" i="11" s="1"/>
  <c r="Q138" i="11"/>
  <c r="F138" i="11" s="1"/>
  <c r="P138" i="11"/>
  <c r="E138" i="11" s="1"/>
  <c r="K139" i="6"/>
  <c r="AI139" i="6"/>
  <c r="AI137" i="11" l="1"/>
  <c r="K137" i="11"/>
  <c r="O140" i="6"/>
  <c r="S140" i="6" s="1"/>
  <c r="H140" i="6" s="1"/>
  <c r="N140" i="6" s="1"/>
  <c r="R140" i="6"/>
  <c r="AL140" i="6" s="1"/>
  <c r="F140" i="6"/>
  <c r="G140" i="6" s="1"/>
  <c r="G138" i="11"/>
  <c r="R138" i="11"/>
  <c r="AL138" i="11" s="1"/>
  <c r="O138" i="11"/>
  <c r="D138" i="11" s="1"/>
  <c r="K140" i="6" l="1"/>
  <c r="D140" i="6"/>
  <c r="Q141" i="6"/>
  <c r="F141" i="6" s="1"/>
  <c r="P141" i="6"/>
  <c r="E141" i="6" s="1"/>
  <c r="AI140" i="6"/>
  <c r="S138" i="11"/>
  <c r="H138" i="11" s="1"/>
  <c r="N138" i="11" s="1"/>
  <c r="Q139" i="11"/>
  <c r="F139" i="11" s="1"/>
  <c r="P139" i="11"/>
  <c r="E139" i="11" s="1"/>
  <c r="AI138" i="11" l="1"/>
  <c r="G141" i="6"/>
  <c r="O141" i="6"/>
  <c r="P142" i="6" s="1"/>
  <c r="E142" i="6" s="1"/>
  <c r="R141" i="6"/>
  <c r="AL141" i="6" s="1"/>
  <c r="K138" i="11"/>
  <c r="R139" i="11"/>
  <c r="AL139" i="11" s="1"/>
  <c r="G139" i="11"/>
  <c r="O139" i="11"/>
  <c r="Q140" i="11" s="1"/>
  <c r="F140" i="11" s="1"/>
  <c r="Q142" i="6" l="1"/>
  <c r="R142" i="6" s="1"/>
  <c r="D141" i="6"/>
  <c r="S141" i="6"/>
  <c r="H141" i="6" s="1"/>
  <c r="N141" i="6" s="1"/>
  <c r="S139" i="11"/>
  <c r="H139" i="11" s="1"/>
  <c r="N139" i="11" s="1"/>
  <c r="P140" i="11"/>
  <c r="E140" i="11" s="1"/>
  <c r="G140" i="11" s="1"/>
  <c r="D139" i="11"/>
  <c r="O142" i="6"/>
  <c r="S142" i="6" s="1"/>
  <c r="H142" i="6" s="1"/>
  <c r="N142" i="6" s="1"/>
  <c r="AI139" i="11" l="1"/>
  <c r="K139" i="11"/>
  <c r="F142" i="6"/>
  <c r="G142" i="6" s="1"/>
  <c r="K142" i="6" s="1"/>
  <c r="K141" i="6"/>
  <c r="AI141" i="6"/>
  <c r="R140" i="11"/>
  <c r="AL140" i="11" s="1"/>
  <c r="O140" i="11"/>
  <c r="Q141" i="11" s="1"/>
  <c r="Q143" i="6"/>
  <c r="F143" i="6" s="1"/>
  <c r="D142" i="6"/>
  <c r="P143" i="6"/>
  <c r="E143" i="6" s="1"/>
  <c r="AL142" i="6"/>
  <c r="AI142" i="6"/>
  <c r="F141" i="11" l="1"/>
  <c r="S140" i="11"/>
  <c r="D140" i="11"/>
  <c r="P141" i="11"/>
  <c r="R141" i="11" s="1"/>
  <c r="AL141" i="11" s="1"/>
  <c r="O143" i="6"/>
  <c r="D143" i="6" s="1"/>
  <c r="R143" i="6"/>
  <c r="AL143" i="6" s="1"/>
  <c r="G143" i="6"/>
  <c r="Q144" i="6" l="1"/>
  <c r="F144" i="6" s="1"/>
  <c r="H140" i="11"/>
  <c r="AI140" i="11"/>
  <c r="P144" i="6"/>
  <c r="E144" i="6" s="1"/>
  <c r="S143" i="6"/>
  <c r="H143" i="6" s="1"/>
  <c r="N143" i="6" s="1"/>
  <c r="E141" i="11"/>
  <c r="G141" i="11" s="1"/>
  <c r="O141" i="11"/>
  <c r="R144" i="6" l="1"/>
  <c r="AI143" i="6"/>
  <c r="K143" i="6"/>
  <c r="O144" i="6"/>
  <c r="P145" i="6" s="1"/>
  <c r="E145" i="6" s="1"/>
  <c r="N140" i="11"/>
  <c r="K140" i="11"/>
  <c r="G144" i="6"/>
  <c r="P142" i="11"/>
  <c r="D141" i="11"/>
  <c r="Q142" i="11"/>
  <c r="S141" i="11"/>
  <c r="AL144" i="6"/>
  <c r="Q145" i="6" l="1"/>
  <c r="R145" i="6" s="1"/>
  <c r="D144" i="6"/>
  <c r="S144" i="6"/>
  <c r="H144" i="6" s="1"/>
  <c r="N144" i="6" s="1"/>
  <c r="H141" i="11"/>
  <c r="AI141" i="11"/>
  <c r="R142" i="11"/>
  <c r="AL142" i="11" s="1"/>
  <c r="F142" i="11"/>
  <c r="E142" i="11"/>
  <c r="O142" i="11"/>
  <c r="O145" i="6"/>
  <c r="Q146" i="6" s="1"/>
  <c r="F145" i="6" l="1"/>
  <c r="G145" i="6" s="1"/>
  <c r="K144" i="6"/>
  <c r="AI144" i="6"/>
  <c r="N141" i="11"/>
  <c r="K141" i="11"/>
  <c r="G142" i="11"/>
  <c r="P143" i="11"/>
  <c r="E143" i="11" s="1"/>
  <c r="Q143" i="11"/>
  <c r="D142" i="11"/>
  <c r="S142" i="11"/>
  <c r="P146" i="6"/>
  <c r="E146" i="6" s="1"/>
  <c r="S145" i="6"/>
  <c r="H145" i="6" s="1"/>
  <c r="N145" i="6" s="1"/>
  <c r="D145" i="6"/>
  <c r="AL145" i="6"/>
  <c r="F146" i="6"/>
  <c r="H142" i="11" l="1"/>
  <c r="N142" i="11" s="1"/>
  <c r="AI142" i="11"/>
  <c r="O143" i="11"/>
  <c r="P144" i="11" s="1"/>
  <c r="E144" i="11" s="1"/>
  <c r="R143" i="11"/>
  <c r="F143" i="11"/>
  <c r="G143" i="11" s="1"/>
  <c r="O146" i="6"/>
  <c r="D146" i="6" s="1"/>
  <c r="R146" i="6"/>
  <c r="AL146" i="6" s="1"/>
  <c r="AI145" i="6"/>
  <c r="K145" i="6"/>
  <c r="G146" i="6"/>
  <c r="K142" i="11" l="1"/>
  <c r="AL143" i="11"/>
  <c r="Q144" i="11"/>
  <c r="F144" i="11" s="1"/>
  <c r="G144" i="11" s="1"/>
  <c r="D143" i="11"/>
  <c r="S143" i="11"/>
  <c r="H143" i="11" s="1"/>
  <c r="N143" i="11" s="1"/>
  <c r="S146" i="6"/>
  <c r="H146" i="6" s="1"/>
  <c r="N146" i="6" s="1"/>
  <c r="Q147" i="6"/>
  <c r="F147" i="6" s="1"/>
  <c r="P147" i="6"/>
  <c r="E147" i="6" s="1"/>
  <c r="O144" i="11"/>
  <c r="K146" i="6" l="1"/>
  <c r="R144" i="11"/>
  <c r="AL144" i="11" s="1"/>
  <c r="AI143" i="11"/>
  <c r="AI146" i="6"/>
  <c r="K143" i="11"/>
  <c r="G147" i="6"/>
  <c r="O147" i="6"/>
  <c r="Q148" i="6" s="1"/>
  <c r="S144" i="11"/>
  <c r="P145" i="11"/>
  <c r="D144" i="11"/>
  <c r="Q145" i="11"/>
  <c r="R147" i="6"/>
  <c r="AL147" i="6" s="1"/>
  <c r="D147" i="6" l="1"/>
  <c r="H144" i="11"/>
  <c r="AI144" i="11"/>
  <c r="P148" i="6"/>
  <c r="E148" i="6" s="1"/>
  <c r="S147" i="6"/>
  <c r="H147" i="6" s="1"/>
  <c r="N147" i="6" s="1"/>
  <c r="R145" i="11"/>
  <c r="AL145" i="11" s="1"/>
  <c r="F145" i="11"/>
  <c r="E145" i="11"/>
  <c r="O145" i="11"/>
  <c r="F148" i="6"/>
  <c r="K147" i="6" l="1"/>
  <c r="AI147" i="6"/>
  <c r="N144" i="11"/>
  <c r="K144" i="11"/>
  <c r="O148" i="6"/>
  <c r="D148" i="6" s="1"/>
  <c r="R148" i="6"/>
  <c r="AL148" i="6" s="1"/>
  <c r="G148" i="6"/>
  <c r="G145" i="11"/>
  <c r="S145" i="11"/>
  <c r="Q146" i="11"/>
  <c r="P146" i="11"/>
  <c r="E146" i="11" s="1"/>
  <c r="D145" i="11"/>
  <c r="P149" i="6" l="1"/>
  <c r="E149" i="6" s="1"/>
  <c r="Q149" i="6"/>
  <c r="F149" i="6" s="1"/>
  <c r="H145" i="11"/>
  <c r="N145" i="11" s="1"/>
  <c r="AI145" i="11"/>
  <c r="S148" i="6"/>
  <c r="H148" i="6" s="1"/>
  <c r="N148" i="6" s="1"/>
  <c r="F146" i="11"/>
  <c r="G146" i="11" s="1"/>
  <c r="R146" i="11"/>
  <c r="AL146" i="11" s="1"/>
  <c r="O146" i="11"/>
  <c r="O149" i="6" l="1"/>
  <c r="P150" i="6" s="1"/>
  <c r="E150" i="6" s="1"/>
  <c r="G149" i="6"/>
  <c r="R149" i="6"/>
  <c r="AL149" i="6" s="1"/>
  <c r="K148" i="6"/>
  <c r="AI148" i="6"/>
  <c r="K145" i="11"/>
  <c r="P147" i="11"/>
  <c r="E147" i="11" s="1"/>
  <c r="S146" i="11"/>
  <c r="Q147" i="11"/>
  <c r="D146" i="11"/>
  <c r="S149" i="6"/>
  <c r="H149" i="6" s="1"/>
  <c r="N149" i="6" s="1"/>
  <c r="D149" i="6" l="1"/>
  <c r="Q150" i="6"/>
  <c r="F150" i="6" s="1"/>
  <c r="G150" i="6" s="1"/>
  <c r="H146" i="11"/>
  <c r="AI146" i="11"/>
  <c r="O147" i="11"/>
  <c r="F147" i="11"/>
  <c r="G147" i="11" s="1"/>
  <c r="R147" i="11"/>
  <c r="AI149" i="6"/>
  <c r="K149" i="6"/>
  <c r="O150" i="6"/>
  <c r="R150" i="6" l="1"/>
  <c r="AL147" i="11"/>
  <c r="N146" i="11"/>
  <c r="K146" i="11"/>
  <c r="Q148" i="11"/>
  <c r="D147" i="11"/>
  <c r="S147" i="11"/>
  <c r="H147" i="11" s="1"/>
  <c r="N147" i="11" s="1"/>
  <c r="P148" i="11"/>
  <c r="E148" i="11" s="1"/>
  <c r="AL150" i="6"/>
  <c r="Q151" i="6"/>
  <c r="D150" i="6"/>
  <c r="P151" i="6"/>
  <c r="E151" i="6" s="1"/>
  <c r="S150" i="6"/>
  <c r="H150" i="6" s="1"/>
  <c r="N150" i="6" s="1"/>
  <c r="AI147" i="11" l="1"/>
  <c r="K147" i="11"/>
  <c r="O148" i="11"/>
  <c r="F148" i="11"/>
  <c r="G148" i="11" s="1"/>
  <c r="R148" i="11"/>
  <c r="K150" i="6"/>
  <c r="AI150" i="6"/>
  <c r="O151" i="6"/>
  <c r="F151" i="6"/>
  <c r="G151" i="6" s="1"/>
  <c r="R151" i="6"/>
  <c r="AL148" i="11" l="1"/>
  <c r="S148" i="11"/>
  <c r="H148" i="11" s="1"/>
  <c r="N148" i="11" s="1"/>
  <c r="Q149" i="11"/>
  <c r="P149" i="11"/>
  <c r="E149" i="11" s="1"/>
  <c r="D148" i="11"/>
  <c r="AL151" i="6"/>
  <c r="Q152" i="6"/>
  <c r="P152" i="6"/>
  <c r="E152" i="6" s="1"/>
  <c r="D151" i="6"/>
  <c r="S151" i="6"/>
  <c r="H151" i="6" s="1"/>
  <c r="N151" i="6" s="1"/>
  <c r="AI148" i="11" l="1"/>
  <c r="K148" i="11"/>
  <c r="F149" i="11"/>
  <c r="G149" i="11" s="1"/>
  <c r="R149" i="11"/>
  <c r="O149" i="11"/>
  <c r="K151" i="6"/>
  <c r="AI151" i="6"/>
  <c r="O152" i="6"/>
  <c r="F152" i="6"/>
  <c r="G152" i="6" s="1"/>
  <c r="R152" i="6"/>
  <c r="AL149" i="11" l="1"/>
  <c r="D149" i="11"/>
  <c r="P150" i="11"/>
  <c r="E150" i="11" s="1"/>
  <c r="S149" i="11"/>
  <c r="H149" i="11" s="1"/>
  <c r="N149" i="11" s="1"/>
  <c r="Q150" i="11"/>
  <c r="AL152" i="6"/>
  <c r="D152" i="6"/>
  <c r="S152" i="6"/>
  <c r="H152" i="6" s="1"/>
  <c r="N152" i="6" s="1"/>
  <c r="P153" i="6"/>
  <c r="E153" i="6" s="1"/>
  <c r="Q153" i="6"/>
  <c r="K149" i="11" l="1"/>
  <c r="AI149" i="11"/>
  <c r="F150" i="11"/>
  <c r="G150" i="11" s="1"/>
  <c r="R150" i="11"/>
  <c r="O150" i="11"/>
  <c r="AI152" i="6"/>
  <c r="K152" i="6"/>
  <c r="O153" i="6"/>
  <c r="F153" i="6"/>
  <c r="G153" i="6" s="1"/>
  <c r="R153" i="6"/>
  <c r="AL150" i="11" l="1"/>
  <c r="D150" i="11"/>
  <c r="P151" i="11"/>
  <c r="E151" i="11" s="1"/>
  <c r="Q151" i="11"/>
  <c r="S150" i="11"/>
  <c r="H150" i="11" s="1"/>
  <c r="N150" i="11" s="1"/>
  <c r="AL153" i="6"/>
  <c r="P154" i="6"/>
  <c r="E154" i="6" s="1"/>
  <c r="S153" i="6"/>
  <c r="H153" i="6" s="1"/>
  <c r="N153" i="6" s="1"/>
  <c r="Q154" i="6"/>
  <c r="D153" i="6"/>
  <c r="K150" i="11" l="1"/>
  <c r="AI150" i="11"/>
  <c r="F151" i="11"/>
  <c r="G151" i="11" s="1"/>
  <c r="R151" i="11"/>
  <c r="O151" i="11"/>
  <c r="K153" i="6"/>
  <c r="AI153" i="6"/>
  <c r="O154" i="6"/>
  <c r="D154" i="6" s="1"/>
  <c r="F154" i="6"/>
  <c r="G154" i="6" s="1"/>
  <c r="R154" i="6"/>
  <c r="AL151" i="11" l="1"/>
  <c r="Q155" i="6"/>
  <c r="F155" i="6" s="1"/>
  <c r="P152" i="11"/>
  <c r="E152" i="11" s="1"/>
  <c r="D151" i="11"/>
  <c r="Q152" i="11"/>
  <c r="S151" i="11"/>
  <c r="H151" i="11" s="1"/>
  <c r="N151" i="11" s="1"/>
  <c r="P155" i="6"/>
  <c r="E155" i="6" s="1"/>
  <c r="S154" i="6"/>
  <c r="H154" i="6" s="1"/>
  <c r="N154" i="6" s="1"/>
  <c r="AL154" i="6"/>
  <c r="K154" i="6" l="1"/>
  <c r="AI154" i="6"/>
  <c r="K151" i="11"/>
  <c r="AI151" i="11"/>
  <c r="O152" i="11"/>
  <c r="R152" i="11"/>
  <c r="F152" i="11"/>
  <c r="G152" i="11" s="1"/>
  <c r="R155" i="6"/>
  <c r="AL155" i="6" s="1"/>
  <c r="G155" i="6"/>
  <c r="O155" i="6"/>
  <c r="AL152" i="11" l="1"/>
  <c r="Q153" i="11"/>
  <c r="D152" i="11"/>
  <c r="S152" i="11"/>
  <c r="H152" i="11" s="1"/>
  <c r="N152" i="11" s="1"/>
  <c r="P153" i="11"/>
  <c r="E153" i="11" s="1"/>
  <c r="Q156" i="6"/>
  <c r="S155" i="6"/>
  <c r="D155" i="6"/>
  <c r="P156" i="6"/>
  <c r="AI152" i="11" l="1"/>
  <c r="K152" i="11"/>
  <c r="O153" i="11"/>
  <c r="F153" i="11"/>
  <c r="G153" i="11" s="1"/>
  <c r="R153" i="11"/>
  <c r="E156" i="6"/>
  <c r="O156" i="6"/>
  <c r="H155" i="6"/>
  <c r="AI155" i="6"/>
  <c r="R156" i="6"/>
  <c r="AL156" i="6" s="1"/>
  <c r="F156" i="6"/>
  <c r="AL153" i="11" l="1"/>
  <c r="S153" i="11"/>
  <c r="H153" i="11" s="1"/>
  <c r="N153" i="11" s="1"/>
  <c r="Q154" i="11"/>
  <c r="D153" i="11"/>
  <c r="P154" i="11"/>
  <c r="E154" i="11" s="1"/>
  <c r="G156" i="6"/>
  <c r="N155" i="6"/>
  <c r="K155" i="6"/>
  <c r="Q157" i="6"/>
  <c r="D156" i="6"/>
  <c r="S156" i="6"/>
  <c r="P157" i="6"/>
  <c r="AI153" i="11" l="1"/>
  <c r="K153" i="11"/>
  <c r="F154" i="11"/>
  <c r="G154" i="11" s="1"/>
  <c r="R154" i="11"/>
  <c r="O154" i="11"/>
  <c r="F157" i="6"/>
  <c r="R157" i="6"/>
  <c r="AL157" i="6" s="1"/>
  <c r="E157" i="6"/>
  <c r="O157" i="6"/>
  <c r="H156" i="6"/>
  <c r="AI156" i="6"/>
  <c r="AL154" i="11" l="1"/>
  <c r="S154" i="11"/>
  <c r="H154" i="11" s="1"/>
  <c r="N154" i="11" s="1"/>
  <c r="P155" i="11"/>
  <c r="E155" i="11" s="1"/>
  <c r="D154" i="11"/>
  <c r="Q155" i="11"/>
  <c r="G157" i="6"/>
  <c r="N156" i="6"/>
  <c r="K156" i="6"/>
  <c r="S157" i="6"/>
  <c r="H157" i="6" s="1"/>
  <c r="Q158" i="6"/>
  <c r="P158" i="6"/>
  <c r="D157" i="6"/>
  <c r="K154" i="11" l="1"/>
  <c r="AI154" i="11"/>
  <c r="F155" i="11"/>
  <c r="G155" i="11" s="1"/>
  <c r="R155" i="11"/>
  <c r="O155" i="11"/>
  <c r="AI157" i="6"/>
  <c r="R158" i="6"/>
  <c r="AL158" i="6" s="1"/>
  <c r="F158" i="6"/>
  <c r="N157" i="6"/>
  <c r="K157" i="6"/>
  <c r="E158" i="6"/>
  <c r="O158" i="6"/>
  <c r="AL155" i="11" l="1"/>
  <c r="D155" i="11"/>
  <c r="P156" i="11"/>
  <c r="E156" i="11" s="1"/>
  <c r="Q156" i="11"/>
  <c r="S155" i="11"/>
  <c r="H155" i="11" s="1"/>
  <c r="N155" i="11" s="1"/>
  <c r="S158" i="6"/>
  <c r="D158" i="6"/>
  <c r="Q159" i="6"/>
  <c r="P159" i="6"/>
  <c r="E159" i="6" s="1"/>
  <c r="G158" i="6"/>
  <c r="K155" i="11" l="1"/>
  <c r="AI155" i="11"/>
  <c r="F156" i="11"/>
  <c r="G156" i="11" s="1"/>
  <c r="R156" i="11"/>
  <c r="O156" i="11"/>
  <c r="O159" i="6"/>
  <c r="D159" i="6" s="1"/>
  <c r="F159" i="6"/>
  <c r="G159" i="6" s="1"/>
  <c r="R159" i="6"/>
  <c r="AL159" i="6" s="1"/>
  <c r="H158" i="6"/>
  <c r="N158" i="6" s="1"/>
  <c r="AI158" i="6"/>
  <c r="AL156" i="11" l="1"/>
  <c r="P157" i="11"/>
  <c r="E157" i="11" s="1"/>
  <c r="D156" i="11"/>
  <c r="Q157" i="11"/>
  <c r="S156" i="11"/>
  <c r="H156" i="11" s="1"/>
  <c r="N156" i="11" s="1"/>
  <c r="Q160" i="6"/>
  <c r="F160" i="6" s="1"/>
  <c r="S159" i="6"/>
  <c r="P160" i="6"/>
  <c r="K158" i="6"/>
  <c r="K156" i="11" l="1"/>
  <c r="AI156" i="11"/>
  <c r="F157" i="11"/>
  <c r="G157" i="11" s="1"/>
  <c r="R157" i="11"/>
  <c r="O157" i="11"/>
  <c r="E160" i="6"/>
  <c r="G160" i="6" s="1"/>
  <c r="R160" i="6"/>
  <c r="AL160" i="6" s="1"/>
  <c r="O160" i="6"/>
  <c r="H159" i="6"/>
  <c r="AI159" i="6"/>
  <c r="AL157" i="11" l="1"/>
  <c r="S157" i="11"/>
  <c r="H157" i="11" s="1"/>
  <c r="N157" i="11" s="1"/>
  <c r="D157" i="11"/>
  <c r="P158" i="11"/>
  <c r="E158" i="11" s="1"/>
  <c r="Q158" i="11"/>
  <c r="S160" i="6"/>
  <c r="P161" i="6"/>
  <c r="E161" i="6" s="1"/>
  <c r="D160" i="6"/>
  <c r="Q161" i="6"/>
  <c r="N159" i="6"/>
  <c r="K159" i="6"/>
  <c r="AI157" i="11" l="1"/>
  <c r="K157" i="11"/>
  <c r="F158" i="11"/>
  <c r="G158" i="11" s="1"/>
  <c r="R158" i="11"/>
  <c r="O158" i="11"/>
  <c r="O161" i="6"/>
  <c r="S161" i="6" s="1"/>
  <c r="H161" i="6" s="1"/>
  <c r="N161" i="6" s="1"/>
  <c r="F161" i="6"/>
  <c r="G161" i="6" s="1"/>
  <c r="R161" i="6"/>
  <c r="AL161" i="6" s="1"/>
  <c r="H160" i="6"/>
  <c r="AI160" i="6"/>
  <c r="K161" i="6" l="1"/>
  <c r="AL158" i="11"/>
  <c r="S158" i="11"/>
  <c r="H158" i="11" s="1"/>
  <c r="N158" i="11" s="1"/>
  <c r="P159" i="11"/>
  <c r="E159" i="11" s="1"/>
  <c r="Q159" i="11"/>
  <c r="D158" i="11"/>
  <c r="D161" i="6"/>
  <c r="P162" i="6"/>
  <c r="Q162" i="6"/>
  <c r="N160" i="6"/>
  <c r="K160" i="6"/>
  <c r="AI161" i="6"/>
  <c r="K158" i="11" l="1"/>
  <c r="AI158" i="11"/>
  <c r="R159" i="11"/>
  <c r="F159" i="11"/>
  <c r="G159" i="11" s="1"/>
  <c r="O159" i="11"/>
  <c r="R162" i="6"/>
  <c r="AL162" i="6" s="1"/>
  <c r="F162" i="6"/>
  <c r="E162" i="6"/>
  <c r="O162" i="6"/>
  <c r="AL159" i="11" l="1"/>
  <c r="D159" i="11"/>
  <c r="S159" i="11"/>
  <c r="H159" i="11" s="1"/>
  <c r="N159" i="11" s="1"/>
  <c r="P160" i="11"/>
  <c r="E160" i="11" s="1"/>
  <c r="Q160" i="11"/>
  <c r="G162" i="6"/>
  <c r="S162" i="6"/>
  <c r="H162" i="6" s="1"/>
  <c r="N162" i="6" s="1"/>
  <c r="P163" i="6"/>
  <c r="E163" i="6" s="1"/>
  <c r="Q163" i="6"/>
  <c r="D162" i="6"/>
  <c r="AI159" i="11" l="1"/>
  <c r="AI162" i="6"/>
  <c r="K162" i="6"/>
  <c r="K159" i="11"/>
  <c r="R160" i="11"/>
  <c r="F160" i="11"/>
  <c r="G160" i="11" s="1"/>
  <c r="O160" i="11"/>
  <c r="R163" i="6"/>
  <c r="AL163" i="6" s="1"/>
  <c r="F163" i="6"/>
  <c r="G163" i="6" s="1"/>
  <c r="O163" i="6"/>
  <c r="AL160" i="11" l="1"/>
  <c r="P161" i="11"/>
  <c r="E161" i="11" s="1"/>
  <c r="D160" i="11"/>
  <c r="Q161" i="11"/>
  <c r="S160" i="11"/>
  <c r="H160" i="11" s="1"/>
  <c r="N160" i="11" s="1"/>
  <c r="P164" i="6"/>
  <c r="Q164" i="6"/>
  <c r="S163" i="6"/>
  <c r="D163" i="6"/>
  <c r="K160" i="11" l="1"/>
  <c r="H163" i="6"/>
  <c r="AI163" i="6"/>
  <c r="AI160" i="11"/>
  <c r="O161" i="11"/>
  <c r="D161" i="11" s="1"/>
  <c r="F161" i="11"/>
  <c r="G161" i="11" s="1"/>
  <c r="R161" i="11"/>
  <c r="R164" i="6"/>
  <c r="F164" i="6"/>
  <c r="E164" i="6"/>
  <c r="O164" i="6"/>
  <c r="AL164" i="6" l="1"/>
  <c r="AL161" i="11"/>
  <c r="N163" i="6"/>
  <c r="K163" i="6"/>
  <c r="S161" i="11"/>
  <c r="H161" i="11" s="1"/>
  <c r="N161" i="11" s="1"/>
  <c r="P162" i="11"/>
  <c r="E162" i="11" s="1"/>
  <c r="Q162" i="11"/>
  <c r="F162" i="11" s="1"/>
  <c r="G164" i="6"/>
  <c r="S164" i="6"/>
  <c r="H164" i="6" s="1"/>
  <c r="N164" i="6" s="1"/>
  <c r="Q165" i="6"/>
  <c r="P165" i="6"/>
  <c r="E165" i="6" s="1"/>
  <c r="D164" i="6"/>
  <c r="K164" i="6" l="1"/>
  <c r="AI164" i="6"/>
  <c r="AI161" i="11"/>
  <c r="K161" i="11"/>
  <c r="R162" i="11"/>
  <c r="G162" i="11"/>
  <c r="O162" i="11"/>
  <c r="S162" i="11" s="1"/>
  <c r="H162" i="11" s="1"/>
  <c r="N162" i="11" s="1"/>
  <c r="F165" i="6"/>
  <c r="G165" i="6" s="1"/>
  <c r="R165" i="6"/>
  <c r="O165" i="6"/>
  <c r="K162" i="11" l="1"/>
  <c r="AL165" i="6"/>
  <c r="AL162" i="11"/>
  <c r="AI162" i="11"/>
  <c r="P163" i="11"/>
  <c r="E163" i="11" s="1"/>
  <c r="Q163" i="11"/>
  <c r="F163" i="11" s="1"/>
  <c r="D162" i="11"/>
  <c r="S165" i="6"/>
  <c r="H165" i="6" s="1"/>
  <c r="N165" i="6" s="1"/>
  <c r="P166" i="6"/>
  <c r="E166" i="6" s="1"/>
  <c r="Q166" i="6"/>
  <c r="D165" i="6"/>
  <c r="AI165" i="6" l="1"/>
  <c r="K165" i="6"/>
  <c r="G163" i="11"/>
  <c r="O163" i="11"/>
  <c r="D163" i="11" s="1"/>
  <c r="R163" i="11"/>
  <c r="O166" i="6"/>
  <c r="R166" i="6"/>
  <c r="F166" i="6"/>
  <c r="G166" i="6" s="1"/>
  <c r="S163" i="11" l="1"/>
  <c r="H163" i="11" s="1"/>
  <c r="N163" i="11" s="1"/>
  <c r="P164" i="11"/>
  <c r="E164" i="11" s="1"/>
  <c r="AL166" i="6"/>
  <c r="AL163" i="11"/>
  <c r="AI163" i="11"/>
  <c r="Q164" i="11"/>
  <c r="F164" i="11" s="1"/>
  <c r="S166" i="6"/>
  <c r="H166" i="6" s="1"/>
  <c r="N166" i="6" s="1"/>
  <c r="P167" i="6"/>
  <c r="E167" i="6" s="1"/>
  <c r="Q167" i="6"/>
  <c r="D166" i="6"/>
  <c r="K163" i="11" l="1"/>
  <c r="O164" i="11"/>
  <c r="S164" i="11" s="1"/>
  <c r="H164" i="11" s="1"/>
  <c r="N164" i="11" s="1"/>
  <c r="G164" i="11"/>
  <c r="AI166" i="6"/>
  <c r="K166" i="6"/>
  <c r="R164" i="11"/>
  <c r="F167" i="6"/>
  <c r="G167" i="6" s="1"/>
  <c r="R167" i="6"/>
  <c r="O167" i="6"/>
  <c r="K164" i="11" l="1"/>
  <c r="Q165" i="11"/>
  <c r="F165" i="11" s="1"/>
  <c r="P165" i="11"/>
  <c r="E165" i="11" s="1"/>
  <c r="D164" i="11"/>
  <c r="AL164" i="11"/>
  <c r="AI164" i="11"/>
  <c r="AL167" i="6"/>
  <c r="S167" i="6"/>
  <c r="H167" i="6" s="1"/>
  <c r="N167" i="6" s="1"/>
  <c r="Q168" i="6"/>
  <c r="P168" i="6"/>
  <c r="E168" i="6" s="1"/>
  <c r="D167" i="6"/>
  <c r="G165" i="11" l="1"/>
  <c r="R165" i="11"/>
  <c r="O165" i="11"/>
  <c r="S165" i="11" s="1"/>
  <c r="H165" i="11" s="1"/>
  <c r="N165" i="11" s="1"/>
  <c r="AI167" i="6"/>
  <c r="AL165" i="11"/>
  <c r="K167" i="6"/>
  <c r="F168" i="6"/>
  <c r="G168" i="6" s="1"/>
  <c r="R168" i="6"/>
  <c r="O168" i="6"/>
  <c r="AI165" i="11" l="1"/>
  <c r="K165" i="11"/>
  <c r="P166" i="11"/>
  <c r="E166" i="11" s="1"/>
  <c r="Q166" i="11"/>
  <c r="F166" i="11" s="1"/>
  <c r="D165" i="11"/>
  <c r="AL168" i="6"/>
  <c r="Q169" i="6"/>
  <c r="S168" i="6"/>
  <c r="H168" i="6" s="1"/>
  <c r="N168" i="6" s="1"/>
  <c r="D168" i="6"/>
  <c r="P169" i="6"/>
  <c r="E169" i="6" s="1"/>
  <c r="O166" i="11" l="1"/>
  <c r="S166" i="11" s="1"/>
  <c r="H166" i="11" s="1"/>
  <c r="N166" i="11" s="1"/>
  <c r="G166" i="11"/>
  <c r="R166" i="11"/>
  <c r="AL166" i="11" s="1"/>
  <c r="AI168" i="6"/>
  <c r="K168" i="6"/>
  <c r="O169" i="6"/>
  <c r="R169" i="6"/>
  <c r="F169" i="6"/>
  <c r="G169" i="6" s="1"/>
  <c r="D166" i="11" l="1"/>
  <c r="Q167" i="11"/>
  <c r="F167" i="11" s="1"/>
  <c r="P167" i="11"/>
  <c r="E167" i="11" s="1"/>
  <c r="AI166" i="11"/>
  <c r="AL169" i="6"/>
  <c r="K166" i="11"/>
  <c r="Q170" i="6"/>
  <c r="D169" i="6"/>
  <c r="S169" i="6"/>
  <c r="H169" i="6" s="1"/>
  <c r="N169" i="6" s="1"/>
  <c r="P170" i="6"/>
  <c r="E170" i="6" s="1"/>
  <c r="R167" i="11" l="1"/>
  <c r="AL167" i="11" s="1"/>
  <c r="O167" i="11"/>
  <c r="S167" i="11" s="1"/>
  <c r="H167" i="11" s="1"/>
  <c r="N167" i="11" s="1"/>
  <c r="AI169" i="6"/>
  <c r="K169" i="6"/>
  <c r="G167" i="11"/>
  <c r="O170" i="6"/>
  <c r="R170" i="6"/>
  <c r="F170" i="6"/>
  <c r="G170" i="6" s="1"/>
  <c r="P168" i="11" l="1"/>
  <c r="E168" i="11" s="1"/>
  <c r="Q168" i="11"/>
  <c r="F168" i="11" s="1"/>
  <c r="D167" i="11"/>
  <c r="AI167" i="11"/>
  <c r="AL170" i="6"/>
  <c r="K167" i="11"/>
  <c r="S170" i="6"/>
  <c r="H170" i="6" s="1"/>
  <c r="N170" i="6" s="1"/>
  <c r="Q171" i="6"/>
  <c r="P171" i="6"/>
  <c r="E171" i="6" s="1"/>
  <c r="D170" i="6"/>
  <c r="O168" i="11" l="1"/>
  <c r="S168" i="11" s="1"/>
  <c r="H168" i="11" s="1"/>
  <c r="N168" i="11" s="1"/>
  <c r="G168" i="11"/>
  <c r="R168" i="11"/>
  <c r="AL168" i="11" s="1"/>
  <c r="AI170" i="6"/>
  <c r="K170" i="6"/>
  <c r="F171" i="6"/>
  <c r="G171" i="6" s="1"/>
  <c r="R171" i="6"/>
  <c r="O171" i="6"/>
  <c r="Q169" i="11" l="1"/>
  <c r="F169" i="11" s="1"/>
  <c r="P169" i="11"/>
  <c r="E169" i="11" s="1"/>
  <c r="D168" i="11"/>
  <c r="AI168" i="11"/>
  <c r="AL171" i="6"/>
  <c r="K168" i="11"/>
  <c r="D171" i="6"/>
  <c r="S171" i="6"/>
  <c r="H171" i="6" s="1"/>
  <c r="N171" i="6" s="1"/>
  <c r="P172" i="6"/>
  <c r="E172" i="6" s="1"/>
  <c r="Q172" i="6"/>
  <c r="R169" i="11" l="1"/>
  <c r="O169" i="11"/>
  <c r="P170" i="11" s="1"/>
  <c r="E170" i="11" s="1"/>
  <c r="G169" i="11"/>
  <c r="AI171" i="6"/>
  <c r="AL169" i="11"/>
  <c r="K171" i="6"/>
  <c r="F172" i="6"/>
  <c r="G172" i="6" s="1"/>
  <c r="R172" i="6"/>
  <c r="O172" i="6"/>
  <c r="Q170" i="11" l="1"/>
  <c r="F170" i="11" s="1"/>
  <c r="G170" i="11" s="1"/>
  <c r="S169" i="11"/>
  <c r="H169" i="11" s="1"/>
  <c r="N169" i="11" s="1"/>
  <c r="D169" i="11"/>
  <c r="AL172" i="6"/>
  <c r="O170" i="11"/>
  <c r="D172" i="6"/>
  <c r="P173" i="6"/>
  <c r="E173" i="6" s="1"/>
  <c r="S172" i="6"/>
  <c r="H172" i="6" s="1"/>
  <c r="N172" i="6" s="1"/>
  <c r="Q173" i="6"/>
  <c r="K169" i="11" l="1"/>
  <c r="AI169" i="11"/>
  <c r="R170" i="11"/>
  <c r="AL170" i="11" s="1"/>
  <c r="K172" i="6"/>
  <c r="AI172" i="6"/>
  <c r="P171" i="11"/>
  <c r="E171" i="11" s="1"/>
  <c r="Q171" i="11"/>
  <c r="D170" i="11"/>
  <c r="S170" i="11"/>
  <c r="H170" i="11" s="1"/>
  <c r="N170" i="11" s="1"/>
  <c r="O173" i="6"/>
  <c r="R173" i="6"/>
  <c r="F173" i="6"/>
  <c r="G173" i="6" s="1"/>
  <c r="AL173" i="6" l="1"/>
  <c r="AI170" i="11"/>
  <c r="K170" i="11"/>
  <c r="O171" i="11"/>
  <c r="R171" i="11"/>
  <c r="F171" i="11"/>
  <c r="G171" i="11" s="1"/>
  <c r="S173" i="6"/>
  <c r="H173" i="6" s="1"/>
  <c r="N173" i="6" s="1"/>
  <c r="P174" i="6"/>
  <c r="E174" i="6" s="1"/>
  <c r="D173" i="6"/>
  <c r="Q174" i="6"/>
  <c r="AI173" i="6" l="1"/>
  <c r="AL171" i="11"/>
  <c r="K173" i="6"/>
  <c r="Q172" i="11"/>
  <c r="D171" i="11"/>
  <c r="S171" i="11"/>
  <c r="H171" i="11" s="1"/>
  <c r="N171" i="11" s="1"/>
  <c r="P172" i="11"/>
  <c r="E172" i="11" s="1"/>
  <c r="F174" i="6"/>
  <c r="G174" i="6" s="1"/>
  <c r="R174" i="6"/>
  <c r="O174" i="6"/>
  <c r="AI171" i="11" l="1"/>
  <c r="AL174" i="6"/>
  <c r="K171" i="11"/>
  <c r="O172" i="11"/>
  <c r="F172" i="11"/>
  <c r="G172" i="11" s="1"/>
  <c r="R172" i="11"/>
  <c r="Q175" i="6"/>
  <c r="S174" i="6"/>
  <c r="H174" i="6" s="1"/>
  <c r="N174" i="6" s="1"/>
  <c r="D174" i="6"/>
  <c r="P175" i="6"/>
  <c r="E175" i="6" s="1"/>
  <c r="AL172" i="11" l="1"/>
  <c r="K174" i="6"/>
  <c r="AI174" i="6"/>
  <c r="S172" i="11"/>
  <c r="H172" i="11" s="1"/>
  <c r="N172" i="11" s="1"/>
  <c r="D172" i="11"/>
  <c r="P173" i="11"/>
  <c r="E173" i="11" s="1"/>
  <c r="Q173" i="11"/>
  <c r="O175" i="6"/>
  <c r="F175" i="6"/>
  <c r="G175" i="6" s="1"/>
  <c r="R175" i="6"/>
  <c r="K172" i="11" l="1"/>
  <c r="AI172" i="11"/>
  <c r="AL175" i="6"/>
  <c r="R173" i="11"/>
  <c r="F173" i="11"/>
  <c r="G173" i="11" s="1"/>
  <c r="O173" i="11"/>
  <c r="S175" i="6"/>
  <c r="H175" i="6" s="1"/>
  <c r="N175" i="6" s="1"/>
  <c r="D175" i="6"/>
  <c r="Q176" i="6"/>
  <c r="P176" i="6"/>
  <c r="E176" i="6" s="1"/>
  <c r="AL173" i="11" l="1"/>
  <c r="K175" i="6"/>
  <c r="AI175" i="6"/>
  <c r="P174" i="11"/>
  <c r="E174" i="11" s="1"/>
  <c r="S173" i="11"/>
  <c r="H173" i="11" s="1"/>
  <c r="N173" i="11" s="1"/>
  <c r="D173" i="11"/>
  <c r="Q174" i="11"/>
  <c r="F176" i="6"/>
  <c r="G176" i="6" s="1"/>
  <c r="R176" i="6"/>
  <c r="O176" i="6"/>
  <c r="O174" i="11" l="1"/>
  <c r="P175" i="11" s="1"/>
  <c r="E175" i="11" s="1"/>
  <c r="AL176" i="6"/>
  <c r="AI173" i="11"/>
  <c r="K173" i="11"/>
  <c r="F174" i="11"/>
  <c r="G174" i="11" s="1"/>
  <c r="R174" i="11"/>
  <c r="S176" i="6"/>
  <c r="H176" i="6" s="1"/>
  <c r="N176" i="6" s="1"/>
  <c r="D176" i="6"/>
  <c r="P177" i="6"/>
  <c r="E177" i="6" s="1"/>
  <c r="Q177" i="6"/>
  <c r="Q175" i="11" l="1"/>
  <c r="R175" i="11" s="1"/>
  <c r="D174" i="11"/>
  <c r="S174" i="11"/>
  <c r="H174" i="11" s="1"/>
  <c r="N174" i="11" s="1"/>
  <c r="AL174" i="11"/>
  <c r="K176" i="6"/>
  <c r="AI176" i="6"/>
  <c r="O175" i="11"/>
  <c r="F177" i="6"/>
  <c r="G177" i="6" s="1"/>
  <c r="R177" i="6"/>
  <c r="O177" i="6"/>
  <c r="K174" i="11" l="1"/>
  <c r="AI174" i="11"/>
  <c r="F175" i="11"/>
  <c r="G175" i="11" s="1"/>
  <c r="AL175" i="11"/>
  <c r="AL177" i="6"/>
  <c r="D175" i="11"/>
  <c r="S175" i="11"/>
  <c r="H175" i="11" s="1"/>
  <c r="N175" i="11" s="1"/>
  <c r="P176" i="11"/>
  <c r="E176" i="11" s="1"/>
  <c r="Q176" i="11"/>
  <c r="D177" i="6"/>
  <c r="S177" i="6"/>
  <c r="H177" i="6" s="1"/>
  <c r="N177" i="6" s="1"/>
  <c r="P178" i="6"/>
  <c r="E178" i="6" s="1"/>
  <c r="Q178" i="6"/>
  <c r="K175" i="11" l="1"/>
  <c r="K177" i="6"/>
  <c r="AI175" i="11"/>
  <c r="AI177" i="6"/>
  <c r="R176" i="11"/>
  <c r="F176" i="11"/>
  <c r="G176" i="11" s="1"/>
  <c r="O176" i="11"/>
  <c r="R178" i="6"/>
  <c r="F178" i="6"/>
  <c r="G178" i="6" s="1"/>
  <c r="O178" i="6"/>
  <c r="AL178" i="6" l="1"/>
  <c r="AL176" i="11"/>
  <c r="P177" i="11"/>
  <c r="E177" i="11" s="1"/>
  <c r="D176" i="11"/>
  <c r="S176" i="11"/>
  <c r="H176" i="11" s="1"/>
  <c r="N176" i="11" s="1"/>
  <c r="Q177" i="11"/>
  <c r="P179" i="6"/>
  <c r="E179" i="6" s="1"/>
  <c r="D178" i="6"/>
  <c r="Q179" i="6"/>
  <c r="S178" i="6"/>
  <c r="H178" i="6" s="1"/>
  <c r="N178" i="6" s="1"/>
  <c r="K178" i="6" l="1"/>
  <c r="K176" i="11"/>
  <c r="AI176" i="11"/>
  <c r="AI178" i="6"/>
  <c r="F177" i="11"/>
  <c r="G177" i="11" s="1"/>
  <c r="R177" i="11"/>
  <c r="O177" i="11"/>
  <c r="O179" i="6"/>
  <c r="Q180" i="6" s="1"/>
  <c r="F179" i="6"/>
  <c r="G179" i="6" s="1"/>
  <c r="R179" i="6"/>
  <c r="AL179" i="6" l="1"/>
  <c r="AL177" i="11"/>
  <c r="S177" i="11"/>
  <c r="H177" i="11" s="1"/>
  <c r="N177" i="11" s="1"/>
  <c r="P178" i="11"/>
  <c r="E178" i="11" s="1"/>
  <c r="Q178" i="11"/>
  <c r="D177" i="11"/>
  <c r="D179" i="6"/>
  <c r="P180" i="6"/>
  <c r="E180" i="6" s="1"/>
  <c r="S179" i="6"/>
  <c r="H179" i="6" s="1"/>
  <c r="N179" i="6" s="1"/>
  <c r="F180" i="6"/>
  <c r="AI179" i="6" l="1"/>
  <c r="AI177" i="11"/>
  <c r="K179" i="6"/>
  <c r="K177" i="11"/>
  <c r="F178" i="11"/>
  <c r="G178" i="11" s="1"/>
  <c r="R178" i="11"/>
  <c r="O178" i="11"/>
  <c r="R180" i="6"/>
  <c r="G180" i="6"/>
  <c r="O180" i="6"/>
  <c r="D180" i="6" s="1"/>
  <c r="AL180" i="6" l="1"/>
  <c r="AL178" i="11"/>
  <c r="Q179" i="11"/>
  <c r="D178" i="11"/>
  <c r="S178" i="11"/>
  <c r="H178" i="11" s="1"/>
  <c r="N178" i="11" s="1"/>
  <c r="P179" i="11"/>
  <c r="E179" i="11" s="1"/>
  <c r="S180" i="6"/>
  <c r="H180" i="6" s="1"/>
  <c r="N180" i="6" s="1"/>
  <c r="Q181" i="6"/>
  <c r="F181" i="6" s="1"/>
  <c r="P181" i="6"/>
  <c r="E181" i="6" s="1"/>
  <c r="AI178" i="11" l="1"/>
  <c r="K178" i="11"/>
  <c r="AI180" i="6"/>
  <c r="K180" i="6"/>
  <c r="O179" i="11"/>
  <c r="F179" i="11"/>
  <c r="G179" i="11" s="1"/>
  <c r="R179" i="11"/>
  <c r="R181" i="6"/>
  <c r="G181" i="6"/>
  <c r="O181" i="6"/>
  <c r="Q182" i="6" s="1"/>
  <c r="AL181" i="6" l="1"/>
  <c r="AL179" i="11"/>
  <c r="S179" i="11"/>
  <c r="H179" i="11" s="1"/>
  <c r="N179" i="11" s="1"/>
  <c r="D179" i="11"/>
  <c r="P180" i="11"/>
  <c r="E180" i="11" s="1"/>
  <c r="Q180" i="11"/>
  <c r="S181" i="6"/>
  <c r="H181" i="6" s="1"/>
  <c r="N181" i="6" s="1"/>
  <c r="P182" i="6"/>
  <c r="E182" i="6" s="1"/>
  <c r="D181" i="6"/>
  <c r="F182" i="6"/>
  <c r="AI179" i="11" l="1"/>
  <c r="K181" i="6"/>
  <c r="AI181" i="6"/>
  <c r="K179" i="11"/>
  <c r="F180" i="11"/>
  <c r="G180" i="11" s="1"/>
  <c r="R180" i="11"/>
  <c r="O180" i="11"/>
  <c r="G182" i="6"/>
  <c r="R182" i="6"/>
  <c r="O182" i="6"/>
  <c r="P183" i="6" s="1"/>
  <c r="E183" i="6" s="1"/>
  <c r="AL180" i="11" l="1"/>
  <c r="AL182" i="6"/>
  <c r="P181" i="11"/>
  <c r="E181" i="11" s="1"/>
  <c r="S180" i="11"/>
  <c r="H180" i="11" s="1"/>
  <c r="N180" i="11" s="1"/>
  <c r="D180" i="11"/>
  <c r="Q181" i="11"/>
  <c r="Q183" i="6"/>
  <c r="F183" i="6" s="1"/>
  <c r="G183" i="6" s="1"/>
  <c r="S182" i="6"/>
  <c r="H182" i="6" s="1"/>
  <c r="N182" i="6" s="1"/>
  <c r="D182" i="6"/>
  <c r="O183" i="6"/>
  <c r="O181" i="11" l="1"/>
  <c r="Q182" i="11" s="1"/>
  <c r="AI180" i="11"/>
  <c r="K180" i="11"/>
  <c r="R183" i="6"/>
  <c r="AI182" i="6"/>
  <c r="K182" i="6"/>
  <c r="R181" i="11"/>
  <c r="F181" i="11"/>
  <c r="G181" i="11" s="1"/>
  <c r="P184" i="6"/>
  <c r="E184" i="6" s="1"/>
  <c r="D183" i="6"/>
  <c r="Q184" i="6"/>
  <c r="S183" i="6"/>
  <c r="H183" i="6" s="1"/>
  <c r="N183" i="6" s="1"/>
  <c r="S181" i="11" l="1"/>
  <c r="H181" i="11" s="1"/>
  <c r="N181" i="11" s="1"/>
  <c r="P182" i="11"/>
  <c r="R182" i="11" s="1"/>
  <c r="D181" i="11"/>
  <c r="K181" i="11"/>
  <c r="AL183" i="6"/>
  <c r="AI183" i="6"/>
  <c r="AL181" i="11"/>
  <c r="AI181" i="11"/>
  <c r="K183" i="6"/>
  <c r="F182" i="11"/>
  <c r="O184" i="6"/>
  <c r="D184" i="6" s="1"/>
  <c r="F184" i="6"/>
  <c r="G184" i="6" s="1"/>
  <c r="R184" i="6"/>
  <c r="O182" i="11" l="1"/>
  <c r="S182" i="11" s="1"/>
  <c r="H182" i="11" s="1"/>
  <c r="N182" i="11" s="1"/>
  <c r="E182" i="11"/>
  <c r="G182" i="11" s="1"/>
  <c r="AL182" i="11"/>
  <c r="AL184" i="6"/>
  <c r="Q185" i="6"/>
  <c r="F185" i="6" s="1"/>
  <c r="P185" i="6"/>
  <c r="E185" i="6" s="1"/>
  <c r="S184" i="6"/>
  <c r="H184" i="6" s="1"/>
  <c r="N184" i="6" s="1"/>
  <c r="Q183" i="11" l="1"/>
  <c r="F183" i="11" s="1"/>
  <c r="P183" i="11"/>
  <c r="E183" i="11" s="1"/>
  <c r="D182" i="11"/>
  <c r="AI182" i="11"/>
  <c r="K182" i="11"/>
  <c r="AI184" i="6"/>
  <c r="K184" i="6"/>
  <c r="G185" i="6"/>
  <c r="O185" i="6"/>
  <c r="S185" i="6" s="1"/>
  <c r="H185" i="6" s="1"/>
  <c r="N185" i="6" s="1"/>
  <c r="R185" i="6"/>
  <c r="O183" i="11" l="1"/>
  <c r="Q184" i="11" s="1"/>
  <c r="G183" i="11"/>
  <c r="R183" i="11"/>
  <c r="K185" i="6"/>
  <c r="AL185" i="6"/>
  <c r="AI185" i="6"/>
  <c r="AL183" i="11"/>
  <c r="D185" i="6"/>
  <c r="Q186" i="6"/>
  <c r="F186" i="6" s="1"/>
  <c r="P186" i="6"/>
  <c r="O186" i="6" s="1"/>
  <c r="S183" i="11" l="1"/>
  <c r="H183" i="11" s="1"/>
  <c r="N183" i="11" s="1"/>
  <c r="D183" i="11"/>
  <c r="P184" i="11"/>
  <c r="E184" i="11" s="1"/>
  <c r="K183" i="11"/>
  <c r="F184" i="11"/>
  <c r="E186" i="6"/>
  <c r="G186" i="6" s="1"/>
  <c r="R186" i="6"/>
  <c r="D186" i="6"/>
  <c r="Q187" i="6"/>
  <c r="S186" i="6"/>
  <c r="H186" i="6" s="1"/>
  <c r="N186" i="6" s="1"/>
  <c r="P187" i="6"/>
  <c r="AI183" i="11" l="1"/>
  <c r="R184" i="11"/>
  <c r="O184" i="11"/>
  <c r="P185" i="11" s="1"/>
  <c r="K186" i="6"/>
  <c r="AL186" i="6"/>
  <c r="AI186" i="6"/>
  <c r="AL184" i="11"/>
  <c r="G184" i="11"/>
  <c r="E187" i="6"/>
  <c r="O187" i="6"/>
  <c r="R187" i="6"/>
  <c r="AL187" i="6" s="1"/>
  <c r="F187" i="6"/>
  <c r="D184" i="11" l="1"/>
  <c r="S184" i="11"/>
  <c r="H184" i="11" s="1"/>
  <c r="N184" i="11" s="1"/>
  <c r="Q185" i="11"/>
  <c r="F185" i="11" s="1"/>
  <c r="AI184" i="11"/>
  <c r="E185" i="11"/>
  <c r="O185" i="11"/>
  <c r="G187" i="6"/>
  <c r="Q188" i="6"/>
  <c r="S187" i="6"/>
  <c r="D187" i="6"/>
  <c r="P188" i="6"/>
  <c r="E188" i="6" s="1"/>
  <c r="K184" i="11" l="1"/>
  <c r="R185" i="11"/>
  <c r="AL185" i="11"/>
  <c r="H187" i="6"/>
  <c r="N187" i="6" s="1"/>
  <c r="AI187" i="6"/>
  <c r="P186" i="11"/>
  <c r="E186" i="11" s="1"/>
  <c r="Q186" i="11"/>
  <c r="D185" i="11"/>
  <c r="S185" i="11"/>
  <c r="H185" i="11" s="1"/>
  <c r="N185" i="11" s="1"/>
  <c r="G185" i="11"/>
  <c r="O188" i="6"/>
  <c r="R188" i="6"/>
  <c r="AL188" i="6" s="1"/>
  <c r="F188" i="6"/>
  <c r="G188" i="6" s="1"/>
  <c r="K185" i="11" l="1"/>
  <c r="K187" i="6"/>
  <c r="AI185" i="11"/>
  <c r="O186" i="11"/>
  <c r="S186" i="11" s="1"/>
  <c r="H186" i="11" s="1"/>
  <c r="N186" i="11" s="1"/>
  <c r="R186" i="11"/>
  <c r="F186" i="11"/>
  <c r="G186" i="11" s="1"/>
  <c r="P189" i="6"/>
  <c r="S188" i="6"/>
  <c r="D188" i="6"/>
  <c r="Q189" i="6"/>
  <c r="AL186" i="11" l="1"/>
  <c r="AI186" i="11"/>
  <c r="H188" i="6"/>
  <c r="AI188" i="6"/>
  <c r="K186" i="11"/>
  <c r="D186" i="11"/>
  <c r="P187" i="11"/>
  <c r="Q187" i="11"/>
  <c r="F189" i="6"/>
  <c r="R189" i="6"/>
  <c r="AL189" i="6" s="1"/>
  <c r="O189" i="6"/>
  <c r="E189" i="6"/>
  <c r="N188" i="6" l="1"/>
  <c r="K188" i="6"/>
  <c r="F187" i="11"/>
  <c r="R187" i="11"/>
  <c r="E187" i="11"/>
  <c r="O187" i="11"/>
  <c r="Q190" i="6"/>
  <c r="D189" i="6"/>
  <c r="S189" i="6"/>
  <c r="P190" i="6"/>
  <c r="E190" i="6" s="1"/>
  <c r="G189" i="6"/>
  <c r="AL187" i="11" l="1"/>
  <c r="H189" i="6"/>
  <c r="N189" i="6" s="1"/>
  <c r="AI189" i="6"/>
  <c r="Q188" i="11"/>
  <c r="S187" i="11"/>
  <c r="H187" i="11" s="1"/>
  <c r="N187" i="11" s="1"/>
  <c r="D187" i="11"/>
  <c r="P188" i="11"/>
  <c r="E188" i="11" s="1"/>
  <c r="G187" i="11"/>
  <c r="O190" i="6"/>
  <c r="R190" i="6"/>
  <c r="AL190" i="6" s="1"/>
  <c r="F190" i="6"/>
  <c r="G190" i="6" s="1"/>
  <c r="K189" i="6" l="1"/>
  <c r="K187" i="11"/>
  <c r="AI187" i="11"/>
  <c r="O188" i="11"/>
  <c r="F188" i="11"/>
  <c r="G188" i="11" s="1"/>
  <c r="R188" i="11"/>
  <c r="S190" i="6"/>
  <c r="H190" i="6" s="1"/>
  <c r="K190" i="6" s="1"/>
  <c r="D190" i="6"/>
  <c r="Q191" i="6"/>
  <c r="P191" i="6"/>
  <c r="AI190" i="6" l="1"/>
  <c r="AL188" i="11"/>
  <c r="N190" i="6"/>
  <c r="Q189" i="11"/>
  <c r="D188" i="11"/>
  <c r="S188" i="11"/>
  <c r="H188" i="11" s="1"/>
  <c r="N188" i="11" s="1"/>
  <c r="P189" i="11"/>
  <c r="E189" i="11" s="1"/>
  <c r="O191" i="6"/>
  <c r="E191" i="6"/>
  <c r="R191" i="6"/>
  <c r="AL191" i="6" s="1"/>
  <c r="F191" i="6"/>
  <c r="G191" i="6" l="1"/>
  <c r="K188" i="11"/>
  <c r="AI188" i="11"/>
  <c r="F189" i="11"/>
  <c r="G189" i="11" s="1"/>
  <c r="R189" i="11"/>
  <c r="O189" i="11"/>
  <c r="D191" i="6"/>
  <c r="Q192" i="6"/>
  <c r="P192" i="6"/>
  <c r="S191" i="6"/>
  <c r="H191" i="6" s="1"/>
  <c r="N191" i="6" s="1"/>
  <c r="K191" i="6" l="1"/>
  <c r="AI191" i="6"/>
  <c r="AL189" i="11"/>
  <c r="D189" i="11"/>
  <c r="Q190" i="11"/>
  <c r="S189" i="11"/>
  <c r="H189" i="11" s="1"/>
  <c r="N189" i="11" s="1"/>
  <c r="P190" i="11"/>
  <c r="E190" i="11" s="1"/>
  <c r="E192" i="6"/>
  <c r="O192" i="6"/>
  <c r="F192" i="6"/>
  <c r="R192" i="6"/>
  <c r="AL192" i="6" s="1"/>
  <c r="AI189" i="11" l="1"/>
  <c r="K189" i="11"/>
  <c r="F190" i="11"/>
  <c r="G190" i="11" s="1"/>
  <c r="R190" i="11"/>
  <c r="O190" i="11"/>
  <c r="G192" i="6"/>
  <c r="S192" i="6"/>
  <c r="H192" i="6" s="1"/>
  <c r="N192" i="6" s="1"/>
  <c r="P193" i="6"/>
  <c r="D192" i="6"/>
  <c r="Q193" i="6"/>
  <c r="AI192" i="6" l="1"/>
  <c r="K192" i="6"/>
  <c r="AL190" i="11"/>
  <c r="P191" i="11"/>
  <c r="S190" i="11"/>
  <c r="H190" i="11" s="1"/>
  <c r="N190" i="11" s="1"/>
  <c r="Q191" i="11"/>
  <c r="D190" i="11"/>
  <c r="R193" i="6"/>
  <c r="AL193" i="6" s="1"/>
  <c r="F193" i="6"/>
  <c r="E193" i="6"/>
  <c r="O193" i="6"/>
  <c r="AI190" i="11" l="1"/>
  <c r="K190" i="11"/>
  <c r="F191" i="11"/>
  <c r="R191" i="11"/>
  <c r="E191" i="11"/>
  <c r="O191" i="11"/>
  <c r="G193" i="6"/>
  <c r="D193" i="6"/>
  <c r="P194" i="6"/>
  <c r="S193" i="6"/>
  <c r="Q194" i="6"/>
  <c r="AL191" i="11" l="1"/>
  <c r="H193" i="6"/>
  <c r="AI193" i="6"/>
  <c r="D191" i="11"/>
  <c r="S191" i="11"/>
  <c r="H191" i="11" s="1"/>
  <c r="N191" i="11" s="1"/>
  <c r="Q192" i="11"/>
  <c r="P192" i="11"/>
  <c r="E192" i="11" s="1"/>
  <c r="G191" i="11"/>
  <c r="F194" i="6"/>
  <c r="R194" i="6"/>
  <c r="AL194" i="6" s="1"/>
  <c r="E194" i="6"/>
  <c r="O194" i="6"/>
  <c r="N193" i="6" l="1"/>
  <c r="K193" i="6"/>
  <c r="AI191" i="11"/>
  <c r="K191" i="11"/>
  <c r="F192" i="11"/>
  <c r="G192" i="11" s="1"/>
  <c r="R192" i="11"/>
  <c r="O192" i="11"/>
  <c r="Q195" i="6"/>
  <c r="D194" i="6"/>
  <c r="P195" i="6"/>
  <c r="E195" i="6" s="1"/>
  <c r="S194" i="6"/>
  <c r="G194" i="6"/>
  <c r="AL192" i="11" l="1"/>
  <c r="H194" i="6"/>
  <c r="N194" i="6" s="1"/>
  <c r="AI194" i="6"/>
  <c r="P193" i="11"/>
  <c r="D192" i="11"/>
  <c r="Q193" i="11"/>
  <c r="S192" i="11"/>
  <c r="H192" i="11" s="1"/>
  <c r="N192" i="11" s="1"/>
  <c r="O195" i="6"/>
  <c r="F195" i="6"/>
  <c r="G195" i="6" s="1"/>
  <c r="R195" i="6"/>
  <c r="AL195" i="6" s="1"/>
  <c r="AI192" i="11" l="1"/>
  <c r="K192" i="11"/>
  <c r="K194" i="6"/>
  <c r="R193" i="11"/>
  <c r="F193" i="11"/>
  <c r="E193" i="11"/>
  <c r="O193" i="11"/>
  <c r="P196" i="6"/>
  <c r="S195" i="6"/>
  <c r="Q196" i="6"/>
  <c r="D195" i="6"/>
  <c r="AL193" i="11" l="1"/>
  <c r="H195" i="6"/>
  <c r="AI195" i="6"/>
  <c r="S193" i="11"/>
  <c r="H193" i="11" s="1"/>
  <c r="N193" i="11" s="1"/>
  <c r="Q194" i="11"/>
  <c r="P194" i="11"/>
  <c r="E194" i="11" s="1"/>
  <c r="D193" i="11"/>
  <c r="G193" i="11"/>
  <c r="R196" i="6"/>
  <c r="AL196" i="6" s="1"/>
  <c r="F196" i="6"/>
  <c r="E196" i="6"/>
  <c r="O196" i="6"/>
  <c r="K193" i="11" l="1"/>
  <c r="AI193" i="11"/>
  <c r="K195" i="6"/>
  <c r="N195" i="6"/>
  <c r="R194" i="11"/>
  <c r="F194" i="11"/>
  <c r="G194" i="11" s="1"/>
  <c r="O194" i="11"/>
  <c r="S196" i="6"/>
  <c r="H196" i="6" s="1"/>
  <c r="N196" i="6" s="1"/>
  <c r="Q197" i="6"/>
  <c r="P197" i="6"/>
  <c r="E197" i="6" s="1"/>
  <c r="D196" i="6"/>
  <c r="G196" i="6"/>
  <c r="K196" i="6" l="1"/>
  <c r="AL194" i="11"/>
  <c r="AI196" i="6"/>
  <c r="S194" i="11"/>
  <c r="H194" i="11" s="1"/>
  <c r="N194" i="11" s="1"/>
  <c r="Q195" i="11"/>
  <c r="P195" i="11"/>
  <c r="E195" i="11" s="1"/>
  <c r="D194" i="11"/>
  <c r="F197" i="6"/>
  <c r="G197" i="6" s="1"/>
  <c r="R197" i="6"/>
  <c r="AL197" i="6" s="1"/>
  <c r="O197" i="6"/>
  <c r="AI194" i="11" l="1"/>
  <c r="K194" i="11"/>
  <c r="F195" i="11"/>
  <c r="G195" i="11" s="1"/>
  <c r="R195" i="11"/>
  <c r="O195" i="11"/>
  <c r="Q198" i="6"/>
  <c r="D197" i="6"/>
  <c r="S197" i="6"/>
  <c r="P198" i="6"/>
  <c r="H197" i="6" l="1"/>
  <c r="AI197" i="6"/>
  <c r="AL195" i="11"/>
  <c r="S195" i="11"/>
  <c r="H195" i="11" s="1"/>
  <c r="N195" i="11" s="1"/>
  <c r="P196" i="11"/>
  <c r="D195" i="11"/>
  <c r="Q196" i="11"/>
  <c r="E198" i="6"/>
  <c r="O198" i="6"/>
  <c r="F198" i="6"/>
  <c r="R198" i="6"/>
  <c r="AL198" i="6" s="1"/>
  <c r="AI195" i="11" l="1"/>
  <c r="K195" i="11"/>
  <c r="N197" i="6"/>
  <c r="K197" i="6"/>
  <c r="F196" i="11"/>
  <c r="R196" i="11"/>
  <c r="E196" i="11"/>
  <c r="O196" i="11"/>
  <c r="G198" i="6"/>
  <c r="Q199" i="6"/>
  <c r="P199" i="6"/>
  <c r="S198" i="6"/>
  <c r="D198" i="6"/>
  <c r="H198" i="6" l="1"/>
  <c r="N198" i="6" s="1"/>
  <c r="AI198" i="6"/>
  <c r="AL196" i="11"/>
  <c r="P197" i="11"/>
  <c r="E197" i="11" s="1"/>
  <c r="Q197" i="11"/>
  <c r="S196" i="11"/>
  <c r="H196" i="11" s="1"/>
  <c r="N196" i="11" s="1"/>
  <c r="D196" i="11"/>
  <c r="G196" i="11"/>
  <c r="E199" i="6"/>
  <c r="O199" i="6"/>
  <c r="R199" i="6"/>
  <c r="AL199" i="6" s="1"/>
  <c r="F199" i="6"/>
  <c r="K196" i="11" l="1"/>
  <c r="O197" i="11"/>
  <c r="P198" i="11" s="1"/>
  <c r="E198" i="11" s="1"/>
  <c r="AI196" i="11"/>
  <c r="K198" i="6"/>
  <c r="F197" i="11"/>
  <c r="G197" i="11" s="1"/>
  <c r="R197" i="11"/>
  <c r="G199" i="6"/>
  <c r="Q200" i="6"/>
  <c r="P200" i="6"/>
  <c r="D199" i="6"/>
  <c r="S199" i="6"/>
  <c r="O198" i="11" l="1"/>
  <c r="D198" i="11" s="1"/>
  <c r="Q198" i="11"/>
  <c r="R198" i="11" s="1"/>
  <c r="AL198" i="11" s="1"/>
  <c r="D197" i="11"/>
  <c r="H199" i="6"/>
  <c r="N199" i="6" s="1"/>
  <c r="AI199" i="6"/>
  <c r="AL197" i="11"/>
  <c r="S197" i="11"/>
  <c r="H197" i="11" s="1"/>
  <c r="N197" i="11" s="1"/>
  <c r="E200" i="6"/>
  <c r="O200" i="6"/>
  <c r="F200" i="6"/>
  <c r="R200" i="6"/>
  <c r="AL200" i="6" s="1"/>
  <c r="Q199" i="11" l="1"/>
  <c r="P199" i="11"/>
  <c r="E199" i="11" s="1"/>
  <c r="F198" i="11"/>
  <c r="G198" i="11" s="1"/>
  <c r="S198" i="11"/>
  <c r="H198" i="11" s="1"/>
  <c r="N198" i="11" s="1"/>
  <c r="AI197" i="11"/>
  <c r="K199" i="6"/>
  <c r="K197" i="11"/>
  <c r="G200" i="6"/>
  <c r="F199" i="11"/>
  <c r="Q201" i="6"/>
  <c r="P201" i="6"/>
  <c r="D200" i="6"/>
  <c r="S200" i="6"/>
  <c r="G199" i="11" l="1"/>
  <c r="O199" i="11"/>
  <c r="D199" i="11" s="1"/>
  <c r="R199" i="11"/>
  <c r="AL199" i="11" s="1"/>
  <c r="AI198" i="11"/>
  <c r="K198" i="11"/>
  <c r="H200" i="6"/>
  <c r="AI200" i="6"/>
  <c r="E201" i="6"/>
  <c r="O201" i="6"/>
  <c r="R201" i="6"/>
  <c r="AL201" i="6" s="1"/>
  <c r="F201" i="6"/>
  <c r="P200" i="11" l="1"/>
  <c r="E200" i="11" s="1"/>
  <c r="Q200" i="11"/>
  <c r="F200" i="11" s="1"/>
  <c r="S199" i="11"/>
  <c r="H199" i="11" s="1"/>
  <c r="N199" i="11" s="1"/>
  <c r="N200" i="6"/>
  <c r="K200" i="6"/>
  <c r="K199" i="11"/>
  <c r="G201" i="6"/>
  <c r="D201" i="6"/>
  <c r="Q202" i="6"/>
  <c r="S201" i="6"/>
  <c r="H201" i="6" s="1"/>
  <c r="N201" i="6" s="1"/>
  <c r="P202" i="6"/>
  <c r="AI199" i="11" l="1"/>
  <c r="O200" i="11"/>
  <c r="Q201" i="11" s="1"/>
  <c r="G200" i="11"/>
  <c r="R200" i="11"/>
  <c r="AL200" i="11" s="1"/>
  <c r="K201" i="6"/>
  <c r="AI201" i="6"/>
  <c r="D200" i="11"/>
  <c r="S200" i="11"/>
  <c r="E202" i="6"/>
  <c r="O202" i="6"/>
  <c r="F202" i="6"/>
  <c r="R202" i="6"/>
  <c r="AL202" i="6" s="1"/>
  <c r="P201" i="11" l="1"/>
  <c r="E201" i="11" s="1"/>
  <c r="H200" i="11"/>
  <c r="AI200" i="11"/>
  <c r="F201" i="11"/>
  <c r="G202" i="6"/>
  <c r="D202" i="6"/>
  <c r="P203" i="6"/>
  <c r="S202" i="6"/>
  <c r="H202" i="6" s="1"/>
  <c r="N202" i="6" s="1"/>
  <c r="Q203" i="6"/>
  <c r="O201" i="11" l="1"/>
  <c r="R201" i="11"/>
  <c r="AL201" i="11" s="1"/>
  <c r="K202" i="6"/>
  <c r="AI202" i="6"/>
  <c r="N200" i="11"/>
  <c r="K200" i="11"/>
  <c r="G201" i="11"/>
  <c r="Q202" i="11"/>
  <c r="S201" i="11"/>
  <c r="P202" i="11"/>
  <c r="D201" i="11"/>
  <c r="O203" i="6"/>
  <c r="E203" i="6"/>
  <c r="F203" i="6"/>
  <c r="R203" i="6"/>
  <c r="AL203" i="6" s="1"/>
  <c r="G203" i="6" l="1"/>
  <c r="H201" i="11"/>
  <c r="N201" i="11" s="1"/>
  <c r="AI201" i="11"/>
  <c r="E202" i="11"/>
  <c r="O202" i="11"/>
  <c r="R202" i="11"/>
  <c r="AL202" i="11" s="1"/>
  <c r="F202" i="11"/>
  <c r="D203" i="6"/>
  <c r="Q204" i="6"/>
  <c r="S203" i="6"/>
  <c r="H203" i="6" s="1"/>
  <c r="N203" i="6" s="1"/>
  <c r="P204" i="6"/>
  <c r="AI203" i="6" l="1"/>
  <c r="K203" i="6"/>
  <c r="K201" i="11"/>
  <c r="G202" i="11"/>
  <c r="Q203" i="11"/>
  <c r="D202" i="11"/>
  <c r="P203" i="11"/>
  <c r="S202" i="11"/>
  <c r="E204" i="6"/>
  <c r="O204" i="6"/>
  <c r="R204" i="6"/>
  <c r="AL204" i="6" s="1"/>
  <c r="F204" i="6"/>
  <c r="H202" i="11" l="1"/>
  <c r="N202" i="11" s="1"/>
  <c r="AI202" i="11"/>
  <c r="G204" i="6"/>
  <c r="E203" i="11"/>
  <c r="O203" i="11"/>
  <c r="F203" i="11"/>
  <c r="R203" i="11"/>
  <c r="AL203" i="11" s="1"/>
  <c r="D204" i="6"/>
  <c r="Q205" i="6"/>
  <c r="S204" i="6"/>
  <c r="H204" i="6" s="1"/>
  <c r="P205" i="6"/>
  <c r="K204" i="6" l="1"/>
  <c r="G203" i="11"/>
  <c r="K202" i="11"/>
  <c r="AI204" i="6"/>
  <c r="N204" i="6"/>
  <c r="D203" i="11"/>
  <c r="S203" i="11"/>
  <c r="P204" i="11"/>
  <c r="Q204" i="11"/>
  <c r="E205" i="6"/>
  <c r="O205" i="6"/>
  <c r="R205" i="6"/>
  <c r="AL205" i="6" s="1"/>
  <c r="F205" i="6"/>
  <c r="H203" i="11" l="1"/>
  <c r="AI203" i="11"/>
  <c r="G205" i="6"/>
  <c r="F204" i="11"/>
  <c r="R204" i="11"/>
  <c r="E204" i="11"/>
  <c r="O204" i="11"/>
  <c r="P206" i="6"/>
  <c r="D205" i="6"/>
  <c r="Q206" i="6"/>
  <c r="S205" i="6"/>
  <c r="H205" i="6" l="1"/>
  <c r="N205" i="6" s="1"/>
  <c r="AI205" i="6"/>
  <c r="K205" i="6"/>
  <c r="AL204" i="11"/>
  <c r="N203" i="11"/>
  <c r="K203" i="11"/>
  <c r="S204" i="11"/>
  <c r="H204" i="11" s="1"/>
  <c r="N204" i="11" s="1"/>
  <c r="D204" i="11"/>
  <c r="Q205" i="11"/>
  <c r="P205" i="11"/>
  <c r="G204" i="11"/>
  <c r="F206" i="6"/>
  <c r="R206" i="6"/>
  <c r="AL206" i="6" s="1"/>
  <c r="E206" i="6"/>
  <c r="O206" i="6"/>
  <c r="K204" i="11" l="1"/>
  <c r="AI204" i="11"/>
  <c r="E205" i="11"/>
  <c r="O205" i="11"/>
  <c r="F205" i="11"/>
  <c r="R205" i="11"/>
  <c r="Q207" i="6"/>
  <c r="D206" i="6"/>
  <c r="S206" i="6"/>
  <c r="P207" i="6"/>
  <c r="G206" i="6"/>
  <c r="H206" i="6" l="1"/>
  <c r="AI206" i="6"/>
  <c r="AL205" i="11"/>
  <c r="G205" i="11"/>
  <c r="S205" i="11"/>
  <c r="H205" i="11" s="1"/>
  <c r="N205" i="11" s="1"/>
  <c r="D205" i="11"/>
  <c r="Q206" i="11"/>
  <c r="P206" i="11"/>
  <c r="E207" i="6"/>
  <c r="O207" i="6"/>
  <c r="F207" i="6"/>
  <c r="R207" i="6"/>
  <c r="AL207" i="6" s="1"/>
  <c r="AI205" i="11" l="1"/>
  <c r="K205" i="11"/>
  <c r="N206" i="6"/>
  <c r="K206" i="6"/>
  <c r="G207" i="6"/>
  <c r="F206" i="11"/>
  <c r="R206" i="11"/>
  <c r="E206" i="11"/>
  <c r="O206" i="11"/>
  <c r="P208" i="6"/>
  <c r="D207" i="6"/>
  <c r="S207" i="6"/>
  <c r="Q208" i="6"/>
  <c r="H207" i="6" l="1"/>
  <c r="AI207" i="6"/>
  <c r="AL206" i="11"/>
  <c r="G206" i="11"/>
  <c r="P207" i="11"/>
  <c r="E207" i="11" s="1"/>
  <c r="D206" i="11"/>
  <c r="Q207" i="11"/>
  <c r="S206" i="11"/>
  <c r="H206" i="11" s="1"/>
  <c r="N206" i="11" s="1"/>
  <c r="F208" i="6"/>
  <c r="R208" i="6"/>
  <c r="AL208" i="6" s="1"/>
  <c r="E208" i="6"/>
  <c r="O208" i="6"/>
  <c r="AI206" i="11" l="1"/>
  <c r="K206" i="11"/>
  <c r="N207" i="6"/>
  <c r="K207" i="6"/>
  <c r="O207" i="11"/>
  <c r="R207" i="11"/>
  <c r="F207" i="11"/>
  <c r="G207" i="11" s="1"/>
  <c r="D208" i="6"/>
  <c r="P209" i="6"/>
  <c r="Q209" i="6"/>
  <c r="S208" i="6"/>
  <c r="G208" i="6"/>
  <c r="H208" i="6" l="1"/>
  <c r="N208" i="6" s="1"/>
  <c r="AI208" i="6"/>
  <c r="AL207" i="11"/>
  <c r="D207" i="11"/>
  <c r="P208" i="11"/>
  <c r="E208" i="11" s="1"/>
  <c r="Q208" i="11"/>
  <c r="S207" i="11"/>
  <c r="H207" i="11" s="1"/>
  <c r="N207" i="11" s="1"/>
  <c r="R209" i="6"/>
  <c r="AL209" i="6" s="1"/>
  <c r="F209" i="6"/>
  <c r="O209" i="6"/>
  <c r="E209" i="6"/>
  <c r="AI207" i="11" l="1"/>
  <c r="K207" i="11"/>
  <c r="K208" i="6"/>
  <c r="F208" i="11"/>
  <c r="G208" i="11" s="1"/>
  <c r="R208" i="11"/>
  <c r="O208" i="11"/>
  <c r="S209" i="6"/>
  <c r="H209" i="6" s="1"/>
  <c r="N209" i="6" s="1"/>
  <c r="D209" i="6"/>
  <c r="P210" i="6"/>
  <c r="Q210" i="6"/>
  <c r="G209" i="6"/>
  <c r="K209" i="6" l="1"/>
  <c r="AI209" i="6"/>
  <c r="AL208" i="11"/>
  <c r="D208" i="11"/>
  <c r="Q209" i="11"/>
  <c r="P209" i="11"/>
  <c r="E209" i="11" s="1"/>
  <c r="S208" i="11"/>
  <c r="H208" i="11" s="1"/>
  <c r="N208" i="11" s="1"/>
  <c r="R210" i="6"/>
  <c r="AL210" i="6" s="1"/>
  <c r="F210" i="6"/>
  <c r="E210" i="6"/>
  <c r="O210" i="6"/>
  <c r="AI208" i="11" l="1"/>
  <c r="K208" i="11"/>
  <c r="F209" i="11"/>
  <c r="G209" i="11" s="1"/>
  <c r="R209" i="11"/>
  <c r="O209" i="11"/>
  <c r="S210" i="6"/>
  <c r="H210" i="6" s="1"/>
  <c r="N210" i="6" s="1"/>
  <c r="P211" i="6"/>
  <c r="E211" i="6" s="1"/>
  <c r="Q211" i="6"/>
  <c r="D210" i="6"/>
  <c r="G210" i="6"/>
  <c r="K210" i="6" l="1"/>
  <c r="AI210" i="6"/>
  <c r="AL209" i="11"/>
  <c r="S209" i="11"/>
  <c r="H209" i="11" s="1"/>
  <c r="N209" i="11" s="1"/>
  <c r="P210" i="11"/>
  <c r="E210" i="11" s="1"/>
  <c r="D209" i="11"/>
  <c r="Q210" i="11"/>
  <c r="R211" i="6"/>
  <c r="AL211" i="6" s="1"/>
  <c r="F211" i="6"/>
  <c r="G211" i="6" s="1"/>
  <c r="O211" i="6"/>
  <c r="AI209" i="11" l="1"/>
  <c r="K209" i="11"/>
  <c r="F210" i="11"/>
  <c r="G210" i="11" s="1"/>
  <c r="R210" i="11"/>
  <c r="O210" i="11"/>
  <c r="P212" i="6"/>
  <c r="Q212" i="6"/>
  <c r="D211" i="6"/>
  <c r="S211" i="6"/>
  <c r="AL210" i="11" l="1"/>
  <c r="H211" i="6"/>
  <c r="AI211" i="6"/>
  <c r="Q211" i="11"/>
  <c r="D210" i="11"/>
  <c r="P211" i="11"/>
  <c r="E211" i="11" s="1"/>
  <c r="S210" i="11"/>
  <c r="H210" i="11" s="1"/>
  <c r="N210" i="11" s="1"/>
  <c r="R212" i="6"/>
  <c r="AL212" i="6" s="1"/>
  <c r="F212" i="6"/>
  <c r="E212" i="6"/>
  <c r="O212" i="6"/>
  <c r="N211" i="6" l="1"/>
  <c r="K211" i="6"/>
  <c r="AI210" i="11"/>
  <c r="K210" i="11"/>
  <c r="O211" i="11"/>
  <c r="F211" i="11"/>
  <c r="G211" i="11" s="1"/>
  <c r="R211" i="11"/>
  <c r="Q213" i="6"/>
  <c r="D212" i="6"/>
  <c r="P213" i="6"/>
  <c r="S212" i="6"/>
  <c r="G212" i="6"/>
  <c r="H212" i="6" l="1"/>
  <c r="N212" i="6" s="1"/>
  <c r="AI212" i="6"/>
  <c r="AL211" i="11"/>
  <c r="P212" i="11"/>
  <c r="E212" i="11" s="1"/>
  <c r="S211" i="11"/>
  <c r="H211" i="11" s="1"/>
  <c r="N211" i="11" s="1"/>
  <c r="D211" i="11"/>
  <c r="Q212" i="11"/>
  <c r="E213" i="6"/>
  <c r="O213" i="6"/>
  <c r="R213" i="6"/>
  <c r="AL213" i="6" s="1"/>
  <c r="F213" i="6"/>
  <c r="K212" i="6" l="1"/>
  <c r="AI211" i="11"/>
  <c r="K211" i="11"/>
  <c r="G213" i="6"/>
  <c r="O212" i="11"/>
  <c r="S212" i="11" s="1"/>
  <c r="H212" i="11" s="1"/>
  <c r="N212" i="11" s="1"/>
  <c r="F212" i="11"/>
  <c r="G212" i="11" s="1"/>
  <c r="R212" i="11"/>
  <c r="P214" i="6"/>
  <c r="E214" i="6" s="1"/>
  <c r="Q214" i="6"/>
  <c r="D213" i="6"/>
  <c r="S213" i="6"/>
  <c r="H213" i="6" l="1"/>
  <c r="AI213" i="6"/>
  <c r="AL212" i="11"/>
  <c r="AI212" i="11"/>
  <c r="K212" i="11"/>
  <c r="Q213" i="11"/>
  <c r="F213" i="11" s="1"/>
  <c r="P213" i="11"/>
  <c r="E213" i="11" s="1"/>
  <c r="D212" i="11"/>
  <c r="O214" i="6"/>
  <c r="R214" i="6"/>
  <c r="AL214" i="6" s="1"/>
  <c r="F214" i="6"/>
  <c r="G214" i="6" s="1"/>
  <c r="N213" i="6" l="1"/>
  <c r="K213" i="6"/>
  <c r="R213" i="11"/>
  <c r="O213" i="11"/>
  <c r="S213" i="11" s="1"/>
  <c r="H213" i="11" s="1"/>
  <c r="N213" i="11" s="1"/>
  <c r="G213" i="11"/>
  <c r="D214" i="6"/>
  <c r="P215" i="6"/>
  <c r="Q215" i="6"/>
  <c r="S214" i="6"/>
  <c r="AL213" i="11" l="1"/>
  <c r="AI213" i="11"/>
  <c r="H214" i="6"/>
  <c r="AI214" i="6"/>
  <c r="P214" i="11"/>
  <c r="O214" i="11" s="1"/>
  <c r="K213" i="11"/>
  <c r="Q214" i="11"/>
  <c r="F214" i="11" s="1"/>
  <c r="D213" i="11"/>
  <c r="R215" i="6"/>
  <c r="AL215" i="6" s="1"/>
  <c r="F215" i="6"/>
  <c r="O215" i="6"/>
  <c r="E215" i="6"/>
  <c r="E214" i="11" l="1"/>
  <c r="G214" i="11" s="1"/>
  <c r="N214" i="6"/>
  <c r="K214" i="6"/>
  <c r="R214" i="11"/>
  <c r="S214" i="11"/>
  <c r="H214" i="11" s="1"/>
  <c r="N214" i="11" s="1"/>
  <c r="Q215" i="11"/>
  <c r="P215" i="11"/>
  <c r="D214" i="11"/>
  <c r="D215" i="6"/>
  <c r="P216" i="6"/>
  <c r="E216" i="6" s="1"/>
  <c r="Q216" i="6"/>
  <c r="S215" i="6"/>
  <c r="G215" i="6"/>
  <c r="K214" i="11" l="1"/>
  <c r="H215" i="6"/>
  <c r="N215" i="6" s="1"/>
  <c r="AI215" i="6"/>
  <c r="AL214" i="11"/>
  <c r="AI214" i="11"/>
  <c r="K215" i="6"/>
  <c r="R215" i="11"/>
  <c r="AL215" i="11" s="1"/>
  <c r="F215" i="11"/>
  <c r="E215" i="11"/>
  <c r="O215" i="11"/>
  <c r="R216" i="6"/>
  <c r="AL216" i="6" s="1"/>
  <c r="F216" i="6"/>
  <c r="G216" i="6" s="1"/>
  <c r="O216" i="6"/>
  <c r="G215" i="11" l="1"/>
  <c r="D215" i="11"/>
  <c r="P216" i="11"/>
  <c r="Q216" i="11"/>
  <c r="S215" i="11"/>
  <c r="P217" i="6"/>
  <c r="E217" i="6" s="1"/>
  <c r="S216" i="6"/>
  <c r="H216" i="6" s="1"/>
  <c r="N216" i="6" s="1"/>
  <c r="Q217" i="6"/>
  <c r="D216" i="6"/>
  <c r="H215" i="11" l="1"/>
  <c r="N215" i="11" s="1"/>
  <c r="AI215" i="11"/>
  <c r="AI216" i="6"/>
  <c r="K216" i="6"/>
  <c r="R216" i="11"/>
  <c r="AL216" i="11" s="1"/>
  <c r="F216" i="11"/>
  <c r="E216" i="11"/>
  <c r="O216" i="11"/>
  <c r="F217" i="6"/>
  <c r="G217" i="6" s="1"/>
  <c r="R217" i="6"/>
  <c r="AL217" i="6" s="1"/>
  <c r="O217" i="6"/>
  <c r="K215" i="11" l="1"/>
  <c r="G216" i="11"/>
  <c r="P217" i="11"/>
  <c r="E217" i="11" s="1"/>
  <c r="Q217" i="11"/>
  <c r="D216" i="11"/>
  <c r="S216" i="11"/>
  <c r="S217" i="6"/>
  <c r="D217" i="6"/>
  <c r="Q218" i="6"/>
  <c r="P218" i="6"/>
  <c r="E218" i="6" s="1"/>
  <c r="H217" i="6" l="1"/>
  <c r="AI217" i="6"/>
  <c r="H216" i="11"/>
  <c r="N216" i="11" s="1"/>
  <c r="AI216" i="11"/>
  <c r="O217" i="11"/>
  <c r="R217" i="11"/>
  <c r="AL217" i="11" s="1"/>
  <c r="F217" i="11"/>
  <c r="G217" i="11" s="1"/>
  <c r="F218" i="6"/>
  <c r="G218" i="6" s="1"/>
  <c r="R218" i="6"/>
  <c r="O218" i="6"/>
  <c r="K216" i="11" l="1"/>
  <c r="AL218" i="6"/>
  <c r="N217" i="6"/>
  <c r="K217" i="6"/>
  <c r="Q218" i="11"/>
  <c r="S217" i="11"/>
  <c r="P218" i="11"/>
  <c r="D217" i="11"/>
  <c r="S218" i="6"/>
  <c r="H218" i="6" s="1"/>
  <c r="N218" i="6" s="1"/>
  <c r="Q219" i="6"/>
  <c r="D218" i="6"/>
  <c r="P219" i="6"/>
  <c r="E219" i="6" s="1"/>
  <c r="H217" i="11" l="1"/>
  <c r="AI217" i="11"/>
  <c r="K218" i="6"/>
  <c r="AI218" i="6"/>
  <c r="F218" i="11"/>
  <c r="R218" i="11"/>
  <c r="AL218" i="11" s="1"/>
  <c r="E218" i="11"/>
  <c r="O218" i="11"/>
  <c r="R219" i="6"/>
  <c r="F219" i="6"/>
  <c r="G219" i="6" s="1"/>
  <c r="O219" i="6"/>
  <c r="AL219" i="6" l="1"/>
  <c r="N217" i="11"/>
  <c r="K217" i="11"/>
  <c r="P219" i="11"/>
  <c r="E219" i="11" s="1"/>
  <c r="D218" i="11"/>
  <c r="Q219" i="11"/>
  <c r="S218" i="11"/>
  <c r="G218" i="11"/>
  <c r="D219" i="6"/>
  <c r="Q220" i="6"/>
  <c r="P220" i="6"/>
  <c r="E220" i="6" s="1"/>
  <c r="S219" i="6"/>
  <c r="H219" i="6" s="1"/>
  <c r="N219" i="6" s="1"/>
  <c r="AI219" i="6" l="1"/>
  <c r="H218" i="11"/>
  <c r="N218" i="11" s="1"/>
  <c r="AI218" i="11"/>
  <c r="K219" i="6"/>
  <c r="R219" i="11"/>
  <c r="F219" i="11"/>
  <c r="G219" i="11" s="1"/>
  <c r="O219" i="11"/>
  <c r="R220" i="6"/>
  <c r="F220" i="6"/>
  <c r="G220" i="6" s="1"/>
  <c r="O220" i="6"/>
  <c r="AL219" i="11" l="1"/>
  <c r="K218" i="11"/>
  <c r="AL220" i="6"/>
  <c r="Q220" i="11"/>
  <c r="S219" i="11"/>
  <c r="H219" i="11" s="1"/>
  <c r="N219" i="11" s="1"/>
  <c r="P220" i="11"/>
  <c r="E220" i="11" s="1"/>
  <c r="D219" i="11"/>
  <c r="P221" i="6"/>
  <c r="E221" i="6" s="1"/>
  <c r="Q221" i="6"/>
  <c r="S220" i="6"/>
  <c r="H220" i="6" s="1"/>
  <c r="D220" i="6"/>
  <c r="K219" i="11" l="1"/>
  <c r="AI220" i="6"/>
  <c r="AI219" i="11"/>
  <c r="N220" i="6"/>
  <c r="K220" i="6"/>
  <c r="O220" i="11"/>
  <c r="F220" i="11"/>
  <c r="G220" i="11" s="1"/>
  <c r="R220" i="11"/>
  <c r="O221" i="6"/>
  <c r="R221" i="6"/>
  <c r="F221" i="6"/>
  <c r="G221" i="6" s="1"/>
  <c r="AL220" i="11" l="1"/>
  <c r="AL221" i="6"/>
  <c r="P221" i="11"/>
  <c r="E221" i="11" s="1"/>
  <c r="Q221" i="11"/>
  <c r="D220" i="11"/>
  <c r="S220" i="11"/>
  <c r="H220" i="11" s="1"/>
  <c r="N220" i="11" s="1"/>
  <c r="S221" i="6"/>
  <c r="H221" i="6" s="1"/>
  <c r="N221" i="6" s="1"/>
  <c r="P222" i="6"/>
  <c r="E222" i="6" s="1"/>
  <c r="D221" i="6"/>
  <c r="Q222" i="6"/>
  <c r="AI220" i="11" l="1"/>
  <c r="K221" i="6"/>
  <c r="AI221" i="6"/>
  <c r="K220" i="11"/>
  <c r="O221" i="11"/>
  <c r="F221" i="11"/>
  <c r="G221" i="11" s="1"/>
  <c r="R221" i="11"/>
  <c r="F222" i="6"/>
  <c r="G222" i="6" s="1"/>
  <c r="R222" i="6"/>
  <c r="O222" i="6"/>
  <c r="AL221" i="11" l="1"/>
  <c r="AL222" i="6"/>
  <c r="Q222" i="11"/>
  <c r="D221" i="11"/>
  <c r="S221" i="11"/>
  <c r="H221" i="11" s="1"/>
  <c r="N221" i="11" s="1"/>
  <c r="P222" i="11"/>
  <c r="E222" i="11" s="1"/>
  <c r="S222" i="6"/>
  <c r="H222" i="6" s="1"/>
  <c r="N222" i="6" s="1"/>
  <c r="P223" i="6"/>
  <c r="E223" i="6" s="1"/>
  <c r="D222" i="6"/>
  <c r="Q223" i="6"/>
  <c r="K221" i="11" l="1"/>
  <c r="AI221" i="11"/>
  <c r="AI222" i="6"/>
  <c r="K222" i="6"/>
  <c r="O222" i="11"/>
  <c r="D222" i="11" s="1"/>
  <c r="F222" i="11"/>
  <c r="G222" i="11" s="1"/>
  <c r="R222" i="11"/>
  <c r="R223" i="6"/>
  <c r="F223" i="6"/>
  <c r="G223" i="6" s="1"/>
  <c r="O223" i="6"/>
  <c r="AL222" i="11" l="1"/>
  <c r="AL223" i="6"/>
  <c r="P223" i="11"/>
  <c r="E223" i="11" s="1"/>
  <c r="S222" i="11"/>
  <c r="H222" i="11" s="1"/>
  <c r="N222" i="11" s="1"/>
  <c r="Q223" i="11"/>
  <c r="Q224" i="6"/>
  <c r="P224" i="6"/>
  <c r="E224" i="6" s="1"/>
  <c r="D223" i="6"/>
  <c r="S223" i="6"/>
  <c r="H223" i="6" s="1"/>
  <c r="N223" i="6" s="1"/>
  <c r="AI222" i="11" l="1"/>
  <c r="K222" i="11"/>
  <c r="AI223" i="6"/>
  <c r="K223" i="6"/>
  <c r="O223" i="11"/>
  <c r="P224" i="11" s="1"/>
  <c r="R223" i="11"/>
  <c r="F223" i="11"/>
  <c r="G223" i="11" s="1"/>
  <c r="O224" i="6"/>
  <c r="F224" i="6"/>
  <c r="G224" i="6" s="1"/>
  <c r="R224" i="6"/>
  <c r="D223" i="11" l="1"/>
  <c r="S223" i="11"/>
  <c r="H223" i="11" s="1"/>
  <c r="N223" i="11" s="1"/>
  <c r="AL224" i="6"/>
  <c r="AL223" i="11"/>
  <c r="AI223" i="11"/>
  <c r="Q224" i="11"/>
  <c r="F224" i="11" s="1"/>
  <c r="E224" i="11"/>
  <c r="O224" i="11"/>
  <c r="P225" i="6"/>
  <c r="E225" i="6" s="1"/>
  <c r="Q225" i="6"/>
  <c r="S224" i="6"/>
  <c r="H224" i="6" s="1"/>
  <c r="N224" i="6" s="1"/>
  <c r="D224" i="6"/>
  <c r="K223" i="11" l="1"/>
  <c r="G224" i="11"/>
  <c r="AI224" i="6"/>
  <c r="R224" i="11"/>
  <c r="K224" i="6"/>
  <c r="O225" i="6"/>
  <c r="P226" i="6" s="1"/>
  <c r="E226" i="6" s="1"/>
  <c r="D224" i="11"/>
  <c r="S224" i="11"/>
  <c r="H224" i="11" s="1"/>
  <c r="N224" i="11" s="1"/>
  <c r="Q225" i="11"/>
  <c r="P225" i="11"/>
  <c r="R225" i="6"/>
  <c r="F225" i="6"/>
  <c r="G225" i="6" s="1"/>
  <c r="AL224" i="11" l="1"/>
  <c r="AI224" i="11"/>
  <c r="AL225" i="6"/>
  <c r="K224" i="11"/>
  <c r="Q226" i="6"/>
  <c r="R226" i="6" s="1"/>
  <c r="S225" i="6"/>
  <c r="H225" i="6" s="1"/>
  <c r="N225" i="6" s="1"/>
  <c r="E225" i="11"/>
  <c r="O225" i="11"/>
  <c r="D225" i="6"/>
  <c r="F225" i="11"/>
  <c r="R225" i="11"/>
  <c r="AL225" i="11" s="1"/>
  <c r="O226" i="6"/>
  <c r="F226" i="6" l="1"/>
  <c r="G226" i="6" s="1"/>
  <c r="AL226" i="6"/>
  <c r="K225" i="6"/>
  <c r="AI225" i="6"/>
  <c r="G225" i="11"/>
  <c r="D225" i="11"/>
  <c r="Q226" i="11"/>
  <c r="S225" i="11"/>
  <c r="P226" i="11"/>
  <c r="D226" i="6"/>
  <c r="S226" i="6"/>
  <c r="H226" i="6" s="1"/>
  <c r="N226" i="6" s="1"/>
  <c r="P227" i="6"/>
  <c r="E227" i="6" s="1"/>
  <c r="Q227" i="6"/>
  <c r="K226" i="6" l="1"/>
  <c r="H225" i="11"/>
  <c r="N225" i="11" s="1"/>
  <c r="AI225" i="11"/>
  <c r="AI226" i="6"/>
  <c r="F226" i="11"/>
  <c r="R226" i="11"/>
  <c r="AL226" i="11" s="1"/>
  <c r="E226" i="11"/>
  <c r="O226" i="11"/>
  <c r="F227" i="6"/>
  <c r="G227" i="6" s="1"/>
  <c r="R227" i="6"/>
  <c r="O227" i="6"/>
  <c r="AL227" i="6" l="1"/>
  <c r="K225" i="11"/>
  <c r="G226" i="11"/>
  <c r="Q227" i="11"/>
  <c r="D226" i="11"/>
  <c r="P227" i="11"/>
  <c r="S226" i="11"/>
  <c r="H226" i="11" s="1"/>
  <c r="N226" i="11" s="1"/>
  <c r="P228" i="6"/>
  <c r="E228" i="6" s="1"/>
  <c r="D227" i="6"/>
  <c r="Q228" i="6"/>
  <c r="S227" i="6"/>
  <c r="H227" i="6" s="1"/>
  <c r="AI226" i="11" l="1"/>
  <c r="AI227" i="6"/>
  <c r="N227" i="6"/>
  <c r="K227" i="6"/>
  <c r="K226" i="11"/>
  <c r="E227" i="11"/>
  <c r="O227" i="11"/>
  <c r="F227" i="11"/>
  <c r="R227" i="11"/>
  <c r="AL227" i="11" s="1"/>
  <c r="O228" i="6"/>
  <c r="Q229" i="6" s="1"/>
  <c r="R228" i="6"/>
  <c r="F228" i="6"/>
  <c r="G228" i="6" s="1"/>
  <c r="G227" i="11" l="1"/>
  <c r="D228" i="6"/>
  <c r="S228" i="6"/>
  <c r="H228" i="6" s="1"/>
  <c r="N228" i="6" s="1"/>
  <c r="P229" i="6"/>
  <c r="E229" i="6" s="1"/>
  <c r="AL228" i="6"/>
  <c r="P228" i="11"/>
  <c r="Q228" i="11"/>
  <c r="S227" i="11"/>
  <c r="D227" i="11"/>
  <c r="F229" i="6"/>
  <c r="AI228" i="6" l="1"/>
  <c r="K228" i="6"/>
  <c r="R229" i="6"/>
  <c r="AL229" i="6" s="1"/>
  <c r="G229" i="6"/>
  <c r="O229" i="6"/>
  <c r="Q230" i="6" s="1"/>
  <c r="H227" i="11"/>
  <c r="AI227" i="11"/>
  <c r="R228" i="11"/>
  <c r="AL228" i="11" s="1"/>
  <c r="F228" i="11"/>
  <c r="E228" i="11"/>
  <c r="O228" i="11"/>
  <c r="P230" i="6" l="1"/>
  <c r="R230" i="6" s="1"/>
  <c r="AL230" i="6" s="1"/>
  <c r="S229" i="6"/>
  <c r="H229" i="6" s="1"/>
  <c r="D229" i="6"/>
  <c r="N227" i="11"/>
  <c r="K227" i="11"/>
  <c r="Q229" i="11"/>
  <c r="D228" i="11"/>
  <c r="P229" i="11"/>
  <c r="S228" i="11"/>
  <c r="G228" i="11"/>
  <c r="F230" i="6"/>
  <c r="AI229" i="6" l="1"/>
  <c r="E230" i="6"/>
  <c r="G230" i="6" s="1"/>
  <c r="O230" i="6"/>
  <c r="S230" i="6" s="1"/>
  <c r="H230" i="6" s="1"/>
  <c r="N230" i="6" s="1"/>
  <c r="H228" i="11"/>
  <c r="N228" i="11" s="1"/>
  <c r="AI228" i="11"/>
  <c r="K228" i="11"/>
  <c r="N229" i="6"/>
  <c r="K229" i="6"/>
  <c r="E229" i="11"/>
  <c r="O229" i="11"/>
  <c r="R229" i="11"/>
  <c r="AL229" i="11" s="1"/>
  <c r="F229" i="11"/>
  <c r="P231" i="6" l="1"/>
  <c r="E231" i="6" s="1"/>
  <c r="Q231" i="6"/>
  <c r="F231" i="6" s="1"/>
  <c r="D230" i="6"/>
  <c r="AI230" i="6"/>
  <c r="K230" i="6"/>
  <c r="G229" i="11"/>
  <c r="S229" i="11"/>
  <c r="P230" i="11"/>
  <c r="E230" i="11" s="1"/>
  <c r="Q230" i="11"/>
  <c r="D229" i="11"/>
  <c r="O231" i="6" l="1"/>
  <c r="Q232" i="6" s="1"/>
  <c r="R231" i="6"/>
  <c r="AL231" i="6" s="1"/>
  <c r="H229" i="11"/>
  <c r="N229" i="11" s="1"/>
  <c r="AI229" i="11"/>
  <c r="O230" i="11"/>
  <c r="D230" i="11" s="1"/>
  <c r="R230" i="11"/>
  <c r="AL230" i="11" s="1"/>
  <c r="F230" i="11"/>
  <c r="G230" i="11" s="1"/>
  <c r="G231" i="6"/>
  <c r="K229" i="11" l="1"/>
  <c r="S231" i="6"/>
  <c r="H231" i="6" s="1"/>
  <c r="N231" i="6" s="1"/>
  <c r="P232" i="6"/>
  <c r="E232" i="6" s="1"/>
  <c r="D231" i="6"/>
  <c r="AI231" i="6"/>
  <c r="Q231" i="11"/>
  <c r="S230" i="11"/>
  <c r="H230" i="11" s="1"/>
  <c r="P231" i="11"/>
  <c r="F232" i="6"/>
  <c r="K231" i="6" l="1"/>
  <c r="G232" i="6"/>
  <c r="R232" i="6"/>
  <c r="AL232" i="6" s="1"/>
  <c r="O232" i="6"/>
  <c r="D232" i="6" s="1"/>
  <c r="N230" i="11"/>
  <c r="K230" i="11"/>
  <c r="AI230" i="11"/>
  <c r="E231" i="11"/>
  <c r="O231" i="11"/>
  <c r="F231" i="11"/>
  <c r="R231" i="11"/>
  <c r="AL231" i="11" s="1"/>
  <c r="S232" i="6" l="1"/>
  <c r="H232" i="6" s="1"/>
  <c r="K232" i="6" s="1"/>
  <c r="P233" i="6"/>
  <c r="E233" i="6" s="1"/>
  <c r="Q233" i="6"/>
  <c r="F233" i="6" s="1"/>
  <c r="N232" i="6"/>
  <c r="G231" i="11"/>
  <c r="Q232" i="11"/>
  <c r="S231" i="11"/>
  <c r="D231" i="11"/>
  <c r="P232" i="11"/>
  <c r="AI232" i="6" l="1"/>
  <c r="O233" i="6"/>
  <c r="S233" i="6" s="1"/>
  <c r="G233" i="6"/>
  <c r="R233" i="6"/>
  <c r="AL233" i="6" s="1"/>
  <c r="H231" i="11"/>
  <c r="N231" i="11" s="1"/>
  <c r="AI231" i="11"/>
  <c r="E232" i="11"/>
  <c r="O232" i="11"/>
  <c r="R232" i="11"/>
  <c r="AL232" i="11" s="1"/>
  <c r="F232" i="11"/>
  <c r="D233" i="6" l="1"/>
  <c r="P234" i="6"/>
  <c r="E234" i="6" s="1"/>
  <c r="Q234" i="6"/>
  <c r="K231" i="11"/>
  <c r="H233" i="6"/>
  <c r="AI233" i="6"/>
  <c r="G232" i="11"/>
  <c r="S232" i="11"/>
  <c r="D232" i="11"/>
  <c r="P233" i="11"/>
  <c r="Q233" i="11"/>
  <c r="R234" i="6" l="1"/>
  <c r="AL234" i="6" s="1"/>
  <c r="O234" i="6"/>
  <c r="S234" i="6" s="1"/>
  <c r="H234" i="6" s="1"/>
  <c r="F234" i="6"/>
  <c r="G234" i="6" s="1"/>
  <c r="H232" i="11"/>
  <c r="N232" i="11" s="1"/>
  <c r="AI232" i="11"/>
  <c r="N233" i="6"/>
  <c r="K233" i="6"/>
  <c r="F233" i="11"/>
  <c r="R233" i="11"/>
  <c r="AL233" i="11" s="1"/>
  <c r="E233" i="11"/>
  <c r="O233" i="11"/>
  <c r="Q235" i="6"/>
  <c r="P235" i="6"/>
  <c r="D234" i="6" l="1"/>
  <c r="AI234" i="6"/>
  <c r="K232" i="11"/>
  <c r="N234" i="6"/>
  <c r="K234" i="6"/>
  <c r="D233" i="11"/>
  <c r="Q234" i="11"/>
  <c r="S233" i="11"/>
  <c r="H233" i="11" s="1"/>
  <c r="N233" i="11" s="1"/>
  <c r="P234" i="11"/>
  <c r="G233" i="11"/>
  <c r="E235" i="6"/>
  <c r="O235" i="6"/>
  <c r="R235" i="6"/>
  <c r="AL235" i="6" s="1"/>
  <c r="F235" i="6"/>
  <c r="K233" i="11" l="1"/>
  <c r="AI233" i="11"/>
  <c r="E234" i="11"/>
  <c r="O234" i="11"/>
  <c r="F234" i="11"/>
  <c r="R234" i="11"/>
  <c r="AL234" i="11" s="1"/>
  <c r="G235" i="6"/>
  <c r="Q236" i="6"/>
  <c r="S235" i="6"/>
  <c r="H235" i="6" s="1"/>
  <c r="N235" i="6" s="1"/>
  <c r="P236" i="6"/>
  <c r="E236" i="6" s="1"/>
  <c r="D235" i="6"/>
  <c r="K235" i="6" l="1"/>
  <c r="AI235" i="6"/>
  <c r="G234" i="11"/>
  <c r="D234" i="11"/>
  <c r="Q235" i="11"/>
  <c r="P235" i="11"/>
  <c r="S234" i="11"/>
  <c r="F236" i="6"/>
  <c r="G236" i="6" s="1"/>
  <c r="R236" i="6"/>
  <c r="AL236" i="6" s="1"/>
  <c r="O236" i="6"/>
  <c r="H234" i="11" l="1"/>
  <c r="N234" i="11" s="1"/>
  <c r="AI234" i="11"/>
  <c r="E235" i="11"/>
  <c r="O235" i="11"/>
  <c r="F235" i="11"/>
  <c r="R235" i="11"/>
  <c r="AL235" i="11" s="1"/>
  <c r="P237" i="6"/>
  <c r="E237" i="6" s="1"/>
  <c r="Q237" i="6"/>
  <c r="S236" i="6"/>
  <c r="H236" i="6" s="1"/>
  <c r="D236" i="6"/>
  <c r="G235" i="11" l="1"/>
  <c r="K234" i="11"/>
  <c r="N236" i="6"/>
  <c r="K236" i="6"/>
  <c r="AI236" i="6"/>
  <c r="Q236" i="11"/>
  <c r="S235" i="11"/>
  <c r="H235" i="11" s="1"/>
  <c r="D235" i="11"/>
  <c r="P236" i="11"/>
  <c r="O237" i="6"/>
  <c r="F237" i="6"/>
  <c r="G237" i="6" s="1"/>
  <c r="R237" i="6"/>
  <c r="AL237" i="6" s="1"/>
  <c r="AI235" i="11" l="1"/>
  <c r="N235" i="11"/>
  <c r="K235" i="11"/>
  <c r="E236" i="11"/>
  <c r="O236" i="11"/>
  <c r="F236" i="11"/>
  <c r="R236" i="11"/>
  <c r="AL236" i="11" s="1"/>
  <c r="Q238" i="6"/>
  <c r="S237" i="6"/>
  <c r="H237" i="6" s="1"/>
  <c r="N237" i="6" s="1"/>
  <c r="D237" i="6"/>
  <c r="P238" i="6"/>
  <c r="AI237" i="6" l="1"/>
  <c r="K237" i="6"/>
  <c r="G236" i="11"/>
  <c r="Q237" i="11"/>
  <c r="D236" i="11"/>
  <c r="S236" i="11"/>
  <c r="H236" i="11" s="1"/>
  <c r="N236" i="11" s="1"/>
  <c r="P237" i="11"/>
  <c r="E238" i="6"/>
  <c r="O238" i="6"/>
  <c r="R238" i="6"/>
  <c r="AL238" i="6" s="1"/>
  <c r="F238" i="6"/>
  <c r="K236" i="11" l="1"/>
  <c r="AI236" i="11"/>
  <c r="G238" i="6"/>
  <c r="E237" i="11"/>
  <c r="O237" i="11"/>
  <c r="R237" i="11"/>
  <c r="AL237" i="11" s="1"/>
  <c r="F237" i="11"/>
  <c r="P239" i="6"/>
  <c r="E239" i="6" s="1"/>
  <c r="Q239" i="6"/>
  <c r="D238" i="6"/>
  <c r="S238" i="6"/>
  <c r="H238" i="6" s="1"/>
  <c r="N238" i="6" s="1"/>
  <c r="K238" i="6" l="1"/>
  <c r="AI238" i="6"/>
  <c r="G237" i="11"/>
  <c r="O239" i="6"/>
  <c r="D239" i="6" s="1"/>
  <c r="Q238" i="11"/>
  <c r="D237" i="11"/>
  <c r="S237" i="11"/>
  <c r="P238" i="11"/>
  <c r="F239" i="6"/>
  <c r="G239" i="6" s="1"/>
  <c r="R239" i="6"/>
  <c r="H237" i="11" l="1"/>
  <c r="N237" i="11" s="1"/>
  <c r="AI237" i="11"/>
  <c r="AL239" i="6"/>
  <c r="P240" i="6"/>
  <c r="E240" i="6" s="1"/>
  <c r="Q240" i="6"/>
  <c r="F240" i="6" s="1"/>
  <c r="S239" i="6"/>
  <c r="H239" i="6" s="1"/>
  <c r="N239" i="6" s="1"/>
  <c r="E238" i="11"/>
  <c r="O238" i="11"/>
  <c r="F238" i="11"/>
  <c r="R238" i="11"/>
  <c r="AL238" i="11" s="1"/>
  <c r="K239" i="6" l="1"/>
  <c r="AI239" i="6"/>
  <c r="K237" i="11"/>
  <c r="G240" i="6"/>
  <c r="R240" i="6"/>
  <c r="O240" i="6"/>
  <c r="P241" i="6" s="1"/>
  <c r="E241" i="6" s="1"/>
  <c r="G238" i="11"/>
  <c r="S238" i="11"/>
  <c r="D238" i="11"/>
  <c r="Q239" i="11"/>
  <c r="P239" i="11"/>
  <c r="AL240" i="6" l="1"/>
  <c r="H238" i="11"/>
  <c r="N238" i="11" s="1"/>
  <c r="AI238" i="11"/>
  <c r="S240" i="6"/>
  <c r="H240" i="6" s="1"/>
  <c r="N240" i="6" s="1"/>
  <c r="Q241" i="6"/>
  <c r="R241" i="6" s="1"/>
  <c r="D240" i="6"/>
  <c r="E239" i="11"/>
  <c r="O239" i="11"/>
  <c r="R239" i="11"/>
  <c r="AL239" i="11" s="1"/>
  <c r="F239" i="11"/>
  <c r="O241" i="6"/>
  <c r="AL241" i="6" l="1"/>
  <c r="K238" i="11"/>
  <c r="AI240" i="6"/>
  <c r="K240" i="6"/>
  <c r="F241" i="6"/>
  <c r="G241" i="6" s="1"/>
  <c r="G239" i="11"/>
  <c r="S239" i="11"/>
  <c r="H239" i="11" s="1"/>
  <c r="N239" i="11" s="1"/>
  <c r="D239" i="11"/>
  <c r="P240" i="11"/>
  <c r="Q240" i="11"/>
  <c r="Q242" i="6"/>
  <c r="D241" i="6"/>
  <c r="S241" i="6"/>
  <c r="H241" i="6" s="1"/>
  <c r="N241" i="6" s="1"/>
  <c r="P242" i="6"/>
  <c r="E242" i="6" s="1"/>
  <c r="K239" i="11" l="1"/>
  <c r="K241" i="6"/>
  <c r="AI239" i="11"/>
  <c r="AI241" i="6"/>
  <c r="R240" i="11"/>
  <c r="AL240" i="11" s="1"/>
  <c r="F240" i="11"/>
  <c r="E240" i="11"/>
  <c r="O240" i="11"/>
  <c r="O242" i="6"/>
  <c r="F242" i="6"/>
  <c r="G242" i="6" s="1"/>
  <c r="R242" i="6"/>
  <c r="AL242" i="6" l="1"/>
  <c r="D240" i="11"/>
  <c r="S240" i="11"/>
  <c r="H240" i="11" s="1"/>
  <c r="N240" i="11" s="1"/>
  <c r="P241" i="11"/>
  <c r="Q241" i="11"/>
  <c r="G240" i="11"/>
  <c r="P243" i="6"/>
  <c r="E243" i="6" s="1"/>
  <c r="S242" i="6"/>
  <c r="H242" i="6" s="1"/>
  <c r="N242" i="6" s="1"/>
  <c r="Q243" i="6"/>
  <c r="D242" i="6"/>
  <c r="K242" i="6" l="1"/>
  <c r="AI242" i="6"/>
  <c r="K240" i="11"/>
  <c r="AI240" i="11"/>
  <c r="R241" i="11"/>
  <c r="AL241" i="11" s="1"/>
  <c r="F241" i="11"/>
  <c r="E241" i="11"/>
  <c r="O241" i="11"/>
  <c r="O243" i="6"/>
  <c r="D243" i="6" s="1"/>
  <c r="F243" i="6"/>
  <c r="G243" i="6" s="1"/>
  <c r="R243" i="6"/>
  <c r="AL243" i="6" l="1"/>
  <c r="P244" i="6"/>
  <c r="E244" i="6" s="1"/>
  <c r="Q244" i="6"/>
  <c r="F244" i="6" s="1"/>
  <c r="S243" i="6"/>
  <c r="H243" i="6" s="1"/>
  <c r="N243" i="6" s="1"/>
  <c r="P242" i="11"/>
  <c r="D241" i="11"/>
  <c r="S241" i="11"/>
  <c r="Q242" i="11"/>
  <c r="G241" i="11"/>
  <c r="K243" i="6" l="1"/>
  <c r="AI243" i="6"/>
  <c r="H241" i="11"/>
  <c r="N241" i="11" s="1"/>
  <c r="AI241" i="11"/>
  <c r="G244" i="6"/>
  <c r="R244" i="6"/>
  <c r="O244" i="6"/>
  <c r="Q245" i="6" s="1"/>
  <c r="R242" i="11"/>
  <c r="AL242" i="11" s="1"/>
  <c r="F242" i="11"/>
  <c r="E242" i="11"/>
  <c r="O242" i="11"/>
  <c r="AL244" i="6" l="1"/>
  <c r="K241" i="11"/>
  <c r="P245" i="6"/>
  <c r="E245" i="6" s="1"/>
  <c r="D244" i="6"/>
  <c r="S244" i="6"/>
  <c r="H244" i="6" s="1"/>
  <c r="N244" i="6" s="1"/>
  <c r="S242" i="11"/>
  <c r="H242" i="11" s="1"/>
  <c r="N242" i="11" s="1"/>
  <c r="P243" i="11"/>
  <c r="Q243" i="11"/>
  <c r="D242" i="11"/>
  <c r="G242" i="11"/>
  <c r="F245" i="6"/>
  <c r="R245" i="6" l="1"/>
  <c r="AL245" i="6" s="1"/>
  <c r="AI242" i="11"/>
  <c r="K242" i="11"/>
  <c r="AI244" i="6"/>
  <c r="K244" i="6"/>
  <c r="O245" i="6"/>
  <c r="S245" i="6" s="1"/>
  <c r="H245" i="6" s="1"/>
  <c r="N245" i="6" s="1"/>
  <c r="G245" i="6"/>
  <c r="F243" i="11"/>
  <c r="R243" i="11"/>
  <c r="AL243" i="11" s="1"/>
  <c r="E243" i="11"/>
  <c r="O243" i="11"/>
  <c r="D245" i="6" l="1"/>
  <c r="K245" i="6"/>
  <c r="AI245" i="6"/>
  <c r="Q246" i="6"/>
  <c r="F246" i="6" s="1"/>
  <c r="P246" i="6"/>
  <c r="E246" i="6" s="1"/>
  <c r="S243" i="11"/>
  <c r="P244" i="11"/>
  <c r="Q244" i="11"/>
  <c r="D243" i="11"/>
  <c r="G243" i="11"/>
  <c r="R246" i="6" l="1"/>
  <c r="AL246" i="6" s="1"/>
  <c r="G246" i="6"/>
  <c r="O246" i="6"/>
  <c r="S246" i="6" s="1"/>
  <c r="H246" i="6" s="1"/>
  <c r="N246" i="6" s="1"/>
  <c r="H243" i="11"/>
  <c r="N243" i="11" s="1"/>
  <c r="AI243" i="11"/>
  <c r="F244" i="11"/>
  <c r="R244" i="11"/>
  <c r="AL244" i="11" s="1"/>
  <c r="E244" i="11"/>
  <c r="O244" i="11"/>
  <c r="D246" i="6" l="1"/>
  <c r="K243" i="11"/>
  <c r="K246" i="6"/>
  <c r="AI246" i="6"/>
  <c r="Q247" i="6"/>
  <c r="P247" i="6"/>
  <c r="S244" i="11"/>
  <c r="P245" i="11"/>
  <c r="D244" i="11"/>
  <c r="Q245" i="11"/>
  <c r="G244" i="11"/>
  <c r="E247" i="6" l="1"/>
  <c r="O247" i="6"/>
  <c r="F247" i="6"/>
  <c r="R247" i="6"/>
  <c r="H244" i="11"/>
  <c r="N244" i="11" s="1"/>
  <c r="AI244" i="11"/>
  <c r="F245" i="11"/>
  <c r="R245" i="11"/>
  <c r="AL245" i="11" s="1"/>
  <c r="E245" i="11"/>
  <c r="O245" i="11"/>
  <c r="G247" i="6" l="1"/>
  <c r="AL247" i="6"/>
  <c r="S247" i="6"/>
  <c r="H247" i="6" s="1"/>
  <c r="N247" i="6" s="1"/>
  <c r="P248" i="6"/>
  <c r="Q248" i="6"/>
  <c r="D247" i="6"/>
  <c r="K244" i="11"/>
  <c r="D245" i="11"/>
  <c r="P246" i="11"/>
  <c r="E246" i="11" s="1"/>
  <c r="S245" i="11"/>
  <c r="Q246" i="11"/>
  <c r="G245" i="11"/>
  <c r="H245" i="11" l="1"/>
  <c r="N245" i="11" s="1"/>
  <c r="AI245" i="11"/>
  <c r="K247" i="6"/>
  <c r="R248" i="6"/>
  <c r="F248" i="6"/>
  <c r="AI247" i="6"/>
  <c r="K245" i="11"/>
  <c r="O248" i="6"/>
  <c r="E248" i="6"/>
  <c r="F246" i="11"/>
  <c r="G246" i="11" s="1"/>
  <c r="R246" i="11"/>
  <c r="AL246" i="11" s="1"/>
  <c r="O246" i="11"/>
  <c r="D248" i="6" l="1"/>
  <c r="S248" i="6"/>
  <c r="H248" i="6" s="1"/>
  <c r="N248" i="6" s="1"/>
  <c r="P249" i="6"/>
  <c r="E249" i="6" s="1"/>
  <c r="Q249" i="6"/>
  <c r="AL248" i="6"/>
  <c r="G248" i="6"/>
  <c r="P247" i="11"/>
  <c r="E247" i="11" s="1"/>
  <c r="S246" i="11"/>
  <c r="Q247" i="11"/>
  <c r="D246" i="11"/>
  <c r="K248" i="6" l="1"/>
  <c r="O249" i="6"/>
  <c r="AI248" i="6"/>
  <c r="H246" i="11"/>
  <c r="AI246" i="11"/>
  <c r="F249" i="6"/>
  <c r="G249" i="6" s="1"/>
  <c r="R249" i="6"/>
  <c r="F247" i="11"/>
  <c r="G247" i="11" s="1"/>
  <c r="R247" i="11"/>
  <c r="O247" i="11"/>
  <c r="S249" i="6" l="1"/>
  <c r="H249" i="6" s="1"/>
  <c r="N249" i="6" s="1"/>
  <c r="Q250" i="6"/>
  <c r="P250" i="6"/>
  <c r="D249" i="6"/>
  <c r="AL249" i="6"/>
  <c r="AL247" i="11"/>
  <c r="N246" i="11"/>
  <c r="K246" i="11"/>
  <c r="P248" i="11"/>
  <c r="E248" i="11" s="1"/>
  <c r="Q248" i="11"/>
  <c r="S247" i="11"/>
  <c r="H247" i="11" s="1"/>
  <c r="N247" i="11" s="1"/>
  <c r="D247" i="11"/>
  <c r="AI249" i="6" l="1"/>
  <c r="O250" i="6"/>
  <c r="E250" i="6"/>
  <c r="R250" i="6"/>
  <c r="AL250" i="6" s="1"/>
  <c r="F250" i="6"/>
  <c r="K249" i="6"/>
  <c r="K247" i="11"/>
  <c r="AI247" i="11"/>
  <c r="O248" i="11"/>
  <c r="D248" i="11" s="1"/>
  <c r="F248" i="11"/>
  <c r="G248" i="11" s="1"/>
  <c r="R248" i="11"/>
  <c r="G250" i="6" l="1"/>
  <c r="Q251" i="6"/>
  <c r="S250" i="6"/>
  <c r="P251" i="6"/>
  <c r="D250" i="6"/>
  <c r="P249" i="11"/>
  <c r="E249" i="11" s="1"/>
  <c r="AL248" i="11"/>
  <c r="S248" i="11"/>
  <c r="H248" i="11" s="1"/>
  <c r="N248" i="11" s="1"/>
  <c r="Q249" i="11"/>
  <c r="F249" i="11" s="1"/>
  <c r="G249" i="11" l="1"/>
  <c r="O249" i="11"/>
  <c r="S249" i="11" s="1"/>
  <c r="H249" i="11" s="1"/>
  <c r="H250" i="6"/>
  <c r="AI250" i="6"/>
  <c r="R251" i="6"/>
  <c r="AL251" i="6" s="1"/>
  <c r="F251" i="6"/>
  <c r="E251" i="6"/>
  <c r="O251" i="6"/>
  <c r="AI248" i="11"/>
  <c r="K248" i="11"/>
  <c r="R249" i="11"/>
  <c r="P250" i="11" l="1"/>
  <c r="E250" i="11" s="1"/>
  <c r="Q250" i="11"/>
  <c r="F250" i="11" s="1"/>
  <c r="D249" i="11"/>
  <c r="G251" i="6"/>
  <c r="D251" i="6"/>
  <c r="Q252" i="6"/>
  <c r="P252" i="6"/>
  <c r="S251" i="6"/>
  <c r="N250" i="6"/>
  <c r="K250" i="6"/>
  <c r="N249" i="11"/>
  <c r="K249" i="11"/>
  <c r="AL249" i="11"/>
  <c r="AI249" i="11"/>
  <c r="G250" i="11" l="1"/>
  <c r="R250" i="11"/>
  <c r="AL250" i="11" s="1"/>
  <c r="O250" i="11"/>
  <c r="P251" i="11" s="1"/>
  <c r="E251" i="11" s="1"/>
  <c r="E252" i="6"/>
  <c r="O252" i="6"/>
  <c r="R252" i="6"/>
  <c r="AL252" i="6" s="1"/>
  <c r="F252" i="6"/>
  <c r="H251" i="6"/>
  <c r="AI251" i="6"/>
  <c r="Q251" i="11" l="1"/>
  <c r="F251" i="11" s="1"/>
  <c r="G251" i="11" s="1"/>
  <c r="S250" i="11"/>
  <c r="H250" i="11" s="1"/>
  <c r="N250" i="11" s="1"/>
  <c r="D250" i="11"/>
  <c r="G252" i="6"/>
  <c r="S252" i="6"/>
  <c r="D252" i="6"/>
  <c r="P253" i="6"/>
  <c r="Q253" i="6"/>
  <c r="N251" i="6"/>
  <c r="K251" i="6"/>
  <c r="O251" i="11"/>
  <c r="R251" i="11" l="1"/>
  <c r="K250" i="11"/>
  <c r="AI250" i="11"/>
  <c r="E253" i="6"/>
  <c r="O253" i="6"/>
  <c r="H252" i="6"/>
  <c r="AI252" i="6"/>
  <c r="F253" i="6"/>
  <c r="G253" i="6" s="1"/>
  <c r="R253" i="6"/>
  <c r="AL253" i="6" s="1"/>
  <c r="AL251" i="11"/>
  <c r="S251" i="11"/>
  <c r="H251" i="11" s="1"/>
  <c r="N251" i="11" s="1"/>
  <c r="D251" i="11"/>
  <c r="P252" i="11"/>
  <c r="E252" i="11" s="1"/>
  <c r="Q252" i="11"/>
  <c r="N252" i="6" l="1"/>
  <c r="K252" i="6"/>
  <c r="S253" i="6"/>
  <c r="H253" i="6" s="1"/>
  <c r="D253" i="6"/>
  <c r="Q254" i="6"/>
  <c r="P254" i="6"/>
  <c r="AI251" i="11"/>
  <c r="K251" i="11"/>
  <c r="R252" i="11"/>
  <c r="F252" i="11"/>
  <c r="G252" i="11" s="1"/>
  <c r="O252" i="11"/>
  <c r="N253" i="6" l="1"/>
  <c r="K253" i="6"/>
  <c r="E254" i="6"/>
  <c r="O254" i="6"/>
  <c r="R254" i="6"/>
  <c r="AL254" i="6" s="1"/>
  <c r="F254" i="6"/>
  <c r="AI253" i="6"/>
  <c r="AL252" i="11"/>
  <c r="S252" i="11"/>
  <c r="H252" i="11" s="1"/>
  <c r="N252" i="11" s="1"/>
  <c r="P253" i="11"/>
  <c r="E253" i="11" s="1"/>
  <c r="Q253" i="11"/>
  <c r="D252" i="11"/>
  <c r="Q255" i="6" l="1"/>
  <c r="S254" i="6"/>
  <c r="D254" i="6"/>
  <c r="P255" i="6"/>
  <c r="G254" i="6"/>
  <c r="K252" i="11"/>
  <c r="AI252" i="11"/>
  <c r="R253" i="11"/>
  <c r="F253" i="11"/>
  <c r="G253" i="11" s="1"/>
  <c r="O253" i="11"/>
  <c r="E255" i="6" l="1"/>
  <c r="O255" i="6"/>
  <c r="H254" i="6"/>
  <c r="N254" i="6" s="1"/>
  <c r="AI254" i="6"/>
  <c r="R255" i="6"/>
  <c r="AL255" i="6" s="1"/>
  <c r="F255" i="6"/>
  <c r="AL253" i="11"/>
  <c r="Q254" i="11"/>
  <c r="S253" i="11"/>
  <c r="H253" i="11" s="1"/>
  <c r="N253" i="11" s="1"/>
  <c r="P254" i="11"/>
  <c r="E254" i="11" s="1"/>
  <c r="D253" i="11"/>
  <c r="G255" i="6" l="1"/>
  <c r="K254" i="6"/>
  <c r="P256" i="6"/>
  <c r="S255" i="6"/>
  <c r="H255" i="6" s="1"/>
  <c r="D255" i="6"/>
  <c r="Q256" i="6"/>
  <c r="AI253" i="11"/>
  <c r="K253" i="11"/>
  <c r="O254" i="11"/>
  <c r="F254" i="11"/>
  <c r="G254" i="11" s="1"/>
  <c r="R254" i="11"/>
  <c r="N255" i="6" l="1"/>
  <c r="K255" i="6"/>
  <c r="E256" i="6"/>
  <c r="O256" i="6"/>
  <c r="R256" i="6"/>
  <c r="AL256" i="6" s="1"/>
  <c r="F256" i="6"/>
  <c r="AI255" i="6"/>
  <c r="AL254" i="11"/>
  <c r="Q255" i="11"/>
  <c r="S254" i="11"/>
  <c r="H254" i="11" s="1"/>
  <c r="N254" i="11" s="1"/>
  <c r="P255" i="11"/>
  <c r="E255" i="11" s="1"/>
  <c r="D254" i="11"/>
  <c r="Q257" i="6" l="1"/>
  <c r="S256" i="6"/>
  <c r="P257" i="6"/>
  <c r="D256" i="6"/>
  <c r="G256" i="6"/>
  <c r="AI254" i="11"/>
  <c r="K254" i="11"/>
  <c r="O255" i="11"/>
  <c r="F255" i="11"/>
  <c r="G255" i="11" s="1"/>
  <c r="R255" i="11"/>
  <c r="E257" i="6" l="1"/>
  <c r="O257" i="6"/>
  <c r="H256" i="6"/>
  <c r="N256" i="6" s="1"/>
  <c r="AI256" i="6"/>
  <c r="F257" i="6"/>
  <c r="R257" i="6"/>
  <c r="AL257" i="6" s="1"/>
  <c r="AL255" i="11"/>
  <c r="S255" i="11"/>
  <c r="H255" i="11" s="1"/>
  <c r="N255" i="11" s="1"/>
  <c r="Q256" i="11"/>
  <c r="P256" i="11"/>
  <c r="E256" i="11" s="1"/>
  <c r="D255" i="11"/>
  <c r="G257" i="6" l="1"/>
  <c r="K256" i="6"/>
  <c r="D257" i="6"/>
  <c r="P258" i="6"/>
  <c r="Q258" i="6"/>
  <c r="S257" i="6"/>
  <c r="H257" i="6" s="1"/>
  <c r="N257" i="6" s="1"/>
  <c r="K255" i="11"/>
  <c r="AI255" i="11"/>
  <c r="F256" i="11"/>
  <c r="G256" i="11" s="1"/>
  <c r="R256" i="11"/>
  <c r="O256" i="11"/>
  <c r="E258" i="6" l="1"/>
  <c r="O258" i="6"/>
  <c r="AI257" i="6"/>
  <c r="F258" i="6"/>
  <c r="R258" i="6"/>
  <c r="AL258" i="6" s="1"/>
  <c r="K257" i="6"/>
  <c r="AL256" i="11"/>
  <c r="P257" i="11"/>
  <c r="E257" i="11" s="1"/>
  <c r="D256" i="11"/>
  <c r="Q257" i="11"/>
  <c r="S256" i="11"/>
  <c r="H256" i="11" s="1"/>
  <c r="N256" i="11" s="1"/>
  <c r="G258" i="6" l="1"/>
  <c r="P259" i="6"/>
  <c r="Q259" i="6"/>
  <c r="S258" i="6"/>
  <c r="D258" i="6"/>
  <c r="AI256" i="11"/>
  <c r="K256" i="11"/>
  <c r="F257" i="11"/>
  <c r="G257" i="11" s="1"/>
  <c r="R257" i="11"/>
  <c r="O257" i="11"/>
  <c r="H258" i="6" l="1"/>
  <c r="AI258" i="6"/>
  <c r="R259" i="6"/>
  <c r="F259" i="6"/>
  <c r="E259" i="6"/>
  <c r="O259" i="6"/>
  <c r="AL257" i="11"/>
  <c r="P258" i="11"/>
  <c r="E258" i="11" s="1"/>
  <c r="S257" i="11"/>
  <c r="H257" i="11" s="1"/>
  <c r="N257" i="11" s="1"/>
  <c r="D257" i="11"/>
  <c r="Q258" i="11"/>
  <c r="G259" i="6" l="1"/>
  <c r="AL259" i="6"/>
  <c r="S259" i="6"/>
  <c r="H259" i="6" s="1"/>
  <c r="N259" i="6" s="1"/>
  <c r="D259" i="6"/>
  <c r="P260" i="6"/>
  <c r="E260" i="6" s="1"/>
  <c r="Q260" i="6"/>
  <c r="N258" i="6"/>
  <c r="K258" i="6"/>
  <c r="AI257" i="11"/>
  <c r="K257" i="11"/>
  <c r="O258" i="11"/>
  <c r="Q259" i="11" s="1"/>
  <c r="F258" i="11"/>
  <c r="G258" i="11" s="1"/>
  <c r="R258" i="11"/>
  <c r="O260" i="6" l="1"/>
  <c r="P261" i="6" s="1"/>
  <c r="R260" i="6"/>
  <c r="F260" i="6"/>
  <c r="G260" i="6" s="1"/>
  <c r="P259" i="11"/>
  <c r="E259" i="11" s="1"/>
  <c r="D258" i="11"/>
  <c r="AI259" i="6"/>
  <c r="K259" i="6"/>
  <c r="AL258" i="11"/>
  <c r="S258" i="11"/>
  <c r="H258" i="11" s="1"/>
  <c r="N258" i="11" s="1"/>
  <c r="F259" i="11"/>
  <c r="D260" i="6" l="1"/>
  <c r="S260" i="6"/>
  <c r="H260" i="6" s="1"/>
  <c r="N260" i="6" s="1"/>
  <c r="Q261" i="6"/>
  <c r="R261" i="6" s="1"/>
  <c r="AL261" i="6" s="1"/>
  <c r="R259" i="11"/>
  <c r="AL259" i="11" s="1"/>
  <c r="G259" i="11"/>
  <c r="O259" i="11"/>
  <c r="Q260" i="11" s="1"/>
  <c r="AL260" i="6"/>
  <c r="E261" i="6"/>
  <c r="O261" i="6"/>
  <c r="AI258" i="11"/>
  <c r="K258" i="11"/>
  <c r="K260" i="6" l="1"/>
  <c r="AI260" i="6"/>
  <c r="F261" i="6"/>
  <c r="G261" i="6" s="1"/>
  <c r="S259" i="11"/>
  <c r="H259" i="11" s="1"/>
  <c r="N259" i="11" s="1"/>
  <c r="P260" i="11"/>
  <c r="E260" i="11" s="1"/>
  <c r="D259" i="11"/>
  <c r="Q262" i="6"/>
  <c r="S261" i="6"/>
  <c r="H261" i="6" s="1"/>
  <c r="N261" i="6" s="1"/>
  <c r="D261" i="6"/>
  <c r="P262" i="6"/>
  <c r="E262" i="6" s="1"/>
  <c r="F260" i="11"/>
  <c r="K259" i="11" l="1"/>
  <c r="AI259" i="11"/>
  <c r="O260" i="11"/>
  <c r="P261" i="11" s="1"/>
  <c r="E261" i="11" s="1"/>
  <c r="G260" i="11"/>
  <c r="R260" i="11"/>
  <c r="AL260" i="11" s="1"/>
  <c r="AI261" i="6"/>
  <c r="R262" i="6"/>
  <c r="AL262" i="6" s="1"/>
  <c r="F262" i="6"/>
  <c r="G262" i="6" s="1"/>
  <c r="K261" i="6"/>
  <c r="O262" i="6"/>
  <c r="Q261" i="11" l="1"/>
  <c r="F261" i="11" s="1"/>
  <c r="G261" i="11" s="1"/>
  <c r="S260" i="11"/>
  <c r="H260" i="11" s="1"/>
  <c r="N260" i="11" s="1"/>
  <c r="D260" i="11"/>
  <c r="D262" i="6"/>
  <c r="Q263" i="6"/>
  <c r="P263" i="6"/>
  <c r="E263" i="6" s="1"/>
  <c r="S262" i="6"/>
  <c r="AI260" i="11"/>
  <c r="O261" i="11"/>
  <c r="K260" i="11" l="1"/>
  <c r="R261" i="11"/>
  <c r="H262" i="6"/>
  <c r="AI262" i="6"/>
  <c r="R263" i="6"/>
  <c r="AL263" i="6" s="1"/>
  <c r="F263" i="6"/>
  <c r="G263" i="6" s="1"/>
  <c r="O263" i="6"/>
  <c r="AL261" i="11"/>
  <c r="D261" i="11"/>
  <c r="S261" i="11"/>
  <c r="H261" i="11" s="1"/>
  <c r="N261" i="11" s="1"/>
  <c r="Q262" i="11"/>
  <c r="P262" i="11"/>
  <c r="E262" i="11" s="1"/>
  <c r="D263" i="6" l="1"/>
  <c r="Q264" i="6"/>
  <c r="S263" i="6"/>
  <c r="P264" i="6"/>
  <c r="N262" i="6"/>
  <c r="K262" i="6"/>
  <c r="AI261" i="11"/>
  <c r="K261" i="11"/>
  <c r="R262" i="11"/>
  <c r="F262" i="11"/>
  <c r="G262" i="11" s="1"/>
  <c r="O262" i="11"/>
  <c r="H263" i="6" l="1"/>
  <c r="AI263" i="6"/>
  <c r="R264" i="6"/>
  <c r="AL264" i="6" s="1"/>
  <c r="F264" i="6"/>
  <c r="E264" i="6"/>
  <c r="O264" i="6"/>
  <c r="AL262" i="11"/>
  <c r="Q263" i="11"/>
  <c r="D262" i="11"/>
  <c r="P263" i="11"/>
  <c r="E263" i="11" s="1"/>
  <c r="S262" i="11"/>
  <c r="H262" i="11" s="1"/>
  <c r="N262" i="11" s="1"/>
  <c r="G264" i="6" l="1"/>
  <c r="D264" i="6"/>
  <c r="Q265" i="6"/>
  <c r="P265" i="6"/>
  <c r="S264" i="6"/>
  <c r="N263" i="6"/>
  <c r="K263" i="6"/>
  <c r="AI262" i="11"/>
  <c r="K262" i="11"/>
  <c r="O263" i="11"/>
  <c r="R263" i="11"/>
  <c r="F263" i="11"/>
  <c r="G263" i="11" s="1"/>
  <c r="E265" i="6" l="1"/>
  <c r="O265" i="6"/>
  <c r="F265" i="6"/>
  <c r="R265" i="6"/>
  <c r="AL265" i="6" s="1"/>
  <c r="H264" i="6"/>
  <c r="N264" i="6" s="1"/>
  <c r="AI264" i="6"/>
  <c r="AL263" i="11"/>
  <c r="D263" i="11"/>
  <c r="S263" i="11"/>
  <c r="H263" i="11" s="1"/>
  <c r="N263" i="11" s="1"/>
  <c r="Q264" i="11"/>
  <c r="P264" i="11"/>
  <c r="E264" i="11" s="1"/>
  <c r="K264" i="6" l="1"/>
  <c r="G265" i="6"/>
  <c r="D265" i="6"/>
  <c r="Q266" i="6"/>
  <c r="S265" i="6"/>
  <c r="P266" i="6"/>
  <c r="AI263" i="11"/>
  <c r="K263" i="11"/>
  <c r="R264" i="11"/>
  <c r="F264" i="11"/>
  <c r="G264" i="11" s="1"/>
  <c r="O264" i="11"/>
  <c r="E266" i="6" l="1"/>
  <c r="O266" i="6"/>
  <c r="H265" i="6"/>
  <c r="AI265" i="6"/>
  <c r="R266" i="6"/>
  <c r="AL266" i="6" s="1"/>
  <c r="F266" i="6"/>
  <c r="AL264" i="11"/>
  <c r="D264" i="11"/>
  <c r="Q265" i="11"/>
  <c r="S264" i="11"/>
  <c r="H264" i="11" s="1"/>
  <c r="N264" i="11" s="1"/>
  <c r="P265" i="11"/>
  <c r="E265" i="11" s="1"/>
  <c r="G266" i="6" l="1"/>
  <c r="N265" i="6"/>
  <c r="K265" i="6"/>
  <c r="P267" i="6"/>
  <c r="S266" i="6"/>
  <c r="H266" i="6" s="1"/>
  <c r="N266" i="6" s="1"/>
  <c r="Q267" i="6"/>
  <c r="D266" i="6"/>
  <c r="K264" i="11"/>
  <c r="AI264" i="11"/>
  <c r="F265" i="11"/>
  <c r="G265" i="11" s="1"/>
  <c r="R265" i="11"/>
  <c r="O265" i="11"/>
  <c r="R267" i="6" l="1"/>
  <c r="AL267" i="6" s="1"/>
  <c r="F267" i="6"/>
  <c r="AI266" i="6"/>
  <c r="E267" i="6"/>
  <c r="O267" i="6"/>
  <c r="K266" i="6"/>
  <c r="AL265" i="11"/>
  <c r="Q266" i="11"/>
  <c r="P266" i="11"/>
  <c r="E266" i="11" s="1"/>
  <c r="D265" i="11"/>
  <c r="S265" i="11"/>
  <c r="H265" i="11" s="1"/>
  <c r="N265" i="11" s="1"/>
  <c r="G267" i="6" l="1"/>
  <c r="S267" i="6"/>
  <c r="P268" i="6"/>
  <c r="Q268" i="6"/>
  <c r="D267" i="6"/>
  <c r="K265" i="11"/>
  <c r="AI265" i="11"/>
  <c r="F266" i="11"/>
  <c r="G266" i="11" s="1"/>
  <c r="R266" i="11"/>
  <c r="O266" i="11"/>
  <c r="R268" i="6" l="1"/>
  <c r="AL268" i="6" s="1"/>
  <c r="F268" i="6"/>
  <c r="E268" i="6"/>
  <c r="O268" i="6"/>
  <c r="H267" i="6"/>
  <c r="N267" i="6" s="1"/>
  <c r="AI267" i="6"/>
  <c r="AL266" i="11"/>
  <c r="P267" i="11"/>
  <c r="E267" i="11" s="1"/>
  <c r="S266" i="11"/>
  <c r="H266" i="11" s="1"/>
  <c r="N266" i="11" s="1"/>
  <c r="Q267" i="11"/>
  <c r="D266" i="11"/>
  <c r="K267" i="6" l="1"/>
  <c r="P269" i="6"/>
  <c r="E269" i="6" s="1"/>
  <c r="Q269" i="6"/>
  <c r="D268" i="6"/>
  <c r="S268" i="6"/>
  <c r="G268" i="6"/>
  <c r="K266" i="11"/>
  <c r="AI266" i="11"/>
  <c r="F267" i="11"/>
  <c r="G267" i="11" s="1"/>
  <c r="R267" i="11"/>
  <c r="O267" i="11"/>
  <c r="O269" i="6" l="1"/>
  <c r="S269" i="6" s="1"/>
  <c r="H269" i="6" s="1"/>
  <c r="N269" i="6" s="1"/>
  <c r="H268" i="6"/>
  <c r="N268" i="6" s="1"/>
  <c r="AI268" i="6"/>
  <c r="F269" i="6"/>
  <c r="G269" i="6" s="1"/>
  <c r="R269" i="6"/>
  <c r="AL267" i="11"/>
  <c r="D267" i="11"/>
  <c r="S267" i="11"/>
  <c r="H267" i="11" s="1"/>
  <c r="N267" i="11" s="1"/>
  <c r="P268" i="11"/>
  <c r="E268" i="11" s="1"/>
  <c r="Q268" i="11"/>
  <c r="Q270" i="6" l="1"/>
  <c r="F270" i="6" s="1"/>
  <c r="P270" i="6"/>
  <c r="E270" i="6" s="1"/>
  <c r="D269" i="6"/>
  <c r="K269" i="6"/>
  <c r="K268" i="6"/>
  <c r="AL269" i="6"/>
  <c r="AI269" i="6"/>
  <c r="AI267" i="11"/>
  <c r="K267" i="11"/>
  <c r="O268" i="11"/>
  <c r="P269" i="11" s="1"/>
  <c r="E269" i="11" s="1"/>
  <c r="F268" i="11"/>
  <c r="G268" i="11" s="1"/>
  <c r="R268" i="11"/>
  <c r="G270" i="6" l="1"/>
  <c r="O270" i="6"/>
  <c r="P271" i="6" s="1"/>
  <c r="R270" i="6"/>
  <c r="AL270" i="6" s="1"/>
  <c r="AL268" i="11"/>
  <c r="D268" i="11"/>
  <c r="S268" i="11"/>
  <c r="H268" i="11" s="1"/>
  <c r="N268" i="11" s="1"/>
  <c r="Q269" i="11"/>
  <c r="F269" i="11" s="1"/>
  <c r="G269" i="11" s="1"/>
  <c r="O269" i="11"/>
  <c r="Q271" i="6" l="1"/>
  <c r="F271" i="6" s="1"/>
  <c r="S270" i="6"/>
  <c r="H270" i="6" s="1"/>
  <c r="D270" i="6"/>
  <c r="E271" i="6"/>
  <c r="O271" i="6"/>
  <c r="K268" i="11"/>
  <c r="AI268" i="11"/>
  <c r="R269" i="11"/>
  <c r="Q270" i="11"/>
  <c r="S269" i="11"/>
  <c r="H269" i="11" s="1"/>
  <c r="N269" i="11" s="1"/>
  <c r="P270" i="11"/>
  <c r="E270" i="11" s="1"/>
  <c r="D269" i="11"/>
  <c r="AI270" i="6" l="1"/>
  <c r="R271" i="6"/>
  <c r="AL271" i="6" s="1"/>
  <c r="D271" i="6"/>
  <c r="S271" i="6"/>
  <c r="P272" i="6"/>
  <c r="Q272" i="6"/>
  <c r="N270" i="6"/>
  <c r="K270" i="6"/>
  <c r="G271" i="6"/>
  <c r="K269" i="11"/>
  <c r="AL269" i="11"/>
  <c r="AI269" i="11"/>
  <c r="O270" i="11"/>
  <c r="F270" i="11"/>
  <c r="G270" i="11" s="1"/>
  <c r="R270" i="11"/>
  <c r="F272" i="6" l="1"/>
  <c r="R272" i="6"/>
  <c r="AL272" i="6" s="1"/>
  <c r="E272" i="6"/>
  <c r="O272" i="6"/>
  <c r="H271" i="6"/>
  <c r="N271" i="6" s="1"/>
  <c r="AI271" i="6"/>
  <c r="AL270" i="11"/>
  <c r="P271" i="11"/>
  <c r="E271" i="11" s="1"/>
  <c r="D270" i="11"/>
  <c r="Q271" i="11"/>
  <c r="S270" i="11"/>
  <c r="H270" i="11" s="1"/>
  <c r="N270" i="11" s="1"/>
  <c r="K271" i="6" l="1"/>
  <c r="P273" i="6"/>
  <c r="Q273" i="6"/>
  <c r="D272" i="6"/>
  <c r="S272" i="6"/>
  <c r="G272" i="6"/>
  <c r="AI270" i="11"/>
  <c r="K270" i="11"/>
  <c r="O271" i="11"/>
  <c r="F271" i="11"/>
  <c r="G271" i="11" s="1"/>
  <c r="R271" i="11"/>
  <c r="R273" i="6" l="1"/>
  <c r="AL273" i="6" s="1"/>
  <c r="F273" i="6"/>
  <c r="E273" i="6"/>
  <c r="O273" i="6"/>
  <c r="H272" i="6"/>
  <c r="N272" i="6" s="1"/>
  <c r="AI272" i="6"/>
  <c r="AL271" i="11"/>
  <c r="S271" i="11"/>
  <c r="H271" i="11" s="1"/>
  <c r="N271" i="11" s="1"/>
  <c r="P272" i="11"/>
  <c r="E272" i="11" s="1"/>
  <c r="D271" i="11"/>
  <c r="Q272" i="11"/>
  <c r="K272" i="6" l="1"/>
  <c r="G273" i="6"/>
  <c r="Q274" i="6"/>
  <c r="D273" i="6"/>
  <c r="S273" i="6"/>
  <c r="P274" i="6"/>
  <c r="K271" i="11"/>
  <c r="AI271" i="11"/>
  <c r="F272" i="11"/>
  <c r="G272" i="11" s="1"/>
  <c r="R272" i="11"/>
  <c r="O272" i="11"/>
  <c r="F274" i="6" l="1"/>
  <c r="R274" i="6"/>
  <c r="AL274" i="6" s="1"/>
  <c r="E274" i="6"/>
  <c r="O274" i="6"/>
  <c r="H273" i="6"/>
  <c r="N273" i="6" s="1"/>
  <c r="AI273" i="6"/>
  <c r="AL272" i="11"/>
  <c r="AI272" i="11"/>
  <c r="S272" i="11"/>
  <c r="H272" i="11" s="1"/>
  <c r="N272" i="11" s="1"/>
  <c r="P273" i="11"/>
  <c r="E273" i="11" s="1"/>
  <c r="Q273" i="11"/>
  <c r="D272" i="11"/>
  <c r="K272" i="11" l="1"/>
  <c r="Q275" i="6"/>
  <c r="S274" i="6"/>
  <c r="D274" i="6"/>
  <c r="P275" i="6"/>
  <c r="K273" i="6"/>
  <c r="G274" i="6"/>
  <c r="F273" i="11"/>
  <c r="G273" i="11" s="1"/>
  <c r="R273" i="11"/>
  <c r="O273" i="11"/>
  <c r="E275" i="6" l="1"/>
  <c r="O275" i="6"/>
  <c r="H274" i="6"/>
  <c r="N274" i="6" s="1"/>
  <c r="AI274" i="6"/>
  <c r="R275" i="6"/>
  <c r="AL275" i="6" s="1"/>
  <c r="F275" i="6"/>
  <c r="AL273" i="11"/>
  <c r="P274" i="11"/>
  <c r="E274" i="11" s="1"/>
  <c r="Q274" i="11"/>
  <c r="D273" i="11"/>
  <c r="S273" i="11"/>
  <c r="H273" i="11" s="1"/>
  <c r="N273" i="11" s="1"/>
  <c r="G275" i="6" l="1"/>
  <c r="K274" i="6"/>
  <c r="P276" i="6"/>
  <c r="S275" i="6"/>
  <c r="D275" i="6"/>
  <c r="Q276" i="6"/>
  <c r="AI273" i="11"/>
  <c r="K273" i="11"/>
  <c r="O274" i="11"/>
  <c r="R274" i="11"/>
  <c r="F274" i="11"/>
  <c r="G274" i="11" s="1"/>
  <c r="F276" i="6" l="1"/>
  <c r="R276" i="6"/>
  <c r="AL276" i="6" s="1"/>
  <c r="H275" i="6"/>
  <c r="AI275" i="6"/>
  <c r="E276" i="6"/>
  <c r="O276" i="6"/>
  <c r="AL274" i="11"/>
  <c r="P275" i="11"/>
  <c r="E275" i="11" s="1"/>
  <c r="Q275" i="11"/>
  <c r="S274" i="11"/>
  <c r="H274" i="11" s="1"/>
  <c r="N274" i="11" s="1"/>
  <c r="D274" i="11"/>
  <c r="N275" i="6" l="1"/>
  <c r="K275" i="6"/>
  <c r="D276" i="6"/>
  <c r="P277" i="6"/>
  <c r="Q277" i="6"/>
  <c r="S276" i="6"/>
  <c r="G276" i="6"/>
  <c r="AI274" i="11"/>
  <c r="K274" i="11"/>
  <c r="O275" i="11"/>
  <c r="R275" i="11"/>
  <c r="F275" i="11"/>
  <c r="G275" i="11" s="1"/>
  <c r="E277" i="6" l="1"/>
  <c r="O277" i="6"/>
  <c r="H276" i="6"/>
  <c r="N276" i="6" s="1"/>
  <c r="AI276" i="6"/>
  <c r="F277" i="6"/>
  <c r="R277" i="6"/>
  <c r="AL277" i="6" s="1"/>
  <c r="AL275" i="11"/>
  <c r="P276" i="11"/>
  <c r="E276" i="11" s="1"/>
  <c r="Q276" i="11"/>
  <c r="S275" i="11"/>
  <c r="H275" i="11" s="1"/>
  <c r="N275" i="11" s="1"/>
  <c r="D275" i="11"/>
  <c r="K276" i="6" l="1"/>
  <c r="Q278" i="6"/>
  <c r="P278" i="6"/>
  <c r="D277" i="6"/>
  <c r="S277" i="6"/>
  <c r="G277" i="6"/>
  <c r="AI275" i="11"/>
  <c r="K275" i="11"/>
  <c r="R276" i="11"/>
  <c r="F276" i="11"/>
  <c r="G276" i="11" s="1"/>
  <c r="O276" i="11"/>
  <c r="E278" i="6" l="1"/>
  <c r="O278" i="6"/>
  <c r="F278" i="6"/>
  <c r="R278" i="6"/>
  <c r="H277" i="6"/>
  <c r="N277" i="6" s="1"/>
  <c r="AI277" i="6"/>
  <c r="AL276" i="11"/>
  <c r="D276" i="11"/>
  <c r="S276" i="11"/>
  <c r="H276" i="11" s="1"/>
  <c r="N276" i="11" s="1"/>
  <c r="Q277" i="11"/>
  <c r="P277" i="11"/>
  <c r="E277" i="11" s="1"/>
  <c r="G278" i="6" l="1"/>
  <c r="K277" i="6"/>
  <c r="P279" i="6"/>
  <c r="E279" i="6" s="1"/>
  <c r="S278" i="6"/>
  <c r="H278" i="6" s="1"/>
  <c r="N278" i="6" s="1"/>
  <c r="Q279" i="6"/>
  <c r="D278" i="6"/>
  <c r="AL278" i="6"/>
  <c r="AI276" i="11"/>
  <c r="K276" i="11"/>
  <c r="F277" i="11"/>
  <c r="G277" i="11" s="1"/>
  <c r="R277" i="11"/>
  <c r="O277" i="11"/>
  <c r="O279" i="6" l="1"/>
  <c r="AI278" i="6"/>
  <c r="F279" i="6"/>
  <c r="G279" i="6" s="1"/>
  <c r="R279" i="6"/>
  <c r="K278" i="6"/>
  <c r="AL277" i="11"/>
  <c r="P278" i="11"/>
  <c r="E278" i="11" s="1"/>
  <c r="Q278" i="11"/>
  <c r="S277" i="11"/>
  <c r="H277" i="11" s="1"/>
  <c r="N277" i="11" s="1"/>
  <c r="D277" i="11"/>
  <c r="AL279" i="6" l="1"/>
  <c r="Q280" i="6"/>
  <c r="D279" i="6"/>
  <c r="S279" i="6"/>
  <c r="H279" i="6" s="1"/>
  <c r="N279" i="6" s="1"/>
  <c r="P280" i="6"/>
  <c r="E280" i="6" s="1"/>
  <c r="AI277" i="11"/>
  <c r="K277" i="11"/>
  <c r="F278" i="11"/>
  <c r="G278" i="11" s="1"/>
  <c r="R278" i="11"/>
  <c r="O278" i="11"/>
  <c r="O280" i="6" l="1"/>
  <c r="D280" i="6" s="1"/>
  <c r="R280" i="6"/>
  <c r="F280" i="6"/>
  <c r="G280" i="6" s="1"/>
  <c r="K279" i="6"/>
  <c r="AI279" i="6"/>
  <c r="AL278" i="11"/>
  <c r="P279" i="11"/>
  <c r="E279" i="11" s="1"/>
  <c r="S278" i="11"/>
  <c r="H278" i="11" s="1"/>
  <c r="N278" i="11" s="1"/>
  <c r="D278" i="11"/>
  <c r="Q279" i="11"/>
  <c r="S280" i="6" l="1"/>
  <c r="H280" i="6" s="1"/>
  <c r="N280" i="6" s="1"/>
  <c r="P281" i="6"/>
  <c r="E281" i="6" s="1"/>
  <c r="Q281" i="6"/>
  <c r="F281" i="6" s="1"/>
  <c r="AL280" i="6"/>
  <c r="AI280" i="6"/>
  <c r="AI278" i="11"/>
  <c r="K278" i="11"/>
  <c r="F279" i="11"/>
  <c r="G279" i="11" s="1"/>
  <c r="R279" i="11"/>
  <c r="O279" i="11"/>
  <c r="K280" i="6" l="1"/>
  <c r="R281" i="6"/>
  <c r="G281" i="6"/>
  <c r="O281" i="6"/>
  <c r="D281" i="6" s="1"/>
  <c r="AL279" i="11"/>
  <c r="S279" i="11"/>
  <c r="H279" i="11" s="1"/>
  <c r="N279" i="11" s="1"/>
  <c r="P280" i="11"/>
  <c r="E280" i="11" s="1"/>
  <c r="Q280" i="11"/>
  <c r="D279" i="11"/>
  <c r="AL281" i="6" l="1"/>
  <c r="S281" i="6"/>
  <c r="H281" i="6" s="1"/>
  <c r="N281" i="6" s="1"/>
  <c r="P282" i="6"/>
  <c r="E282" i="6" s="1"/>
  <c r="Q282" i="6"/>
  <c r="AI279" i="11"/>
  <c r="K279" i="11"/>
  <c r="F280" i="11"/>
  <c r="G280" i="11" s="1"/>
  <c r="R280" i="11"/>
  <c r="O280" i="11"/>
  <c r="AI281" i="6" l="1"/>
  <c r="K281" i="6"/>
  <c r="O282" i="6"/>
  <c r="P283" i="6" s="1"/>
  <c r="R282" i="6"/>
  <c r="F282" i="6"/>
  <c r="G282" i="6" s="1"/>
  <c r="AL280" i="11"/>
  <c r="D280" i="11"/>
  <c r="S280" i="11"/>
  <c r="H280" i="11" s="1"/>
  <c r="N280" i="11" s="1"/>
  <c r="P281" i="11"/>
  <c r="E281" i="11" s="1"/>
  <c r="Q281" i="11"/>
  <c r="AL282" i="6" l="1"/>
  <c r="D282" i="6"/>
  <c r="Q283" i="6"/>
  <c r="F283" i="6" s="1"/>
  <c r="S282" i="6"/>
  <c r="H282" i="6" s="1"/>
  <c r="N282" i="6" s="1"/>
  <c r="E283" i="6"/>
  <c r="O283" i="6"/>
  <c r="AI280" i="11"/>
  <c r="K280" i="11"/>
  <c r="F281" i="11"/>
  <c r="G281" i="11" s="1"/>
  <c r="R281" i="11"/>
  <c r="O281" i="11"/>
  <c r="AI282" i="6" l="1"/>
  <c r="K282" i="6"/>
  <c r="R283" i="6"/>
  <c r="P284" i="6"/>
  <c r="E284" i="6" s="1"/>
  <c r="Q284" i="6"/>
  <c r="S283" i="6"/>
  <c r="H283" i="6" s="1"/>
  <c r="N283" i="6" s="1"/>
  <c r="D283" i="6"/>
  <c r="G283" i="6"/>
  <c r="AL281" i="11"/>
  <c r="S281" i="11"/>
  <c r="H281" i="11" s="1"/>
  <c r="N281" i="11" s="1"/>
  <c r="P282" i="11"/>
  <c r="E282" i="11" s="1"/>
  <c r="D281" i="11"/>
  <c r="Q282" i="11"/>
  <c r="K283" i="6" l="1"/>
  <c r="AL283" i="6"/>
  <c r="AI283" i="6"/>
  <c r="O284" i="6"/>
  <c r="D284" i="6" s="1"/>
  <c r="F284" i="6"/>
  <c r="G284" i="6" s="1"/>
  <c r="R284" i="6"/>
  <c r="AI281" i="11"/>
  <c r="K281" i="11"/>
  <c r="O282" i="11"/>
  <c r="F282" i="11"/>
  <c r="G282" i="11" s="1"/>
  <c r="R282" i="11"/>
  <c r="AL284" i="6" l="1"/>
  <c r="P285" i="6"/>
  <c r="E285" i="6" s="1"/>
  <c r="Q285" i="6"/>
  <c r="F285" i="6" s="1"/>
  <c r="S284" i="6"/>
  <c r="H284" i="6" s="1"/>
  <c r="AL282" i="11"/>
  <c r="Q283" i="11"/>
  <c r="D282" i="11"/>
  <c r="P283" i="11"/>
  <c r="E283" i="11" s="1"/>
  <c r="S282" i="11"/>
  <c r="H282" i="11" s="1"/>
  <c r="N282" i="11" s="1"/>
  <c r="N284" i="6" l="1"/>
  <c r="K284" i="6"/>
  <c r="AI284" i="6"/>
  <c r="R285" i="6"/>
  <c r="G285" i="6"/>
  <c r="O285" i="6"/>
  <c r="S285" i="6" s="1"/>
  <c r="H285" i="6" s="1"/>
  <c r="N285" i="6" s="1"/>
  <c r="K282" i="11"/>
  <c r="AI282" i="11"/>
  <c r="O283" i="11"/>
  <c r="F283" i="11"/>
  <c r="G283" i="11" s="1"/>
  <c r="R283" i="11"/>
  <c r="K285" i="6" l="1"/>
  <c r="AL285" i="6"/>
  <c r="AI285" i="6"/>
  <c r="Q286" i="6"/>
  <c r="F286" i="6" s="1"/>
  <c r="P286" i="6"/>
  <c r="E286" i="6" s="1"/>
  <c r="D285" i="6"/>
  <c r="AL283" i="11"/>
  <c r="Q284" i="11"/>
  <c r="S283" i="11"/>
  <c r="H283" i="11" s="1"/>
  <c r="N283" i="11" s="1"/>
  <c r="P284" i="11"/>
  <c r="E284" i="11" s="1"/>
  <c r="D283" i="11"/>
  <c r="R286" i="6" l="1"/>
  <c r="O286" i="6"/>
  <c r="D286" i="6" s="1"/>
  <c r="G286" i="6"/>
  <c r="K283" i="11"/>
  <c r="AI283" i="11"/>
  <c r="O284" i="11"/>
  <c r="F284" i="11"/>
  <c r="G284" i="11" s="1"/>
  <c r="R284" i="11"/>
  <c r="AL286" i="6" l="1"/>
  <c r="P287" i="6"/>
  <c r="E287" i="6" s="1"/>
  <c r="Q287" i="6"/>
  <c r="F287" i="6" s="1"/>
  <c r="S286" i="6"/>
  <c r="H286" i="6" s="1"/>
  <c r="N286" i="6" s="1"/>
  <c r="AL284" i="11"/>
  <c r="Q285" i="11"/>
  <c r="D284" i="11"/>
  <c r="S284" i="11"/>
  <c r="H284" i="11" s="1"/>
  <c r="N284" i="11" s="1"/>
  <c r="P285" i="11"/>
  <c r="E285" i="11" s="1"/>
  <c r="AI286" i="6" l="1"/>
  <c r="K286" i="6"/>
  <c r="R287" i="6"/>
  <c r="O287" i="6"/>
  <c r="Q288" i="6" s="1"/>
  <c r="G287" i="6"/>
  <c r="K284" i="11"/>
  <c r="AI284" i="11"/>
  <c r="O285" i="11"/>
  <c r="R285" i="11"/>
  <c r="F285" i="11"/>
  <c r="G285" i="11" s="1"/>
  <c r="AL287" i="6" l="1"/>
  <c r="D287" i="6"/>
  <c r="P288" i="6"/>
  <c r="O288" i="6" s="1"/>
  <c r="S287" i="6"/>
  <c r="H287" i="6" s="1"/>
  <c r="N287" i="6" s="1"/>
  <c r="F288" i="6"/>
  <c r="AL285" i="11"/>
  <c r="D285" i="11"/>
  <c r="S285" i="11"/>
  <c r="H285" i="11" s="1"/>
  <c r="N285" i="11" s="1"/>
  <c r="P286" i="11"/>
  <c r="E286" i="11" s="1"/>
  <c r="Q286" i="11"/>
  <c r="AI287" i="6" l="1"/>
  <c r="K287" i="6"/>
  <c r="R288" i="6"/>
  <c r="E288" i="6"/>
  <c r="G288" i="6" s="1"/>
  <c r="S288" i="6"/>
  <c r="H288" i="6" s="1"/>
  <c r="N288" i="6" s="1"/>
  <c r="Q289" i="6"/>
  <c r="P289" i="6"/>
  <c r="E289" i="6" s="1"/>
  <c r="D288" i="6"/>
  <c r="AI285" i="11"/>
  <c r="K285" i="11"/>
  <c r="F286" i="11"/>
  <c r="G286" i="11" s="1"/>
  <c r="R286" i="11"/>
  <c r="O286" i="11"/>
  <c r="K288" i="6" l="1"/>
  <c r="AL288" i="6"/>
  <c r="AI288" i="6"/>
  <c r="F289" i="6"/>
  <c r="G289" i="6" s="1"/>
  <c r="R289" i="6"/>
  <c r="AL289" i="6" s="1"/>
  <c r="O289" i="6"/>
  <c r="AL286" i="11"/>
  <c r="Q287" i="11"/>
  <c r="D286" i="11"/>
  <c r="P287" i="11"/>
  <c r="E287" i="11" s="1"/>
  <c r="S286" i="11"/>
  <c r="H286" i="11" s="1"/>
  <c r="N286" i="11" s="1"/>
  <c r="P290" i="6" l="1"/>
  <c r="S289" i="6"/>
  <c r="Q290" i="6"/>
  <c r="D289" i="6"/>
  <c r="K286" i="11"/>
  <c r="AI286" i="11"/>
  <c r="O287" i="11"/>
  <c r="R287" i="11"/>
  <c r="F287" i="11"/>
  <c r="G287" i="11" s="1"/>
  <c r="H289" i="6" l="1"/>
  <c r="AI289" i="6"/>
  <c r="F290" i="6"/>
  <c r="R290" i="6"/>
  <c r="AL290" i="6" s="1"/>
  <c r="E290" i="6"/>
  <c r="O290" i="6"/>
  <c r="AL287" i="11"/>
  <c r="D287" i="11"/>
  <c r="Q288" i="11"/>
  <c r="P288" i="11"/>
  <c r="E288" i="11" s="1"/>
  <c r="S287" i="11"/>
  <c r="H287" i="11" s="1"/>
  <c r="N287" i="11" s="1"/>
  <c r="N289" i="6" l="1"/>
  <c r="K289" i="6"/>
  <c r="D290" i="6"/>
  <c r="P291" i="6"/>
  <c r="E291" i="6" s="1"/>
  <c r="Q291" i="6"/>
  <c r="S290" i="6"/>
  <c r="G290" i="6"/>
  <c r="AI287" i="11"/>
  <c r="K287" i="11"/>
  <c r="F288" i="11"/>
  <c r="G288" i="11" s="1"/>
  <c r="R288" i="11"/>
  <c r="O288" i="11"/>
  <c r="H290" i="6" l="1"/>
  <c r="N290" i="6" s="1"/>
  <c r="AI290" i="6"/>
  <c r="K290" i="6"/>
  <c r="R291" i="6"/>
  <c r="F291" i="6"/>
  <c r="G291" i="6" s="1"/>
  <c r="O291" i="6"/>
  <c r="AL288" i="11"/>
  <c r="D288" i="11"/>
  <c r="Q289" i="11"/>
  <c r="S288" i="11"/>
  <c r="H288" i="11" s="1"/>
  <c r="N288" i="11" s="1"/>
  <c r="P289" i="11"/>
  <c r="E289" i="11" s="1"/>
  <c r="AL291" i="6" l="1"/>
  <c r="D291" i="6"/>
  <c r="S291" i="6"/>
  <c r="H291" i="6" s="1"/>
  <c r="N291" i="6" s="1"/>
  <c r="P292" i="6"/>
  <c r="E292" i="6" s="1"/>
  <c r="Q292" i="6"/>
  <c r="AI288" i="11"/>
  <c r="K288" i="11"/>
  <c r="F289" i="11"/>
  <c r="G289" i="11" s="1"/>
  <c r="R289" i="11"/>
  <c r="O289" i="11"/>
  <c r="K291" i="6" l="1"/>
  <c r="AI291" i="6"/>
  <c r="F292" i="6"/>
  <c r="G292" i="6" s="1"/>
  <c r="R292" i="6"/>
  <c r="O292" i="6"/>
  <c r="AL289" i="11"/>
  <c r="Q290" i="11"/>
  <c r="D289" i="11"/>
  <c r="S289" i="11"/>
  <c r="H289" i="11" s="1"/>
  <c r="N289" i="11" s="1"/>
  <c r="P290" i="11"/>
  <c r="E290" i="11" s="1"/>
  <c r="AL292" i="6" l="1"/>
  <c r="D292" i="6"/>
  <c r="Q293" i="6"/>
  <c r="S292" i="6"/>
  <c r="H292" i="6" s="1"/>
  <c r="N292" i="6" s="1"/>
  <c r="P293" i="6"/>
  <c r="E293" i="6" s="1"/>
  <c r="AI289" i="11"/>
  <c r="K289" i="11"/>
  <c r="O290" i="11"/>
  <c r="R290" i="11"/>
  <c r="F290" i="11"/>
  <c r="G290" i="11" s="1"/>
  <c r="K292" i="6" l="1"/>
  <c r="AI292" i="6"/>
  <c r="R293" i="6"/>
  <c r="F293" i="6"/>
  <c r="G293" i="6" s="1"/>
  <c r="O293" i="6"/>
  <c r="AL290" i="11"/>
  <c r="P291" i="11"/>
  <c r="E291" i="11" s="1"/>
  <c r="S290" i="11"/>
  <c r="H290" i="11" s="1"/>
  <c r="N290" i="11" s="1"/>
  <c r="Q291" i="11"/>
  <c r="D290" i="11"/>
  <c r="AL293" i="6" l="1"/>
  <c r="Q294" i="6"/>
  <c r="D293" i="6"/>
  <c r="P294" i="6"/>
  <c r="E294" i="6" s="1"/>
  <c r="S293" i="6"/>
  <c r="H293" i="6" s="1"/>
  <c r="N293" i="6" s="1"/>
  <c r="AI290" i="11"/>
  <c r="K290" i="11"/>
  <c r="O291" i="11"/>
  <c r="R291" i="11"/>
  <c r="F291" i="11"/>
  <c r="G291" i="11" s="1"/>
  <c r="AI293" i="6" l="1"/>
  <c r="K293" i="6"/>
  <c r="O294" i="6"/>
  <c r="R294" i="6"/>
  <c r="F294" i="6"/>
  <c r="G294" i="6" s="1"/>
  <c r="AL291" i="11"/>
  <c r="S291" i="11"/>
  <c r="H291" i="11" s="1"/>
  <c r="N291" i="11" s="1"/>
  <c r="D291" i="11"/>
  <c r="Q292" i="11"/>
  <c r="P292" i="11"/>
  <c r="E292" i="11" s="1"/>
  <c r="AL294" i="6" l="1"/>
  <c r="P295" i="6"/>
  <c r="E295" i="6" s="1"/>
  <c r="S294" i="6"/>
  <c r="H294" i="6" s="1"/>
  <c r="N294" i="6" s="1"/>
  <c r="D294" i="6"/>
  <c r="Q295" i="6"/>
  <c r="AI291" i="11"/>
  <c r="K291" i="11"/>
  <c r="R292" i="11"/>
  <c r="F292" i="11"/>
  <c r="G292" i="11" s="1"/>
  <c r="O292" i="11"/>
  <c r="K294" i="6" l="1"/>
  <c r="AI294" i="6"/>
  <c r="O295" i="6"/>
  <c r="D295" i="6" s="1"/>
  <c r="R295" i="6"/>
  <c r="F295" i="6"/>
  <c r="G295" i="6" s="1"/>
  <c r="AL292" i="11"/>
  <c r="D292" i="11"/>
  <c r="Q293" i="11"/>
  <c r="S292" i="11"/>
  <c r="H292" i="11" s="1"/>
  <c r="N292" i="11" s="1"/>
  <c r="P293" i="11"/>
  <c r="E293" i="11" s="1"/>
  <c r="Q296" i="6" l="1"/>
  <c r="F296" i="6" s="1"/>
  <c r="P296" i="6"/>
  <c r="E296" i="6" s="1"/>
  <c r="AL295" i="6"/>
  <c r="S295" i="6"/>
  <c r="H295" i="6" s="1"/>
  <c r="N295" i="6" s="1"/>
  <c r="K292" i="11"/>
  <c r="AI292" i="11"/>
  <c r="R293" i="11"/>
  <c r="F293" i="11"/>
  <c r="G293" i="11" s="1"/>
  <c r="O293" i="11"/>
  <c r="G296" i="6" l="1"/>
  <c r="R296" i="6"/>
  <c r="AL296" i="6" s="1"/>
  <c r="O296" i="6"/>
  <c r="Q297" i="6" s="1"/>
  <c r="K295" i="6"/>
  <c r="AI295" i="6"/>
  <c r="AL293" i="11"/>
  <c r="D293" i="11"/>
  <c r="Q294" i="11"/>
  <c r="S293" i="11"/>
  <c r="H293" i="11" s="1"/>
  <c r="N293" i="11" s="1"/>
  <c r="P294" i="11"/>
  <c r="E294" i="11" s="1"/>
  <c r="D296" i="6" l="1"/>
  <c r="S296" i="6"/>
  <c r="H296" i="6" s="1"/>
  <c r="N296" i="6" s="1"/>
  <c r="P297" i="6"/>
  <c r="E297" i="6" s="1"/>
  <c r="F297" i="6"/>
  <c r="K293" i="11"/>
  <c r="AI293" i="11"/>
  <c r="F294" i="11"/>
  <c r="G294" i="11" s="1"/>
  <c r="R294" i="11"/>
  <c r="O294" i="11"/>
  <c r="AI296" i="6" l="1"/>
  <c r="K296" i="6"/>
  <c r="R297" i="6"/>
  <c r="AL297" i="6" s="1"/>
  <c r="O297" i="6"/>
  <c r="S297" i="6" s="1"/>
  <c r="H297" i="6" s="1"/>
  <c r="N297" i="6" s="1"/>
  <c r="G297" i="6"/>
  <c r="AL294" i="11"/>
  <c r="D294" i="11"/>
  <c r="S294" i="11"/>
  <c r="H294" i="11" s="1"/>
  <c r="N294" i="11" s="1"/>
  <c r="Q295" i="11"/>
  <c r="P295" i="11"/>
  <c r="E295" i="11" s="1"/>
  <c r="D297" i="6" l="1"/>
  <c r="Q298" i="6"/>
  <c r="F298" i="6" s="1"/>
  <c r="P298" i="6"/>
  <c r="O298" i="6" s="1"/>
  <c r="K297" i="6"/>
  <c r="AI297" i="6"/>
  <c r="AI294" i="11"/>
  <c r="K294" i="11"/>
  <c r="R295" i="11"/>
  <c r="F295" i="11"/>
  <c r="G295" i="11" s="1"/>
  <c r="O295" i="11"/>
  <c r="R298" i="6" l="1"/>
  <c r="AL298" i="6" s="1"/>
  <c r="E298" i="6"/>
  <c r="G298" i="6" s="1"/>
  <c r="Q299" i="6"/>
  <c r="P299" i="6"/>
  <c r="E299" i="6" s="1"/>
  <c r="D298" i="6"/>
  <c r="S298" i="6"/>
  <c r="H298" i="6" s="1"/>
  <c r="N298" i="6" s="1"/>
  <c r="AL295" i="11"/>
  <c r="P296" i="11"/>
  <c r="E296" i="11" s="1"/>
  <c r="S295" i="11"/>
  <c r="H295" i="11" s="1"/>
  <c r="N295" i="11" s="1"/>
  <c r="Q296" i="11"/>
  <c r="D295" i="11"/>
  <c r="K298" i="6" l="1"/>
  <c r="AI298" i="6"/>
  <c r="O299" i="6"/>
  <c r="F299" i="6"/>
  <c r="G299" i="6" s="1"/>
  <c r="R299" i="6"/>
  <c r="AL299" i="6" s="1"/>
  <c r="K295" i="11"/>
  <c r="AI295" i="11"/>
  <c r="O296" i="11"/>
  <c r="S296" i="11" s="1"/>
  <c r="H296" i="11" s="1"/>
  <c r="N296" i="11" s="1"/>
  <c r="R296" i="11"/>
  <c r="F296" i="11"/>
  <c r="G296" i="11" s="1"/>
  <c r="K296" i="11" l="1"/>
  <c r="P297" i="11"/>
  <c r="E297" i="11" s="1"/>
  <c r="D296" i="11"/>
  <c r="Q300" i="6"/>
  <c r="D299" i="6"/>
  <c r="S299" i="6"/>
  <c r="P300" i="6"/>
  <c r="AL296" i="11"/>
  <c r="AI296" i="11"/>
  <c r="Q297" i="11"/>
  <c r="H299" i="6" l="1"/>
  <c r="AI299" i="6"/>
  <c r="R297" i="11"/>
  <c r="AL297" i="11" s="1"/>
  <c r="O297" i="11"/>
  <c r="D297" i="11" s="1"/>
  <c r="R300" i="6"/>
  <c r="AL300" i="6" s="1"/>
  <c r="F300" i="6"/>
  <c r="E300" i="6"/>
  <c r="O300" i="6"/>
  <c r="F297" i="11"/>
  <c r="G297" i="11" s="1"/>
  <c r="N299" i="6" l="1"/>
  <c r="K299" i="6"/>
  <c r="P298" i="11"/>
  <c r="E298" i="11" s="1"/>
  <c r="Q298" i="11"/>
  <c r="F298" i="11" s="1"/>
  <c r="S297" i="11"/>
  <c r="H297" i="11" s="1"/>
  <c r="N297" i="11" s="1"/>
  <c r="G300" i="6"/>
  <c r="S300" i="6"/>
  <c r="H300" i="6" s="1"/>
  <c r="N300" i="6" s="1"/>
  <c r="P301" i="6"/>
  <c r="Q301" i="6"/>
  <c r="D300" i="6"/>
  <c r="K297" i="11" l="1"/>
  <c r="AI297" i="11"/>
  <c r="K300" i="6"/>
  <c r="AI300" i="6"/>
  <c r="G298" i="11"/>
  <c r="R298" i="11"/>
  <c r="O298" i="11"/>
  <c r="Q299" i="11" s="1"/>
  <c r="F299" i="11" s="1"/>
  <c r="R301" i="6"/>
  <c r="AL301" i="6" s="1"/>
  <c r="F301" i="6"/>
  <c r="E301" i="6"/>
  <c r="O301" i="6"/>
  <c r="AL298" i="11" l="1"/>
  <c r="P299" i="11"/>
  <c r="E299" i="11" s="1"/>
  <c r="G299" i="11" s="1"/>
  <c r="D298" i="11"/>
  <c r="S298" i="11"/>
  <c r="H298" i="11" s="1"/>
  <c r="N298" i="11" s="1"/>
  <c r="P302" i="6"/>
  <c r="D301" i="6"/>
  <c r="S301" i="6"/>
  <c r="H301" i="6" s="1"/>
  <c r="N301" i="6" s="1"/>
  <c r="Q302" i="6"/>
  <c r="G301" i="6"/>
  <c r="K301" i="6" l="1"/>
  <c r="AI301" i="6"/>
  <c r="K298" i="11"/>
  <c r="AI298" i="11"/>
  <c r="R299" i="11"/>
  <c r="AL299" i="11" s="1"/>
  <c r="O299" i="11"/>
  <c r="S299" i="11" s="1"/>
  <c r="H299" i="11" s="1"/>
  <c r="N299" i="11" s="1"/>
  <c r="F302" i="6"/>
  <c r="R302" i="6"/>
  <c r="AL302" i="6" s="1"/>
  <c r="E302" i="6"/>
  <c r="O302" i="6"/>
  <c r="AI299" i="11" l="1"/>
  <c r="K299" i="11"/>
  <c r="D299" i="11"/>
  <c r="Q300" i="11"/>
  <c r="F300" i="11" s="1"/>
  <c r="P300" i="11"/>
  <c r="E300" i="11" s="1"/>
  <c r="P303" i="6"/>
  <c r="E303" i="6" s="1"/>
  <c r="S302" i="6"/>
  <c r="H302" i="6" s="1"/>
  <c r="N302" i="6" s="1"/>
  <c r="D302" i="6"/>
  <c r="Q303" i="6"/>
  <c r="G302" i="6"/>
  <c r="K302" i="6" l="1"/>
  <c r="AI302" i="6"/>
  <c r="G300" i="11"/>
  <c r="R300" i="11"/>
  <c r="AL300" i="11" s="1"/>
  <c r="O300" i="11"/>
  <c r="Q301" i="11" s="1"/>
  <c r="F301" i="11" s="1"/>
  <c r="O303" i="6"/>
  <c r="P304" i="6" s="1"/>
  <c r="F303" i="6"/>
  <c r="G303" i="6" s="1"/>
  <c r="R303" i="6"/>
  <c r="AL303" i="6" s="1"/>
  <c r="S300" i="11" l="1"/>
  <c r="H300" i="11" s="1"/>
  <c r="K300" i="11" s="1"/>
  <c r="D300" i="11"/>
  <c r="P301" i="11"/>
  <c r="E301" i="11" s="1"/>
  <c r="G301" i="11" s="1"/>
  <c r="D303" i="6"/>
  <c r="E304" i="6"/>
  <c r="O304" i="6"/>
  <c r="D304" i="6" s="1"/>
  <c r="Q304" i="6"/>
  <c r="F304" i="6" s="1"/>
  <c r="S303" i="6"/>
  <c r="H303" i="6" s="1"/>
  <c r="N303" i="6" s="1"/>
  <c r="N300" i="11"/>
  <c r="AI300" i="11" l="1"/>
  <c r="AI303" i="6"/>
  <c r="K303" i="6"/>
  <c r="O301" i="11"/>
  <c r="D301" i="11" s="1"/>
  <c r="R301" i="11"/>
  <c r="AL301" i="11" s="1"/>
  <c r="P305" i="6"/>
  <c r="E305" i="6" s="1"/>
  <c r="R304" i="6"/>
  <c r="Q305" i="6"/>
  <c r="F305" i="6" s="1"/>
  <c r="S304" i="6"/>
  <c r="H304" i="6" s="1"/>
  <c r="N304" i="6" s="1"/>
  <c r="G304" i="6"/>
  <c r="K304" i="6" l="1"/>
  <c r="AL304" i="6"/>
  <c r="AI304" i="6"/>
  <c r="S301" i="11"/>
  <c r="H301" i="11" s="1"/>
  <c r="P302" i="11"/>
  <c r="Q302" i="11"/>
  <c r="G305" i="6"/>
  <c r="O305" i="6"/>
  <c r="S305" i="6" s="1"/>
  <c r="H305" i="6" s="1"/>
  <c r="N305" i="6" s="1"/>
  <c r="R305" i="6"/>
  <c r="AL305" i="6" s="1"/>
  <c r="K305" i="6" l="1"/>
  <c r="N301" i="11"/>
  <c r="K301" i="11"/>
  <c r="AI305" i="6"/>
  <c r="AI301" i="11"/>
  <c r="F302" i="11"/>
  <c r="R302" i="11"/>
  <c r="AL302" i="11" s="1"/>
  <c r="O302" i="11"/>
  <c r="E302" i="11"/>
  <c r="D305" i="6"/>
  <c r="Q306" i="6"/>
  <c r="F306" i="6" s="1"/>
  <c r="P306" i="6"/>
  <c r="R306" i="6" l="1"/>
  <c r="AL306" i="6" s="1"/>
  <c r="D302" i="11"/>
  <c r="S302" i="11"/>
  <c r="H302" i="11" s="1"/>
  <c r="N302" i="11" s="1"/>
  <c r="P303" i="11"/>
  <c r="Q303" i="11"/>
  <c r="G302" i="11"/>
  <c r="E306" i="6"/>
  <c r="G306" i="6" s="1"/>
  <c r="O306" i="6"/>
  <c r="K302" i="11" l="1"/>
  <c r="AI302" i="11"/>
  <c r="R303" i="11"/>
  <c r="AL303" i="11" s="1"/>
  <c r="F303" i="11"/>
  <c r="E303" i="11"/>
  <c r="O303" i="11"/>
  <c r="D306" i="6"/>
  <c r="P307" i="6"/>
  <c r="Q307" i="6"/>
  <c r="S306" i="6"/>
  <c r="H306" i="6" l="1"/>
  <c r="AI306" i="6"/>
  <c r="G303" i="11"/>
  <c r="D303" i="11"/>
  <c r="P304" i="11"/>
  <c r="S303" i="11"/>
  <c r="Q304" i="11"/>
  <c r="F307" i="6"/>
  <c r="R307" i="6"/>
  <c r="AL307" i="6" s="1"/>
  <c r="E307" i="6"/>
  <c r="O307" i="6"/>
  <c r="H303" i="11" l="1"/>
  <c r="N303" i="11" s="1"/>
  <c r="AI303" i="11"/>
  <c r="N306" i="6"/>
  <c r="K306" i="6"/>
  <c r="R304" i="11"/>
  <c r="AL304" i="11" s="1"/>
  <c r="F304" i="11"/>
  <c r="O304" i="11"/>
  <c r="E304" i="11"/>
  <c r="P308" i="6"/>
  <c r="E308" i="6" s="1"/>
  <c r="Q308" i="6"/>
  <c r="D307" i="6"/>
  <c r="S307" i="6"/>
  <c r="G307" i="6"/>
  <c r="H307" i="6" l="1"/>
  <c r="N307" i="6" s="1"/>
  <c r="AI307" i="6"/>
  <c r="K303" i="11"/>
  <c r="G304" i="11"/>
  <c r="S304" i="11"/>
  <c r="D304" i="11"/>
  <c r="P305" i="11"/>
  <c r="Q305" i="11"/>
  <c r="F308" i="6"/>
  <c r="G308" i="6" s="1"/>
  <c r="R308" i="6"/>
  <c r="AL308" i="6" s="1"/>
  <c r="O308" i="6"/>
  <c r="H304" i="11" l="1"/>
  <c r="AI304" i="11"/>
  <c r="K307" i="6"/>
  <c r="F305" i="11"/>
  <c r="R305" i="11"/>
  <c r="AL305" i="11" s="1"/>
  <c r="E305" i="11"/>
  <c r="O305" i="11"/>
  <c r="P309" i="6"/>
  <c r="E309" i="6" s="1"/>
  <c r="S308" i="6"/>
  <c r="Q309" i="6"/>
  <c r="D308" i="6"/>
  <c r="H308" i="6" l="1"/>
  <c r="AI308" i="6"/>
  <c r="N304" i="11"/>
  <c r="K304" i="11"/>
  <c r="D305" i="11"/>
  <c r="P306" i="11"/>
  <c r="S305" i="11"/>
  <c r="Q306" i="11"/>
  <c r="G305" i="11"/>
  <c r="O309" i="6"/>
  <c r="P310" i="6" s="1"/>
  <c r="E310" i="6" s="1"/>
  <c r="R309" i="6"/>
  <c r="AL309" i="6" s="1"/>
  <c r="F309" i="6"/>
  <c r="G309" i="6" s="1"/>
  <c r="H305" i="11" l="1"/>
  <c r="AI305" i="11"/>
  <c r="N308" i="6"/>
  <c r="K308" i="6"/>
  <c r="R306" i="11"/>
  <c r="AL306" i="11" s="1"/>
  <c r="F306" i="11"/>
  <c r="E306" i="11"/>
  <c r="O306" i="11"/>
  <c r="Q310" i="6"/>
  <c r="F310" i="6" s="1"/>
  <c r="G310" i="6" s="1"/>
  <c r="S309" i="6"/>
  <c r="D309" i="6"/>
  <c r="O310" i="6"/>
  <c r="D310" i="6" s="1"/>
  <c r="H309" i="6" l="1"/>
  <c r="AI309" i="6"/>
  <c r="N305" i="11"/>
  <c r="K305" i="11"/>
  <c r="G306" i="11"/>
  <c r="R310" i="6"/>
  <c r="AL310" i="6" s="1"/>
  <c r="P307" i="11"/>
  <c r="D306" i="11"/>
  <c r="Q307" i="11"/>
  <c r="S306" i="11"/>
  <c r="Q311" i="6"/>
  <c r="F311" i="6" s="1"/>
  <c r="S310" i="6"/>
  <c r="H310" i="6" s="1"/>
  <c r="N310" i="6" s="1"/>
  <c r="P311" i="6"/>
  <c r="E311" i="6" s="1"/>
  <c r="K310" i="6" l="1"/>
  <c r="AI310" i="6"/>
  <c r="H306" i="11"/>
  <c r="N306" i="11" s="1"/>
  <c r="AI306" i="11"/>
  <c r="N309" i="6"/>
  <c r="K309" i="6"/>
  <c r="R307" i="11"/>
  <c r="AL307" i="11" s="1"/>
  <c r="F307" i="11"/>
  <c r="E307" i="11"/>
  <c r="O307" i="11"/>
  <c r="G311" i="6"/>
  <c r="O311" i="6"/>
  <c r="Q312" i="6" s="1"/>
  <c r="R311" i="6"/>
  <c r="AL311" i="6" s="1"/>
  <c r="K306" i="11" l="1"/>
  <c r="G307" i="11"/>
  <c r="S307" i="11"/>
  <c r="Q308" i="11"/>
  <c r="P308" i="11"/>
  <c r="D307" i="11"/>
  <c r="S311" i="6"/>
  <c r="H311" i="6" s="1"/>
  <c r="N311" i="6" s="1"/>
  <c r="P312" i="6"/>
  <c r="E312" i="6" s="1"/>
  <c r="D311" i="6"/>
  <c r="F312" i="6"/>
  <c r="AI311" i="6" l="1"/>
  <c r="H307" i="11"/>
  <c r="N307" i="11" s="1"/>
  <c r="AI307" i="11"/>
  <c r="K311" i="6"/>
  <c r="K307" i="11"/>
  <c r="E308" i="11"/>
  <c r="O308" i="11"/>
  <c r="F308" i="11"/>
  <c r="R308" i="11"/>
  <c r="O312" i="6"/>
  <c r="P313" i="6" s="1"/>
  <c r="E313" i="6" s="1"/>
  <c r="R312" i="6"/>
  <c r="AL312" i="6" s="1"/>
  <c r="G312" i="6"/>
  <c r="AL308" i="11" l="1"/>
  <c r="G308" i="11"/>
  <c r="S308" i="11"/>
  <c r="H308" i="11" s="1"/>
  <c r="N308" i="11" s="1"/>
  <c r="P309" i="11"/>
  <c r="Q309" i="11"/>
  <c r="D308" i="11"/>
  <c r="Q313" i="6"/>
  <c r="F313" i="6" s="1"/>
  <c r="G313" i="6" s="1"/>
  <c r="S312" i="6"/>
  <c r="H312" i="6" s="1"/>
  <c r="N312" i="6" s="1"/>
  <c r="D312" i="6"/>
  <c r="O313" i="6"/>
  <c r="AI312" i="6" l="1"/>
  <c r="K312" i="6"/>
  <c r="K308" i="11"/>
  <c r="AI308" i="11"/>
  <c r="R313" i="6"/>
  <c r="AL313" i="6" s="1"/>
  <c r="F309" i="11"/>
  <c r="R309" i="11"/>
  <c r="E309" i="11"/>
  <c r="O309" i="11"/>
  <c r="Q314" i="6"/>
  <c r="S313" i="6"/>
  <c r="H313" i="6" s="1"/>
  <c r="N313" i="6" s="1"/>
  <c r="P314" i="6"/>
  <c r="E314" i="6" s="1"/>
  <c r="D313" i="6"/>
  <c r="AL309" i="11" l="1"/>
  <c r="G309" i="11"/>
  <c r="D309" i="11"/>
  <c r="P310" i="11"/>
  <c r="S309" i="11"/>
  <c r="H309" i="11" s="1"/>
  <c r="N309" i="11" s="1"/>
  <c r="Q310" i="11"/>
  <c r="AI313" i="6"/>
  <c r="K313" i="6"/>
  <c r="O314" i="6"/>
  <c r="R314" i="6"/>
  <c r="F314" i="6"/>
  <c r="G314" i="6" s="1"/>
  <c r="AI309" i="11" l="1"/>
  <c r="K309" i="11"/>
  <c r="F310" i="11"/>
  <c r="R310" i="11"/>
  <c r="E310" i="11"/>
  <c r="O310" i="11"/>
  <c r="AL314" i="6"/>
  <c r="S314" i="6"/>
  <c r="H314" i="6" s="1"/>
  <c r="N314" i="6" s="1"/>
  <c r="Q315" i="6"/>
  <c r="P315" i="6"/>
  <c r="E315" i="6" s="1"/>
  <c r="D314" i="6"/>
  <c r="AL310" i="11" l="1"/>
  <c r="G310" i="11"/>
  <c r="P311" i="11"/>
  <c r="E311" i="11" s="1"/>
  <c r="Q311" i="11"/>
  <c r="D310" i="11"/>
  <c r="S310" i="11"/>
  <c r="H310" i="11" s="1"/>
  <c r="N310" i="11" s="1"/>
  <c r="K314" i="6"/>
  <c r="AI314" i="6"/>
  <c r="R315" i="6"/>
  <c r="F315" i="6"/>
  <c r="G315" i="6" s="1"/>
  <c r="O315" i="6"/>
  <c r="K310" i="11" l="1"/>
  <c r="AI310" i="11"/>
  <c r="O311" i="11"/>
  <c r="R311" i="11"/>
  <c r="F311" i="11"/>
  <c r="G311" i="11" s="1"/>
  <c r="AL315" i="6"/>
  <c r="Q316" i="6"/>
  <c r="D315" i="6"/>
  <c r="S315" i="6"/>
  <c r="H315" i="6" s="1"/>
  <c r="N315" i="6" s="1"/>
  <c r="P316" i="6"/>
  <c r="E316" i="6" s="1"/>
  <c r="AL311" i="11" l="1"/>
  <c r="S311" i="11"/>
  <c r="H311" i="11" s="1"/>
  <c r="Q312" i="11"/>
  <c r="P312" i="11"/>
  <c r="E312" i="11" s="1"/>
  <c r="D311" i="11"/>
  <c r="AI315" i="6"/>
  <c r="K315" i="6"/>
  <c r="O316" i="6"/>
  <c r="R316" i="6"/>
  <c r="F316" i="6"/>
  <c r="G316" i="6" s="1"/>
  <c r="N311" i="11" l="1"/>
  <c r="K311" i="11"/>
  <c r="AI311" i="11"/>
  <c r="R312" i="11"/>
  <c r="F312" i="11"/>
  <c r="G312" i="11" s="1"/>
  <c r="O312" i="11"/>
  <c r="AL316" i="6"/>
  <c r="D316" i="6"/>
  <c r="S316" i="6"/>
  <c r="H316" i="6" s="1"/>
  <c r="N316" i="6" s="1"/>
  <c r="Q317" i="6"/>
  <c r="P317" i="6"/>
  <c r="E317" i="6" s="1"/>
  <c r="AL312" i="11" l="1"/>
  <c r="Q313" i="11"/>
  <c r="S312" i="11"/>
  <c r="H312" i="11" s="1"/>
  <c r="D312" i="11"/>
  <c r="P313" i="11"/>
  <c r="E313" i="11" s="1"/>
  <c r="AI316" i="6"/>
  <c r="K316" i="6"/>
  <c r="R317" i="6"/>
  <c r="F317" i="6"/>
  <c r="G317" i="6" s="1"/>
  <c r="O317" i="6"/>
  <c r="N312" i="11" l="1"/>
  <c r="K312" i="11"/>
  <c r="AI312" i="11"/>
  <c r="O313" i="11"/>
  <c r="R313" i="11"/>
  <c r="F313" i="11"/>
  <c r="G313" i="11" s="1"/>
  <c r="AL317" i="6"/>
  <c r="Q318" i="6"/>
  <c r="D317" i="6"/>
  <c r="S317" i="6"/>
  <c r="H317" i="6" s="1"/>
  <c r="N317" i="6" s="1"/>
  <c r="P318" i="6"/>
  <c r="E318" i="6" s="1"/>
  <c r="AL313" i="11" l="1"/>
  <c r="D313" i="11"/>
  <c r="P314" i="11"/>
  <c r="E314" i="11" s="1"/>
  <c r="Q314" i="11"/>
  <c r="S313" i="11"/>
  <c r="H313" i="11" s="1"/>
  <c r="N313" i="11" s="1"/>
  <c r="AI317" i="6"/>
  <c r="K317" i="6"/>
  <c r="O318" i="6"/>
  <c r="F318" i="6"/>
  <c r="G318" i="6" s="1"/>
  <c r="R318" i="6"/>
  <c r="AI313" i="11" l="1"/>
  <c r="K313" i="11"/>
  <c r="R314" i="11"/>
  <c r="F314" i="11"/>
  <c r="G314" i="11" s="1"/>
  <c r="O314" i="11"/>
  <c r="AL318" i="6"/>
  <c r="Q319" i="6"/>
  <c r="D318" i="6"/>
  <c r="S318" i="6"/>
  <c r="H318" i="6" s="1"/>
  <c r="N318" i="6" s="1"/>
  <c r="P319" i="6"/>
  <c r="E319" i="6" s="1"/>
  <c r="AL314" i="11" l="1"/>
  <c r="D314" i="11"/>
  <c r="Q315" i="11"/>
  <c r="S314" i="11"/>
  <c r="H314" i="11" s="1"/>
  <c r="P315" i="11"/>
  <c r="E315" i="11" s="1"/>
  <c r="K318" i="6"/>
  <c r="AI318" i="6"/>
  <c r="O319" i="6"/>
  <c r="F319" i="6"/>
  <c r="G319" i="6" s="1"/>
  <c r="R319" i="6"/>
  <c r="N314" i="11" l="1"/>
  <c r="K314" i="11"/>
  <c r="AI314" i="11"/>
  <c r="F315" i="11"/>
  <c r="G315" i="11" s="1"/>
  <c r="R315" i="11"/>
  <c r="O315" i="11"/>
  <c r="AL319" i="6"/>
  <c r="D319" i="6"/>
  <c r="S319" i="6"/>
  <c r="H319" i="6" s="1"/>
  <c r="N319" i="6" s="1"/>
  <c r="P320" i="6"/>
  <c r="E320" i="6" s="1"/>
  <c r="Q320" i="6"/>
  <c r="AL315" i="11" l="1"/>
  <c r="D315" i="11"/>
  <c r="Q316" i="11"/>
  <c r="S315" i="11"/>
  <c r="H315" i="11" s="1"/>
  <c r="N315" i="11" s="1"/>
  <c r="P316" i="11"/>
  <c r="E316" i="11" s="1"/>
  <c r="K319" i="6"/>
  <c r="AI319" i="6"/>
  <c r="R320" i="6"/>
  <c r="F320" i="6"/>
  <c r="G320" i="6" s="1"/>
  <c r="O320" i="6"/>
  <c r="K315" i="11" l="1"/>
  <c r="AI315" i="11"/>
  <c r="R316" i="11"/>
  <c r="F316" i="11"/>
  <c r="G316" i="11" s="1"/>
  <c r="O316" i="11"/>
  <c r="AL320" i="6"/>
  <c r="S320" i="6"/>
  <c r="H320" i="6" s="1"/>
  <c r="N320" i="6" s="1"/>
  <c r="Q321" i="6"/>
  <c r="P321" i="6"/>
  <c r="E321" i="6" s="1"/>
  <c r="D320" i="6"/>
  <c r="AL316" i="11" l="1"/>
  <c r="D316" i="11"/>
  <c r="P317" i="11"/>
  <c r="E317" i="11" s="1"/>
  <c r="Q317" i="11"/>
  <c r="S316" i="11"/>
  <c r="H316" i="11" s="1"/>
  <c r="AI320" i="6"/>
  <c r="K320" i="6"/>
  <c r="R321" i="6"/>
  <c r="F321" i="6"/>
  <c r="G321" i="6" s="1"/>
  <c r="O321" i="6"/>
  <c r="N316" i="11" l="1"/>
  <c r="K316" i="11"/>
  <c r="AI316" i="11"/>
  <c r="R317" i="11"/>
  <c r="F317" i="11"/>
  <c r="G317" i="11" s="1"/>
  <c r="O317" i="11"/>
  <c r="AL321" i="6"/>
  <c r="Q322" i="6"/>
  <c r="D321" i="6"/>
  <c r="S321" i="6"/>
  <c r="H321" i="6" s="1"/>
  <c r="N321" i="6" s="1"/>
  <c r="P322" i="6"/>
  <c r="E322" i="6" s="1"/>
  <c r="AL317" i="11" l="1"/>
  <c r="D317" i="11"/>
  <c r="S317" i="11"/>
  <c r="H317" i="11" s="1"/>
  <c r="N317" i="11" s="1"/>
  <c r="P318" i="11"/>
  <c r="E318" i="11" s="1"/>
  <c r="Q318" i="11"/>
  <c r="AI321" i="6"/>
  <c r="K321" i="6"/>
  <c r="O322" i="6"/>
  <c r="R322" i="6"/>
  <c r="F322" i="6"/>
  <c r="G322" i="6" s="1"/>
  <c r="AI317" i="11" l="1"/>
  <c r="K317" i="11"/>
  <c r="O318" i="11"/>
  <c r="Q319" i="11" s="1"/>
  <c r="F318" i="11"/>
  <c r="G318" i="11" s="1"/>
  <c r="R318" i="11"/>
  <c r="AL322" i="6"/>
  <c r="D322" i="6"/>
  <c r="Q323" i="6"/>
  <c r="S322" i="6"/>
  <c r="H322" i="6" s="1"/>
  <c r="N322" i="6" s="1"/>
  <c r="P323" i="6"/>
  <c r="E323" i="6" s="1"/>
  <c r="AL318" i="11" l="1"/>
  <c r="S318" i="11"/>
  <c r="H318" i="11" s="1"/>
  <c r="P319" i="11"/>
  <c r="O319" i="11" s="1"/>
  <c r="D318" i="11"/>
  <c r="F319" i="11"/>
  <c r="AI322" i="6"/>
  <c r="K322" i="6"/>
  <c r="F323" i="6"/>
  <c r="G323" i="6" s="1"/>
  <c r="R323" i="6"/>
  <c r="O323" i="6"/>
  <c r="N318" i="11" l="1"/>
  <c r="K318" i="11"/>
  <c r="AI318" i="11"/>
  <c r="R319" i="11"/>
  <c r="E319" i="11"/>
  <c r="G319" i="11" s="1"/>
  <c r="S319" i="11"/>
  <c r="H319" i="11" s="1"/>
  <c r="N319" i="11" s="1"/>
  <c r="P320" i="11"/>
  <c r="E320" i="11" s="1"/>
  <c r="D319" i="11"/>
  <c r="Q320" i="11"/>
  <c r="AL323" i="6"/>
  <c r="Q324" i="6"/>
  <c r="D323" i="6"/>
  <c r="S323" i="6"/>
  <c r="H323" i="6" s="1"/>
  <c r="N323" i="6" s="1"/>
  <c r="P324" i="6"/>
  <c r="E324" i="6" s="1"/>
  <c r="AL319" i="11" l="1"/>
  <c r="AI319" i="11"/>
  <c r="K319" i="11"/>
  <c r="F320" i="11"/>
  <c r="G320" i="11" s="1"/>
  <c r="R320" i="11"/>
  <c r="AL320" i="11" s="1"/>
  <c r="O320" i="11"/>
  <c r="K323" i="6"/>
  <c r="AI323" i="6"/>
  <c r="O324" i="6"/>
  <c r="F324" i="6"/>
  <c r="G324" i="6" s="1"/>
  <c r="R324" i="6"/>
  <c r="S320" i="11" l="1"/>
  <c r="H320" i="11" s="1"/>
  <c r="N320" i="11" s="1"/>
  <c r="Q321" i="11"/>
  <c r="D320" i="11"/>
  <c r="P321" i="11"/>
  <c r="AL324" i="6"/>
  <c r="K320" i="11"/>
  <c r="Q325" i="6"/>
  <c r="D324" i="6"/>
  <c r="S324" i="6"/>
  <c r="H324" i="6" s="1"/>
  <c r="N324" i="6" s="1"/>
  <c r="P325" i="6"/>
  <c r="E325" i="6" s="1"/>
  <c r="AI320" i="11" l="1"/>
  <c r="E321" i="11"/>
  <c r="O321" i="11"/>
  <c r="R321" i="11"/>
  <c r="AL321" i="11" s="1"/>
  <c r="F321" i="11"/>
  <c r="K324" i="6"/>
  <c r="AI324" i="6"/>
  <c r="O325" i="6"/>
  <c r="F325" i="6"/>
  <c r="G325" i="6" s="1"/>
  <c r="R325" i="6"/>
  <c r="G321" i="11" l="1"/>
  <c r="S321" i="11"/>
  <c r="D321" i="11"/>
  <c r="P322" i="11"/>
  <c r="E322" i="11" s="1"/>
  <c r="Q322" i="11"/>
  <c r="AL325" i="6"/>
  <c r="S325" i="6"/>
  <c r="H325" i="6" s="1"/>
  <c r="N325" i="6" s="1"/>
  <c r="Q326" i="6"/>
  <c r="D325" i="6"/>
  <c r="P326" i="6"/>
  <c r="E326" i="6" s="1"/>
  <c r="H321" i="11" l="1"/>
  <c r="N321" i="11" s="1"/>
  <c r="AI321" i="11"/>
  <c r="K321" i="11"/>
  <c r="R322" i="11"/>
  <c r="AL322" i="11" s="1"/>
  <c r="F322" i="11"/>
  <c r="G322" i="11" s="1"/>
  <c r="O322" i="11"/>
  <c r="K325" i="6"/>
  <c r="AI325" i="6"/>
  <c r="R326" i="6"/>
  <c r="F326" i="6"/>
  <c r="G326" i="6" s="1"/>
  <c r="O326" i="6"/>
  <c r="S322" i="11" l="1"/>
  <c r="H322" i="11" s="1"/>
  <c r="N322" i="11" s="1"/>
  <c r="Q323" i="11"/>
  <c r="P323" i="11"/>
  <c r="D322" i="11"/>
  <c r="AL326" i="6"/>
  <c r="K322" i="11"/>
  <c r="Q327" i="6"/>
  <c r="D326" i="6"/>
  <c r="S326" i="6"/>
  <c r="H326" i="6" s="1"/>
  <c r="N326" i="6" s="1"/>
  <c r="P327" i="6"/>
  <c r="E327" i="6" s="1"/>
  <c r="AI322" i="11" l="1"/>
  <c r="O323" i="11"/>
  <c r="E323" i="11"/>
  <c r="F323" i="11"/>
  <c r="R323" i="11"/>
  <c r="AL323" i="11" s="1"/>
  <c r="K326" i="6"/>
  <c r="AI326" i="6"/>
  <c r="O327" i="6"/>
  <c r="F327" i="6"/>
  <c r="G327" i="6" s="1"/>
  <c r="R327" i="6"/>
  <c r="G323" i="11" l="1"/>
  <c r="P324" i="11"/>
  <c r="Q324" i="11"/>
  <c r="D323" i="11"/>
  <c r="S323" i="11"/>
  <c r="AL327" i="6"/>
  <c r="S327" i="6"/>
  <c r="H327" i="6" s="1"/>
  <c r="N327" i="6" s="1"/>
  <c r="Q328" i="6"/>
  <c r="D327" i="6"/>
  <c r="P328" i="6"/>
  <c r="E328" i="6" s="1"/>
  <c r="H323" i="11" l="1"/>
  <c r="AI323" i="11"/>
  <c r="R324" i="11"/>
  <c r="AL324" i="11" s="1"/>
  <c r="F324" i="11"/>
  <c r="E324" i="11"/>
  <c r="O324" i="11"/>
  <c r="K327" i="6"/>
  <c r="AI327" i="6"/>
  <c r="R328" i="6"/>
  <c r="F328" i="6"/>
  <c r="G328" i="6" s="1"/>
  <c r="O328" i="6"/>
  <c r="N323" i="11" l="1"/>
  <c r="K323" i="11"/>
  <c r="D324" i="11"/>
  <c r="Q325" i="11"/>
  <c r="S324" i="11"/>
  <c r="H324" i="11" s="1"/>
  <c r="N324" i="11" s="1"/>
  <c r="P325" i="11"/>
  <c r="E325" i="11" s="1"/>
  <c r="G324" i="11"/>
  <c r="AL328" i="6"/>
  <c r="S328" i="6"/>
  <c r="H328" i="6" s="1"/>
  <c r="N328" i="6" s="1"/>
  <c r="Q329" i="6"/>
  <c r="P329" i="6"/>
  <c r="E329" i="6" s="1"/>
  <c r="D328" i="6"/>
  <c r="K324" i="11" l="1"/>
  <c r="AI324" i="11"/>
  <c r="R325" i="11"/>
  <c r="AL325" i="11" s="1"/>
  <c r="F325" i="11"/>
  <c r="G325" i="11" s="1"/>
  <c r="O325" i="11"/>
  <c r="K328" i="6"/>
  <c r="AI328" i="6"/>
  <c r="F329" i="6"/>
  <c r="G329" i="6" s="1"/>
  <c r="R329" i="6"/>
  <c r="O329" i="6"/>
  <c r="P326" i="11" l="1"/>
  <c r="S325" i="11"/>
  <c r="D325" i="11"/>
  <c r="Q326" i="11"/>
  <c r="AL329" i="6"/>
  <c r="Q330" i="6"/>
  <c r="D329" i="6"/>
  <c r="S329" i="6"/>
  <c r="H329" i="6" s="1"/>
  <c r="N329" i="6" s="1"/>
  <c r="P330" i="6"/>
  <c r="E330" i="6" s="1"/>
  <c r="H325" i="11" l="1"/>
  <c r="AI325" i="11"/>
  <c r="R326" i="11"/>
  <c r="AL326" i="11" s="1"/>
  <c r="F326" i="11"/>
  <c r="O326" i="11"/>
  <c r="E326" i="11"/>
  <c r="K329" i="6"/>
  <c r="AI329" i="6"/>
  <c r="O330" i="6"/>
  <c r="F330" i="6"/>
  <c r="G330" i="6" s="1"/>
  <c r="R330" i="6"/>
  <c r="N325" i="11" l="1"/>
  <c r="K325" i="11"/>
  <c r="G326" i="11"/>
  <c r="Q327" i="11"/>
  <c r="S326" i="11"/>
  <c r="H326" i="11" s="1"/>
  <c r="N326" i="11" s="1"/>
  <c r="P327" i="11"/>
  <c r="D326" i="11"/>
  <c r="AL330" i="6"/>
  <c r="S330" i="6"/>
  <c r="H330" i="6" s="1"/>
  <c r="N330" i="6" s="1"/>
  <c r="Q331" i="6"/>
  <c r="D330" i="6"/>
  <c r="P331" i="6"/>
  <c r="E331" i="6" s="1"/>
  <c r="K326" i="11" l="1"/>
  <c r="AI326" i="11"/>
  <c r="E327" i="11"/>
  <c r="O327" i="11"/>
  <c r="F327" i="11"/>
  <c r="R327" i="11"/>
  <c r="AL327" i="11" s="1"/>
  <c r="K330" i="6"/>
  <c r="AI330" i="6"/>
  <c r="F331" i="6"/>
  <c r="G331" i="6" s="1"/>
  <c r="R331" i="6"/>
  <c r="O331" i="6"/>
  <c r="G327" i="11" l="1"/>
  <c r="S327" i="11"/>
  <c r="D327" i="11"/>
  <c r="Q328" i="11"/>
  <c r="P328" i="11"/>
  <c r="AL331" i="6"/>
  <c r="Q332" i="6"/>
  <c r="P332" i="6"/>
  <c r="E332" i="6" s="1"/>
  <c r="D331" i="6"/>
  <c r="S331" i="6"/>
  <c r="H331" i="6" s="1"/>
  <c r="N331" i="6" s="1"/>
  <c r="H327" i="11" l="1"/>
  <c r="AI327" i="11"/>
  <c r="F328" i="11"/>
  <c r="R328" i="11"/>
  <c r="AL328" i="11" s="1"/>
  <c r="E328" i="11"/>
  <c r="O328" i="11"/>
  <c r="K331" i="6"/>
  <c r="AI331" i="6"/>
  <c r="O332" i="6"/>
  <c r="F332" i="6"/>
  <c r="G332" i="6" s="1"/>
  <c r="R332" i="6"/>
  <c r="N327" i="11" l="1"/>
  <c r="K327" i="11"/>
  <c r="Q329" i="11"/>
  <c r="P329" i="11"/>
  <c r="D328" i="11"/>
  <c r="S328" i="11"/>
  <c r="H328" i="11" s="1"/>
  <c r="N328" i="11" s="1"/>
  <c r="G328" i="11"/>
  <c r="AL332" i="6"/>
  <c r="D332" i="6"/>
  <c r="S332" i="6"/>
  <c r="H332" i="6" s="1"/>
  <c r="N332" i="6" s="1"/>
  <c r="Q333" i="6"/>
  <c r="P333" i="6"/>
  <c r="E333" i="6" s="1"/>
  <c r="K328" i="11" l="1"/>
  <c r="AI328" i="11"/>
  <c r="E329" i="11"/>
  <c r="O329" i="11"/>
  <c r="F329" i="11"/>
  <c r="R329" i="11"/>
  <c r="AL329" i="11" s="1"/>
  <c r="AI332" i="6"/>
  <c r="K332" i="6"/>
  <c r="F333" i="6"/>
  <c r="G333" i="6" s="1"/>
  <c r="R333" i="6"/>
  <c r="O333" i="6"/>
  <c r="G329" i="11" l="1"/>
  <c r="S329" i="11"/>
  <c r="P330" i="11"/>
  <c r="E330" i="11" s="1"/>
  <c r="Q330" i="11"/>
  <c r="D329" i="11"/>
  <c r="AL333" i="6"/>
  <c r="P334" i="6"/>
  <c r="E334" i="6" s="1"/>
  <c r="S333" i="6"/>
  <c r="H333" i="6" s="1"/>
  <c r="N333" i="6" s="1"/>
  <c r="Q334" i="6"/>
  <c r="D333" i="6"/>
  <c r="H329" i="11" l="1"/>
  <c r="N329" i="11" s="1"/>
  <c r="AI329" i="11"/>
  <c r="K329" i="11"/>
  <c r="R330" i="11"/>
  <c r="AL330" i="11" s="1"/>
  <c r="F330" i="11"/>
  <c r="G330" i="11" s="1"/>
  <c r="O330" i="11"/>
  <c r="AI333" i="6"/>
  <c r="K333" i="6"/>
  <c r="O334" i="6"/>
  <c r="F334" i="6"/>
  <c r="G334" i="6" s="1"/>
  <c r="R334" i="6"/>
  <c r="P331" i="11" l="1"/>
  <c r="Q331" i="11"/>
  <c r="S330" i="11"/>
  <c r="D330" i="11"/>
  <c r="AL334" i="6"/>
  <c r="S334" i="6"/>
  <c r="H334" i="6" s="1"/>
  <c r="N334" i="6" s="1"/>
  <c r="P335" i="6"/>
  <c r="E335" i="6" s="1"/>
  <c r="D334" i="6"/>
  <c r="Q335" i="6"/>
  <c r="H330" i="11" l="1"/>
  <c r="AI330" i="11"/>
  <c r="F331" i="11"/>
  <c r="R331" i="11"/>
  <c r="AL331" i="11" s="1"/>
  <c r="E331" i="11"/>
  <c r="O331" i="11"/>
  <c r="AI334" i="6"/>
  <c r="K334" i="6"/>
  <c r="R335" i="6"/>
  <c r="F335" i="6"/>
  <c r="G335" i="6" s="1"/>
  <c r="O335" i="6"/>
  <c r="N330" i="11" l="1"/>
  <c r="K330" i="11"/>
  <c r="G331" i="11"/>
  <c r="Q332" i="11"/>
  <c r="F332" i="11" s="1"/>
  <c r="S331" i="11"/>
  <c r="D331" i="11"/>
  <c r="P332" i="11"/>
  <c r="AL335" i="6"/>
  <c r="D335" i="6"/>
  <c r="P336" i="6"/>
  <c r="E336" i="6" s="1"/>
  <c r="Q336" i="6"/>
  <c r="S335" i="6"/>
  <c r="H335" i="6" s="1"/>
  <c r="N335" i="6" s="1"/>
  <c r="H331" i="11" l="1"/>
  <c r="N331" i="11" s="1"/>
  <c r="AI331" i="11"/>
  <c r="K331" i="11"/>
  <c r="R332" i="11"/>
  <c r="E332" i="11"/>
  <c r="G332" i="11" s="1"/>
  <c r="O332" i="11"/>
  <c r="AI335" i="6"/>
  <c r="K335" i="6"/>
  <c r="F336" i="6"/>
  <c r="G336" i="6" s="1"/>
  <c r="R336" i="6"/>
  <c r="O336" i="6"/>
  <c r="AL332" i="11" l="1"/>
  <c r="S332" i="11"/>
  <c r="H332" i="11" s="1"/>
  <c r="N332" i="11" s="1"/>
  <c r="P333" i="11"/>
  <c r="E333" i="11" s="1"/>
  <c r="D332" i="11"/>
  <c r="Q333" i="11"/>
  <c r="AL336" i="6"/>
  <c r="Q337" i="6"/>
  <c r="S336" i="6"/>
  <c r="H336" i="6" s="1"/>
  <c r="N336" i="6" s="1"/>
  <c r="D336" i="6"/>
  <c r="P337" i="6"/>
  <c r="E337" i="6" s="1"/>
  <c r="K332" i="11" l="1"/>
  <c r="AI332" i="11"/>
  <c r="O333" i="11"/>
  <c r="S333" i="11" s="1"/>
  <c r="H333" i="11" s="1"/>
  <c r="K333" i="11" s="1"/>
  <c r="F333" i="11"/>
  <c r="G333" i="11" s="1"/>
  <c r="R333" i="11"/>
  <c r="AI336" i="6"/>
  <c r="K336" i="6"/>
  <c r="O337" i="6"/>
  <c r="R337" i="6"/>
  <c r="F337" i="6"/>
  <c r="G337" i="6" s="1"/>
  <c r="N333" i="11" l="1"/>
  <c r="AL333" i="11"/>
  <c r="AI333" i="11"/>
  <c r="P334" i="11"/>
  <c r="E334" i="11" s="1"/>
  <c r="D333" i="11"/>
  <c r="Q334" i="11"/>
  <c r="F334" i="11" s="1"/>
  <c r="AL337" i="6"/>
  <c r="P338" i="6"/>
  <c r="E338" i="6" s="1"/>
  <c r="Q338" i="6"/>
  <c r="D337" i="6"/>
  <c r="S337" i="6"/>
  <c r="H337" i="6" s="1"/>
  <c r="N337" i="6" s="1"/>
  <c r="O334" i="11" l="1"/>
  <c r="S334" i="11" s="1"/>
  <c r="H334" i="11" s="1"/>
  <c r="G334" i="11"/>
  <c r="R334" i="11"/>
  <c r="N334" i="11"/>
  <c r="K334" i="11"/>
  <c r="K337" i="6"/>
  <c r="AI337" i="6"/>
  <c r="O338" i="6"/>
  <c r="F338" i="6"/>
  <c r="G338" i="6" s="1"/>
  <c r="R338" i="6"/>
  <c r="Q335" i="11" l="1"/>
  <c r="F335" i="11" s="1"/>
  <c r="P335" i="11"/>
  <c r="O335" i="11" s="1"/>
  <c r="S335" i="11" s="1"/>
  <c r="H335" i="11" s="1"/>
  <c r="N335" i="11" s="1"/>
  <c r="AL334" i="11"/>
  <c r="AI334" i="11"/>
  <c r="D334" i="11"/>
  <c r="AL338" i="6"/>
  <c r="P339" i="6"/>
  <c r="E339" i="6" s="1"/>
  <c r="D338" i="6"/>
  <c r="Q339" i="6"/>
  <c r="S338" i="6"/>
  <c r="H338" i="6" s="1"/>
  <c r="N338" i="6" s="1"/>
  <c r="Q336" i="11" l="1"/>
  <c r="F336" i="11" s="1"/>
  <c r="E335" i="11"/>
  <c r="G335" i="11" s="1"/>
  <c r="D335" i="11"/>
  <c r="P336" i="11"/>
  <c r="E336" i="11" s="1"/>
  <c r="R335" i="11"/>
  <c r="AL335" i="11" s="1"/>
  <c r="K338" i="6"/>
  <c r="K335" i="11"/>
  <c r="AI338" i="6"/>
  <c r="O339" i="6"/>
  <c r="F339" i="6"/>
  <c r="G339" i="6" s="1"/>
  <c r="R339" i="6"/>
  <c r="AI335" i="11" l="1"/>
  <c r="G336" i="11"/>
  <c r="R336" i="11"/>
  <c r="AL336" i="11" s="1"/>
  <c r="O336" i="11"/>
  <c r="P337" i="11" s="1"/>
  <c r="E337" i="11" s="1"/>
  <c r="AL339" i="6"/>
  <c r="P340" i="6"/>
  <c r="E340" i="6" s="1"/>
  <c r="S339" i="6"/>
  <c r="H339" i="6" s="1"/>
  <c r="N339" i="6" s="1"/>
  <c r="D339" i="6"/>
  <c r="Q340" i="6"/>
  <c r="Q337" i="11" l="1"/>
  <c r="F337" i="11" s="1"/>
  <c r="G337" i="11" s="1"/>
  <c r="D336" i="11"/>
  <c r="S336" i="11"/>
  <c r="O337" i="11"/>
  <c r="D337" i="11" s="1"/>
  <c r="K339" i="6"/>
  <c r="AI339" i="6"/>
  <c r="F340" i="6"/>
  <c r="G340" i="6" s="1"/>
  <c r="R340" i="6"/>
  <c r="O340" i="6"/>
  <c r="H336" i="11" l="1"/>
  <c r="AI336" i="11"/>
  <c r="R337" i="11"/>
  <c r="AL337" i="11" s="1"/>
  <c r="P338" i="11"/>
  <c r="E338" i="11" s="1"/>
  <c r="Q338" i="11"/>
  <c r="F338" i="11" s="1"/>
  <c r="S337" i="11"/>
  <c r="H337" i="11" s="1"/>
  <c r="N337" i="11" s="1"/>
  <c r="AL340" i="6"/>
  <c r="Q341" i="6"/>
  <c r="P341" i="6"/>
  <c r="E341" i="6" s="1"/>
  <c r="D340" i="6"/>
  <c r="S340" i="6"/>
  <c r="H340" i="6" s="1"/>
  <c r="N340" i="6" s="1"/>
  <c r="AI337" i="11" l="1"/>
  <c r="K337" i="11"/>
  <c r="K336" i="11"/>
  <c r="N336" i="11"/>
  <c r="O338" i="11"/>
  <c r="Q339" i="11" s="1"/>
  <c r="R338" i="11"/>
  <c r="AL338" i="11" s="1"/>
  <c r="K340" i="6"/>
  <c r="G338" i="11"/>
  <c r="AI340" i="6"/>
  <c r="O341" i="6"/>
  <c r="F341" i="6"/>
  <c r="G341" i="6" s="1"/>
  <c r="R341" i="6"/>
  <c r="S338" i="11" l="1"/>
  <c r="P339" i="11"/>
  <c r="R339" i="11" s="1"/>
  <c r="AL339" i="11" s="1"/>
  <c r="D338" i="11"/>
  <c r="H338" i="11"/>
  <c r="N338" i="11" s="1"/>
  <c r="AI338" i="11"/>
  <c r="AL341" i="6"/>
  <c r="O339" i="11"/>
  <c r="F339" i="11"/>
  <c r="D341" i="6"/>
  <c r="P342" i="6"/>
  <c r="E342" i="6" s="1"/>
  <c r="S341" i="6"/>
  <c r="H341" i="6" s="1"/>
  <c r="N341" i="6" s="1"/>
  <c r="Q342" i="6"/>
  <c r="E339" i="11" l="1"/>
  <c r="K341" i="6"/>
  <c r="AI341" i="6"/>
  <c r="K338" i="11"/>
  <c r="G339" i="11"/>
  <c r="D339" i="11"/>
  <c r="S339" i="11"/>
  <c r="Q340" i="11"/>
  <c r="P340" i="11"/>
  <c r="F342" i="6"/>
  <c r="G342" i="6" s="1"/>
  <c r="R342" i="6"/>
  <c r="O342" i="6"/>
  <c r="AL342" i="6" l="1"/>
  <c r="H339" i="11"/>
  <c r="N339" i="11" s="1"/>
  <c r="AI339" i="11"/>
  <c r="R340" i="11"/>
  <c r="AL340" i="11" s="1"/>
  <c r="F340" i="11"/>
  <c r="E340" i="11"/>
  <c r="O340" i="11"/>
  <c r="S342" i="6"/>
  <c r="H342" i="6" s="1"/>
  <c r="N342" i="6" s="1"/>
  <c r="P343" i="6"/>
  <c r="E343" i="6" s="1"/>
  <c r="Q343" i="6"/>
  <c r="D342" i="6"/>
  <c r="AI342" i="6" l="1"/>
  <c r="K342" i="6"/>
  <c r="K339" i="11"/>
  <c r="S340" i="11"/>
  <c r="H340" i="11" s="1"/>
  <c r="N340" i="11" s="1"/>
  <c r="D340" i="11"/>
  <c r="P341" i="11"/>
  <c r="Q341" i="11"/>
  <c r="G340" i="11"/>
  <c r="F343" i="6"/>
  <c r="G343" i="6" s="1"/>
  <c r="R343" i="6"/>
  <c r="O343" i="6"/>
  <c r="K340" i="11" l="1"/>
  <c r="AI340" i="11"/>
  <c r="AL343" i="6"/>
  <c r="R341" i="11"/>
  <c r="AL341" i="11" s="1"/>
  <c r="F341" i="11"/>
  <c r="E341" i="11"/>
  <c r="O341" i="11"/>
  <c r="D343" i="6"/>
  <c r="Q344" i="6"/>
  <c r="P344" i="6"/>
  <c r="E344" i="6" s="1"/>
  <c r="S343" i="6"/>
  <c r="H343" i="6" s="1"/>
  <c r="N343" i="6" s="1"/>
  <c r="K343" i="6" l="1"/>
  <c r="AI343" i="6"/>
  <c r="G341" i="11"/>
  <c r="Q342" i="11"/>
  <c r="S341" i="11"/>
  <c r="H341" i="11" s="1"/>
  <c r="N341" i="11" s="1"/>
  <c r="P342" i="11"/>
  <c r="D341" i="11"/>
  <c r="F344" i="6"/>
  <c r="G344" i="6" s="1"/>
  <c r="R344" i="6"/>
  <c r="O344" i="6"/>
  <c r="K341" i="11" l="1"/>
  <c r="AL344" i="6"/>
  <c r="AI341" i="11"/>
  <c r="E342" i="11"/>
  <c r="O342" i="11"/>
  <c r="R342" i="11"/>
  <c r="AL342" i="11" s="1"/>
  <c r="F342" i="11"/>
  <c r="Q345" i="6"/>
  <c r="D344" i="6"/>
  <c r="S344" i="6"/>
  <c r="H344" i="6" s="1"/>
  <c r="N344" i="6" s="1"/>
  <c r="P345" i="6"/>
  <c r="E345" i="6" s="1"/>
  <c r="K344" i="6" l="1"/>
  <c r="AI344" i="6"/>
  <c r="G342" i="11"/>
  <c r="S342" i="11"/>
  <c r="P343" i="11"/>
  <c r="E343" i="11" s="1"/>
  <c r="D342" i="11"/>
  <c r="Q343" i="11"/>
  <c r="O345" i="6"/>
  <c r="F345" i="6"/>
  <c r="G345" i="6" s="1"/>
  <c r="R345" i="6"/>
  <c r="H342" i="11" l="1"/>
  <c r="N342" i="11" s="1"/>
  <c r="AI342" i="11"/>
  <c r="K342" i="11"/>
  <c r="AL345" i="6"/>
  <c r="O343" i="11"/>
  <c r="D343" i="11" s="1"/>
  <c r="R343" i="11"/>
  <c r="AL343" i="11" s="1"/>
  <c r="F343" i="11"/>
  <c r="G343" i="11" s="1"/>
  <c r="Q346" i="6"/>
  <c r="D345" i="6"/>
  <c r="P346" i="6"/>
  <c r="E346" i="6" s="1"/>
  <c r="S345" i="6"/>
  <c r="H345" i="6" s="1"/>
  <c r="N345" i="6" s="1"/>
  <c r="K345" i="6" l="1"/>
  <c r="S343" i="11"/>
  <c r="AI345" i="6"/>
  <c r="P344" i="11"/>
  <c r="Q344" i="11"/>
  <c r="O346" i="6"/>
  <c r="R346" i="6"/>
  <c r="F346" i="6"/>
  <c r="G346" i="6" s="1"/>
  <c r="AL346" i="6" l="1"/>
  <c r="H343" i="11"/>
  <c r="AI343" i="11"/>
  <c r="F344" i="11"/>
  <c r="R344" i="11"/>
  <c r="E344" i="11"/>
  <c r="O344" i="11"/>
  <c r="D346" i="6"/>
  <c r="S346" i="6"/>
  <c r="H346" i="6" s="1"/>
  <c r="N346" i="6" s="1"/>
  <c r="Q347" i="6"/>
  <c r="P347" i="6"/>
  <c r="E347" i="6" s="1"/>
  <c r="N343" i="11" l="1"/>
  <c r="K343" i="11"/>
  <c r="AL344" i="11"/>
  <c r="K346" i="6"/>
  <c r="AI346" i="6"/>
  <c r="Q345" i="11"/>
  <c r="D344" i="11"/>
  <c r="P345" i="11"/>
  <c r="E345" i="11" s="1"/>
  <c r="S344" i="11"/>
  <c r="H344" i="11" s="1"/>
  <c r="N344" i="11" s="1"/>
  <c r="G344" i="11"/>
  <c r="F347" i="6"/>
  <c r="G347" i="6" s="1"/>
  <c r="R347" i="6"/>
  <c r="O347" i="6"/>
  <c r="K344" i="11" l="1"/>
  <c r="AI344" i="11"/>
  <c r="AL347" i="6"/>
  <c r="O345" i="11"/>
  <c r="F345" i="11"/>
  <c r="G345" i="11" s="1"/>
  <c r="R345" i="11"/>
  <c r="D347" i="6"/>
  <c r="Q348" i="6"/>
  <c r="S347" i="6"/>
  <c r="H347" i="6" s="1"/>
  <c r="N347" i="6" s="1"/>
  <c r="P348" i="6"/>
  <c r="E348" i="6" s="1"/>
  <c r="AI347" i="6" l="1"/>
  <c r="AL345" i="11"/>
  <c r="K347" i="6"/>
  <c r="P346" i="11"/>
  <c r="E346" i="11" s="1"/>
  <c r="S345" i="11"/>
  <c r="H345" i="11" s="1"/>
  <c r="N345" i="11" s="1"/>
  <c r="D345" i="11"/>
  <c r="Q346" i="11"/>
  <c r="O348" i="6"/>
  <c r="D348" i="6" s="1"/>
  <c r="F348" i="6"/>
  <c r="G348" i="6" s="1"/>
  <c r="R348" i="6"/>
  <c r="AL348" i="6" l="1"/>
  <c r="K345" i="11"/>
  <c r="AI345" i="11"/>
  <c r="P349" i="6"/>
  <c r="E349" i="6" s="1"/>
  <c r="S348" i="6"/>
  <c r="H348" i="6" s="1"/>
  <c r="N348" i="6" s="1"/>
  <c r="Q349" i="6"/>
  <c r="F349" i="6" s="1"/>
  <c r="O346" i="11"/>
  <c r="D346" i="11" s="1"/>
  <c r="F346" i="11"/>
  <c r="G346" i="11" s="1"/>
  <c r="R346" i="11"/>
  <c r="K348" i="6" l="1"/>
  <c r="AL346" i="11"/>
  <c r="AI348" i="6"/>
  <c r="G349" i="6"/>
  <c r="O349" i="6"/>
  <c r="P350" i="6" s="1"/>
  <c r="E350" i="6" s="1"/>
  <c r="R349" i="6"/>
  <c r="S346" i="11"/>
  <c r="H346" i="11" s="1"/>
  <c r="N346" i="11" s="1"/>
  <c r="P347" i="11"/>
  <c r="E347" i="11" s="1"/>
  <c r="Q347" i="11"/>
  <c r="F347" i="11" s="1"/>
  <c r="AL349" i="6" l="1"/>
  <c r="AI346" i="11"/>
  <c r="K346" i="11"/>
  <c r="S349" i="6"/>
  <c r="H349" i="6" s="1"/>
  <c r="N349" i="6" s="1"/>
  <c r="Q350" i="6"/>
  <c r="F350" i="6" s="1"/>
  <c r="G350" i="6" s="1"/>
  <c r="O350" i="6"/>
  <c r="S350" i="6" s="1"/>
  <c r="H350" i="6" s="1"/>
  <c r="N350" i="6" s="1"/>
  <c r="G347" i="11"/>
  <c r="D349" i="6"/>
  <c r="O347" i="11"/>
  <c r="P348" i="11" s="1"/>
  <c r="E348" i="11" s="1"/>
  <c r="R347" i="11"/>
  <c r="K349" i="6" l="1"/>
  <c r="K350" i="6"/>
  <c r="AL347" i="11"/>
  <c r="AI349" i="6"/>
  <c r="R350" i="6"/>
  <c r="P351" i="6"/>
  <c r="E351" i="6" s="1"/>
  <c r="D347" i="11"/>
  <c r="D350" i="6"/>
  <c r="Q351" i="6"/>
  <c r="F351" i="6" s="1"/>
  <c r="Q348" i="11"/>
  <c r="R348" i="11" s="1"/>
  <c r="S347" i="11"/>
  <c r="H347" i="11" s="1"/>
  <c r="N347" i="11" s="1"/>
  <c r="O348" i="11"/>
  <c r="AI347" i="11" l="1"/>
  <c r="AL350" i="6"/>
  <c r="AI350" i="6"/>
  <c r="AL348" i="11"/>
  <c r="K347" i="11"/>
  <c r="O351" i="6"/>
  <c r="D351" i="6" s="1"/>
  <c r="G351" i="6"/>
  <c r="F348" i="11"/>
  <c r="G348" i="11" s="1"/>
  <c r="R351" i="6"/>
  <c r="Q349" i="11"/>
  <c r="S348" i="11"/>
  <c r="H348" i="11" s="1"/>
  <c r="N348" i="11" s="1"/>
  <c r="P349" i="11"/>
  <c r="E349" i="11" s="1"/>
  <c r="D348" i="11"/>
  <c r="P352" i="6" l="1"/>
  <c r="E352" i="6" s="1"/>
  <c r="S351" i="6"/>
  <c r="H351" i="6" s="1"/>
  <c r="N351" i="6" s="1"/>
  <c r="Q352" i="6"/>
  <c r="F352" i="6" s="1"/>
  <c r="AL351" i="6"/>
  <c r="AI351" i="6"/>
  <c r="K348" i="11"/>
  <c r="AI348" i="11"/>
  <c r="O349" i="11"/>
  <c r="F349" i="11"/>
  <c r="G349" i="11" s="1"/>
  <c r="R349" i="11"/>
  <c r="K351" i="6" l="1"/>
  <c r="O352" i="6"/>
  <c r="P353" i="6" s="1"/>
  <c r="E353" i="6" s="1"/>
  <c r="G352" i="6"/>
  <c r="R352" i="6"/>
  <c r="AL349" i="11"/>
  <c r="AL352" i="6"/>
  <c r="S349" i="11"/>
  <c r="H349" i="11" s="1"/>
  <c r="N349" i="11" s="1"/>
  <c r="D349" i="11"/>
  <c r="P350" i="11"/>
  <c r="E350" i="11" s="1"/>
  <c r="Q350" i="11"/>
  <c r="S352" i="6" l="1"/>
  <c r="H352" i="6" s="1"/>
  <c r="N352" i="6" s="1"/>
  <c r="D352" i="6"/>
  <c r="Q353" i="6"/>
  <c r="F353" i="6" s="1"/>
  <c r="G353" i="6" s="1"/>
  <c r="K349" i="11"/>
  <c r="K352" i="6"/>
  <c r="AI352" i="6"/>
  <c r="AI349" i="11"/>
  <c r="F350" i="11"/>
  <c r="G350" i="11" s="1"/>
  <c r="R350" i="11"/>
  <c r="O350" i="11"/>
  <c r="O353" i="6"/>
  <c r="Q354" i="6" s="1"/>
  <c r="R353" i="6" l="1"/>
  <c r="AL353" i="6" s="1"/>
  <c r="AL350" i="11"/>
  <c r="P354" i="6"/>
  <c r="E354" i="6" s="1"/>
  <c r="S353" i="6"/>
  <c r="H353" i="6" s="1"/>
  <c r="N353" i="6" s="1"/>
  <c r="D353" i="6"/>
  <c r="D350" i="11"/>
  <c r="P351" i="11"/>
  <c r="E351" i="11" s="1"/>
  <c r="Q351" i="11"/>
  <c r="S350" i="11"/>
  <c r="H350" i="11" s="1"/>
  <c r="N350" i="11" s="1"/>
  <c r="F354" i="6"/>
  <c r="AI350" i="11" l="1"/>
  <c r="K350" i="11"/>
  <c r="AI353" i="6"/>
  <c r="K353" i="6"/>
  <c r="G354" i="6"/>
  <c r="O354" i="6"/>
  <c r="Q355" i="6" s="1"/>
  <c r="R354" i="6"/>
  <c r="O351" i="11"/>
  <c r="R351" i="11"/>
  <c r="F351" i="11"/>
  <c r="G351" i="11" s="1"/>
  <c r="P355" i="6" l="1"/>
  <c r="E355" i="6" s="1"/>
  <c r="AL354" i="6"/>
  <c r="AL351" i="11"/>
  <c r="S354" i="6"/>
  <c r="H354" i="6" s="1"/>
  <c r="N354" i="6" s="1"/>
  <c r="D354" i="6"/>
  <c r="D351" i="11"/>
  <c r="P352" i="11"/>
  <c r="E352" i="11" s="1"/>
  <c r="S351" i="11"/>
  <c r="H351" i="11" s="1"/>
  <c r="N351" i="11" s="1"/>
  <c r="Q352" i="11"/>
  <c r="F355" i="6"/>
  <c r="R355" i="6" l="1"/>
  <c r="G355" i="6"/>
  <c r="O355" i="6"/>
  <c r="Q356" i="6" s="1"/>
  <c r="AL355" i="6"/>
  <c r="K351" i="11"/>
  <c r="K354" i="6"/>
  <c r="AI354" i="6"/>
  <c r="AI351" i="11"/>
  <c r="F352" i="11"/>
  <c r="G352" i="11" s="1"/>
  <c r="R352" i="11"/>
  <c r="O352" i="11"/>
  <c r="S355" i="6" l="1"/>
  <c r="H355" i="6" s="1"/>
  <c r="N355" i="6" s="1"/>
  <c r="P356" i="6"/>
  <c r="E356" i="6" s="1"/>
  <c r="D355" i="6"/>
  <c r="K355" i="6"/>
  <c r="AI355" i="6"/>
  <c r="AL352" i="11"/>
  <c r="P353" i="11"/>
  <c r="E353" i="11" s="1"/>
  <c r="Q353" i="11"/>
  <c r="D352" i="11"/>
  <c r="S352" i="11"/>
  <c r="H352" i="11" s="1"/>
  <c r="N352" i="11" s="1"/>
  <c r="F356" i="6"/>
  <c r="O356" i="6" l="1"/>
  <c r="P357" i="6" s="1"/>
  <c r="E357" i="6" s="1"/>
  <c r="G356" i="6"/>
  <c r="R356" i="6"/>
  <c r="AL356" i="6" s="1"/>
  <c r="AI352" i="11"/>
  <c r="K352" i="11"/>
  <c r="O353" i="11"/>
  <c r="F353" i="11"/>
  <c r="G353" i="11" s="1"/>
  <c r="R353" i="11"/>
  <c r="S356" i="6" l="1"/>
  <c r="H356" i="6" s="1"/>
  <c r="N356" i="6" s="1"/>
  <c r="D356" i="6"/>
  <c r="Q357" i="6"/>
  <c r="F357" i="6" s="1"/>
  <c r="G357" i="6" s="1"/>
  <c r="AL353" i="11"/>
  <c r="AI356" i="6"/>
  <c r="K356" i="6"/>
  <c r="S353" i="11"/>
  <c r="H353" i="11" s="1"/>
  <c r="N353" i="11" s="1"/>
  <c r="D353" i="11"/>
  <c r="P354" i="11"/>
  <c r="E354" i="11" s="1"/>
  <c r="Q354" i="11"/>
  <c r="O357" i="6"/>
  <c r="R357" i="6" l="1"/>
  <c r="AL357" i="6"/>
  <c r="K353" i="11"/>
  <c r="AI353" i="11"/>
  <c r="R354" i="11"/>
  <c r="F354" i="11"/>
  <c r="G354" i="11" s="1"/>
  <c r="O354" i="11"/>
  <c r="P358" i="6"/>
  <c r="E358" i="6" s="1"/>
  <c r="Q358" i="6"/>
  <c r="S357" i="6"/>
  <c r="H357" i="6" s="1"/>
  <c r="N357" i="6" s="1"/>
  <c r="D357" i="6"/>
  <c r="K357" i="6" l="1"/>
  <c r="AL354" i="11"/>
  <c r="AI357" i="6"/>
  <c r="Q355" i="11"/>
  <c r="S354" i="11"/>
  <c r="H354" i="11" s="1"/>
  <c r="N354" i="11" s="1"/>
  <c r="P355" i="11"/>
  <c r="E355" i="11" s="1"/>
  <c r="D354" i="11"/>
  <c r="O358" i="6"/>
  <c r="Q359" i="6" s="1"/>
  <c r="R358" i="6"/>
  <c r="F358" i="6"/>
  <c r="G358" i="6" s="1"/>
  <c r="AI354" i="11" l="1"/>
  <c r="AL358" i="6"/>
  <c r="K354" i="11"/>
  <c r="P359" i="6"/>
  <c r="E359" i="6" s="1"/>
  <c r="D358" i="6"/>
  <c r="S358" i="6"/>
  <c r="H358" i="6" s="1"/>
  <c r="N358" i="6" s="1"/>
  <c r="O355" i="11"/>
  <c r="F355" i="11"/>
  <c r="G355" i="11" s="1"/>
  <c r="R355" i="11"/>
  <c r="F359" i="6"/>
  <c r="AI358" i="6" l="1"/>
  <c r="AL355" i="11"/>
  <c r="K358" i="6"/>
  <c r="R359" i="6"/>
  <c r="G359" i="6"/>
  <c r="O359" i="6"/>
  <c r="S359" i="6" s="1"/>
  <c r="H359" i="6" s="1"/>
  <c r="N359" i="6" s="1"/>
  <c r="Q356" i="11"/>
  <c r="P356" i="11"/>
  <c r="E356" i="11" s="1"/>
  <c r="D355" i="11"/>
  <c r="S355" i="11"/>
  <c r="H355" i="11" s="1"/>
  <c r="N355" i="11" s="1"/>
  <c r="K355" i="11" l="1"/>
  <c r="K359" i="6"/>
  <c r="AI355" i="11"/>
  <c r="AL359" i="6"/>
  <c r="AI359" i="6"/>
  <c r="D359" i="6"/>
  <c r="P360" i="6"/>
  <c r="E360" i="6" s="1"/>
  <c r="Q360" i="6"/>
  <c r="F360" i="6" s="1"/>
  <c r="O356" i="11"/>
  <c r="R356" i="11"/>
  <c r="F356" i="11"/>
  <c r="G356" i="11" s="1"/>
  <c r="G360" i="6" l="1"/>
  <c r="AL356" i="11"/>
  <c r="O360" i="6"/>
  <c r="S360" i="6" s="1"/>
  <c r="H360" i="6" s="1"/>
  <c r="N360" i="6" s="1"/>
  <c r="R360" i="6"/>
  <c r="Q357" i="11"/>
  <c r="D356" i="11"/>
  <c r="P357" i="11"/>
  <c r="E357" i="11" s="1"/>
  <c r="S356" i="11"/>
  <c r="H356" i="11" s="1"/>
  <c r="N356" i="11" s="1"/>
  <c r="P361" i="6" l="1"/>
  <c r="E361" i="6" s="1"/>
  <c r="AI356" i="11"/>
  <c r="AL360" i="6"/>
  <c r="AI360" i="6"/>
  <c r="K356" i="11"/>
  <c r="D360" i="6"/>
  <c r="Q361" i="6"/>
  <c r="F361" i="6" s="1"/>
  <c r="K360" i="6"/>
  <c r="O357" i="11"/>
  <c r="F357" i="11"/>
  <c r="G357" i="11" s="1"/>
  <c r="R357" i="11"/>
  <c r="O361" i="6" l="1"/>
  <c r="S361" i="6" s="1"/>
  <c r="H361" i="6" s="1"/>
  <c r="N361" i="6" s="1"/>
  <c r="G361" i="6"/>
  <c r="R361" i="6"/>
  <c r="AL361" i="6" s="1"/>
  <c r="AL357" i="11"/>
  <c r="S357" i="11"/>
  <c r="H357" i="11" s="1"/>
  <c r="N357" i="11" s="1"/>
  <c r="D357" i="11"/>
  <c r="Q358" i="11"/>
  <c r="P358" i="11"/>
  <c r="E358" i="11" s="1"/>
  <c r="AI361" i="6" l="1"/>
  <c r="K361" i="6"/>
  <c r="AI357" i="11"/>
  <c r="D361" i="6"/>
  <c r="P362" i="6"/>
  <c r="E362" i="6" s="1"/>
  <c r="Q362" i="6"/>
  <c r="K357" i="11"/>
  <c r="F358" i="11"/>
  <c r="G358" i="11" s="1"/>
  <c r="R358" i="11"/>
  <c r="O358" i="11"/>
  <c r="O362" i="6" l="1"/>
  <c r="F362" i="6"/>
  <c r="G362" i="6" s="1"/>
  <c r="R362" i="6"/>
  <c r="AL358" i="11"/>
  <c r="S358" i="11"/>
  <c r="H358" i="11" s="1"/>
  <c r="N358" i="11" s="1"/>
  <c r="D358" i="11"/>
  <c r="P359" i="11"/>
  <c r="E359" i="11" s="1"/>
  <c r="Q359" i="11"/>
  <c r="AL362" i="6" l="1"/>
  <c r="D362" i="6"/>
  <c r="S362" i="6"/>
  <c r="H362" i="6" s="1"/>
  <c r="N362" i="6" s="1"/>
  <c r="P363" i="6"/>
  <c r="Q363" i="6"/>
  <c r="AI358" i="11"/>
  <c r="K358" i="11"/>
  <c r="F359" i="11"/>
  <c r="G359" i="11" s="1"/>
  <c r="R359" i="11"/>
  <c r="O359" i="11"/>
  <c r="K362" i="6" l="1"/>
  <c r="AI362" i="6"/>
  <c r="F363" i="6"/>
  <c r="R363" i="6"/>
  <c r="E363" i="6"/>
  <c r="O363" i="6"/>
  <c r="AL359" i="11"/>
  <c r="D359" i="11"/>
  <c r="P360" i="11"/>
  <c r="E360" i="11" s="1"/>
  <c r="Q360" i="11"/>
  <c r="S359" i="11"/>
  <c r="H359" i="11" s="1"/>
  <c r="N359" i="11" s="1"/>
  <c r="AL363" i="6" l="1"/>
  <c r="D363" i="6"/>
  <c r="Q364" i="6"/>
  <c r="P364" i="6"/>
  <c r="E364" i="6" s="1"/>
  <c r="S363" i="6"/>
  <c r="H363" i="6" s="1"/>
  <c r="N363" i="6" s="1"/>
  <c r="G363" i="6"/>
  <c r="K359" i="11"/>
  <c r="AI359" i="11"/>
  <c r="O360" i="11"/>
  <c r="F360" i="11"/>
  <c r="G360" i="11" s="1"/>
  <c r="R360" i="11"/>
  <c r="AI363" i="6" l="1"/>
  <c r="K363" i="6"/>
  <c r="F364" i="6"/>
  <c r="G364" i="6" s="1"/>
  <c r="R364" i="6"/>
  <c r="O364" i="6"/>
  <c r="AL360" i="11"/>
  <c r="S360" i="11"/>
  <c r="H360" i="11" s="1"/>
  <c r="N360" i="11" s="1"/>
  <c r="D360" i="11"/>
  <c r="P361" i="11"/>
  <c r="E361" i="11" s="1"/>
  <c r="Q361" i="11"/>
  <c r="AL364" i="6" l="1"/>
  <c r="Q365" i="6"/>
  <c r="P365" i="6"/>
  <c r="S364" i="6"/>
  <c r="H364" i="6" s="1"/>
  <c r="N364" i="6" s="1"/>
  <c r="D364" i="6"/>
  <c r="K360" i="11"/>
  <c r="AI360" i="11"/>
  <c r="F361" i="11"/>
  <c r="G361" i="11" s="1"/>
  <c r="R361" i="11"/>
  <c r="O361" i="11"/>
  <c r="K364" i="6" l="1"/>
  <c r="AI364" i="6"/>
  <c r="E365" i="6"/>
  <c r="O365" i="6"/>
  <c r="F365" i="6"/>
  <c r="R365" i="6"/>
  <c r="AL361" i="11"/>
  <c r="S361" i="11"/>
  <c r="H361" i="11" s="1"/>
  <c r="N361" i="11" s="1"/>
  <c r="D361" i="11"/>
  <c r="Q362" i="11"/>
  <c r="P362" i="11"/>
  <c r="E362" i="11" s="1"/>
  <c r="AL365" i="6" l="1"/>
  <c r="G365" i="6"/>
  <c r="Q366" i="6"/>
  <c r="P366" i="6"/>
  <c r="S365" i="6"/>
  <c r="H365" i="6" s="1"/>
  <c r="N365" i="6" s="1"/>
  <c r="D365" i="6"/>
  <c r="K361" i="11"/>
  <c r="AI361" i="11"/>
  <c r="F362" i="11"/>
  <c r="G362" i="11" s="1"/>
  <c r="R362" i="11"/>
  <c r="O362" i="11"/>
  <c r="AL362" i="11" l="1"/>
  <c r="K365" i="6"/>
  <c r="AI365" i="6"/>
  <c r="O366" i="6"/>
  <c r="E366" i="6"/>
  <c r="F366" i="6"/>
  <c r="R366" i="6"/>
  <c r="D362" i="11"/>
  <c r="Q363" i="11"/>
  <c r="P363" i="11"/>
  <c r="E363" i="11" s="1"/>
  <c r="S362" i="11"/>
  <c r="H362" i="11" s="1"/>
  <c r="N362" i="11" s="1"/>
  <c r="K362" i="11" l="1"/>
  <c r="AL366" i="6"/>
  <c r="AI362" i="11"/>
  <c r="G366" i="6"/>
  <c r="Q367" i="6"/>
  <c r="P367" i="6"/>
  <c r="S366" i="6"/>
  <c r="H366" i="6" s="1"/>
  <c r="N366" i="6" s="1"/>
  <c r="D366" i="6"/>
  <c r="F363" i="11"/>
  <c r="G363" i="11" s="1"/>
  <c r="R363" i="11"/>
  <c r="O363" i="11"/>
  <c r="K366" i="6" l="1"/>
  <c r="AL363" i="11"/>
  <c r="AI366" i="6"/>
  <c r="E367" i="6"/>
  <c r="O367" i="6"/>
  <c r="F367" i="6"/>
  <c r="R367" i="6"/>
  <c r="D363" i="11"/>
  <c r="P364" i="11"/>
  <c r="E364" i="11" s="1"/>
  <c r="S363" i="11"/>
  <c r="H363" i="11" s="1"/>
  <c r="N363" i="11" s="1"/>
  <c r="Q364" i="11"/>
  <c r="AI363" i="11" l="1"/>
  <c r="K363" i="11"/>
  <c r="AL367" i="6"/>
  <c r="G367" i="6"/>
  <c r="S367" i="6"/>
  <c r="H367" i="6" s="1"/>
  <c r="N367" i="6" s="1"/>
  <c r="P368" i="6"/>
  <c r="E368" i="6" s="1"/>
  <c r="D367" i="6"/>
  <c r="Q368" i="6"/>
  <c r="F364" i="11"/>
  <c r="G364" i="11" s="1"/>
  <c r="R364" i="11"/>
  <c r="O364" i="11"/>
  <c r="K367" i="6" l="1"/>
  <c r="AI367" i="6"/>
  <c r="AL364" i="11"/>
  <c r="R368" i="6"/>
  <c r="F368" i="6"/>
  <c r="G368" i="6" s="1"/>
  <c r="O368" i="6"/>
  <c r="P365" i="11"/>
  <c r="E365" i="11" s="1"/>
  <c r="Q365" i="11"/>
  <c r="D364" i="11"/>
  <c r="S364" i="11"/>
  <c r="H364" i="11" s="1"/>
  <c r="N364" i="11" s="1"/>
  <c r="AI364" i="11" l="1"/>
  <c r="K364" i="11"/>
  <c r="AL368" i="6"/>
  <c r="Q369" i="6"/>
  <c r="S368" i="6"/>
  <c r="H368" i="6" s="1"/>
  <c r="N368" i="6" s="1"/>
  <c r="D368" i="6"/>
  <c r="P369" i="6"/>
  <c r="O365" i="11"/>
  <c r="D365" i="11" s="1"/>
  <c r="F365" i="11"/>
  <c r="G365" i="11" s="1"/>
  <c r="R365" i="11"/>
  <c r="K368" i="6" l="1"/>
  <c r="AL365" i="11"/>
  <c r="AI368" i="6"/>
  <c r="K365" i="11"/>
  <c r="E369" i="6"/>
  <c r="O369" i="6"/>
  <c r="R369" i="6"/>
  <c r="F369" i="6"/>
  <c r="S365" i="11"/>
  <c r="H365" i="11" s="1"/>
  <c r="N365" i="11" s="1"/>
  <c r="Q366" i="11"/>
  <c r="P366" i="11"/>
  <c r="E366" i="11" s="1"/>
  <c r="AI365" i="11" l="1"/>
  <c r="AL369" i="6"/>
  <c r="G369" i="6"/>
  <c r="P370" i="6"/>
  <c r="Q370" i="6"/>
  <c r="S369" i="6"/>
  <c r="H369" i="6" s="1"/>
  <c r="N369" i="6" s="1"/>
  <c r="D369" i="6"/>
  <c r="R366" i="11"/>
  <c r="F366" i="11"/>
  <c r="G366" i="11" s="1"/>
  <c r="O366" i="11"/>
  <c r="Q367" i="11" s="1"/>
  <c r="K369" i="6" l="1"/>
  <c r="AI369" i="6"/>
  <c r="AL366" i="11"/>
  <c r="F370" i="6"/>
  <c r="R370" i="6"/>
  <c r="E370" i="6"/>
  <c r="O370" i="6"/>
  <c r="P367" i="11"/>
  <c r="E367" i="11" s="1"/>
  <c r="D366" i="11"/>
  <c r="S366" i="11"/>
  <c r="H366" i="11" s="1"/>
  <c r="N366" i="11" s="1"/>
  <c r="F367" i="11"/>
  <c r="AI366" i="11" l="1"/>
  <c r="K366" i="11"/>
  <c r="AL370" i="6"/>
  <c r="D370" i="6"/>
  <c r="P371" i="6"/>
  <c r="E371" i="6" s="1"/>
  <c r="S370" i="6"/>
  <c r="H370" i="6" s="1"/>
  <c r="N370" i="6" s="1"/>
  <c r="Q371" i="6"/>
  <c r="G370" i="6"/>
  <c r="G367" i="11"/>
  <c r="R367" i="11"/>
  <c r="O367" i="11"/>
  <c r="P368" i="11" s="1"/>
  <c r="E368" i="11" s="1"/>
  <c r="AI370" i="6" l="1"/>
  <c r="AL367" i="11"/>
  <c r="K370" i="6"/>
  <c r="R371" i="6"/>
  <c r="F371" i="6"/>
  <c r="G371" i="6" s="1"/>
  <c r="O371" i="6"/>
  <c r="Q368" i="11"/>
  <c r="F368" i="11" s="1"/>
  <c r="G368" i="11" s="1"/>
  <c r="S367" i="11"/>
  <c r="H367" i="11" s="1"/>
  <c r="N367" i="11" s="1"/>
  <c r="D367" i="11"/>
  <c r="O368" i="11"/>
  <c r="D368" i="11" s="1"/>
  <c r="K367" i="11" l="1"/>
  <c r="AL371" i="6"/>
  <c r="AI367" i="11"/>
  <c r="R368" i="11"/>
  <c r="Q372" i="6"/>
  <c r="D371" i="6"/>
  <c r="S371" i="6"/>
  <c r="H371" i="6" s="1"/>
  <c r="N371" i="6" s="1"/>
  <c r="P372" i="6"/>
  <c r="S368" i="11"/>
  <c r="H368" i="11" s="1"/>
  <c r="N368" i="11" s="1"/>
  <c r="Q369" i="11"/>
  <c r="F369" i="11" s="1"/>
  <c r="P369" i="11"/>
  <c r="E369" i="11" s="1"/>
  <c r="K371" i="6" l="1"/>
  <c r="AL368" i="11"/>
  <c r="AI368" i="11"/>
  <c r="K368" i="11"/>
  <c r="AI371" i="6"/>
  <c r="O372" i="6"/>
  <c r="E372" i="6"/>
  <c r="F372" i="6"/>
  <c r="R372" i="6"/>
  <c r="R369" i="11"/>
  <c r="G369" i="11"/>
  <c r="O369" i="11"/>
  <c r="P370" i="11" s="1"/>
  <c r="E370" i="11" s="1"/>
  <c r="AL372" i="6" l="1"/>
  <c r="AL369" i="11"/>
  <c r="G372" i="6"/>
  <c r="Q373" i="6"/>
  <c r="S372" i="6"/>
  <c r="H372" i="6" s="1"/>
  <c r="N372" i="6" s="1"/>
  <c r="D372" i="6"/>
  <c r="P373" i="6"/>
  <c r="D369" i="11"/>
  <c r="Q370" i="11"/>
  <c r="F370" i="11" s="1"/>
  <c r="G370" i="11" s="1"/>
  <c r="S369" i="11"/>
  <c r="H369" i="11" s="1"/>
  <c r="N369" i="11" s="1"/>
  <c r="O370" i="11"/>
  <c r="D370" i="11" s="1"/>
  <c r="AI369" i="11" l="1"/>
  <c r="K372" i="6"/>
  <c r="K369" i="11"/>
  <c r="AI372" i="6"/>
  <c r="E373" i="6"/>
  <c r="O373" i="6"/>
  <c r="R373" i="6"/>
  <c r="F373" i="6"/>
  <c r="R370" i="11"/>
  <c r="P371" i="11"/>
  <c r="E371" i="11" s="1"/>
  <c r="S370" i="11"/>
  <c r="H370" i="11" s="1"/>
  <c r="N370" i="11" s="1"/>
  <c r="Q371" i="11"/>
  <c r="F371" i="11" s="1"/>
  <c r="G373" i="6" l="1"/>
  <c r="AL373" i="6"/>
  <c r="K370" i="11"/>
  <c r="AL370" i="11"/>
  <c r="AI370" i="11"/>
  <c r="S373" i="6"/>
  <c r="H373" i="6" s="1"/>
  <c r="N373" i="6" s="1"/>
  <c r="P374" i="6"/>
  <c r="D373" i="6"/>
  <c r="Q374" i="6"/>
  <c r="O371" i="11"/>
  <c r="P372" i="11" s="1"/>
  <c r="E372" i="11" s="1"/>
  <c r="G371" i="11"/>
  <c r="R371" i="11"/>
  <c r="AL371" i="11" l="1"/>
  <c r="K373" i="6"/>
  <c r="AI373" i="6"/>
  <c r="K371" i="11"/>
  <c r="R374" i="6"/>
  <c r="F374" i="6"/>
  <c r="E374" i="6"/>
  <c r="O374" i="6"/>
  <c r="S371" i="11"/>
  <c r="H371" i="11" s="1"/>
  <c r="N371" i="11" s="1"/>
  <c r="Q372" i="11"/>
  <c r="F372" i="11" s="1"/>
  <c r="G372" i="11" s="1"/>
  <c r="D371" i="11"/>
  <c r="O372" i="11"/>
  <c r="AL374" i="6" l="1"/>
  <c r="AI371" i="11"/>
  <c r="Q375" i="6"/>
  <c r="D374" i="6"/>
  <c r="S374" i="6"/>
  <c r="H374" i="6" s="1"/>
  <c r="N374" i="6" s="1"/>
  <c r="P375" i="6"/>
  <c r="G374" i="6"/>
  <c r="R372" i="11"/>
  <c r="Q373" i="11"/>
  <c r="S372" i="11"/>
  <c r="H372" i="11" s="1"/>
  <c r="N372" i="11" s="1"/>
  <c r="D372" i="11"/>
  <c r="P373" i="11"/>
  <c r="E373" i="11" s="1"/>
  <c r="K372" i="11" l="1"/>
  <c r="AL372" i="11"/>
  <c r="AI372" i="11"/>
  <c r="AI374" i="6"/>
  <c r="K374" i="6"/>
  <c r="O375" i="6"/>
  <c r="E375" i="6"/>
  <c r="R375" i="6"/>
  <c r="F375" i="6"/>
  <c r="O373" i="11"/>
  <c r="R373" i="11"/>
  <c r="F373" i="11"/>
  <c r="G373" i="11" s="1"/>
  <c r="AL375" i="6" l="1"/>
  <c r="AL373" i="11"/>
  <c r="G375" i="6"/>
  <c r="Q376" i="6"/>
  <c r="P376" i="6"/>
  <c r="S375" i="6"/>
  <c r="H375" i="6" s="1"/>
  <c r="N375" i="6" s="1"/>
  <c r="D375" i="6"/>
  <c r="D373" i="11"/>
  <c r="S373" i="11"/>
  <c r="H373" i="11" s="1"/>
  <c r="N373" i="11" s="1"/>
  <c r="P374" i="11"/>
  <c r="E374" i="11" s="1"/>
  <c r="Q374" i="11"/>
  <c r="AI373" i="11" l="1"/>
  <c r="K375" i="6"/>
  <c r="AI375" i="6"/>
  <c r="K373" i="11"/>
  <c r="E376" i="6"/>
  <c r="O376" i="6"/>
  <c r="F376" i="6"/>
  <c r="R376" i="6"/>
  <c r="F374" i="11"/>
  <c r="G374" i="11" s="1"/>
  <c r="R374" i="11"/>
  <c r="O374" i="11"/>
  <c r="AL376" i="6" l="1"/>
  <c r="AL374" i="11"/>
  <c r="G376" i="6"/>
  <c r="D376" i="6"/>
  <c r="P377" i="6"/>
  <c r="Q377" i="6"/>
  <c r="S376" i="6"/>
  <c r="H376" i="6" s="1"/>
  <c r="N376" i="6" s="1"/>
  <c r="D374" i="11"/>
  <c r="Q375" i="11"/>
  <c r="P375" i="11"/>
  <c r="E375" i="11" s="1"/>
  <c r="S374" i="11"/>
  <c r="H374" i="11" s="1"/>
  <c r="N374" i="11" s="1"/>
  <c r="K376" i="6" l="1"/>
  <c r="AI376" i="6"/>
  <c r="AI374" i="11"/>
  <c r="K374" i="11"/>
  <c r="R377" i="6"/>
  <c r="F377" i="6"/>
  <c r="O377" i="6"/>
  <c r="E377" i="6"/>
  <c r="F375" i="11"/>
  <c r="G375" i="11" s="1"/>
  <c r="R375" i="11"/>
  <c r="O375" i="11"/>
  <c r="AL377" i="6" l="1"/>
  <c r="AL375" i="11"/>
  <c r="P378" i="6"/>
  <c r="E378" i="6" s="1"/>
  <c r="Q378" i="6"/>
  <c r="S377" i="6"/>
  <c r="H377" i="6" s="1"/>
  <c r="N377" i="6" s="1"/>
  <c r="D377" i="6"/>
  <c r="G377" i="6"/>
  <c r="D375" i="11"/>
  <c r="Q376" i="11"/>
  <c r="P376" i="11"/>
  <c r="E376" i="11" s="1"/>
  <c r="S375" i="11"/>
  <c r="H375" i="11" s="1"/>
  <c r="N375" i="11" s="1"/>
  <c r="AI377" i="6" l="1"/>
  <c r="AI375" i="11"/>
  <c r="K377" i="6"/>
  <c r="K375" i="11"/>
  <c r="O378" i="6"/>
  <c r="F378" i="6"/>
  <c r="G378" i="6" s="1"/>
  <c r="R378" i="6"/>
  <c r="F376" i="11"/>
  <c r="G376" i="11" s="1"/>
  <c r="R376" i="11"/>
  <c r="O376" i="11"/>
  <c r="AL378" i="6" l="1"/>
  <c r="AL376" i="11"/>
  <c r="S378" i="6"/>
  <c r="H378" i="6" s="1"/>
  <c r="N378" i="6" s="1"/>
  <c r="P379" i="6"/>
  <c r="Q379" i="6"/>
  <c r="D378" i="6"/>
  <c r="S376" i="11"/>
  <c r="H376" i="11" s="1"/>
  <c r="N376" i="11" s="1"/>
  <c r="P377" i="11"/>
  <c r="E377" i="11" s="1"/>
  <c r="Q377" i="11"/>
  <c r="D376" i="11"/>
  <c r="AI376" i="11" l="1"/>
  <c r="AI378" i="6"/>
  <c r="K376" i="11"/>
  <c r="K378" i="6"/>
  <c r="F379" i="6"/>
  <c r="R379" i="6"/>
  <c r="O379" i="6"/>
  <c r="E379" i="6"/>
  <c r="F377" i="11"/>
  <c r="G377" i="11" s="1"/>
  <c r="R377" i="11"/>
  <c r="O377" i="11"/>
  <c r="AL379" i="6" l="1"/>
  <c r="AL377" i="11"/>
  <c r="G379" i="6"/>
  <c r="P380" i="6"/>
  <c r="E380" i="6" s="1"/>
  <c r="Q380" i="6"/>
  <c r="S379" i="6"/>
  <c r="H379" i="6" s="1"/>
  <c r="N379" i="6" s="1"/>
  <c r="D379" i="6"/>
  <c r="D377" i="11"/>
  <c r="S377" i="11"/>
  <c r="H377" i="11" s="1"/>
  <c r="N377" i="11" s="1"/>
  <c r="P378" i="11"/>
  <c r="E378" i="11" s="1"/>
  <c r="Q378" i="11"/>
  <c r="K379" i="6" l="1"/>
  <c r="AI377" i="11"/>
  <c r="K377" i="11"/>
  <c r="AI379" i="6"/>
  <c r="O380" i="6"/>
  <c r="S380" i="6" s="1"/>
  <c r="H380" i="6" s="1"/>
  <c r="N380" i="6" s="1"/>
  <c r="R380" i="6"/>
  <c r="F380" i="6"/>
  <c r="G380" i="6" s="1"/>
  <c r="F378" i="11"/>
  <c r="G378" i="11" s="1"/>
  <c r="R378" i="11"/>
  <c r="O378" i="11"/>
  <c r="K380" i="6" l="1"/>
  <c r="AL380" i="6"/>
  <c r="AI380" i="6"/>
  <c r="AL378" i="11"/>
  <c r="P381" i="6"/>
  <c r="E381" i="6" s="1"/>
  <c r="D380" i="6"/>
  <c r="Q381" i="6"/>
  <c r="F381" i="6" s="1"/>
  <c r="D378" i="11"/>
  <c r="Q379" i="11"/>
  <c r="S378" i="11"/>
  <c r="H378" i="11" s="1"/>
  <c r="N378" i="11" s="1"/>
  <c r="P379" i="11"/>
  <c r="E379" i="11" s="1"/>
  <c r="AI378" i="11" l="1"/>
  <c r="K378" i="11"/>
  <c r="O381" i="6"/>
  <c r="S381" i="6" s="1"/>
  <c r="H381" i="6" s="1"/>
  <c r="N381" i="6" s="1"/>
  <c r="G381" i="6"/>
  <c r="R381" i="6"/>
  <c r="F379" i="11"/>
  <c r="G379" i="11" s="1"/>
  <c r="R379" i="11"/>
  <c r="O379" i="11"/>
  <c r="AL381" i="6" l="1"/>
  <c r="AI381" i="6"/>
  <c r="AL379" i="11"/>
  <c r="K381" i="6"/>
  <c r="P382" i="6"/>
  <c r="E382" i="6" s="1"/>
  <c r="D381" i="6"/>
  <c r="Q382" i="6"/>
  <c r="F382" i="6" s="1"/>
  <c r="D379" i="11"/>
  <c r="Q380" i="11"/>
  <c r="S379" i="11"/>
  <c r="H379" i="11" s="1"/>
  <c r="N379" i="11" s="1"/>
  <c r="P380" i="11"/>
  <c r="E380" i="11" s="1"/>
  <c r="AI379" i="11" l="1"/>
  <c r="K379" i="11"/>
  <c r="G382" i="6"/>
  <c r="R382" i="6"/>
  <c r="O382" i="6"/>
  <c r="S382" i="6" s="1"/>
  <c r="H382" i="6" s="1"/>
  <c r="N382" i="6" s="1"/>
  <c r="R380" i="11"/>
  <c r="F380" i="11"/>
  <c r="G380" i="11" s="1"/>
  <c r="O380" i="11"/>
  <c r="AL380" i="11" l="1"/>
  <c r="AL382" i="6"/>
  <c r="AI382" i="6"/>
  <c r="K382" i="6"/>
  <c r="Q383" i="6"/>
  <c r="F383" i="6" s="1"/>
  <c r="D382" i="6"/>
  <c r="P383" i="6"/>
  <c r="E383" i="6" s="1"/>
  <c r="Q381" i="11"/>
  <c r="D380" i="11"/>
  <c r="S380" i="11"/>
  <c r="H380" i="11" s="1"/>
  <c r="N380" i="11" s="1"/>
  <c r="P381" i="11"/>
  <c r="E381" i="11" s="1"/>
  <c r="K380" i="11" l="1"/>
  <c r="AI380" i="11"/>
  <c r="R383" i="6"/>
  <c r="G383" i="6"/>
  <c r="O383" i="6"/>
  <c r="S383" i="6" s="1"/>
  <c r="H383" i="6" s="1"/>
  <c r="N383" i="6" s="1"/>
  <c r="O381" i="11"/>
  <c r="R381" i="11"/>
  <c r="F381" i="11"/>
  <c r="G381" i="11" s="1"/>
  <c r="AL381" i="11" l="1"/>
  <c r="AL383" i="6"/>
  <c r="AI383" i="6"/>
  <c r="K383" i="6"/>
  <c r="P384" i="6"/>
  <c r="E384" i="6" s="1"/>
  <c r="D383" i="6"/>
  <c r="Q384" i="6"/>
  <c r="Q382" i="11"/>
  <c r="D381" i="11"/>
  <c r="P382" i="11"/>
  <c r="E382" i="11" s="1"/>
  <c r="S381" i="11"/>
  <c r="H381" i="11" s="1"/>
  <c r="N381" i="11" s="1"/>
  <c r="K381" i="11" l="1"/>
  <c r="AI381" i="11"/>
  <c r="R384" i="6"/>
  <c r="O384" i="6"/>
  <c r="Q385" i="6" s="1"/>
  <c r="F384" i="6"/>
  <c r="G384" i="6" s="1"/>
  <c r="O382" i="11"/>
  <c r="F382" i="11"/>
  <c r="G382" i="11" s="1"/>
  <c r="R382" i="11"/>
  <c r="AL382" i="11" l="1"/>
  <c r="AL384" i="6"/>
  <c r="P385" i="6"/>
  <c r="E385" i="6" s="1"/>
  <c r="S384" i="6"/>
  <c r="H384" i="6" s="1"/>
  <c r="N384" i="6" s="1"/>
  <c r="D384" i="6"/>
  <c r="F385" i="6"/>
  <c r="Q383" i="11"/>
  <c r="S382" i="11"/>
  <c r="H382" i="11" s="1"/>
  <c r="N382" i="11" s="1"/>
  <c r="P383" i="11"/>
  <c r="E383" i="11" s="1"/>
  <c r="D382" i="11"/>
  <c r="AI384" i="6" l="1"/>
  <c r="K382" i="11"/>
  <c r="K384" i="6"/>
  <c r="AI382" i="11"/>
  <c r="R385" i="6"/>
  <c r="G385" i="6"/>
  <c r="O385" i="6"/>
  <c r="D385" i="6" s="1"/>
  <c r="O383" i="11"/>
  <c r="R383" i="11"/>
  <c r="F383" i="11"/>
  <c r="G383" i="11" s="1"/>
  <c r="AL385" i="6" l="1"/>
  <c r="AL383" i="11"/>
  <c r="S385" i="6"/>
  <c r="H385" i="6" s="1"/>
  <c r="N385" i="6" s="1"/>
  <c r="Q386" i="6"/>
  <c r="F386" i="6" s="1"/>
  <c r="P386" i="6"/>
  <c r="E386" i="6" s="1"/>
  <c r="Q384" i="11"/>
  <c r="D383" i="11"/>
  <c r="S383" i="11"/>
  <c r="H383" i="11" s="1"/>
  <c r="N383" i="11" s="1"/>
  <c r="P384" i="11"/>
  <c r="E384" i="11" s="1"/>
  <c r="K385" i="6" l="1"/>
  <c r="K383" i="11"/>
  <c r="AI383" i="11"/>
  <c r="AI385" i="6"/>
  <c r="G386" i="6"/>
  <c r="R386" i="6"/>
  <c r="O386" i="6"/>
  <c r="D386" i="6" s="1"/>
  <c r="O384" i="11"/>
  <c r="R384" i="11"/>
  <c r="F384" i="11"/>
  <c r="G384" i="11" s="1"/>
  <c r="AL386" i="6" l="1"/>
  <c r="AL384" i="11"/>
  <c r="S386" i="6"/>
  <c r="H386" i="6" s="1"/>
  <c r="N386" i="6" s="1"/>
  <c r="P387" i="6"/>
  <c r="E387" i="6" s="1"/>
  <c r="Q387" i="6"/>
  <c r="Q385" i="11"/>
  <c r="S384" i="11"/>
  <c r="H384" i="11" s="1"/>
  <c r="N384" i="11" s="1"/>
  <c r="P385" i="11"/>
  <c r="E385" i="11" s="1"/>
  <c r="D384" i="11"/>
  <c r="AI384" i="11" l="1"/>
  <c r="AI386" i="6"/>
  <c r="K384" i="11"/>
  <c r="K386" i="6"/>
  <c r="O387" i="6"/>
  <c r="R387" i="6"/>
  <c r="F387" i="6"/>
  <c r="G387" i="6" s="1"/>
  <c r="O385" i="11"/>
  <c r="F385" i="11"/>
  <c r="G385" i="11" s="1"/>
  <c r="R385" i="11"/>
  <c r="AL387" i="6" l="1"/>
  <c r="AL385" i="11"/>
  <c r="P388" i="6"/>
  <c r="Q388" i="6"/>
  <c r="D387" i="6"/>
  <c r="S387" i="6"/>
  <c r="H387" i="6" s="1"/>
  <c r="N387" i="6" s="1"/>
  <c r="S385" i="11"/>
  <c r="H385" i="11" s="1"/>
  <c r="N385" i="11" s="1"/>
  <c r="Q386" i="11"/>
  <c r="D385" i="11"/>
  <c r="P386" i="11"/>
  <c r="E386" i="11" s="1"/>
  <c r="AI385" i="11" l="1"/>
  <c r="K385" i="11"/>
  <c r="AI387" i="6"/>
  <c r="K387" i="6"/>
  <c r="R388" i="6"/>
  <c r="F388" i="6"/>
  <c r="E388" i="6"/>
  <c r="O388" i="6"/>
  <c r="F386" i="11"/>
  <c r="G386" i="11" s="1"/>
  <c r="R386" i="11"/>
  <c r="O386" i="11"/>
  <c r="AL386" i="11" l="1"/>
  <c r="AL388" i="6"/>
  <c r="P389" i="6"/>
  <c r="E389" i="6" s="1"/>
  <c r="D388" i="6"/>
  <c r="Q389" i="6"/>
  <c r="S388" i="6"/>
  <c r="H388" i="6" s="1"/>
  <c r="N388" i="6" s="1"/>
  <c r="G388" i="6"/>
  <c r="Q387" i="11"/>
  <c r="S386" i="11"/>
  <c r="H386" i="11" s="1"/>
  <c r="N386" i="11" s="1"/>
  <c r="D386" i="11"/>
  <c r="P387" i="11"/>
  <c r="E387" i="11" s="1"/>
  <c r="AI388" i="6" l="1"/>
  <c r="K388" i="6"/>
  <c r="K386" i="11"/>
  <c r="AI386" i="11"/>
  <c r="O389" i="6"/>
  <c r="D389" i="6" s="1"/>
  <c r="F389" i="6"/>
  <c r="G389" i="6" s="1"/>
  <c r="R389" i="6"/>
  <c r="O387" i="11"/>
  <c r="R387" i="11"/>
  <c r="F387" i="11"/>
  <c r="G387" i="11" s="1"/>
  <c r="P390" i="6" l="1"/>
  <c r="E390" i="6" s="1"/>
  <c r="AL389" i="6"/>
  <c r="AL387" i="11"/>
  <c r="Q390" i="6"/>
  <c r="F390" i="6" s="1"/>
  <c r="S389" i="6"/>
  <c r="H389" i="6" s="1"/>
  <c r="N389" i="6" s="1"/>
  <c r="Q388" i="11"/>
  <c r="S387" i="11"/>
  <c r="H387" i="11" s="1"/>
  <c r="N387" i="11" s="1"/>
  <c r="D387" i="11"/>
  <c r="P388" i="11"/>
  <c r="E388" i="11" s="1"/>
  <c r="O390" i="6" l="1"/>
  <c r="Q391" i="6" s="1"/>
  <c r="F391" i="6" s="1"/>
  <c r="G390" i="6"/>
  <c r="K389" i="6"/>
  <c r="AI387" i="11"/>
  <c r="AI389" i="6"/>
  <c r="K387" i="11"/>
  <c r="R390" i="6"/>
  <c r="O388" i="11"/>
  <c r="R388" i="11"/>
  <c r="F388" i="11"/>
  <c r="G388" i="11" s="1"/>
  <c r="P391" i="6" l="1"/>
  <c r="E391" i="6" s="1"/>
  <c r="G391" i="6" s="1"/>
  <c r="S390" i="6"/>
  <c r="H390" i="6" s="1"/>
  <c r="N390" i="6" s="1"/>
  <c r="D390" i="6"/>
  <c r="K390" i="6"/>
  <c r="AL390" i="6"/>
  <c r="AI390" i="6"/>
  <c r="AL388" i="11"/>
  <c r="D388" i="11"/>
  <c r="S388" i="11"/>
  <c r="H388" i="11" s="1"/>
  <c r="N388" i="11" s="1"/>
  <c r="P389" i="11"/>
  <c r="E389" i="11" s="1"/>
  <c r="Q389" i="11"/>
  <c r="R391" i="6" l="1"/>
  <c r="O391" i="6"/>
  <c r="D391" i="6" s="1"/>
  <c r="AI388" i="11"/>
  <c r="AL391" i="6"/>
  <c r="K388" i="11"/>
  <c r="O389" i="11"/>
  <c r="F389" i="11"/>
  <c r="G389" i="11" s="1"/>
  <c r="R389" i="11"/>
  <c r="P392" i="6" l="1"/>
  <c r="E392" i="6" s="1"/>
  <c r="Q392" i="6"/>
  <c r="F392" i="6" s="1"/>
  <c r="S391" i="6"/>
  <c r="AL389" i="11"/>
  <c r="Q390" i="11"/>
  <c r="S389" i="11"/>
  <c r="H389" i="11" s="1"/>
  <c r="N389" i="11" s="1"/>
  <c r="D389" i="11"/>
  <c r="P390" i="11"/>
  <c r="E390" i="11" s="1"/>
  <c r="H391" i="6" l="1"/>
  <c r="AI391" i="6"/>
  <c r="R392" i="6"/>
  <c r="O392" i="6"/>
  <c r="Q393" i="6" s="1"/>
  <c r="F393" i="6" s="1"/>
  <c r="G392" i="6"/>
  <c r="K389" i="11"/>
  <c r="AI389" i="11"/>
  <c r="O390" i="11"/>
  <c r="R390" i="11"/>
  <c r="F390" i="11"/>
  <c r="G390" i="11" s="1"/>
  <c r="N391" i="6" l="1"/>
  <c r="K391" i="6"/>
  <c r="AL392" i="6"/>
  <c r="P393" i="6"/>
  <c r="E393" i="6" s="1"/>
  <c r="G393" i="6" s="1"/>
  <c r="S392" i="6"/>
  <c r="H392" i="6" s="1"/>
  <c r="N392" i="6" s="1"/>
  <c r="D392" i="6"/>
  <c r="AL390" i="11"/>
  <c r="D390" i="11"/>
  <c r="S390" i="11"/>
  <c r="H390" i="11" s="1"/>
  <c r="N390" i="11" s="1"/>
  <c r="Q391" i="11"/>
  <c r="P391" i="11"/>
  <c r="E391" i="11" s="1"/>
  <c r="AI392" i="6" l="1"/>
  <c r="O393" i="6"/>
  <c r="S393" i="6" s="1"/>
  <c r="H393" i="6" s="1"/>
  <c r="N393" i="6" s="1"/>
  <c r="R393" i="6"/>
  <c r="AL393" i="6" s="1"/>
  <c r="K392" i="6"/>
  <c r="D393" i="6"/>
  <c r="Q394" i="6"/>
  <c r="K393" i="6"/>
  <c r="K390" i="11"/>
  <c r="AI390" i="11"/>
  <c r="F391" i="11"/>
  <c r="G391" i="11" s="1"/>
  <c r="R391" i="11"/>
  <c r="O391" i="11"/>
  <c r="P394" i="6" l="1"/>
  <c r="E394" i="6" s="1"/>
  <c r="AI393" i="6"/>
  <c r="F394" i="6"/>
  <c r="AL394" i="6"/>
  <c r="AL391" i="11"/>
  <c r="D391" i="11"/>
  <c r="P392" i="11"/>
  <c r="E392" i="11" s="1"/>
  <c r="Q392" i="11"/>
  <c r="S391" i="11"/>
  <c r="H391" i="11" s="1"/>
  <c r="N391" i="11" s="1"/>
  <c r="G394" i="6" l="1"/>
  <c r="R394" i="6"/>
  <c r="O394" i="6"/>
  <c r="P395" i="6"/>
  <c r="E395" i="6" s="1"/>
  <c r="Q395" i="6"/>
  <c r="F395" i="6" s="1"/>
  <c r="AI394" i="6"/>
  <c r="AI391" i="11"/>
  <c r="K394" i="6"/>
  <c r="K391" i="11"/>
  <c r="F392" i="11"/>
  <c r="G392" i="11" s="1"/>
  <c r="R392" i="11"/>
  <c r="O392" i="11"/>
  <c r="R395" i="6" l="1"/>
  <c r="O395" i="6"/>
  <c r="D395" i="6" s="1"/>
  <c r="D394" i="6"/>
  <c r="S394" i="6"/>
  <c r="H394" i="6" s="1"/>
  <c r="N394" i="6" s="1"/>
  <c r="AL392" i="11"/>
  <c r="AL395" i="6"/>
  <c r="P396" i="6"/>
  <c r="E396" i="6" s="1"/>
  <c r="Q396" i="6"/>
  <c r="G395" i="6"/>
  <c r="D392" i="11"/>
  <c r="Q393" i="11"/>
  <c r="S392" i="11"/>
  <c r="H392" i="11" s="1"/>
  <c r="N392" i="11" s="1"/>
  <c r="P393" i="11"/>
  <c r="E393" i="11" s="1"/>
  <c r="S395" i="6" l="1"/>
  <c r="H395" i="6" s="1"/>
  <c r="N395" i="6" s="1"/>
  <c r="AI395" i="6"/>
  <c r="K395" i="6"/>
  <c r="K392" i="11"/>
  <c r="AI392" i="11"/>
  <c r="O396" i="6"/>
  <c r="S396" i="6" s="1"/>
  <c r="H396" i="6" s="1"/>
  <c r="N396" i="6" s="1"/>
  <c r="F396" i="6"/>
  <c r="G396" i="6" s="1"/>
  <c r="R396" i="6"/>
  <c r="R393" i="11"/>
  <c r="F393" i="11"/>
  <c r="G393" i="11" s="1"/>
  <c r="O393" i="11"/>
  <c r="AL393" i="11" l="1"/>
  <c r="AL396" i="6"/>
  <c r="AI396" i="6"/>
  <c r="K396" i="6"/>
  <c r="Q397" i="6"/>
  <c r="F397" i="6" s="1"/>
  <c r="D396" i="6"/>
  <c r="P397" i="6"/>
  <c r="E397" i="6" s="1"/>
  <c r="S393" i="11"/>
  <c r="H393" i="11" s="1"/>
  <c r="N393" i="11" s="1"/>
  <c r="Q394" i="11"/>
  <c r="D393" i="11"/>
  <c r="P394" i="11"/>
  <c r="E394" i="11" s="1"/>
  <c r="K393" i="11" l="1"/>
  <c r="AI393" i="11"/>
  <c r="G397" i="6"/>
  <c r="R397" i="6"/>
  <c r="O397" i="6"/>
  <c r="R394" i="11"/>
  <c r="F394" i="11"/>
  <c r="G394" i="11" s="1"/>
  <c r="O394" i="11"/>
  <c r="AL394" i="11" l="1"/>
  <c r="AL397" i="6"/>
  <c r="Q398" i="6"/>
  <c r="S397" i="6"/>
  <c r="H397" i="6" s="1"/>
  <c r="N397" i="6" s="1"/>
  <c r="P398" i="6"/>
  <c r="D397" i="6"/>
  <c r="Q395" i="11"/>
  <c r="S394" i="11"/>
  <c r="H394" i="11" s="1"/>
  <c r="N394" i="11" s="1"/>
  <c r="P395" i="11"/>
  <c r="E395" i="11" s="1"/>
  <c r="D394" i="11"/>
  <c r="AI397" i="6" l="1"/>
  <c r="K397" i="6"/>
  <c r="K394" i="11"/>
  <c r="AI394" i="11"/>
  <c r="E398" i="6"/>
  <c r="O398" i="6"/>
  <c r="F398" i="6"/>
  <c r="R398" i="6"/>
  <c r="O395" i="11"/>
  <c r="F395" i="11"/>
  <c r="G395" i="11" s="1"/>
  <c r="R395" i="11"/>
  <c r="AL395" i="11" l="1"/>
  <c r="AL398" i="6"/>
  <c r="G398" i="6"/>
  <c r="Q399" i="6"/>
  <c r="S398" i="6"/>
  <c r="H398" i="6" s="1"/>
  <c r="N398" i="6" s="1"/>
  <c r="D398" i="6"/>
  <c r="P399" i="6"/>
  <c r="Q396" i="11"/>
  <c r="S395" i="11"/>
  <c r="H395" i="11" s="1"/>
  <c r="N395" i="11" s="1"/>
  <c r="P396" i="11"/>
  <c r="E396" i="11" s="1"/>
  <c r="D395" i="11"/>
  <c r="K395" i="11" l="1"/>
  <c r="AI395" i="11"/>
  <c r="K398" i="6"/>
  <c r="AI398" i="6"/>
  <c r="E399" i="6"/>
  <c r="O399" i="6"/>
  <c r="R399" i="6"/>
  <c r="F399" i="6"/>
  <c r="O396" i="11"/>
  <c r="F396" i="11"/>
  <c r="G396" i="11" s="1"/>
  <c r="R396" i="11"/>
  <c r="AL399" i="6" l="1"/>
  <c r="AL396" i="11"/>
  <c r="G399" i="6"/>
  <c r="P400" i="6"/>
  <c r="S399" i="6"/>
  <c r="H399" i="6" s="1"/>
  <c r="N399" i="6" s="1"/>
  <c r="Q400" i="6"/>
  <c r="D399" i="6"/>
  <c r="S396" i="11"/>
  <c r="H396" i="11" s="1"/>
  <c r="N396" i="11" s="1"/>
  <c r="D396" i="11"/>
  <c r="Q397" i="11"/>
  <c r="P397" i="11"/>
  <c r="E397" i="11" s="1"/>
  <c r="AI396" i="11" l="1"/>
  <c r="K396" i="11"/>
  <c r="AI399" i="6"/>
  <c r="K399" i="6"/>
  <c r="F400" i="6"/>
  <c r="R400" i="6"/>
  <c r="E400" i="6"/>
  <c r="O400" i="6"/>
  <c r="F397" i="11"/>
  <c r="G397" i="11" s="1"/>
  <c r="R397" i="11"/>
  <c r="O397" i="11"/>
  <c r="AL400" i="6" l="1"/>
  <c r="AL397" i="11"/>
  <c r="D400" i="6"/>
  <c r="S400" i="6"/>
  <c r="H400" i="6" s="1"/>
  <c r="N400" i="6" s="1"/>
  <c r="P401" i="6"/>
  <c r="Q401" i="6"/>
  <c r="G400" i="6"/>
  <c r="S397" i="11"/>
  <c r="H397" i="11" s="1"/>
  <c r="N397" i="11" s="1"/>
  <c r="D397" i="11"/>
  <c r="P398" i="11"/>
  <c r="E398" i="11" s="1"/>
  <c r="Q398" i="11"/>
  <c r="K397" i="11" l="1"/>
  <c r="AI397" i="11"/>
  <c r="K400" i="6"/>
  <c r="AI400" i="6"/>
  <c r="F401" i="6"/>
  <c r="R401" i="6"/>
  <c r="E401" i="6"/>
  <c r="O401" i="6"/>
  <c r="F398" i="11"/>
  <c r="G398" i="11" s="1"/>
  <c r="R398" i="11"/>
  <c r="O398" i="11"/>
  <c r="AL401" i="6" l="1"/>
  <c r="AL398" i="11"/>
  <c r="S401" i="6"/>
  <c r="H401" i="6" s="1"/>
  <c r="N401" i="6" s="1"/>
  <c r="D401" i="6"/>
  <c r="Q402" i="6"/>
  <c r="P402" i="6"/>
  <c r="E402" i="6" s="1"/>
  <c r="G401" i="6"/>
  <c r="P399" i="11"/>
  <c r="E399" i="11" s="1"/>
  <c r="Q399" i="11"/>
  <c r="S398" i="11"/>
  <c r="H398" i="11" s="1"/>
  <c r="N398" i="11" s="1"/>
  <c r="D398" i="11"/>
  <c r="K398" i="11" l="1"/>
  <c r="AI398" i="11"/>
  <c r="K401" i="6"/>
  <c r="AI401" i="6"/>
  <c r="F402" i="6"/>
  <c r="G402" i="6" s="1"/>
  <c r="R402" i="6"/>
  <c r="O402" i="6"/>
  <c r="O399" i="11"/>
  <c r="S399" i="11" s="1"/>
  <c r="H399" i="11" s="1"/>
  <c r="N399" i="11" s="1"/>
  <c r="R399" i="11"/>
  <c r="F399" i="11"/>
  <c r="G399" i="11" s="1"/>
  <c r="AL402" i="6" l="1"/>
  <c r="K399" i="11"/>
  <c r="AL399" i="11"/>
  <c r="AI399" i="11"/>
  <c r="D399" i="11"/>
  <c r="P403" i="6"/>
  <c r="E403" i="6" s="1"/>
  <c r="Q403" i="6"/>
  <c r="D402" i="6"/>
  <c r="S402" i="6"/>
  <c r="H402" i="6" s="1"/>
  <c r="N402" i="6" s="1"/>
  <c r="P400" i="11"/>
  <c r="E400" i="11" s="1"/>
  <c r="Q400" i="11"/>
  <c r="F400" i="11" s="1"/>
  <c r="AI402" i="6" l="1"/>
  <c r="K402" i="6"/>
  <c r="G400" i="11"/>
  <c r="O400" i="11"/>
  <c r="S400" i="11" s="1"/>
  <c r="H400" i="11" s="1"/>
  <c r="N400" i="11" s="1"/>
  <c r="O403" i="6"/>
  <c r="F403" i="6"/>
  <c r="G403" i="6" s="1"/>
  <c r="R403" i="6"/>
  <c r="R400" i="11"/>
  <c r="AL400" i="11" l="1"/>
  <c r="AI400" i="11"/>
  <c r="AL403" i="6"/>
  <c r="AI403" i="6"/>
  <c r="K400" i="11"/>
  <c r="D400" i="11"/>
  <c r="Q401" i="11"/>
  <c r="P401" i="11"/>
  <c r="E401" i="11" s="1"/>
  <c r="S403" i="6"/>
  <c r="H403" i="6" s="1"/>
  <c r="N403" i="6" s="1"/>
  <c r="P404" i="6"/>
  <c r="Q404" i="6"/>
  <c r="D403" i="6"/>
  <c r="K403" i="6" l="1"/>
  <c r="R401" i="11"/>
  <c r="O401" i="11"/>
  <c r="P402" i="11" s="1"/>
  <c r="F401" i="11"/>
  <c r="G401" i="11" s="1"/>
  <c r="R404" i="6"/>
  <c r="F404" i="6"/>
  <c r="E404" i="6"/>
  <c r="O404" i="6"/>
  <c r="AL404" i="6" l="1"/>
  <c r="AL401" i="11"/>
  <c r="D401" i="11"/>
  <c r="Q402" i="11"/>
  <c r="R402" i="11" s="1"/>
  <c r="S401" i="11"/>
  <c r="H401" i="11" s="1"/>
  <c r="N401" i="11" s="1"/>
  <c r="Q405" i="6"/>
  <c r="S404" i="6"/>
  <c r="H404" i="6" s="1"/>
  <c r="N404" i="6" s="1"/>
  <c r="P405" i="6"/>
  <c r="E405" i="6" s="1"/>
  <c r="D404" i="6"/>
  <c r="G404" i="6"/>
  <c r="E402" i="11"/>
  <c r="O402" i="11"/>
  <c r="K404" i="6" l="1"/>
  <c r="AI404" i="6"/>
  <c r="AI401" i="11"/>
  <c r="AL402" i="11"/>
  <c r="K401" i="11"/>
  <c r="F402" i="11"/>
  <c r="G402" i="11" s="1"/>
  <c r="K402" i="11" s="1"/>
  <c r="O405" i="6"/>
  <c r="F405" i="6"/>
  <c r="G405" i="6" s="1"/>
  <c r="R405" i="6"/>
  <c r="D402" i="11"/>
  <c r="S402" i="11"/>
  <c r="H402" i="11" s="1"/>
  <c r="N402" i="11" s="1"/>
  <c r="Q403" i="11"/>
  <c r="P403" i="11"/>
  <c r="AI402" i="11" l="1"/>
  <c r="AL405" i="6"/>
  <c r="D405" i="6"/>
  <c r="S405" i="6"/>
  <c r="H405" i="6" s="1"/>
  <c r="N405" i="6" s="1"/>
  <c r="P406" i="6"/>
  <c r="Q406" i="6"/>
  <c r="E403" i="11"/>
  <c r="O403" i="11"/>
  <c r="F403" i="11"/>
  <c r="R403" i="11"/>
  <c r="AI405" i="6" l="1"/>
  <c r="AL403" i="11"/>
  <c r="K405" i="6"/>
  <c r="F406" i="6"/>
  <c r="R406" i="6"/>
  <c r="E406" i="6"/>
  <c r="O406" i="6"/>
  <c r="G403" i="11"/>
  <c r="D403" i="11"/>
  <c r="Q404" i="11"/>
  <c r="S403" i="11"/>
  <c r="H403" i="11" s="1"/>
  <c r="N403" i="11" s="1"/>
  <c r="P404" i="11"/>
  <c r="E404" i="11" s="1"/>
  <c r="AL406" i="6" l="1"/>
  <c r="AI403" i="11"/>
  <c r="K403" i="11"/>
  <c r="Q407" i="6"/>
  <c r="S406" i="6"/>
  <c r="H406" i="6" s="1"/>
  <c r="N406" i="6" s="1"/>
  <c r="D406" i="6"/>
  <c r="P407" i="6"/>
  <c r="E407" i="6" s="1"/>
  <c r="G406" i="6"/>
  <c r="O404" i="11"/>
  <c r="F404" i="11"/>
  <c r="G404" i="11" s="1"/>
  <c r="R404" i="11"/>
  <c r="AL404" i="11" l="1"/>
  <c r="AI406" i="6"/>
  <c r="K406" i="6"/>
  <c r="O407" i="6"/>
  <c r="R407" i="6"/>
  <c r="F407" i="6"/>
  <c r="G407" i="6" s="1"/>
  <c r="P405" i="11"/>
  <c r="D404" i="11"/>
  <c r="S404" i="11"/>
  <c r="H404" i="11" s="1"/>
  <c r="N404" i="11" s="1"/>
  <c r="Q405" i="11"/>
  <c r="K404" i="11" l="1"/>
  <c r="AL407" i="6"/>
  <c r="AI404" i="11"/>
  <c r="D407" i="6"/>
  <c r="P408" i="6"/>
  <c r="Q408" i="6"/>
  <c r="S407" i="6"/>
  <c r="H407" i="6" s="1"/>
  <c r="N407" i="6" s="1"/>
  <c r="R405" i="11"/>
  <c r="F405" i="11"/>
  <c r="E405" i="11"/>
  <c r="O405" i="11"/>
  <c r="K407" i="6" l="1"/>
  <c r="AI407" i="6"/>
  <c r="AL405" i="11"/>
  <c r="AI405" i="11"/>
  <c r="F408" i="6"/>
  <c r="R408" i="6"/>
  <c r="O408" i="6"/>
  <c r="E408" i="6"/>
  <c r="S405" i="11"/>
  <c r="H405" i="11" s="1"/>
  <c r="N405" i="11" s="1"/>
  <c r="D405" i="11"/>
  <c r="P406" i="11"/>
  <c r="E406" i="11" s="1"/>
  <c r="Q406" i="11"/>
  <c r="G405" i="11"/>
  <c r="K405" i="11" s="1"/>
  <c r="AL408" i="6" l="1"/>
  <c r="P409" i="6"/>
  <c r="E409" i="6" s="1"/>
  <c r="Q409" i="6"/>
  <c r="D408" i="6"/>
  <c r="S408" i="6"/>
  <c r="H408" i="6" s="1"/>
  <c r="N408" i="6" s="1"/>
  <c r="G408" i="6"/>
  <c r="R406" i="11"/>
  <c r="F406" i="11"/>
  <c r="G406" i="11" s="1"/>
  <c r="O406" i="11"/>
  <c r="AL406" i="11" l="1"/>
  <c r="AI408" i="6"/>
  <c r="K408" i="6"/>
  <c r="O409" i="6"/>
  <c r="R409" i="6"/>
  <c r="F409" i="6"/>
  <c r="G409" i="6" s="1"/>
  <c r="P407" i="11"/>
  <c r="D406" i="11"/>
  <c r="Q407" i="11"/>
  <c r="S406" i="11"/>
  <c r="H406" i="11" s="1"/>
  <c r="N406" i="11" s="1"/>
  <c r="K406" i="11" l="1"/>
  <c r="AL409" i="6"/>
  <c r="AI406" i="11"/>
  <c r="Q410" i="6"/>
  <c r="D409" i="6"/>
  <c r="S409" i="6"/>
  <c r="H409" i="6" s="1"/>
  <c r="N409" i="6" s="1"/>
  <c r="P410" i="6"/>
  <c r="R407" i="11"/>
  <c r="F407" i="11"/>
  <c r="E407" i="11"/>
  <c r="O407" i="11"/>
  <c r="K409" i="6" l="1"/>
  <c r="AI409" i="6"/>
  <c r="AL407" i="11"/>
  <c r="E410" i="6"/>
  <c r="O410" i="6"/>
  <c r="R410" i="6"/>
  <c r="F410" i="6"/>
  <c r="Q408" i="11"/>
  <c r="S407" i="11"/>
  <c r="H407" i="11" s="1"/>
  <c r="N407" i="11" s="1"/>
  <c r="P408" i="11"/>
  <c r="D407" i="11"/>
  <c r="G407" i="11"/>
  <c r="K407" i="11" s="1"/>
  <c r="AI407" i="11" l="1"/>
  <c r="AL410" i="6"/>
  <c r="G410" i="6"/>
  <c r="P411" i="6"/>
  <c r="D410" i="6"/>
  <c r="S410" i="6"/>
  <c r="H410" i="6" s="1"/>
  <c r="N410" i="6" s="1"/>
  <c r="Q411" i="6"/>
  <c r="E408" i="11"/>
  <c r="O408" i="11"/>
  <c r="F408" i="11"/>
  <c r="R408" i="11"/>
  <c r="K410" i="6" l="1"/>
  <c r="AL408" i="11"/>
  <c r="AI410" i="6"/>
  <c r="F411" i="6"/>
  <c r="R411" i="6"/>
  <c r="E411" i="6"/>
  <c r="O411" i="6"/>
  <c r="G408" i="11"/>
  <c r="S408" i="11"/>
  <c r="H408" i="11" s="1"/>
  <c r="N408" i="11" s="1"/>
  <c r="Q409" i="11"/>
  <c r="D408" i="11"/>
  <c r="P409" i="11"/>
  <c r="AL411" i="6" l="1"/>
  <c r="AI408" i="11"/>
  <c r="K408" i="11"/>
  <c r="S411" i="6"/>
  <c r="H411" i="6" s="1"/>
  <c r="N411" i="6" s="1"/>
  <c r="P412" i="6"/>
  <c r="E412" i="6" s="1"/>
  <c r="D411" i="6"/>
  <c r="Q412" i="6"/>
  <c r="G411" i="6"/>
  <c r="E409" i="11"/>
  <c r="O409" i="11"/>
  <c r="F409" i="11"/>
  <c r="R409" i="11"/>
  <c r="AI411" i="6" l="1"/>
  <c r="AL409" i="11"/>
  <c r="K411" i="6"/>
  <c r="R412" i="6"/>
  <c r="F412" i="6"/>
  <c r="G412" i="6" s="1"/>
  <c r="O412" i="6"/>
  <c r="G409" i="11"/>
  <c r="K409" i="11" s="1"/>
  <c r="Q410" i="11"/>
  <c r="S409" i="11"/>
  <c r="H409" i="11" s="1"/>
  <c r="N409" i="11" s="1"/>
  <c r="D409" i="11"/>
  <c r="P410" i="11"/>
  <c r="AI409" i="11" l="1"/>
  <c r="AL412" i="6"/>
  <c r="D412" i="6"/>
  <c r="Q413" i="6"/>
  <c r="S412" i="6"/>
  <c r="H412" i="6" s="1"/>
  <c r="N412" i="6" s="1"/>
  <c r="P413" i="6"/>
  <c r="E410" i="11"/>
  <c r="O410" i="11"/>
  <c r="F410" i="11"/>
  <c r="R410" i="11"/>
  <c r="AI412" i="6" l="1"/>
  <c r="AL410" i="11"/>
  <c r="K412" i="6"/>
  <c r="O413" i="6"/>
  <c r="E413" i="6"/>
  <c r="F413" i="6"/>
  <c r="R413" i="6"/>
  <c r="G410" i="11"/>
  <c r="P411" i="11"/>
  <c r="Q411" i="11"/>
  <c r="S410" i="11"/>
  <c r="H410" i="11" s="1"/>
  <c r="N410" i="11" s="1"/>
  <c r="D410" i="11"/>
  <c r="AI410" i="11" l="1"/>
  <c r="AL413" i="6"/>
  <c r="K410" i="11"/>
  <c r="G413" i="6"/>
  <c r="Q414" i="6"/>
  <c r="S413" i="6"/>
  <c r="H413" i="6" s="1"/>
  <c r="N413" i="6" s="1"/>
  <c r="P414" i="6"/>
  <c r="D413" i="6"/>
  <c r="R411" i="11"/>
  <c r="F411" i="11"/>
  <c r="E411" i="11"/>
  <c r="O411" i="11"/>
  <c r="K413" i="6" l="1"/>
  <c r="AI413" i="6"/>
  <c r="AL411" i="11"/>
  <c r="AI411" i="11"/>
  <c r="E414" i="6"/>
  <c r="O414" i="6"/>
  <c r="R414" i="6"/>
  <c r="F414" i="6"/>
  <c r="S411" i="11"/>
  <c r="H411" i="11" s="1"/>
  <c r="N411" i="11" s="1"/>
  <c r="D411" i="11"/>
  <c r="P412" i="11"/>
  <c r="E412" i="11" s="1"/>
  <c r="Q412" i="11"/>
  <c r="G411" i="11"/>
  <c r="K411" i="11" s="1"/>
  <c r="AL414" i="6" l="1"/>
  <c r="G414" i="6"/>
  <c r="Q415" i="6"/>
  <c r="P415" i="6"/>
  <c r="D414" i="6"/>
  <c r="S414" i="6"/>
  <c r="H414" i="6" s="1"/>
  <c r="N414" i="6" s="1"/>
  <c r="F412" i="11"/>
  <c r="G412" i="11" s="1"/>
  <c r="R412" i="11"/>
  <c r="O412" i="11"/>
  <c r="K414" i="6" l="1"/>
  <c r="AI414" i="6"/>
  <c r="AL412" i="11"/>
  <c r="E415" i="6"/>
  <c r="O415" i="6"/>
  <c r="F415" i="6"/>
  <c r="R415" i="6"/>
  <c r="D412" i="11"/>
  <c r="S412" i="11"/>
  <c r="H412" i="11" s="1"/>
  <c r="N412" i="11" s="1"/>
  <c r="Q413" i="11"/>
  <c r="P413" i="11"/>
  <c r="E413" i="11" s="1"/>
  <c r="AI412" i="11" l="1"/>
  <c r="AL415" i="6"/>
  <c r="K412" i="11"/>
  <c r="G415" i="6"/>
  <c r="S415" i="6"/>
  <c r="H415" i="6" s="1"/>
  <c r="N415" i="6" s="1"/>
  <c r="P416" i="6"/>
  <c r="E416" i="6" s="1"/>
  <c r="D415" i="6"/>
  <c r="Q416" i="6"/>
  <c r="R413" i="11"/>
  <c r="F413" i="11"/>
  <c r="G413" i="11" s="1"/>
  <c r="O413" i="11"/>
  <c r="K415" i="6" l="1"/>
  <c r="AI415" i="6"/>
  <c r="AL413" i="11"/>
  <c r="F416" i="6"/>
  <c r="G416" i="6" s="1"/>
  <c r="R416" i="6"/>
  <c r="O416" i="6"/>
  <c r="D413" i="11"/>
  <c r="P414" i="11"/>
  <c r="S413" i="11"/>
  <c r="H413" i="11" s="1"/>
  <c r="N413" i="11" s="1"/>
  <c r="Q414" i="11"/>
  <c r="AI413" i="11" l="1"/>
  <c r="AL416" i="6"/>
  <c r="K413" i="11"/>
  <c r="S416" i="6"/>
  <c r="H416" i="6" s="1"/>
  <c r="N416" i="6" s="1"/>
  <c r="D416" i="6"/>
  <c r="P417" i="6"/>
  <c r="Q417" i="6"/>
  <c r="R414" i="11"/>
  <c r="F414" i="11"/>
  <c r="E414" i="11"/>
  <c r="O414" i="11"/>
  <c r="AI416" i="6" l="1"/>
  <c r="AL414" i="11"/>
  <c r="K416" i="6"/>
  <c r="F417" i="6"/>
  <c r="R417" i="6"/>
  <c r="E417" i="6"/>
  <c r="O417" i="6"/>
  <c r="D414" i="11"/>
  <c r="S414" i="11"/>
  <c r="H414" i="11" s="1"/>
  <c r="N414" i="11" s="1"/>
  <c r="P415" i="11"/>
  <c r="E415" i="11" s="1"/>
  <c r="Q415" i="11"/>
  <c r="G414" i="11"/>
  <c r="K414" i="11" s="1"/>
  <c r="AI414" i="11" l="1"/>
  <c r="AL417" i="6"/>
  <c r="P418" i="6"/>
  <c r="E418" i="6" s="1"/>
  <c r="D417" i="6"/>
  <c r="Q418" i="6"/>
  <c r="S417" i="6"/>
  <c r="H417" i="6" s="1"/>
  <c r="N417" i="6" s="1"/>
  <c r="G417" i="6"/>
  <c r="F415" i="11"/>
  <c r="G415" i="11" s="1"/>
  <c r="R415" i="11"/>
  <c r="O415" i="11"/>
  <c r="K417" i="6" l="1"/>
  <c r="AI417" i="6"/>
  <c r="AL415" i="11"/>
  <c r="O418" i="6"/>
  <c r="P419" i="6" s="1"/>
  <c r="E419" i="6" s="1"/>
  <c r="F418" i="6"/>
  <c r="G418" i="6" s="1"/>
  <c r="R418" i="6"/>
  <c r="P416" i="11"/>
  <c r="E416" i="11" s="1"/>
  <c r="D415" i="11"/>
  <c r="S415" i="11"/>
  <c r="H415" i="11" s="1"/>
  <c r="N415" i="11" s="1"/>
  <c r="Q416" i="11"/>
  <c r="K415" i="11" l="1"/>
  <c r="AI415" i="11"/>
  <c r="AL418" i="6"/>
  <c r="Q419" i="6"/>
  <c r="F419" i="6" s="1"/>
  <c r="G419" i="6" s="1"/>
  <c r="O419" i="6"/>
  <c r="S419" i="6" s="1"/>
  <c r="H419" i="6" s="1"/>
  <c r="N419" i="6" s="1"/>
  <c r="D418" i="6"/>
  <c r="S418" i="6"/>
  <c r="H418" i="6" s="1"/>
  <c r="N418" i="6" s="1"/>
  <c r="R416" i="11"/>
  <c r="F416" i="11"/>
  <c r="G416" i="11" s="1"/>
  <c r="O416" i="11"/>
  <c r="K419" i="6" l="1"/>
  <c r="AI418" i="6"/>
  <c r="AL416" i="11"/>
  <c r="K418" i="6"/>
  <c r="Q420" i="6"/>
  <c r="F420" i="6" s="1"/>
  <c r="R419" i="6"/>
  <c r="D419" i="6"/>
  <c r="P420" i="6"/>
  <c r="E420" i="6" s="1"/>
  <c r="P417" i="11"/>
  <c r="E417" i="11" s="1"/>
  <c r="D416" i="11"/>
  <c r="Q417" i="11"/>
  <c r="S416" i="11"/>
  <c r="H416" i="11" s="1"/>
  <c r="N416" i="11" s="1"/>
  <c r="AI416" i="11" l="1"/>
  <c r="AL419" i="6"/>
  <c r="AI419" i="6"/>
  <c r="K416" i="11"/>
  <c r="R420" i="6"/>
  <c r="G420" i="6"/>
  <c r="O420" i="6"/>
  <c r="D420" i="6" s="1"/>
  <c r="O417" i="11"/>
  <c r="P418" i="11" s="1"/>
  <c r="E418" i="11" s="1"/>
  <c r="R417" i="11"/>
  <c r="F417" i="11"/>
  <c r="G417" i="11" s="1"/>
  <c r="AL420" i="6" l="1"/>
  <c r="AL417" i="11"/>
  <c r="P421" i="6"/>
  <c r="O421" i="6" s="1"/>
  <c r="S420" i="6"/>
  <c r="H420" i="6" s="1"/>
  <c r="N420" i="6" s="1"/>
  <c r="Q418" i="11"/>
  <c r="F418" i="11" s="1"/>
  <c r="G418" i="11" s="1"/>
  <c r="Q421" i="6"/>
  <c r="F421" i="6" s="1"/>
  <c r="S417" i="11"/>
  <c r="H417" i="11" s="1"/>
  <c r="N417" i="11" s="1"/>
  <c r="O418" i="11"/>
  <c r="Q419" i="11" s="1"/>
  <c r="D417" i="11"/>
  <c r="AI417" i="11" l="1"/>
  <c r="K417" i="11"/>
  <c r="K420" i="6"/>
  <c r="AI420" i="6"/>
  <c r="E421" i="6"/>
  <c r="G421" i="6" s="1"/>
  <c r="R418" i="11"/>
  <c r="R421" i="6"/>
  <c r="D418" i="11"/>
  <c r="P419" i="11"/>
  <c r="E419" i="11" s="1"/>
  <c r="S418" i="11"/>
  <c r="H418" i="11" s="1"/>
  <c r="N418" i="11" s="1"/>
  <c r="D421" i="6"/>
  <c r="Q422" i="6"/>
  <c r="S421" i="6"/>
  <c r="H421" i="6" s="1"/>
  <c r="N421" i="6" s="1"/>
  <c r="P422" i="6"/>
  <c r="E422" i="6" s="1"/>
  <c r="F419" i="11"/>
  <c r="K421" i="6" l="1"/>
  <c r="AL421" i="6"/>
  <c r="AI421" i="6"/>
  <c r="K418" i="11"/>
  <c r="AL418" i="11"/>
  <c r="AI418" i="11"/>
  <c r="R419" i="11"/>
  <c r="G419" i="11"/>
  <c r="O419" i="11"/>
  <c r="D419" i="11" s="1"/>
  <c r="F422" i="6"/>
  <c r="G422" i="6" s="1"/>
  <c r="R422" i="6"/>
  <c r="O422" i="6"/>
  <c r="AL422" i="6" l="1"/>
  <c r="AL419" i="11"/>
  <c r="Q420" i="11"/>
  <c r="F420" i="11" s="1"/>
  <c r="P420" i="11"/>
  <c r="E420" i="11" s="1"/>
  <c r="S419" i="11"/>
  <c r="H419" i="11" s="1"/>
  <c r="N419" i="11" s="1"/>
  <c r="P423" i="6"/>
  <c r="E423" i="6" s="1"/>
  <c r="Q423" i="6"/>
  <c r="S422" i="6"/>
  <c r="H422" i="6" s="1"/>
  <c r="N422" i="6" s="1"/>
  <c r="D422" i="6"/>
  <c r="AI419" i="11" l="1"/>
  <c r="K422" i="6"/>
  <c r="AI422" i="6"/>
  <c r="K419" i="11"/>
  <c r="R420" i="11"/>
  <c r="O420" i="11"/>
  <c r="Q421" i="11" s="1"/>
  <c r="G420" i="11"/>
  <c r="O423" i="6"/>
  <c r="Q424" i="6" s="1"/>
  <c r="F424" i="6" s="1"/>
  <c r="R423" i="6"/>
  <c r="F423" i="6"/>
  <c r="G423" i="6" s="1"/>
  <c r="AL423" i="6" l="1"/>
  <c r="AL420" i="11"/>
  <c r="P421" i="11"/>
  <c r="E421" i="11" s="1"/>
  <c r="D420" i="11"/>
  <c r="S420" i="11"/>
  <c r="H420" i="11" s="1"/>
  <c r="N420" i="11" s="1"/>
  <c r="D423" i="6"/>
  <c r="S423" i="6"/>
  <c r="H423" i="6" s="1"/>
  <c r="N423" i="6" s="1"/>
  <c r="P424" i="6"/>
  <c r="F421" i="11"/>
  <c r="K423" i="6" l="1"/>
  <c r="AI420" i="11"/>
  <c r="AI423" i="6"/>
  <c r="K420" i="11"/>
  <c r="G421" i="11"/>
  <c r="R421" i="11"/>
  <c r="O421" i="11"/>
  <c r="S421" i="11" s="1"/>
  <c r="H421" i="11" s="1"/>
  <c r="N421" i="11" s="1"/>
  <c r="E424" i="6"/>
  <c r="G424" i="6" s="1"/>
  <c r="O424" i="6"/>
  <c r="R424" i="6"/>
  <c r="AL424" i="6" l="1"/>
  <c r="AL421" i="11"/>
  <c r="AI421" i="11"/>
  <c r="K421" i="11"/>
  <c r="Q422" i="11"/>
  <c r="F422" i="11" s="1"/>
  <c r="P422" i="11"/>
  <c r="E422" i="11" s="1"/>
  <c r="D421" i="11"/>
  <c r="D424" i="6"/>
  <c r="P425" i="6"/>
  <c r="S424" i="6"/>
  <c r="H424" i="6" s="1"/>
  <c r="N424" i="6" s="1"/>
  <c r="Q425" i="6"/>
  <c r="K424" i="6" l="1"/>
  <c r="AI424" i="6"/>
  <c r="O422" i="11"/>
  <c r="S422" i="11" s="1"/>
  <c r="H422" i="11" s="1"/>
  <c r="N422" i="11" s="1"/>
  <c r="G422" i="11"/>
  <c r="R422" i="11"/>
  <c r="R425" i="6"/>
  <c r="F425" i="6"/>
  <c r="E425" i="6"/>
  <c r="O425" i="6"/>
  <c r="AL425" i="6" l="1"/>
  <c r="K422" i="11"/>
  <c r="AL422" i="11"/>
  <c r="AI422" i="11"/>
  <c r="Q423" i="11"/>
  <c r="F423" i="11" s="1"/>
  <c r="D422" i="11"/>
  <c r="P423" i="11"/>
  <c r="E423" i="11" s="1"/>
  <c r="D425" i="6"/>
  <c r="Q426" i="6"/>
  <c r="P426" i="6"/>
  <c r="E426" i="6" s="1"/>
  <c r="S425" i="6"/>
  <c r="H425" i="6" s="1"/>
  <c r="N425" i="6" s="1"/>
  <c r="G425" i="6"/>
  <c r="K425" i="6" l="1"/>
  <c r="AI425" i="6"/>
  <c r="O423" i="11"/>
  <c r="S423" i="11" s="1"/>
  <c r="H423" i="11" s="1"/>
  <c r="N423" i="11" s="1"/>
  <c r="R423" i="11"/>
  <c r="G423" i="11"/>
  <c r="F426" i="6"/>
  <c r="G426" i="6" s="1"/>
  <c r="R426" i="6"/>
  <c r="O426" i="6"/>
  <c r="AL426" i="6" l="1"/>
  <c r="K423" i="11"/>
  <c r="AL423" i="11"/>
  <c r="AI423" i="11"/>
  <c r="Q424" i="11"/>
  <c r="F424" i="11" s="1"/>
  <c r="P424" i="11"/>
  <c r="E424" i="11" s="1"/>
  <c r="D423" i="11"/>
  <c r="Q427" i="6"/>
  <c r="D426" i="6"/>
  <c r="S426" i="6"/>
  <c r="H426" i="6" s="1"/>
  <c r="N426" i="6" s="1"/>
  <c r="P427" i="6"/>
  <c r="E427" i="6" s="1"/>
  <c r="K426" i="6" l="1"/>
  <c r="AI426" i="6"/>
  <c r="G424" i="11"/>
  <c r="R424" i="11"/>
  <c r="O424" i="11"/>
  <c r="Q425" i="11" s="1"/>
  <c r="O427" i="6"/>
  <c r="F427" i="6"/>
  <c r="G427" i="6" s="1"/>
  <c r="R427" i="6"/>
  <c r="AL427" i="6" l="1"/>
  <c r="AL424" i="11"/>
  <c r="P425" i="11"/>
  <c r="E425" i="11" s="1"/>
  <c r="D424" i="11"/>
  <c r="S424" i="11"/>
  <c r="H424" i="11" s="1"/>
  <c r="N424" i="11" s="1"/>
  <c r="P428" i="6"/>
  <c r="E428" i="6" s="1"/>
  <c r="Q428" i="6"/>
  <c r="D427" i="6"/>
  <c r="S427" i="6"/>
  <c r="H427" i="6" s="1"/>
  <c r="N427" i="6" s="1"/>
  <c r="F425" i="11"/>
  <c r="K424" i="11" l="1"/>
  <c r="AI424" i="11"/>
  <c r="K427" i="6"/>
  <c r="AI427" i="6"/>
  <c r="G425" i="11"/>
  <c r="O425" i="11"/>
  <c r="D425" i="11" s="1"/>
  <c r="R425" i="11"/>
  <c r="O428" i="6"/>
  <c r="S428" i="6" s="1"/>
  <c r="H428" i="6" s="1"/>
  <c r="N428" i="6" s="1"/>
  <c r="F428" i="6"/>
  <c r="G428" i="6" s="1"/>
  <c r="R428" i="6"/>
  <c r="K428" i="6" l="1"/>
  <c r="Q426" i="11"/>
  <c r="F426" i="11" s="1"/>
  <c r="AL428" i="6"/>
  <c r="AI428" i="6"/>
  <c r="AL425" i="11"/>
  <c r="P426" i="11"/>
  <c r="E426" i="11" s="1"/>
  <c r="S425" i="11"/>
  <c r="H425" i="11" s="1"/>
  <c r="N425" i="11" s="1"/>
  <c r="Q429" i="6"/>
  <c r="F429" i="6" s="1"/>
  <c r="P429" i="6"/>
  <c r="E429" i="6" s="1"/>
  <c r="D428" i="6"/>
  <c r="G426" i="11" l="1"/>
  <c r="AI425" i="11"/>
  <c r="R426" i="11"/>
  <c r="O426" i="11"/>
  <c r="P427" i="11" s="1"/>
  <c r="E427" i="11" s="1"/>
  <c r="K425" i="11"/>
  <c r="R429" i="6"/>
  <c r="O429" i="6"/>
  <c r="P430" i="6" s="1"/>
  <c r="E430" i="6" s="1"/>
  <c r="G429" i="6"/>
  <c r="Q427" i="11" l="1"/>
  <c r="F427" i="11" s="1"/>
  <c r="G427" i="11" s="1"/>
  <c r="AL429" i="6"/>
  <c r="AL426" i="11"/>
  <c r="O427" i="11"/>
  <c r="Q428" i="11" s="1"/>
  <c r="S426" i="11"/>
  <c r="H426" i="11" s="1"/>
  <c r="D426" i="11"/>
  <c r="Q430" i="6"/>
  <c r="R430" i="6" s="1"/>
  <c r="S429" i="6"/>
  <c r="H429" i="6" s="1"/>
  <c r="N429" i="6" s="1"/>
  <c r="D429" i="6"/>
  <c r="O430" i="6"/>
  <c r="R427" i="11" l="1"/>
  <c r="K429" i="6"/>
  <c r="D427" i="11"/>
  <c r="P428" i="11"/>
  <c r="E428" i="11" s="1"/>
  <c r="AI426" i="11"/>
  <c r="AI429" i="6"/>
  <c r="N426" i="11"/>
  <c r="K426" i="11"/>
  <c r="AL430" i="6"/>
  <c r="AL427" i="11"/>
  <c r="S427" i="11"/>
  <c r="H427" i="11" s="1"/>
  <c r="F430" i="6"/>
  <c r="G430" i="6" s="1"/>
  <c r="D430" i="6"/>
  <c r="P431" i="6"/>
  <c r="E431" i="6" s="1"/>
  <c r="S430" i="6"/>
  <c r="H430" i="6" s="1"/>
  <c r="N430" i="6" s="1"/>
  <c r="Q431" i="6"/>
  <c r="F428" i="11"/>
  <c r="O428" i="11" l="1"/>
  <c r="D428" i="11" s="1"/>
  <c r="G428" i="11"/>
  <c r="R428" i="11"/>
  <c r="K430" i="6"/>
  <c r="AI430" i="6"/>
  <c r="AL428" i="11"/>
  <c r="N427" i="11"/>
  <c r="K427" i="11"/>
  <c r="AI427" i="11"/>
  <c r="F431" i="6"/>
  <c r="G431" i="6" s="1"/>
  <c r="R431" i="6"/>
  <c r="O431" i="6"/>
  <c r="P429" i="11"/>
  <c r="E429" i="11" s="1"/>
  <c r="S428" i="11" l="1"/>
  <c r="H428" i="11" s="1"/>
  <c r="N428" i="11" s="1"/>
  <c r="Q429" i="11"/>
  <c r="R429" i="11" s="1"/>
  <c r="AI428" i="11"/>
  <c r="AL431" i="6"/>
  <c r="K428" i="11"/>
  <c r="Q432" i="6"/>
  <c r="D431" i="6"/>
  <c r="P432" i="6"/>
  <c r="E432" i="6" s="1"/>
  <c r="S431" i="6"/>
  <c r="H431" i="6" s="1"/>
  <c r="N431" i="6" s="1"/>
  <c r="F429" i="11"/>
  <c r="G429" i="11" s="1"/>
  <c r="O429" i="11"/>
  <c r="K431" i="6" l="1"/>
  <c r="AI431" i="6"/>
  <c r="AL429" i="11"/>
  <c r="O432" i="6"/>
  <c r="F432" i="6"/>
  <c r="G432" i="6" s="1"/>
  <c r="R432" i="6"/>
  <c r="P430" i="11"/>
  <c r="E430" i="11" s="1"/>
  <c r="Q430" i="11"/>
  <c r="D429" i="11"/>
  <c r="S429" i="11"/>
  <c r="H429" i="11" s="1"/>
  <c r="N429" i="11" s="1"/>
  <c r="K429" i="11" l="1"/>
  <c r="AI429" i="11"/>
  <c r="AL432" i="6"/>
  <c r="D432" i="6"/>
  <c r="Q433" i="6"/>
  <c r="S432" i="6"/>
  <c r="H432" i="6" s="1"/>
  <c r="N432" i="6" s="1"/>
  <c r="P433" i="6"/>
  <c r="E433" i="6" s="1"/>
  <c r="F430" i="11"/>
  <c r="G430" i="11" s="1"/>
  <c r="R430" i="11"/>
  <c r="O430" i="11"/>
  <c r="AI432" i="6" l="1"/>
  <c r="AL430" i="11"/>
  <c r="K432" i="6"/>
  <c r="F433" i="6"/>
  <c r="G433" i="6" s="1"/>
  <c r="R433" i="6"/>
  <c r="O433" i="6"/>
  <c r="P431" i="11"/>
  <c r="E431" i="11" s="1"/>
  <c r="Q431" i="11"/>
  <c r="D430" i="11"/>
  <c r="S430" i="11"/>
  <c r="H430" i="11" s="1"/>
  <c r="N430" i="11" s="1"/>
  <c r="K430" i="11" l="1"/>
  <c r="AL433" i="6"/>
  <c r="AI430" i="11"/>
  <c r="Q434" i="6"/>
  <c r="P434" i="6"/>
  <c r="E434" i="6" s="1"/>
  <c r="S433" i="6"/>
  <c r="H433" i="6" s="1"/>
  <c r="N433" i="6" s="1"/>
  <c r="D433" i="6"/>
  <c r="F431" i="11"/>
  <c r="G431" i="11" s="1"/>
  <c r="R431" i="11"/>
  <c r="O431" i="11"/>
  <c r="AI433" i="6" l="1"/>
  <c r="AL431" i="11"/>
  <c r="K433" i="6"/>
  <c r="O434" i="6"/>
  <c r="F434" i="6"/>
  <c r="G434" i="6" s="1"/>
  <c r="R434" i="6"/>
  <c r="P432" i="11"/>
  <c r="E432" i="11" s="1"/>
  <c r="D431" i="11"/>
  <c r="Q432" i="11"/>
  <c r="S431" i="11"/>
  <c r="H431" i="11" s="1"/>
  <c r="N431" i="11" s="1"/>
  <c r="AL434" i="6" l="1"/>
  <c r="AI431" i="11"/>
  <c r="K431" i="11"/>
  <c r="P435" i="6"/>
  <c r="E435" i="6" s="1"/>
  <c r="Q435" i="6"/>
  <c r="S434" i="6"/>
  <c r="H434" i="6" s="1"/>
  <c r="N434" i="6" s="1"/>
  <c r="D434" i="6"/>
  <c r="F432" i="11"/>
  <c r="G432" i="11" s="1"/>
  <c r="R432" i="11"/>
  <c r="O432" i="11"/>
  <c r="K434" i="6" l="1"/>
  <c r="AL432" i="11"/>
  <c r="AI434" i="6"/>
  <c r="O435" i="6"/>
  <c r="F435" i="6"/>
  <c r="G435" i="6" s="1"/>
  <c r="R435" i="6"/>
  <c r="P433" i="11"/>
  <c r="E433" i="11" s="1"/>
  <c r="D432" i="11"/>
  <c r="Q433" i="11"/>
  <c r="S432" i="11"/>
  <c r="H432" i="11" s="1"/>
  <c r="N432" i="11" s="1"/>
  <c r="K432" i="11" l="1"/>
  <c r="AL435" i="6"/>
  <c r="AI432" i="11"/>
  <c r="S435" i="6"/>
  <c r="H435" i="6" s="1"/>
  <c r="N435" i="6" s="1"/>
  <c r="P436" i="6"/>
  <c r="E436" i="6" s="1"/>
  <c r="D435" i="6"/>
  <c r="Q436" i="6"/>
  <c r="F433" i="11"/>
  <c r="G433" i="11" s="1"/>
  <c r="R433" i="11"/>
  <c r="O433" i="11"/>
  <c r="K435" i="6" l="1"/>
  <c r="AI435" i="6"/>
  <c r="AL433" i="11"/>
  <c r="R436" i="6"/>
  <c r="F436" i="6"/>
  <c r="G436" i="6" s="1"/>
  <c r="O436" i="6"/>
  <c r="P434" i="11"/>
  <c r="E434" i="11" s="1"/>
  <c r="Q434" i="11"/>
  <c r="S433" i="11"/>
  <c r="H433" i="11" s="1"/>
  <c r="N433" i="11" s="1"/>
  <c r="D433" i="11"/>
  <c r="AI433" i="11" l="1"/>
  <c r="K433" i="11"/>
  <c r="AL436" i="6"/>
  <c r="S436" i="6"/>
  <c r="H436" i="6" s="1"/>
  <c r="N436" i="6" s="1"/>
  <c r="D436" i="6"/>
  <c r="Q437" i="6"/>
  <c r="P437" i="6"/>
  <c r="E437" i="6" s="1"/>
  <c r="O434" i="11"/>
  <c r="F434" i="11"/>
  <c r="G434" i="11" s="1"/>
  <c r="R434" i="11"/>
  <c r="K436" i="6" l="1"/>
  <c r="AL434" i="11"/>
  <c r="AI436" i="6"/>
  <c r="R437" i="6"/>
  <c r="F437" i="6"/>
  <c r="G437" i="6" s="1"/>
  <c r="O437" i="6"/>
  <c r="P435" i="11"/>
  <c r="E435" i="11" s="1"/>
  <c r="Q435" i="11"/>
  <c r="S434" i="11"/>
  <c r="H434" i="11" s="1"/>
  <c r="N434" i="11" s="1"/>
  <c r="D434" i="11"/>
  <c r="K434" i="11" l="1"/>
  <c r="AL437" i="6"/>
  <c r="AI434" i="11"/>
  <c r="S437" i="6"/>
  <c r="H437" i="6" s="1"/>
  <c r="N437" i="6" s="1"/>
  <c r="P438" i="6"/>
  <c r="E438" i="6" s="1"/>
  <c r="D437" i="6"/>
  <c r="Q438" i="6"/>
  <c r="O435" i="11"/>
  <c r="F435" i="11"/>
  <c r="G435" i="11" s="1"/>
  <c r="R435" i="11"/>
  <c r="K437" i="6" l="1"/>
  <c r="AI437" i="6"/>
  <c r="AL435" i="11"/>
  <c r="R438" i="6"/>
  <c r="F438" i="6"/>
  <c r="G438" i="6" s="1"/>
  <c r="O438" i="6"/>
  <c r="P436" i="11"/>
  <c r="E436" i="11" s="1"/>
  <c r="Q436" i="11"/>
  <c r="D435" i="11"/>
  <c r="S435" i="11"/>
  <c r="H435" i="11" s="1"/>
  <c r="N435" i="11" s="1"/>
  <c r="AI435" i="11" l="1"/>
  <c r="AL438" i="6"/>
  <c r="K435" i="11"/>
  <c r="D438" i="6"/>
  <c r="Q439" i="6"/>
  <c r="S438" i="6"/>
  <c r="H438" i="6" s="1"/>
  <c r="N438" i="6" s="1"/>
  <c r="P439" i="6"/>
  <c r="E439" i="6" s="1"/>
  <c r="O436" i="11"/>
  <c r="F436" i="11"/>
  <c r="G436" i="11" s="1"/>
  <c r="R436" i="11"/>
  <c r="AL436" i="11" l="1"/>
  <c r="AI438" i="6"/>
  <c r="K438" i="6"/>
  <c r="R439" i="6"/>
  <c r="F439" i="6"/>
  <c r="G439" i="6" s="1"/>
  <c r="O439" i="6"/>
  <c r="P437" i="11"/>
  <c r="E437" i="11" s="1"/>
  <c r="S436" i="11"/>
  <c r="H436" i="11" s="1"/>
  <c r="N436" i="11" s="1"/>
  <c r="Q437" i="11"/>
  <c r="D436" i="11"/>
  <c r="K436" i="11" l="1"/>
  <c r="AL439" i="6"/>
  <c r="AI436" i="11"/>
  <c r="S439" i="6"/>
  <c r="H439" i="6" s="1"/>
  <c r="N439" i="6" s="1"/>
  <c r="P440" i="6"/>
  <c r="E440" i="6" s="1"/>
  <c r="Q440" i="6"/>
  <c r="D439" i="6"/>
  <c r="O437" i="11"/>
  <c r="F437" i="11"/>
  <c r="G437" i="11" s="1"/>
  <c r="R437" i="11"/>
  <c r="AI439" i="6" l="1"/>
  <c r="AL437" i="11"/>
  <c r="K439" i="6"/>
  <c r="F440" i="6"/>
  <c r="G440" i="6" s="1"/>
  <c r="R440" i="6"/>
  <c r="O440" i="6"/>
  <c r="P438" i="11"/>
  <c r="E438" i="11" s="1"/>
  <c r="Q438" i="11"/>
  <c r="S437" i="11"/>
  <c r="H437" i="11" s="1"/>
  <c r="N437" i="11" s="1"/>
  <c r="D437" i="11"/>
  <c r="AI437" i="11" l="1"/>
  <c r="AL440" i="6"/>
  <c r="K437" i="11"/>
  <c r="P441" i="6"/>
  <c r="E441" i="6" s="1"/>
  <c r="S440" i="6"/>
  <c r="H440" i="6" s="1"/>
  <c r="N440" i="6" s="1"/>
  <c r="D440" i="6"/>
  <c r="Q441" i="6"/>
  <c r="O438" i="11"/>
  <c r="F438" i="11"/>
  <c r="G438" i="11" s="1"/>
  <c r="R438" i="11"/>
  <c r="K440" i="6" l="1"/>
  <c r="AL438" i="11"/>
  <c r="AI440" i="6"/>
  <c r="O441" i="6"/>
  <c r="S441" i="6" s="1"/>
  <c r="H441" i="6" s="1"/>
  <c r="N441" i="6" s="1"/>
  <c r="F441" i="6"/>
  <c r="G441" i="6" s="1"/>
  <c r="R441" i="6"/>
  <c r="P439" i="11"/>
  <c r="E439" i="11" s="1"/>
  <c r="Q439" i="11"/>
  <c r="D438" i="11"/>
  <c r="S438" i="11"/>
  <c r="H438" i="11" s="1"/>
  <c r="N438" i="11" s="1"/>
  <c r="K441" i="6" l="1"/>
  <c r="AL441" i="6"/>
  <c r="AI441" i="6"/>
  <c r="K438" i="11"/>
  <c r="AI438" i="11"/>
  <c r="D441" i="6"/>
  <c r="Q442" i="6"/>
  <c r="F442" i="6" s="1"/>
  <c r="P442" i="6"/>
  <c r="E442" i="6" s="1"/>
  <c r="O439" i="11"/>
  <c r="F439" i="11"/>
  <c r="G439" i="11" s="1"/>
  <c r="R439" i="11"/>
  <c r="AL439" i="11" l="1"/>
  <c r="R442" i="6"/>
  <c r="G442" i="6"/>
  <c r="O442" i="6"/>
  <c r="P443" i="6" s="1"/>
  <c r="E443" i="6" s="1"/>
  <c r="P440" i="11"/>
  <c r="E440" i="11" s="1"/>
  <c r="Q440" i="11"/>
  <c r="D439" i="11"/>
  <c r="S439" i="11"/>
  <c r="H439" i="11" s="1"/>
  <c r="N439" i="11" s="1"/>
  <c r="AI439" i="11" l="1"/>
  <c r="AL442" i="6"/>
  <c r="K439" i="11"/>
  <c r="S442" i="6"/>
  <c r="H442" i="6" s="1"/>
  <c r="N442" i="6" s="1"/>
  <c r="D442" i="6"/>
  <c r="Q443" i="6"/>
  <c r="F443" i="6" s="1"/>
  <c r="G443" i="6" s="1"/>
  <c r="O443" i="6"/>
  <c r="S443" i="6" s="1"/>
  <c r="H443" i="6" s="1"/>
  <c r="N443" i="6" s="1"/>
  <c r="O440" i="11"/>
  <c r="F440" i="11"/>
  <c r="G440" i="11" s="1"/>
  <c r="R440" i="11"/>
  <c r="K443" i="6" l="1"/>
  <c r="AI442" i="6"/>
  <c r="AL440" i="11"/>
  <c r="K442" i="6"/>
  <c r="D443" i="6"/>
  <c r="P444" i="6"/>
  <c r="E444" i="6" s="1"/>
  <c r="Q444" i="6"/>
  <c r="F444" i="6" s="1"/>
  <c r="R443" i="6"/>
  <c r="P441" i="11"/>
  <c r="E441" i="11" s="1"/>
  <c r="S440" i="11"/>
  <c r="H440" i="11" s="1"/>
  <c r="N440" i="11" s="1"/>
  <c r="Q441" i="11"/>
  <c r="D440" i="11"/>
  <c r="AI440" i="11" l="1"/>
  <c r="K440" i="11"/>
  <c r="AL443" i="6"/>
  <c r="AI443" i="6"/>
  <c r="G444" i="6"/>
  <c r="R444" i="6"/>
  <c r="O444" i="6"/>
  <c r="S444" i="6" s="1"/>
  <c r="H444" i="6" s="1"/>
  <c r="N444" i="6" s="1"/>
  <c r="O441" i="11"/>
  <c r="F441" i="11"/>
  <c r="G441" i="11" s="1"/>
  <c r="R441" i="11"/>
  <c r="K444" i="6" l="1"/>
  <c r="AL444" i="6"/>
  <c r="AI444" i="6"/>
  <c r="AL441" i="11"/>
  <c r="Q445" i="6"/>
  <c r="F445" i="6" s="1"/>
  <c r="P445" i="6"/>
  <c r="E445" i="6" s="1"/>
  <c r="D444" i="6"/>
  <c r="P442" i="11"/>
  <c r="E442" i="11" s="1"/>
  <c r="Q442" i="11"/>
  <c r="S441" i="11"/>
  <c r="H441" i="11" s="1"/>
  <c r="N441" i="11" s="1"/>
  <c r="D441" i="11"/>
  <c r="K441" i="11" l="1"/>
  <c r="AI441" i="11"/>
  <c r="R445" i="6"/>
  <c r="O445" i="6"/>
  <c r="P446" i="6" s="1"/>
  <c r="G445" i="6"/>
  <c r="O442" i="11"/>
  <c r="F442" i="11"/>
  <c r="G442" i="11" s="1"/>
  <c r="R442" i="11"/>
  <c r="AL442" i="11" l="1"/>
  <c r="AL445" i="6"/>
  <c r="D445" i="6"/>
  <c r="S445" i="6"/>
  <c r="H445" i="6" s="1"/>
  <c r="N445" i="6" s="1"/>
  <c r="Q446" i="6"/>
  <c r="F446" i="6" s="1"/>
  <c r="E446" i="6"/>
  <c r="O446" i="6"/>
  <c r="P443" i="11"/>
  <c r="E443" i="11" s="1"/>
  <c r="Q443" i="11"/>
  <c r="D442" i="11"/>
  <c r="S442" i="11"/>
  <c r="H442" i="11" s="1"/>
  <c r="N442" i="11" s="1"/>
  <c r="AI445" i="6" l="1"/>
  <c r="K445" i="6"/>
  <c r="G43" i="2" s="1"/>
  <c r="AI442" i="11"/>
  <c r="K442" i="11"/>
  <c r="R446" i="6"/>
  <c r="D446" i="6"/>
  <c r="P447" i="6"/>
  <c r="E447" i="6" s="1"/>
  <c r="Q447" i="6"/>
  <c r="S446" i="6"/>
  <c r="H446" i="6" s="1"/>
  <c r="N446" i="6" s="1"/>
  <c r="G446" i="6"/>
  <c r="O443" i="11"/>
  <c r="F443" i="11"/>
  <c r="G443" i="11" s="1"/>
  <c r="R443" i="11"/>
  <c r="AL443" i="11" l="1"/>
  <c r="AL446" i="6"/>
  <c r="AI446" i="6"/>
  <c r="K446" i="6"/>
  <c r="D18" i="6" s="1"/>
  <c r="F447" i="6"/>
  <c r="G447" i="6" s="1"/>
  <c r="R447" i="6"/>
  <c r="O447" i="6"/>
  <c r="P444" i="11"/>
  <c r="E444" i="11" s="1"/>
  <c r="Q444" i="11"/>
  <c r="D443" i="11"/>
  <c r="S443" i="11"/>
  <c r="H443" i="11" s="1"/>
  <c r="N443" i="11" s="1"/>
  <c r="AI443" i="11" l="1"/>
  <c r="AL447" i="6"/>
  <c r="K443" i="11"/>
  <c r="Q448" i="6"/>
  <c r="D447" i="6"/>
  <c r="P448" i="6"/>
  <c r="E448" i="6" s="1"/>
  <c r="S447" i="6"/>
  <c r="H447" i="6" s="1"/>
  <c r="N447" i="6" s="1"/>
  <c r="O444" i="11"/>
  <c r="F444" i="11"/>
  <c r="G444" i="11" s="1"/>
  <c r="R444" i="11"/>
  <c r="AI447" i="6" l="1"/>
  <c r="AL444" i="11"/>
  <c r="K447" i="6"/>
  <c r="O448" i="6"/>
  <c r="R448" i="6"/>
  <c r="F448" i="6"/>
  <c r="G448" i="6" s="1"/>
  <c r="P445" i="11"/>
  <c r="E445" i="11" s="1"/>
  <c r="D444" i="11"/>
  <c r="Q445" i="11"/>
  <c r="S444" i="11"/>
  <c r="H444" i="11" s="1"/>
  <c r="N444" i="11" s="1"/>
  <c r="AL448" i="6" l="1"/>
  <c r="AI444" i="11"/>
  <c r="K444" i="11"/>
  <c r="Q449" i="6"/>
  <c r="S448" i="6"/>
  <c r="H448" i="6" s="1"/>
  <c r="N448" i="6" s="1"/>
  <c r="P449" i="6"/>
  <c r="D448" i="6"/>
  <c r="F445" i="11"/>
  <c r="G445" i="11" s="1"/>
  <c r="R445" i="11"/>
  <c r="O445" i="11"/>
  <c r="AL445" i="11" l="1"/>
  <c r="K448" i="6"/>
  <c r="AI448" i="6"/>
  <c r="E449" i="6"/>
  <c r="O449" i="6"/>
  <c r="F449" i="6"/>
  <c r="R449" i="6"/>
  <c r="P446" i="11"/>
  <c r="E446" i="11" s="1"/>
  <c r="Q446" i="11"/>
  <c r="D445" i="11"/>
  <c r="S445" i="11"/>
  <c r="H445" i="11" s="1"/>
  <c r="N445" i="11" s="1"/>
  <c r="K445" i="11" l="1"/>
  <c r="D43" i="2" s="1"/>
  <c r="AI445" i="11"/>
  <c r="AL449" i="6"/>
  <c r="G449" i="6"/>
  <c r="S449" i="6"/>
  <c r="H449" i="6" s="1"/>
  <c r="N449" i="6" s="1"/>
  <c r="P450" i="6"/>
  <c r="D449" i="6"/>
  <c r="Q450" i="6"/>
  <c r="O446" i="11"/>
  <c r="F446" i="11"/>
  <c r="G446" i="11" s="1"/>
  <c r="R446" i="11"/>
  <c r="AI449" i="6" l="1"/>
  <c r="K449" i="6"/>
  <c r="AL446" i="11"/>
  <c r="F450" i="6"/>
  <c r="R450" i="6"/>
  <c r="E450" i="6"/>
  <c r="O450" i="6"/>
  <c r="P447" i="11"/>
  <c r="E447" i="11" s="1"/>
  <c r="Q447" i="11"/>
  <c r="D446" i="11"/>
  <c r="S446" i="11"/>
  <c r="H446" i="11" s="1"/>
  <c r="N446" i="11" s="1"/>
  <c r="K446" i="11" l="1"/>
  <c r="D18" i="11" s="1"/>
  <c r="AI446" i="11"/>
  <c r="AL450" i="6"/>
  <c r="P451" i="6"/>
  <c r="E451" i="6" s="1"/>
  <c r="Q451" i="6"/>
  <c r="D450" i="6"/>
  <c r="S450" i="6"/>
  <c r="H450" i="6" s="1"/>
  <c r="N450" i="6" s="1"/>
  <c r="G450" i="6"/>
  <c r="O447" i="11"/>
  <c r="F447" i="11"/>
  <c r="G447" i="11" s="1"/>
  <c r="R447" i="11"/>
  <c r="AI450" i="6" l="1"/>
  <c r="K450" i="6"/>
  <c r="AL447" i="11"/>
  <c r="O451" i="6"/>
  <c r="D451" i="6" s="1"/>
  <c r="F451" i="6"/>
  <c r="G451" i="6" s="1"/>
  <c r="R451" i="6"/>
  <c r="P448" i="11"/>
  <c r="E448" i="11" s="1"/>
  <c r="D447" i="11"/>
  <c r="Q448" i="11"/>
  <c r="S447" i="11"/>
  <c r="H447" i="11" s="1"/>
  <c r="N447" i="11" s="1"/>
  <c r="K447" i="11" l="1"/>
  <c r="AI447" i="11"/>
  <c r="AL451" i="6"/>
  <c r="Q452" i="6"/>
  <c r="F452" i="6" s="1"/>
  <c r="P452" i="6"/>
  <c r="S451" i="6"/>
  <c r="H451" i="6" s="1"/>
  <c r="N451" i="6" s="1"/>
  <c r="O448" i="11"/>
  <c r="F448" i="11"/>
  <c r="G448" i="11" s="1"/>
  <c r="R448" i="11"/>
  <c r="AI451" i="6" l="1"/>
  <c r="K451" i="6"/>
  <c r="AL448" i="11"/>
  <c r="E452" i="6"/>
  <c r="G452" i="6" s="1"/>
  <c r="O452" i="6"/>
  <c r="R452" i="6"/>
  <c r="P449" i="11"/>
  <c r="E449" i="11" s="1"/>
  <c r="D448" i="11"/>
  <c r="Q449" i="11"/>
  <c r="S448" i="11"/>
  <c r="H448" i="11" s="1"/>
  <c r="N448" i="11" s="1"/>
  <c r="AL452" i="6" l="1"/>
  <c r="K448" i="11"/>
  <c r="AI448" i="11"/>
  <c r="Q453" i="6"/>
  <c r="S452" i="6"/>
  <c r="H452" i="6" s="1"/>
  <c r="N452" i="6" s="1"/>
  <c r="P453" i="6"/>
  <c r="D452" i="6"/>
  <c r="O449" i="11"/>
  <c r="F449" i="11"/>
  <c r="G449" i="11" s="1"/>
  <c r="R449" i="11"/>
  <c r="AL449" i="11" l="1"/>
  <c r="K452" i="6"/>
  <c r="AI452" i="6"/>
  <c r="E453" i="6"/>
  <c r="O453" i="6"/>
  <c r="R453" i="6"/>
  <c r="F453" i="6"/>
  <c r="P450" i="11"/>
  <c r="E450" i="11" s="1"/>
  <c r="Q450" i="11"/>
  <c r="D449" i="11"/>
  <c r="S449" i="11"/>
  <c r="H449" i="11" s="1"/>
  <c r="N449" i="11" s="1"/>
  <c r="AI449" i="11" l="1"/>
  <c r="AL453" i="6"/>
  <c r="AI453" i="6"/>
  <c r="K449" i="11"/>
  <c r="G453" i="6"/>
  <c r="K453" i="6" s="1"/>
  <c r="P454" i="6"/>
  <c r="Q454" i="6"/>
  <c r="D453" i="6"/>
  <c r="S453" i="6"/>
  <c r="H453" i="6" s="1"/>
  <c r="N453" i="6" s="1"/>
  <c r="O450" i="11"/>
  <c r="F450" i="11"/>
  <c r="G450" i="11" s="1"/>
  <c r="R450" i="11"/>
  <c r="AL450" i="11" l="1"/>
  <c r="F454" i="6"/>
  <c r="R454" i="6"/>
  <c r="E454" i="6"/>
  <c r="O454" i="6"/>
  <c r="P451" i="11"/>
  <c r="E451" i="11" s="1"/>
  <c r="Q451" i="11"/>
  <c r="D450" i="11"/>
  <c r="S450" i="11"/>
  <c r="H450" i="11" s="1"/>
  <c r="N450" i="11" s="1"/>
  <c r="K450" i="11" l="1"/>
  <c r="AL454" i="6"/>
  <c r="AI450" i="11"/>
  <c r="S454" i="6"/>
  <c r="H454" i="6" s="1"/>
  <c r="N454" i="6" s="1"/>
  <c r="D454" i="6"/>
  <c r="P455" i="6"/>
  <c r="E455" i="6" s="1"/>
  <c r="Q455" i="6"/>
  <c r="G454" i="6"/>
  <c r="O451" i="11"/>
  <c r="F451" i="11"/>
  <c r="G451" i="11" s="1"/>
  <c r="R451" i="11"/>
  <c r="AI454" i="6" l="1"/>
  <c r="AL451" i="11"/>
  <c r="K454" i="6"/>
  <c r="F455" i="6"/>
  <c r="G455" i="6" s="1"/>
  <c r="R455" i="6"/>
  <c r="O455" i="6"/>
  <c r="P452" i="11"/>
  <c r="E452" i="11" s="1"/>
  <c r="Q452" i="11"/>
  <c r="D451" i="11"/>
  <c r="S451" i="11"/>
  <c r="H451" i="11" s="1"/>
  <c r="N451" i="11" s="1"/>
  <c r="AL455" i="6" l="1"/>
  <c r="AI451" i="11"/>
  <c r="K451" i="11"/>
  <c r="Q456" i="6"/>
  <c r="D455" i="6"/>
  <c r="S455" i="6"/>
  <c r="H455" i="6" s="1"/>
  <c r="N455" i="6" s="1"/>
  <c r="P456" i="6"/>
  <c r="E456" i="6" s="1"/>
  <c r="O452" i="11"/>
  <c r="F452" i="11"/>
  <c r="G452" i="11" s="1"/>
  <c r="R452" i="11"/>
  <c r="K455" i="6" l="1"/>
  <c r="AI455" i="6"/>
  <c r="AL452" i="11"/>
  <c r="AI452" i="11"/>
  <c r="O456" i="6"/>
  <c r="R456" i="6"/>
  <c r="F456" i="6"/>
  <c r="G456" i="6" s="1"/>
  <c r="P453" i="11"/>
  <c r="E453" i="11" s="1"/>
  <c r="S452" i="11"/>
  <c r="H452" i="11" s="1"/>
  <c r="N452" i="11" s="1"/>
  <c r="Q453" i="11"/>
  <c r="D452" i="11"/>
  <c r="AL456" i="6" l="1"/>
  <c r="K452" i="11"/>
  <c r="Q457" i="6"/>
  <c r="D456" i="6"/>
  <c r="P457" i="6"/>
  <c r="E457" i="6" s="1"/>
  <c r="S456" i="6"/>
  <c r="H456" i="6" s="1"/>
  <c r="N456" i="6" s="1"/>
  <c r="O453" i="11"/>
  <c r="P454" i="11" s="1"/>
  <c r="E454" i="11" s="1"/>
  <c r="F453" i="11"/>
  <c r="G453" i="11" s="1"/>
  <c r="R453" i="11"/>
  <c r="K456" i="6" l="1"/>
  <c r="AL453" i="11"/>
  <c r="AI456" i="6"/>
  <c r="F457" i="6"/>
  <c r="G457" i="6" s="1"/>
  <c r="R457" i="6"/>
  <c r="O457" i="6"/>
  <c r="S453" i="11"/>
  <c r="H453" i="11" s="1"/>
  <c r="N453" i="11" s="1"/>
  <c r="D453" i="11"/>
  <c r="Q454" i="11"/>
  <c r="F454" i="11" s="1"/>
  <c r="G454" i="11" s="1"/>
  <c r="O454" i="11"/>
  <c r="K453" i="11" l="1"/>
  <c r="AI453" i="11"/>
  <c r="AL457" i="6"/>
  <c r="Q458" i="6"/>
  <c r="S457" i="6"/>
  <c r="H457" i="6" s="1"/>
  <c r="N457" i="6" s="1"/>
  <c r="D457" i="6"/>
  <c r="P458" i="6"/>
  <c r="E458" i="6" s="1"/>
  <c r="R454" i="11"/>
  <c r="P455" i="11"/>
  <c r="E455" i="11" s="1"/>
  <c r="Q455" i="11"/>
  <c r="S454" i="11"/>
  <c r="H454" i="11" s="1"/>
  <c r="N454" i="11" s="1"/>
  <c r="D454" i="11"/>
  <c r="AI457" i="6" l="1"/>
  <c r="K454" i="11"/>
  <c r="AL454" i="11"/>
  <c r="AI454" i="11"/>
  <c r="K457" i="6"/>
  <c r="O458" i="6"/>
  <c r="F458" i="6"/>
  <c r="G458" i="6" s="1"/>
  <c r="R458" i="6"/>
  <c r="F455" i="11"/>
  <c r="G455" i="11" s="1"/>
  <c r="R455" i="11"/>
  <c r="O455" i="11"/>
  <c r="AL458" i="6" l="1"/>
  <c r="AL455" i="11"/>
  <c r="S458" i="6"/>
  <c r="H458" i="6" s="1"/>
  <c r="N458" i="6" s="1"/>
  <c r="Q459" i="6"/>
  <c r="D458" i="6"/>
  <c r="P459" i="6"/>
  <c r="P456" i="11"/>
  <c r="E456" i="11" s="1"/>
  <c r="Q456" i="11"/>
  <c r="D455" i="11"/>
  <c r="S455" i="11"/>
  <c r="H455" i="11" s="1"/>
  <c r="N455" i="11" s="1"/>
  <c r="AI455" i="11" l="1"/>
  <c r="AI458" i="6"/>
  <c r="K455" i="11"/>
  <c r="K458" i="6"/>
  <c r="E459" i="6"/>
  <c r="O459" i="6"/>
  <c r="R459" i="6"/>
  <c r="F459" i="6"/>
  <c r="F456" i="11"/>
  <c r="G456" i="11" s="1"/>
  <c r="R456" i="11"/>
  <c r="O456" i="11"/>
  <c r="AL459" i="6" l="1"/>
  <c r="AL456" i="11"/>
  <c r="G459" i="6"/>
  <c r="P460" i="6"/>
  <c r="Q460" i="6"/>
  <c r="D459" i="6"/>
  <c r="S459" i="6"/>
  <c r="H459" i="6" s="1"/>
  <c r="N459" i="6" s="1"/>
  <c r="P457" i="11"/>
  <c r="E457" i="11" s="1"/>
  <c r="D456" i="11"/>
  <c r="Q457" i="11"/>
  <c r="S456" i="11"/>
  <c r="H456" i="11" s="1"/>
  <c r="N456" i="11" s="1"/>
  <c r="K459" i="6" l="1"/>
  <c r="K456" i="11"/>
  <c r="AI456" i="11"/>
  <c r="AI459" i="6"/>
  <c r="F460" i="6"/>
  <c r="R460" i="6"/>
  <c r="E460" i="6"/>
  <c r="O460" i="6"/>
  <c r="F457" i="11"/>
  <c r="G457" i="11" s="1"/>
  <c r="R457" i="11"/>
  <c r="O457" i="11"/>
  <c r="AL460" i="6" l="1"/>
  <c r="AL457" i="11"/>
  <c r="P461" i="6"/>
  <c r="E461" i="6" s="1"/>
  <c r="D460" i="6"/>
  <c r="Q461" i="6"/>
  <c r="S460" i="6"/>
  <c r="H460" i="6" s="1"/>
  <c r="N460" i="6" s="1"/>
  <c r="G460" i="6"/>
  <c r="P458" i="11"/>
  <c r="E458" i="11" s="1"/>
  <c r="Q458" i="11"/>
  <c r="D457" i="11"/>
  <c r="S457" i="11"/>
  <c r="H457" i="11" s="1"/>
  <c r="N457" i="11" s="1"/>
  <c r="AI460" i="6" l="1"/>
  <c r="AI457" i="11"/>
  <c r="K460" i="6"/>
  <c r="K457" i="11"/>
  <c r="O461" i="6"/>
  <c r="P462" i="6" s="1"/>
  <c r="E462" i="6" s="1"/>
  <c r="F461" i="6"/>
  <c r="G461" i="6" s="1"/>
  <c r="R461" i="6"/>
  <c r="F458" i="11"/>
  <c r="G458" i="11" s="1"/>
  <c r="R458" i="11"/>
  <c r="O458" i="11"/>
  <c r="AL458" i="11" l="1"/>
  <c r="AL461" i="6"/>
  <c r="Q462" i="6"/>
  <c r="F462" i="6" s="1"/>
  <c r="G462" i="6" s="1"/>
  <c r="D461" i="6"/>
  <c r="S461" i="6"/>
  <c r="H461" i="6" s="1"/>
  <c r="N461" i="6" s="1"/>
  <c r="O462" i="6"/>
  <c r="P463" i="6" s="1"/>
  <c r="E463" i="6" s="1"/>
  <c r="P459" i="11"/>
  <c r="E459" i="11" s="1"/>
  <c r="Q459" i="11"/>
  <c r="S458" i="11"/>
  <c r="H458" i="11" s="1"/>
  <c r="N458" i="11" s="1"/>
  <c r="D458" i="11"/>
  <c r="K461" i="6" l="1"/>
  <c r="AI461" i="6"/>
  <c r="K458" i="11"/>
  <c r="AI458" i="11"/>
  <c r="Q463" i="6"/>
  <c r="R463" i="6" s="1"/>
  <c r="D462" i="6"/>
  <c r="R462" i="6"/>
  <c r="S462" i="6"/>
  <c r="H462" i="6" s="1"/>
  <c r="N462" i="6" s="1"/>
  <c r="O463" i="6"/>
  <c r="F459" i="11"/>
  <c r="G459" i="11" s="1"/>
  <c r="R459" i="11"/>
  <c r="O459" i="11"/>
  <c r="F463" i="6" l="1"/>
  <c r="G463" i="6" s="1"/>
  <c r="AL463" i="6"/>
  <c r="K462" i="6"/>
  <c r="AL462" i="6"/>
  <c r="AI462" i="6"/>
  <c r="AL459" i="11"/>
  <c r="D463" i="6"/>
  <c r="P464" i="6"/>
  <c r="E464" i="6" s="1"/>
  <c r="Q464" i="6"/>
  <c r="S463" i="6"/>
  <c r="H463" i="6" s="1"/>
  <c r="N463" i="6" s="1"/>
  <c r="P460" i="11"/>
  <c r="E460" i="11" s="1"/>
  <c r="D459" i="11"/>
  <c r="Q460" i="11"/>
  <c r="S459" i="11"/>
  <c r="H459" i="11" s="1"/>
  <c r="N459" i="11" s="1"/>
  <c r="K459" i="11" l="1"/>
  <c r="K463" i="6"/>
  <c r="AI463" i="6"/>
  <c r="AI459" i="11"/>
  <c r="F464" i="6"/>
  <c r="G464" i="6" s="1"/>
  <c r="R464" i="6"/>
  <c r="O460" i="11"/>
  <c r="F460" i="11"/>
  <c r="G460" i="11" s="1"/>
  <c r="R460" i="11"/>
  <c r="O464" i="6"/>
  <c r="AL464" i="6" l="1"/>
  <c r="AL460" i="11"/>
  <c r="P461" i="11"/>
  <c r="E461" i="11" s="1"/>
  <c r="D460" i="11"/>
  <c r="Q461" i="11"/>
  <c r="S460" i="11"/>
  <c r="H460" i="11" s="1"/>
  <c r="N460" i="11" s="1"/>
  <c r="P465" i="6"/>
  <c r="E465" i="6" s="1"/>
  <c r="D464" i="6"/>
  <c r="Q465" i="6"/>
  <c r="S464" i="6"/>
  <c r="H464" i="6" s="1"/>
  <c r="N464" i="6" s="1"/>
  <c r="AI460" i="11" l="1"/>
  <c r="K464" i="6"/>
  <c r="AI464" i="6"/>
  <c r="K460" i="11"/>
  <c r="F461" i="11"/>
  <c r="G461" i="11" s="1"/>
  <c r="R461" i="11"/>
  <c r="O465" i="6"/>
  <c r="F465" i="6"/>
  <c r="G465" i="6" s="1"/>
  <c r="R465" i="6"/>
  <c r="O461" i="11"/>
  <c r="AL465" i="6" l="1"/>
  <c r="AL461" i="11"/>
  <c r="Q466" i="6"/>
  <c r="D465" i="6"/>
  <c r="S465" i="6"/>
  <c r="H465" i="6" s="1"/>
  <c r="N465" i="6" s="1"/>
  <c r="P466" i="6"/>
  <c r="E466" i="6" s="1"/>
  <c r="P462" i="11"/>
  <c r="E462" i="11" s="1"/>
  <c r="Q462" i="11"/>
  <c r="D461" i="11"/>
  <c r="S461" i="11"/>
  <c r="H461" i="11" s="1"/>
  <c r="N461" i="11" s="1"/>
  <c r="K465" i="6" l="1"/>
  <c r="AI461" i="11"/>
  <c r="K461" i="11"/>
  <c r="AI465" i="6"/>
  <c r="F462" i="11"/>
  <c r="G462" i="11" s="1"/>
  <c r="R462" i="11"/>
  <c r="O462" i="11"/>
  <c r="O466" i="6"/>
  <c r="F466" i="6"/>
  <c r="G466" i="6" s="1"/>
  <c r="R466" i="6"/>
  <c r="AL462" i="11" l="1"/>
  <c r="AL466" i="6"/>
  <c r="P467" i="6"/>
  <c r="E467" i="6" s="1"/>
  <c r="Q467" i="6"/>
  <c r="S466" i="6"/>
  <c r="H466" i="6" s="1"/>
  <c r="N466" i="6" s="1"/>
  <c r="D466" i="6"/>
  <c r="P463" i="11"/>
  <c r="E463" i="11" s="1"/>
  <c r="Q463" i="11"/>
  <c r="D462" i="11"/>
  <c r="S462" i="11"/>
  <c r="H462" i="11" s="1"/>
  <c r="N462" i="11" s="1"/>
  <c r="AI466" i="6" l="1"/>
  <c r="K462" i="11"/>
  <c r="AI462" i="11"/>
  <c r="K466" i="6"/>
  <c r="F463" i="11"/>
  <c r="G463" i="11" s="1"/>
  <c r="R463" i="11"/>
  <c r="F467" i="6"/>
  <c r="G467" i="6" s="1"/>
  <c r="R467" i="6"/>
  <c r="O463" i="11"/>
  <c r="O467" i="6"/>
  <c r="AL467" i="6" l="1"/>
  <c r="AL463" i="11"/>
  <c r="P468" i="6"/>
  <c r="E468" i="6" s="1"/>
  <c r="Q468" i="6"/>
  <c r="D467" i="6"/>
  <c r="S467" i="6"/>
  <c r="H467" i="6" s="1"/>
  <c r="N467" i="6" s="1"/>
  <c r="P464" i="11"/>
  <c r="E464" i="11" s="1"/>
  <c r="D463" i="11"/>
  <c r="Q464" i="11"/>
  <c r="S463" i="11"/>
  <c r="H463" i="11" s="1"/>
  <c r="N463" i="11" s="1"/>
  <c r="K463" i="11" l="1"/>
  <c r="AI463" i="11"/>
  <c r="AI467" i="6"/>
  <c r="K467" i="6"/>
  <c r="O468" i="6"/>
  <c r="P469" i="6" s="1"/>
  <c r="E469" i="6" s="1"/>
  <c r="O464" i="11"/>
  <c r="F468" i="6"/>
  <c r="G468" i="6" s="1"/>
  <c r="R468" i="6"/>
  <c r="F464" i="11"/>
  <c r="G464" i="11" s="1"/>
  <c r="R464" i="11"/>
  <c r="AL468" i="6" l="1"/>
  <c r="AL464" i="11"/>
  <c r="D468" i="6"/>
  <c r="Q469" i="6"/>
  <c r="R469" i="6" s="1"/>
  <c r="S468" i="6"/>
  <c r="H468" i="6" s="1"/>
  <c r="N468" i="6" s="1"/>
  <c r="O469" i="6"/>
  <c r="P465" i="11"/>
  <c r="E465" i="11" s="1"/>
  <c r="D464" i="11"/>
  <c r="Q465" i="11"/>
  <c r="S464" i="11"/>
  <c r="H464" i="11" s="1"/>
  <c r="N464" i="11" s="1"/>
  <c r="K468" i="6" l="1"/>
  <c r="K464" i="11"/>
  <c r="AI468" i="6"/>
  <c r="AL469" i="6"/>
  <c r="AI469" i="6"/>
  <c r="AI464" i="11"/>
  <c r="F469" i="6"/>
  <c r="G469" i="6" s="1"/>
  <c r="K469" i="6" s="1"/>
  <c r="O465" i="11"/>
  <c r="F465" i="11"/>
  <c r="G465" i="11" s="1"/>
  <c r="R465" i="11"/>
  <c r="Q470" i="6"/>
  <c r="S469" i="6"/>
  <c r="H469" i="6" s="1"/>
  <c r="N469" i="6" s="1"/>
  <c r="P470" i="6"/>
  <c r="E470" i="6" s="1"/>
  <c r="D469" i="6"/>
  <c r="AL465" i="11" l="1"/>
  <c r="O470" i="6"/>
  <c r="P471" i="6" s="1"/>
  <c r="E471" i="6" s="1"/>
  <c r="F470" i="6"/>
  <c r="G470" i="6" s="1"/>
  <c r="R470" i="6"/>
  <c r="P466" i="11"/>
  <c r="E466" i="11" s="1"/>
  <c r="Q466" i="11"/>
  <c r="S465" i="11"/>
  <c r="H465" i="11" s="1"/>
  <c r="N465" i="11" s="1"/>
  <c r="D465" i="11"/>
  <c r="AI465" i="11" l="1"/>
  <c r="AL470" i="6"/>
  <c r="K465" i="11"/>
  <c r="D470" i="6"/>
  <c r="S470" i="6"/>
  <c r="H470" i="6" s="1"/>
  <c r="N470" i="6" s="1"/>
  <c r="Q471" i="6"/>
  <c r="R471" i="6" s="1"/>
  <c r="O471" i="6"/>
  <c r="D471" i="6" s="1"/>
  <c r="F466" i="11"/>
  <c r="G466" i="11" s="1"/>
  <c r="R466" i="11"/>
  <c r="O466" i="11"/>
  <c r="K470" i="6" l="1"/>
  <c r="AL471" i="6"/>
  <c r="AL466" i="11"/>
  <c r="AI470" i="6"/>
  <c r="Q472" i="6"/>
  <c r="F472" i="6" s="1"/>
  <c r="P472" i="6"/>
  <c r="E472" i="6" s="1"/>
  <c r="S471" i="6"/>
  <c r="H471" i="6" s="1"/>
  <c r="N471" i="6" s="1"/>
  <c r="F471" i="6"/>
  <c r="G471" i="6" s="1"/>
  <c r="P467" i="11"/>
  <c r="E467" i="11" s="1"/>
  <c r="Q467" i="11"/>
  <c r="D466" i="11"/>
  <c r="S466" i="11"/>
  <c r="H466" i="11" s="1"/>
  <c r="N466" i="11" s="1"/>
  <c r="AI471" i="6" l="1"/>
  <c r="K471" i="6"/>
  <c r="K466" i="11"/>
  <c r="AI466" i="11"/>
  <c r="R472" i="6"/>
  <c r="G472" i="6"/>
  <c r="O472" i="6"/>
  <c r="Q473" i="6" s="1"/>
  <c r="O467" i="11"/>
  <c r="F467" i="11"/>
  <c r="G467" i="11" s="1"/>
  <c r="R467" i="11"/>
  <c r="AL467" i="11" l="1"/>
  <c r="AL472" i="6"/>
  <c r="S472" i="6"/>
  <c r="H472" i="6" s="1"/>
  <c r="N472" i="6" s="1"/>
  <c r="P473" i="6"/>
  <c r="E473" i="6" s="1"/>
  <c r="D472" i="6"/>
  <c r="F473" i="6"/>
  <c r="P468" i="11"/>
  <c r="E468" i="11" s="1"/>
  <c r="Q468" i="11"/>
  <c r="D467" i="11"/>
  <c r="S467" i="11"/>
  <c r="H467" i="11" s="1"/>
  <c r="N467" i="11" s="1"/>
  <c r="AI472" i="6" l="1"/>
  <c r="K472" i="6"/>
  <c r="AI467" i="11"/>
  <c r="K467" i="11"/>
  <c r="O473" i="6"/>
  <c r="D473" i="6" s="1"/>
  <c r="R473" i="6"/>
  <c r="G473" i="6"/>
  <c r="F468" i="11"/>
  <c r="G468" i="11" s="1"/>
  <c r="R468" i="11"/>
  <c r="O468" i="11"/>
  <c r="AL473" i="6" l="1"/>
  <c r="AL468" i="11"/>
  <c r="AI468" i="11"/>
  <c r="Q474" i="6"/>
  <c r="F474" i="6" s="1"/>
  <c r="P474" i="6"/>
  <c r="E474" i="6" s="1"/>
  <c r="S473" i="6"/>
  <c r="H473" i="6" s="1"/>
  <c r="N473" i="6" s="1"/>
  <c r="P469" i="11"/>
  <c r="E469" i="11" s="1"/>
  <c r="S468" i="11"/>
  <c r="H468" i="11" s="1"/>
  <c r="N468" i="11" s="1"/>
  <c r="Q469" i="11"/>
  <c r="D468" i="11"/>
  <c r="AI473" i="6" l="1"/>
  <c r="K473" i="6"/>
  <c r="K468" i="11"/>
  <c r="G474" i="6"/>
  <c r="O474" i="6"/>
  <c r="S474" i="6" s="1"/>
  <c r="H474" i="6" s="1"/>
  <c r="N474" i="6" s="1"/>
  <c r="R474" i="6"/>
  <c r="F469" i="11"/>
  <c r="G469" i="11" s="1"/>
  <c r="R469" i="11"/>
  <c r="O469" i="11"/>
  <c r="AL469" i="11" l="1"/>
  <c r="AL474" i="6"/>
  <c r="AI474" i="6"/>
  <c r="K474" i="6"/>
  <c r="P475" i="6"/>
  <c r="E475" i="6" s="1"/>
  <c r="Q475" i="6"/>
  <c r="F475" i="6" s="1"/>
  <c r="D474" i="6"/>
  <c r="P470" i="11"/>
  <c r="E470" i="11" s="1"/>
  <c r="Q470" i="11"/>
  <c r="S469" i="11"/>
  <c r="H469" i="11" s="1"/>
  <c r="N469" i="11" s="1"/>
  <c r="D469" i="11"/>
  <c r="K469" i="11" l="1"/>
  <c r="AI469" i="11"/>
  <c r="R475" i="6"/>
  <c r="G475" i="6"/>
  <c r="O475" i="6"/>
  <c r="P476" i="6" s="1"/>
  <c r="E476" i="6" s="1"/>
  <c r="F470" i="11"/>
  <c r="G470" i="11" s="1"/>
  <c r="R470" i="11"/>
  <c r="O470" i="11"/>
  <c r="AL470" i="11" l="1"/>
  <c r="AL475" i="6"/>
  <c r="S475" i="6"/>
  <c r="H475" i="6" s="1"/>
  <c r="N475" i="6" s="1"/>
  <c r="D475" i="6"/>
  <c r="Q476" i="6"/>
  <c r="F476" i="6" s="1"/>
  <c r="G476" i="6" s="1"/>
  <c r="P471" i="11"/>
  <c r="E471" i="11" s="1"/>
  <c r="Q471" i="11"/>
  <c r="S470" i="11"/>
  <c r="H470" i="11" s="1"/>
  <c r="N470" i="11" s="1"/>
  <c r="D470" i="11"/>
  <c r="O476" i="6"/>
  <c r="K475" i="6" l="1"/>
  <c r="AI470" i="11"/>
  <c r="AI475" i="6"/>
  <c r="K476" i="6"/>
  <c r="K470" i="11"/>
  <c r="R476" i="6"/>
  <c r="P477" i="6"/>
  <c r="E477" i="6" s="1"/>
  <c r="D476" i="6"/>
  <c r="Q477" i="6"/>
  <c r="S476" i="6"/>
  <c r="H476" i="6" s="1"/>
  <c r="N476" i="6" s="1"/>
  <c r="F471" i="11"/>
  <c r="G471" i="11" s="1"/>
  <c r="R471" i="11"/>
  <c r="O471" i="11"/>
  <c r="AL476" i="6" l="1"/>
  <c r="AI476" i="6"/>
  <c r="AL471" i="11"/>
  <c r="F477" i="6"/>
  <c r="G477" i="6" s="1"/>
  <c r="R477" i="6"/>
  <c r="O477" i="6"/>
  <c r="P472" i="11"/>
  <c r="E472" i="11" s="1"/>
  <c r="Q472" i="11"/>
  <c r="D471" i="11"/>
  <c r="S471" i="11"/>
  <c r="H471" i="11" s="1"/>
  <c r="N471" i="11" s="1"/>
  <c r="K471" i="11" l="1"/>
  <c r="AL477" i="6"/>
  <c r="AI471" i="11"/>
  <c r="K477" i="6"/>
  <c r="F472" i="11"/>
  <c r="G472" i="11" s="1"/>
  <c r="R472" i="11"/>
  <c r="Q478" i="6"/>
  <c r="S477" i="6"/>
  <c r="H477" i="6" s="1"/>
  <c r="N477" i="6" s="1"/>
  <c r="P478" i="6"/>
  <c r="E478" i="6" s="1"/>
  <c r="D477" i="6"/>
  <c r="O472" i="11"/>
  <c r="AI477" i="6" l="1"/>
  <c r="AL472" i="11"/>
  <c r="P473" i="11"/>
  <c r="E473" i="11" s="1"/>
  <c r="D472" i="11"/>
  <c r="Q473" i="11"/>
  <c r="S472" i="11"/>
  <c r="H472" i="11" s="1"/>
  <c r="N472" i="11" s="1"/>
  <c r="O478" i="6"/>
  <c r="F478" i="6"/>
  <c r="G478" i="6" s="1"/>
  <c r="R478" i="6"/>
  <c r="AI472" i="11" l="1"/>
  <c r="AL478" i="6"/>
  <c r="K472" i="11"/>
  <c r="F473" i="11"/>
  <c r="G473" i="11" s="1"/>
  <c r="R473" i="11"/>
  <c r="P479" i="6"/>
  <c r="E479" i="6" s="1"/>
  <c r="Q479" i="6"/>
  <c r="S478" i="6"/>
  <c r="H478" i="6" s="1"/>
  <c r="N478" i="6" s="1"/>
  <c r="D478" i="6"/>
  <c r="O473" i="11"/>
  <c r="AI478" i="6" l="1"/>
  <c r="AL473" i="11"/>
  <c r="K478" i="6"/>
  <c r="P474" i="11"/>
  <c r="E474" i="11" s="1"/>
  <c r="Q474" i="11"/>
  <c r="D473" i="11"/>
  <c r="S473" i="11"/>
  <c r="H473" i="11" s="1"/>
  <c r="N473" i="11" s="1"/>
  <c r="O479" i="6"/>
  <c r="F479" i="6"/>
  <c r="G479" i="6" s="1"/>
  <c r="R479" i="6"/>
  <c r="AI473" i="11" l="1"/>
  <c r="AL479" i="6"/>
  <c r="K473" i="11"/>
  <c r="F474" i="11"/>
  <c r="G474" i="11" s="1"/>
  <c r="R474" i="11"/>
  <c r="D479" i="6"/>
  <c r="P480" i="6"/>
  <c r="E480" i="6" s="1"/>
  <c r="Q480" i="6"/>
  <c r="S479" i="6"/>
  <c r="H479" i="6" s="1"/>
  <c r="N479" i="6" s="1"/>
  <c r="O474" i="11"/>
  <c r="AL474" i="11" l="1"/>
  <c r="AI479" i="6"/>
  <c r="K479" i="6"/>
  <c r="P475" i="11"/>
  <c r="E475" i="11" s="1"/>
  <c r="Q475" i="11"/>
  <c r="S474" i="11"/>
  <c r="H474" i="11" s="1"/>
  <c r="N474" i="11" s="1"/>
  <c r="D474" i="11"/>
  <c r="O480" i="6"/>
  <c r="F480" i="6"/>
  <c r="G480" i="6" s="1"/>
  <c r="R480" i="6"/>
  <c r="K474" i="11" l="1"/>
  <c r="AL480" i="6"/>
  <c r="AI474" i="11"/>
  <c r="K480" i="6"/>
  <c r="F475" i="11"/>
  <c r="G475" i="11" s="1"/>
  <c r="R475" i="11"/>
  <c r="P481" i="6"/>
  <c r="E481" i="6" s="1"/>
  <c r="S480" i="6"/>
  <c r="H480" i="6" s="1"/>
  <c r="N480" i="6" s="1"/>
  <c r="Q481" i="6"/>
  <c r="D480" i="6"/>
  <c r="O475" i="11"/>
  <c r="AI480" i="6" l="1"/>
  <c r="AL475" i="11"/>
  <c r="P476" i="11"/>
  <c r="E476" i="11" s="1"/>
  <c r="D475" i="11"/>
  <c r="Q476" i="11"/>
  <c r="S475" i="11"/>
  <c r="H475" i="11" s="1"/>
  <c r="N475" i="11" s="1"/>
  <c r="F481" i="6"/>
  <c r="G481" i="6" s="1"/>
  <c r="R481" i="6"/>
  <c r="O481" i="6"/>
  <c r="K475" i="11" l="1"/>
  <c r="AI475" i="11"/>
  <c r="AL481" i="6"/>
  <c r="AI481" i="6"/>
  <c r="F476" i="11"/>
  <c r="G476" i="11" s="1"/>
  <c r="R476" i="11"/>
  <c r="Q482" i="6"/>
  <c r="D481" i="6"/>
  <c r="S481" i="6"/>
  <c r="H481" i="6" s="1"/>
  <c r="N481" i="6" s="1"/>
  <c r="P482" i="6"/>
  <c r="E482" i="6" s="1"/>
  <c r="O476" i="11"/>
  <c r="AL476" i="11" l="1"/>
  <c r="K481" i="6"/>
  <c r="F482" i="6"/>
  <c r="G482" i="6" s="1"/>
  <c r="R482" i="6"/>
  <c r="P477" i="11"/>
  <c r="E477" i="11" s="1"/>
  <c r="S476" i="11"/>
  <c r="H476" i="11" s="1"/>
  <c r="N476" i="11" s="1"/>
  <c r="Q477" i="11"/>
  <c r="D476" i="11"/>
  <c r="O482" i="6"/>
  <c r="AI476" i="11" l="1"/>
  <c r="AL482" i="6"/>
  <c r="K476" i="11"/>
  <c r="O477" i="11"/>
  <c r="P483" i="6"/>
  <c r="E483" i="6" s="1"/>
  <c r="Q483" i="6"/>
  <c r="S482" i="6"/>
  <c r="H482" i="6" s="1"/>
  <c r="N482" i="6" s="1"/>
  <c r="D482" i="6"/>
  <c r="F477" i="11"/>
  <c r="G477" i="11" s="1"/>
  <c r="R477" i="11"/>
  <c r="AI482" i="6" l="1"/>
  <c r="AL477" i="11"/>
  <c r="K482" i="6"/>
  <c r="F483" i="6"/>
  <c r="G483" i="6" s="1"/>
  <c r="R483" i="6"/>
  <c r="O483" i="6"/>
  <c r="P478" i="11"/>
  <c r="E478" i="11" s="1"/>
  <c r="Q478" i="11"/>
  <c r="S477" i="11"/>
  <c r="H477" i="11" s="1"/>
  <c r="N477" i="11" s="1"/>
  <c r="D477" i="11"/>
  <c r="AI477" i="11" l="1"/>
  <c r="AL483" i="6"/>
  <c r="K477" i="11"/>
  <c r="D483" i="6"/>
  <c r="P484" i="6"/>
  <c r="E484" i="6" s="1"/>
  <c r="Q484" i="6"/>
  <c r="S483" i="6"/>
  <c r="H483" i="6" s="1"/>
  <c r="N483" i="6" s="1"/>
  <c r="F478" i="11"/>
  <c r="G478" i="11" s="1"/>
  <c r="R478" i="11"/>
  <c r="O478" i="11"/>
  <c r="AI483" i="6" l="1"/>
  <c r="AL478" i="11"/>
  <c r="K483" i="6"/>
  <c r="F484" i="6"/>
  <c r="G484" i="6" s="1"/>
  <c r="R484" i="6"/>
  <c r="Q479" i="11"/>
  <c r="D478" i="11"/>
  <c r="P479" i="11"/>
  <c r="E479" i="11" s="1"/>
  <c r="S478" i="11"/>
  <c r="H478" i="11" s="1"/>
  <c r="N478" i="11" s="1"/>
  <c r="O484" i="6"/>
  <c r="AL484" i="6" l="1"/>
  <c r="K478" i="11"/>
  <c r="AI478" i="11"/>
  <c r="P485" i="6"/>
  <c r="E485" i="6" s="1"/>
  <c r="D484" i="6"/>
  <c r="Q485" i="6"/>
  <c r="S484" i="6"/>
  <c r="H484" i="6" s="1"/>
  <c r="N484" i="6" s="1"/>
  <c r="O479" i="11"/>
  <c r="F479" i="11"/>
  <c r="G479" i="11" s="1"/>
  <c r="R479" i="11"/>
  <c r="AI484" i="6" l="1"/>
  <c r="AL479" i="11"/>
  <c r="K484" i="6"/>
  <c r="F485" i="6"/>
  <c r="G485" i="6" s="1"/>
  <c r="R485" i="6"/>
  <c r="P480" i="11"/>
  <c r="E480" i="11" s="1"/>
  <c r="Q480" i="11"/>
  <c r="D479" i="11"/>
  <c r="S479" i="11"/>
  <c r="H479" i="11" s="1"/>
  <c r="N479" i="11" s="1"/>
  <c r="O485" i="6"/>
  <c r="AL485" i="6" l="1"/>
  <c r="K479" i="11"/>
  <c r="AI479" i="11"/>
  <c r="Q486" i="6"/>
  <c r="S485" i="6"/>
  <c r="H485" i="6" s="1"/>
  <c r="N485" i="6" s="1"/>
  <c r="P486" i="6"/>
  <c r="E486" i="6" s="1"/>
  <c r="D485" i="6"/>
  <c r="F480" i="11"/>
  <c r="G480" i="11" s="1"/>
  <c r="R480" i="11"/>
  <c r="O480" i="11"/>
  <c r="K485" i="6" l="1"/>
  <c r="AI485" i="6"/>
  <c r="AL480" i="11"/>
  <c r="Q481" i="11"/>
  <c r="P481" i="11"/>
  <c r="E481" i="11" s="1"/>
  <c r="S480" i="11"/>
  <c r="H480" i="11" s="1"/>
  <c r="N480" i="11" s="1"/>
  <c r="D480" i="11"/>
  <c r="O486" i="6"/>
  <c r="F486" i="6"/>
  <c r="G486" i="6" s="1"/>
  <c r="R486" i="6"/>
  <c r="AL486" i="6" l="1"/>
  <c r="K480" i="11"/>
  <c r="AI480" i="11"/>
  <c r="F481" i="11"/>
  <c r="G481" i="11" s="1"/>
  <c r="R481" i="11"/>
  <c r="P487" i="6"/>
  <c r="E487" i="6" s="1"/>
  <c r="Q487" i="6"/>
  <c r="D486" i="6"/>
  <c r="S486" i="6"/>
  <c r="H486" i="6" s="1"/>
  <c r="N486" i="6" s="1"/>
  <c r="O481" i="11"/>
  <c r="AI486" i="6" l="1"/>
  <c r="AL481" i="11"/>
  <c r="K486" i="6"/>
  <c r="O487" i="6"/>
  <c r="S481" i="11"/>
  <c r="H481" i="11" s="1"/>
  <c r="N481" i="11" s="1"/>
  <c r="P482" i="11"/>
  <c r="E482" i="11" s="1"/>
  <c r="Q482" i="11"/>
  <c r="D481" i="11"/>
  <c r="F487" i="6"/>
  <c r="G487" i="6" s="1"/>
  <c r="R487" i="6"/>
  <c r="AI481" i="11" l="1"/>
  <c r="AL487" i="6"/>
  <c r="K481" i="11"/>
  <c r="O482" i="11"/>
  <c r="F482" i="11"/>
  <c r="G482" i="11" s="1"/>
  <c r="R482" i="11"/>
  <c r="D487" i="6"/>
  <c r="P488" i="6"/>
  <c r="E488" i="6" s="1"/>
  <c r="Q488" i="6"/>
  <c r="S487" i="6"/>
  <c r="H487" i="6" s="1"/>
  <c r="N487" i="6" s="1"/>
  <c r="K487" i="6" l="1"/>
  <c r="AI487" i="6"/>
  <c r="AL482" i="11"/>
  <c r="AI482" i="11"/>
  <c r="O488" i="6"/>
  <c r="F488" i="6"/>
  <c r="G488" i="6" s="1"/>
  <c r="R488" i="6"/>
  <c r="Q483" i="11"/>
  <c r="S482" i="11"/>
  <c r="H482" i="11" s="1"/>
  <c r="N482" i="11" s="1"/>
  <c r="D482" i="11"/>
  <c r="P483" i="11"/>
  <c r="E483" i="11" s="1"/>
  <c r="AL488" i="6" l="1"/>
  <c r="K482" i="11"/>
  <c r="O483" i="11"/>
  <c r="F483" i="11"/>
  <c r="G483" i="11" s="1"/>
  <c r="R483" i="11"/>
  <c r="P489" i="6"/>
  <c r="E489" i="6" s="1"/>
  <c r="D488" i="6"/>
  <c r="Q489" i="6"/>
  <c r="S488" i="6"/>
  <c r="H488" i="6" s="1"/>
  <c r="N488" i="6" s="1"/>
  <c r="AL483" i="11" l="1"/>
  <c r="K488" i="6"/>
  <c r="AI488" i="6"/>
  <c r="F489" i="6"/>
  <c r="G489" i="6" s="1"/>
  <c r="R489" i="6"/>
  <c r="O489" i="6"/>
  <c r="P484" i="11"/>
  <c r="E484" i="11" s="1"/>
  <c r="Q484" i="11"/>
  <c r="S483" i="11"/>
  <c r="H483" i="11" s="1"/>
  <c r="N483" i="11" s="1"/>
  <c r="D483" i="11"/>
  <c r="K483" i="11" l="1"/>
  <c r="AI483" i="11"/>
  <c r="AL489" i="6"/>
  <c r="Q490" i="6"/>
  <c r="S489" i="6"/>
  <c r="H489" i="6" s="1"/>
  <c r="N489" i="6" s="1"/>
  <c r="P490" i="6"/>
  <c r="E490" i="6" s="1"/>
  <c r="D489" i="6"/>
  <c r="O484" i="11"/>
  <c r="F484" i="11"/>
  <c r="G484" i="11" s="1"/>
  <c r="R484" i="11"/>
  <c r="AL484" i="11" l="1"/>
  <c r="AI489" i="6"/>
  <c r="K489" i="6"/>
  <c r="Q485" i="11"/>
  <c r="D484" i="11"/>
  <c r="P485" i="11"/>
  <c r="E485" i="11" s="1"/>
  <c r="S484" i="11"/>
  <c r="H484" i="11" s="1"/>
  <c r="N484" i="11" s="1"/>
  <c r="O490" i="6"/>
  <c r="F490" i="6"/>
  <c r="G490" i="6" s="1"/>
  <c r="R490" i="6"/>
  <c r="K484" i="11" l="1"/>
  <c r="AL490" i="6"/>
  <c r="AI490" i="6"/>
  <c r="AI484" i="11"/>
  <c r="F485" i="11"/>
  <c r="G485" i="11" s="1"/>
  <c r="R485" i="11"/>
  <c r="P491" i="6"/>
  <c r="E491" i="6" s="1"/>
  <c r="Q491" i="6"/>
  <c r="S490" i="6"/>
  <c r="H490" i="6" s="1"/>
  <c r="N490" i="6" s="1"/>
  <c r="D490" i="6"/>
  <c r="O485" i="11"/>
  <c r="AL485" i="11" l="1"/>
  <c r="K490" i="6"/>
  <c r="O491" i="6"/>
  <c r="P486" i="11"/>
  <c r="E486" i="11" s="1"/>
  <c r="D485" i="11"/>
  <c r="Q486" i="11"/>
  <c r="S485" i="11"/>
  <c r="H485" i="11" s="1"/>
  <c r="N485" i="11" s="1"/>
  <c r="F491" i="6"/>
  <c r="G491" i="6" s="1"/>
  <c r="R491" i="6"/>
  <c r="AL491" i="6" l="1"/>
  <c r="K485" i="11"/>
  <c r="AI485" i="11"/>
  <c r="O486" i="11"/>
  <c r="F486" i="11"/>
  <c r="G486" i="11" s="1"/>
  <c r="R486" i="11"/>
  <c r="P492" i="6"/>
  <c r="E492" i="6" s="1"/>
  <c r="Q492" i="6"/>
  <c r="D491" i="6"/>
  <c r="S491" i="6"/>
  <c r="H491" i="6" s="1"/>
  <c r="N491" i="6" s="1"/>
  <c r="K491" i="6" l="1"/>
  <c r="AL486" i="11"/>
  <c r="AI491" i="6"/>
  <c r="O492" i="6"/>
  <c r="F492" i="6"/>
  <c r="G492" i="6" s="1"/>
  <c r="R492" i="6"/>
  <c r="Q487" i="11"/>
  <c r="D486" i="11"/>
  <c r="S486" i="11"/>
  <c r="H486" i="11" s="1"/>
  <c r="N486" i="11" s="1"/>
  <c r="P487" i="11"/>
  <c r="E487" i="11" s="1"/>
  <c r="AL492" i="6" l="1"/>
  <c r="AI486" i="11"/>
  <c r="K486" i="11"/>
  <c r="O487" i="11"/>
  <c r="F487" i="11"/>
  <c r="G487" i="11" s="1"/>
  <c r="R487" i="11"/>
  <c r="P493" i="6"/>
  <c r="E493" i="6" s="1"/>
  <c r="S492" i="6"/>
  <c r="H492" i="6" s="1"/>
  <c r="N492" i="6" s="1"/>
  <c r="Q493" i="6"/>
  <c r="D492" i="6"/>
  <c r="AL487" i="11" l="1"/>
  <c r="AI492" i="6"/>
  <c r="K492" i="6"/>
  <c r="F493" i="6"/>
  <c r="G493" i="6" s="1"/>
  <c r="R493" i="6"/>
  <c r="O493" i="6"/>
  <c r="P488" i="11"/>
  <c r="E488" i="11" s="1"/>
  <c r="Q488" i="11"/>
  <c r="S487" i="11"/>
  <c r="H487" i="11" s="1"/>
  <c r="N487" i="11" s="1"/>
  <c r="D487" i="11"/>
  <c r="AL493" i="6" l="1"/>
  <c r="K487" i="11"/>
  <c r="AI487" i="11"/>
  <c r="Q494" i="6"/>
  <c r="D493" i="6"/>
  <c r="S493" i="6"/>
  <c r="H493" i="6" s="1"/>
  <c r="N493" i="6" s="1"/>
  <c r="P494" i="6"/>
  <c r="E494" i="6" s="1"/>
  <c r="O488" i="11"/>
  <c r="F488" i="11"/>
  <c r="G488" i="11" s="1"/>
  <c r="R488" i="11"/>
  <c r="AL488" i="11" l="1"/>
  <c r="K493" i="6"/>
  <c r="AI493" i="6"/>
  <c r="D488" i="11"/>
  <c r="Q489" i="11"/>
  <c r="S488" i="11"/>
  <c r="H488" i="11" s="1"/>
  <c r="N488" i="11" s="1"/>
  <c r="P489" i="11"/>
  <c r="E489" i="11" s="1"/>
  <c r="O494" i="6"/>
  <c r="F494" i="6"/>
  <c r="G494" i="6" s="1"/>
  <c r="R494" i="6"/>
  <c r="K488" i="11" l="1"/>
  <c r="AI488" i="11"/>
  <c r="AL494" i="6"/>
  <c r="AI494" i="6"/>
  <c r="F489" i="11"/>
  <c r="G489" i="11" s="1"/>
  <c r="R489" i="11"/>
  <c r="P495" i="6"/>
  <c r="E495" i="6" s="1"/>
  <c r="Q495" i="6"/>
  <c r="S494" i="6"/>
  <c r="H494" i="6" s="1"/>
  <c r="N494" i="6" s="1"/>
  <c r="D494" i="6"/>
  <c r="O489" i="11"/>
  <c r="AL489" i="11" l="1"/>
  <c r="K494" i="6"/>
  <c r="P490" i="11"/>
  <c r="E490" i="11" s="1"/>
  <c r="D489" i="11"/>
  <c r="Q490" i="11"/>
  <c r="S489" i="11"/>
  <c r="H489" i="11" s="1"/>
  <c r="N489" i="11" s="1"/>
  <c r="O495" i="6"/>
  <c r="F495" i="6"/>
  <c r="G495" i="6" s="1"/>
  <c r="R495" i="6"/>
  <c r="AI489" i="11" l="1"/>
  <c r="AL495" i="6"/>
  <c r="K489" i="11"/>
  <c r="O490" i="11"/>
  <c r="F490" i="11"/>
  <c r="G490" i="11" s="1"/>
  <c r="R490" i="11"/>
  <c r="P496" i="6"/>
  <c r="E496" i="6" s="1"/>
  <c r="Q496" i="6"/>
  <c r="D495" i="6"/>
  <c r="S495" i="6"/>
  <c r="H495" i="6" s="1"/>
  <c r="N495" i="6" s="1"/>
  <c r="AI495" i="6" l="1"/>
  <c r="AL490" i="11"/>
  <c r="AI490" i="11"/>
  <c r="K495" i="6"/>
  <c r="O496" i="6"/>
  <c r="F496" i="6"/>
  <c r="G496" i="6" s="1"/>
  <c r="R496" i="6"/>
  <c r="Q491" i="11"/>
  <c r="S490" i="11"/>
  <c r="H490" i="11" s="1"/>
  <c r="N490" i="11" s="1"/>
  <c r="D490" i="11"/>
  <c r="P491" i="11"/>
  <c r="E491" i="11" s="1"/>
  <c r="AL496" i="6" l="1"/>
  <c r="K490" i="11"/>
  <c r="O491" i="11"/>
  <c r="F491" i="11"/>
  <c r="G491" i="11" s="1"/>
  <c r="R491" i="11"/>
  <c r="P497" i="6"/>
  <c r="E497" i="6" s="1"/>
  <c r="D496" i="6"/>
  <c r="Q497" i="6"/>
  <c r="S496" i="6"/>
  <c r="H496" i="6" s="1"/>
  <c r="N496" i="6" s="1"/>
  <c r="AL491" i="11" l="1"/>
  <c r="AI496" i="6"/>
  <c r="K496" i="6"/>
  <c r="F497" i="6"/>
  <c r="G497" i="6" s="1"/>
  <c r="R497" i="6"/>
  <c r="O497" i="6"/>
  <c r="P492" i="11"/>
  <c r="E492" i="11" s="1"/>
  <c r="Q492" i="11"/>
  <c r="D491" i="11"/>
  <c r="S491" i="11"/>
  <c r="H491" i="11" s="1"/>
  <c r="N491" i="11" s="1"/>
  <c r="K491" i="11" l="1"/>
  <c r="AI491" i="11"/>
  <c r="AL497" i="6"/>
  <c r="O492" i="11"/>
  <c r="Q498" i="6"/>
  <c r="S497" i="6"/>
  <c r="H497" i="6" s="1"/>
  <c r="N497" i="6" s="1"/>
  <c r="P498" i="6"/>
  <c r="E498" i="6" s="1"/>
  <c r="D497" i="6"/>
  <c r="F492" i="11"/>
  <c r="G492" i="11" s="1"/>
  <c r="R492" i="11"/>
  <c r="AI497" i="6" l="1"/>
  <c r="AL492" i="11"/>
  <c r="K497" i="6"/>
  <c r="F498" i="6"/>
  <c r="G498" i="6" s="1"/>
  <c r="R498" i="6"/>
  <c r="O498" i="6"/>
  <c r="D492" i="11"/>
  <c r="Q493" i="11"/>
  <c r="S492" i="11"/>
  <c r="H492" i="11" s="1"/>
  <c r="N492" i="11" s="1"/>
  <c r="P493" i="11"/>
  <c r="E493" i="11" s="1"/>
  <c r="AL498" i="6" l="1"/>
  <c r="AI492" i="11"/>
  <c r="K492" i="11"/>
  <c r="P499" i="6"/>
  <c r="E499" i="6" s="1"/>
  <c r="Q499" i="6"/>
  <c r="D498" i="6"/>
  <c r="S498" i="6"/>
  <c r="H498" i="6" s="1"/>
  <c r="N498" i="6" s="1"/>
  <c r="O493" i="11"/>
  <c r="F493" i="11"/>
  <c r="G493" i="11" s="1"/>
  <c r="R493" i="11"/>
  <c r="K498" i="6" l="1"/>
  <c r="AL493" i="11"/>
  <c r="AI498" i="6"/>
  <c r="F499" i="6"/>
  <c r="G499" i="6" s="1"/>
  <c r="R499" i="6"/>
  <c r="S493" i="11"/>
  <c r="H493" i="11" s="1"/>
  <c r="N493" i="11" s="1"/>
  <c r="P494" i="11"/>
  <c r="E494" i="11" s="1"/>
  <c r="Q494" i="11"/>
  <c r="D493" i="11"/>
  <c r="O499" i="6"/>
  <c r="AL499" i="6" l="1"/>
  <c r="AI493" i="11"/>
  <c r="K493" i="11"/>
  <c r="P500" i="6"/>
  <c r="E500" i="6" s="1"/>
  <c r="Q500" i="6"/>
  <c r="D499" i="6"/>
  <c r="S499" i="6"/>
  <c r="H499" i="6" s="1"/>
  <c r="N499" i="6" s="1"/>
  <c r="F494" i="11"/>
  <c r="G494" i="11" s="1"/>
  <c r="R494" i="11"/>
  <c r="O494" i="11"/>
  <c r="K499" i="6" l="1"/>
  <c r="AL494" i="11"/>
  <c r="AI499" i="6"/>
  <c r="O500" i="6"/>
  <c r="P501" i="6" s="1"/>
  <c r="E501" i="6" s="1"/>
  <c r="Q495" i="11"/>
  <c r="S494" i="11"/>
  <c r="H494" i="11" s="1"/>
  <c r="N494" i="11" s="1"/>
  <c r="D494" i="11"/>
  <c r="P495" i="11"/>
  <c r="E495" i="11" s="1"/>
  <c r="F500" i="6"/>
  <c r="G500" i="6" s="1"/>
  <c r="R500" i="6"/>
  <c r="AL500" i="6" l="1"/>
  <c r="K494" i="11"/>
  <c r="AI494" i="11"/>
  <c r="Q501" i="6"/>
  <c r="F501" i="6" s="1"/>
  <c r="G501" i="6" s="1"/>
  <c r="S500" i="6"/>
  <c r="H500" i="6" s="1"/>
  <c r="N500" i="6" s="1"/>
  <c r="D500" i="6"/>
  <c r="F495" i="11"/>
  <c r="G495" i="11" s="1"/>
  <c r="R495" i="11"/>
  <c r="O495" i="11"/>
  <c r="O501" i="6"/>
  <c r="K500" i="6" l="1"/>
  <c r="AL495" i="11"/>
  <c r="AI500" i="6"/>
  <c r="R501" i="6"/>
  <c r="Q502" i="6"/>
  <c r="S501" i="6"/>
  <c r="H501" i="6" s="1"/>
  <c r="N501" i="6" s="1"/>
  <c r="P502" i="6"/>
  <c r="E502" i="6" s="1"/>
  <c r="D501" i="6"/>
  <c r="P496" i="11"/>
  <c r="E496" i="11" s="1"/>
  <c r="Q496" i="11"/>
  <c r="D495" i="11"/>
  <c r="S495" i="11"/>
  <c r="H495" i="11" s="1"/>
  <c r="N495" i="11" s="1"/>
  <c r="AL501" i="6" l="1"/>
  <c r="AI501" i="6"/>
  <c r="AI495" i="11"/>
  <c r="K495" i="11"/>
  <c r="K501" i="6"/>
  <c r="F496" i="11"/>
  <c r="G496" i="11" s="1"/>
  <c r="R496" i="11"/>
  <c r="O496" i="11"/>
  <c r="O502" i="6"/>
  <c r="F502" i="6"/>
  <c r="G502" i="6" s="1"/>
  <c r="R502" i="6"/>
  <c r="AL496" i="11" l="1"/>
  <c r="AL502" i="6"/>
  <c r="D496" i="11"/>
  <c r="Q497" i="11"/>
  <c r="S496" i="11"/>
  <c r="H496" i="11" s="1"/>
  <c r="N496" i="11" s="1"/>
  <c r="P497" i="11"/>
  <c r="E497" i="11" s="1"/>
  <c r="P503" i="6"/>
  <c r="E503" i="6" s="1"/>
  <c r="Q503" i="6"/>
  <c r="D502" i="6"/>
  <c r="S502" i="6"/>
  <c r="H502" i="6" s="1"/>
  <c r="N502" i="6" s="1"/>
  <c r="AI496" i="11" l="1"/>
  <c r="AI502" i="6"/>
  <c r="K502" i="6"/>
  <c r="K496" i="11"/>
  <c r="F503" i="6"/>
  <c r="G503" i="6" s="1"/>
  <c r="R503" i="6"/>
  <c r="O503" i="6"/>
  <c r="F497" i="11"/>
  <c r="G497" i="11" s="1"/>
  <c r="R497" i="11"/>
  <c r="O497" i="11"/>
  <c r="AL497" i="11" l="1"/>
  <c r="AL503" i="6"/>
  <c r="P504" i="6"/>
  <c r="E504" i="6" s="1"/>
  <c r="Q504" i="6"/>
  <c r="D503" i="6"/>
  <c r="S503" i="6"/>
  <c r="H503" i="6" s="1"/>
  <c r="N503" i="6" s="1"/>
  <c r="S497" i="11"/>
  <c r="H497" i="11" s="1"/>
  <c r="N497" i="11" s="1"/>
  <c r="P498" i="11"/>
  <c r="E498" i="11" s="1"/>
  <c r="Q498" i="11"/>
  <c r="D497" i="11"/>
  <c r="AI503" i="6" l="1"/>
  <c r="K503" i="6"/>
  <c r="AI497" i="11"/>
  <c r="K497" i="11"/>
  <c r="O504" i="6"/>
  <c r="P505" i="6" s="1"/>
  <c r="E505" i="6" s="1"/>
  <c r="O498" i="11"/>
  <c r="F504" i="6"/>
  <c r="G504" i="6" s="1"/>
  <c r="R504" i="6"/>
  <c r="F498" i="11"/>
  <c r="G498" i="11" s="1"/>
  <c r="R498" i="11"/>
  <c r="AL498" i="11" l="1"/>
  <c r="AL504" i="6"/>
  <c r="S504" i="6"/>
  <c r="H504" i="6" s="1"/>
  <c r="N504" i="6" s="1"/>
  <c r="Q505" i="6"/>
  <c r="F505" i="6" s="1"/>
  <c r="G505" i="6" s="1"/>
  <c r="D504" i="6"/>
  <c r="O505" i="6"/>
  <c r="D498" i="11"/>
  <c r="Q499" i="11"/>
  <c r="S498" i="11"/>
  <c r="H498" i="11" s="1"/>
  <c r="N498" i="11" s="1"/>
  <c r="P499" i="11"/>
  <c r="E499" i="11" s="1"/>
  <c r="K498" i="11" l="1"/>
  <c r="K504" i="6"/>
  <c r="AI498" i="11"/>
  <c r="AI504" i="6"/>
  <c r="R505" i="6"/>
  <c r="O499" i="11"/>
  <c r="F499" i="11"/>
  <c r="G499" i="11" s="1"/>
  <c r="R499" i="11"/>
  <c r="Q506" i="6"/>
  <c r="S505" i="6"/>
  <c r="H505" i="6" s="1"/>
  <c r="N505" i="6" s="1"/>
  <c r="N24" i="6" s="1"/>
  <c r="G48" i="2" s="1"/>
  <c r="P506" i="6"/>
  <c r="E506" i="6" s="1"/>
  <c r="D505" i="6"/>
  <c r="AL505" i="6" l="1"/>
  <c r="AL24" i="6" s="1"/>
  <c r="G49" i="2" s="1"/>
  <c r="AI505" i="6"/>
  <c r="AJ15" i="6" s="1"/>
  <c r="AI24" i="6" s="1"/>
  <c r="J12" i="5"/>
  <c r="J12" i="6"/>
  <c r="AL499" i="11"/>
  <c r="K505" i="6"/>
  <c r="O506" i="6"/>
  <c r="F506" i="6"/>
  <c r="G506" i="6" s="1"/>
  <c r="R506" i="6"/>
  <c r="P500" i="11"/>
  <c r="E500" i="11" s="1"/>
  <c r="Q500" i="11"/>
  <c r="D499" i="11"/>
  <c r="S499" i="11"/>
  <c r="H499" i="11" s="1"/>
  <c r="N499" i="11" s="1"/>
  <c r="AI499" i="11" l="1"/>
  <c r="G47" i="2"/>
  <c r="AD43" i="6"/>
  <c r="AL506" i="6"/>
  <c r="K499" i="11"/>
  <c r="O500" i="11"/>
  <c r="F500" i="11"/>
  <c r="G500" i="11" s="1"/>
  <c r="R500" i="11"/>
  <c r="P507" i="6"/>
  <c r="E507" i="6" s="1"/>
  <c r="Q507" i="6"/>
  <c r="S506" i="6"/>
  <c r="H506" i="6" s="1"/>
  <c r="N506" i="6" s="1"/>
  <c r="D506" i="6"/>
  <c r="K506" i="6" l="1"/>
  <c r="AI506" i="6"/>
  <c r="J13" i="5"/>
  <c r="J13" i="6"/>
  <c r="AL500" i="11"/>
  <c r="F507" i="6"/>
  <c r="G507" i="6" s="1"/>
  <c r="R507" i="6"/>
  <c r="O507" i="6"/>
  <c r="Q501" i="11"/>
  <c r="D500" i="11"/>
  <c r="P501" i="11"/>
  <c r="E501" i="11" s="1"/>
  <c r="S500" i="11"/>
  <c r="H500" i="11" s="1"/>
  <c r="N500" i="11" s="1"/>
  <c r="K500" i="11" l="1"/>
  <c r="AI500" i="11"/>
  <c r="AL507" i="6"/>
  <c r="P508" i="6"/>
  <c r="E508" i="6" s="1"/>
  <c r="Q508" i="6"/>
  <c r="D507" i="6"/>
  <c r="S507" i="6"/>
  <c r="H507" i="6" s="1"/>
  <c r="N507" i="6" s="1"/>
  <c r="O501" i="11"/>
  <c r="F501" i="11"/>
  <c r="G501" i="11" s="1"/>
  <c r="R501" i="11"/>
  <c r="AI507" i="6" l="1"/>
  <c r="AL501" i="11"/>
  <c r="K507" i="6"/>
  <c r="O508" i="6"/>
  <c r="P509" i="6" s="1"/>
  <c r="E509" i="6" s="1"/>
  <c r="S501" i="11"/>
  <c r="H501" i="11" s="1"/>
  <c r="N501" i="11" s="1"/>
  <c r="P502" i="11"/>
  <c r="E502" i="11" s="1"/>
  <c r="Q502" i="11"/>
  <c r="D501" i="11"/>
  <c r="F508" i="6"/>
  <c r="G508" i="6" s="1"/>
  <c r="R508" i="6"/>
  <c r="K501" i="11" l="1"/>
  <c r="AI501" i="11"/>
  <c r="AL508" i="6"/>
  <c r="D508" i="6"/>
  <c r="Q509" i="6"/>
  <c r="R509" i="6" s="1"/>
  <c r="S508" i="6"/>
  <c r="H508" i="6" s="1"/>
  <c r="N508" i="6" s="1"/>
  <c r="O509" i="6"/>
  <c r="O502" i="11"/>
  <c r="F502" i="11"/>
  <c r="G502" i="11" s="1"/>
  <c r="R502" i="11"/>
  <c r="AL509" i="6" l="1"/>
  <c r="AI508" i="6"/>
  <c r="AL502" i="11"/>
  <c r="K508" i="6"/>
  <c r="F509" i="6"/>
  <c r="G509" i="6" s="1"/>
  <c r="Q510" i="6"/>
  <c r="S509" i="6"/>
  <c r="H509" i="6" s="1"/>
  <c r="N509" i="6" s="1"/>
  <c r="P510" i="6"/>
  <c r="E510" i="6" s="1"/>
  <c r="D509" i="6"/>
  <c r="Q503" i="11"/>
  <c r="S502" i="11"/>
  <c r="H502" i="11" s="1"/>
  <c r="N502" i="11" s="1"/>
  <c r="D502" i="11"/>
  <c r="P503" i="11"/>
  <c r="E503" i="11" s="1"/>
  <c r="K509" i="6" l="1"/>
  <c r="AI502" i="11"/>
  <c r="K502" i="11"/>
  <c r="AI509" i="6"/>
  <c r="F503" i="11"/>
  <c r="G503" i="11" s="1"/>
  <c r="R503" i="11"/>
  <c r="O503" i="11"/>
  <c r="O510" i="6"/>
  <c r="F510" i="6"/>
  <c r="G510" i="6" s="1"/>
  <c r="R510" i="6"/>
  <c r="AL503" i="11" l="1"/>
  <c r="AL510" i="6"/>
  <c r="P504" i="11"/>
  <c r="E504" i="11" s="1"/>
  <c r="Q504" i="11"/>
  <c r="D503" i="11"/>
  <c r="S503" i="11"/>
  <c r="H503" i="11" s="1"/>
  <c r="N503" i="11" s="1"/>
  <c r="P511" i="6"/>
  <c r="E511" i="6" s="1"/>
  <c r="Q511" i="6"/>
  <c r="D510" i="6"/>
  <c r="S510" i="6"/>
  <c r="H510" i="6" s="1"/>
  <c r="N510" i="6" s="1"/>
  <c r="AI503" i="11" l="1"/>
  <c r="AI510" i="6"/>
  <c r="K510" i="6"/>
  <c r="K503" i="11"/>
  <c r="O504" i="11"/>
  <c r="F511" i="6"/>
  <c r="G511" i="6" s="1"/>
  <c r="R511" i="6"/>
  <c r="O511" i="6"/>
  <c r="F504" i="11"/>
  <c r="G504" i="11" s="1"/>
  <c r="R504" i="11"/>
  <c r="AL511" i="6" l="1"/>
  <c r="AL504" i="11"/>
  <c r="D511" i="6"/>
  <c r="S511" i="6"/>
  <c r="H511" i="6" s="1"/>
  <c r="N511" i="6" s="1"/>
  <c r="D504" i="11"/>
  <c r="Q505" i="11"/>
  <c r="S504" i="11"/>
  <c r="H504" i="11" s="1"/>
  <c r="N504" i="11" s="1"/>
  <c r="P505" i="11"/>
  <c r="E505" i="11" s="1"/>
  <c r="AI504" i="11" l="1"/>
  <c r="K504" i="11"/>
  <c r="K511" i="6"/>
  <c r="AI511" i="6"/>
  <c r="O505" i="11"/>
  <c r="F505" i="11"/>
  <c r="G505" i="11" s="1"/>
  <c r="R505" i="11"/>
  <c r="AL505" i="11" l="1"/>
  <c r="AL24" i="11" s="1"/>
  <c r="D49" i="2" s="1"/>
  <c r="S505" i="11"/>
  <c r="H505" i="11" s="1"/>
  <c r="N505" i="11" s="1"/>
  <c r="N24" i="11" s="1"/>
  <c r="D48" i="2" s="1"/>
  <c r="J12" i="11" s="1"/>
  <c r="P506" i="11"/>
  <c r="E506" i="11" s="1"/>
  <c r="Q506" i="11"/>
  <c r="D505" i="11"/>
  <c r="K505" i="11" l="1"/>
  <c r="AI505" i="11"/>
  <c r="AJ15" i="11" s="1"/>
  <c r="AI24" i="11" s="1"/>
  <c r="F506" i="11"/>
  <c r="G506" i="11" s="1"/>
  <c r="R506" i="11"/>
  <c r="O506" i="11"/>
  <c r="AL506" i="11" l="1"/>
  <c r="AD43" i="11"/>
  <c r="D47" i="2"/>
  <c r="J13" i="11" s="1"/>
  <c r="Q507" i="11"/>
  <c r="S506" i="11"/>
  <c r="H506" i="11" s="1"/>
  <c r="N506" i="11" s="1"/>
  <c r="D506" i="11"/>
  <c r="P507" i="11"/>
  <c r="E507" i="11" s="1"/>
  <c r="K506" i="11" l="1"/>
  <c r="AI506" i="11"/>
  <c r="F507" i="11"/>
  <c r="G507" i="11" s="1"/>
  <c r="R507" i="11"/>
  <c r="O507" i="11"/>
  <c r="AL507" i="11" l="1"/>
  <c r="P508" i="11"/>
  <c r="E508" i="11" s="1"/>
  <c r="Q508" i="11"/>
  <c r="S507" i="11"/>
  <c r="H507" i="11" s="1"/>
  <c r="N507" i="11" s="1"/>
  <c r="D507" i="11"/>
  <c r="K507" i="11" l="1"/>
  <c r="AI507" i="11"/>
  <c r="O508" i="11"/>
  <c r="D508" i="11" s="1"/>
  <c r="F508" i="11"/>
  <c r="G508" i="11" s="1"/>
  <c r="R508" i="11"/>
  <c r="AL508" i="11" l="1"/>
  <c r="P509" i="11"/>
  <c r="E509" i="11" s="1"/>
  <c r="S508" i="11"/>
  <c r="H508" i="11" s="1"/>
  <c r="N508" i="11" s="1"/>
  <c r="Q509" i="11"/>
  <c r="F509" i="11" s="1"/>
  <c r="K508" i="11" l="1"/>
  <c r="AI508" i="11"/>
  <c r="G509" i="11"/>
  <c r="O509" i="11"/>
  <c r="D509" i="11" s="1"/>
  <c r="R509" i="11"/>
  <c r="AL509" i="11" l="1"/>
  <c r="P510" i="11"/>
  <c r="E510" i="11" s="1"/>
  <c r="S509" i="11"/>
  <c r="H509" i="11" s="1"/>
  <c r="N509" i="11" s="1"/>
  <c r="Q510" i="11"/>
  <c r="F510" i="11" s="1"/>
  <c r="K509" i="11" l="1"/>
  <c r="AI509" i="11"/>
  <c r="O510" i="11"/>
  <c r="D510" i="11" s="1"/>
  <c r="G510" i="11"/>
  <c r="R510" i="11"/>
  <c r="AL510" i="11" l="1"/>
  <c r="Q511" i="11"/>
  <c r="F511" i="11" s="1"/>
  <c r="S510" i="11"/>
  <c r="H510" i="11" s="1"/>
  <c r="N510" i="11" s="1"/>
  <c r="P511" i="11"/>
  <c r="E511" i="11" s="1"/>
  <c r="K510" i="11" l="1"/>
  <c r="AI510" i="11"/>
  <c r="O511" i="11"/>
  <c r="S511" i="11" s="1"/>
  <c r="H511" i="11" s="1"/>
  <c r="N511" i="11" s="1"/>
  <c r="R511" i="11"/>
  <c r="G511" i="11"/>
  <c r="K511" i="11" l="1"/>
  <c r="AL511" i="11"/>
  <c r="AI511" i="11"/>
  <c r="D51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 Jose Amaral Ubl</author>
  </authors>
  <commentList>
    <comment ref="C105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=SE(E(Preenchimento!D17="Serv. PM SBC";Preenchimento!D18="Prestações Variáveis";abc&lt;=1500000;Preenchimento!D19="Não");0;SE('Caract. Prods'!C14="";25;'Caract. Prods'!C14))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kaihara</author>
  </authors>
  <commentList>
    <comment ref="C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kaihara:</t>
        </r>
        <r>
          <rPr>
            <sz val="8"/>
            <color indexed="81"/>
            <rFont val="Tahoma"/>
            <family val="2"/>
          </rPr>
          <t xml:space="preserve">
Informar o valor mesmo que seja zero.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André Ferreira de Pinho</author>
    <author>Henrique Jose Amaral Ubl</author>
  </authors>
  <commentList>
    <comment ref="B13" authorId="0" shapeId="0" xr:uid="{00000000-0006-0000-0500-000001000000}">
      <text>
        <r>
          <rPr>
            <sz val="8"/>
            <color indexed="81"/>
            <rFont val="Tahoma"/>
            <family val="2"/>
          </rPr>
          <t xml:space="preserve"> - Preenchimento obrigatório: Caso não tenha endividamento preencher com "0" (zero)
- São consideradas dívidas que comprometem a renda:
     - Financiamentos Parcelados;
     - Pensões Alimentícias;
     - Empréstimos Consignados.</t>
        </r>
      </text>
    </comment>
    <comment ref="B14" authorId="0" shapeId="0" xr:uid="{00000000-0006-0000-0500-000002000000}">
      <text>
        <r>
          <rPr>
            <sz val="8"/>
            <color indexed="81"/>
            <rFont val="Tahoma"/>
            <family val="2"/>
          </rPr>
          <t>Preenchimento obrigatório: Caso não tenha outros financiamentos imobiliários preencher com "0" (zero)</t>
        </r>
      </text>
    </comment>
    <comment ref="B21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Válido apenas para Parcelas Fixas</t>
        </r>
      </text>
    </comment>
    <comment ref="B22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Incide somente Parcelas Atualizáveis</t>
        </r>
      </text>
    </comment>
    <comment ref="AD78" authorId="1" shapeId="0" xr:uid="{8B268CE0-219C-427C-B9F2-DCBB51C5399E}">
      <text>
        <r>
          <rPr>
            <b/>
            <sz val="9"/>
            <color indexed="81"/>
            <rFont val="Segoe UI"/>
            <family val="2"/>
          </rPr>
          <t>Meses utilizados até a data final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 Jose Amaral Ubl</author>
  </authors>
  <commentList>
    <comment ref="L52" authorId="0" shapeId="0" xr:uid="{7A071CB5-C840-41F3-8BCB-1B5A0A9CC893}">
      <text>
        <r>
          <rPr>
            <b/>
            <sz val="9"/>
            <color indexed="81"/>
            <rFont val="Segoe UI"/>
            <family val="2"/>
          </rPr>
          <t>Para diferenciar a taxa pelo LTV, colocar a fórmula abaixo na célula "Condições!H12" e outras (Condições!H12:I15;H20;I20;H22;I22)
=SE(Apoio!$L$52&gt;Apoio!$L$51;Apoio!$L$55;Apoio!$L$54) - ()</t>
        </r>
      </text>
    </comment>
  </commentList>
</comments>
</file>

<file path=xl/sharedStrings.xml><?xml version="1.0" encoding="utf-8"?>
<sst xmlns="http://schemas.openxmlformats.org/spreadsheetml/2006/main" count="680" uniqueCount="383">
  <si>
    <t>N° Parcela</t>
  </si>
  <si>
    <t>Mês</t>
  </si>
  <si>
    <t>Saldo Devedor</t>
  </si>
  <si>
    <t>Juros</t>
  </si>
  <si>
    <t>Prazo</t>
  </si>
  <si>
    <t>Taxa de juros mensal</t>
  </si>
  <si>
    <t>Valor do Imóvel</t>
  </si>
  <si>
    <t>Mês sem Pagar</t>
  </si>
  <si>
    <t>Sim</t>
  </si>
  <si>
    <t>Não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</si>
  <si>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</si>
  <si>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</si>
  <si>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</si>
  <si>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</si>
  <si>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</si>
  <si>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</si>
  <si>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</si>
  <si>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</si>
  <si>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</si>
  <si>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</si>
  <si>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</si>
  <si>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</si>
  <si>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Nenhum</t>
  </si>
  <si>
    <t>Prazo Máx</t>
  </si>
  <si>
    <t>TSA</t>
  </si>
  <si>
    <t>Alíquotas de IOF</t>
  </si>
  <si>
    <t>MIP</t>
  </si>
  <si>
    <t>DFI</t>
  </si>
  <si>
    <t>DFI sem IOF</t>
  </si>
  <si>
    <t>Idade + Velho</t>
  </si>
  <si>
    <t>MIP c/ IOF</t>
  </si>
  <si>
    <t>Idade do mais Idoso</t>
  </si>
  <si>
    <t>Compromet Renda</t>
  </si>
  <si>
    <t>Taxa de Juros Mensal</t>
  </si>
  <si>
    <t>Taxa de Juros Anual</t>
  </si>
  <si>
    <t>Juros Mensal</t>
  </si>
  <si>
    <t>Juros Anual</t>
  </si>
  <si>
    <t>TR</t>
  </si>
  <si>
    <t>Dia</t>
  </si>
  <si>
    <t>Ano</t>
  </si>
  <si>
    <t>DATA</t>
  </si>
  <si>
    <t>ALÍQUOTAS DE SEGUROS</t>
  </si>
  <si>
    <t>Fator1</t>
  </si>
  <si>
    <t>Fator2</t>
  </si>
  <si>
    <t>Mês s/ Pagar</t>
  </si>
  <si>
    <t>Percentual Financ</t>
  </si>
  <si>
    <t>Parcela</t>
  </si>
  <si>
    <t>Amt¹</t>
  </si>
  <si>
    <t>Seguro MIP²</t>
  </si>
  <si>
    <t>Seguro DFI³</t>
  </si>
  <si>
    <t>1. Amortização - parte da parcela que reduz o saldo devedor</t>
  </si>
  <si>
    <t>Confira os Resultados</t>
  </si>
  <si>
    <t>Parcelas Fixas</t>
  </si>
  <si>
    <t>Estimativa de TR anual</t>
  </si>
  <si>
    <t>Parcela inicial</t>
  </si>
  <si>
    <t>Última Parcela</t>
  </si>
  <si>
    <t>Estimativa de TR Anual</t>
  </si>
  <si>
    <t>Data</t>
  </si>
  <si>
    <t>ITBI</t>
  </si>
  <si>
    <t>TIE</t>
  </si>
  <si>
    <t>T.Av. Imovel</t>
  </si>
  <si>
    <t>Desp de Registro</t>
  </si>
  <si>
    <t>Valor do Financiamento Total</t>
  </si>
  <si>
    <t>Financiamento Máx</t>
  </si>
  <si>
    <t>Despesas com Aquisição do Imóvel</t>
  </si>
  <si>
    <t>Despesas com Financiamento</t>
  </si>
  <si>
    <t>Parcelas Atualizáveis</t>
  </si>
  <si>
    <t>Vlr Imovel</t>
  </si>
  <si>
    <t>Suporte</t>
  </si>
  <si>
    <t>Mês  sem pagar</t>
  </si>
  <si>
    <t>Cell Vazia</t>
  </si>
  <si>
    <t>e não constitui proposta por parte do Santander ou de qualquer outra empresa do Grupo.</t>
  </si>
  <si>
    <t>Legenda:</t>
  </si>
  <si>
    <t>LTV</t>
  </si>
  <si>
    <t>Funcionários</t>
  </si>
  <si>
    <t>IDADE</t>
  </si>
  <si>
    <t>TSA - Clientes</t>
  </si>
  <si>
    <t>TSA - Func</t>
  </si>
  <si>
    <t>Produtos</t>
  </si>
  <si>
    <t>Busca Taxa (SFH)</t>
  </si>
  <si>
    <t>CET</t>
  </si>
  <si>
    <t>SFH Func</t>
  </si>
  <si>
    <t>Definição da Idade para MIP</t>
  </si>
  <si>
    <t>Definição da Idade para Prazo Máx</t>
  </si>
  <si>
    <t>Nac</t>
  </si>
  <si>
    <t>Aniver</t>
  </si>
  <si>
    <t>Resultado</t>
  </si>
  <si>
    <t>Hoje</t>
  </si>
  <si>
    <t>mínimo</t>
  </si>
  <si>
    <t>Tarifa de Avaliação de Garantia</t>
  </si>
  <si>
    <t>Casas decimais</t>
  </si>
  <si>
    <t>IOF DFI</t>
  </si>
  <si>
    <t>7,95% com 11,50%</t>
  </si>
  <si>
    <t>Limites SFH</t>
  </si>
  <si>
    <t>SFH ATE</t>
  </si>
  <si>
    <t>Vlr Financiamento até</t>
  </si>
  <si>
    <t>360 dias</t>
  </si>
  <si>
    <t>365 dias</t>
  </si>
  <si>
    <t>** O cálculo do CET não leva em consideração a TR.</t>
  </si>
  <si>
    <t>prazo virada</t>
  </si>
  <si>
    <t>Até</t>
  </si>
  <si>
    <t>Acima</t>
  </si>
  <si>
    <t>Condições exclusivas para:</t>
  </si>
  <si>
    <t>Sistema Amortização Vazio?</t>
  </si>
  <si>
    <t>Custo Efetivo do Seguro Habitacional (CESH)</t>
  </si>
  <si>
    <t>MIP Santander</t>
  </si>
  <si>
    <t>DFI Santander</t>
  </si>
  <si>
    <t>Convênio</t>
  </si>
  <si>
    <t>Códigos</t>
  </si>
  <si>
    <t>Taxa 1</t>
  </si>
  <si>
    <t>Taxa 2</t>
  </si>
  <si>
    <t>Valor de Imóvel</t>
  </si>
  <si>
    <t>Texto Resposta</t>
  </si>
  <si>
    <t>Taxa Resposta</t>
  </si>
  <si>
    <t>Resposta</t>
  </si>
  <si>
    <t>Tx inicial</t>
  </si>
  <si>
    <t>Tx final</t>
  </si>
  <si>
    <t>Prazo Virada</t>
  </si>
  <si>
    <t>Produto</t>
  </si>
  <si>
    <t>MIP F1</t>
  </si>
  <si>
    <t>DFI F1</t>
  </si>
  <si>
    <t>CESH</t>
  </si>
  <si>
    <t>3. Tarifa de Serviços Administrativos</t>
  </si>
  <si>
    <t>Seguro DFI²</t>
  </si>
  <si>
    <r>
      <t>TSA</t>
    </r>
    <r>
      <rPr>
        <b/>
        <vertAlign val="superscript"/>
        <sz val="12"/>
        <color indexed="9"/>
        <rFont val="Arial"/>
        <family val="2"/>
      </rPr>
      <t>3</t>
    </r>
  </si>
  <si>
    <t>Soma</t>
  </si>
  <si>
    <t>Prestações Fixas</t>
  </si>
  <si>
    <t>Prestações Variáveis</t>
  </si>
  <si>
    <t>Parcela Renda</t>
  </si>
  <si>
    <t>1º Prop</t>
  </si>
  <si>
    <t>2º Prop</t>
  </si>
  <si>
    <t>Prazo Máx da Seguradora</t>
  </si>
  <si>
    <t>Idade Mín do cliente</t>
  </si>
  <si>
    <t>Prazo Mín do Produto</t>
  </si>
  <si>
    <t>Financiamento entre</t>
  </si>
  <si>
    <t>Financiamento máximo</t>
  </si>
  <si>
    <t>Financiamento mínimo</t>
  </si>
  <si>
    <t>Limite de CR TOTAL</t>
  </si>
  <si>
    <t>Comprometido</t>
  </si>
  <si>
    <t>Residual de Comprometimento</t>
  </si>
  <si>
    <t>Limite DCI</t>
  </si>
  <si>
    <t>Renda TOTAL</t>
  </si>
  <si>
    <t>Endividamento Parcelados TOTAL</t>
  </si>
  <si>
    <t>Comprometimento de Renda LIVRE</t>
  </si>
  <si>
    <t>Renda mínima requirida</t>
  </si>
  <si>
    <t>Renda faltante</t>
  </si>
  <si>
    <t>Renda 1º proponente</t>
  </si>
  <si>
    <t>Renda Conjugê</t>
  </si>
  <si>
    <t>Validação renda 1</t>
  </si>
  <si>
    <t>Validação renda 2</t>
  </si>
  <si>
    <t>Mês "Virtual"</t>
  </si>
  <si>
    <t>Ano "Virtual"</t>
  </si>
  <si>
    <t xml:space="preserve">R$              -    </t>
  </si>
  <si>
    <t>Campos parametrizáveis</t>
  </si>
  <si>
    <t>Comprometimento de Renda/Parcela</t>
  </si>
  <si>
    <t>RENDAS</t>
  </si>
  <si>
    <t>Outros Financiamentos Imobiliários TOTAL</t>
  </si>
  <si>
    <t>Comprometimento de Financiamentos Imobiliários</t>
  </si>
  <si>
    <t>1ª Parcela Máxima</t>
  </si>
  <si>
    <t>Renda máxima comprometida - demais</t>
  </si>
  <si>
    <t>Comprometimento máximo - financ. Imob.</t>
  </si>
  <si>
    <t>Todos campos preenchidos?</t>
  </si>
  <si>
    <t>Registro do Contrato</t>
  </si>
  <si>
    <t>Prazo máximo</t>
  </si>
  <si>
    <t>Idade+prazo</t>
  </si>
  <si>
    <t>Prazo máximo 2</t>
  </si>
  <si>
    <t>Prazo máximo 3</t>
  </si>
  <si>
    <t>5. O valor do financiamento poderá ser reduzido, mesmo que seja comprovada a renda informada, em função de análise de crédito.</t>
  </si>
  <si>
    <t>Prazo Mínimo</t>
  </si>
  <si>
    <t>Laudêmio</t>
  </si>
  <si>
    <t>Cliente - total</t>
  </si>
  <si>
    <t>Outros Financiamentos</t>
  </si>
  <si>
    <t>resultado</t>
  </si>
  <si>
    <t>% compr.</t>
  </si>
  <si>
    <t>Rating</t>
  </si>
  <si>
    <t>resultado renda</t>
  </si>
  <si>
    <t>Renda Enquadrada?</t>
  </si>
  <si>
    <t>erro</t>
  </si>
  <si>
    <t>P. Atual - TP</t>
  </si>
  <si>
    <t>Custo Efetivo Total anual**</t>
  </si>
  <si>
    <r>
      <t>Parcela Crédito Imobiliário</t>
    </r>
    <r>
      <rPr>
        <b/>
        <vertAlign val="superscript"/>
        <sz val="9"/>
        <color indexed="9"/>
        <rFont val="Arial"/>
        <family val="2"/>
      </rPr>
      <t>4</t>
    </r>
  </si>
  <si>
    <t>Vencimento do Simulador</t>
  </si>
  <si>
    <t>Vai incluir renda do Co-participante?*</t>
  </si>
  <si>
    <t>Informar o Rating do Cliente*</t>
  </si>
  <si>
    <t>Data de Nascimento (dd/mm/aaaa)*</t>
  </si>
  <si>
    <t>Renda Mensal*</t>
  </si>
  <si>
    <t>Endividamento Mensal*</t>
  </si>
  <si>
    <t>Outros financiamentos imobiliários*</t>
  </si>
  <si>
    <t>Escolha a Seguradora*</t>
  </si>
  <si>
    <t>Tipo de Prestações*</t>
  </si>
  <si>
    <t>Mês sem Pagar*</t>
  </si>
  <si>
    <t>Valor do Imóvel*</t>
  </si>
  <si>
    <t>Valor do Financiamento*</t>
  </si>
  <si>
    <t>Controle de Travas</t>
  </si>
  <si>
    <t>Preenchido</t>
  </si>
  <si>
    <t>Trava</t>
  </si>
  <si>
    <t>Destaca</t>
  </si>
  <si>
    <t>Valor TSA</t>
  </si>
  <si>
    <t>Tarifa de Avaliação</t>
  </si>
  <si>
    <t>Alíquotas de Seguro</t>
  </si>
  <si>
    <t>Serviços Imobiliários Van Gogh</t>
  </si>
  <si>
    <t>Público</t>
  </si>
  <si>
    <t>Oferta</t>
  </si>
  <si>
    <t>Eleita</t>
  </si>
  <si>
    <t>OK?</t>
  </si>
  <si>
    <t>Sistema de Amortização</t>
  </si>
  <si>
    <t>Permite Parc. Atualizáveis com TP?</t>
  </si>
  <si>
    <t>Taxas Parcelas Fixas</t>
  </si>
  <si>
    <t>Validação de Dados</t>
  </si>
  <si>
    <t>Permite Parc At. TP</t>
  </si>
  <si>
    <t>Taxa de juros Efetiva anual</t>
  </si>
  <si>
    <t>al&amp;AN1001+1000</t>
  </si>
  <si>
    <t>Taxa Prateleira Exc e Cla</t>
  </si>
  <si>
    <t>Permite Simulação em Meses?</t>
  </si>
  <si>
    <t>Permite Prazo em meses</t>
  </si>
  <si>
    <t>TAXA DE JUROS VÁLIDA NESTA DATA.</t>
  </si>
  <si>
    <t xml:space="preserve">1) As taxas de juros serão as vigentes e praticadas pelo Santander no momento da contratação e estarão disponíveis para consulta prévia por meio da Assessoria em Crédito Imobiliário ou junto ao Gerente.
</t>
  </si>
  <si>
    <t xml:space="preserve">2) Para utilizar este simulador é necessário estar com o nível MÉDIO de segurança das MACROS. </t>
  </si>
  <si>
    <t>3) Os valores obtidos nesta simulação são meramente informativos e poderão sofrer alterações, estando condicionados a análise de crédito.</t>
  </si>
  <si>
    <t>5) O valor do financiamento poderá ser reduzido, mesmo que seja comprovada a renda informada, em função de análise de crédito.</t>
  </si>
  <si>
    <t>Valor total devido do financiamento no ato da contratação</t>
  </si>
  <si>
    <t>Total das despesas vinculadas à concessão do financiamento</t>
  </si>
  <si>
    <t>Tarifa de Avaliação da Garantia</t>
  </si>
  <si>
    <t>CET - Custo Efetivo Total Anual</t>
  </si>
  <si>
    <t>CESH - Custo Efetivo do Seguro Habitacional</t>
  </si>
  <si>
    <t>Imóvel localizado nos Estados (DF, MG, RJ ou SP)?</t>
  </si>
  <si>
    <t>Van Gogh</t>
  </si>
  <si>
    <t>Select / Private</t>
  </si>
  <si>
    <t>Segmento PF</t>
  </si>
  <si>
    <t>Zurich Santander - Apólice F1/Private</t>
  </si>
  <si>
    <t>Tókio Marine</t>
  </si>
  <si>
    <t>Zurich Santander</t>
  </si>
  <si>
    <t>Modalidade</t>
  </si>
  <si>
    <t>Aquisição</t>
  </si>
  <si>
    <t>Portabilidade</t>
  </si>
  <si>
    <t>Prazo Máximo</t>
  </si>
  <si>
    <t>Taxa Bonificada</t>
  </si>
  <si>
    <t>Bonif SFH</t>
  </si>
  <si>
    <t>Bonif CH</t>
  </si>
  <si>
    <t>Segmento*</t>
  </si>
  <si>
    <t>Funcionário</t>
  </si>
  <si>
    <t>Incorporador:</t>
  </si>
  <si>
    <r>
      <t>Importante</t>
    </r>
    <r>
      <rPr>
        <b/>
        <sz val="11"/>
        <color indexed="63"/>
        <rFont val="Arial"/>
        <family val="2"/>
      </rPr>
      <t xml:space="preserve">: </t>
    </r>
  </si>
  <si>
    <t>CONDIÇÕES GERAIS - Drop Down</t>
  </si>
  <si>
    <t>Todos os campos onde o usuário deverá escolher uma das opções oferecidas</t>
  </si>
  <si>
    <t>IDADE E PRAZO</t>
  </si>
  <si>
    <t>Drop Down Modalidade</t>
  </si>
  <si>
    <t>Idade</t>
  </si>
  <si>
    <t>Referência</t>
  </si>
  <si>
    <t>Nasc. (mutuário mais velho)</t>
  </si>
  <si>
    <t>Promessa</t>
  </si>
  <si>
    <t>Próximo aniversário</t>
  </si>
  <si>
    <t>Idade (mutuário mais velho)</t>
  </si>
  <si>
    <t>Idade - Promessa (+ 4 anos)</t>
  </si>
  <si>
    <t>anos</t>
  </si>
  <si>
    <t>Drop Down Coparticipante</t>
  </si>
  <si>
    <t>Drop Down de Parcelas</t>
  </si>
  <si>
    <t>Idade mínima e máxima</t>
  </si>
  <si>
    <t>Idade mínima</t>
  </si>
  <si>
    <t>Nasc. (Idade mínima)</t>
  </si>
  <si>
    <t>Idade máxima</t>
  </si>
  <si>
    <t>Drop Down Seguradora</t>
  </si>
  <si>
    <t>Drop Down Localidade do Imóvel (DF, MG, RJ ou SP)</t>
  </si>
  <si>
    <t>Nasc. (Idade máxima)</t>
  </si>
  <si>
    <t>Nasc. (Idade máxima - mín 1 ano fin.)</t>
  </si>
  <si>
    <t>Prazo máximo permitido</t>
  </si>
  <si>
    <t>Drop Down Segmento</t>
  </si>
  <si>
    <t>DESPESAS</t>
  </si>
  <si>
    <t>Despesas c/Financiamento</t>
  </si>
  <si>
    <t>Despesas c/Aquisição</t>
  </si>
  <si>
    <t>Certidões</t>
  </si>
  <si>
    <t>ITBI (máx 5% valor do imóvel)</t>
  </si>
  <si>
    <t>Registro do contrato (máx 1,2%)</t>
  </si>
  <si>
    <t>Laudêmio (5% do imóvel)</t>
  </si>
  <si>
    <t xml:space="preserve">    Laudêmio  (Desde que o pagamento tenha ficado a cargo do comprador)</t>
  </si>
  <si>
    <t>Parcelas Variáveis</t>
  </si>
  <si>
    <t>Parcelas Variáveis (Tabela Price)</t>
  </si>
  <si>
    <t>Parcelas Variáveis (SAC)</t>
  </si>
  <si>
    <t>DISCLAIMER</t>
  </si>
  <si>
    <t>Simulador</t>
  </si>
  <si>
    <t>Evolução Parc.</t>
  </si>
  <si>
    <t/>
  </si>
  <si>
    <t>Somatória das Parcelas</t>
  </si>
  <si>
    <t>Com Conta Salário</t>
  </si>
  <si>
    <t>CI Bonificado</t>
  </si>
  <si>
    <t>s/Bonif SFH</t>
  </si>
  <si>
    <t>s/Bonif CH</t>
  </si>
  <si>
    <t>PADRÃO</t>
  </si>
  <si>
    <t>CI BONIFICADO</t>
  </si>
  <si>
    <t>Resultado (s/Bonif)</t>
  </si>
  <si>
    <t>Drop Down Oferta</t>
  </si>
  <si>
    <t>6. Você está recebendo uma simulação com a Taxa de Juros Bonificada e outra com Taxa de Juros sem Bonificação. Consulte o site www.santander.com.br/cibonificado e saiba como manter a Taxa de Juros Bonificada vigente durante todo o período do financiamento.</t>
  </si>
  <si>
    <t>Escolha a Oferta*</t>
  </si>
  <si>
    <t>Imóvel localizado nos Estados* (DF, MG, RJ ou SP)?</t>
  </si>
  <si>
    <t>Modalidade*</t>
  </si>
  <si>
    <t>Drop Down Oferta SELECT</t>
  </si>
  <si>
    <t>Clique Aqui para ver a Evolução</t>
  </si>
  <si>
    <t>6) A taxa de Juros Bonificada é um benefício, ofertado pelo Santander, que reduz a taxa de juros do cliente para o cálculo das 12 primeiras prestações de seu financiamento imobiliário e pode ser prorrogada a cada período de 6 meses de acordo com o seu relacionamento mantido com o Santander. Para mais informações, consulte o site www.santander.com.br/br/cibonificado e saiba como permanecer com essa taxa vigente durante todo o período do financiamento.”</t>
  </si>
  <si>
    <t>CEM</t>
  </si>
  <si>
    <t>Custo Efeivo Máximo (CEM)</t>
  </si>
  <si>
    <t>Limite CEM (SFH)</t>
  </si>
  <si>
    <t>Novo Prazo</t>
  </si>
  <si>
    <t>GOAL SEEK</t>
  </si>
  <si>
    <t>Anos</t>
  </si>
  <si>
    <t>Meses</t>
  </si>
  <si>
    <t>Última Sugestão</t>
  </si>
  <si>
    <t>s/Rel SFH</t>
  </si>
  <si>
    <t>s/Rel CH</t>
  </si>
  <si>
    <t>Sem Relacionamento</t>
  </si>
  <si>
    <t>LTV Demais</t>
  </si>
  <si>
    <t>Resultado LTV</t>
  </si>
  <si>
    <t>CRÉDITO IMOBILIÁRIO SANTANDER</t>
  </si>
  <si>
    <t>Especial</t>
  </si>
  <si>
    <r>
      <t>Taxa Parcelas Atualizáveis (</t>
    </r>
    <r>
      <rPr>
        <sz val="12"/>
        <color indexed="10"/>
        <rFont val="Arial"/>
        <family val="2"/>
      </rPr>
      <t>sem bonificação</t>
    </r>
    <r>
      <rPr>
        <sz val="12"/>
        <rFont val="Arial"/>
        <family val="2"/>
      </rPr>
      <t>)</t>
    </r>
  </si>
  <si>
    <r>
      <t>Taxa Parcelas Atualizáveis (</t>
    </r>
    <r>
      <rPr>
        <sz val="12"/>
        <color indexed="17"/>
        <rFont val="Arial"/>
        <family val="2"/>
      </rPr>
      <t>bonificada</t>
    </r>
    <r>
      <rPr>
        <sz val="12"/>
        <rFont val="Arial"/>
        <family val="2"/>
      </rPr>
      <t>)</t>
    </r>
  </si>
  <si>
    <t>Imóvel Novo</t>
  </si>
  <si>
    <t>Resolução 4.555</t>
  </si>
  <si>
    <t>*Preenchimento obrigatório.</t>
  </si>
  <si>
    <t>**Conceito de Imóvel Novo:  Entende-se como imóvel novo, o imóvel pronto com até 180 (cento e oitenta) dias de habite-se ou com prazo superior a 180 (cento e oitenta) desde que não tenha sido habitado ou alienado.”</t>
  </si>
  <si>
    <t>IMÓVEL NOVO**</t>
  </si>
  <si>
    <r>
      <t xml:space="preserve">6) A taxa de Juros Bonificada é um benefício, ofertado pelo Santander, que reduz a taxa de juros do cliente para o cálculo das 12 primeiras prestações de seu financiamento imobiliário e pode ser prorrogada a cada período de 6 meses de acordo com o seu relacionamento mantido com o Santander. Para mais informações, consulte o site www.santander.com.br/br/cibonificado e saiba como permanecer com essa taxa vigente durante todo o período do financiamento.”
Obs: a oferta Plano Saúde é elegível somente aos clientes </t>
    </r>
    <r>
      <rPr>
        <b/>
        <u/>
        <sz val="11"/>
        <color indexed="63"/>
        <rFont val="Arial"/>
        <family val="2"/>
      </rPr>
      <t>médicos</t>
    </r>
    <r>
      <rPr>
        <b/>
        <sz val="11"/>
        <color indexed="63"/>
        <rFont val="Arial"/>
        <family val="2"/>
      </rPr>
      <t xml:space="preserve"> (profissão)</t>
    </r>
    <r>
      <rPr>
        <b/>
        <sz val="11"/>
        <color indexed="63"/>
        <rFont val="Arial"/>
        <family val="2"/>
      </rPr>
      <t>.</t>
    </r>
  </si>
  <si>
    <t>6. Você está recebendo uma simulação com a Taxa de Juros Bonificada e outra com Taxa de Juros sem Bonificação. Consulte o site www.santander.com.br/cibonificado e saiba como manter a Taxa de Juros Bonificada vigente durante todo o período do financiamento.
Obs: a oferta Plano Saúde é elegível somente aos clientes médicos (profissão).</t>
  </si>
  <si>
    <t>FOPA</t>
  </si>
  <si>
    <t>CI BONIF</t>
  </si>
  <si>
    <t>PLANO SAUDE</t>
  </si>
  <si>
    <t>Data da Simulação:</t>
  </si>
  <si>
    <t>GENERATE PDF</t>
  </si>
  <si>
    <t>Parcels</t>
  </si>
  <si>
    <t>Pages</t>
  </si>
  <si>
    <t>1 page</t>
  </si>
  <si>
    <t>2 pages</t>
  </si>
  <si>
    <t>3 pages</t>
  </si>
  <si>
    <t>4 pages</t>
  </si>
  <si>
    <t>5 pages</t>
  </si>
  <si>
    <t>Sempre compare a seguradora !! 
Temos condições diferenciadas.</t>
  </si>
  <si>
    <t>Seguradora:</t>
  </si>
  <si>
    <t>HDI Seguros</t>
  </si>
  <si>
    <t>MIP HDI</t>
  </si>
  <si>
    <t>DFI HDI</t>
  </si>
  <si>
    <t>2. De acordo com o Sistema Financeiro de Habitação, deverá ser contratado um seguro com as coberturas mínimas de MIP (Morte e Invalidez Permanente) e DFI (Danos Físicos ao Imóvel). Nós oferecemos para você duas opções de seguradora: a Zurich Santander Brasil Seguros ou a HDI Seguros. Se desejar, você também pode optar por contratar uma apólice de seguro individual disponível no mercado.</t>
  </si>
  <si>
    <t>4) De acordo com o Sistema Financeiro de Habitação, deverá ser contratado um seguro com as coberturas mínimas de MIP (Morte e Invalidez Permanente) e DFI (Danos Físicos ao Imóvel). Nós oferecemos para você duas opções de seguradora: a Zurich Santander Brasil Seguros ou a HDI Seguros. Se desejar, você também pode optar por contratar uma apólice de seguro individual disponível no mercado.</t>
  </si>
  <si>
    <t>FOPA TJSP &amp; TJPE</t>
  </si>
  <si>
    <t>6. Você está recebendo uma simulação com a Taxa de Juros Bonificada e outra com Taxa de Juros sem Bonificação. Consulte o site www.santander.com.br/cibonificado e saiba como manter a Taxa de Juros Bonificada vigente durante todo o período do financiamento.
Obs: a oferta FOPA TJSP &amp; TJPE é elegível para todos os clientes Folha de Pagamento do Tribunal de Justiça do Estado de São Paulo e do Tribunal de Justiça do Estado de Pernambuco, na modalidade Portabilidade a favor.</t>
  </si>
  <si>
    <r>
      <t>6) A taxa de Juros Bonificada é um benefício, ofertado pelo Santander, que reduz a taxa de juros do cliente para o cálculo das 12 primeiras prestações de seu financiamento imobiliário e pode ser prorrogada a cada período de 6 meses de acordo com o seu relacionamento mantido com o Santander. Para mais informações, consulte o site www.santander.com.br/br/cibonificado e saiba como permanecer com essa taxa vigente durante todo o período do financiamento.”
Obs: a oferta "</t>
    </r>
    <r>
      <rPr>
        <b/>
        <u/>
        <sz val="11"/>
        <color indexed="63"/>
        <rFont val="Arial"/>
        <family val="2"/>
      </rPr>
      <t>FOPA TJSP &amp; TJPE" é elegível para todos os clientes Folha de Pagamento do Tribunal de Justiça do Estado de São Paulo e do Tribunal de Justiça do Estado de Pernambuco.</t>
    </r>
  </si>
  <si>
    <t>6. Você está recebendo uma simulação com a Taxa de Juros Bonificada e outra com Taxa de Juros sem Bonificação. Consulte o site www.santander.com.br/cibonificado e saiba como manter a Taxa de Juros Bonificada vigente durante todo o período do financiamento.
Obs: a oferta "FOPA TJSP &amp; TJPE" é elegível para todos os clientes Folha de Pagamento do Tribunal de Justiça do Estado de São Paulo e do Tribunal de Justiça do Estado de Pernambuco.</t>
  </si>
  <si>
    <t>6) A taxa de Juros Bonificada é um benefício, ofertado pelo Santander, que reduz a taxa de juros do cliente para o cálculo das 12 primeiras prestações de seu financiamento imobiliário e pode ser prorrogada a cada período de 6 meses de acordo com o seu relacionamento mantido com o Santander. Para mais informações, consulte o site www.santander.com.br/br/cibonificado e saiba como permanecer com essa taxa vigente durante todo o período do financiamento.”
Obs: a oferta "FOPA TJSP &amp; TJPE" é elegível para todos os clientes Folha de Pagamento do Tribunal de Justiça do Estado de São Paulo e do Tribunal de Justiça do Estado de Pernambuco, na modalidade Portabilidade a favor.</t>
  </si>
  <si>
    <t>4. A presente simulação é válida para esta data e demonstra uma estimativa de um contrato de financiamento imobiliário, baseada nas taxas vigentes à época da simulação</t>
  </si>
  <si>
    <t>Despesas fixas 5%</t>
  </si>
  <si>
    <t>Desp fixas 5%</t>
  </si>
  <si>
    <t>NOVAS FAIXAS ETÁRIAS HDI SEGUROS</t>
  </si>
  <si>
    <t>Plano Saúde/Leilão</t>
  </si>
  <si>
    <t>LTV SAC</t>
  </si>
  <si>
    <t>LTV TP</t>
  </si>
  <si>
    <t>Plano Saúde</t>
  </si>
  <si>
    <t>LTV (2021.06.09)</t>
  </si>
  <si>
    <t>Limite LTV (SAC BONIFICADO)</t>
  </si>
  <si>
    <t>TAXAS</t>
  </si>
  <si>
    <t>LTV ACIMA DE 50%</t>
  </si>
  <si>
    <t>LTV ATÉ 50%</t>
  </si>
  <si>
    <t>LTV DA OPERAÇÃO</t>
  </si>
  <si>
    <t>NOVAS ALÍQUOTAS 2021</t>
  </si>
  <si>
    <t>PARA A HDI, UM PESSOA QUE TEM ATÉ 30 ANOS, 11 MESES E 30 DIAS NÃO SERÁ ENQUADRADA NA PRÓXIMA FAIXA ETÁRIA.</t>
  </si>
  <si>
    <t>SOMENTE PASSA PARA A PRÓXIMA FAIXA ETÁRIA QUANDO ATIGIR A IDADE EXATA DE INÍCIO DESTA NOVA FAIXA.</t>
  </si>
  <si>
    <t>ASSIM, SÓ A PARTIR DE 31 ANOS EXATOS QUE A PESSOA VAI ENTRAR NA 2a FAIXA ETÁRIA, E ASSIM POR DIANTE.</t>
  </si>
  <si>
    <t>Nascimento</t>
  </si>
  <si>
    <t>limite 80 anos e 6 meses</t>
  </si>
  <si>
    <t>Data final</t>
  </si>
  <si>
    <t>nascim</t>
  </si>
  <si>
    <t>Idade arred para cima</t>
  </si>
  <si>
    <t>data do contrato</t>
  </si>
  <si>
    <t>data final</t>
  </si>
  <si>
    <t>Meses além dos anos</t>
  </si>
  <si>
    <t>Dias fora os meses inteiros</t>
  </si>
  <si>
    <t>idade em meses</t>
  </si>
  <si>
    <t>máx</t>
  </si>
  <si>
    <t>prazo máximo</t>
  </si>
  <si>
    <t>meses =</t>
  </si>
  <si>
    <t>anos decimais</t>
  </si>
  <si>
    <t>Idade exata por extenso</t>
  </si>
  <si>
    <t>anos inteiros</t>
  </si>
  <si>
    <t>anos decimais =</t>
  </si>
  <si>
    <t>meses</t>
  </si>
  <si>
    <t>V. Mar/2022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</si>
</sst>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&quot;R$ &quot;#,##0.00"/>
    <numFmt numFmtId="167" formatCode="[$-416]mmm\-yy;@"/>
    <numFmt numFmtId="168" formatCode="0.0000"/>
    <numFmt numFmtId="169" formatCode="0.000"/>
    <numFmt numFmtId="170" formatCode="0.000%"/>
    <numFmt numFmtId="171" formatCode="0.0000%"/>
    <numFmt numFmtId="172" formatCode="0.00000%"/>
    <numFmt numFmtId="173" formatCode="0.000000%"/>
    <numFmt numFmtId="174" formatCode="0.0%"/>
    <numFmt numFmtId="175" formatCode="0.0000000%"/>
    <numFmt numFmtId="176" formatCode="0.00000000%"/>
    <numFmt numFmtId="177" formatCode="_(* #,##0_);_(* \(#,##0\);_(* &quot;-&quot;??_);_(@_)"/>
    <numFmt numFmtId="178" formatCode="[$-416]d\-mmm;@"/>
    <numFmt numFmtId="179" formatCode="_(* #,##0.0_);_(* \(#,##0.0\);_(* &quot;-&quot;??_);_(@_)"/>
    <numFmt numFmtId="180" formatCode="0.0000000000%"/>
  </numFmts>
  <fonts count="97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color indexed="9"/>
      <name val="Arial"/>
      <family val="2"/>
    </font>
    <font>
      <b/>
      <sz val="14"/>
      <color indexed="9"/>
      <name val="Arial"/>
      <family val="2"/>
    </font>
    <font>
      <b/>
      <sz val="12"/>
      <color indexed="10"/>
      <name val="Arial"/>
      <family val="2"/>
    </font>
    <font>
      <b/>
      <sz val="10"/>
      <color indexed="63"/>
      <name val="Arial"/>
      <family val="2"/>
    </font>
    <font>
      <b/>
      <sz val="14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6"/>
      <color indexed="10"/>
      <name val="Arial"/>
      <family val="2"/>
    </font>
    <font>
      <b/>
      <sz val="11"/>
      <color indexed="10"/>
      <name val="Arial"/>
      <family val="2"/>
    </font>
    <font>
      <b/>
      <vertAlign val="superscript"/>
      <sz val="12"/>
      <color indexed="9"/>
      <name val="Arial"/>
      <family val="2"/>
    </font>
    <font>
      <sz val="14"/>
      <name val="Arial"/>
      <family val="2"/>
    </font>
    <font>
      <b/>
      <u/>
      <sz val="14"/>
      <color indexed="9"/>
      <name val="Arial"/>
      <family val="2"/>
    </font>
    <font>
      <b/>
      <u/>
      <sz val="11"/>
      <color indexed="23"/>
      <name val="Arial"/>
      <family val="2"/>
    </font>
    <font>
      <b/>
      <sz val="11"/>
      <color indexed="23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2"/>
      <color indexed="18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indexed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u/>
      <sz val="9"/>
      <color indexed="9"/>
      <name val="Arial"/>
      <family val="2"/>
    </font>
    <font>
      <b/>
      <u/>
      <sz val="10"/>
      <color indexed="9"/>
      <name val="Arial"/>
      <family val="2"/>
    </font>
    <font>
      <sz val="11"/>
      <color indexed="12"/>
      <name val="Arial"/>
      <family val="2"/>
    </font>
    <font>
      <b/>
      <sz val="10.5"/>
      <color indexed="12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11"/>
      <color indexed="12"/>
      <name val="Arial"/>
      <family val="2"/>
    </font>
    <font>
      <b/>
      <sz val="11"/>
      <color indexed="9"/>
      <name val="Arial"/>
      <family val="2"/>
    </font>
    <font>
      <b/>
      <sz val="9"/>
      <color indexed="9"/>
      <name val="Arial"/>
      <family val="2"/>
    </font>
    <font>
      <b/>
      <vertAlign val="superscript"/>
      <sz val="9"/>
      <color indexed="9"/>
      <name val="Arial"/>
      <family val="2"/>
    </font>
    <font>
      <b/>
      <u/>
      <sz val="10.5"/>
      <name val="Arial"/>
      <family val="2"/>
    </font>
    <font>
      <sz val="9"/>
      <name val="Arial"/>
      <family val="2"/>
    </font>
    <font>
      <sz val="12"/>
      <color indexed="18"/>
      <name val="Arial"/>
      <family val="2"/>
    </font>
    <font>
      <b/>
      <sz val="16"/>
      <color indexed="9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</font>
    <font>
      <b/>
      <sz val="16"/>
      <color indexed="10"/>
      <name val="Arial (W1)"/>
      <family val="2"/>
    </font>
    <font>
      <b/>
      <sz val="11"/>
      <color indexed="63"/>
      <name val="Arial"/>
      <family val="2"/>
    </font>
    <font>
      <sz val="11"/>
      <name val="Arial"/>
      <family val="2"/>
    </font>
    <font>
      <sz val="12"/>
      <color indexed="10"/>
      <name val="Arial"/>
      <family val="2"/>
    </font>
    <font>
      <sz val="12"/>
      <name val="Arial"/>
      <family val="2"/>
    </font>
    <font>
      <sz val="12"/>
      <color indexed="17"/>
      <name val="Arial"/>
      <family val="2"/>
    </font>
    <font>
      <b/>
      <u/>
      <sz val="11"/>
      <color indexed="63"/>
      <name val="Arial"/>
      <family val="2"/>
    </font>
    <font>
      <b/>
      <sz val="9"/>
      <color indexed="81"/>
      <name val="Segoe UI"/>
      <family val="2"/>
    </font>
    <font>
      <sz val="7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 tint="-0.499984740745262"/>
      <name val="Arial"/>
      <family val="2"/>
    </font>
    <font>
      <sz val="10"/>
      <color rgb="FFFF0000"/>
      <name val="Arial"/>
      <family val="2"/>
    </font>
    <font>
      <b/>
      <sz val="10"/>
      <color rgb="FF002060"/>
      <name val="Arial"/>
      <family val="2"/>
    </font>
    <font>
      <b/>
      <sz val="10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6"/>
      <color rgb="FFFF0000"/>
      <name val="Arial"/>
      <family val="2"/>
    </font>
    <font>
      <sz val="10"/>
      <color rgb="FFEE0000"/>
      <name val="Arial"/>
      <family val="2"/>
    </font>
    <font>
      <b/>
      <sz val="10"/>
      <color rgb="FFEE0000"/>
      <name val="Arial"/>
      <family val="2"/>
    </font>
    <font>
      <b/>
      <sz val="10"/>
      <color theme="1" tint="0.34998626667073579"/>
      <name val="Arial"/>
      <family val="2"/>
    </font>
    <font>
      <b/>
      <u/>
      <sz val="11"/>
      <color theme="1" tint="0.34998626667073579"/>
      <name val="Arial"/>
      <family val="2"/>
    </font>
    <font>
      <sz val="10"/>
      <color theme="1" tint="0.34998626667073579"/>
      <name val="Arial"/>
      <family val="2"/>
    </font>
    <font>
      <b/>
      <sz val="11"/>
      <color theme="1" tint="0.34998626667073579"/>
      <name val="Arial"/>
      <family val="2"/>
    </font>
    <font>
      <b/>
      <sz val="11"/>
      <color rgb="FFFF0000"/>
      <name val="Arial"/>
      <family val="2"/>
    </font>
    <font>
      <sz val="11"/>
      <color rgb="FFEE0000"/>
      <name val="Arial"/>
      <family val="2"/>
    </font>
    <font>
      <sz val="11"/>
      <color theme="1" tint="0.499984740745262"/>
      <name val="Arial"/>
      <family val="2"/>
    </font>
    <font>
      <sz val="10"/>
      <color theme="0"/>
      <name val="Arial"/>
      <family val="2"/>
    </font>
    <font>
      <u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sz val="11"/>
      <color rgb="FFFF0000"/>
      <name val="Arial"/>
      <family val="2"/>
    </font>
    <font>
      <b/>
      <sz val="9"/>
      <color theme="1" tint="0.34998626667073579"/>
      <name val="Calibri"/>
      <family val="2"/>
      <scheme val="minor"/>
    </font>
    <font>
      <b/>
      <sz val="12"/>
      <color rgb="FFEE0000"/>
      <name val="Arial (W1)"/>
      <family val="2"/>
    </font>
    <font>
      <sz val="11"/>
      <color rgb="FFFF0000"/>
      <name val="Calibri"/>
      <family val="2"/>
    </font>
    <font>
      <b/>
      <sz val="16"/>
      <color rgb="FFEE0000"/>
      <name val="Arial"/>
      <family val="2"/>
    </font>
    <font>
      <b/>
      <sz val="11"/>
      <color rgb="FF002060"/>
      <name val="Arial"/>
      <family val="2"/>
    </font>
    <font>
      <b/>
      <sz val="10"/>
      <color rgb="FF0070C0"/>
      <name val="Arial"/>
      <family val="2"/>
    </font>
    <font>
      <sz val="6"/>
      <color theme="1" tint="0.34998626667073579"/>
      <name val="Arial"/>
      <family val="2"/>
    </font>
    <font>
      <sz val="8"/>
      <color rgb="FF000000"/>
      <name val="Segoe UI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i/>
      <sz val="10"/>
      <color theme="1"/>
      <name val="Arial"/>
      <family val="2"/>
    </font>
    <font>
      <b/>
      <sz val="11"/>
      <color rgb="FF00B050"/>
      <name val="Arial"/>
      <family val="2"/>
    </font>
    <font>
      <sz val="11"/>
      <color rgb="FF0070C0"/>
      <name val="Calibri"/>
      <family val="2"/>
      <scheme val="minor"/>
    </font>
    <font>
      <b/>
      <sz val="10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8"/>
      </patternFill>
    </fill>
    <fill>
      <patternFill patternType="solid">
        <fgColor indexed="22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2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2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22"/>
      </left>
      <right style="medium">
        <color indexed="22"/>
      </right>
      <top/>
      <bottom style="medium">
        <color indexed="22"/>
      </bottom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indexed="10"/>
      </top>
      <bottom style="hair">
        <color indexed="10"/>
      </bottom>
      <diagonal/>
    </border>
    <border>
      <left style="medium">
        <color indexed="22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10"/>
      </top>
      <bottom style="medium">
        <color indexed="10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23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medium">
        <color indexed="22"/>
      </right>
      <top/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/>
      <diagonal/>
    </border>
    <border>
      <left/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/>
      <top style="medium">
        <color indexed="22"/>
      </top>
      <bottom style="medium">
        <color indexed="22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/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22"/>
      </left>
      <right/>
      <top/>
      <bottom style="medium">
        <color indexed="22"/>
      </bottom>
      <diagonal/>
    </border>
    <border>
      <left/>
      <right style="medium">
        <color indexed="22"/>
      </right>
      <top/>
      <bottom style="medium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55"/>
      </bottom>
      <diagonal/>
    </border>
    <border>
      <left/>
      <right style="thin">
        <color indexed="22"/>
      </right>
      <top style="thin">
        <color indexed="22"/>
      </top>
      <bottom style="thin">
        <color indexed="55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hair">
        <color rgb="FFFF0000"/>
      </bottom>
      <diagonal/>
    </border>
    <border>
      <left/>
      <right/>
      <top style="hair">
        <color rgb="FFFF0000"/>
      </top>
      <bottom style="hair">
        <color rgb="FFFF0000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theme="0" tint="-0.249977111117893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thin">
        <color indexed="64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indexed="22"/>
      </left>
      <right style="medium">
        <color indexed="22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indexed="22"/>
      </left>
      <right style="thin">
        <color theme="0" tint="-0.249977111117893"/>
      </right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249977111117893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indexed="22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2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22"/>
      </left>
      <right/>
      <top style="thin">
        <color indexed="22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22"/>
      </top>
      <bottom style="thin">
        <color theme="0" tint="-0.249977111117893"/>
      </bottom>
      <diagonal/>
    </border>
    <border>
      <left/>
      <right/>
      <top style="medium">
        <color indexed="22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/>
      <top/>
      <bottom style="thin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thin">
        <color indexed="64"/>
      </bottom>
      <diagonal/>
    </border>
    <border>
      <left/>
      <right style="medium">
        <color rgb="FF00B050"/>
      </right>
      <top/>
      <bottom style="thin">
        <color indexed="64"/>
      </bottom>
      <diagonal/>
    </border>
    <border>
      <left style="medium">
        <color rgb="FF00B050"/>
      </left>
      <right/>
      <top style="thin">
        <color indexed="64"/>
      </top>
      <bottom style="thin">
        <color indexed="64"/>
      </bottom>
      <diagonal/>
    </border>
    <border>
      <left style="medium">
        <color rgb="FF00B050"/>
      </left>
      <right style="medium">
        <color rgb="FF00B050"/>
      </right>
      <top style="thin">
        <color indexed="64"/>
      </top>
      <bottom style="thin">
        <color indexed="64"/>
      </bottom>
      <diagonal/>
    </border>
    <border>
      <left/>
      <right style="medium">
        <color rgb="FF00B050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thin">
        <color indexed="64"/>
      </top>
      <bottom style="medium">
        <color rgb="FF00B050"/>
      </bottom>
      <diagonal/>
    </border>
    <border>
      <left/>
      <right style="medium">
        <color rgb="FF00B050"/>
      </right>
      <top style="thin">
        <color indexed="64"/>
      </top>
      <bottom style="medium">
        <color rgb="FF00B050"/>
      </bottom>
      <diagonal/>
    </border>
  </borders>
  <cellStyleXfs count="21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  <xf numFmtId="165" fontId="2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59" fillId="0" borderId="0"/>
    <xf numFmtId="0" fontId="2" fillId="0" borderId="0"/>
    <xf numFmtId="9" fontId="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712">
    <xf numFmtId="0" fontId="0" fillId="0" borderId="0" xfId="0"/>
    <xf numFmtId="166" fontId="6" fillId="0" borderId="0" xfId="0" applyNumberFormat="1" applyFont="1" applyAlignment="1">
      <alignment horizontal="center"/>
    </xf>
    <xf numFmtId="0" fontId="5" fillId="0" borderId="2" xfId="0" applyFont="1" applyBorder="1"/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166" fontId="7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 applyProtection="1">
      <alignment horizontal="left" vertical="center" indent="1"/>
      <protection hidden="1"/>
    </xf>
    <xf numFmtId="0" fontId="8" fillId="0" borderId="0" xfId="1" applyFont="1" applyFill="1" applyAlignment="1" applyProtection="1"/>
    <xf numFmtId="166" fontId="8" fillId="0" borderId="0" xfId="1" applyNumberFormat="1" applyFont="1" applyFill="1" applyBorder="1" applyAlignment="1" applyProtection="1">
      <alignment horizontal="center"/>
      <protection hidden="1"/>
    </xf>
    <xf numFmtId="0" fontId="10" fillId="0" borderId="0" xfId="0" applyFont="1"/>
    <xf numFmtId="0" fontId="5" fillId="0" borderId="4" xfId="0" applyFont="1" applyBorder="1" applyAlignment="1">
      <alignment horizontal="center"/>
    </xf>
    <xf numFmtId="0" fontId="5" fillId="0" borderId="0" xfId="0" applyFont="1"/>
    <xf numFmtId="0" fontId="11" fillId="0" borderId="0" xfId="0" applyFont="1" applyAlignment="1" applyProtection="1">
      <alignment vertical="center"/>
      <protection hidden="1"/>
    </xf>
    <xf numFmtId="167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166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166" fontId="5" fillId="0" borderId="0" xfId="0" applyNumberFormat="1" applyFont="1" applyProtection="1">
      <protection hidden="1"/>
    </xf>
    <xf numFmtId="0" fontId="15" fillId="0" borderId="0" xfId="0" applyFont="1" applyAlignment="1">
      <alignment horizontal="right" vertical="center"/>
    </xf>
    <xf numFmtId="0" fontId="17" fillId="0" borderId="0" xfId="0" applyFont="1" applyAlignment="1" applyProtection="1">
      <alignment vertical="center"/>
      <protection hidden="1"/>
    </xf>
    <xf numFmtId="0" fontId="8" fillId="0" borderId="0" xfId="0" applyFont="1" applyAlignment="1">
      <alignment horizontal="right" vertical="center" wrapText="1"/>
    </xf>
    <xf numFmtId="0" fontId="5" fillId="0" borderId="0" xfId="0" applyFont="1" applyAlignment="1">
      <alignment horizontal="left" vertical="center" indent="1"/>
    </xf>
    <xf numFmtId="0" fontId="21" fillId="0" borderId="0" xfId="0" applyFont="1" applyAlignment="1">
      <alignment vertical="center"/>
    </xf>
    <xf numFmtId="167" fontId="5" fillId="0" borderId="0" xfId="0" applyNumberFormat="1" applyFont="1"/>
    <xf numFmtId="0" fontId="21" fillId="0" borderId="0" xfId="0" applyFont="1" applyAlignment="1" applyProtection="1">
      <alignment vertical="center"/>
      <protection locked="0" hidden="1"/>
    </xf>
    <xf numFmtId="0" fontId="21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horizontal="left" vertical="center" wrapText="1" indent="1"/>
    </xf>
    <xf numFmtId="0" fontId="9" fillId="0" borderId="0" xfId="0" applyFont="1" applyAlignment="1" applyProtection="1">
      <alignment horizontal="left" vertical="center"/>
      <protection hidden="1"/>
    </xf>
    <xf numFmtId="0" fontId="8" fillId="0" borderId="0" xfId="0" applyFont="1" applyAlignment="1">
      <alignment vertical="center" wrapText="1"/>
    </xf>
    <xf numFmtId="0" fontId="5" fillId="0" borderId="0" xfId="0" applyFont="1" applyAlignment="1" applyProtection="1">
      <alignment horizontal="left" vertical="center"/>
      <protection hidden="1"/>
    </xf>
    <xf numFmtId="166" fontId="5" fillId="0" borderId="0" xfId="0" applyNumberFormat="1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22" fillId="0" borderId="0" xfId="0" applyFont="1" applyAlignment="1" applyProtection="1">
      <alignment vertical="center" wrapText="1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14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6" fillId="3" borderId="7" xfId="0" applyNumberFormat="1" applyFont="1" applyFill="1" applyBorder="1" applyAlignment="1" applyProtection="1">
      <alignment horizontal="center" vertical="center" wrapText="1"/>
      <protection hidden="1"/>
    </xf>
    <xf numFmtId="164" fontId="2" fillId="0" borderId="1" xfId="20" applyFont="1" applyBorder="1" applyAlignment="1" applyProtection="1">
      <alignment horizontal="center"/>
      <protection hidden="1"/>
    </xf>
    <xf numFmtId="0" fontId="4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1" fillId="0" borderId="0" xfId="0" applyFont="1"/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center"/>
    </xf>
    <xf numFmtId="0" fontId="5" fillId="4" borderId="0" xfId="0" applyFont="1" applyFill="1" applyAlignment="1">
      <alignment horizontal="center" vertical="center"/>
    </xf>
    <xf numFmtId="171" fontId="5" fillId="4" borderId="0" xfId="10" applyNumberFormat="1" applyFont="1" applyFill="1" applyAlignment="1" applyProtection="1">
      <alignment horizontal="center" vertical="center"/>
      <protection locked="0"/>
    </xf>
    <xf numFmtId="171" fontId="5" fillId="4" borderId="0" xfId="10" applyNumberFormat="1" applyFont="1" applyFill="1" applyAlignment="1" applyProtection="1">
      <alignment horizontal="center" vertical="center"/>
      <protection hidden="1"/>
    </xf>
    <xf numFmtId="0" fontId="31" fillId="0" borderId="0" xfId="0" applyFont="1"/>
    <xf numFmtId="178" fontId="31" fillId="0" borderId="0" xfId="0" applyNumberFormat="1" applyFont="1"/>
    <xf numFmtId="166" fontId="8" fillId="0" borderId="11" xfId="1" applyNumberFormat="1" applyFont="1" applyFill="1" applyBorder="1" applyAlignment="1" applyProtection="1">
      <alignment horizontal="center" vertical="center" wrapText="1"/>
      <protection hidden="1"/>
    </xf>
    <xf numFmtId="0" fontId="18" fillId="0" borderId="0" xfId="1" applyFont="1" applyFill="1" applyBorder="1" applyAlignment="1" applyProtection="1">
      <alignment horizontal="center" vertical="center" wrapText="1"/>
      <protection hidden="1"/>
    </xf>
    <xf numFmtId="166" fontId="8" fillId="0" borderId="0" xfId="1" applyNumberFormat="1" applyFont="1" applyFill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166" fontId="5" fillId="0" borderId="0" xfId="0" applyNumberFormat="1" applyFont="1" applyAlignment="1" applyProtection="1">
      <alignment horizontal="right" vertical="center"/>
      <protection locked="0"/>
    </xf>
    <xf numFmtId="0" fontId="14" fillId="0" borderId="0" xfId="0" applyFont="1" applyAlignment="1">
      <alignment horizontal="center" vertical="center"/>
    </xf>
    <xf numFmtId="0" fontId="32" fillId="0" borderId="0" xfId="1" applyFont="1" applyFill="1" applyBorder="1" applyAlignment="1" applyProtection="1">
      <alignment horizontal="center" vertical="center" wrapText="1"/>
    </xf>
    <xf numFmtId="0" fontId="33" fillId="0" borderId="0" xfId="1" applyFont="1" applyFill="1" applyBorder="1" applyAlignment="1" applyProtection="1">
      <alignment horizontal="center" vertical="center" wrapText="1"/>
    </xf>
    <xf numFmtId="0" fontId="5" fillId="0" borderId="0" xfId="0" applyFont="1" applyAlignment="1">
      <alignment vertical="center"/>
    </xf>
    <xf numFmtId="0" fontId="19" fillId="0" borderId="12" xfId="0" applyFont="1" applyBorder="1" applyAlignment="1" applyProtection="1">
      <alignment vertical="center" wrapText="1"/>
      <protection hidden="1"/>
    </xf>
    <xf numFmtId="0" fontId="19" fillId="0" borderId="0" xfId="0" applyFont="1" applyAlignment="1" applyProtection="1">
      <alignment vertical="center" wrapText="1"/>
      <protection hidden="1"/>
    </xf>
    <xf numFmtId="0" fontId="19" fillId="0" borderId="0" xfId="0" applyFont="1" applyAlignment="1">
      <alignment vertical="center" wrapText="1"/>
    </xf>
    <xf numFmtId="0" fontId="34" fillId="0" borderId="0" xfId="0" applyFont="1" applyAlignment="1">
      <alignment horizontal="left" vertical="center"/>
    </xf>
    <xf numFmtId="0" fontId="5" fillId="5" borderId="2" xfId="0" applyFont="1" applyFill="1" applyBorder="1" applyAlignment="1">
      <alignment vertical="center"/>
    </xf>
    <xf numFmtId="0" fontId="5" fillId="6" borderId="2" xfId="0" applyFont="1" applyFill="1" applyBorder="1" applyAlignment="1">
      <alignment vertical="center"/>
    </xf>
    <xf numFmtId="0" fontId="5" fillId="7" borderId="0" xfId="0" applyFont="1" applyFill="1" applyAlignment="1">
      <alignment vertical="center"/>
    </xf>
    <xf numFmtId="10" fontId="5" fillId="7" borderId="0" xfId="9" applyNumberFormat="1" applyFont="1" applyFill="1" applyBorder="1" applyAlignment="1">
      <alignment vertical="center"/>
    </xf>
    <xf numFmtId="0" fontId="9" fillId="0" borderId="0" xfId="0" applyFont="1" applyAlignment="1" applyProtection="1">
      <alignment vertical="center"/>
      <protection hidden="1"/>
    </xf>
    <xf numFmtId="0" fontId="2" fillId="0" borderId="0" xfId="0" applyFont="1" applyAlignment="1">
      <alignment horizontal="left" vertical="top" wrapText="1"/>
    </xf>
    <xf numFmtId="0" fontId="38" fillId="0" borderId="13" xfId="0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wrapText="1"/>
    </xf>
    <xf numFmtId="0" fontId="9" fillId="0" borderId="0" xfId="0" applyFont="1" applyAlignment="1" applyProtection="1">
      <alignment vertical="top" wrapText="1"/>
      <protection hidden="1"/>
    </xf>
    <xf numFmtId="0" fontId="2" fillId="0" borderId="2" xfId="0" applyFont="1" applyBorder="1" applyAlignment="1">
      <alignment horizontal="left" vertical="center"/>
    </xf>
    <xf numFmtId="0" fontId="21" fillId="2" borderId="14" xfId="0" applyFont="1" applyFill="1" applyBorder="1" applyAlignment="1" applyProtection="1">
      <alignment horizontal="left" vertical="center" indent="1"/>
      <protection hidden="1"/>
    </xf>
    <xf numFmtId="0" fontId="2" fillId="0" borderId="0" xfId="0" applyFont="1"/>
    <xf numFmtId="0" fontId="40" fillId="2" borderId="0" xfId="0" applyFont="1" applyFill="1" applyAlignment="1" applyProtection="1">
      <alignment horizontal="left" vertical="center"/>
      <protection hidden="1"/>
    </xf>
    <xf numFmtId="0" fontId="38" fillId="0" borderId="15" xfId="0" applyFont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vertical="center"/>
      <protection hidden="1"/>
    </xf>
    <xf numFmtId="166" fontId="41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61" fillId="0" borderId="0" xfId="0" applyFont="1" applyAlignment="1" applyProtection="1">
      <alignment horizontal="left"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36" fillId="0" borderId="0" xfId="0" applyFont="1" applyAlignment="1" applyProtection="1">
      <alignment horizontal="right" vertical="center"/>
      <protection locked="0"/>
    </xf>
    <xf numFmtId="0" fontId="31" fillId="2" borderId="0" xfId="0" applyFont="1" applyFill="1" applyAlignment="1">
      <alignment vertical="center"/>
    </xf>
    <xf numFmtId="0" fontId="5" fillId="0" borderId="0" xfId="8" applyFont="1" applyProtection="1">
      <protection hidden="1"/>
    </xf>
    <xf numFmtId="0" fontId="5" fillId="0" borderId="0" xfId="8" applyFont="1" applyAlignment="1" applyProtection="1">
      <alignment horizontal="center" vertical="center"/>
      <protection hidden="1"/>
    </xf>
    <xf numFmtId="0" fontId="5" fillId="0" borderId="0" xfId="8" applyFont="1" applyAlignment="1" applyProtection="1">
      <alignment horizontal="center" vertical="center" wrapText="1"/>
      <protection hidden="1"/>
    </xf>
    <xf numFmtId="10" fontId="2" fillId="0" borderId="0" xfId="9" applyNumberFormat="1" applyFont="1" applyFill="1" applyBorder="1" applyProtection="1">
      <protection hidden="1"/>
    </xf>
    <xf numFmtId="0" fontId="5" fillId="0" borderId="81" xfId="8" applyFont="1" applyBorder="1" applyAlignment="1" applyProtection="1">
      <alignment vertical="center"/>
      <protection hidden="1"/>
    </xf>
    <xf numFmtId="0" fontId="5" fillId="13" borderId="0" xfId="8" applyFont="1" applyFill="1" applyProtection="1">
      <protection hidden="1"/>
    </xf>
    <xf numFmtId="166" fontId="5" fillId="14" borderId="0" xfId="8" applyNumberFormat="1" applyFont="1" applyFill="1" applyAlignment="1" applyProtection="1">
      <alignment vertical="center"/>
      <protection hidden="1"/>
    </xf>
    <xf numFmtId="9" fontId="2" fillId="15" borderId="82" xfId="8" applyNumberFormat="1" applyFill="1" applyBorder="1" applyAlignment="1" applyProtection="1">
      <alignment horizontal="center" vertical="center" wrapText="1"/>
      <protection locked="0"/>
    </xf>
    <xf numFmtId="2" fontId="2" fillId="15" borderId="82" xfId="2" applyNumberFormat="1" applyFont="1" applyFill="1" applyBorder="1" applyAlignment="1" applyProtection="1">
      <alignment horizontal="center" vertical="center"/>
      <protection locked="0"/>
    </xf>
    <xf numFmtId="171" fontId="2" fillId="15" borderId="83" xfId="9" applyNumberFormat="1" applyFont="1" applyFill="1" applyBorder="1" applyAlignment="1" applyProtection="1">
      <alignment horizontal="center"/>
      <protection locked="0"/>
    </xf>
    <xf numFmtId="0" fontId="44" fillId="14" borderId="0" xfId="8" applyFont="1" applyFill="1" applyAlignment="1" applyProtection="1">
      <alignment horizontal="left" vertical="center"/>
      <protection hidden="1"/>
    </xf>
    <xf numFmtId="0" fontId="44" fillId="14" borderId="0" xfId="8" applyFont="1" applyFill="1" applyProtection="1">
      <protection hidden="1"/>
    </xf>
    <xf numFmtId="0" fontId="2" fillId="0" borderId="0" xfId="8" applyAlignment="1" applyProtection="1">
      <alignment horizontal="left"/>
      <protection hidden="1"/>
    </xf>
    <xf numFmtId="0" fontId="3" fillId="14" borderId="0" xfId="8" applyFont="1" applyFill="1" applyAlignment="1" applyProtection="1">
      <alignment horizontal="left" vertical="center"/>
      <protection hidden="1"/>
    </xf>
    <xf numFmtId="0" fontId="2" fillId="0" borderId="0" xfId="0" applyFont="1" applyAlignment="1">
      <alignment horizontal="right"/>
    </xf>
    <xf numFmtId="0" fontId="2" fillId="0" borderId="16" xfId="0" applyFont="1" applyBorder="1" applyAlignment="1">
      <alignment vertical="center"/>
    </xf>
    <xf numFmtId="0" fontId="62" fillId="2" borderId="0" xfId="0" applyFont="1" applyFill="1" applyAlignment="1" applyProtection="1">
      <alignment horizontal="left" vertical="center" indent="1"/>
      <protection hidden="1"/>
    </xf>
    <xf numFmtId="167" fontId="2" fillId="0" borderId="84" xfId="0" applyNumberFormat="1" applyFont="1" applyBorder="1" applyProtection="1">
      <protection hidden="1"/>
    </xf>
    <xf numFmtId="167" fontId="2" fillId="0" borderId="85" xfId="0" applyNumberFormat="1" applyFont="1" applyBorder="1" applyProtection="1">
      <protection hidden="1"/>
    </xf>
    <xf numFmtId="0" fontId="2" fillId="0" borderId="85" xfId="0" applyFont="1" applyBorder="1" applyAlignment="1" applyProtection="1">
      <alignment horizontal="left"/>
      <protection hidden="1"/>
    </xf>
    <xf numFmtId="166" fontId="2" fillId="0" borderId="85" xfId="0" applyNumberFormat="1" applyFont="1" applyBorder="1" applyAlignment="1" applyProtection="1">
      <alignment horizontal="left"/>
      <protection hidden="1"/>
    </xf>
    <xf numFmtId="167" fontId="2" fillId="0" borderId="0" xfId="0" applyNumberFormat="1" applyFont="1"/>
    <xf numFmtId="0" fontId="2" fillId="0" borderId="0" xfId="0" applyFont="1" applyProtection="1">
      <protection hidden="1"/>
    </xf>
    <xf numFmtId="166" fontId="2" fillId="0" borderId="0" xfId="0" applyNumberFormat="1" applyFont="1" applyProtection="1">
      <protection hidden="1"/>
    </xf>
    <xf numFmtId="167" fontId="45" fillId="0" borderId="0" xfId="0" applyNumberFormat="1" applyFont="1" applyProtection="1">
      <protection hidden="1"/>
    </xf>
    <xf numFmtId="0" fontId="2" fillId="0" borderId="0" xfId="0" applyFont="1" applyAlignment="1">
      <alignment vertical="center"/>
    </xf>
    <xf numFmtId="0" fontId="2" fillId="0" borderId="0" xfId="0" applyFont="1" applyAlignment="1">
      <alignment wrapText="1"/>
    </xf>
    <xf numFmtId="166" fontId="2" fillId="0" borderId="84" xfId="0" applyNumberFormat="1" applyFont="1" applyBorder="1" applyProtection="1">
      <protection hidden="1"/>
    </xf>
    <xf numFmtId="0" fontId="2" fillId="0" borderId="84" xfId="0" applyFont="1" applyBorder="1"/>
    <xf numFmtId="171" fontId="2" fillId="0" borderId="84" xfId="0" applyNumberFormat="1" applyFont="1" applyBorder="1" applyProtection="1">
      <protection hidden="1"/>
    </xf>
    <xf numFmtId="0" fontId="2" fillId="0" borderId="85" xfId="0" applyFont="1" applyBorder="1" applyProtection="1">
      <protection hidden="1"/>
    </xf>
    <xf numFmtId="0" fontId="2" fillId="0" borderId="85" xfId="0" applyFont="1" applyBorder="1"/>
    <xf numFmtId="10" fontId="2" fillId="0" borderId="85" xfId="9" applyNumberFormat="1" applyFont="1" applyFill="1" applyBorder="1" applyProtection="1">
      <protection hidden="1"/>
    </xf>
    <xf numFmtId="0" fontId="2" fillId="0" borderId="84" xfId="0" applyFont="1" applyBorder="1" applyProtection="1">
      <protection hidden="1"/>
    </xf>
    <xf numFmtId="9" fontId="2" fillId="0" borderId="84" xfId="9" applyFont="1" applyFill="1" applyBorder="1" applyAlignment="1" applyProtection="1">
      <alignment horizontal="center"/>
      <protection hidden="1"/>
    </xf>
    <xf numFmtId="166" fontId="2" fillId="0" borderId="85" xfId="0" applyNumberFormat="1" applyFont="1" applyBorder="1" applyProtection="1">
      <protection hidden="1"/>
    </xf>
    <xf numFmtId="10" fontId="2" fillId="0" borderId="85" xfId="9" applyNumberFormat="1" applyFont="1" applyFill="1" applyBorder="1" applyAlignment="1" applyProtection="1">
      <alignment horizontal="center"/>
      <protection hidden="1"/>
    </xf>
    <xf numFmtId="167" fontId="2" fillId="0" borderId="85" xfId="0" applyNumberFormat="1" applyFont="1" applyBorder="1" applyAlignment="1" applyProtection="1">
      <alignment horizontal="left" indent="2"/>
      <protection hidden="1"/>
    </xf>
    <xf numFmtId="167" fontId="2" fillId="0" borderId="0" xfId="0" applyNumberFormat="1" applyFont="1" applyProtection="1">
      <protection hidden="1"/>
    </xf>
    <xf numFmtId="166" fontId="2" fillId="0" borderId="84" xfId="0" applyNumberFormat="1" applyFont="1" applyBorder="1" applyAlignment="1" applyProtection="1">
      <alignment horizontal="center"/>
      <protection hidden="1"/>
    </xf>
    <xf numFmtId="1" fontId="2" fillId="0" borderId="85" xfId="0" applyNumberFormat="1" applyFont="1" applyBorder="1" applyAlignment="1" applyProtection="1">
      <alignment horizontal="center"/>
      <protection hidden="1"/>
    </xf>
    <xf numFmtId="10" fontId="2" fillId="0" borderId="85" xfId="0" applyNumberFormat="1" applyFont="1" applyBorder="1" applyAlignment="1" applyProtection="1">
      <alignment horizontal="center"/>
      <protection hidden="1"/>
    </xf>
    <xf numFmtId="10" fontId="2" fillId="0" borderId="84" xfId="9" applyNumberFormat="1" applyFont="1" applyFill="1" applyBorder="1" applyAlignment="1" applyProtection="1">
      <alignment horizontal="center"/>
      <protection hidden="1"/>
    </xf>
    <xf numFmtId="1" fontId="2" fillId="0" borderId="84" xfId="0" applyNumberFormat="1" applyFont="1" applyBorder="1" applyAlignment="1" applyProtection="1">
      <alignment horizontal="center"/>
      <protection hidden="1"/>
    </xf>
    <xf numFmtId="166" fontId="2" fillId="0" borderId="0" xfId="0" applyNumberFormat="1" applyFont="1"/>
    <xf numFmtId="166" fontId="45" fillId="0" borderId="0" xfId="0" applyNumberFormat="1" applyFont="1"/>
    <xf numFmtId="164" fontId="2" fillId="0" borderId="0" xfId="20" applyFont="1" applyFill="1" applyBorder="1" applyAlignment="1" applyProtection="1">
      <alignment horizontal="center" vertical="center"/>
      <protection hidden="1"/>
    </xf>
    <xf numFmtId="10" fontId="2" fillId="0" borderId="0" xfId="0" applyNumberFormat="1" applyFont="1" applyAlignment="1">
      <alignment horizontal="right"/>
    </xf>
    <xf numFmtId="0" fontId="20" fillId="0" borderId="0" xfId="0" applyFont="1" applyAlignment="1" applyProtection="1">
      <alignment horizontal="justify" vertical="center" wrapText="1"/>
      <protection hidden="1"/>
    </xf>
    <xf numFmtId="0" fontId="5" fillId="7" borderId="0" xfId="0" applyFont="1" applyFill="1" applyAlignment="1">
      <alignment vertical="center" textRotation="90"/>
    </xf>
    <xf numFmtId="171" fontId="2" fillId="0" borderId="85" xfId="0" applyNumberFormat="1" applyFont="1" applyBorder="1" applyAlignment="1" applyProtection="1">
      <alignment horizontal="center"/>
      <protection hidden="1"/>
    </xf>
    <xf numFmtId="0" fontId="63" fillId="0" borderId="0" xfId="0" applyFont="1"/>
    <xf numFmtId="0" fontId="63" fillId="0" borderId="0" xfId="0" applyFont="1" applyAlignment="1">
      <alignment horizontal="left" vertical="top" wrapText="1"/>
    </xf>
    <xf numFmtId="0" fontId="39" fillId="0" borderId="0" xfId="0" applyFont="1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166" fontId="30" fillId="0" borderId="0" xfId="0" applyNumberFormat="1" applyFont="1" applyAlignment="1" applyProtection="1">
      <alignment horizontal="center" vertical="center" wrapText="1"/>
      <protection hidden="1"/>
    </xf>
    <xf numFmtId="0" fontId="64" fillId="0" borderId="0" xfId="0" applyFont="1" applyAlignment="1">
      <alignment horizontal="center" vertical="center"/>
    </xf>
    <xf numFmtId="0" fontId="35" fillId="0" borderId="0" xfId="0" applyFont="1" applyAlignment="1" applyProtection="1">
      <alignment horizontal="center" vertical="center"/>
      <protection hidden="1"/>
    </xf>
    <xf numFmtId="14" fontId="2" fillId="0" borderId="1" xfId="0" applyNumberFormat="1" applyFont="1" applyBorder="1" applyAlignment="1" applyProtection="1">
      <alignment horizontal="right" vertical="center"/>
      <protection locked="0"/>
    </xf>
    <xf numFmtId="0" fontId="14" fillId="0" borderId="0" xfId="0" applyFont="1" applyAlignment="1" applyProtection="1">
      <alignment horizontal="left" vertical="center" indent="15"/>
      <protection hidden="1"/>
    </xf>
    <xf numFmtId="0" fontId="46" fillId="0" borderId="0" xfId="0" applyFont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30" fillId="2" borderId="0" xfId="0" applyFont="1" applyFill="1" applyAlignment="1">
      <alignment vertical="center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>
      <alignment horizontal="center"/>
    </xf>
    <xf numFmtId="0" fontId="2" fillId="0" borderId="18" xfId="0" applyFont="1" applyBorder="1" applyAlignment="1" applyProtection="1">
      <alignment vertical="center"/>
      <protection hidden="1"/>
    </xf>
    <xf numFmtId="1" fontId="2" fillId="0" borderId="0" xfId="0" applyNumberFormat="1" applyFont="1" applyAlignment="1">
      <alignment horizontal="center"/>
    </xf>
    <xf numFmtId="166" fontId="2" fillId="0" borderId="1" xfId="0" applyNumberFormat="1" applyFont="1" applyBorder="1" applyAlignment="1" applyProtection="1">
      <alignment horizontal="right" vertical="center"/>
      <protection locked="0"/>
    </xf>
    <xf numFmtId="165" fontId="2" fillId="0" borderId="1" xfId="2" applyFont="1" applyFill="1" applyBorder="1" applyAlignment="1" applyProtection="1">
      <alignment horizontal="right" vertical="center"/>
      <protection locked="0"/>
    </xf>
    <xf numFmtId="166" fontId="30" fillId="14" borderId="0" xfId="0" applyNumberFormat="1" applyFont="1" applyFill="1" applyAlignment="1" applyProtection="1">
      <alignment horizontal="right" vertical="center"/>
      <protection hidden="1"/>
    </xf>
    <xf numFmtId="0" fontId="2" fillId="0" borderId="2" xfId="0" applyFont="1" applyBorder="1"/>
    <xf numFmtId="0" fontId="2" fillId="0" borderId="19" xfId="0" applyFont="1" applyBorder="1"/>
    <xf numFmtId="0" fontId="2" fillId="0" borderId="20" xfId="0" applyFont="1" applyBorder="1"/>
    <xf numFmtId="14" fontId="2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1" fontId="2" fillId="0" borderId="2" xfId="0" applyNumberFormat="1" applyFont="1" applyBorder="1" applyAlignment="1">
      <alignment horizontal="center"/>
    </xf>
    <xf numFmtId="1" fontId="2" fillId="8" borderId="2" xfId="0" applyNumberFormat="1" applyFont="1" applyFill="1" applyBorder="1" applyAlignment="1">
      <alignment horizontal="center"/>
    </xf>
    <xf numFmtId="0" fontId="2" fillId="0" borderId="19" xfId="0" applyFont="1" applyBorder="1" applyAlignment="1">
      <alignment horizontal="center"/>
    </xf>
    <xf numFmtId="166" fontId="2" fillId="0" borderId="0" xfId="0" applyNumberFormat="1" applyFont="1" applyAlignment="1" applyProtection="1">
      <alignment horizontal="center"/>
      <protection hidden="1"/>
    </xf>
    <xf numFmtId="1" fontId="2" fillId="8" borderId="2" xfId="0" applyNumberFormat="1" applyFont="1" applyFill="1" applyBorder="1"/>
    <xf numFmtId="1" fontId="2" fillId="0" borderId="19" xfId="0" applyNumberFormat="1" applyFont="1" applyBorder="1" applyAlignment="1">
      <alignment horizontal="center"/>
    </xf>
    <xf numFmtId="166" fontId="2" fillId="0" borderId="14" xfId="0" applyNumberFormat="1" applyFont="1" applyBorder="1" applyAlignment="1" applyProtection="1">
      <alignment horizontal="center"/>
      <protection hidden="1"/>
    </xf>
    <xf numFmtId="165" fontId="2" fillId="0" borderId="0" xfId="0" applyNumberFormat="1" applyFont="1"/>
    <xf numFmtId="14" fontId="2" fillId="0" borderId="2" xfId="0" applyNumberFormat="1" applyFont="1" applyBorder="1"/>
    <xf numFmtId="1" fontId="2" fillId="0" borderId="21" xfId="0" applyNumberFormat="1" applyFont="1" applyBorder="1" applyAlignment="1">
      <alignment horizontal="center"/>
    </xf>
    <xf numFmtId="1" fontId="2" fillId="0" borderId="22" xfId="0" applyNumberFormat="1" applyFont="1" applyBorder="1" applyAlignment="1">
      <alignment horizontal="center"/>
    </xf>
    <xf numFmtId="0" fontId="2" fillId="0" borderId="23" xfId="0" applyFont="1" applyBorder="1"/>
    <xf numFmtId="10" fontId="2" fillId="0" borderId="0" xfId="9" applyNumberFormat="1" applyFont="1" applyFill="1" applyBorder="1" applyAlignment="1" applyProtection="1">
      <alignment horizontal="center"/>
      <protection hidden="1"/>
    </xf>
    <xf numFmtId="10" fontId="2" fillId="0" borderId="14" xfId="9" applyNumberFormat="1" applyFont="1" applyFill="1" applyBorder="1" applyAlignment="1" applyProtection="1">
      <alignment horizontal="center"/>
      <protection hidden="1"/>
    </xf>
    <xf numFmtId="10" fontId="2" fillId="0" borderId="0" xfId="0" applyNumberFormat="1" applyFont="1" applyAlignment="1" applyProtection="1">
      <alignment horizontal="center"/>
      <protection hidden="1"/>
    </xf>
    <xf numFmtId="14" fontId="2" fillId="0" borderId="0" xfId="0" applyNumberFormat="1" applyFont="1" applyAlignment="1">
      <alignment vertical="center"/>
    </xf>
    <xf numFmtId="171" fontId="2" fillId="0" borderId="0" xfId="10" applyNumberFormat="1" applyFont="1" applyFill="1" applyBorder="1" applyAlignment="1" applyProtection="1">
      <alignment horizontal="center"/>
      <protection hidden="1"/>
    </xf>
    <xf numFmtId="171" fontId="2" fillId="0" borderId="14" xfId="9" applyNumberFormat="1" applyFont="1" applyFill="1" applyBorder="1" applyAlignment="1" applyProtection="1">
      <alignment horizontal="center"/>
      <protection hidden="1"/>
    </xf>
    <xf numFmtId="17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" fontId="2" fillId="0" borderId="0" xfId="0" applyNumberFormat="1" applyFont="1" applyAlignment="1">
      <alignment vertical="center"/>
    </xf>
    <xf numFmtId="176" fontId="2" fillId="7" borderId="0" xfId="0" applyNumberFormat="1" applyFont="1" applyFill="1" applyAlignment="1">
      <alignment horizontal="center" vertical="center"/>
    </xf>
    <xf numFmtId="164" fontId="2" fillId="0" borderId="0" xfId="20" applyFont="1" applyFill="1"/>
    <xf numFmtId="165" fontId="2" fillId="7" borderId="0" xfId="0" applyNumberFormat="1" applyFont="1" applyFill="1" applyAlignment="1">
      <alignment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2" xfId="0" applyFont="1" applyBorder="1"/>
    <xf numFmtId="10" fontId="2" fillId="0" borderId="23" xfId="0" applyNumberFormat="1" applyFont="1" applyBorder="1" applyAlignment="1">
      <alignment horizontal="left"/>
    </xf>
    <xf numFmtId="9" fontId="2" fillId="0" borderId="0" xfId="0" applyNumberFormat="1" applyFont="1"/>
    <xf numFmtId="177" fontId="2" fillId="7" borderId="0" xfId="20" applyNumberFormat="1" applyFont="1" applyFill="1" applyBorder="1" applyAlignment="1">
      <alignment vertical="center"/>
    </xf>
    <xf numFmtId="0" fontId="21" fillId="0" borderId="0" xfId="0" applyFont="1"/>
    <xf numFmtId="179" fontId="2" fillId="7" borderId="0" xfId="20" applyNumberFormat="1" applyFont="1" applyFill="1" applyBorder="1" applyAlignment="1">
      <alignment vertical="center"/>
    </xf>
    <xf numFmtId="1" fontId="2" fillId="0" borderId="0" xfId="0" applyNumberFormat="1" applyFont="1"/>
    <xf numFmtId="10" fontId="2" fillId="0" borderId="0" xfId="9" applyNumberFormat="1" applyFont="1" applyFill="1"/>
    <xf numFmtId="165" fontId="2" fillId="7" borderId="0" xfId="2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6" xfId="0" applyFont="1" applyBorder="1"/>
    <xf numFmtId="0" fontId="65" fillId="0" borderId="27" xfId="7" applyFont="1" applyBorder="1"/>
    <xf numFmtId="0" fontId="65" fillId="0" borderId="16" xfId="7" applyFont="1" applyBorder="1"/>
    <xf numFmtId="9" fontId="2" fillId="0" borderId="0" xfId="0" applyNumberFormat="1" applyFont="1" applyAlignment="1">
      <alignment horizontal="center"/>
    </xf>
    <xf numFmtId="10" fontId="2" fillId="4" borderId="0" xfId="0" applyNumberFormat="1" applyFont="1" applyFill="1"/>
    <xf numFmtId="0" fontId="2" fillId="0" borderId="28" xfId="0" applyFont="1" applyBorder="1" applyAlignment="1">
      <alignment vertical="center"/>
    </xf>
    <xf numFmtId="0" fontId="2" fillId="0" borderId="21" xfId="0" applyFont="1" applyBorder="1"/>
    <xf numFmtId="164" fontId="2" fillId="0" borderId="0" xfId="20" applyFont="1"/>
    <xf numFmtId="0" fontId="66" fillId="0" borderId="2" xfId="7" applyFont="1" applyBorder="1"/>
    <xf numFmtId="0" fontId="65" fillId="0" borderId="2" xfId="7" applyFont="1" applyBorder="1" applyAlignment="1">
      <alignment horizontal="center"/>
    </xf>
    <xf numFmtId="14" fontId="65" fillId="0" borderId="2" xfId="7" applyNumberFormat="1" applyFont="1" applyBorder="1"/>
    <xf numFmtId="10" fontId="2" fillId="0" borderId="0" xfId="0" applyNumberFormat="1" applyFont="1"/>
    <xf numFmtId="0" fontId="2" fillId="0" borderId="29" xfId="0" applyFont="1" applyBorder="1" applyProtection="1">
      <protection hidden="1"/>
    </xf>
    <xf numFmtId="166" fontId="2" fillId="0" borderId="29" xfId="0" applyNumberFormat="1" applyFont="1" applyBorder="1" applyProtection="1">
      <protection hidden="1"/>
    </xf>
    <xf numFmtId="10" fontId="2" fillId="0" borderId="2" xfId="9" applyNumberFormat="1" applyFont="1" applyBorder="1"/>
    <xf numFmtId="9" fontId="2" fillId="0" borderId="0" xfId="0" applyNumberFormat="1" applyFont="1" applyProtection="1">
      <protection hidden="1"/>
    </xf>
    <xf numFmtId="171" fontId="2" fillId="0" borderId="0" xfId="9" applyNumberFormat="1" applyFont="1" applyFill="1" applyProtection="1">
      <protection hidden="1"/>
    </xf>
    <xf numFmtId="10" fontId="2" fillId="0" borderId="0" xfId="0" applyNumberFormat="1" applyFont="1" applyProtection="1">
      <protection hidden="1"/>
    </xf>
    <xf numFmtId="10" fontId="2" fillId="0" borderId="0" xfId="9" applyNumberFormat="1" applyFont="1" applyProtection="1">
      <protection hidden="1"/>
    </xf>
    <xf numFmtId="167" fontId="2" fillId="0" borderId="1" xfId="20" applyNumberFormat="1" applyFont="1" applyBorder="1" applyAlignment="1" applyProtection="1">
      <alignment horizontal="right"/>
      <protection hidden="1"/>
    </xf>
    <xf numFmtId="0" fontId="2" fillId="0" borderId="1" xfId="20" applyNumberFormat="1" applyFont="1" applyBorder="1" applyAlignment="1" applyProtection="1">
      <alignment horizontal="right"/>
      <protection hidden="1"/>
    </xf>
    <xf numFmtId="164" fontId="2" fillId="0" borderId="0" xfId="20" applyFont="1" applyFill="1" applyBorder="1" applyProtection="1">
      <protection hidden="1"/>
    </xf>
    <xf numFmtId="164" fontId="2" fillId="0" borderId="0" xfId="0" applyNumberFormat="1" applyFont="1"/>
    <xf numFmtId="2" fontId="2" fillId="0" borderId="0" xfId="0" applyNumberFormat="1" applyFont="1" applyProtection="1">
      <protection locked="0"/>
    </xf>
    <xf numFmtId="166" fontId="2" fillId="0" borderId="2" xfId="0" applyNumberFormat="1" applyFont="1" applyBorder="1"/>
    <xf numFmtId="164" fontId="2" fillId="0" borderId="0" xfId="20" applyFont="1" applyProtection="1">
      <protection hidden="1"/>
    </xf>
    <xf numFmtId="4" fontId="2" fillId="0" borderId="1" xfId="20" applyNumberFormat="1" applyFont="1" applyBorder="1" applyAlignment="1" applyProtection="1">
      <alignment horizontal="center"/>
      <protection hidden="1"/>
    </xf>
    <xf numFmtId="170" fontId="2" fillId="0" borderId="0" xfId="9" applyNumberFormat="1" applyFont="1"/>
    <xf numFmtId="168" fontId="2" fillId="0" borderId="0" xfId="0" applyNumberFormat="1" applyFont="1"/>
    <xf numFmtId="9" fontId="2" fillId="0" borderId="2" xfId="0" applyNumberFormat="1" applyFont="1" applyBorder="1"/>
    <xf numFmtId="165" fontId="2" fillId="0" borderId="0" xfId="0" applyNumberFormat="1" applyFont="1" applyProtection="1">
      <protection hidden="1"/>
    </xf>
    <xf numFmtId="177" fontId="2" fillId="0" borderId="2" xfId="20" applyNumberFormat="1" applyFont="1" applyBorder="1"/>
    <xf numFmtId="1" fontId="2" fillId="0" borderId="0" xfId="9" applyNumberFormat="1" applyFont="1" applyAlignment="1">
      <alignment horizontal="center"/>
    </xf>
    <xf numFmtId="2" fontId="2" fillId="0" borderId="0" xfId="0" applyNumberFormat="1" applyFont="1"/>
    <xf numFmtId="10" fontId="2" fillId="0" borderId="2" xfId="0" applyNumberFormat="1" applyFont="1" applyBorder="1"/>
    <xf numFmtId="10" fontId="2" fillId="0" borderId="0" xfId="9" applyNumberFormat="1" applyFont="1"/>
    <xf numFmtId="175" fontId="2" fillId="0" borderId="2" xfId="0" applyNumberFormat="1" applyFont="1" applyBorder="1"/>
    <xf numFmtId="172" fontId="2" fillId="0" borderId="2" xfId="0" applyNumberFormat="1" applyFont="1" applyBorder="1"/>
    <xf numFmtId="0" fontId="2" fillId="0" borderId="16" xfId="0" applyFont="1" applyBorder="1"/>
    <xf numFmtId="4" fontId="2" fillId="0" borderId="2" xfId="0" applyNumberFormat="1" applyFont="1" applyBorder="1"/>
    <xf numFmtId="0" fontId="2" fillId="0" borderId="16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64" fontId="2" fillId="0" borderId="0" xfId="20" applyFont="1" applyFill="1" applyBorder="1"/>
    <xf numFmtId="166" fontId="2" fillId="0" borderId="0" xfId="0" applyNumberFormat="1" applyFont="1" applyAlignment="1">
      <alignment horizontal="right"/>
    </xf>
    <xf numFmtId="0" fontId="2" fillId="2" borderId="0" xfId="0" applyFont="1" applyFill="1" applyProtection="1">
      <protection hidden="1"/>
    </xf>
    <xf numFmtId="0" fontId="2" fillId="0" borderId="2" xfId="0" applyFont="1" applyBorder="1" applyAlignment="1">
      <alignment horizontal="center" vertical="center" wrapText="1"/>
    </xf>
    <xf numFmtId="167" fontId="2" fillId="0" borderId="1" xfId="20" applyNumberFormat="1" applyFont="1" applyBorder="1" applyProtection="1">
      <protection hidden="1"/>
    </xf>
    <xf numFmtId="0" fontId="2" fillId="0" borderId="1" xfId="20" applyNumberFormat="1" applyFont="1" applyBorder="1" applyProtection="1">
      <protection hidden="1"/>
    </xf>
    <xf numFmtId="164" fontId="2" fillId="0" borderId="1" xfId="20" applyFont="1" applyBorder="1" applyProtection="1">
      <protection hidden="1"/>
    </xf>
    <xf numFmtId="4" fontId="2" fillId="0" borderId="0" xfId="0" applyNumberFormat="1" applyFont="1" applyProtection="1">
      <protection hidden="1"/>
    </xf>
    <xf numFmtId="171" fontId="2" fillId="0" borderId="2" xfId="0" applyNumberFormat="1" applyFont="1" applyBorder="1"/>
    <xf numFmtId="169" fontId="2" fillId="0" borderId="0" xfId="0" applyNumberFormat="1" applyFont="1"/>
    <xf numFmtId="0" fontId="2" fillId="0" borderId="0" xfId="0" applyFont="1" applyProtection="1">
      <protection locked="0"/>
    </xf>
    <xf numFmtId="0" fontId="2" fillId="0" borderId="2" xfId="0" applyFont="1" applyBorder="1" applyProtection="1">
      <protection locked="0"/>
    </xf>
    <xf numFmtId="0" fontId="2" fillId="0" borderId="0" xfId="8" applyProtection="1">
      <protection hidden="1"/>
    </xf>
    <xf numFmtId="0" fontId="65" fillId="16" borderId="86" xfId="7" applyFont="1" applyFill="1" applyBorder="1"/>
    <xf numFmtId="10" fontId="47" fillId="15" borderId="83" xfId="11" applyNumberFormat="1" applyFont="1" applyFill="1" applyBorder="1" applyAlignment="1" applyProtection="1">
      <alignment horizontal="center"/>
      <protection locked="0"/>
    </xf>
    <xf numFmtId="0" fontId="65" fillId="0" borderId="0" xfId="7" applyFont="1"/>
    <xf numFmtId="0" fontId="48" fillId="0" borderId="0" xfId="7" applyFont="1"/>
    <xf numFmtId="10" fontId="47" fillId="0" borderId="0" xfId="11" applyNumberFormat="1" applyFont="1" applyFill="1" applyBorder="1" applyAlignment="1">
      <alignment horizontal="center"/>
    </xf>
    <xf numFmtId="0" fontId="48" fillId="9" borderId="81" xfId="7" applyFont="1" applyFill="1" applyBorder="1" applyAlignment="1">
      <alignment vertical="center"/>
    </xf>
    <xf numFmtId="0" fontId="2" fillId="0" borderId="0" xfId="8" applyAlignment="1" applyProtection="1">
      <alignment horizontal="center"/>
      <protection hidden="1"/>
    </xf>
    <xf numFmtId="0" fontId="48" fillId="9" borderId="87" xfId="7" applyFont="1" applyFill="1" applyBorder="1" applyAlignment="1">
      <alignment vertical="center"/>
    </xf>
    <xf numFmtId="0" fontId="2" fillId="13" borderId="0" xfId="8" applyFill="1" applyProtection="1">
      <protection hidden="1"/>
    </xf>
    <xf numFmtId="0" fontId="2" fillId="0" borderId="88" xfId="8" applyBorder="1" applyProtection="1">
      <protection hidden="1"/>
    </xf>
    <xf numFmtId="0" fontId="48" fillId="0" borderId="0" xfId="7" applyFont="1" applyAlignment="1">
      <alignment horizontal="center"/>
    </xf>
    <xf numFmtId="0" fontId="2" fillId="0" borderId="0" xfId="8" applyAlignment="1" applyProtection="1">
      <alignment horizontal="center" vertical="center"/>
      <protection hidden="1"/>
    </xf>
    <xf numFmtId="0" fontId="15" fillId="0" borderId="0" xfId="7" applyFont="1"/>
    <xf numFmtId="0" fontId="65" fillId="4" borderId="0" xfId="7" applyFont="1" applyFill="1"/>
    <xf numFmtId="0" fontId="65" fillId="0" borderId="30" xfId="7" applyFont="1" applyBorder="1"/>
    <xf numFmtId="0" fontId="65" fillId="0" borderId="31" xfId="7" applyFont="1" applyBorder="1"/>
    <xf numFmtId="0" fontId="65" fillId="0" borderId="32" xfId="7" applyFont="1" applyBorder="1"/>
    <xf numFmtId="0" fontId="65" fillId="0" borderId="33" xfId="7" applyFont="1" applyBorder="1"/>
    <xf numFmtId="0" fontId="48" fillId="9" borderId="0" xfId="7" applyFont="1" applyFill="1" applyAlignment="1">
      <alignment vertical="center"/>
    </xf>
    <xf numFmtId="0" fontId="48" fillId="9" borderId="0" xfId="7" applyFont="1" applyFill="1" applyAlignment="1">
      <alignment horizontal="center"/>
    </xf>
    <xf numFmtId="0" fontId="65" fillId="0" borderId="34" xfId="7" applyFont="1" applyBorder="1"/>
    <xf numFmtId="0" fontId="65" fillId="0" borderId="0" xfId="7" applyFont="1" applyAlignment="1">
      <alignment horizontal="center"/>
    </xf>
    <xf numFmtId="0" fontId="65" fillId="17" borderId="35" xfId="7" applyFont="1" applyFill="1" applyBorder="1"/>
    <xf numFmtId="171" fontId="47" fillId="17" borderId="6" xfId="10" applyNumberFormat="1" applyFont="1" applyFill="1" applyBorder="1" applyAlignment="1">
      <alignment horizontal="center"/>
    </xf>
    <xf numFmtId="0" fontId="65" fillId="17" borderId="0" xfId="7" applyFont="1" applyFill="1"/>
    <xf numFmtId="171" fontId="47" fillId="17" borderId="36" xfId="10" applyNumberFormat="1" applyFont="1" applyFill="1" applyBorder="1" applyAlignment="1">
      <alignment horizontal="center"/>
    </xf>
    <xf numFmtId="171" fontId="65" fillId="0" borderId="0" xfId="7" applyNumberFormat="1" applyFont="1" applyAlignment="1">
      <alignment horizontal="center"/>
    </xf>
    <xf numFmtId="10" fontId="47" fillId="14" borderId="0" xfId="10" applyNumberFormat="1" applyFont="1" applyFill="1" applyBorder="1" applyAlignment="1">
      <alignment horizontal="center"/>
    </xf>
    <xf numFmtId="0" fontId="65" fillId="0" borderId="33" xfId="7" applyFont="1" applyBorder="1" applyAlignment="1">
      <alignment horizontal="right"/>
    </xf>
    <xf numFmtId="171" fontId="47" fillId="17" borderId="0" xfId="10" applyNumberFormat="1" applyFont="1" applyFill="1" applyBorder="1" applyAlignment="1">
      <alignment horizontal="center"/>
    </xf>
    <xf numFmtId="10" fontId="47" fillId="0" borderId="0" xfId="10" applyNumberFormat="1" applyFont="1" applyFill="1" applyBorder="1" applyAlignment="1">
      <alignment horizontal="center"/>
    </xf>
    <xf numFmtId="10" fontId="47" fillId="0" borderId="0" xfId="12" applyNumberFormat="1" applyFont="1" applyBorder="1"/>
    <xf numFmtId="10" fontId="47" fillId="0" borderId="0" xfId="10" applyNumberFormat="1" applyFont="1" applyBorder="1" applyAlignment="1">
      <alignment horizontal="center"/>
    </xf>
    <xf numFmtId="0" fontId="48" fillId="9" borderId="0" xfId="7" applyFont="1" applyFill="1"/>
    <xf numFmtId="164" fontId="47" fillId="0" borderId="0" xfId="16" applyFont="1" applyBorder="1"/>
    <xf numFmtId="10" fontId="47" fillId="0" borderId="37" xfId="12" applyNumberFormat="1" applyFont="1" applyBorder="1"/>
    <xf numFmtId="10" fontId="65" fillId="0" borderId="0" xfId="7" applyNumberFormat="1" applyFont="1" applyAlignment="1">
      <alignment horizontal="center"/>
    </xf>
    <xf numFmtId="0" fontId="65" fillId="0" borderId="0" xfId="7" applyFont="1" applyAlignment="1">
      <alignment horizontal="left" vertical="center"/>
    </xf>
    <xf numFmtId="171" fontId="47" fillId="0" borderId="0" xfId="12" applyNumberFormat="1" applyFont="1" applyBorder="1"/>
    <xf numFmtId="0" fontId="65" fillId="0" borderId="0" xfId="7" applyFont="1" applyAlignment="1">
      <alignment horizontal="center" vertical="center"/>
    </xf>
    <xf numFmtId="0" fontId="66" fillId="0" borderId="0" xfId="7" applyFont="1"/>
    <xf numFmtId="0" fontId="48" fillId="14" borderId="0" xfId="7" applyFont="1" applyFill="1" applyAlignment="1">
      <alignment horizontal="center"/>
    </xf>
    <xf numFmtId="39" fontId="47" fillId="0" borderId="0" xfId="16" applyNumberFormat="1" applyFont="1" applyBorder="1" applyAlignment="1">
      <alignment horizontal="center" vertical="center"/>
    </xf>
    <xf numFmtId="0" fontId="65" fillId="14" borderId="33" xfId="7" applyFont="1" applyFill="1" applyBorder="1"/>
    <xf numFmtId="0" fontId="48" fillId="10" borderId="0" xfId="7" applyFont="1" applyFill="1"/>
    <xf numFmtId="0" fontId="48" fillId="10" borderId="0" xfId="7" applyFont="1" applyFill="1" applyAlignment="1">
      <alignment horizontal="center"/>
    </xf>
    <xf numFmtId="0" fontId="65" fillId="14" borderId="0" xfId="7" applyFont="1" applyFill="1"/>
    <xf numFmtId="0" fontId="48" fillId="14" borderId="0" xfId="7" applyFont="1" applyFill="1"/>
    <xf numFmtId="171" fontId="47" fillId="14" borderId="0" xfId="12" applyNumberFormat="1" applyFont="1" applyFill="1" applyBorder="1"/>
    <xf numFmtId="0" fontId="65" fillId="14" borderId="34" xfId="7" applyFont="1" applyFill="1" applyBorder="1"/>
    <xf numFmtId="10" fontId="47" fillId="14" borderId="0" xfId="12" applyNumberFormat="1" applyFont="1" applyFill="1" applyBorder="1"/>
    <xf numFmtId="0" fontId="65" fillId="0" borderId="38" xfId="7" applyFont="1" applyBorder="1"/>
    <xf numFmtId="0" fontId="65" fillId="0" borderId="37" xfId="7" applyFont="1" applyBorder="1"/>
    <xf numFmtId="0" fontId="65" fillId="0" borderId="39" xfId="7" applyFont="1" applyBorder="1"/>
    <xf numFmtId="0" fontId="65" fillId="0" borderId="40" xfId="7" applyFont="1" applyBorder="1"/>
    <xf numFmtId="10" fontId="47" fillId="17" borderId="0" xfId="10" applyNumberFormat="1" applyFont="1" applyFill="1" applyBorder="1" applyAlignment="1">
      <alignment horizontal="center"/>
    </xf>
    <xf numFmtId="10" fontId="65" fillId="0" borderId="34" xfId="7" applyNumberFormat="1" applyFont="1" applyBorder="1" applyAlignment="1">
      <alignment horizontal="center"/>
    </xf>
    <xf numFmtId="164" fontId="47" fillId="0" borderId="0" xfId="16" applyFont="1" applyBorder="1" applyAlignment="1">
      <alignment vertical="center"/>
    </xf>
    <xf numFmtId="10" fontId="65" fillId="0" borderId="39" xfId="7" applyNumberFormat="1" applyFont="1" applyBorder="1" applyAlignment="1">
      <alignment horizontal="center"/>
    </xf>
    <xf numFmtId="0" fontId="65" fillId="14" borderId="38" xfId="7" applyFont="1" applyFill="1" applyBorder="1"/>
    <xf numFmtId="0" fontId="48" fillId="14" borderId="37" xfId="7" applyFont="1" applyFill="1" applyBorder="1"/>
    <xf numFmtId="0" fontId="65" fillId="14" borderId="37" xfId="7" applyFont="1" applyFill="1" applyBorder="1"/>
    <xf numFmtId="0" fontId="48" fillId="14" borderId="37" xfId="7" applyFont="1" applyFill="1" applyBorder="1" applyAlignment="1">
      <alignment horizontal="center"/>
    </xf>
    <xf numFmtId="0" fontId="65" fillId="0" borderId="5" xfId="7" applyFont="1" applyBorder="1"/>
    <xf numFmtId="9" fontId="47" fillId="0" borderId="36" xfId="9" applyFont="1" applyFill="1" applyBorder="1"/>
    <xf numFmtId="9" fontId="49" fillId="4" borderId="0" xfId="0" applyNumberFormat="1" applyFont="1" applyFill="1" applyAlignment="1">
      <alignment horizontal="center" wrapText="1" readingOrder="1"/>
    </xf>
    <xf numFmtId="0" fontId="48" fillId="0" borderId="2" xfId="7" applyFont="1" applyBorder="1" applyAlignment="1">
      <alignment horizontal="center"/>
    </xf>
    <xf numFmtId="9" fontId="47" fillId="14" borderId="0" xfId="9" applyFont="1" applyFill="1" applyBorder="1"/>
    <xf numFmtId="9" fontId="47" fillId="4" borderId="2" xfId="9" applyFont="1" applyFill="1" applyBorder="1" applyAlignment="1">
      <alignment horizontal="center"/>
    </xf>
    <xf numFmtId="0" fontId="65" fillId="0" borderId="41" xfId="7" applyFont="1" applyBorder="1"/>
    <xf numFmtId="9" fontId="49" fillId="0" borderId="0" xfId="0" applyNumberFormat="1" applyFont="1" applyAlignment="1">
      <alignment horizontal="center" wrapText="1" readingOrder="1"/>
    </xf>
    <xf numFmtId="9" fontId="47" fillId="14" borderId="0" xfId="9" applyFont="1" applyFill="1" applyBorder="1" applyAlignment="1">
      <alignment horizontal="center"/>
    </xf>
    <xf numFmtId="9" fontId="65" fillId="0" borderId="0" xfId="7" applyNumberFormat="1" applyFont="1"/>
    <xf numFmtId="0" fontId="2" fillId="0" borderId="42" xfId="0" applyFont="1" applyBorder="1"/>
    <xf numFmtId="0" fontId="2" fillId="0" borderId="4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171" fontId="2" fillId="4" borderId="45" xfId="0" applyNumberFormat="1" applyFont="1" applyFill="1" applyBorder="1" applyAlignment="1">
      <alignment horizontal="center"/>
    </xf>
    <xf numFmtId="172" fontId="2" fillId="4" borderId="46" xfId="0" applyNumberFormat="1" applyFont="1" applyFill="1" applyBorder="1" applyAlignment="1">
      <alignment vertical="center"/>
    </xf>
    <xf numFmtId="171" fontId="2" fillId="4" borderId="2" xfId="0" applyNumberFormat="1" applyFont="1" applyFill="1" applyBorder="1"/>
    <xf numFmtId="172" fontId="2" fillId="0" borderId="46" xfId="0" applyNumberFormat="1" applyFont="1" applyBorder="1" applyAlignment="1">
      <alignment vertical="center"/>
    </xf>
    <xf numFmtId="0" fontId="2" fillId="0" borderId="41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171" fontId="2" fillId="4" borderId="48" xfId="0" applyNumberFormat="1" applyFont="1" applyFill="1" applyBorder="1" applyAlignment="1">
      <alignment horizontal="center"/>
    </xf>
    <xf numFmtId="172" fontId="2" fillId="0" borderId="49" xfId="0" applyNumberFormat="1" applyFont="1" applyBorder="1" applyAlignment="1">
      <alignment vertical="center"/>
    </xf>
    <xf numFmtId="0" fontId="2" fillId="0" borderId="50" xfId="0" applyFont="1" applyBorder="1" applyAlignment="1">
      <alignment horizontal="left"/>
    </xf>
    <xf numFmtId="10" fontId="2" fillId="0" borderId="10" xfId="0" applyNumberFormat="1" applyFont="1" applyBorder="1" applyProtection="1">
      <protection locked="0"/>
    </xf>
    <xf numFmtId="0" fontId="2" fillId="0" borderId="2" xfId="0" applyFont="1" applyBorder="1" applyAlignment="1">
      <alignment horizontal="left"/>
    </xf>
    <xf numFmtId="10" fontId="2" fillId="0" borderId="2" xfId="0" applyNumberFormat="1" applyFont="1" applyBorder="1" applyProtection="1">
      <protection locked="0"/>
    </xf>
    <xf numFmtId="0" fontId="2" fillId="0" borderId="0" xfId="0" applyFont="1" applyAlignment="1">
      <alignment horizontal="left"/>
    </xf>
    <xf numFmtId="10" fontId="2" fillId="0" borderId="0" xfId="0" applyNumberFormat="1" applyFont="1" applyProtection="1">
      <protection locked="0"/>
    </xf>
    <xf numFmtId="166" fontId="2" fillId="0" borderId="2" xfId="0" applyNumberFormat="1" applyFont="1" applyBorder="1" applyProtection="1">
      <protection locked="0"/>
    </xf>
    <xf numFmtId="166" fontId="2" fillId="17" borderId="2" xfId="0" applyNumberFormat="1" applyFont="1" applyFill="1" applyBorder="1"/>
    <xf numFmtId="0" fontId="2" fillId="2" borderId="2" xfId="0" applyFont="1" applyFill="1" applyBorder="1" applyAlignment="1">
      <alignment vertical="center"/>
    </xf>
    <xf numFmtId="0" fontId="2" fillId="2" borderId="27" xfId="0" applyFont="1" applyFill="1" applyBorder="1" applyAlignment="1">
      <alignment vertical="center"/>
    </xf>
    <xf numFmtId="0" fontId="2" fillId="2" borderId="51" xfId="0" applyFont="1" applyFill="1" applyBorder="1" applyAlignment="1">
      <alignment vertical="center"/>
    </xf>
    <xf numFmtId="14" fontId="65" fillId="0" borderId="0" xfId="7" applyNumberFormat="1" applyFont="1"/>
    <xf numFmtId="0" fontId="2" fillId="5" borderId="2" xfId="0" applyFont="1" applyFill="1" applyBorder="1" applyAlignment="1">
      <alignment vertical="center"/>
    </xf>
    <xf numFmtId="165" fontId="2" fillId="6" borderId="2" xfId="0" applyNumberFormat="1" applyFont="1" applyFill="1" applyBorder="1" applyAlignment="1">
      <alignment vertical="center"/>
    </xf>
    <xf numFmtId="174" fontId="2" fillId="11" borderId="2" xfId="10" applyNumberFormat="1" applyFont="1" applyFill="1" applyBorder="1" applyAlignment="1">
      <alignment horizontal="center" vertical="center"/>
    </xf>
    <xf numFmtId="174" fontId="2" fillId="6" borderId="2" xfId="10" applyNumberFormat="1" applyFont="1" applyFill="1" applyBorder="1" applyAlignment="1">
      <alignment horizontal="center" vertical="center"/>
    </xf>
    <xf numFmtId="174" fontId="2" fillId="6" borderId="2" xfId="0" applyNumberFormat="1" applyFont="1" applyFill="1" applyBorder="1" applyAlignment="1">
      <alignment horizontal="center" vertical="center"/>
    </xf>
    <xf numFmtId="174" fontId="2" fillId="11" borderId="2" xfId="0" applyNumberFormat="1" applyFont="1" applyFill="1" applyBorder="1" applyAlignment="1">
      <alignment horizontal="center" vertical="center"/>
    </xf>
    <xf numFmtId="176" fontId="2" fillId="6" borderId="2" xfId="0" applyNumberFormat="1" applyFont="1" applyFill="1" applyBorder="1" applyAlignment="1">
      <alignment horizontal="center" vertical="center"/>
    </xf>
    <xf numFmtId="165" fontId="2" fillId="0" borderId="89" xfId="2" applyFont="1" applyFill="1" applyBorder="1" applyAlignment="1" applyProtection="1">
      <alignment horizontal="right" vertical="center"/>
      <protection locked="0"/>
    </xf>
    <xf numFmtId="0" fontId="67" fillId="9" borderId="0" xfId="7" applyFont="1" applyFill="1"/>
    <xf numFmtId="0" fontId="67" fillId="0" borderId="0" xfId="7" applyFont="1"/>
    <xf numFmtId="0" fontId="68" fillId="0" borderId="0" xfId="7" applyFont="1" applyAlignment="1">
      <alignment horizontal="center"/>
    </xf>
    <xf numFmtId="164" fontId="68" fillId="0" borderId="0" xfId="16" applyFont="1" applyBorder="1"/>
    <xf numFmtId="0" fontId="69" fillId="0" borderId="0" xfId="0" applyFont="1" applyAlignment="1">
      <alignment horizontal="center" vertical="center"/>
    </xf>
    <xf numFmtId="0" fontId="70" fillId="2" borderId="14" xfId="0" applyFont="1" applyFill="1" applyBorder="1" applyAlignment="1" applyProtection="1">
      <alignment horizontal="left" vertical="center" indent="1"/>
      <protection hidden="1"/>
    </xf>
    <xf numFmtId="0" fontId="70" fillId="2" borderId="14" xfId="0" applyFont="1" applyFill="1" applyBorder="1" applyAlignment="1">
      <alignment horizontal="left" vertical="center" indent="1"/>
    </xf>
    <xf numFmtId="0" fontId="70" fillId="2" borderId="90" xfId="0" applyFont="1" applyFill="1" applyBorder="1" applyAlignment="1">
      <alignment horizontal="left" vertical="center" indent="1"/>
    </xf>
    <xf numFmtId="0" fontId="70" fillId="2" borderId="14" xfId="0" applyFont="1" applyFill="1" applyBorder="1" applyAlignment="1" applyProtection="1">
      <alignment horizontal="left" vertical="center"/>
      <protection hidden="1"/>
    </xf>
    <xf numFmtId="0" fontId="70" fillId="2" borderId="14" xfId="0" applyFont="1" applyFill="1" applyBorder="1" applyAlignment="1" applyProtection="1">
      <alignment horizontal="left" vertical="center" indent="2"/>
      <protection hidden="1"/>
    </xf>
    <xf numFmtId="0" fontId="71" fillId="0" borderId="0" xfId="0" applyFont="1"/>
    <xf numFmtId="0" fontId="72" fillId="0" borderId="0" xfId="0" applyFont="1" applyAlignment="1" applyProtection="1">
      <alignment vertical="center"/>
      <protection hidden="1"/>
    </xf>
    <xf numFmtId="0" fontId="72" fillId="0" borderId="0" xfId="0" applyFont="1" applyAlignment="1" applyProtection="1">
      <alignment horizontal="left" vertical="center"/>
      <protection hidden="1"/>
    </xf>
    <xf numFmtId="0" fontId="73" fillId="0" borderId="0" xfId="0" applyFont="1" applyAlignment="1">
      <alignment horizontal="left" vertical="center"/>
    </xf>
    <xf numFmtId="0" fontId="74" fillId="0" borderId="0" xfId="0" applyFont="1"/>
    <xf numFmtId="0" fontId="72" fillId="0" borderId="0" xfId="0" applyFont="1" applyAlignment="1">
      <alignment horizontal="right"/>
    </xf>
    <xf numFmtId="14" fontId="75" fillId="0" borderId="0" xfId="0" applyNumberFormat="1" applyFont="1" applyAlignment="1">
      <alignment horizontal="left"/>
    </xf>
    <xf numFmtId="0" fontId="74" fillId="0" borderId="52" xfId="0" applyFont="1" applyBorder="1"/>
    <xf numFmtId="0" fontId="76" fillId="0" borderId="0" xfId="8" applyFont="1"/>
    <xf numFmtId="0" fontId="2" fillId="0" borderId="0" xfId="8"/>
    <xf numFmtId="0" fontId="2" fillId="0" borderId="91" xfId="8" applyBorder="1"/>
    <xf numFmtId="0" fontId="2" fillId="0" borderId="92" xfId="8" applyBorder="1"/>
    <xf numFmtId="0" fontId="2" fillId="0" borderId="93" xfId="8" applyBorder="1"/>
    <xf numFmtId="0" fontId="2" fillId="0" borderId="94" xfId="8" applyBorder="1"/>
    <xf numFmtId="0" fontId="2" fillId="0" borderId="95" xfId="8" applyBorder="1"/>
    <xf numFmtId="0" fontId="30" fillId="18" borderId="53" xfId="0" applyFont="1" applyFill="1" applyBorder="1" applyAlignment="1">
      <alignment vertical="center"/>
    </xf>
    <xf numFmtId="10" fontId="65" fillId="0" borderId="0" xfId="7" applyNumberFormat="1" applyFont="1" applyAlignment="1">
      <alignment horizontal="center" vertical="center"/>
    </xf>
    <xf numFmtId="171" fontId="47" fillId="17" borderId="36" xfId="11" applyNumberFormat="1" applyFont="1" applyFill="1" applyBorder="1" applyAlignment="1">
      <alignment horizontal="center"/>
    </xf>
    <xf numFmtId="165" fontId="62" fillId="2" borderId="96" xfId="2" applyFont="1" applyFill="1" applyBorder="1" applyAlignment="1">
      <alignment horizontal="left" vertical="center" indent="1"/>
    </xf>
    <xf numFmtId="0" fontId="2" fillId="0" borderId="0" xfId="8" applyProtection="1">
      <protection locked="0" hidden="1"/>
    </xf>
    <xf numFmtId="0" fontId="76" fillId="0" borderId="0" xfId="8" applyFont="1" applyProtection="1">
      <protection locked="0" hidden="1"/>
    </xf>
    <xf numFmtId="0" fontId="2" fillId="0" borderId="97" xfId="8" applyBorder="1" applyProtection="1">
      <protection locked="0" hidden="1"/>
    </xf>
    <xf numFmtId="0" fontId="2" fillId="0" borderId="98" xfId="8" applyBorder="1" applyProtection="1">
      <protection locked="0" hidden="1"/>
    </xf>
    <xf numFmtId="0" fontId="2" fillId="0" borderId="91" xfId="8" applyBorder="1" applyProtection="1">
      <protection locked="0" hidden="1"/>
    </xf>
    <xf numFmtId="0" fontId="5" fillId="0" borderId="0" xfId="8" applyFont="1" applyAlignment="1" applyProtection="1">
      <alignment vertical="center"/>
      <protection locked="0" hidden="1"/>
    </xf>
    <xf numFmtId="0" fontId="2" fillId="0" borderId="93" xfId="8" applyBorder="1" applyProtection="1">
      <protection locked="0" hidden="1"/>
    </xf>
    <xf numFmtId="0" fontId="2" fillId="0" borderId="92" xfId="8" applyBorder="1" applyProtection="1">
      <protection locked="0" hidden="1"/>
    </xf>
    <xf numFmtId="0" fontId="5" fillId="0" borderId="0" xfId="8" applyFont="1" applyProtection="1">
      <protection locked="0" hidden="1"/>
    </xf>
    <xf numFmtId="0" fontId="2" fillId="0" borderId="26" xfId="8" applyBorder="1" applyProtection="1">
      <protection locked="0" hidden="1"/>
    </xf>
    <xf numFmtId="0" fontId="2" fillId="0" borderId="25" xfId="8" applyBorder="1" applyProtection="1">
      <protection locked="0" hidden="1"/>
    </xf>
    <xf numFmtId="14" fontId="2" fillId="0" borderId="25" xfId="8" applyNumberFormat="1" applyBorder="1" applyProtection="1">
      <protection locked="0" hidden="1"/>
    </xf>
    <xf numFmtId="14" fontId="2" fillId="0" borderId="0" xfId="8" applyNumberFormat="1" applyProtection="1">
      <protection locked="0" hidden="1"/>
    </xf>
    <xf numFmtId="0" fontId="2" fillId="0" borderId="19" xfId="8" applyBorder="1" applyProtection="1">
      <protection locked="0" hidden="1"/>
    </xf>
    <xf numFmtId="0" fontId="2" fillId="0" borderId="20" xfId="8" applyBorder="1" applyProtection="1">
      <protection locked="0" hidden="1"/>
    </xf>
    <xf numFmtId="14" fontId="2" fillId="0" borderId="20" xfId="8" applyNumberFormat="1" applyBorder="1" applyProtection="1">
      <protection locked="0" hidden="1"/>
    </xf>
    <xf numFmtId="0" fontId="2" fillId="0" borderId="21" xfId="8" applyBorder="1" applyProtection="1">
      <protection locked="0" hidden="1"/>
    </xf>
    <xf numFmtId="0" fontId="2" fillId="0" borderId="23" xfId="8" applyBorder="1" applyProtection="1">
      <protection locked="0" hidden="1"/>
    </xf>
    <xf numFmtId="2" fontId="2" fillId="0" borderId="20" xfId="8" applyNumberFormat="1" applyBorder="1" applyProtection="1">
      <protection locked="0" hidden="1"/>
    </xf>
    <xf numFmtId="2" fontId="2" fillId="0" borderId="0" xfId="8" applyNumberFormat="1" applyProtection="1">
      <protection locked="0" hidden="1"/>
    </xf>
    <xf numFmtId="0" fontId="2" fillId="0" borderId="94" xfId="8" applyBorder="1" applyProtection="1">
      <protection locked="0" hidden="1"/>
    </xf>
    <xf numFmtId="2" fontId="2" fillId="0" borderId="23" xfId="8" applyNumberFormat="1" applyBorder="1" applyProtection="1">
      <protection locked="0" hidden="1"/>
    </xf>
    <xf numFmtId="0" fontId="2" fillId="0" borderId="26" xfId="8" applyBorder="1" applyAlignment="1" applyProtection="1">
      <alignment horizontal="left"/>
      <protection locked="0" hidden="1"/>
    </xf>
    <xf numFmtId="14" fontId="2" fillId="0" borderId="23" xfId="8" applyNumberFormat="1" applyBorder="1" applyProtection="1">
      <protection locked="0" hidden="1"/>
    </xf>
    <xf numFmtId="0" fontId="2" fillId="0" borderId="19" xfId="8" applyBorder="1" applyAlignment="1" applyProtection="1">
      <alignment horizontal="left"/>
      <protection locked="0" hidden="1"/>
    </xf>
    <xf numFmtId="0" fontId="2" fillId="0" borderId="20" xfId="8" applyBorder="1" applyAlignment="1" applyProtection="1">
      <alignment horizontal="left"/>
      <protection locked="0" hidden="1"/>
    </xf>
    <xf numFmtId="0" fontId="2" fillId="0" borderId="21" xfId="8" applyBorder="1" applyAlignment="1" applyProtection="1">
      <alignment horizontal="left"/>
      <protection locked="0" hidden="1"/>
    </xf>
    <xf numFmtId="0" fontId="2" fillId="0" borderId="23" xfId="8" applyBorder="1" applyAlignment="1" applyProtection="1">
      <alignment horizontal="left"/>
      <protection locked="0" hidden="1"/>
    </xf>
    <xf numFmtId="0" fontId="5" fillId="0" borderId="0" xfId="8" applyFont="1" applyAlignment="1" applyProtection="1">
      <alignment horizontal="left"/>
      <protection locked="0" hidden="1"/>
    </xf>
    <xf numFmtId="0" fontId="2" fillId="0" borderId="19" xfId="8" applyBorder="1" applyAlignment="1" applyProtection="1">
      <alignment vertical="center"/>
      <protection locked="0" hidden="1"/>
    </xf>
    <xf numFmtId="0" fontId="2" fillId="0" borderId="95" xfId="8" applyBorder="1" applyProtection="1">
      <protection locked="0" hidden="1"/>
    </xf>
    <xf numFmtId="0" fontId="2" fillId="0" borderId="99" xfId="8" applyBorder="1" applyProtection="1">
      <protection locked="0" hidden="1"/>
    </xf>
    <xf numFmtId="0" fontId="2" fillId="0" borderId="100" xfId="8" applyBorder="1" applyProtection="1">
      <protection locked="0" hidden="1"/>
    </xf>
    <xf numFmtId="0" fontId="2" fillId="0" borderId="3" xfId="8" applyBorder="1" applyProtection="1">
      <protection locked="0" hidden="1"/>
    </xf>
    <xf numFmtId="165" fontId="0" fillId="0" borderId="55" xfId="2" applyFont="1" applyBorder="1" applyProtection="1">
      <protection locked="0" hidden="1"/>
    </xf>
    <xf numFmtId="165" fontId="2" fillId="0" borderId="93" xfId="2" applyFont="1" applyBorder="1" applyProtection="1">
      <protection locked="0" hidden="1"/>
    </xf>
    <xf numFmtId="165" fontId="0" fillId="0" borderId="25" xfId="2" applyFont="1" applyBorder="1" applyProtection="1">
      <protection locked="0" hidden="1"/>
    </xf>
    <xf numFmtId="165" fontId="0" fillId="0" borderId="20" xfId="2" applyFont="1" applyBorder="1" applyProtection="1">
      <protection locked="0" hidden="1"/>
    </xf>
    <xf numFmtId="165" fontId="0" fillId="0" borderId="23" xfId="2" applyFont="1" applyBorder="1" applyProtection="1">
      <protection locked="0" hidden="1"/>
    </xf>
    <xf numFmtId="166" fontId="2" fillId="0" borderId="1" xfId="0" applyNumberFormat="1" applyFont="1" applyBorder="1" applyAlignment="1" applyProtection="1">
      <alignment horizontal="right" vertical="center"/>
      <protection locked="0" hidden="1"/>
    </xf>
    <xf numFmtId="0" fontId="52" fillId="0" borderId="31" xfId="7" applyFont="1" applyBorder="1"/>
    <xf numFmtId="0" fontId="52" fillId="0" borderId="33" xfId="7" applyFont="1" applyBorder="1" applyAlignment="1">
      <alignment horizontal="right"/>
    </xf>
    <xf numFmtId="164" fontId="52" fillId="0" borderId="0" xfId="16" applyFont="1" applyBorder="1"/>
    <xf numFmtId="0" fontId="52" fillId="0" borderId="0" xfId="7" applyFont="1" applyAlignment="1">
      <alignment horizontal="center"/>
    </xf>
    <xf numFmtId="0" fontId="59" fillId="0" borderId="31" xfId="7" applyBorder="1"/>
    <xf numFmtId="0" fontId="59" fillId="0" borderId="0" xfId="7"/>
    <xf numFmtId="10" fontId="1" fillId="0" borderId="32" xfId="11" applyNumberFormat="1" applyFont="1" applyFill="1" applyBorder="1" applyAlignment="1">
      <alignment horizontal="center"/>
    </xf>
    <xf numFmtId="10" fontId="1" fillId="0" borderId="34" xfId="11" applyNumberFormat="1" applyFont="1" applyFill="1" applyBorder="1" applyAlignment="1">
      <alignment horizontal="center"/>
    </xf>
    <xf numFmtId="10" fontId="59" fillId="0" borderId="34" xfId="7" applyNumberFormat="1" applyBorder="1" applyAlignment="1">
      <alignment horizontal="center"/>
    </xf>
    <xf numFmtId="0" fontId="4" fillId="9" borderId="0" xfId="7" applyFont="1" applyFill="1" applyAlignment="1">
      <alignment horizontal="center"/>
    </xf>
    <xf numFmtId="0" fontId="70" fillId="14" borderId="56" xfId="0" applyFont="1" applyFill="1" applyBorder="1" applyAlignment="1" applyProtection="1">
      <alignment horizontal="left" vertical="center" indent="1"/>
      <protection hidden="1"/>
    </xf>
    <xf numFmtId="0" fontId="77" fillId="2" borderId="57" xfId="0" applyFont="1" applyFill="1" applyBorder="1" applyAlignment="1" applyProtection="1">
      <alignment horizontal="left" vertical="center"/>
      <protection hidden="1"/>
    </xf>
    <xf numFmtId="166" fontId="5" fillId="0" borderId="0" xfId="0" applyNumberFormat="1" applyFont="1" applyAlignment="1" applyProtection="1">
      <alignment horizontal="right" vertical="center"/>
      <protection locked="0" hidden="1"/>
    </xf>
    <xf numFmtId="0" fontId="2" fillId="0" borderId="0" xfId="0" applyFont="1" applyAlignment="1" applyProtection="1">
      <alignment vertical="center"/>
      <protection locked="0"/>
    </xf>
    <xf numFmtId="166" fontId="5" fillId="0" borderId="17" xfId="0" applyNumberFormat="1" applyFont="1" applyBorder="1" applyAlignment="1" applyProtection="1">
      <alignment horizontal="left"/>
      <protection hidden="1"/>
    </xf>
    <xf numFmtId="0" fontId="5" fillId="0" borderId="17" xfId="0" applyFont="1" applyBorder="1" applyProtection="1">
      <protection hidden="1"/>
    </xf>
    <xf numFmtId="165" fontId="5" fillId="0" borderId="17" xfId="2" applyFont="1" applyFill="1" applyBorder="1" applyAlignment="1" applyProtection="1">
      <alignment horizontal="center"/>
      <protection hidden="1"/>
    </xf>
    <xf numFmtId="10" fontId="47" fillId="0" borderId="37" xfId="13" applyNumberFormat="1" applyFont="1" applyBorder="1"/>
    <xf numFmtId="171" fontId="47" fillId="0" borderId="0" xfId="13" applyNumberFormat="1" applyFont="1" applyBorder="1"/>
    <xf numFmtId="0" fontId="63" fillId="0" borderId="0" xfId="0" applyFont="1" applyAlignment="1" applyProtection="1">
      <alignment horizontal="left" vertical="top" wrapText="1"/>
      <protection hidden="1"/>
    </xf>
    <xf numFmtId="166" fontId="30" fillId="18" borderId="29" xfId="0" applyNumberFormat="1" applyFont="1" applyFill="1" applyBorder="1" applyAlignment="1" applyProtection="1">
      <alignment horizontal="right" vertical="center"/>
      <protection hidden="1"/>
    </xf>
    <xf numFmtId="166" fontId="30" fillId="18" borderId="58" xfId="0" applyNumberFormat="1" applyFont="1" applyFill="1" applyBorder="1" applyAlignment="1" applyProtection="1">
      <alignment horizontal="right" vertical="center"/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Alignment="1" applyProtection="1">
      <alignment horizontal="right" vertical="center"/>
      <protection hidden="1"/>
    </xf>
    <xf numFmtId="0" fontId="75" fillId="0" borderId="59" xfId="0" applyFont="1" applyBorder="1" applyAlignment="1" applyProtection="1">
      <alignment horizontal="center" vertical="center"/>
      <protection hidden="1"/>
    </xf>
    <xf numFmtId="0" fontId="76" fillId="0" borderId="0" xfId="7" applyFont="1"/>
    <xf numFmtId="0" fontId="15" fillId="0" borderId="37" xfId="7" applyFont="1" applyBorder="1"/>
    <xf numFmtId="171" fontId="76" fillId="0" borderId="0" xfId="7" applyNumberFormat="1" applyFont="1"/>
    <xf numFmtId="10" fontId="76" fillId="0" borderId="0" xfId="12" applyNumberFormat="1" applyFont="1" applyBorder="1"/>
    <xf numFmtId="14" fontId="2" fillId="0" borderId="1" xfId="20" applyNumberFormat="1" applyFont="1" applyFill="1" applyBorder="1" applyAlignment="1" applyProtection="1">
      <alignment horizontal="right" vertical="center"/>
      <protection locked="0"/>
    </xf>
    <xf numFmtId="9" fontId="2" fillId="0" borderId="0" xfId="9" applyFont="1" applyFill="1" applyAlignment="1">
      <alignment vertical="center"/>
    </xf>
    <xf numFmtId="167" fontId="23" fillId="0" borderId="0" xfId="0" applyNumberFormat="1" applyFont="1" applyAlignment="1" applyProtection="1">
      <alignment horizontal="center"/>
      <protection hidden="1"/>
    </xf>
    <xf numFmtId="0" fontId="7" fillId="18" borderId="0" xfId="0" applyFont="1" applyFill="1" applyAlignment="1" applyProtection="1">
      <alignment horizontal="center" vertical="center"/>
      <protection hidden="1"/>
    </xf>
    <xf numFmtId="0" fontId="78" fillId="17" borderId="33" xfId="7" applyFont="1" applyFill="1" applyBorder="1"/>
    <xf numFmtId="171" fontId="78" fillId="17" borderId="36" xfId="10" applyNumberFormat="1" applyFont="1" applyFill="1" applyBorder="1" applyAlignment="1">
      <alignment horizontal="center"/>
    </xf>
    <xf numFmtId="0" fontId="78" fillId="17" borderId="0" xfId="7" applyFont="1" applyFill="1"/>
    <xf numFmtId="171" fontId="78" fillId="17" borderId="36" xfId="11" applyNumberFormat="1" applyFont="1" applyFill="1" applyBorder="1" applyAlignment="1">
      <alignment horizontal="center"/>
    </xf>
    <xf numFmtId="0" fontId="78" fillId="17" borderId="60" xfId="7" applyFont="1" applyFill="1" applyBorder="1"/>
    <xf numFmtId="171" fontId="78" fillId="17" borderId="61" xfId="11" applyNumberFormat="1" applyFont="1" applyFill="1" applyBorder="1" applyAlignment="1">
      <alignment horizontal="center"/>
    </xf>
    <xf numFmtId="0" fontId="78" fillId="17" borderId="47" xfId="7" applyFont="1" applyFill="1" applyBorder="1"/>
    <xf numFmtId="0" fontId="79" fillId="0" borderId="0" xfId="0" applyFont="1" applyAlignment="1" applyProtection="1">
      <alignment vertical="center"/>
      <protection hidden="1"/>
    </xf>
    <xf numFmtId="166" fontId="21" fillId="0" borderId="0" xfId="0" applyNumberFormat="1" applyFont="1" applyAlignment="1" applyProtection="1">
      <alignment vertical="center"/>
      <protection hidden="1"/>
    </xf>
    <xf numFmtId="0" fontId="35" fillId="0" borderId="0" xfId="0" applyFont="1" applyAlignment="1" applyProtection="1">
      <alignment horizontal="left" vertical="center"/>
      <protection hidden="1"/>
    </xf>
    <xf numFmtId="0" fontId="5" fillId="17" borderId="0" xfId="0" applyFont="1" applyFill="1" applyAlignment="1">
      <alignment horizontal="center" vertical="center"/>
    </xf>
    <xf numFmtId="10" fontId="2" fillId="17" borderId="22" xfId="9" applyNumberFormat="1" applyFont="1" applyFill="1" applyBorder="1" applyAlignment="1">
      <alignment horizontal="center" vertical="center"/>
    </xf>
    <xf numFmtId="166" fontId="0" fillId="17" borderId="0" xfId="0" applyNumberFormat="1" applyFill="1"/>
    <xf numFmtId="164" fontId="2" fillId="17" borderId="0" xfId="20" applyFont="1" applyFill="1"/>
    <xf numFmtId="0" fontId="0" fillId="17" borderId="0" xfId="0" applyFill="1" applyAlignment="1">
      <alignment horizontal="center"/>
    </xf>
    <xf numFmtId="0" fontId="52" fillId="0" borderId="0" xfId="0" applyFont="1"/>
    <xf numFmtId="10" fontId="2" fillId="17" borderId="0" xfId="9" applyNumberFormat="1" applyFont="1" applyFill="1" applyAlignment="1">
      <alignment horizontal="center" vertical="center"/>
    </xf>
    <xf numFmtId="165" fontId="0" fillId="0" borderId="0" xfId="2" applyFont="1" applyBorder="1" applyProtection="1">
      <protection locked="0" hidden="1"/>
    </xf>
    <xf numFmtId="9" fontId="2" fillId="0" borderId="0" xfId="8" applyNumberFormat="1" applyProtection="1">
      <protection locked="0" hidden="1"/>
    </xf>
    <xf numFmtId="0" fontId="80" fillId="0" borderId="0" xfId="0" applyFont="1" applyProtection="1">
      <protection hidden="1"/>
    </xf>
    <xf numFmtId="166" fontId="80" fillId="0" borderId="0" xfId="0" applyNumberFormat="1" applyFont="1" applyAlignment="1" applyProtection="1">
      <alignment horizontal="center"/>
      <protection hidden="1"/>
    </xf>
    <xf numFmtId="0" fontId="81" fillId="0" borderId="0" xfId="1" applyFont="1" applyFill="1" applyAlignment="1" applyProtection="1">
      <alignment horizontal="center" vertical="center"/>
      <protection locked="0" hidden="1"/>
    </xf>
    <xf numFmtId="0" fontId="2" fillId="0" borderId="55" xfId="8" applyBorder="1" applyProtection="1">
      <protection locked="0" hidden="1"/>
    </xf>
    <xf numFmtId="10" fontId="76" fillId="0" borderId="14" xfId="9" applyNumberFormat="1" applyFont="1" applyFill="1" applyBorder="1" applyAlignment="1" applyProtection="1">
      <alignment horizontal="center"/>
      <protection hidden="1"/>
    </xf>
    <xf numFmtId="0" fontId="82" fillId="0" borderId="0" xfId="7" applyFont="1"/>
    <xf numFmtId="0" fontId="65" fillId="0" borderId="36" xfId="7" applyFont="1" applyBorder="1"/>
    <xf numFmtId="9" fontId="65" fillId="0" borderId="0" xfId="9" applyFont="1"/>
    <xf numFmtId="0" fontId="62" fillId="0" borderId="21" xfId="8" applyFont="1" applyBorder="1" applyProtection="1">
      <protection locked="0" hidden="1"/>
    </xf>
    <xf numFmtId="0" fontId="62" fillId="0" borderId="0" xfId="0" applyFont="1"/>
    <xf numFmtId="9" fontId="82" fillId="0" borderId="36" xfId="9" applyFont="1" applyBorder="1"/>
    <xf numFmtId="165" fontId="52" fillId="4" borderId="61" xfId="2" applyFont="1" applyFill="1" applyBorder="1"/>
    <xf numFmtId="0" fontId="20" fillId="0" borderId="12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 wrapText="1"/>
      <protection hidden="1"/>
    </xf>
    <xf numFmtId="171" fontId="52" fillId="17" borderId="0" xfId="11" applyNumberFormat="1" applyFont="1" applyFill="1" applyBorder="1" applyAlignment="1">
      <alignment horizontal="center"/>
    </xf>
    <xf numFmtId="0" fontId="54" fillId="16" borderId="81" xfId="8" applyFont="1" applyFill="1" applyBorder="1" applyAlignment="1" applyProtection="1">
      <alignment vertical="center"/>
      <protection hidden="1"/>
    </xf>
    <xf numFmtId="0" fontId="2" fillId="0" borderId="0" xfId="8" applyAlignment="1" applyProtection="1">
      <alignment horizontal="center"/>
      <protection locked="0" hidden="1"/>
    </xf>
    <xf numFmtId="0" fontId="2" fillId="19" borderId="0" xfId="8" applyFill="1" applyProtection="1">
      <protection locked="0" hidden="1"/>
    </xf>
    <xf numFmtId="14" fontId="2" fillId="19" borderId="0" xfId="8" applyNumberFormat="1" applyFill="1" applyAlignment="1" applyProtection="1">
      <alignment horizontal="center"/>
      <protection locked="0" hidden="1"/>
    </xf>
    <xf numFmtId="164" fontId="82" fillId="0" borderId="0" xfId="16" applyFont="1" applyBorder="1"/>
    <xf numFmtId="0" fontId="83" fillId="0" borderId="0" xfId="0" applyFont="1"/>
    <xf numFmtId="0" fontId="84" fillId="20" borderId="101" xfId="0" applyFont="1" applyFill="1" applyBorder="1" applyAlignment="1" applyProtection="1">
      <alignment horizontal="right" vertical="center"/>
      <protection hidden="1"/>
    </xf>
    <xf numFmtId="0" fontId="2" fillId="0" borderId="16" xfId="8" applyBorder="1" applyProtection="1">
      <protection locked="0" hidden="1"/>
    </xf>
    <xf numFmtId="171" fontId="65" fillId="17" borderId="0" xfId="7" applyNumberFormat="1" applyFont="1" applyFill="1" applyAlignment="1">
      <alignment horizontal="center"/>
    </xf>
    <xf numFmtId="171" fontId="47" fillId="17" borderId="0" xfId="11" applyNumberFormat="1" applyFont="1" applyFill="1" applyBorder="1" applyAlignment="1">
      <alignment horizontal="center"/>
    </xf>
    <xf numFmtId="0" fontId="52" fillId="0" borderId="0" xfId="7" applyFont="1"/>
    <xf numFmtId="0" fontId="82" fillId="17" borderId="0" xfId="7" applyFont="1" applyFill="1"/>
    <xf numFmtId="0" fontId="82" fillId="17" borderId="60" xfId="7" applyFont="1" applyFill="1" applyBorder="1"/>
    <xf numFmtId="0" fontId="82" fillId="17" borderId="47" xfId="7" applyFont="1" applyFill="1" applyBorder="1"/>
    <xf numFmtId="171" fontId="82" fillId="17" borderId="6" xfId="7" applyNumberFormat="1" applyFont="1" applyFill="1" applyBorder="1" applyAlignment="1">
      <alignment horizontal="center"/>
    </xf>
    <xf numFmtId="171" fontId="82" fillId="17" borderId="61" xfId="7" applyNumberFormat="1" applyFont="1" applyFill="1" applyBorder="1" applyAlignment="1">
      <alignment horizontal="center"/>
    </xf>
    <xf numFmtId="0" fontId="71" fillId="0" borderId="90" xfId="0" applyFont="1" applyBorder="1" applyAlignment="1" applyProtection="1">
      <alignment horizontal="left" vertical="center" indent="1"/>
      <protection hidden="1"/>
    </xf>
    <xf numFmtId="0" fontId="70" fillId="2" borderId="11" xfId="0" applyFont="1" applyFill="1" applyBorder="1" applyAlignment="1" applyProtection="1">
      <alignment horizontal="left" vertical="center" indent="1"/>
      <protection hidden="1"/>
    </xf>
    <xf numFmtId="0" fontId="62" fillId="2" borderId="102" xfId="0" applyFont="1" applyFill="1" applyBorder="1" applyAlignment="1" applyProtection="1">
      <alignment horizontal="left" vertical="center" indent="1"/>
      <protection hidden="1"/>
    </xf>
    <xf numFmtId="0" fontId="70" fillId="2" borderId="102" xfId="0" applyFont="1" applyFill="1" applyBorder="1" applyAlignment="1" applyProtection="1">
      <alignment horizontal="left" vertical="center" indent="1"/>
      <protection hidden="1"/>
    </xf>
    <xf numFmtId="0" fontId="5" fillId="0" borderId="103" xfId="0" applyFont="1" applyBorder="1" applyAlignment="1" applyProtection="1">
      <alignment vertical="center"/>
      <protection hidden="1"/>
    </xf>
    <xf numFmtId="0" fontId="79" fillId="0" borderId="104" xfId="0" applyFont="1" applyBorder="1"/>
    <xf numFmtId="0" fontId="30" fillId="14" borderId="0" xfId="0" applyFont="1" applyFill="1" applyAlignment="1" applyProtection="1">
      <alignment vertical="center"/>
      <protection hidden="1"/>
    </xf>
    <xf numFmtId="0" fontId="31" fillId="14" borderId="0" xfId="0" applyFont="1" applyFill="1" applyAlignment="1" applyProtection="1">
      <alignment vertical="center"/>
      <protection hidden="1"/>
    </xf>
    <xf numFmtId="0" fontId="52" fillId="17" borderId="0" xfId="7" applyFont="1" applyFill="1"/>
    <xf numFmtId="171" fontId="52" fillId="17" borderId="6" xfId="7" applyNumberFormat="1" applyFont="1" applyFill="1" applyBorder="1" applyAlignment="1">
      <alignment horizontal="center"/>
    </xf>
    <xf numFmtId="0" fontId="52" fillId="17" borderId="60" xfId="7" applyFont="1" applyFill="1" applyBorder="1"/>
    <xf numFmtId="171" fontId="52" fillId="17" borderId="61" xfId="7" applyNumberFormat="1" applyFont="1" applyFill="1" applyBorder="1" applyAlignment="1">
      <alignment horizontal="center"/>
    </xf>
    <xf numFmtId="0" fontId="52" fillId="17" borderId="47" xfId="7" applyFont="1" applyFill="1" applyBorder="1"/>
    <xf numFmtId="171" fontId="52" fillId="17" borderId="36" xfId="7" applyNumberFormat="1" applyFont="1" applyFill="1" applyBorder="1" applyAlignment="1">
      <alignment horizontal="center"/>
    </xf>
    <xf numFmtId="0" fontId="52" fillId="17" borderId="33" xfId="7" applyFont="1" applyFill="1" applyBorder="1"/>
    <xf numFmtId="171" fontId="82" fillId="17" borderId="36" xfId="7" applyNumberFormat="1" applyFont="1" applyFill="1" applyBorder="1" applyAlignment="1">
      <alignment horizontal="center"/>
    </xf>
    <xf numFmtId="0" fontId="82" fillId="17" borderId="33" xfId="7" applyFont="1" applyFill="1" applyBorder="1"/>
    <xf numFmtId="166" fontId="5" fillId="0" borderId="0" xfId="0" applyNumberFormat="1" applyFont="1" applyAlignment="1" applyProtection="1">
      <alignment horizontal="left"/>
      <protection hidden="1"/>
    </xf>
    <xf numFmtId="14" fontId="79" fillId="0" borderId="0" xfId="0" applyNumberFormat="1" applyFont="1"/>
    <xf numFmtId="0" fontId="5" fillId="0" borderId="0" xfId="0" applyFont="1" applyAlignment="1" applyProtection="1">
      <alignment horizontal="center"/>
      <protection hidden="1"/>
    </xf>
    <xf numFmtId="14" fontId="5" fillId="0" borderId="0" xfId="0" applyNumberFormat="1" applyFont="1" applyAlignment="1" applyProtection="1">
      <alignment horizontal="left"/>
      <protection hidden="1"/>
    </xf>
    <xf numFmtId="0" fontId="2" fillId="0" borderId="97" xfId="8" applyBorder="1"/>
    <xf numFmtId="0" fontId="2" fillId="0" borderId="98" xfId="8" applyBorder="1"/>
    <xf numFmtId="0" fontId="2" fillId="0" borderId="99" xfId="8" applyBorder="1"/>
    <xf numFmtId="0" fontId="2" fillId="0" borderId="100" xfId="8" applyBorder="1"/>
    <xf numFmtId="10" fontId="60" fillId="17" borderId="0" xfId="10" applyNumberFormat="1" applyFont="1" applyFill="1" applyBorder="1" applyAlignment="1">
      <alignment horizontal="center"/>
    </xf>
    <xf numFmtId="10" fontId="85" fillId="17" borderId="0" xfId="11" applyNumberFormat="1" applyFont="1" applyFill="1" applyBorder="1" applyAlignment="1">
      <alignment horizontal="center"/>
    </xf>
    <xf numFmtId="164" fontId="2" fillId="0" borderId="1" xfId="20" applyFont="1" applyFill="1" applyBorder="1" applyAlignment="1" applyProtection="1">
      <alignment horizontal="center"/>
      <protection hidden="1"/>
    </xf>
    <xf numFmtId="0" fontId="2" fillId="0" borderId="85" xfId="0" applyFont="1" applyBorder="1" applyAlignment="1">
      <alignment horizontal="right"/>
    </xf>
    <xf numFmtId="167" fontId="2" fillId="0" borderId="0" xfId="0" applyNumberFormat="1" applyFont="1" applyAlignment="1" applyProtection="1">
      <alignment horizontal="left" indent="2"/>
      <protection hidden="1"/>
    </xf>
    <xf numFmtId="0" fontId="5" fillId="0" borderId="55" xfId="0" applyFont="1" applyBorder="1" applyAlignment="1">
      <alignment horizontal="center"/>
    </xf>
    <xf numFmtId="171" fontId="2" fillId="4" borderId="55" xfId="0" applyNumberFormat="1" applyFont="1" applyFill="1" applyBorder="1"/>
    <xf numFmtId="171" fontId="2" fillId="0" borderId="45" xfId="0" applyNumberFormat="1" applyFont="1" applyBorder="1"/>
    <xf numFmtId="171" fontId="2" fillId="0" borderId="48" xfId="0" applyNumberFormat="1" applyFont="1" applyBorder="1"/>
    <xf numFmtId="0" fontId="64" fillId="0" borderId="51" xfId="0" applyFont="1" applyBorder="1" applyAlignment="1">
      <alignment horizontal="center"/>
    </xf>
    <xf numFmtId="171" fontId="62" fillId="4" borderId="45" xfId="0" applyNumberFormat="1" applyFont="1" applyFill="1" applyBorder="1"/>
    <xf numFmtId="173" fontId="62" fillId="4" borderId="45" xfId="0" applyNumberFormat="1" applyFont="1" applyFill="1" applyBorder="1"/>
    <xf numFmtId="171" fontId="62" fillId="4" borderId="48" xfId="0" applyNumberFormat="1" applyFont="1" applyFill="1" applyBorder="1"/>
    <xf numFmtId="171" fontId="82" fillId="17" borderId="0" xfId="11" applyNumberFormat="1" applyFont="1" applyFill="1" applyBorder="1" applyAlignment="1">
      <alignment horizontal="center"/>
    </xf>
    <xf numFmtId="164" fontId="2" fillId="0" borderId="15" xfId="20" applyFont="1" applyBorder="1" applyAlignment="1" applyProtection="1">
      <alignment horizontal="center"/>
      <protection hidden="1"/>
    </xf>
    <xf numFmtId="0" fontId="58" fillId="0" borderId="0" xfId="0" applyFont="1" applyAlignment="1">
      <alignment horizontal="right"/>
    </xf>
    <xf numFmtId="9" fontId="2" fillId="0" borderId="85" xfId="9" applyFont="1" applyFill="1" applyBorder="1" applyAlignment="1" applyProtection="1">
      <alignment horizontal="center"/>
      <protection hidden="1"/>
    </xf>
    <xf numFmtId="0" fontId="89" fillId="0" borderId="0" xfId="0" applyFont="1" applyAlignment="1">
      <alignment horizontal="right" vertical="top"/>
    </xf>
    <xf numFmtId="166" fontId="2" fillId="0" borderId="79" xfId="0" applyNumberFormat="1" applyFont="1" applyBorder="1" applyAlignment="1" applyProtection="1">
      <alignment horizontal="right" vertical="center"/>
      <protection locked="0" hidden="1"/>
    </xf>
    <xf numFmtId="0" fontId="79" fillId="2" borderId="0" xfId="0" applyFont="1" applyFill="1" applyAlignment="1" applyProtection="1">
      <alignment horizontal="left" vertical="center" indent="2"/>
      <protection hidden="1"/>
    </xf>
    <xf numFmtId="166" fontId="79" fillId="0" borderId="0" xfId="0" applyNumberFormat="1" applyFont="1" applyAlignment="1" applyProtection="1">
      <alignment horizontal="right" vertical="center"/>
      <protection locked="0"/>
    </xf>
    <xf numFmtId="0" fontId="79" fillId="2" borderId="118" xfId="0" applyFont="1" applyFill="1" applyBorder="1" applyAlignment="1" applyProtection="1">
      <alignment horizontal="left" vertical="center" indent="2"/>
      <protection hidden="1"/>
    </xf>
    <xf numFmtId="166" fontId="79" fillId="0" borderId="118" xfId="0" applyNumberFormat="1" applyFont="1" applyBorder="1" applyAlignment="1" applyProtection="1">
      <alignment horizontal="right" vertical="center"/>
      <protection locked="0"/>
    </xf>
    <xf numFmtId="0" fontId="91" fillId="0" borderId="0" xfId="0" applyFont="1" applyAlignment="1" applyProtection="1">
      <alignment vertical="center"/>
      <protection hidden="1"/>
    </xf>
    <xf numFmtId="0" fontId="79" fillId="0" borderId="0" xfId="0" applyFont="1" applyAlignment="1">
      <alignment vertical="center"/>
    </xf>
    <xf numFmtId="0" fontId="79" fillId="2" borderId="0" xfId="0" applyFont="1" applyFill="1" applyAlignment="1" applyProtection="1">
      <alignment horizontal="center" vertical="center" wrapText="1"/>
      <protection hidden="1"/>
    </xf>
    <xf numFmtId="166" fontId="79" fillId="0" borderId="0" xfId="0" applyNumberFormat="1" applyFont="1" applyAlignment="1" applyProtection="1">
      <alignment horizontal="right" vertical="center"/>
      <protection locked="0" hidden="1"/>
    </xf>
    <xf numFmtId="166" fontId="79" fillId="0" borderId="0" xfId="0" applyNumberFormat="1" applyFont="1" applyAlignment="1" applyProtection="1">
      <alignment horizontal="center" vertical="center"/>
      <protection locked="0"/>
    </xf>
    <xf numFmtId="0" fontId="64" fillId="2" borderId="83" xfId="0" applyFont="1" applyFill="1" applyBorder="1" applyAlignment="1" applyProtection="1">
      <alignment horizontal="left" vertical="center"/>
      <protection hidden="1"/>
    </xf>
    <xf numFmtId="166" fontId="5" fillId="0" borderId="83" xfId="0" applyNumberFormat="1" applyFont="1" applyBorder="1" applyAlignment="1" applyProtection="1">
      <alignment horizontal="right" vertical="center"/>
      <protection locked="0" hidden="1"/>
    </xf>
    <xf numFmtId="0" fontId="65" fillId="17" borderId="5" xfId="7" applyFont="1" applyFill="1" applyBorder="1" applyAlignment="1">
      <alignment horizontal="center"/>
    </xf>
    <xf numFmtId="0" fontId="65" fillId="17" borderId="41" xfId="7" applyFont="1" applyFill="1" applyBorder="1" applyAlignment="1">
      <alignment horizontal="center"/>
    </xf>
    <xf numFmtId="9" fontId="65" fillId="17" borderId="6" xfId="9" applyFont="1" applyFill="1" applyBorder="1" applyAlignment="1">
      <alignment horizontal="center"/>
    </xf>
    <xf numFmtId="9" fontId="65" fillId="17" borderId="61" xfId="9" applyFont="1" applyFill="1" applyBorder="1" applyAlignment="1">
      <alignment horizontal="center"/>
    </xf>
    <xf numFmtId="9" fontId="47" fillId="0" borderId="6" xfId="9" applyFont="1" applyFill="1" applyBorder="1"/>
    <xf numFmtId="0" fontId="65" fillId="22" borderId="0" xfId="7" applyFont="1" applyFill="1"/>
    <xf numFmtId="0" fontId="92" fillId="21" borderId="119" xfId="0" applyFont="1" applyFill="1" applyBorder="1" applyAlignment="1">
      <alignment horizontal="center"/>
    </xf>
    <xf numFmtId="0" fontId="91" fillId="21" borderId="119" xfId="0" applyFont="1" applyFill="1" applyBorder="1" applyAlignment="1">
      <alignment horizontal="center"/>
    </xf>
    <xf numFmtId="0" fontId="92" fillId="21" borderId="120" xfId="0" applyFont="1" applyFill="1" applyBorder="1" applyAlignment="1">
      <alignment horizontal="center"/>
    </xf>
    <xf numFmtId="0" fontId="91" fillId="21" borderId="121" xfId="0" applyFont="1" applyFill="1" applyBorder="1" applyAlignment="1">
      <alignment horizontal="center"/>
    </xf>
    <xf numFmtId="0" fontId="91" fillId="21" borderId="122" xfId="0" applyFont="1" applyFill="1" applyBorder="1" applyAlignment="1">
      <alignment horizontal="center"/>
    </xf>
    <xf numFmtId="0" fontId="93" fillId="21" borderId="123" xfId="0" applyFont="1" applyFill="1" applyBorder="1" applyAlignment="1">
      <alignment horizontal="center"/>
    </xf>
    <xf numFmtId="171" fontId="79" fillId="21" borderId="124" xfId="0" applyNumberFormat="1" applyFont="1" applyFill="1" applyBorder="1"/>
    <xf numFmtId="173" fontId="79" fillId="21" borderId="125" xfId="0" applyNumberFormat="1" applyFont="1" applyFill="1" applyBorder="1"/>
    <xf numFmtId="171" fontId="79" fillId="21" borderId="125" xfId="0" applyNumberFormat="1" applyFont="1" applyFill="1" applyBorder="1"/>
    <xf numFmtId="0" fontId="93" fillId="21" borderId="126" xfId="0" applyFont="1" applyFill="1" applyBorder="1" applyAlignment="1">
      <alignment horizontal="center"/>
    </xf>
    <xf numFmtId="171" fontId="79" fillId="21" borderId="127" xfId="0" applyNumberFormat="1" applyFont="1" applyFill="1" applyBorder="1"/>
    <xf numFmtId="171" fontId="79" fillId="21" borderId="128" xfId="0" applyNumberFormat="1" applyFont="1" applyFill="1" applyBorder="1"/>
    <xf numFmtId="0" fontId="94" fillId="0" borderId="0" xfId="7" applyFont="1"/>
    <xf numFmtId="180" fontId="0" fillId="0" borderId="0" xfId="9" applyNumberFormat="1" applyFont="1" applyBorder="1" applyProtection="1">
      <protection locked="0" hidden="1"/>
    </xf>
    <xf numFmtId="14" fontId="0" fillId="0" borderId="0" xfId="0" applyNumberFormat="1"/>
    <xf numFmtId="0" fontId="95" fillId="0" borderId="0" xfId="0" applyFont="1"/>
    <xf numFmtId="0" fontId="0" fillId="0" borderId="0" xfId="0" applyAlignment="1">
      <alignment horizontal="right"/>
    </xf>
    <xf numFmtId="0" fontId="0" fillId="22" borderId="3" xfId="0" applyFill="1" applyBorder="1"/>
    <xf numFmtId="0" fontId="0" fillId="22" borderId="44" xfId="0" applyFill="1" applyBorder="1" applyAlignment="1">
      <alignment horizontal="right"/>
    </xf>
    <xf numFmtId="0" fontId="0" fillId="22" borderId="44" xfId="0" applyFill="1" applyBorder="1"/>
    <xf numFmtId="0" fontId="0" fillId="22" borderId="44" xfId="0" applyFill="1" applyBorder="1" applyAlignment="1">
      <alignment horizontal="center"/>
    </xf>
    <xf numFmtId="0" fontId="0" fillId="0" borderId="21" xfId="0" applyBorder="1"/>
    <xf numFmtId="0" fontId="0" fillId="0" borderId="23" xfId="0" applyBorder="1"/>
    <xf numFmtId="0" fontId="0" fillId="22" borderId="0" xfId="0" applyFill="1"/>
    <xf numFmtId="0" fontId="5" fillId="0" borderId="2" xfId="0" applyFont="1" applyBorder="1" applyAlignment="1">
      <alignment horizontal="centerContinuous" vertical="center"/>
    </xf>
    <xf numFmtId="0" fontId="5" fillId="0" borderId="3" xfId="0" applyFont="1" applyBorder="1" applyAlignment="1">
      <alignment horizontal="centerContinuous" vertical="center"/>
    </xf>
    <xf numFmtId="0" fontId="5" fillId="0" borderId="44" xfId="0" applyFont="1" applyBorder="1" applyAlignment="1">
      <alignment horizontal="centerContinuous" vertical="center"/>
    </xf>
    <xf numFmtId="0" fontId="5" fillId="0" borderId="55" xfId="0" applyFont="1" applyBorder="1" applyAlignment="1">
      <alignment horizontal="centerContinuous" vertical="center"/>
    </xf>
    <xf numFmtId="10" fontId="96" fillId="0" borderId="25" xfId="8" applyNumberFormat="1" applyFont="1" applyBorder="1" applyProtection="1">
      <protection locked="0" hidden="1"/>
    </xf>
    <xf numFmtId="10" fontId="96" fillId="0" borderId="23" xfId="8" applyNumberFormat="1" applyFont="1" applyBorder="1" applyProtection="1">
      <protection locked="0" hidden="1"/>
    </xf>
    <xf numFmtId="0" fontId="14" fillId="0" borderId="0" xfId="0" applyFont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0" fontId="69" fillId="0" borderId="54" xfId="0" applyFont="1" applyBorder="1" applyAlignment="1">
      <alignment horizontal="center" vertical="center"/>
    </xf>
    <xf numFmtId="166" fontId="79" fillId="0" borderId="72" xfId="0" applyNumberFormat="1" applyFont="1" applyBorder="1" applyAlignment="1" applyProtection="1">
      <alignment horizontal="center" vertical="center"/>
      <protection locked="0"/>
    </xf>
    <xf numFmtId="166" fontId="79" fillId="0" borderId="80" xfId="0" applyNumberFormat="1" applyFont="1" applyBorder="1" applyAlignment="1" applyProtection="1">
      <alignment horizontal="center" vertical="center"/>
      <protection locked="0"/>
    </xf>
    <xf numFmtId="0" fontId="5" fillId="0" borderId="72" xfId="0" applyFont="1" applyBorder="1" applyAlignment="1" applyProtection="1">
      <alignment horizontal="center" vertical="center"/>
      <protection locked="0"/>
    </xf>
    <xf numFmtId="0" fontId="5" fillId="0" borderId="73" xfId="0" applyFont="1" applyBorder="1" applyAlignment="1" applyProtection="1">
      <alignment horizontal="center" vertical="center"/>
      <protection locked="0"/>
    </xf>
    <xf numFmtId="165" fontId="2" fillId="0" borderId="111" xfId="2" applyFont="1" applyFill="1" applyBorder="1" applyAlignment="1" applyProtection="1">
      <alignment horizontal="center" vertical="center"/>
      <protection locked="0"/>
    </xf>
    <xf numFmtId="0" fontId="2" fillId="0" borderId="112" xfId="0" applyFont="1" applyBorder="1" applyAlignment="1" applyProtection="1">
      <alignment horizontal="center" vertical="center"/>
      <protection locked="0"/>
    </xf>
    <xf numFmtId="0" fontId="2" fillId="0" borderId="113" xfId="0" applyFont="1" applyBorder="1" applyAlignment="1" applyProtection="1">
      <alignment horizontal="center" vertical="center"/>
      <protection locked="0"/>
    </xf>
    <xf numFmtId="0" fontId="50" fillId="20" borderId="114" xfId="0" applyFont="1" applyFill="1" applyBorder="1" applyAlignment="1" applyProtection="1">
      <alignment horizontal="left" vertical="center"/>
      <protection locked="0"/>
    </xf>
    <xf numFmtId="0" fontId="50" fillId="20" borderId="115" xfId="0" applyFont="1" applyFill="1" applyBorder="1" applyAlignment="1" applyProtection="1">
      <alignment horizontal="left" vertical="center"/>
      <protection locked="0"/>
    </xf>
    <xf numFmtId="0" fontId="50" fillId="0" borderId="114" xfId="0" applyFont="1" applyBorder="1" applyAlignment="1" applyProtection="1">
      <alignment horizontal="left" vertical="center"/>
      <protection locked="0"/>
    </xf>
    <xf numFmtId="0" fontId="50" fillId="0" borderId="115" xfId="0" applyFont="1" applyBorder="1" applyAlignment="1" applyProtection="1">
      <alignment horizontal="left" vertical="center"/>
      <protection locked="0"/>
    </xf>
    <xf numFmtId="0" fontId="79" fillId="0" borderId="72" xfId="0" applyFont="1" applyBorder="1" applyAlignment="1" applyProtection="1">
      <alignment horizontal="center" vertical="center"/>
      <protection locked="0"/>
    </xf>
    <xf numFmtId="0" fontId="79" fillId="0" borderId="73" xfId="0" applyFont="1" applyBorder="1" applyAlignment="1" applyProtection="1">
      <alignment horizontal="center" vertical="center"/>
      <protection locked="0"/>
    </xf>
    <xf numFmtId="0" fontId="79" fillId="0" borderId="116" xfId="0" applyFont="1" applyBorder="1" applyAlignment="1" applyProtection="1">
      <alignment horizontal="center" vertical="center"/>
      <protection locked="0" hidden="1"/>
    </xf>
    <xf numFmtId="0" fontId="79" fillId="0" borderId="117" xfId="0" applyFont="1" applyBorder="1" applyAlignment="1" applyProtection="1">
      <alignment horizontal="center" vertical="center"/>
      <protection locked="0" hidden="1"/>
    </xf>
    <xf numFmtId="166" fontId="2" fillId="0" borderId="72" xfId="0" applyNumberFormat="1" applyFont="1" applyBorder="1" applyAlignment="1" applyProtection="1">
      <alignment horizontal="center" vertical="center"/>
      <protection locked="0"/>
    </xf>
    <xf numFmtId="166" fontId="2" fillId="0" borderId="73" xfId="0" applyNumberFormat="1" applyFont="1" applyBorder="1" applyAlignment="1" applyProtection="1">
      <alignment horizontal="center" vertical="center"/>
      <protection locked="0"/>
    </xf>
    <xf numFmtId="166" fontId="79" fillId="0" borderId="0" xfId="0" applyNumberFormat="1" applyFont="1" applyAlignment="1" applyProtection="1">
      <alignment horizontal="right" vertical="center"/>
      <protection locked="0" hidden="1"/>
    </xf>
    <xf numFmtId="0" fontId="64" fillId="14" borderId="0" xfId="0" applyFont="1" applyFill="1" applyAlignment="1" applyProtection="1">
      <alignment horizontal="center" vertical="center"/>
      <protection hidden="1"/>
    </xf>
    <xf numFmtId="0" fontId="22" fillId="17" borderId="0" xfId="0" applyFont="1" applyFill="1" applyAlignment="1" applyProtection="1">
      <alignment horizontal="center" vertical="center" wrapText="1"/>
      <protection hidden="1"/>
    </xf>
    <xf numFmtId="0" fontId="79" fillId="2" borderId="0" xfId="0" applyFont="1" applyFill="1" applyAlignment="1" applyProtection="1">
      <alignment horizontal="center" vertical="center" wrapText="1"/>
      <protection hidden="1"/>
    </xf>
    <xf numFmtId="10" fontId="2" fillId="0" borderId="72" xfId="9" applyNumberFormat="1" applyFont="1" applyFill="1" applyBorder="1" applyAlignment="1" applyProtection="1">
      <alignment horizontal="center" vertical="center"/>
      <protection locked="0"/>
    </xf>
    <xf numFmtId="10" fontId="2" fillId="0" borderId="110" xfId="9" applyNumberFormat="1" applyFont="1" applyFill="1" applyBorder="1" applyAlignment="1" applyProtection="1">
      <alignment horizontal="center" vertical="center"/>
      <protection locked="0"/>
    </xf>
    <xf numFmtId="0" fontId="88" fillId="17" borderId="5" xfId="0" applyFont="1" applyFill="1" applyBorder="1" applyAlignment="1">
      <alignment horizontal="center" vertical="center" wrapText="1"/>
    </xf>
    <xf numFmtId="0" fontId="88" fillId="17" borderId="35" xfId="0" applyFont="1" applyFill="1" applyBorder="1" applyAlignment="1">
      <alignment horizontal="center" vertical="center" wrapText="1"/>
    </xf>
    <xf numFmtId="0" fontId="88" fillId="17" borderId="6" xfId="0" applyFont="1" applyFill="1" applyBorder="1" applyAlignment="1">
      <alignment horizontal="center" vertical="center" wrapText="1"/>
    </xf>
    <xf numFmtId="0" fontId="88" fillId="17" borderId="40" xfId="0" applyFont="1" applyFill="1" applyBorder="1" applyAlignment="1">
      <alignment horizontal="center" vertical="center" wrapText="1"/>
    </xf>
    <xf numFmtId="0" fontId="88" fillId="17" borderId="0" xfId="0" applyFont="1" applyFill="1" applyAlignment="1">
      <alignment horizontal="center" vertical="center" wrapText="1"/>
    </xf>
    <xf numFmtId="0" fontId="88" fillId="17" borderId="36" xfId="0" applyFont="1" applyFill="1" applyBorder="1" applyAlignment="1">
      <alignment horizontal="center" vertical="center" wrapText="1"/>
    </xf>
    <xf numFmtId="0" fontId="88" fillId="17" borderId="41" xfId="0" applyFont="1" applyFill="1" applyBorder="1" applyAlignment="1">
      <alignment horizontal="center" vertical="center" wrapText="1"/>
    </xf>
    <xf numFmtId="0" fontId="88" fillId="17" borderId="47" xfId="0" applyFont="1" applyFill="1" applyBorder="1" applyAlignment="1">
      <alignment horizontal="center" vertical="center" wrapText="1"/>
    </xf>
    <xf numFmtId="0" fontId="88" fillId="17" borderId="61" xfId="0" applyFont="1" applyFill="1" applyBorder="1" applyAlignment="1">
      <alignment horizontal="center" vertical="center" wrapText="1"/>
    </xf>
    <xf numFmtId="10" fontId="79" fillId="0" borderId="72" xfId="9" applyNumberFormat="1" applyFont="1" applyFill="1" applyBorder="1" applyAlignment="1" applyProtection="1">
      <alignment horizontal="center" vertical="center"/>
      <protection locked="0"/>
    </xf>
    <xf numFmtId="10" fontId="79" fillId="0" borderId="73" xfId="9" applyNumberFormat="1" applyFont="1" applyFill="1" applyBorder="1" applyAlignment="1" applyProtection="1">
      <alignment horizontal="center" vertical="center"/>
      <protection locked="0"/>
    </xf>
    <xf numFmtId="166" fontId="79" fillId="0" borderId="73" xfId="0" applyNumberFormat="1" applyFont="1" applyBorder="1" applyAlignment="1" applyProtection="1">
      <alignment horizontal="center" vertical="center"/>
      <protection locked="0"/>
    </xf>
    <xf numFmtId="0" fontId="2" fillId="0" borderId="72" xfId="0" applyFont="1" applyBorder="1" applyAlignment="1" applyProtection="1">
      <alignment horizontal="center"/>
      <protection locked="0"/>
    </xf>
    <xf numFmtId="0" fontId="2" fillId="0" borderId="73" xfId="0" applyFont="1" applyBorder="1" applyAlignment="1" applyProtection="1">
      <alignment horizontal="center"/>
      <protection locked="0"/>
    </xf>
    <xf numFmtId="166" fontId="8" fillId="0" borderId="74" xfId="1" applyNumberFormat="1" applyFont="1" applyFill="1" applyBorder="1" applyAlignment="1" applyProtection="1">
      <alignment horizontal="center" vertical="center" wrapText="1"/>
      <protection hidden="1"/>
    </xf>
    <xf numFmtId="166" fontId="8" fillId="0" borderId="75" xfId="1" applyNumberFormat="1" applyFont="1" applyFill="1" applyBorder="1" applyAlignment="1" applyProtection="1">
      <alignment horizontal="center" vertical="center" wrapText="1"/>
      <protection hidden="1"/>
    </xf>
    <xf numFmtId="0" fontId="2" fillId="0" borderId="76" xfId="0" applyFont="1" applyBorder="1" applyAlignment="1" applyProtection="1">
      <alignment horizontal="center" vertical="center"/>
      <protection locked="0"/>
    </xf>
    <xf numFmtId="0" fontId="2" fillId="0" borderId="77" xfId="0" applyFont="1" applyBorder="1" applyAlignment="1" applyProtection="1">
      <alignment horizontal="center" vertical="center"/>
      <protection locked="0"/>
    </xf>
    <xf numFmtId="0" fontId="81" fillId="18" borderId="0" xfId="1" applyFont="1" applyFill="1" applyBorder="1" applyAlignment="1" applyProtection="1">
      <alignment horizontal="center" vertical="center"/>
      <protection locked="0" hidden="1"/>
    </xf>
    <xf numFmtId="0" fontId="81" fillId="18" borderId="0" xfId="1" applyFont="1" applyFill="1" applyAlignment="1" applyProtection="1">
      <alignment horizontal="center" vertical="center"/>
      <protection locked="0" hidden="1"/>
    </xf>
    <xf numFmtId="10" fontId="2" fillId="0" borderId="70" xfId="9" applyNumberFormat="1" applyFont="1" applyFill="1" applyBorder="1" applyAlignment="1" applyProtection="1">
      <alignment horizontal="center"/>
      <protection hidden="1"/>
    </xf>
    <xf numFmtId="10" fontId="2" fillId="0" borderId="71" xfId="9" applyNumberFormat="1" applyFont="1" applyFill="1" applyBorder="1" applyAlignment="1" applyProtection="1">
      <alignment horizontal="center"/>
      <protection hidden="1"/>
    </xf>
    <xf numFmtId="171" fontId="2" fillId="0" borderId="70" xfId="9" applyNumberFormat="1" applyFont="1" applyFill="1" applyBorder="1" applyAlignment="1" applyProtection="1">
      <alignment horizontal="center"/>
      <protection hidden="1"/>
    </xf>
    <xf numFmtId="171" fontId="2" fillId="0" borderId="71" xfId="9" applyNumberFormat="1" applyFont="1" applyFill="1" applyBorder="1" applyAlignment="1" applyProtection="1">
      <alignment horizontal="center"/>
      <protection hidden="1"/>
    </xf>
    <xf numFmtId="0" fontId="75" fillId="0" borderId="59" xfId="0" applyFont="1" applyBorder="1" applyAlignment="1" applyProtection="1">
      <alignment horizontal="center" vertical="center"/>
      <protection hidden="1"/>
    </xf>
    <xf numFmtId="166" fontId="2" fillId="0" borderId="70" xfId="0" applyNumberFormat="1" applyFont="1" applyBorder="1" applyAlignment="1" applyProtection="1">
      <alignment horizontal="center"/>
      <protection hidden="1"/>
    </xf>
    <xf numFmtId="166" fontId="2" fillId="0" borderId="71" xfId="0" applyNumberFormat="1" applyFont="1" applyBorder="1" applyAlignment="1" applyProtection="1">
      <alignment horizontal="center"/>
      <protection hidden="1"/>
    </xf>
    <xf numFmtId="0" fontId="86" fillId="0" borderId="78" xfId="0" applyFont="1" applyBorder="1" applyAlignment="1">
      <alignment horizontal="center" vertical="center"/>
    </xf>
    <xf numFmtId="0" fontId="86" fillId="0" borderId="29" xfId="0" applyFont="1" applyBorder="1" applyAlignment="1">
      <alignment horizontal="center" vertical="center"/>
    </xf>
    <xf numFmtId="0" fontId="86" fillId="0" borderId="58" xfId="0" applyFont="1" applyBorder="1" applyAlignment="1">
      <alignment horizontal="center" vertical="center"/>
    </xf>
    <xf numFmtId="0" fontId="87" fillId="0" borderId="0" xfId="0" applyFont="1" applyAlignment="1" applyProtection="1">
      <alignment horizontal="center" vertical="center" wrapText="1"/>
      <protection hidden="1"/>
    </xf>
    <xf numFmtId="0" fontId="7" fillId="18" borderId="0" xfId="0" applyFont="1" applyFill="1" applyAlignment="1" applyProtection="1">
      <alignment horizontal="center" vertical="center"/>
      <protection hidden="1"/>
    </xf>
    <xf numFmtId="0" fontId="75" fillId="0" borderId="67" xfId="0" applyFont="1" applyBorder="1" applyAlignment="1" applyProtection="1">
      <alignment horizontal="justify" vertical="center" wrapText="1"/>
      <protection hidden="1"/>
    </xf>
    <xf numFmtId="0" fontId="75" fillId="0" borderId="68" xfId="0" applyFont="1" applyBorder="1" applyAlignment="1" applyProtection="1">
      <alignment horizontal="justify" vertical="center" wrapText="1"/>
      <protection hidden="1"/>
    </xf>
    <xf numFmtId="0" fontId="75" fillId="0" borderId="69" xfId="0" applyFont="1" applyBorder="1" applyAlignment="1" applyProtection="1">
      <alignment horizontal="justify" vertical="center" wrapText="1"/>
      <protection hidden="1"/>
    </xf>
    <xf numFmtId="0" fontId="75" fillId="0" borderId="67" xfId="0" applyFont="1" applyBorder="1" applyAlignment="1" applyProtection="1">
      <alignment horizontal="left" vertical="center" wrapText="1"/>
      <protection hidden="1"/>
    </xf>
    <xf numFmtId="0" fontId="75" fillId="0" borderId="68" xfId="0" applyFont="1" applyBorder="1" applyAlignment="1" applyProtection="1">
      <alignment horizontal="left" vertical="center" wrapText="1"/>
      <protection hidden="1"/>
    </xf>
    <xf numFmtId="0" fontId="75" fillId="0" borderId="69" xfId="0" applyFont="1" applyBorder="1" applyAlignment="1" applyProtection="1">
      <alignment horizontal="left" vertical="center" wrapText="1"/>
      <protection hidden="1"/>
    </xf>
    <xf numFmtId="0" fontId="2" fillId="0" borderId="26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0" fillId="0" borderId="0" xfId="0" applyFont="1" applyAlignment="1" applyProtection="1">
      <alignment horizontal="left" vertical="center" wrapText="1"/>
      <protection hidden="1"/>
    </xf>
    <xf numFmtId="0" fontId="75" fillId="0" borderId="64" xfId="0" applyFont="1" applyBorder="1" applyAlignment="1" applyProtection="1">
      <alignment horizontal="left" vertical="center" wrapText="1"/>
      <protection hidden="1"/>
    </xf>
    <xf numFmtId="0" fontId="75" fillId="0" borderId="65" xfId="0" applyFont="1" applyBorder="1" applyAlignment="1" applyProtection="1">
      <alignment horizontal="left" vertical="center" wrapText="1"/>
      <protection hidden="1"/>
    </xf>
    <xf numFmtId="0" fontId="75" fillId="0" borderId="66" xfId="0" applyFont="1" applyBorder="1" applyAlignment="1" applyProtection="1">
      <alignment horizontal="left" vertical="center" wrapText="1"/>
      <protection hidden="1"/>
    </xf>
    <xf numFmtId="0" fontId="75" fillId="0" borderId="107" xfId="0" applyFont="1" applyBorder="1" applyAlignment="1" applyProtection="1">
      <alignment horizontal="left" vertical="justify" wrapText="1"/>
      <protection hidden="1"/>
    </xf>
    <xf numFmtId="0" fontId="75" fillId="0" borderId="108" xfId="0" applyFont="1" applyBorder="1" applyAlignment="1" applyProtection="1">
      <alignment horizontal="left" vertical="justify" wrapText="1"/>
      <protection hidden="1"/>
    </xf>
    <xf numFmtId="0" fontId="75" fillId="0" borderId="109" xfId="0" applyFont="1" applyBorder="1" applyAlignment="1" applyProtection="1">
      <alignment horizontal="left" vertical="justify" wrapText="1"/>
      <protection hidden="1"/>
    </xf>
    <xf numFmtId="10" fontId="76" fillId="0" borderId="70" xfId="9" applyNumberFormat="1" applyFont="1" applyFill="1" applyBorder="1" applyAlignment="1" applyProtection="1">
      <alignment horizontal="center"/>
      <protection hidden="1"/>
    </xf>
    <xf numFmtId="10" fontId="76" fillId="0" borderId="71" xfId="9" applyNumberFormat="1" applyFont="1" applyFill="1" applyBorder="1" applyAlignment="1" applyProtection="1">
      <alignment horizontal="center"/>
      <protection hidden="1"/>
    </xf>
    <xf numFmtId="0" fontId="75" fillId="0" borderId="107" xfId="0" applyFont="1" applyBorder="1" applyAlignment="1" applyProtection="1">
      <alignment horizontal="left" vertical="center" wrapText="1"/>
      <protection hidden="1"/>
    </xf>
    <xf numFmtId="0" fontId="75" fillId="0" borderId="108" xfId="0" applyFont="1" applyBorder="1" applyAlignment="1" applyProtection="1">
      <alignment horizontal="left" vertical="center" wrapText="1"/>
      <protection hidden="1"/>
    </xf>
    <xf numFmtId="0" fontId="75" fillId="0" borderId="109" xfId="0" applyFont="1" applyBorder="1" applyAlignment="1" applyProtection="1">
      <alignment horizontal="left" vertical="center" wrapText="1"/>
      <protection hidden="1"/>
    </xf>
    <xf numFmtId="0" fontId="22" fillId="0" borderId="47" xfId="0" applyFont="1" applyBorder="1" applyAlignment="1" applyProtection="1">
      <alignment horizontal="center" vertical="center"/>
      <protection hidden="1"/>
    </xf>
    <xf numFmtId="0" fontId="5" fillId="0" borderId="62" xfId="0" applyFont="1" applyBorder="1" applyAlignment="1">
      <alignment horizontal="center"/>
    </xf>
    <xf numFmtId="0" fontId="5" fillId="0" borderId="63" xfId="0" applyFont="1" applyBorder="1" applyAlignment="1">
      <alignment horizontal="center"/>
    </xf>
    <xf numFmtId="0" fontId="76" fillId="0" borderId="60" xfId="7" applyFont="1" applyBorder="1" applyAlignment="1">
      <alignment horizontal="center"/>
    </xf>
    <xf numFmtId="0" fontId="76" fillId="0" borderId="47" xfId="7" applyFont="1" applyBorder="1" applyAlignment="1">
      <alignment horizontal="center"/>
    </xf>
    <xf numFmtId="0" fontId="30" fillId="12" borderId="3" xfId="0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center" vertical="center"/>
    </xf>
    <xf numFmtId="0" fontId="48" fillId="14" borderId="0" xfId="7" applyFont="1" applyFill="1" applyAlignment="1">
      <alignment horizontal="center"/>
    </xf>
    <xf numFmtId="0" fontId="30" fillId="12" borderId="27" xfId="0" applyFont="1" applyFill="1" applyBorder="1" applyAlignment="1">
      <alignment horizontal="center" vertical="center" textRotation="90"/>
    </xf>
    <xf numFmtId="0" fontId="30" fillId="12" borderId="16" xfId="0" applyFont="1" applyFill="1" applyBorder="1" applyAlignment="1">
      <alignment horizontal="center" vertical="center" textRotation="90"/>
    </xf>
    <xf numFmtId="0" fontId="43" fillId="14" borderId="0" xfId="1" applyFont="1" applyFill="1" applyBorder="1" applyAlignment="1" applyProtection="1">
      <alignment horizontal="center" vertical="center"/>
      <protection hidden="1"/>
    </xf>
    <xf numFmtId="0" fontId="2" fillId="0" borderId="88" xfId="8" applyBorder="1" applyAlignment="1" applyProtection="1">
      <alignment horizontal="center" vertical="center"/>
      <protection hidden="1"/>
    </xf>
    <xf numFmtId="0" fontId="2" fillId="0" borderId="105" xfId="8" applyBorder="1" applyAlignment="1" applyProtection="1">
      <alignment horizontal="center" vertical="center" wrapText="1"/>
      <protection hidden="1"/>
    </xf>
    <xf numFmtId="0" fontId="2" fillId="0" borderId="106" xfId="8" applyBorder="1" applyAlignment="1" applyProtection="1">
      <alignment horizontal="center" vertical="center" wrapText="1"/>
      <protection hidden="1"/>
    </xf>
    <xf numFmtId="166" fontId="14" fillId="0" borderId="54" xfId="0" applyNumberFormat="1" applyFont="1" applyBorder="1" applyAlignment="1" applyProtection="1">
      <alignment horizontal="center" vertical="center"/>
      <protection hidden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justify" vertical="top" wrapText="1"/>
    </xf>
    <xf numFmtId="0" fontId="2" fillId="0" borderId="0" xfId="0" applyFont="1" applyAlignment="1">
      <alignment horizontal="left" vertical="top" wrapText="1"/>
    </xf>
    <xf numFmtId="167" fontId="2" fillId="0" borderId="0" xfId="0" applyNumberFormat="1" applyFont="1" applyAlignment="1">
      <alignment horizontal="left"/>
    </xf>
    <xf numFmtId="0" fontId="2" fillId="0" borderId="0" xfId="0" applyFont="1" applyAlignment="1">
      <alignment wrapText="1"/>
    </xf>
    <xf numFmtId="0" fontId="2" fillId="0" borderId="0" xfId="0" applyFont="1" applyAlignment="1" applyProtection="1">
      <alignment horizontal="justify" vertical="top" wrapText="1"/>
      <protection hidden="1"/>
    </xf>
    <xf numFmtId="0" fontId="2" fillId="0" borderId="0" xfId="0" applyFont="1" applyAlignment="1">
      <alignment horizontal="left" vertical="center" wrapText="1"/>
    </xf>
    <xf numFmtId="0" fontId="75" fillId="0" borderId="0" xfId="0" applyFont="1" applyAlignment="1" applyProtection="1">
      <alignment horizontal="justify" vertical="center" wrapText="1"/>
      <protection hidden="1"/>
    </xf>
    <xf numFmtId="0" fontId="2" fillId="0" borderId="0" xfId="8" applyAlignment="1">
      <alignment horizontal="left"/>
    </xf>
    <xf numFmtId="0" fontId="2" fillId="0" borderId="22" xfId="8" applyBorder="1" applyAlignment="1">
      <alignment horizontal="left" wrapText="1"/>
    </xf>
    <xf numFmtId="0" fontId="2" fillId="0" borderId="22" xfId="8" applyBorder="1" applyAlignment="1">
      <alignment horizontal="left"/>
    </xf>
    <xf numFmtId="0" fontId="2" fillId="0" borderId="0" xfId="8" applyAlignment="1">
      <alignment horizontal="left" wrapText="1"/>
    </xf>
    <xf numFmtId="0" fontId="5" fillId="0" borderId="0" xfId="8" applyFont="1" applyAlignment="1" applyProtection="1">
      <alignment horizontal="left"/>
      <protection locked="0" hidden="1"/>
    </xf>
  </cellXfs>
  <cellStyles count="21">
    <cellStyle name="Hiperlink" xfId="1" builtinId="8"/>
    <cellStyle name="Moeda" xfId="2" builtinId="4"/>
    <cellStyle name="Moeda 2" xfId="3" xr:uid="{00000000-0005-0000-0000-000002000000}"/>
    <cellStyle name="Moeda 2 2" xfId="4" xr:uid="{00000000-0005-0000-0000-000003000000}"/>
    <cellStyle name="Moeda 2 3" xfId="5" xr:uid="{00000000-0005-0000-0000-000004000000}"/>
    <cellStyle name="Moeda 2 4" xfId="6" xr:uid="{00000000-0005-0000-0000-000005000000}"/>
    <cellStyle name="Normal" xfId="0" builtinId="0"/>
    <cellStyle name="Normal 2" xfId="7" xr:uid="{00000000-0005-0000-0000-000007000000}"/>
    <cellStyle name="Normal 3" xfId="8" xr:uid="{00000000-0005-0000-0000-000008000000}"/>
    <cellStyle name="Porcentagem" xfId="9" builtinId="5"/>
    <cellStyle name="Porcentagem 2" xfId="10" xr:uid="{00000000-0005-0000-0000-00000A000000}"/>
    <cellStyle name="Porcentagem 2 2" xfId="11" xr:uid="{00000000-0005-0000-0000-00000B000000}"/>
    <cellStyle name="Porcentagem 3" xfId="12" xr:uid="{00000000-0005-0000-0000-00000C000000}"/>
    <cellStyle name="Porcentagem 3 2" xfId="13" xr:uid="{00000000-0005-0000-0000-00000D000000}"/>
    <cellStyle name="Porcentagem 3 3" xfId="14" xr:uid="{00000000-0005-0000-0000-00000E000000}"/>
    <cellStyle name="Porcentagem 3 4" xfId="15" xr:uid="{00000000-0005-0000-0000-00000F000000}"/>
    <cellStyle name="Separador de milhares 2" xfId="16" xr:uid="{00000000-0005-0000-0000-000010000000}"/>
    <cellStyle name="Separador de milhares 2 2" xfId="17" xr:uid="{00000000-0005-0000-0000-000011000000}"/>
    <cellStyle name="Separador de milhares 2 3" xfId="18" xr:uid="{00000000-0005-0000-0000-000012000000}"/>
    <cellStyle name="Separador de milhares 2 4" xfId="19" xr:uid="{00000000-0005-0000-0000-000013000000}"/>
    <cellStyle name="Vírgula" xfId="20" builtinId="3"/>
  </cellStyles>
  <dxfs count="65">
    <dxf>
      <font>
        <color theme="0"/>
      </font>
    </dxf>
    <dxf>
      <font>
        <color theme="0"/>
      </font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top style="hair">
          <color rgb="FFFF0000"/>
        </top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indexed="9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  <border>
        <left/>
        <right/>
        <top/>
        <bottom/>
      </border>
    </dxf>
    <dxf>
      <font>
        <color theme="0"/>
      </font>
    </dxf>
    <dxf>
      <font>
        <color theme="0"/>
      </font>
    </dxf>
    <dxf>
      <fill>
        <patternFill patternType="none">
          <bgColor indexed="65"/>
        </patternFill>
      </fill>
      <border>
        <left/>
        <right/>
        <bottom/>
      </border>
    </dxf>
    <dxf>
      <font>
        <color theme="0"/>
      </font>
      <border>
        <left/>
        <right/>
      </border>
    </dxf>
    <dxf>
      <font>
        <color theme="0"/>
      </font>
      <border>
        <left/>
        <right/>
        <top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bottom/>
      </border>
    </dxf>
    <dxf>
      <font>
        <color theme="0"/>
      </font>
      <fill>
        <patternFill patternType="none">
          <bgColor indexed="65"/>
        </patternFill>
      </fill>
      <border>
        <left/>
        <right/>
        <bottom/>
      </border>
    </dxf>
    <dxf>
      <font>
        <color theme="0"/>
      </font>
      <fill>
        <patternFill patternType="none">
          <bgColor indexed="65"/>
        </patternFill>
      </fill>
      <border>
        <left style="thin">
          <color theme="0" tint="-0.24994659260841701"/>
        </left>
        <right/>
        <top/>
        <bottom style="thin">
          <color theme="0" tint="-0.24994659260841701"/>
        </bottom>
      </border>
    </dxf>
    <dxf>
      <font>
        <color theme="0"/>
      </font>
      <fill>
        <patternFill patternType="none">
          <bgColor indexed="65"/>
        </patternFill>
      </fill>
      <border>
        <right/>
        <top/>
        <bottom/>
      </border>
    </dxf>
    <dxf>
      <border>
        <left/>
      </border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ont>
        <color theme="0"/>
        <name val="Cambria"/>
        <scheme val="none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border>
        <left/>
        <right/>
      </border>
    </dxf>
    <dxf>
      <font>
        <color theme="0"/>
      </font>
      <border>
        <left/>
        <right/>
        <bottom/>
      </border>
    </dxf>
    <dxf>
      <font>
        <color theme="0"/>
      </font>
      <border>
        <left style="thin">
          <color theme="0" tint="-0.24994659260841701"/>
        </left>
        <right/>
        <top/>
        <bottom/>
      </border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ndense val="0"/>
        <extend val="0"/>
        <color indexed="9"/>
      </font>
    </dxf>
    <dxf>
      <font>
        <color rgb="FFFF0000"/>
      </font>
    </dxf>
    <dxf>
      <font>
        <color theme="0"/>
      </font>
      <fill>
        <patternFill patternType="none">
          <bgColor indexed="65"/>
        </patternFill>
      </fill>
      <border>
        <left/>
        <right/>
        <top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ctrlProps/ctrlProp1.xml><?xml version="1.0" encoding="utf-8"?>
<formControlPr xmlns="http://schemas.microsoft.com/office/spreadsheetml/2009/9/main" objectType="CheckBox" fmlaLink="Fixa!$AD$54" lockText="1"/>
</file>

<file path=xl/ctrlProps/ctrlProp2.xml><?xml version="1.0" encoding="utf-8"?>
<formControlPr xmlns="http://schemas.microsoft.com/office/spreadsheetml/2009/9/main" objectType="CheckBox" fmlaLink="Fixa!$AD$58" lockText="1"/>
</file>

<file path=xl/ctrlProps/ctrlProp3.xml><?xml version="1.0" encoding="utf-8"?>
<formControlPr xmlns="http://schemas.microsoft.com/office/spreadsheetml/2009/9/main" objectType="CheckBox" fmlaLink="Fixa!$AD$57" lockText="1"/>
</file>

<file path=xl/ctrlProps/ctrlProp4.xml><?xml version="1.0" encoding="utf-8"?>
<formControlPr xmlns="http://schemas.microsoft.com/office/spreadsheetml/2009/9/main" objectType="CheckBox" fmlaLink="Fixa!$AD$55" lockText="1"/>
</file>

<file path=xl/ctrlProps/ctrlProp5.xml><?xml version="1.0" encoding="utf-8"?>
<formControlPr xmlns="http://schemas.microsoft.com/office/spreadsheetml/2009/9/main" objectType="CheckBox" fmlaLink="Fixa!$AD$56" lockText="1"/>
</file>

<file path=xl/ctrlProps/ctrlProp6.xml><?xml version="1.0" encoding="utf-8"?>
<formControlPr xmlns="http://schemas.microsoft.com/office/spreadsheetml/2009/9/main" objectType="Drop" dropStyle="combo" dx="22" fmlaLink="Apoio!$D$5" fmlaRange="Apoio!$C$5:$C$7" noThreeD="1" sel="1" val="0"/>
</file>

<file path=xl/ctrlProps/ctrlProp7.xml><?xml version="1.0" encoding="utf-8"?>
<formControlPr xmlns="http://schemas.microsoft.com/office/spreadsheetml/2009/9/main" objectType="Drop" dropStyle="combo" dx="22" fmlaLink="Apoio!$D$11" fmlaRange="Apoio!$C$11:$C$13" noThreeD="1" sel="1" val="0"/>
</file>

<file path=xl/ctrlProps/ctrlProp8.xml><?xml version="1.0" encoding="utf-8"?>
<formControlPr xmlns="http://schemas.microsoft.com/office/spreadsheetml/2009/9/main" objectType="Drop" dropStyle="combo" dx="22" fmlaLink="Apoio!$D$17" fmlaRange="Apoio!$C$17:$C$20" noThreeD="1" sel="1" val="0"/>
</file>

<file path=xl/ctrlProps/ctrlProp9.xml><?xml version="1.0" encoding="utf-8"?>
<formControlPr xmlns="http://schemas.microsoft.com/office/spreadsheetml/2009/9/main" objectType="Drop" dropStyle="combo" dx="22" fmlaLink="Apoio!$D$24" fmlaRange="Apoio!$C$24:$C$28" noThreeD="1" sel="1" val="0"/>
</file>

<file path=xl/ctrlProps/ctrlProp10.xml><?xml version="1.0" encoding="utf-8"?>
<formControlPr xmlns="http://schemas.microsoft.com/office/spreadsheetml/2009/9/main" objectType="Drop" dropStyle="combo" dx="22" fmlaLink="Apoio!$G$11" fmlaRange="Apoio!$F$11:$F$13" noThreeD="1" sel="1" val="0"/>
</file>

<file path=xl/ctrlProps/ctrlProp11.xml><?xml version="1.0" encoding="utf-8"?>
<formControlPr xmlns="http://schemas.microsoft.com/office/spreadsheetml/2009/9/main" objectType="Drop" dropStyle="combo" dx="22" fmlaLink="Apoio!$G$5" fmlaRange="Apoio!$F$5:$F$8" noThreeD="1" sel="1" val="0"/>
</file>

<file path=xl/ctrlProps/ctrlProp12.xml><?xml version="1.0" encoding="utf-8"?>
<formControlPr xmlns="http://schemas.microsoft.com/office/spreadsheetml/2009/9/main" objectType="Drop" dropStyle="combo" dx="22" fmlaLink="Apoio!$D$24" fmlaRange="Apoio!$C$24:$C$27" noThreeD="1" sel="1" val="0"/>
</file>

<file path=xl/ctrlProps/ctrlProp13.xml><?xml version="1.0" encoding="utf-8"?>
<formControlPr xmlns="http://schemas.microsoft.com/office/spreadsheetml/2009/9/main" objectType="Drop" dropStyle="combo" dx="22" fmlaLink="Apoio!$G$23" fmlaRange="Apoio!$F$23:$F$26" noThreeD="1" sel="1" val="0"/>
</file>

<file path=xl/ctrlProps/ctrlProp14.xml><?xml version="1.0" encoding="utf-8"?>
<formControlPr xmlns="http://schemas.microsoft.com/office/spreadsheetml/2009/9/main" objectType="Radio" checked="Checked" firstButton="1" fmlaLink="Apoio!$L$29" lockText="1" noThreeD="1"/>
</file>

<file path=xl/ctrlProps/ctrlProp15.xml><?xml version="1.0" encoding="utf-8"?>
<formControlPr xmlns="http://schemas.microsoft.com/office/spreadsheetml/2009/9/main" objectType="Radio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Preenchiment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Preenchiment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#Preenchiment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SAC Padr&#227;o_Sem Bonif'!A1"/><Relationship Id="rId2" Type="http://schemas.openxmlformats.org/officeDocument/2006/relationships/hyperlink" Target="#Fixa!A1"/><Relationship Id="rId1" Type="http://schemas.openxmlformats.org/officeDocument/2006/relationships/hyperlink" Target="#SAC!A1"/><Relationship Id="rId6" Type="http://schemas.openxmlformats.org/officeDocument/2006/relationships/image" Target="../media/image5.png"/><Relationship Id="rId5" Type="http://schemas.openxmlformats.org/officeDocument/2006/relationships/image" Target="../media/image4.jpeg"/><Relationship Id="rId4" Type="http://schemas.openxmlformats.org/officeDocument/2006/relationships/hyperlink" Target="#'Caract. Prod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319896</xdr:colOff>
      <xdr:row>97</xdr:row>
      <xdr:rowOff>10784</xdr:rowOff>
    </xdr:from>
    <xdr:to>
      <xdr:col>13</xdr:col>
      <xdr:colOff>578688</xdr:colOff>
      <xdr:row>99</xdr:row>
      <xdr:rowOff>21567</xdr:rowOff>
    </xdr:to>
    <xdr:sp macro="" textlink="">
      <xdr:nvSpPr>
        <xdr:cNvPr id="2" name="Seta: para Cim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2997671" y="18374984"/>
          <a:ext cx="258792" cy="391783"/>
        </a:xfrm>
        <a:prstGeom prst="upArrow">
          <a:avLst/>
        </a:prstGeom>
        <a:solidFill>
          <a:srgbClr val="00B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11</xdr:row>
      <xdr:rowOff>123825</xdr:rowOff>
    </xdr:from>
    <xdr:to>
      <xdr:col>4</xdr:col>
      <xdr:colOff>962025</xdr:colOff>
      <xdr:row>13</xdr:row>
      <xdr:rowOff>76200</xdr:rowOff>
    </xdr:to>
    <xdr:sp macro="[0]!Voltar_Caract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86200" y="3105150"/>
          <a:ext cx="742950" cy="323850"/>
        </a:xfrm>
        <a:prstGeom prst="rect">
          <a:avLst/>
        </a:prstGeom>
        <a:solidFill>
          <a:srgbClr val="E2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Voltar</a:t>
          </a:r>
        </a:p>
      </xdr:txBody>
    </xdr:sp>
    <xdr:clientData/>
  </xdr:twoCellAnchor>
  <xdr:twoCellAnchor>
    <xdr:from>
      <xdr:col>3</xdr:col>
      <xdr:colOff>466725</xdr:colOff>
      <xdr:row>16</xdr:row>
      <xdr:rowOff>0</xdr:rowOff>
    </xdr:from>
    <xdr:to>
      <xdr:col>3</xdr:col>
      <xdr:colOff>1066800</xdr:colOff>
      <xdr:row>17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514725" y="4305300"/>
          <a:ext cx="600075" cy="200025"/>
        </a:xfrm>
        <a:prstGeom prst="rect">
          <a:avLst/>
        </a:prstGeom>
        <a:solidFill>
          <a:srgbClr val="FFFF99"/>
        </a:solidFill>
        <a:ln w="190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endParaRPr lang="pt-BR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895333</xdr:colOff>
      <xdr:row>0</xdr:row>
      <xdr:rowOff>170409</xdr:rowOff>
    </xdr:from>
    <xdr:to>
      <xdr:col>10</xdr:col>
      <xdr:colOff>838183</xdr:colOff>
      <xdr:row>0</xdr:row>
      <xdr:rowOff>399009</xdr:rowOff>
    </xdr:to>
    <xdr:sp macro="[0]!esconder2" textlink="">
      <xdr:nvSpPr>
        <xdr:cNvPr id="2069" name="AutoShape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5080000}"/>
            </a:ext>
          </a:extLst>
        </xdr:cNvPr>
        <xdr:cNvSpPr>
          <a:spLocks noChangeAspect="1" noChangeArrowheads="1"/>
        </xdr:cNvSpPr>
      </xdr:nvSpPr>
      <xdr:spPr bwMode="auto">
        <a:xfrm>
          <a:off x="8705833" y="170409"/>
          <a:ext cx="853017" cy="228600"/>
        </a:xfrm>
        <a:prstGeom prst="actionButtonBlank">
          <a:avLst/>
        </a:prstGeom>
        <a:solidFill>
          <a:srgbClr val="FF0000"/>
        </a:solidFill>
        <a:ln w="12700">
          <a:solidFill>
            <a:srgbClr val="C0C0C0"/>
          </a:solidFill>
          <a:miter lim="800000"/>
          <a:headEnd/>
          <a:tailEnd/>
        </a:ln>
        <a:effec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t-BR" sz="1200" b="1" i="0" u="sng" strike="noStrike" baseline="0">
              <a:solidFill>
                <a:srgbClr val="FFFFFF"/>
              </a:solidFill>
              <a:latin typeface="Arial"/>
              <a:cs typeface="Arial"/>
            </a:rPr>
            <a:t>Voltar</a:t>
          </a:r>
        </a:p>
      </xdr:txBody>
    </xdr:sp>
    <xdr:clientData fPrintsWithSheet="0"/>
  </xdr:twoCellAnchor>
  <xdr:twoCellAnchor editAs="oneCell">
    <xdr:from>
      <xdr:col>1</xdr:col>
      <xdr:colOff>9525</xdr:colOff>
      <xdr:row>0</xdr:row>
      <xdr:rowOff>0</xdr:rowOff>
    </xdr:from>
    <xdr:to>
      <xdr:col>3</xdr:col>
      <xdr:colOff>190500</xdr:colOff>
      <xdr:row>0</xdr:row>
      <xdr:rowOff>561975</xdr:rowOff>
    </xdr:to>
    <xdr:pic>
      <xdr:nvPicPr>
        <xdr:cNvPr id="67025" name="Imagem 3">
          <a:extLst>
            <a:ext uri="{FF2B5EF4-FFF2-40B4-BE49-F238E27FC236}">
              <a16:creationId xmlns:a16="http://schemas.microsoft.com/office/drawing/2014/main" id="{00000000-0008-0000-0200-0000D105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515" b="25050"/>
        <a:stretch>
          <a:fillRect/>
        </a:stretch>
      </xdr:blipFill>
      <xdr:spPr bwMode="auto">
        <a:xfrm>
          <a:off x="266700" y="0"/>
          <a:ext cx="21145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889001</xdr:colOff>
      <xdr:row>0</xdr:row>
      <xdr:rowOff>190501</xdr:rowOff>
    </xdr:from>
    <xdr:to>
      <xdr:col>10</xdr:col>
      <xdr:colOff>736601</xdr:colOff>
      <xdr:row>0</xdr:row>
      <xdr:rowOff>419101</xdr:rowOff>
    </xdr:to>
    <xdr:sp macro="[0]!esconder2" textlink="">
      <xdr:nvSpPr>
        <xdr:cNvPr id="4" name="AutoShape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773584" y="190501"/>
          <a:ext cx="853017" cy="228600"/>
        </a:xfrm>
        <a:prstGeom prst="actionButtonBlank">
          <a:avLst/>
        </a:prstGeom>
        <a:solidFill>
          <a:srgbClr val="FF0000"/>
        </a:solidFill>
        <a:ln w="12700">
          <a:solidFill>
            <a:srgbClr val="C0C0C0"/>
          </a:solidFill>
          <a:miter lim="800000"/>
          <a:headEnd/>
          <a:tailEnd/>
        </a:ln>
        <a:effec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t-BR" sz="1200" b="1" i="0" u="sng" strike="noStrike" baseline="0">
              <a:solidFill>
                <a:srgbClr val="FFFFFF"/>
              </a:solidFill>
              <a:latin typeface="Arial"/>
              <a:cs typeface="Arial"/>
            </a:rPr>
            <a:t>Voltar</a:t>
          </a:r>
        </a:p>
      </xdr:txBody>
    </xdr:sp>
    <xdr:clientData fPrintsWithSheet="0"/>
  </xdr:twoCellAnchor>
  <xdr:twoCellAnchor editAs="oneCell">
    <xdr:from>
      <xdr:col>0</xdr:col>
      <xdr:colOff>180975</xdr:colOff>
      <xdr:row>0</xdr:row>
      <xdr:rowOff>0</xdr:rowOff>
    </xdr:from>
    <xdr:to>
      <xdr:col>3</xdr:col>
      <xdr:colOff>285750</xdr:colOff>
      <xdr:row>0</xdr:row>
      <xdr:rowOff>561975</xdr:rowOff>
    </xdr:to>
    <xdr:pic>
      <xdr:nvPicPr>
        <xdr:cNvPr id="68074" name="Imagem 4">
          <a:extLst>
            <a:ext uri="{FF2B5EF4-FFF2-40B4-BE49-F238E27FC236}">
              <a16:creationId xmlns:a16="http://schemas.microsoft.com/office/drawing/2014/main" id="{00000000-0008-0000-0300-0000EA09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515" b="25050"/>
        <a:stretch>
          <a:fillRect/>
        </a:stretch>
      </xdr:blipFill>
      <xdr:spPr bwMode="auto">
        <a:xfrm>
          <a:off x="180975" y="0"/>
          <a:ext cx="21240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846667</xdr:colOff>
      <xdr:row>0</xdr:row>
      <xdr:rowOff>179917</xdr:rowOff>
    </xdr:from>
    <xdr:to>
      <xdr:col>10</xdr:col>
      <xdr:colOff>694267</xdr:colOff>
      <xdr:row>0</xdr:row>
      <xdr:rowOff>408517</xdr:rowOff>
    </xdr:to>
    <xdr:sp macro="[0]!esconder2" textlink="">
      <xdr:nvSpPr>
        <xdr:cNvPr id="4" name="AutoShape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731250" y="179917"/>
          <a:ext cx="853017" cy="228600"/>
        </a:xfrm>
        <a:prstGeom prst="actionButtonBlank">
          <a:avLst/>
        </a:prstGeom>
        <a:solidFill>
          <a:srgbClr val="FF0000"/>
        </a:solidFill>
        <a:ln w="12700">
          <a:solidFill>
            <a:srgbClr val="C0C0C0"/>
          </a:solidFill>
          <a:miter lim="800000"/>
          <a:headEnd/>
          <a:tailEnd/>
        </a:ln>
        <a:effec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t-BR" sz="1200" b="1" i="0" u="sng" strike="noStrike" baseline="0">
              <a:solidFill>
                <a:srgbClr val="FFFFFF"/>
              </a:solidFill>
              <a:latin typeface="Arial"/>
              <a:cs typeface="Arial"/>
            </a:rPr>
            <a:t>Voltar</a:t>
          </a:r>
        </a:p>
      </xdr:txBody>
    </xdr:sp>
    <xdr:clientData fPrintsWithSheet="0"/>
  </xdr:twoCellAnchor>
  <xdr:twoCellAnchor editAs="oneCell">
    <xdr:from>
      <xdr:col>0</xdr:col>
      <xdr:colOff>171450</xdr:colOff>
      <xdr:row>0</xdr:row>
      <xdr:rowOff>0</xdr:rowOff>
    </xdr:from>
    <xdr:to>
      <xdr:col>3</xdr:col>
      <xdr:colOff>285750</xdr:colOff>
      <xdr:row>0</xdr:row>
      <xdr:rowOff>561975</xdr:rowOff>
    </xdr:to>
    <xdr:pic>
      <xdr:nvPicPr>
        <xdr:cNvPr id="69100" name="Imagem 4">
          <a:extLst>
            <a:ext uri="{FF2B5EF4-FFF2-40B4-BE49-F238E27FC236}">
              <a16:creationId xmlns:a16="http://schemas.microsoft.com/office/drawing/2014/main" id="{00000000-0008-0000-0400-0000EC0D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515" b="25050"/>
        <a:stretch>
          <a:fillRect/>
        </a:stretch>
      </xdr:blipFill>
      <xdr:spPr bwMode="auto">
        <a:xfrm>
          <a:off x="171450" y="0"/>
          <a:ext cx="213360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36</xdr:row>
      <xdr:rowOff>0</xdr:rowOff>
    </xdr:from>
    <xdr:to>
      <xdr:col>12</xdr:col>
      <xdr:colOff>9525</xdr:colOff>
      <xdr:row>37</xdr:row>
      <xdr:rowOff>0</xdr:rowOff>
    </xdr:to>
    <xdr:sp macro="[0]!Verificar_Fixas" textlink="">
      <xdr:nvSpPr>
        <xdr:cNvPr id="73312" name="Rectangle 36">
          <a:extLst>
            <a:ext uri="{FF2B5EF4-FFF2-40B4-BE49-F238E27FC236}">
              <a16:creationId xmlns:a16="http://schemas.microsoft.com/office/drawing/2014/main" id="{00000000-0008-0000-0500-0000601E0100}"/>
            </a:ext>
          </a:extLst>
        </xdr:cNvPr>
        <xdr:cNvSpPr>
          <a:spLocks noChangeArrowheads="1"/>
        </xdr:cNvSpPr>
      </xdr:nvSpPr>
      <xdr:spPr bwMode="auto">
        <a:xfrm>
          <a:off x="10839450" y="6353175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0</xdr:rowOff>
    </xdr:from>
    <xdr:to>
      <xdr:col>2</xdr:col>
      <xdr:colOff>19050</xdr:colOff>
      <xdr:row>37</xdr:row>
      <xdr:rowOff>314325</xdr:rowOff>
    </xdr:to>
    <xdr:sp macro="[0]!TR" textlink="">
      <xdr:nvSpPr>
        <xdr:cNvPr id="1358" name="AutoShape 334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SpPr>
          <a:spLocks noChangeArrowheads="1"/>
        </xdr:cNvSpPr>
      </xdr:nvSpPr>
      <xdr:spPr bwMode="auto">
        <a:xfrm>
          <a:off x="142875" y="6934200"/>
          <a:ext cx="3333750" cy="314325"/>
        </a:xfrm>
        <a:prstGeom prst="actionButtonBlank">
          <a:avLst/>
        </a:prstGeom>
        <a:solidFill>
          <a:srgbClr val="EE0000"/>
        </a:solidFill>
        <a:ln w="12700">
          <a:noFill/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pt-BR" sz="1100" b="1" i="0" u="sng" strike="noStrike" baseline="0">
              <a:solidFill>
                <a:srgbClr val="FFFFFF"/>
              </a:solidFill>
              <a:latin typeface="Arial"/>
              <a:cs typeface="Arial"/>
            </a:rPr>
            <a:t>Clique Aqui para calcular CET</a:t>
          </a:r>
        </a:p>
      </xdr:txBody>
    </xdr:sp>
    <xdr:clientData/>
  </xdr:twoCellAnchor>
  <xdr:twoCellAnchor>
    <xdr:from>
      <xdr:col>8</xdr:col>
      <xdr:colOff>1418160</xdr:colOff>
      <xdr:row>0</xdr:row>
      <xdr:rowOff>155575</xdr:rowOff>
    </xdr:from>
    <xdr:to>
      <xdr:col>8</xdr:col>
      <xdr:colOff>2115601</xdr:colOff>
      <xdr:row>1</xdr:row>
      <xdr:rowOff>61383</xdr:rowOff>
    </xdr:to>
    <xdr:sp macro="[0]!Limpar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948327" y="155575"/>
          <a:ext cx="697441" cy="276225"/>
        </a:xfrm>
        <a:prstGeom prst="rect">
          <a:avLst/>
        </a:prstGeom>
        <a:solidFill>
          <a:srgbClr val="E2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Limpar 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1676400</xdr:colOff>
          <xdr:row>57</xdr:row>
          <xdr:rowOff>180975</xdr:rowOff>
        </xdr:from>
        <xdr:to>
          <xdr:col>8</xdr:col>
          <xdr:colOff>1981200</xdr:colOff>
          <xdr:row>59</xdr:row>
          <xdr:rowOff>19050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1609725</xdr:colOff>
          <xdr:row>54</xdr:row>
          <xdr:rowOff>104775</xdr:rowOff>
        </xdr:from>
        <xdr:to>
          <xdr:col>8</xdr:col>
          <xdr:colOff>2095500</xdr:colOff>
          <xdr:row>58</xdr:row>
          <xdr:rowOff>47625</xdr:rowOff>
        </xdr:to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pSpPr/>
          </xdr:nvGrpSpPr>
          <xdr:grpSpPr>
            <a:xfrm>
              <a:off x="10125075" y="10287000"/>
              <a:ext cx="485775" cy="390525"/>
              <a:chOff x="6105525" y="2190750"/>
              <a:chExt cx="485775" cy="390525"/>
            </a:xfrm>
          </xdr:grpSpPr>
          <xdr:sp macro="" textlink="">
            <xdr:nvSpPr>
              <xdr:cNvPr id="3078" name="Check Box 6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:a16="http://schemas.microsoft.com/office/drawing/2014/main" id="{00000000-0008-0000-0500-0000060C0000}"/>
                  </a:ext>
                </a:extLst>
              </xdr:cNvPr>
              <xdr:cNvSpPr/>
            </xdr:nvSpPr>
            <xdr:spPr bwMode="auto">
              <a:xfrm>
                <a:off x="6105525" y="2362200"/>
                <a:ext cx="3048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79" name="Check Box 7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:a16="http://schemas.microsoft.com/office/drawing/2014/main" id="{00000000-0008-0000-0500-0000070C0000}"/>
                  </a:ext>
                </a:extLst>
              </xdr:cNvPr>
              <xdr:cNvSpPr/>
            </xdr:nvSpPr>
            <xdr:spPr bwMode="auto">
              <a:xfrm>
                <a:off x="6191250" y="2190750"/>
                <a:ext cx="3048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80" name="Check Box 8" hidden="1">
                <a:extLst>
                  <a:ext uri="{63B3BB69-23CF-44E3-9099-C40C66FF867C}">
                    <a14:compatExt spid="_x0000_s3080"/>
                  </a:ext>
                  <a:ext uri="{FF2B5EF4-FFF2-40B4-BE49-F238E27FC236}">
                    <a16:creationId xmlns:a16="http://schemas.microsoft.com/office/drawing/2014/main" id="{00000000-0008-0000-0500-0000080C0000}"/>
                  </a:ext>
                </a:extLst>
              </xdr:cNvPr>
              <xdr:cNvSpPr/>
            </xdr:nvSpPr>
            <xdr:spPr bwMode="auto">
              <a:xfrm>
                <a:off x="6286500" y="2362200"/>
                <a:ext cx="3048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190500</xdr:rowOff>
        </xdr:from>
        <xdr:to>
          <xdr:col>6</xdr:col>
          <xdr:colOff>314325</xdr:colOff>
          <xdr:row>11</xdr:row>
          <xdr:rowOff>9525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2116" name="Drop Down 4468" hidden="1">
              <a:extLst>
                <a:ext uri="{63B3BB69-23CF-44E3-9099-C40C66FF867C}">
                  <a14:compatExt spid="_x0000_s32116"/>
                </a:ext>
                <a:ext uri="{FF2B5EF4-FFF2-40B4-BE49-F238E27FC236}">
                  <a16:creationId xmlns:a16="http://schemas.microsoft.com/office/drawing/2014/main" id="{00000000-0008-0000-0500-000074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32142" name="Drop Down 4494" hidden="1">
              <a:extLst>
                <a:ext uri="{63B3BB69-23CF-44E3-9099-C40C66FF867C}">
                  <a14:compatExt spid="_x0000_s32142"/>
                </a:ext>
                <a:ext uri="{FF2B5EF4-FFF2-40B4-BE49-F238E27FC236}">
                  <a16:creationId xmlns:a16="http://schemas.microsoft.com/office/drawing/2014/main" id="{00000000-0008-0000-0500-00008E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2143" name="Drop Down 4495" hidden="1">
              <a:extLst>
                <a:ext uri="{63B3BB69-23CF-44E3-9099-C40C66FF867C}">
                  <a14:compatExt spid="_x0000_s32143"/>
                </a:ext>
                <a:ext uri="{FF2B5EF4-FFF2-40B4-BE49-F238E27FC236}">
                  <a16:creationId xmlns:a16="http://schemas.microsoft.com/office/drawing/2014/main" id="{00000000-0008-0000-0500-00008F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16</xdr:row>
          <xdr:rowOff>9525</xdr:rowOff>
        </xdr:from>
        <xdr:to>
          <xdr:col>5</xdr:col>
          <xdr:colOff>9525</xdr:colOff>
          <xdr:row>17</xdr:row>
          <xdr:rowOff>9525</xdr:rowOff>
        </xdr:to>
        <xdr:sp macro="" textlink="">
          <xdr:nvSpPr>
            <xdr:cNvPr id="32144" name="Drop Down 4496" hidden="1">
              <a:extLst>
                <a:ext uri="{63B3BB69-23CF-44E3-9099-C40C66FF867C}">
                  <a14:compatExt spid="_x0000_s32144"/>
                </a:ext>
                <a:ext uri="{FF2B5EF4-FFF2-40B4-BE49-F238E27FC236}">
                  <a16:creationId xmlns:a16="http://schemas.microsoft.com/office/drawing/2014/main" id="{00000000-0008-0000-0500-000090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2145" name="Drop Down 4497" hidden="1">
              <a:extLst>
                <a:ext uri="{63B3BB69-23CF-44E3-9099-C40C66FF867C}">
                  <a14:compatExt spid="_x0000_s32145"/>
                </a:ext>
                <a:ext uri="{FF2B5EF4-FFF2-40B4-BE49-F238E27FC236}">
                  <a16:creationId xmlns:a16="http://schemas.microsoft.com/office/drawing/2014/main" id="{00000000-0008-0000-0500-000091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2170" name="Drop Down 4522" hidden="1">
              <a:extLst>
                <a:ext uri="{63B3BB69-23CF-44E3-9099-C40C66FF867C}">
                  <a14:compatExt spid="_x0000_s32170"/>
                </a:ext>
                <a:ext uri="{FF2B5EF4-FFF2-40B4-BE49-F238E27FC236}">
                  <a16:creationId xmlns:a16="http://schemas.microsoft.com/office/drawing/2014/main" id="{00000000-0008-0000-0500-0000AA7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3916" name="Drop Down 5244" hidden="1">
              <a:extLst>
                <a:ext uri="{63B3BB69-23CF-44E3-9099-C40C66FF867C}">
                  <a14:compatExt spid="_x0000_s33916"/>
                </a:ext>
                <a:ext uri="{FF2B5EF4-FFF2-40B4-BE49-F238E27FC236}">
                  <a16:creationId xmlns:a16="http://schemas.microsoft.com/office/drawing/2014/main" id="{00000000-0008-0000-0500-00007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129509</xdr:colOff>
      <xdr:row>51</xdr:row>
      <xdr:rowOff>89959</xdr:rowOff>
    </xdr:from>
    <xdr:to>
      <xdr:col>5</xdr:col>
      <xdr:colOff>5600</xdr:colOff>
      <xdr:row>53</xdr:row>
      <xdr:rowOff>95827</xdr:rowOff>
    </xdr:to>
    <xdr:sp macro="" textlink="">
      <xdr:nvSpPr>
        <xdr:cNvPr id="24" name="Retângulo 9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3588275" y="9585193"/>
          <a:ext cx="2275200" cy="446400"/>
        </a:xfrm>
        <a:prstGeom prst="rect">
          <a:avLst/>
        </a:prstGeom>
        <a:solidFill>
          <a:srgbClr val="EE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Ver Evolução das Parcelas</a:t>
          </a:r>
        </a:p>
      </xdr:txBody>
    </xdr:sp>
    <xdr:clientData fPrintsWithSheet="0"/>
  </xdr:twoCellAnchor>
  <xdr:twoCellAnchor>
    <xdr:from>
      <xdr:col>2</xdr:col>
      <xdr:colOff>131892</xdr:colOff>
      <xdr:row>51</xdr:row>
      <xdr:rowOff>98190</xdr:rowOff>
    </xdr:from>
    <xdr:to>
      <xdr:col>5</xdr:col>
      <xdr:colOff>5954</xdr:colOff>
      <xdr:row>53</xdr:row>
      <xdr:rowOff>95145</xdr:rowOff>
    </xdr:to>
    <xdr:sp macro="" textlink="">
      <xdr:nvSpPr>
        <xdr:cNvPr id="25" name="Retângulo 10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3588770" y="9548849"/>
          <a:ext cx="2276221" cy="433711"/>
        </a:xfrm>
        <a:prstGeom prst="rect">
          <a:avLst/>
        </a:prstGeom>
        <a:solidFill>
          <a:srgbClr val="EE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Ver Evolução das Parcelas</a:t>
          </a:r>
        </a:p>
      </xdr:txBody>
    </xdr:sp>
    <xdr:clientData fPrintsWithSheet="0"/>
  </xdr:twoCellAnchor>
  <xdr:twoCellAnchor>
    <xdr:from>
      <xdr:col>2</xdr:col>
      <xdr:colOff>130817</xdr:colOff>
      <xdr:row>51</xdr:row>
      <xdr:rowOff>92633</xdr:rowOff>
    </xdr:from>
    <xdr:to>
      <xdr:col>5</xdr:col>
      <xdr:colOff>6070</xdr:colOff>
      <xdr:row>53</xdr:row>
      <xdr:rowOff>94555</xdr:rowOff>
    </xdr:to>
    <xdr:sp macro="" textlink="">
      <xdr:nvSpPr>
        <xdr:cNvPr id="26" name="Retângulo 1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587695" y="9543292"/>
          <a:ext cx="2277412" cy="438678"/>
        </a:xfrm>
        <a:prstGeom prst="rect">
          <a:avLst/>
        </a:prstGeom>
        <a:solidFill>
          <a:srgbClr val="EE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Ver Evolução das Parcelas</a:t>
          </a:r>
        </a:p>
      </xdr:txBody>
    </xdr:sp>
    <xdr:clientData fPrintsWithSheet="0"/>
  </xdr:twoCellAnchor>
  <xdr:twoCellAnchor>
    <xdr:from>
      <xdr:col>6</xdr:col>
      <xdr:colOff>40213</xdr:colOff>
      <xdr:row>51</xdr:row>
      <xdr:rowOff>89959</xdr:rowOff>
    </xdr:from>
    <xdr:to>
      <xdr:col>6</xdr:col>
      <xdr:colOff>2314575</xdr:colOff>
      <xdr:row>53</xdr:row>
      <xdr:rowOff>95250</xdr:rowOff>
    </xdr:to>
    <xdr:sp macro="" textlink="">
      <xdr:nvSpPr>
        <xdr:cNvPr id="27" name="Retângulo 12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6136213" y="9557809"/>
          <a:ext cx="2274362" cy="443441"/>
        </a:xfrm>
        <a:prstGeom prst="rect">
          <a:avLst/>
        </a:prstGeom>
        <a:solidFill>
          <a:srgbClr val="EE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Ver Evolução das Parcelas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7670" name="Drop Down 7974" hidden="1">
              <a:extLst>
                <a:ext uri="{63B3BB69-23CF-44E3-9099-C40C66FF867C}">
                  <a14:compatExt spid="_x0000_s37670"/>
                </a:ext>
                <a:ext uri="{FF2B5EF4-FFF2-40B4-BE49-F238E27FC236}">
                  <a16:creationId xmlns:a16="http://schemas.microsoft.com/office/drawing/2014/main" id="{00000000-0008-0000-0500-0000269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xdr:twoCellAnchor>
    <xdr:from>
      <xdr:col>8</xdr:col>
      <xdr:colOff>40213</xdr:colOff>
      <xdr:row>41</xdr:row>
      <xdr:rowOff>89959</xdr:rowOff>
    </xdr:from>
    <xdr:to>
      <xdr:col>8</xdr:col>
      <xdr:colOff>2314575</xdr:colOff>
      <xdr:row>43</xdr:row>
      <xdr:rowOff>95250</xdr:rowOff>
    </xdr:to>
    <xdr:sp macro="" textlink="">
      <xdr:nvSpPr>
        <xdr:cNvPr id="28" name="Retângulo 12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6136213" y="9557809"/>
          <a:ext cx="2274362" cy="443441"/>
        </a:xfrm>
        <a:prstGeom prst="rect">
          <a:avLst/>
        </a:prstGeom>
        <a:solidFill>
          <a:srgbClr val="EE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Ver Evolução das Parcelas</a:t>
          </a:r>
        </a:p>
      </xdr:txBody>
    </xdr:sp>
    <xdr:clientData fPrintsWithSheet="0"/>
  </xdr:twoCellAnchor>
  <xdr:twoCellAnchor>
    <xdr:from>
      <xdr:col>8</xdr:col>
      <xdr:colOff>40213</xdr:colOff>
      <xdr:row>46</xdr:row>
      <xdr:rowOff>89959</xdr:rowOff>
    </xdr:from>
    <xdr:to>
      <xdr:col>8</xdr:col>
      <xdr:colOff>2314575</xdr:colOff>
      <xdr:row>49</xdr:row>
      <xdr:rowOff>95250</xdr:rowOff>
    </xdr:to>
    <xdr:sp macro="" textlink="">
      <xdr:nvSpPr>
        <xdr:cNvPr id="29" name="Retângulo 12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6136213" y="9557809"/>
          <a:ext cx="2274362" cy="443441"/>
        </a:xfrm>
        <a:prstGeom prst="rect">
          <a:avLst/>
        </a:prstGeom>
        <a:solidFill>
          <a:srgbClr val="EE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Ver Evolução das Parcelas</a:t>
          </a:r>
        </a:p>
      </xdr:txBody>
    </xdr:sp>
    <xdr:clientData fPrintsWithSheet="0"/>
  </xdr:twoCellAnchor>
  <xdr:twoCellAnchor>
    <xdr:from>
      <xdr:col>8</xdr:col>
      <xdr:colOff>40213</xdr:colOff>
      <xdr:row>41</xdr:row>
      <xdr:rowOff>89959</xdr:rowOff>
    </xdr:from>
    <xdr:to>
      <xdr:col>8</xdr:col>
      <xdr:colOff>2314575</xdr:colOff>
      <xdr:row>43</xdr:row>
      <xdr:rowOff>95250</xdr:rowOff>
    </xdr:to>
    <xdr:sp macro="" textlink="">
      <xdr:nvSpPr>
        <xdr:cNvPr id="30" name="Retângulo 12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6136213" y="9557809"/>
          <a:ext cx="2274362" cy="443441"/>
        </a:xfrm>
        <a:prstGeom prst="rect">
          <a:avLst/>
        </a:prstGeom>
        <a:solidFill>
          <a:srgbClr val="EE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Ver Evolução das Parcelas</a:t>
          </a:r>
        </a:p>
      </xdr:txBody>
    </xdr:sp>
    <xdr:clientData fPrintsWithSheet="0"/>
  </xdr:twoCellAnchor>
  <xdr:twoCellAnchor>
    <xdr:from>
      <xdr:col>8</xdr:col>
      <xdr:colOff>104775</xdr:colOff>
      <xdr:row>0</xdr:row>
      <xdr:rowOff>85725</xdr:rowOff>
    </xdr:from>
    <xdr:to>
      <xdr:col>8</xdr:col>
      <xdr:colOff>950382</xdr:colOff>
      <xdr:row>1</xdr:row>
      <xdr:rowOff>180975</xdr:rowOff>
    </xdr:to>
    <xdr:sp macro="[7]!Limpar" textlink="">
      <xdr:nvSpPr>
        <xdr:cNvPr id="31" name="Retângulo 30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8620125" y="85725"/>
          <a:ext cx="845607" cy="466725"/>
        </a:xfrm>
        <a:prstGeom prst="rect">
          <a:avLst/>
        </a:prstGeom>
        <a:solidFill>
          <a:srgbClr val="E2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Alterar condições 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</xdr:row>
          <xdr:rowOff>104775</xdr:rowOff>
        </xdr:from>
        <xdr:to>
          <xdr:col>3</xdr:col>
          <xdr:colOff>904875</xdr:colOff>
          <xdr:row>5</xdr:row>
          <xdr:rowOff>0</xdr:rowOff>
        </xdr:to>
        <xdr:sp macro="" textlink="">
          <xdr:nvSpPr>
            <xdr:cNvPr id="46724" name="Option Button 12932" hidden="1">
              <a:extLst>
                <a:ext uri="{63B3BB69-23CF-44E3-9099-C40C66FF867C}">
                  <a14:compatExt spid="_x0000_s46724"/>
                </a:ext>
                <a:ext uri="{FF2B5EF4-FFF2-40B4-BE49-F238E27FC236}">
                  <a16:creationId xmlns:a16="http://schemas.microsoft.com/office/drawing/2014/main" id="{00000000-0008-0000-0500-000084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104775</xdr:rowOff>
        </xdr:from>
        <xdr:to>
          <xdr:col>4</xdr:col>
          <xdr:colOff>752475</xdr:colOff>
          <xdr:row>4</xdr:row>
          <xdr:rowOff>200025</xdr:rowOff>
        </xdr:to>
        <xdr:sp macro="" textlink="">
          <xdr:nvSpPr>
            <xdr:cNvPr id="46725" name="Option Button 12933" hidden="1">
              <a:extLst>
                <a:ext uri="{63B3BB69-23CF-44E3-9099-C40C66FF867C}">
                  <a14:compatExt spid="_x0000_s46725"/>
                </a:ext>
                <a:ext uri="{FF2B5EF4-FFF2-40B4-BE49-F238E27FC236}">
                  <a16:creationId xmlns:a16="http://schemas.microsoft.com/office/drawing/2014/main" id="{00000000-0008-0000-0500-000085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SIM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304800</xdr:colOff>
      <xdr:row>0</xdr:row>
      <xdr:rowOff>104775</xdr:rowOff>
    </xdr:from>
    <xdr:to>
      <xdr:col>8</xdr:col>
      <xdr:colOff>1216018</xdr:colOff>
      <xdr:row>1</xdr:row>
      <xdr:rowOff>120650</xdr:rowOff>
    </xdr:to>
    <xdr:sp macro="[0]!Abrir_Carac_Produtos" textlink="">
      <xdr:nvSpPr>
        <xdr:cNvPr id="33" name="Retângulo 7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8820150" y="104775"/>
          <a:ext cx="911218" cy="387350"/>
        </a:xfrm>
        <a:prstGeom prst="rect">
          <a:avLst/>
        </a:prstGeom>
        <a:solidFill>
          <a:srgbClr val="E20000"/>
        </a:solidFill>
        <a:ln w="3810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pt-BR" sz="1100" b="1"/>
            <a:t>Alterar condições</a:t>
          </a:r>
        </a:p>
      </xdr:txBody>
    </xdr:sp>
    <xdr:clientData fPrintsWithSheet="0"/>
  </xdr:twoCellAnchor>
  <xdr:twoCellAnchor editAs="oneCell">
    <xdr:from>
      <xdr:col>1</xdr:col>
      <xdr:colOff>28575</xdr:colOff>
      <xdr:row>0</xdr:row>
      <xdr:rowOff>0</xdr:rowOff>
    </xdr:from>
    <xdr:to>
      <xdr:col>1</xdr:col>
      <xdr:colOff>2152650</xdr:colOff>
      <xdr:row>1</xdr:row>
      <xdr:rowOff>190500</xdr:rowOff>
    </xdr:to>
    <xdr:pic>
      <xdr:nvPicPr>
        <xdr:cNvPr id="73325" name="Imagem 33">
          <a:extLst>
            <a:ext uri="{FF2B5EF4-FFF2-40B4-BE49-F238E27FC236}">
              <a16:creationId xmlns:a16="http://schemas.microsoft.com/office/drawing/2014/main" id="{00000000-0008-0000-0500-00006D1E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515" b="25050"/>
        <a:stretch>
          <a:fillRect/>
        </a:stretch>
      </xdr:blipFill>
      <xdr:spPr bwMode="auto">
        <a:xfrm>
          <a:off x="171450" y="0"/>
          <a:ext cx="21240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542925</xdr:colOff>
      <xdr:row>54</xdr:row>
      <xdr:rowOff>123825</xdr:rowOff>
    </xdr:from>
    <xdr:to>
      <xdr:col>8</xdr:col>
      <xdr:colOff>2057400</xdr:colOff>
      <xdr:row>58</xdr:row>
      <xdr:rowOff>171450</xdr:rowOff>
    </xdr:to>
    <xdr:grpSp>
      <xdr:nvGrpSpPr>
        <xdr:cNvPr id="73323" name="Group 3">
          <a:extLst>
            <a:ext uri="{FF2B5EF4-FFF2-40B4-BE49-F238E27FC236}">
              <a16:creationId xmlns:a16="http://schemas.microsoft.com/office/drawing/2014/main" id="{00000000-0008-0000-0500-00006B1E0100}"/>
            </a:ext>
          </a:extLst>
        </xdr:cNvPr>
        <xdr:cNvGrpSpPr>
          <a:grpSpLocks/>
        </xdr:cNvGrpSpPr>
      </xdr:nvGrpSpPr>
      <xdr:grpSpPr bwMode="auto">
        <a:xfrm>
          <a:off x="9058275" y="10306050"/>
          <a:ext cx="1514475" cy="495300"/>
          <a:chOff x="6229350" y="10315575"/>
          <a:chExt cx="1517242" cy="498067"/>
        </a:xfrm>
      </xdr:grpSpPr>
      <xdr:pic macro="[0]!PDF_Attach"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250387" y="10315575"/>
            <a:ext cx="496205" cy="498067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[0]!PDF_Attach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 bwMode="auto">
          <a:xfrm>
            <a:off x="6229350" y="10478405"/>
            <a:ext cx="963783" cy="210721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ctr"/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</a:rPr>
              <a:t>GERAR PDF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brsp54\ci_atento\Documents%20and%20Settings\t679139\Local%20Settings\Temporary%20Internet%20Files\Content.Outlook\K8PIDCPB\Simulador%20Im&#243;vel%20Residencial%20-%20REPASSE_PROMESSA%20-%200309201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brsp54\ci_atento\Documents%20and%20Settings\kaihara\Local%20Settings\Temporary%20Internet%20Files\Content.Outlook\AK9XJ68E\Simulador%20&#218;nico%20Destravado%20Repasse%20-%2029.08.1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brsp54\ci_atento\Simuladores\Santander\&#218;nico\Atuais\Simulador%20%20&#218;nico%20Destravado%20novo%20format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brsp54\ci_atento\Documents%20and%20Settings\t606430\Local%20Settings\Temporary%20Internet%20Files\OLK26B\FOPAG\Simulador%20-%20Clientesv2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brsp56\ProdutosNI_Base\Documents%20and%20Settings\kaihara\Local%20Settings\Temporary%20Internet%20Files\Content.Outlook\AK9XJ68E\Simulador%20&#218;nico%20Destravado%20-%2015.09.201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brsp54\ci_atento\Documents%20and%20Settings\kaihara\Local%20Settings\Temporary%20Internet%20Files\Content.Outlook\AK9XJ68E\Simulador%20&#218;nico%20Destravado%20-%2015.09.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brsp54\CI_ATENTO\Users\kaihara\Desktop\Santander\&#218;nicos%20-%20Destravados\Simulador%20Im&#243;vel%20Residencial%20DESTRAVADO%20-%202305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ções"/>
      <sheetName val="Caract. Prods"/>
      <sheetName val="Fixa"/>
      <sheetName val="SAC"/>
      <sheetName val="Preenchimento"/>
      <sheetName val="Apo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ções"/>
      <sheetName val="Preenchimento"/>
      <sheetName val="Fixa"/>
      <sheetName val="SAC"/>
      <sheetName val="Caract. Prods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ções"/>
      <sheetName val="Caract. Prods"/>
      <sheetName val="Preenchimento"/>
      <sheetName val="SAC"/>
      <sheetName val="Fixa"/>
      <sheetName val="Atualizável"/>
      <sheetName val="Impressão Fixas"/>
      <sheetName val="Impressão Atualiz"/>
      <sheetName val="Impressão SAC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iáveis"/>
      <sheetName val="SC20"/>
      <sheetName val="SC Própria"/>
    </sheetNames>
    <sheetDataSet>
      <sheetData sheetId="0" refreshError="1">
        <row r="6">
          <cell r="D6">
            <v>100000</v>
          </cell>
        </row>
        <row r="8">
          <cell r="D8">
            <v>20</v>
          </cell>
        </row>
        <row r="12">
          <cell r="D12" t="str">
            <v>Sim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ções"/>
      <sheetName val="Caract. Prods"/>
      <sheetName val="Preenchimento"/>
      <sheetName val="Fixa"/>
      <sheetName val="SAC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ções"/>
      <sheetName val="Caract. Prods"/>
      <sheetName val="Preenchimento"/>
      <sheetName val="Fixa"/>
      <sheetName val="SAC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dições"/>
      <sheetName val="Caract. Prods"/>
      <sheetName val="Fixa"/>
      <sheetName val="SAC"/>
      <sheetName val="Preenchimento"/>
      <sheetName val="Simulador Imóvel Residencial DE"/>
    </sheetNames>
    <definedNames>
      <definedName name="Limpa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>
    <tabColor rgb="FFFF0000"/>
  </sheetPr>
  <dimension ref="A1:P132"/>
  <sheetViews>
    <sheetView showGridLines="0" showRowColHeaders="0" zoomScale="90" zoomScaleNormal="90" workbookViewId="0">
      <selection activeCell="H22" activeCellId="2" sqref="H12:I15 H20:I20 H21:I22"/>
    </sheetView>
  </sheetViews>
  <sheetFormatPr defaultColWidth="9.140625" defaultRowHeight="14.25"/>
  <cols>
    <col min="1" max="1" width="1.85546875" style="260" customWidth="1"/>
    <col min="2" max="2" width="35" style="260" customWidth="1"/>
    <col min="3" max="3" width="19.140625" style="260" customWidth="1"/>
    <col min="4" max="4" width="17.5703125" style="260" customWidth="1"/>
    <col min="5" max="5" width="14.140625" style="260" customWidth="1"/>
    <col min="6" max="6" width="23.28515625" style="260" customWidth="1"/>
    <col min="7" max="7" width="16.7109375" style="260" customWidth="1"/>
    <col min="8" max="8" width="12.5703125" style="260" customWidth="1"/>
    <col min="9" max="9" width="15.140625" style="260" bestFit="1" customWidth="1"/>
    <col min="10" max="10" width="9.140625" style="260"/>
    <col min="11" max="11" width="7.42578125" style="260" bestFit="1" customWidth="1"/>
    <col min="12" max="12" width="11.42578125" style="260" customWidth="1"/>
    <col min="13" max="13" width="6.7109375" style="260" customWidth="1"/>
    <col min="14" max="14" width="13.85546875" style="260" bestFit="1" customWidth="1"/>
    <col min="15" max="15" width="14" style="260" customWidth="1"/>
    <col min="16" max="16" width="26" style="260" customWidth="1"/>
    <col min="17" max="16384" width="9.140625" style="260"/>
  </cols>
  <sheetData>
    <row r="1" spans="1:14" ht="15">
      <c r="B1" s="270" t="s">
        <v>66</v>
      </c>
      <c r="E1" s="271"/>
      <c r="F1" s="260" t="s">
        <v>153</v>
      </c>
    </row>
    <row r="2" spans="1:14" ht="15.75" thickBot="1">
      <c r="B2" s="457"/>
      <c r="C2" s="310"/>
      <c r="D2" s="310"/>
      <c r="E2" s="310"/>
      <c r="F2" s="310"/>
      <c r="G2" s="310"/>
      <c r="H2" s="310"/>
      <c r="I2" s="310"/>
      <c r="J2" s="310"/>
    </row>
    <row r="3" spans="1:14" ht="16.5" thickTop="1" thickBot="1">
      <c r="B3" s="275">
        <v>1</v>
      </c>
      <c r="C3" s="456" t="s">
        <v>287</v>
      </c>
      <c r="F3" s="279">
        <v>1</v>
      </c>
      <c r="G3" s="279">
        <v>2</v>
      </c>
      <c r="H3" s="279">
        <v>1</v>
      </c>
      <c r="I3" s="279">
        <v>2</v>
      </c>
      <c r="J3" s="274"/>
      <c r="K3" s="687" t="str">
        <f>C3</f>
        <v>PADRÃO</v>
      </c>
      <c r="L3" s="688"/>
      <c r="M3" s="688" t="str">
        <f>C10</f>
        <v>CI BONIFICADO</v>
      </c>
      <c r="N3" s="688"/>
    </row>
    <row r="4" spans="1:14" ht="15">
      <c r="B4" s="275"/>
      <c r="C4" s="276" t="s">
        <v>201</v>
      </c>
      <c r="D4" s="261"/>
      <c r="E4" s="276" t="s">
        <v>108</v>
      </c>
      <c r="F4" s="277" t="s">
        <v>306</v>
      </c>
      <c r="G4" s="277" t="s">
        <v>307</v>
      </c>
      <c r="H4" s="277" t="s">
        <v>306</v>
      </c>
      <c r="I4" s="277" t="s">
        <v>307</v>
      </c>
      <c r="J4" s="278"/>
      <c r="K4" s="280">
        <v>111</v>
      </c>
      <c r="L4" s="281">
        <f>F5</f>
        <v>0.1149</v>
      </c>
      <c r="M4" s="280">
        <v>111</v>
      </c>
      <c r="N4" s="281">
        <f>F12</f>
        <v>0.1149</v>
      </c>
    </row>
    <row r="5" spans="1:14">
      <c r="B5" s="275"/>
      <c r="C5" s="260" t="s">
        <v>227</v>
      </c>
      <c r="E5" s="279">
        <v>1</v>
      </c>
      <c r="F5" s="497">
        <v>0.1149</v>
      </c>
      <c r="G5" s="552">
        <v>0.1149</v>
      </c>
      <c r="H5" s="497">
        <v>0.1149</v>
      </c>
      <c r="I5" s="552">
        <v>0.1149</v>
      </c>
      <c r="J5" s="278"/>
      <c r="K5" s="282">
        <v>112</v>
      </c>
      <c r="L5" s="283">
        <f>G5</f>
        <v>0.1149</v>
      </c>
      <c r="M5" s="282">
        <v>112</v>
      </c>
      <c r="N5" s="283">
        <f>G12</f>
        <v>0.1149</v>
      </c>
    </row>
    <row r="6" spans="1:14">
      <c r="B6" s="275"/>
      <c r="C6" s="260" t="s">
        <v>226</v>
      </c>
      <c r="E6" s="279">
        <v>2</v>
      </c>
      <c r="F6" s="497">
        <v>0.1149</v>
      </c>
      <c r="G6" s="552">
        <v>0.1149</v>
      </c>
      <c r="H6" s="497">
        <v>0.1149</v>
      </c>
      <c r="I6" s="552">
        <v>0.1149</v>
      </c>
      <c r="J6" s="278"/>
      <c r="K6" s="282">
        <v>121</v>
      </c>
      <c r="L6" s="283">
        <f>H5</f>
        <v>0.1149</v>
      </c>
      <c r="M6" s="282">
        <v>121</v>
      </c>
      <c r="N6" s="283">
        <f>H12</f>
        <v>9.4899999999999998E-2</v>
      </c>
    </row>
    <row r="7" spans="1:14">
      <c r="B7" s="275"/>
      <c r="C7" s="260" t="s">
        <v>312</v>
      </c>
      <c r="E7" s="279">
        <v>3</v>
      </c>
      <c r="F7" s="497">
        <v>0.1149</v>
      </c>
      <c r="G7" s="552">
        <v>0.1149</v>
      </c>
      <c r="H7" s="497">
        <v>0.1149</v>
      </c>
      <c r="I7" s="552">
        <v>0.1149</v>
      </c>
      <c r="J7" s="278"/>
      <c r="K7" s="282">
        <v>122</v>
      </c>
      <c r="L7" s="283">
        <f>I5</f>
        <v>0.1149</v>
      </c>
      <c r="M7" s="282">
        <v>122</v>
      </c>
      <c r="N7" s="283">
        <f>I12</f>
        <v>9.4899999999999998E-2</v>
      </c>
    </row>
    <row r="8" spans="1:14">
      <c r="B8" s="275"/>
      <c r="C8" s="260" t="s">
        <v>74</v>
      </c>
      <c r="E8" s="279">
        <v>4</v>
      </c>
      <c r="F8" s="497">
        <v>0.1149</v>
      </c>
      <c r="G8" s="552">
        <v>0.1149</v>
      </c>
      <c r="H8" s="497">
        <v>0.1149</v>
      </c>
      <c r="I8" s="552">
        <v>0.1149</v>
      </c>
      <c r="J8" s="278"/>
      <c r="K8" s="282">
        <v>211</v>
      </c>
      <c r="L8" s="283">
        <f>F6</f>
        <v>0.1149</v>
      </c>
      <c r="M8" s="282">
        <v>211</v>
      </c>
      <c r="N8" s="283">
        <f>F13</f>
        <v>0.1149</v>
      </c>
    </row>
    <row r="9" spans="1:14" ht="15">
      <c r="A9" s="278"/>
      <c r="B9" s="270"/>
      <c r="J9" s="278"/>
      <c r="K9" s="282">
        <v>212</v>
      </c>
      <c r="L9" s="283">
        <f>G6</f>
        <v>0.1149</v>
      </c>
      <c r="M9" s="282">
        <v>212</v>
      </c>
      <c r="N9" s="283">
        <f>G13</f>
        <v>0.1149</v>
      </c>
    </row>
    <row r="10" spans="1:14" ht="15">
      <c r="A10" s="278"/>
      <c r="B10" s="260">
        <f>E20</f>
        <v>3</v>
      </c>
      <c r="C10" s="456" t="s">
        <v>288</v>
      </c>
      <c r="F10" s="279">
        <v>1</v>
      </c>
      <c r="G10" s="279">
        <v>2</v>
      </c>
      <c r="H10" s="279">
        <v>1</v>
      </c>
      <c r="I10" s="279">
        <v>2</v>
      </c>
      <c r="J10" s="278"/>
      <c r="K10" s="282">
        <v>221</v>
      </c>
      <c r="L10" s="283">
        <f>H6</f>
        <v>0.1149</v>
      </c>
      <c r="M10" s="282">
        <v>221</v>
      </c>
      <c r="N10" s="283">
        <f>H13</f>
        <v>9.4899999999999998E-2</v>
      </c>
    </row>
    <row r="11" spans="1:14" ht="15">
      <c r="B11" s="275"/>
      <c r="C11" s="276" t="s">
        <v>201</v>
      </c>
      <c r="D11" s="261"/>
      <c r="E11" s="276" t="s">
        <v>108</v>
      </c>
      <c r="F11" s="277" t="s">
        <v>285</v>
      </c>
      <c r="G11" s="277" t="s">
        <v>286</v>
      </c>
      <c r="H11" s="277" t="s">
        <v>237</v>
      </c>
      <c r="I11" s="277" t="s">
        <v>238</v>
      </c>
      <c r="J11" s="278"/>
      <c r="K11" s="282">
        <v>222</v>
      </c>
      <c r="L11" s="283">
        <f>I6</f>
        <v>0.1149</v>
      </c>
      <c r="M11" s="282">
        <v>222</v>
      </c>
      <c r="N11" s="283">
        <f>I13</f>
        <v>9.4899999999999998E-2</v>
      </c>
    </row>
    <row r="12" spans="1:14">
      <c r="B12" s="275"/>
      <c r="C12" s="260" t="s">
        <v>227</v>
      </c>
      <c r="E12" s="279">
        <v>1</v>
      </c>
      <c r="F12" s="497">
        <v>0.1149</v>
      </c>
      <c r="G12" s="552">
        <v>0.1149</v>
      </c>
      <c r="H12" s="497">
        <v>9.4899999999999998E-2</v>
      </c>
      <c r="I12" s="497">
        <v>9.4899999999999998E-2</v>
      </c>
      <c r="J12" s="278"/>
      <c r="K12" s="282">
        <v>311</v>
      </c>
      <c r="L12" s="283">
        <f>F7</f>
        <v>0.1149</v>
      </c>
      <c r="M12" s="282">
        <v>311</v>
      </c>
      <c r="N12" s="283">
        <f>F14</f>
        <v>0.1149</v>
      </c>
    </row>
    <row r="13" spans="1:14">
      <c r="B13" s="275"/>
      <c r="C13" s="260" t="s">
        <v>226</v>
      </c>
      <c r="E13" s="279">
        <v>2</v>
      </c>
      <c r="F13" s="497">
        <v>0.1149</v>
      </c>
      <c r="G13" s="552">
        <v>0.1149</v>
      </c>
      <c r="H13" s="497">
        <v>9.4899999999999998E-2</v>
      </c>
      <c r="I13" s="497">
        <v>9.4899999999999998E-2</v>
      </c>
      <c r="J13" s="278"/>
      <c r="K13" s="282">
        <v>312</v>
      </c>
      <c r="L13" s="283">
        <f>G7</f>
        <v>0.1149</v>
      </c>
      <c r="M13" s="282">
        <v>312</v>
      </c>
      <c r="N13" s="283">
        <f>G14</f>
        <v>0.1149</v>
      </c>
    </row>
    <row r="14" spans="1:14">
      <c r="B14" s="275"/>
      <c r="C14" s="260" t="s">
        <v>312</v>
      </c>
      <c r="E14" s="279">
        <v>3</v>
      </c>
      <c r="F14" s="497">
        <v>0.1149</v>
      </c>
      <c r="G14" s="552">
        <v>0.1149</v>
      </c>
      <c r="H14" s="497">
        <v>9.4899999999999998E-2</v>
      </c>
      <c r="I14" s="497">
        <v>9.4899999999999998E-2</v>
      </c>
      <c r="J14" s="278"/>
      <c r="K14" s="282">
        <v>321</v>
      </c>
      <c r="L14" s="283">
        <f>H7</f>
        <v>0.1149</v>
      </c>
      <c r="M14" s="282">
        <v>321</v>
      </c>
      <c r="N14" s="283">
        <f>H14</f>
        <v>9.4899999999999998E-2</v>
      </c>
    </row>
    <row r="15" spans="1:14">
      <c r="B15" s="275"/>
      <c r="C15" s="260" t="s">
        <v>74</v>
      </c>
      <c r="E15" s="279">
        <v>4</v>
      </c>
      <c r="F15" s="497">
        <v>0.1149</v>
      </c>
      <c r="G15" s="552">
        <v>0.1149</v>
      </c>
      <c r="H15" s="497">
        <v>9.4899999999999998E-2</v>
      </c>
      <c r="I15" s="497">
        <v>9.4899999999999998E-2</v>
      </c>
      <c r="J15" s="278"/>
      <c r="K15" s="282">
        <v>322</v>
      </c>
      <c r="L15" s="283">
        <f>I7</f>
        <v>0.1149</v>
      </c>
      <c r="M15" s="282">
        <v>322</v>
      </c>
      <c r="N15" s="283">
        <f>I14</f>
        <v>9.4899999999999998E-2</v>
      </c>
    </row>
    <row r="16" spans="1:14" ht="15">
      <c r="B16" s="275"/>
      <c r="E16" s="279"/>
      <c r="F16" s="284"/>
      <c r="G16" s="284"/>
      <c r="I16" s="261"/>
      <c r="J16" s="278"/>
      <c r="K16" s="464">
        <v>411</v>
      </c>
      <c r="L16" s="465">
        <f>F8</f>
        <v>0.1149</v>
      </c>
      <c r="M16" s="466">
        <v>411</v>
      </c>
      <c r="N16" s="465">
        <f>F15</f>
        <v>0.1149</v>
      </c>
    </row>
    <row r="17" spans="1:14" ht="15">
      <c r="B17" s="275"/>
      <c r="C17" s="276" t="s">
        <v>202</v>
      </c>
      <c r="E17" s="279"/>
      <c r="F17" s="285"/>
      <c r="G17" s="285"/>
      <c r="H17" s="285"/>
      <c r="I17" s="261"/>
      <c r="J17" s="278"/>
      <c r="K17" s="464">
        <v>412</v>
      </c>
      <c r="L17" s="465">
        <f>G8</f>
        <v>0.1149</v>
      </c>
      <c r="M17" s="466">
        <v>412</v>
      </c>
      <c r="N17" s="465">
        <f>G15</f>
        <v>0.1149</v>
      </c>
    </row>
    <row r="18" spans="1:14">
      <c r="B18" s="275"/>
      <c r="C18" s="488" t="s">
        <v>308</v>
      </c>
      <c r="D18" s="260" t="s">
        <v>287</v>
      </c>
      <c r="E18" s="279">
        <v>1</v>
      </c>
      <c r="F18" s="285"/>
      <c r="G18" s="285"/>
      <c r="H18" s="285"/>
      <c r="J18" s="278"/>
      <c r="K18" s="464">
        <v>421</v>
      </c>
      <c r="L18" s="465">
        <f>H8</f>
        <v>0.1149</v>
      </c>
      <c r="M18" s="466">
        <v>421</v>
      </c>
      <c r="N18" s="465">
        <f>H15</f>
        <v>9.4899999999999998E-2</v>
      </c>
    </row>
    <row r="19" spans="1:14">
      <c r="B19" s="286"/>
      <c r="C19" s="508" t="s">
        <v>284</v>
      </c>
      <c r="E19" s="279">
        <v>2</v>
      </c>
      <c r="F19" s="287"/>
      <c r="G19" s="287"/>
      <c r="H19" s="506"/>
      <c r="I19" s="506"/>
      <c r="J19" s="278"/>
      <c r="K19" s="464">
        <v>422</v>
      </c>
      <c r="L19" s="465">
        <f>I8</f>
        <v>0.1149</v>
      </c>
      <c r="M19" s="466">
        <v>422</v>
      </c>
      <c r="N19" s="465">
        <f>I15</f>
        <v>9.4899999999999998E-2</v>
      </c>
    </row>
    <row r="20" spans="1:14">
      <c r="B20" s="286"/>
      <c r="C20" s="488" t="s">
        <v>350</v>
      </c>
      <c r="E20" s="279">
        <v>3</v>
      </c>
      <c r="F20" s="497">
        <v>0.1149</v>
      </c>
      <c r="G20" s="552">
        <v>0.1149</v>
      </c>
      <c r="H20" s="497">
        <v>9.4899999999999998E-2</v>
      </c>
      <c r="I20" s="497">
        <v>9.4899999999999998E-2</v>
      </c>
      <c r="J20" s="278"/>
      <c r="K20" s="282">
        <v>141</v>
      </c>
      <c r="L20" s="389">
        <f>F21</f>
        <v>0.1149</v>
      </c>
      <c r="M20" s="282">
        <v>141</v>
      </c>
      <c r="N20" s="389">
        <f>F21</f>
        <v>0.1149</v>
      </c>
    </row>
    <row r="21" spans="1:14" ht="15">
      <c r="B21" s="275"/>
      <c r="C21" s="260" t="s">
        <v>250</v>
      </c>
      <c r="D21" s="261"/>
      <c r="E21" s="279">
        <v>4</v>
      </c>
      <c r="F21" s="507">
        <v>0.1149</v>
      </c>
      <c r="G21" s="552">
        <v>0.1149</v>
      </c>
      <c r="H21" s="507">
        <v>9.4899999999999998E-2</v>
      </c>
      <c r="I21" s="506">
        <v>9.4899999999999998E-2</v>
      </c>
      <c r="J21" s="278"/>
      <c r="K21" s="282">
        <v>142</v>
      </c>
      <c r="L21" s="389">
        <f>G21</f>
        <v>0.1149</v>
      </c>
      <c r="M21" s="282">
        <v>142</v>
      </c>
      <c r="N21" s="389">
        <f>G21</f>
        <v>0.1149</v>
      </c>
    </row>
    <row r="22" spans="1:14">
      <c r="B22" s="275"/>
      <c r="C22" s="260" t="s">
        <v>341</v>
      </c>
      <c r="E22" s="279">
        <v>5</v>
      </c>
      <c r="F22" s="497">
        <v>0.1149</v>
      </c>
      <c r="G22" s="552">
        <v>0.1149</v>
      </c>
      <c r="H22" s="497">
        <v>9.4899999999999998E-2</v>
      </c>
      <c r="I22" s="497">
        <v>9.4899999999999998E-2</v>
      </c>
      <c r="J22" s="278"/>
      <c r="K22" s="282">
        <v>241</v>
      </c>
      <c r="L22" s="389">
        <f>F21</f>
        <v>0.1149</v>
      </c>
      <c r="M22" s="282">
        <v>241</v>
      </c>
      <c r="N22" s="389">
        <f>F21</f>
        <v>0.1149</v>
      </c>
    </row>
    <row r="23" spans="1:14" ht="15">
      <c r="B23" s="275"/>
      <c r="C23" s="291" t="s">
        <v>111</v>
      </c>
      <c r="D23" s="261"/>
      <c r="E23" s="279"/>
      <c r="F23" s="261"/>
      <c r="G23" s="289"/>
      <c r="J23" s="278"/>
      <c r="K23" s="282">
        <v>242</v>
      </c>
      <c r="L23" s="389">
        <f>G21</f>
        <v>0.1149</v>
      </c>
      <c r="M23" s="282">
        <v>242</v>
      </c>
      <c r="N23" s="389">
        <f>G21</f>
        <v>0.1149</v>
      </c>
    </row>
    <row r="24" spans="1:14">
      <c r="B24" s="286"/>
      <c r="C24" s="292">
        <v>0</v>
      </c>
      <c r="D24" s="292"/>
      <c r="E24" s="279">
        <v>1</v>
      </c>
      <c r="G24" s="289"/>
      <c r="J24" s="278"/>
      <c r="K24" s="282">
        <v>341</v>
      </c>
      <c r="L24" s="389">
        <f>F21</f>
        <v>0.1149</v>
      </c>
      <c r="M24" s="282">
        <v>341</v>
      </c>
      <c r="N24" s="389">
        <f>F21</f>
        <v>0.1149</v>
      </c>
    </row>
    <row r="25" spans="1:14">
      <c r="B25" s="286" t="s">
        <v>101</v>
      </c>
      <c r="C25" s="502">
        <f ca="1">IF(Apoio!$L$29=1,IF(Preenchimento!$D$23="Sim",1500000.01,800000.01),IF(Apoio!$L$29=2,IF(TODAY()&lt;=Apoio!$L$30,1500000.01,IF(TODAY()&gt;Apoio!$L$30,IF(Preenchimento!$D$23="Sim",1500000.01,800000.01)))))</f>
        <v>1500000.01</v>
      </c>
      <c r="D25" s="292"/>
      <c r="E25" s="279">
        <v>2</v>
      </c>
      <c r="J25" s="278"/>
      <c r="K25" s="282">
        <v>342</v>
      </c>
      <c r="L25" s="389">
        <f>G21</f>
        <v>0.1149</v>
      </c>
      <c r="M25" s="282">
        <v>342</v>
      </c>
      <c r="N25" s="389">
        <f>G21</f>
        <v>0.1149</v>
      </c>
    </row>
    <row r="26" spans="1:14" ht="15">
      <c r="A26" s="278"/>
      <c r="D26" s="292"/>
      <c r="E26" s="279"/>
      <c r="G26" s="261" t="s">
        <v>113</v>
      </c>
      <c r="J26" s="278"/>
      <c r="K26" s="466">
        <v>441</v>
      </c>
      <c r="L26" s="467">
        <f>F21</f>
        <v>0.1149</v>
      </c>
      <c r="M26" s="466">
        <v>441</v>
      </c>
      <c r="N26" s="467">
        <f>F21</f>
        <v>0.1149</v>
      </c>
    </row>
    <row r="27" spans="1:14" ht="15.75" thickBot="1">
      <c r="B27" s="275"/>
      <c r="E27" s="279"/>
      <c r="F27" s="261" t="s">
        <v>114</v>
      </c>
      <c r="G27" s="261" t="s">
        <v>115</v>
      </c>
      <c r="H27" s="261" t="s">
        <v>116</v>
      </c>
      <c r="I27" s="268" t="s">
        <v>117</v>
      </c>
      <c r="J27" s="278"/>
      <c r="K27" s="468">
        <v>442</v>
      </c>
      <c r="L27" s="469">
        <f>G21</f>
        <v>0.1149</v>
      </c>
      <c r="M27" s="470">
        <v>442</v>
      </c>
      <c r="N27" s="469">
        <f>G21</f>
        <v>0.1149</v>
      </c>
    </row>
    <row r="28" spans="1:14" ht="15">
      <c r="B28" s="275"/>
      <c r="C28" s="261"/>
      <c r="E28" s="279"/>
      <c r="F28" s="295"/>
      <c r="G28" s="296" t="e">
        <f ca="1">IF(
'Caract. Prods'!D4="",
IF(OR(F30=C19,F30=C20,F30=C22),VLOOKUP(E32,M4:N43,2,FALSE),IF('Caract. Prods'!D3="",VLOOKUP(E32,K4:L43,2,FALSE),'Caract. Prods'!D3)),'Caract. Prods'!D4)</f>
        <v>#N/A</v>
      </c>
      <c r="H28" s="458" t="e">
        <f ca="1">Condições!G28</f>
        <v>#N/A</v>
      </c>
      <c r="I28" s="279">
        <f>IF(Preenchimento!I38="SACRE/SAC",36,0)</f>
        <v>0</v>
      </c>
      <c r="J28" s="278"/>
      <c r="K28" s="522">
        <v>131</v>
      </c>
      <c r="L28" s="523">
        <f>F20</f>
        <v>0.1149</v>
      </c>
      <c r="M28" s="522">
        <v>131</v>
      </c>
      <c r="N28" s="523">
        <f>H20</f>
        <v>9.4899999999999998E-2</v>
      </c>
    </row>
    <row r="29" spans="1:14" ht="15">
      <c r="B29" s="275"/>
      <c r="C29" s="261" t="s">
        <v>201</v>
      </c>
      <c r="E29" s="279" t="e">
        <f>VLOOKUP(F29,C12:E15,3,FALSE)</f>
        <v>#N/A</v>
      </c>
      <c r="F29" s="297">
        <f>Preenchimento!D17</f>
        <v>0</v>
      </c>
      <c r="G29" s="296" t="e">
        <f ca="1">(1+G28)^(1/12)-1</f>
        <v>#N/A</v>
      </c>
      <c r="H29" s="296" t="e">
        <f ca="1">(1+H28)^(1/12)-1</f>
        <v>#N/A</v>
      </c>
      <c r="J29" s="278"/>
      <c r="K29" s="528">
        <v>132</v>
      </c>
      <c r="L29" s="527">
        <f>G20</f>
        <v>0.1149</v>
      </c>
      <c r="M29" s="522">
        <v>132</v>
      </c>
      <c r="N29" s="527">
        <f>I20</f>
        <v>9.4899999999999998E-2</v>
      </c>
    </row>
    <row r="30" spans="1:14" ht="15">
      <c r="B30" s="275"/>
      <c r="C30" s="298" t="s">
        <v>202</v>
      </c>
      <c r="E30" s="279" t="e">
        <f>IF(F30=C19,2,VLOOKUP(F30,C18:E22,3,FALSE))</f>
        <v>#N/A</v>
      </c>
      <c r="F30" s="279">
        <f>IF(Preenchimento!$D$7="Promessa","Promessa",Preenchimento!$D$19)</f>
        <v>0</v>
      </c>
      <c r="J30" s="278"/>
      <c r="K30" s="522">
        <v>231</v>
      </c>
      <c r="L30" s="527">
        <f>F20</f>
        <v>0.1149</v>
      </c>
      <c r="M30" s="522">
        <v>231</v>
      </c>
      <c r="N30" s="527">
        <f>H20</f>
        <v>9.4899999999999998E-2</v>
      </c>
    </row>
    <row r="31" spans="1:14" ht="15">
      <c r="B31" s="275"/>
      <c r="C31" s="261" t="s">
        <v>111</v>
      </c>
      <c r="E31" s="299">
        <f ca="1">VLOOKUP(F31,C24:E25,3,TRUE)</f>
        <v>1</v>
      </c>
      <c r="F31" s="300">
        <f>Preenchimento!$D$24</f>
        <v>0</v>
      </c>
      <c r="G31" s="261" t="s">
        <v>112</v>
      </c>
      <c r="H31" s="296" t="e">
        <f ca="1">IF(OR(H28=0,G28=H28),G28,G28*100&amp;",00% a.a. / "&amp;H28*100&amp;",00% a.a.")</f>
        <v>#N/A</v>
      </c>
      <c r="J31" s="278"/>
      <c r="K31" s="528">
        <v>232</v>
      </c>
      <c r="L31" s="527">
        <f>G20</f>
        <v>0.1149</v>
      </c>
      <c r="M31" s="522">
        <v>232</v>
      </c>
      <c r="N31" s="527">
        <f>I20</f>
        <v>9.4899999999999998E-2</v>
      </c>
    </row>
    <row r="32" spans="1:14" s="304" customFormat="1" ht="15">
      <c r="B32" s="301"/>
      <c r="C32" s="302" t="s">
        <v>86</v>
      </c>
      <c r="D32" s="260"/>
      <c r="E32" s="303" t="e">
        <f ca="1">VALUE(E29&amp;E30&amp;E31)</f>
        <v>#N/A</v>
      </c>
      <c r="G32" s="305"/>
      <c r="H32" s="306" t="e">
        <f ca="1">IF(AND(Preenchimento!D7="Promessa",Condições!E31=1),Condições!F21,IF(AND(Preenchimento!D7="Promessa",Condições!E31=2),Condições!G21,IF(Preenchimento!D7&lt;&gt;"Promessa",VLOOKUP(E32,M4:N43,2,FALSE),'Caract. Prods'!D3)))</f>
        <v>#N/A</v>
      </c>
      <c r="I32" s="296" t="e">
        <f ca="1">(1+H32)^(1/12)-1</f>
        <v>#N/A</v>
      </c>
      <c r="J32" s="307"/>
      <c r="K32" s="522">
        <v>331</v>
      </c>
      <c r="L32" s="527">
        <f>F20</f>
        <v>0.1149</v>
      </c>
      <c r="M32" s="522">
        <v>331</v>
      </c>
      <c r="N32" s="527">
        <f>H20</f>
        <v>9.4899999999999998E-2</v>
      </c>
    </row>
    <row r="33" spans="2:15" s="304" customFormat="1" ht="15">
      <c r="B33" s="301"/>
      <c r="C33" s="305"/>
      <c r="E33" s="299"/>
      <c r="G33" s="305"/>
      <c r="H33" s="308"/>
      <c r="J33" s="307"/>
      <c r="K33" s="528">
        <v>332</v>
      </c>
      <c r="L33" s="527">
        <f>G20</f>
        <v>0.1149</v>
      </c>
      <c r="M33" s="522">
        <v>332</v>
      </c>
      <c r="N33" s="527">
        <f>I20</f>
        <v>9.4899999999999998E-2</v>
      </c>
    </row>
    <row r="34" spans="2:15" s="304" customFormat="1" ht="15">
      <c r="B34" s="301"/>
      <c r="C34" s="302" t="s">
        <v>289</v>
      </c>
      <c r="D34" s="260"/>
      <c r="E34" s="303" t="e">
        <f ca="1">IF(F30="Plano Saúde/Leilão",VALUE(E29&amp;E30&amp;E31),VALUE(E29&amp;1&amp;E31))</f>
        <v>#N/A</v>
      </c>
      <c r="G34" s="449" t="e">
        <f ca="1">IF(AND(Preenchimento!D7="Promessa",Condições!E31=1),Condições!F21,IF(AND(Preenchimento!D7="Promessa",Condições!E31=2),Condições!G21,IF(OR(Condições!F30=C19,F30=C20),IF('Caract. Prods'!D3="",VLOOKUP(Condições!$E$34,Condições!$K$4:$L$43,2,FALSE),'Caract. Prods'!$D$3),IF('Caract. Prods'!D10="",VLOOKUP(E34,M4:N43,2,FALSE),'Caract. Prods'!D10))))</f>
        <v>#N/A</v>
      </c>
      <c r="H34" s="458" t="e">
        <f ca="1">G34</f>
        <v>#N/A</v>
      </c>
      <c r="I34" s="296" t="e">
        <f ca="1">(1+H34)^(1/12)-1</f>
        <v>#N/A</v>
      </c>
      <c r="J34" s="307"/>
      <c r="K34" s="522">
        <v>431</v>
      </c>
      <c r="L34" s="527">
        <f>F20</f>
        <v>0.1149</v>
      </c>
      <c r="M34" s="522">
        <v>431</v>
      </c>
      <c r="N34" s="527">
        <f>H20</f>
        <v>9.4899999999999998E-2</v>
      </c>
    </row>
    <row r="35" spans="2:15" s="304" customFormat="1" ht="15.75" thickBot="1">
      <c r="B35" s="301"/>
      <c r="C35" s="305"/>
      <c r="E35" s="299"/>
      <c r="G35" s="449" t="e">
        <f ca="1">(1+G34)^(1/12)-1</f>
        <v>#N/A</v>
      </c>
      <c r="H35" s="449" t="e">
        <f ca="1">(1+H34)^(1/12)-1</f>
        <v>#N/A</v>
      </c>
      <c r="J35" s="307"/>
      <c r="K35" s="524">
        <v>432</v>
      </c>
      <c r="L35" s="525">
        <f>G20</f>
        <v>0.1149</v>
      </c>
      <c r="M35" s="526">
        <v>432</v>
      </c>
      <c r="N35" s="525">
        <f>I20</f>
        <v>9.4899999999999998E-2</v>
      </c>
      <c r="O35" s="294"/>
    </row>
    <row r="36" spans="2:15" ht="15" thickBot="1">
      <c r="B36" s="309"/>
      <c r="C36" s="310"/>
      <c r="D36" s="310"/>
      <c r="E36" s="310"/>
      <c r="F36" s="310"/>
      <c r="G36" s="310"/>
      <c r="H36" s="293" t="e">
        <f ca="1">IF(
OR(H29=0,G29=H29),
G29,
LEFT(G29*100,4)&amp;"% a.m. / "&amp;LEFT(H29*100,4)&amp;"% a.m.")</f>
        <v>#N/A</v>
      </c>
      <c r="I36" s="448" t="e">
        <f ca="1">IF(OR(H35=0,G35=H35),G35,LEFT(G35*100,4)&amp;"% a.m. / "&amp;LEFT(H35*100,4)&amp;"% a.m.")</f>
        <v>#N/A</v>
      </c>
      <c r="J36" s="311"/>
      <c r="K36" s="509">
        <v>151</v>
      </c>
      <c r="L36" s="512">
        <f>$F$22</f>
        <v>0.1149</v>
      </c>
      <c r="M36" s="509">
        <v>151</v>
      </c>
      <c r="N36" s="512">
        <f>$H$22</f>
        <v>9.4899999999999998E-2</v>
      </c>
    </row>
    <row r="37" spans="2:15" ht="16.5" thickTop="1" thickBot="1">
      <c r="B37" s="270"/>
      <c r="H37" s="293" t="e">
        <f ca="1">I32</f>
        <v>#N/A</v>
      </c>
      <c r="I37" s="448" t="e">
        <f ca="1">I36</f>
        <v>#N/A</v>
      </c>
      <c r="J37" s="274"/>
      <c r="K37" s="530">
        <v>152</v>
      </c>
      <c r="L37" s="529">
        <f>$G$22</f>
        <v>0.1149</v>
      </c>
      <c r="M37" s="509">
        <v>152</v>
      </c>
      <c r="N37" s="529">
        <f>$I$22</f>
        <v>9.4899999999999998E-2</v>
      </c>
    </row>
    <row r="38" spans="2:15" ht="15.75" thickTop="1">
      <c r="B38" s="270"/>
      <c r="J38" s="278"/>
      <c r="K38" s="509">
        <v>251</v>
      </c>
      <c r="L38" s="529">
        <f>$F$22</f>
        <v>0.1149</v>
      </c>
      <c r="M38" s="509">
        <v>251</v>
      </c>
      <c r="N38" s="529">
        <f>$H$22</f>
        <v>9.4899999999999998E-2</v>
      </c>
    </row>
    <row r="39" spans="2:15" ht="15">
      <c r="B39" s="270"/>
      <c r="J39" s="278"/>
      <c r="K39" s="530">
        <v>252</v>
      </c>
      <c r="L39" s="529">
        <f>$G$22</f>
        <v>0.1149</v>
      </c>
      <c r="M39" s="509">
        <v>252</v>
      </c>
      <c r="N39" s="529">
        <f>$I$22</f>
        <v>9.4899999999999998E-2</v>
      </c>
    </row>
    <row r="40" spans="2:15" ht="15">
      <c r="B40" s="270"/>
      <c r="C40" s="288"/>
      <c r="D40" s="288"/>
      <c r="E40" s="288"/>
      <c r="J40" s="278"/>
      <c r="K40" s="509">
        <v>351</v>
      </c>
      <c r="L40" s="529">
        <f>$F$22</f>
        <v>0.1149</v>
      </c>
      <c r="M40" s="509">
        <v>351</v>
      </c>
      <c r="N40" s="529">
        <f>$H$22</f>
        <v>9.4899999999999998E-2</v>
      </c>
    </row>
    <row r="41" spans="2:15" ht="15">
      <c r="B41" s="270"/>
      <c r="J41" s="278"/>
      <c r="K41" s="530">
        <v>352</v>
      </c>
      <c r="L41" s="529">
        <f>$G$22</f>
        <v>0.1149</v>
      </c>
      <c r="M41" s="509">
        <v>352</v>
      </c>
      <c r="N41" s="529">
        <f>$I$22</f>
        <v>9.4899999999999998E-2</v>
      </c>
    </row>
    <row r="42" spans="2:15" ht="15">
      <c r="B42" s="270"/>
      <c r="J42" s="278"/>
      <c r="K42" s="509">
        <v>451</v>
      </c>
      <c r="L42" s="529">
        <f>$F$22</f>
        <v>0.1149</v>
      </c>
      <c r="M42" s="509">
        <v>451</v>
      </c>
      <c r="N42" s="529">
        <f>$H$22</f>
        <v>9.4899999999999998E-2</v>
      </c>
    </row>
    <row r="43" spans="2:15" ht="15.75" thickBot="1">
      <c r="B43" s="270"/>
      <c r="K43" s="510">
        <v>452</v>
      </c>
      <c r="L43" s="513">
        <f>$G$22</f>
        <v>0.1149</v>
      </c>
      <c r="M43" s="511">
        <v>452</v>
      </c>
      <c r="N43" s="513">
        <f>$I$22</f>
        <v>9.4899999999999998E-2</v>
      </c>
    </row>
    <row r="44" spans="2:15" ht="15">
      <c r="B44" s="270"/>
      <c r="M44" s="294"/>
    </row>
    <row r="45" spans="2:15" ht="15">
      <c r="B45" s="270"/>
      <c r="M45" s="294"/>
    </row>
    <row r="46" spans="2:15" ht="15">
      <c r="B46" s="270"/>
      <c r="M46" s="294"/>
    </row>
    <row r="47" spans="2:15" ht="15.75" thickBot="1">
      <c r="B47" s="270" t="s">
        <v>52</v>
      </c>
      <c r="E47" s="271"/>
      <c r="F47" s="260" t="s">
        <v>153</v>
      </c>
      <c r="K47" s="310"/>
      <c r="L47" s="304"/>
      <c r="M47" s="294"/>
    </row>
    <row r="48" spans="2:15" ht="15.75" thickTop="1">
      <c r="B48" s="272">
        <v>2</v>
      </c>
      <c r="C48" s="273"/>
      <c r="D48" s="273"/>
      <c r="E48" s="273"/>
      <c r="F48" s="273">
        <v>1</v>
      </c>
      <c r="G48" s="431">
        <v>2</v>
      </c>
      <c r="H48" s="273"/>
      <c r="I48" s="273"/>
      <c r="J48" s="435">
        <v>211</v>
      </c>
      <c r="K48" s="437">
        <f>F50</f>
        <v>0.115</v>
      </c>
      <c r="M48" s="388"/>
      <c r="O48" s="294"/>
    </row>
    <row r="49" spans="2:15" ht="15">
      <c r="B49" s="275"/>
      <c r="C49" s="276" t="s">
        <v>107</v>
      </c>
      <c r="D49" s="261"/>
      <c r="E49" s="276" t="s">
        <v>108</v>
      </c>
      <c r="F49" s="277" t="s">
        <v>109</v>
      </c>
      <c r="G49" s="440" t="s">
        <v>110</v>
      </c>
      <c r="H49" s="268"/>
      <c r="J49" s="436">
        <v>212</v>
      </c>
      <c r="K49" s="438">
        <f>G50</f>
        <v>0.115</v>
      </c>
      <c r="M49" s="388"/>
    </row>
    <row r="50" spans="2:15" ht="15">
      <c r="B50" s="275"/>
      <c r="C50" s="260" t="s">
        <v>227</v>
      </c>
      <c r="E50" s="279">
        <v>1</v>
      </c>
      <c r="F50" s="539">
        <v>0.115</v>
      </c>
      <c r="G50" s="540">
        <v>0.115</v>
      </c>
      <c r="H50" s="290"/>
      <c r="J50" s="436">
        <v>221</v>
      </c>
      <c r="K50" s="438">
        <f>F51</f>
        <v>0.115</v>
      </c>
      <c r="M50" s="388"/>
    </row>
    <row r="51" spans="2:15" ht="15">
      <c r="B51" s="275"/>
      <c r="C51" s="260" t="s">
        <v>226</v>
      </c>
      <c r="E51" s="279">
        <v>2</v>
      </c>
      <c r="F51" s="539">
        <v>0.115</v>
      </c>
      <c r="G51" s="540">
        <v>0.115</v>
      </c>
      <c r="H51" s="290"/>
      <c r="J51" s="436">
        <v>222</v>
      </c>
      <c r="K51" s="438">
        <f>G51</f>
        <v>0.115</v>
      </c>
      <c r="M51" s="388"/>
      <c r="O51" s="294"/>
    </row>
    <row r="52" spans="2:15" ht="15">
      <c r="B52" s="275"/>
      <c r="C52" s="260" t="s">
        <v>312</v>
      </c>
      <c r="E52" s="279">
        <v>3</v>
      </c>
      <c r="F52" s="539">
        <v>0.115</v>
      </c>
      <c r="G52" s="540">
        <v>0.115</v>
      </c>
      <c r="H52" s="290"/>
      <c r="J52" s="436">
        <v>231</v>
      </c>
      <c r="K52" s="438">
        <f>F52</f>
        <v>0.115</v>
      </c>
      <c r="M52" s="388"/>
    </row>
    <row r="53" spans="2:15" ht="15">
      <c r="B53" s="275"/>
      <c r="C53" s="260" t="s">
        <v>74</v>
      </c>
      <c r="E53" s="279">
        <v>4</v>
      </c>
      <c r="F53" s="539">
        <v>0.113</v>
      </c>
      <c r="G53" s="540">
        <v>0.113</v>
      </c>
      <c r="H53" s="290"/>
      <c r="J53" s="436">
        <v>232</v>
      </c>
      <c r="K53" s="438">
        <f>G52</f>
        <v>0.115</v>
      </c>
      <c r="M53" s="388"/>
    </row>
    <row r="54" spans="2:15" ht="15">
      <c r="B54" s="275"/>
      <c r="E54" s="279"/>
      <c r="F54" s="313"/>
      <c r="G54" s="313"/>
      <c r="H54" s="290"/>
      <c r="I54" s="261"/>
      <c r="J54" s="436">
        <v>241</v>
      </c>
      <c r="K54" s="439">
        <f>F53</f>
        <v>0.113</v>
      </c>
      <c r="M54" s="388"/>
    </row>
    <row r="55" spans="2:15" ht="15">
      <c r="B55" s="275"/>
      <c r="E55" s="279"/>
      <c r="F55" s="288"/>
      <c r="G55" s="288"/>
      <c r="H55" s="290"/>
      <c r="I55" s="261"/>
      <c r="J55" s="436">
        <v>242</v>
      </c>
      <c r="K55" s="439">
        <f>G53</f>
        <v>0.113</v>
      </c>
      <c r="M55" s="388"/>
    </row>
    <row r="56" spans="2:15">
      <c r="B56" s="275"/>
      <c r="K56" s="314"/>
      <c r="M56" s="388"/>
    </row>
    <row r="57" spans="2:15">
      <c r="B57" s="275"/>
      <c r="E57" s="279"/>
      <c r="F57" s="288"/>
      <c r="G57" s="288"/>
      <c r="K57" s="314"/>
      <c r="M57" s="294"/>
    </row>
    <row r="58" spans="2:15" ht="15">
      <c r="B58" s="275"/>
      <c r="D58" s="261"/>
      <c r="E58" s="279"/>
      <c r="F58" s="288"/>
      <c r="G58" s="288"/>
      <c r="K58" s="314"/>
      <c r="M58" s="294"/>
    </row>
    <row r="59" spans="2:15">
      <c r="B59" s="275"/>
      <c r="E59" s="279"/>
      <c r="K59" s="314"/>
      <c r="L59" s="304"/>
      <c r="M59" s="294"/>
    </row>
    <row r="60" spans="2:15">
      <c r="B60" s="275"/>
      <c r="E60" s="279"/>
      <c r="K60" s="314"/>
      <c r="M60" s="294"/>
    </row>
    <row r="61" spans="2:15" ht="15">
      <c r="B61" s="275"/>
      <c r="C61" s="362" t="s">
        <v>111</v>
      </c>
      <c r="D61" s="363"/>
      <c r="E61" s="364"/>
      <c r="K61" s="314"/>
      <c r="M61" s="294"/>
    </row>
    <row r="62" spans="2:15">
      <c r="B62" s="286"/>
      <c r="C62" s="365"/>
      <c r="D62" s="365"/>
      <c r="E62" s="364"/>
      <c r="K62" s="314"/>
      <c r="M62" s="294"/>
    </row>
    <row r="63" spans="2:15">
      <c r="B63" s="432" t="s">
        <v>100</v>
      </c>
      <c r="C63" s="433">
        <v>0</v>
      </c>
      <c r="D63" s="433"/>
      <c r="E63" s="434">
        <v>1</v>
      </c>
      <c r="K63" s="314"/>
      <c r="M63" s="294"/>
    </row>
    <row r="64" spans="2:15">
      <c r="B64" s="432" t="s">
        <v>101</v>
      </c>
      <c r="C64" s="433">
        <f>IF(Preenchimento!$D$23="sim",750000.01,650000.01)</f>
        <v>750000.01</v>
      </c>
      <c r="D64" s="433"/>
      <c r="E64" s="434">
        <v>2</v>
      </c>
      <c r="K64" s="314"/>
      <c r="M64" s="294"/>
    </row>
    <row r="65" spans="1:13" ht="15">
      <c r="B65" s="275"/>
      <c r="E65" s="279"/>
      <c r="F65" s="261" t="s">
        <v>114</v>
      </c>
      <c r="G65" s="261" t="s">
        <v>113</v>
      </c>
      <c r="K65" s="314"/>
      <c r="M65" s="294"/>
    </row>
    <row r="66" spans="1:13" ht="15">
      <c r="B66" s="275"/>
      <c r="C66" s="261" t="s">
        <v>118</v>
      </c>
      <c r="E66" s="279">
        <f>B48</f>
        <v>2</v>
      </c>
      <c r="F66" s="295"/>
      <c r="G66" s="459" t="e">
        <f>IF('Caract. Prods'!D10="",VLOOKUP(E69,J48:K57,2,FALSE),'Caract. Prods'!D10)</f>
        <v>#N/A</v>
      </c>
      <c r="K66" s="314"/>
      <c r="M66" s="294"/>
    </row>
    <row r="67" spans="1:13" ht="15">
      <c r="B67" s="275"/>
      <c r="C67" s="261" t="s">
        <v>107</v>
      </c>
      <c r="E67" s="279" t="e">
        <f>VLOOKUP(F67,C50:E58,3,FALSE)</f>
        <v>#N/A</v>
      </c>
      <c r="F67" s="297">
        <f>Preenchimento!D17</f>
        <v>0</v>
      </c>
      <c r="G67" s="289" t="e">
        <f>(1+G66)^(1/12)-1</f>
        <v>#N/A</v>
      </c>
      <c r="K67" s="314"/>
      <c r="M67" s="294"/>
    </row>
    <row r="68" spans="1:13" ht="15">
      <c r="B68" s="275"/>
      <c r="C68" s="261" t="s">
        <v>111</v>
      </c>
      <c r="E68" s="279">
        <f>VLOOKUP(F68,C62:E64,3,TRUE)</f>
        <v>1</v>
      </c>
      <c r="F68" s="315">
        <f>Preenchimento!$D$24</f>
        <v>0</v>
      </c>
      <c r="K68" s="314"/>
      <c r="M68" s="294"/>
    </row>
    <row r="69" spans="1:13" ht="15">
      <c r="B69" s="275"/>
      <c r="C69" s="302" t="s">
        <v>86</v>
      </c>
      <c r="E69" s="303" t="e">
        <f>VALUE(E66&amp;E67&amp;E68)</f>
        <v>#N/A</v>
      </c>
      <c r="K69" s="314"/>
    </row>
    <row r="70" spans="1:13" s="304" customFormat="1" ht="15">
      <c r="B70" s="301"/>
      <c r="C70" s="305"/>
      <c r="E70" s="299"/>
      <c r="J70" s="260"/>
      <c r="K70" s="314"/>
    </row>
    <row r="71" spans="1:13" s="304" customFormat="1" ht="15">
      <c r="B71" s="301"/>
      <c r="C71" s="305"/>
      <c r="E71" s="299"/>
      <c r="J71" s="260"/>
      <c r="K71" s="314"/>
    </row>
    <row r="72" spans="1:13" s="304" customFormat="1" ht="15">
      <c r="B72" s="301"/>
      <c r="C72" s="305"/>
      <c r="E72" s="299"/>
      <c r="J72" s="260"/>
      <c r="K72" s="314"/>
    </row>
    <row r="73" spans="1:13" s="304" customFormat="1" ht="15">
      <c r="B73" s="301"/>
      <c r="C73" s="305"/>
      <c r="E73" s="299"/>
      <c r="J73" s="260"/>
      <c r="K73" s="314"/>
    </row>
    <row r="74" spans="1:13" s="304" customFormat="1" ht="15.75" thickBot="1">
      <c r="B74" s="317"/>
      <c r="C74" s="318"/>
      <c r="D74" s="319"/>
      <c r="E74" s="320"/>
      <c r="F74" s="319"/>
      <c r="G74" s="319"/>
      <c r="H74" s="319"/>
      <c r="I74" s="319"/>
      <c r="J74" s="310"/>
      <c r="K74" s="316"/>
    </row>
    <row r="75" spans="1:13" s="304" customFormat="1" ht="16.5" thickTop="1" thickBot="1">
      <c r="C75" s="305"/>
      <c r="E75" s="299"/>
    </row>
    <row r="76" spans="1:13">
      <c r="B76" s="569" t="s">
        <v>351</v>
      </c>
      <c r="C76" s="571">
        <v>0.8</v>
      </c>
    </row>
    <row r="77" spans="1:13" ht="15.75" thickBot="1">
      <c r="B77" s="570" t="s">
        <v>352</v>
      </c>
      <c r="C77" s="572">
        <v>0.8</v>
      </c>
      <c r="F77" s="303" t="s">
        <v>175</v>
      </c>
      <c r="G77" s="303">
        <f>VALUE(Preenchimento!D12)</f>
        <v>0</v>
      </c>
      <c r="I77" s="299"/>
    </row>
    <row r="78" spans="1:13" ht="15.75" thickBot="1">
      <c r="B78" s="436" t="s">
        <v>310</v>
      </c>
      <c r="C78" s="490">
        <f>IF(OR(F29="Select / Private",F29="Funcionários"),C79,C80)</f>
        <v>0.8</v>
      </c>
      <c r="F78" s="304"/>
      <c r="G78" s="304"/>
      <c r="H78" s="304"/>
      <c r="I78" s="304"/>
      <c r="J78" s="691"/>
      <c r="K78" s="691"/>
      <c r="L78" s="691"/>
      <c r="M78" s="691"/>
    </row>
    <row r="79" spans="1:13" ht="15">
      <c r="B79" s="321" t="s">
        <v>73</v>
      </c>
      <c r="C79" s="573">
        <f>IF(SAC!AE40="VERDADEIRO",IF(Preenchimento!$D$18="Parcelas Variáveis",
IF('Caract. Prods'!C12="",C76+5%,'Caract. Prods'!C12),
IF('Caract. Prods'!C12="",C77,'Caract. Prods'!C12)),IF(Preenchimento!$D$18="Parcelas Variáveis",
IF('Caract. Prods'!C12="",C76,'Caract. Prods'!C12),
IF('Caract. Prods'!C12="",C77,'Caract. Prods'!C12)))</f>
        <v>0.8</v>
      </c>
      <c r="E79" s="260" t="s">
        <v>170</v>
      </c>
      <c r="F79" s="305"/>
      <c r="G79" s="305"/>
      <c r="H79" s="299"/>
      <c r="I79" s="299"/>
      <c r="J79" s="305"/>
      <c r="K79" s="305"/>
      <c r="L79" s="305"/>
      <c r="M79" s="305"/>
    </row>
    <row r="80" spans="1:13" ht="15">
      <c r="A80" s="489"/>
      <c r="B80" s="260" t="s">
        <v>309</v>
      </c>
      <c r="C80" s="493">
        <f>C79</f>
        <v>0.8</v>
      </c>
      <c r="E80" s="323">
        <v>0.3</v>
      </c>
      <c r="F80" s="304"/>
      <c r="G80" s="324" t="s">
        <v>174</v>
      </c>
      <c r="H80" s="324">
        <v>9</v>
      </c>
      <c r="I80" s="324">
        <v>8</v>
      </c>
      <c r="J80" s="324">
        <v>7</v>
      </c>
      <c r="K80" s="324">
        <v>6</v>
      </c>
      <c r="L80" s="324">
        <v>5</v>
      </c>
      <c r="M80" s="325"/>
    </row>
    <row r="81" spans="2:16" ht="15">
      <c r="B81" s="312" t="s">
        <v>160</v>
      </c>
      <c r="C81" s="322">
        <f>VLOOKUP(G84,K85:L89,2,FALSE)</f>
        <v>0.35</v>
      </c>
      <c r="E81" s="323">
        <v>0.4</v>
      </c>
      <c r="F81" s="304"/>
      <c r="G81" s="324" t="s">
        <v>173</v>
      </c>
      <c r="H81" s="326">
        <v>0.35</v>
      </c>
      <c r="I81" s="326">
        <v>0.35</v>
      </c>
      <c r="J81" s="326">
        <v>0.35</v>
      </c>
      <c r="K81" s="326">
        <v>0.35</v>
      </c>
      <c r="L81" s="326">
        <v>0.35</v>
      </c>
      <c r="M81" s="325"/>
    </row>
    <row r="82" spans="2:16">
      <c r="B82" s="312" t="s">
        <v>159</v>
      </c>
      <c r="C82" s="322">
        <f>IF(G77&gt;1999.99,E81,E80)</f>
        <v>0.3</v>
      </c>
      <c r="E82" s="328">
        <f>E81</f>
        <v>0.4</v>
      </c>
      <c r="F82" s="304"/>
      <c r="G82" s="304"/>
      <c r="H82" s="304"/>
      <c r="I82" s="329"/>
      <c r="J82" s="325"/>
      <c r="K82" s="325"/>
      <c r="L82" s="325"/>
      <c r="M82" s="325"/>
    </row>
    <row r="83" spans="2:16" ht="15.75" thickBot="1">
      <c r="B83" s="327" t="s">
        <v>144</v>
      </c>
      <c r="C83" s="494">
        <v>2500</v>
      </c>
      <c r="H83" s="268"/>
    </row>
    <row r="84" spans="2:16" ht="15">
      <c r="F84" s="303" t="s">
        <v>172</v>
      </c>
      <c r="G84" s="303">
        <v>9</v>
      </c>
      <c r="N84" s="574" t="s">
        <v>360</v>
      </c>
      <c r="O84" s="574"/>
      <c r="P84" s="574"/>
    </row>
    <row r="85" spans="2:16" ht="16.5" thickBot="1">
      <c r="B85" s="684" t="s">
        <v>41</v>
      </c>
      <c r="C85" s="684"/>
      <c r="D85" s="684"/>
      <c r="E85" s="684"/>
      <c r="F85" s="684"/>
      <c r="G85" s="82"/>
      <c r="H85" s="82"/>
      <c r="I85" s="82"/>
      <c r="K85" s="260">
        <v>9</v>
      </c>
      <c r="L85" s="330">
        <v>0.35</v>
      </c>
      <c r="N85" s="260" t="s">
        <v>349</v>
      </c>
    </row>
    <row r="86" spans="2:16" ht="15.75" thickBot="1">
      <c r="B86" s="38" t="s">
        <v>75</v>
      </c>
      <c r="C86" s="82"/>
      <c r="D86" s="11" t="s">
        <v>105</v>
      </c>
      <c r="E86" s="11" t="s">
        <v>106</v>
      </c>
      <c r="F86" s="548" t="s">
        <v>337</v>
      </c>
      <c r="G86" s="548" t="s">
        <v>338</v>
      </c>
      <c r="H86" s="544" t="s">
        <v>119</v>
      </c>
      <c r="I86" s="40" t="s">
        <v>120</v>
      </c>
      <c r="K86" s="260">
        <v>8</v>
      </c>
      <c r="L86" s="330">
        <v>0.35</v>
      </c>
      <c r="N86" s="575" t="s">
        <v>75</v>
      </c>
      <c r="O86" s="576" t="s">
        <v>337</v>
      </c>
      <c r="P86" s="576" t="s">
        <v>338</v>
      </c>
    </row>
    <row r="87" spans="2:16" ht="15">
      <c r="B87" s="44"/>
      <c r="C87" s="331"/>
      <c r="D87" s="45"/>
      <c r="E87" s="46"/>
      <c r="F87" s="45"/>
      <c r="G87" s="45"/>
      <c r="H87" s="544"/>
      <c r="I87" s="40"/>
      <c r="K87" s="260">
        <v>7</v>
      </c>
      <c r="L87" s="330">
        <v>0.3</v>
      </c>
      <c r="N87" s="577"/>
      <c r="O87" s="578"/>
      <c r="P87" s="579"/>
    </row>
    <row r="88" spans="2:16">
      <c r="B88" s="332">
        <v>18</v>
      </c>
      <c r="C88" s="333"/>
      <c r="D88" s="334">
        <v>1.7000000000000001E-4</v>
      </c>
      <c r="E88" s="335">
        <v>5.0000000000000002E-5</v>
      </c>
      <c r="F88" s="549"/>
      <c r="G88" s="550"/>
      <c r="H88" s="545">
        <v>2.2599999999999999E-4</v>
      </c>
      <c r="I88" s="336">
        <v>3.4999999999999997E-5</v>
      </c>
      <c r="K88" s="260">
        <v>6</v>
      </c>
      <c r="L88" s="330">
        <v>0.3</v>
      </c>
      <c r="N88" s="580">
        <v>18</v>
      </c>
      <c r="O88" s="581">
        <v>1.7899999999999999E-4</v>
      </c>
      <c r="P88" s="582">
        <v>5.3000000000000001E-5</v>
      </c>
    </row>
    <row r="89" spans="2:16">
      <c r="B89" s="332">
        <v>31.1</v>
      </c>
      <c r="C89" s="333"/>
      <c r="D89" s="334">
        <v>2.1000000000000001E-4</v>
      </c>
      <c r="E89" s="337"/>
      <c r="F89" s="549"/>
      <c r="G89" s="546"/>
      <c r="H89" s="545">
        <v>2.8800000000000001E-4</v>
      </c>
      <c r="I89" s="253"/>
      <c r="K89" s="260">
        <v>5</v>
      </c>
      <c r="L89" s="330">
        <f>J81</f>
        <v>0.35</v>
      </c>
      <c r="N89" s="580">
        <v>31</v>
      </c>
      <c r="O89" s="581">
        <v>2.2100000000000001E-4</v>
      </c>
      <c r="P89" s="583"/>
    </row>
    <row r="90" spans="2:16">
      <c r="B90" s="332">
        <v>36.1</v>
      </c>
      <c r="C90" s="333"/>
      <c r="D90" s="334">
        <v>2.5999999999999998E-4</v>
      </c>
      <c r="E90" s="337"/>
      <c r="F90" s="549"/>
      <c r="G90" s="546"/>
      <c r="H90" s="545">
        <v>3.1599999999999998E-4</v>
      </c>
      <c r="I90" s="253"/>
      <c r="L90" s="330"/>
      <c r="N90" s="580">
        <v>36</v>
      </c>
      <c r="O90" s="581">
        <v>2.7300000000000002E-4</v>
      </c>
      <c r="P90" s="583"/>
    </row>
    <row r="91" spans="2:16">
      <c r="B91" s="332">
        <v>41.1</v>
      </c>
      <c r="C91" s="333"/>
      <c r="D91" s="334">
        <v>4.0000000000000002E-4</v>
      </c>
      <c r="E91" s="337"/>
      <c r="F91" s="549"/>
      <c r="G91" s="546"/>
      <c r="H91" s="545">
        <v>3.9100000000000002E-4</v>
      </c>
      <c r="I91" s="253"/>
      <c r="L91" s="330"/>
      <c r="N91" s="580">
        <v>41</v>
      </c>
      <c r="O91" s="581">
        <v>4.2000000000000002E-4</v>
      </c>
      <c r="P91" s="583"/>
    </row>
    <row r="92" spans="2:16">
      <c r="B92" s="332">
        <v>46.1</v>
      </c>
      <c r="C92" s="333"/>
      <c r="D92" s="334">
        <v>5.5000000000000003E-4</v>
      </c>
      <c r="E92" s="337"/>
      <c r="F92" s="549"/>
      <c r="G92" s="546"/>
      <c r="H92" s="545">
        <v>4.9899999999999999E-4</v>
      </c>
      <c r="I92" s="253"/>
      <c r="L92" s="330"/>
      <c r="N92" s="580">
        <v>46</v>
      </c>
      <c r="O92" s="581">
        <v>5.7799999999999995E-4</v>
      </c>
      <c r="P92" s="583"/>
    </row>
    <row r="93" spans="2:16">
      <c r="B93" s="332">
        <v>51.1</v>
      </c>
      <c r="C93" s="333"/>
      <c r="D93" s="334">
        <v>1.6999999999999999E-3</v>
      </c>
      <c r="E93" s="337"/>
      <c r="F93" s="549"/>
      <c r="G93" s="546"/>
      <c r="H93" s="545">
        <v>5.9000000000000003E-4</v>
      </c>
      <c r="I93" s="253"/>
      <c r="L93" s="330"/>
      <c r="N93" s="580">
        <v>51</v>
      </c>
      <c r="O93" s="581">
        <v>1.7849999999999999E-3</v>
      </c>
      <c r="P93" s="583"/>
    </row>
    <row r="94" spans="2:16">
      <c r="B94" s="332">
        <v>56.1</v>
      </c>
      <c r="C94" s="333"/>
      <c r="D94" s="334">
        <v>2.1299999999999999E-3</v>
      </c>
      <c r="E94" s="337"/>
      <c r="F94" s="549"/>
      <c r="G94" s="546"/>
      <c r="H94" s="545">
        <v>7.7499999999999997E-4</v>
      </c>
      <c r="I94" s="253"/>
      <c r="L94" s="330"/>
      <c r="N94" s="580">
        <v>56</v>
      </c>
      <c r="O94" s="581">
        <v>2.2369999999999998E-3</v>
      </c>
      <c r="P94" s="583"/>
    </row>
    <row r="95" spans="2:16">
      <c r="B95" s="332">
        <v>61.1</v>
      </c>
      <c r="C95" s="333"/>
      <c r="D95" s="334">
        <v>3.8400000000000001E-3</v>
      </c>
      <c r="E95" s="337"/>
      <c r="F95" s="549"/>
      <c r="G95" s="546"/>
      <c r="H95" s="545">
        <v>1.0839999999999999E-3</v>
      </c>
      <c r="I95" s="253"/>
      <c r="L95" s="330"/>
      <c r="N95" s="580">
        <v>61</v>
      </c>
      <c r="O95" s="581">
        <v>4.032E-3</v>
      </c>
      <c r="P95" s="583"/>
    </row>
    <row r="96" spans="2:16">
      <c r="B96" s="332">
        <v>66.099999999999994</v>
      </c>
      <c r="C96" s="333"/>
      <c r="D96" s="334">
        <v>4.8399999999999997E-3</v>
      </c>
      <c r="E96" s="337"/>
      <c r="F96" s="549"/>
      <c r="G96" s="546"/>
      <c r="H96" s="545">
        <v>1.8519999999999999E-3</v>
      </c>
      <c r="I96" s="253"/>
      <c r="L96" s="330"/>
      <c r="N96" s="580">
        <v>66</v>
      </c>
      <c r="O96" s="581">
        <v>5.0819999999999997E-3</v>
      </c>
      <c r="P96" s="583"/>
    </row>
    <row r="97" spans="2:16" ht="15" thickBot="1">
      <c r="B97" s="338">
        <v>71.099999999999994</v>
      </c>
      <c r="C97" s="339"/>
      <c r="D97" s="340">
        <v>7.1000000000000004E-3</v>
      </c>
      <c r="E97" s="341"/>
      <c r="F97" s="551"/>
      <c r="G97" s="547"/>
      <c r="H97" s="545">
        <v>3.212E-3</v>
      </c>
      <c r="I97" s="253"/>
      <c r="N97" s="584">
        <v>71</v>
      </c>
      <c r="O97" s="585">
        <v>7.4549999999999998E-3</v>
      </c>
      <c r="P97" s="586"/>
    </row>
    <row r="98" spans="2:16" ht="15" thickBot="1"/>
    <row r="99" spans="2:16" ht="15" thickBot="1">
      <c r="B99" s="685" t="s">
        <v>25</v>
      </c>
      <c r="C99" s="686"/>
      <c r="F99"/>
      <c r="G99"/>
    </row>
    <row r="100" spans="2:16" ht="15.75" thickBot="1">
      <c r="B100" s="35"/>
      <c r="C100" s="36"/>
      <c r="F100"/>
      <c r="G100"/>
      <c r="N100" s="587" t="s">
        <v>361</v>
      </c>
    </row>
    <row r="101" spans="2:16" ht="15">
      <c r="B101" s="342" t="s">
        <v>26</v>
      </c>
      <c r="C101" s="343">
        <v>0</v>
      </c>
      <c r="F101"/>
      <c r="G101"/>
      <c r="N101" s="587" t="s">
        <v>362</v>
      </c>
    </row>
    <row r="102" spans="2:16" ht="15">
      <c r="B102" s="344" t="s">
        <v>27</v>
      </c>
      <c r="C102" s="345">
        <v>0</v>
      </c>
      <c r="F102"/>
      <c r="G102"/>
      <c r="N102" s="587" t="s">
        <v>363</v>
      </c>
    </row>
    <row r="103" spans="2:16">
      <c r="B103" s="346"/>
      <c r="C103" s="347"/>
      <c r="F103"/>
      <c r="G103"/>
    </row>
    <row r="104" spans="2:16" ht="15">
      <c r="B104" s="161" t="s">
        <v>59</v>
      </c>
      <c r="C104" s="348">
        <v>590</v>
      </c>
      <c r="E104" s="261"/>
      <c r="F104"/>
      <c r="G104"/>
    </row>
    <row r="105" spans="2:16" ht="15">
      <c r="B105" s="161" t="s">
        <v>76</v>
      </c>
      <c r="C105" s="349">
        <f>IF(abc&lt;=1500000,25,0)</f>
        <v>25</v>
      </c>
      <c r="E105" s="261"/>
      <c r="F105"/>
      <c r="G105"/>
    </row>
    <row r="106" spans="2:16">
      <c r="B106" s="161" t="s">
        <v>77</v>
      </c>
      <c r="C106" s="227">
        <f>IF(abc&lt;=1500000,25,0)</f>
        <v>25</v>
      </c>
      <c r="F106"/>
      <c r="G106"/>
    </row>
    <row r="107" spans="2:16">
      <c r="B107" s="82"/>
      <c r="C107" s="135"/>
      <c r="F107"/>
      <c r="G107"/>
    </row>
    <row r="108" spans="2:16">
      <c r="B108" s="82"/>
      <c r="C108" s="82"/>
      <c r="F108"/>
      <c r="G108"/>
    </row>
    <row r="109" spans="2:16">
      <c r="B109" s="2" t="s">
        <v>40</v>
      </c>
      <c r="C109" s="175">
        <f ca="1">TODAY()</f>
        <v>46189</v>
      </c>
      <c r="F109"/>
      <c r="G109"/>
    </row>
    <row r="110" spans="2:16">
      <c r="B110" s="3" t="s">
        <v>38</v>
      </c>
      <c r="C110" s="350">
        <f ca="1">DAY(C109)</f>
        <v>16</v>
      </c>
      <c r="F110"/>
      <c r="G110"/>
    </row>
    <row r="111" spans="2:16" ht="15" thickBot="1">
      <c r="B111" s="3" t="s">
        <v>1</v>
      </c>
      <c r="C111" s="351">
        <f ca="1">MONTH(C109)</f>
        <v>6</v>
      </c>
    </row>
    <row r="112" spans="2:16" ht="15" thickBot="1">
      <c r="B112" s="4" t="s">
        <v>39</v>
      </c>
      <c r="C112" s="352">
        <f ca="1">YEAR(C109)</f>
        <v>2026</v>
      </c>
    </row>
    <row r="114" spans="2:16" ht="15">
      <c r="B114" s="298" t="s">
        <v>212</v>
      </c>
      <c r="C114" s="135">
        <f>IF(Preenchimento!D9="não",Preenchimento!D12,MIN(Preenchimento!D12:E12))</f>
        <v>0</v>
      </c>
    </row>
    <row r="115" spans="2:16" ht="15">
      <c r="B115" s="298"/>
      <c r="C115" s="353"/>
    </row>
    <row r="117" spans="2:16" ht="15" customHeight="1">
      <c r="N117" s="692" t="s">
        <v>154</v>
      </c>
      <c r="O117" s="689" t="s">
        <v>155</v>
      </c>
      <c r="P117" s="690"/>
    </row>
    <row r="118" spans="2:16">
      <c r="N118" s="693"/>
      <c r="O118" s="71"/>
      <c r="P118" s="354"/>
    </row>
    <row r="119" spans="2:16">
      <c r="N119" s="693"/>
      <c r="O119" s="72" t="s">
        <v>141</v>
      </c>
      <c r="P119" s="355">
        <f>IF(Preenchimento!D9="não",Preenchimento!D12,Preenchimento!D12+Preenchimento!E12)</f>
        <v>0</v>
      </c>
    </row>
    <row r="120" spans="2:16">
      <c r="N120" s="693"/>
      <c r="O120" s="72" t="s">
        <v>142</v>
      </c>
      <c r="P120" s="355">
        <f>IF(Preenchimento!$D$9="não",Preenchimento!D13,Preenchimento!D13+Preenchimento!E13)</f>
        <v>0</v>
      </c>
    </row>
    <row r="121" spans="2:16">
      <c r="N121" s="693"/>
      <c r="O121" s="72" t="s">
        <v>156</v>
      </c>
      <c r="P121" s="355">
        <f>IF(Preenchimento!$D$9="não",Preenchimento!D14,Preenchimento!D14+Preenchimento!E14)</f>
        <v>0</v>
      </c>
    </row>
    <row r="122" spans="2:16">
      <c r="N122" s="693"/>
      <c r="O122" s="71"/>
      <c r="P122" s="354"/>
    </row>
    <row r="123" spans="2:16">
      <c r="N123" s="693"/>
      <c r="O123" s="72" t="s">
        <v>137</v>
      </c>
      <c r="P123" s="356">
        <f>C82</f>
        <v>0.3</v>
      </c>
    </row>
    <row r="124" spans="2:16">
      <c r="N124" s="693"/>
      <c r="O124" s="72" t="s">
        <v>138</v>
      </c>
      <c r="P124" s="357">
        <f>IF(P119=0,0,P120/P119)</f>
        <v>0</v>
      </c>
    </row>
    <row r="125" spans="2:16">
      <c r="N125" s="693"/>
      <c r="O125" s="72" t="s">
        <v>139</v>
      </c>
      <c r="P125" s="358">
        <f>IF((P123-P124)&lt;0,0,(P123-P124))</f>
        <v>0.3</v>
      </c>
    </row>
    <row r="126" spans="2:16">
      <c r="N126" s="693"/>
      <c r="O126" s="72" t="s">
        <v>140</v>
      </c>
      <c r="P126" s="359">
        <f>C81</f>
        <v>0.35</v>
      </c>
    </row>
    <row r="127" spans="2:16">
      <c r="N127" s="693"/>
      <c r="O127" s="71"/>
      <c r="P127" s="354"/>
    </row>
    <row r="128" spans="2:16">
      <c r="N128" s="693"/>
      <c r="O128" s="72" t="s">
        <v>157</v>
      </c>
      <c r="P128" s="358">
        <f>IF(P119=0,0,P121/P119)</f>
        <v>0</v>
      </c>
    </row>
    <row r="129" spans="14:16">
      <c r="N129" s="693"/>
      <c r="O129" s="71"/>
      <c r="P129" s="354"/>
    </row>
    <row r="130" spans="14:16">
      <c r="N130" s="693"/>
      <c r="O130" s="72" t="s">
        <v>143</v>
      </c>
      <c r="P130" s="360">
        <f>MIN(P125:P126)-P128</f>
        <v>0.3</v>
      </c>
    </row>
    <row r="131" spans="14:16">
      <c r="N131" s="693"/>
      <c r="O131" s="71"/>
      <c r="P131" s="354"/>
    </row>
    <row r="132" spans="14:16">
      <c r="N132" s="693"/>
      <c r="O132" s="72" t="s">
        <v>158</v>
      </c>
      <c r="P132" s="355">
        <f>P130*P119</f>
        <v>0</v>
      </c>
    </row>
  </sheetData>
  <sheetProtection algorithmName="SHA-512" hashValue="71rkgJt69NKwS8sxmqUUknjkMjor4nqao0E+aS6DPNtRPVIikYe/shCdKpI9BPh0GV2Y2uhfVMKUAuzVmoxzjQ==" saltValue="1boKZw4aZ1Zdv2nvDkR+xw==" spinCount="100000" sheet="1"/>
  <mergeCells count="7">
    <mergeCell ref="B85:F85"/>
    <mergeCell ref="B99:C99"/>
    <mergeCell ref="K3:L3"/>
    <mergeCell ref="M3:N3"/>
    <mergeCell ref="O117:P117"/>
    <mergeCell ref="J78:M78"/>
    <mergeCell ref="N117:N132"/>
  </mergeCells>
  <phoneticPr fontId="37" type="noConversion"/>
  <pageMargins left="0.511811024" right="0.511811024" top="0.78740157499999996" bottom="0.78740157499999996" header="0.31496062000000002" footer="0.31496062000000002"/>
  <pageSetup paperSize="9" scale="7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FF0000"/>
  </sheetPr>
  <dimension ref="A1:J40"/>
  <sheetViews>
    <sheetView showGridLines="0" showRowColHeaders="0" workbookViewId="0">
      <selection activeCell="D3" sqref="D3 D4 D10 C12 C18 C19"/>
    </sheetView>
  </sheetViews>
  <sheetFormatPr defaultColWidth="0" defaultRowHeight="12.75" customHeight="1" zeroHeight="1"/>
  <cols>
    <col min="1" max="1" width="3.5703125" style="257" customWidth="1"/>
    <col min="2" max="2" width="22.28515625" style="257" customWidth="1"/>
    <col min="3" max="3" width="23.85546875" style="257" customWidth="1"/>
    <col min="4" max="4" width="16.42578125" style="257" customWidth="1"/>
    <col min="5" max="5" width="17.5703125" style="257" customWidth="1"/>
    <col min="6" max="6" width="9" style="257" customWidth="1"/>
    <col min="7" max="7" width="15.7109375" style="257" hidden="1" customWidth="1"/>
    <col min="8" max="10" width="0" style="257" hidden="1" customWidth="1"/>
    <col min="11" max="16384" width="9.140625" style="257" hidden="1"/>
  </cols>
  <sheetData>
    <row r="1" spans="2:10" ht="23.25" customHeight="1"/>
    <row r="2" spans="2:10" ht="5.25" customHeight="1" thickBot="1">
      <c r="B2" s="91"/>
      <c r="F2" s="92"/>
      <c r="G2" s="92"/>
      <c r="H2" s="93"/>
      <c r="I2" s="92"/>
      <c r="J2" s="92"/>
    </row>
    <row r="3" spans="2:10" ht="15" customHeight="1" thickBot="1">
      <c r="B3" s="498" t="s">
        <v>313</v>
      </c>
      <c r="C3" s="258"/>
      <c r="D3" s="259"/>
      <c r="F3" s="137"/>
      <c r="I3" s="94"/>
      <c r="J3" s="94"/>
    </row>
    <row r="4" spans="2:10" ht="15" customHeight="1" thickBot="1">
      <c r="B4" s="498" t="s">
        <v>314</v>
      </c>
      <c r="C4" s="258"/>
      <c r="D4" s="259"/>
      <c r="F4" s="137"/>
      <c r="I4" s="94"/>
      <c r="J4" s="94"/>
    </row>
    <row r="5" spans="2:10" ht="15" hidden="1" customHeight="1" thickBot="1">
      <c r="B5" s="260"/>
      <c r="C5" s="261"/>
      <c r="D5" s="262"/>
      <c r="E5" s="262"/>
    </row>
    <row r="6" spans="2:10" ht="15" hidden="1" customHeight="1" thickBot="1">
      <c r="B6" s="263" t="s">
        <v>206</v>
      </c>
      <c r="C6" s="263"/>
      <c r="D6" s="259" t="s">
        <v>9</v>
      </c>
      <c r="E6" s="262"/>
    </row>
    <row r="7" spans="2:10" ht="7.5" customHeight="1" thickBot="1"/>
    <row r="8" spans="2:10" ht="15" customHeight="1" thickBot="1">
      <c r="B8" s="263" t="s">
        <v>213</v>
      </c>
      <c r="C8" s="263"/>
      <c r="D8" s="259" t="s">
        <v>9</v>
      </c>
    </row>
    <row r="9" spans="2:10" ht="15.75" customHeight="1" thickBot="1"/>
    <row r="10" spans="2:10" ht="15.75" thickBot="1">
      <c r="B10" s="498" t="s">
        <v>207</v>
      </c>
      <c r="C10" s="258"/>
      <c r="D10" s="259"/>
    </row>
    <row r="11" spans="2:10" ht="13.5" thickBot="1"/>
    <row r="12" spans="2:10" ht="15.75" thickBot="1">
      <c r="B12" s="263" t="s">
        <v>73</v>
      </c>
      <c r="C12" s="98"/>
    </row>
    <row r="13" spans="2:10" ht="13.5" thickBot="1">
      <c r="C13" s="264"/>
    </row>
    <row r="14" spans="2:10" ht="15" hidden="1" customHeight="1" thickBot="1">
      <c r="B14" s="263" t="s">
        <v>197</v>
      </c>
      <c r="C14" s="99">
        <v>0</v>
      </c>
    </row>
    <row r="15" spans="2:10" ht="15" customHeight="1" thickBot="1">
      <c r="B15" s="263" t="s">
        <v>198</v>
      </c>
      <c r="C15" s="99">
        <v>3300</v>
      </c>
    </row>
    <row r="16" spans="2:10" ht="15" customHeight="1" thickBot="1"/>
    <row r="17" spans="2:6" ht="15" customHeight="1" thickBot="1">
      <c r="B17" s="265" t="s">
        <v>199</v>
      </c>
      <c r="E17" s="103" t="s">
        <v>153</v>
      </c>
    </row>
    <row r="18" spans="2:6" ht="15" customHeight="1" thickBot="1">
      <c r="B18" s="95" t="s">
        <v>26</v>
      </c>
      <c r="C18" s="100"/>
    </row>
    <row r="19" spans="2:6" ht="15" customHeight="1" thickBot="1">
      <c r="B19" s="95" t="s">
        <v>27</v>
      </c>
      <c r="C19" s="100"/>
    </row>
    <row r="20" spans="2:6" ht="15" customHeight="1"/>
    <row r="21" spans="2:6" ht="15.75" customHeight="1">
      <c r="B21" s="104"/>
      <c r="C21" s="102"/>
      <c r="D21" s="102"/>
    </row>
    <row r="22" spans="2:6" ht="15" customHeight="1">
      <c r="B22" s="104"/>
      <c r="C22" s="101"/>
      <c r="D22" s="101"/>
    </row>
    <row r="23" spans="2:6" ht="15" hidden="1" customHeight="1">
      <c r="B23" s="96" t="s">
        <v>208</v>
      </c>
      <c r="C23" s="266"/>
      <c r="D23" s="96"/>
      <c r="E23" s="96"/>
    </row>
    <row r="24" spans="2:6" ht="15" hidden="1" customHeight="1">
      <c r="B24" s="695" t="s">
        <v>209</v>
      </c>
      <c r="C24" s="267" t="s">
        <v>8</v>
      </c>
      <c r="D24" s="696" t="s">
        <v>214</v>
      </c>
      <c r="E24" s="267" t="str">
        <f>IF(Preenchimento!D7="Portabilidade","Não","Sim")</f>
        <v>Sim</v>
      </c>
    </row>
    <row r="25" spans="2:6" ht="15" hidden="1" customHeight="1">
      <c r="B25" s="695"/>
      <c r="C25" s="267" t="s">
        <v>9</v>
      </c>
      <c r="D25" s="697"/>
      <c r="E25" s="267" t="s">
        <v>9</v>
      </c>
      <c r="F25" s="268"/>
    </row>
    <row r="26" spans="2:6" ht="15" hidden="1" customHeight="1"/>
    <row r="27" spans="2:6" ht="15" hidden="1" customHeight="1">
      <c r="C27" s="269">
        <f>IF(D3="",0,1)</f>
        <v>0</v>
      </c>
    </row>
    <row r="28" spans="2:6" ht="15" hidden="1" customHeight="1">
      <c r="C28" s="269">
        <f>IF(D6="Não",0,1)</f>
        <v>0</v>
      </c>
    </row>
    <row r="29" spans="2:6" ht="15" hidden="1" customHeight="1">
      <c r="C29" s="269">
        <v>0</v>
      </c>
    </row>
    <row r="30" spans="2:6" ht="15" hidden="1" customHeight="1">
      <c r="C30" s="269">
        <f>IF(D10="",0,1)</f>
        <v>0</v>
      </c>
    </row>
    <row r="31" spans="2:6" ht="15" hidden="1" customHeight="1">
      <c r="C31" s="269">
        <f>IF(C12&lt;&gt;"",1,0)</f>
        <v>0</v>
      </c>
    </row>
    <row r="32" spans="2:6" hidden="1">
      <c r="C32" s="269">
        <f>IF(C14&lt;&gt;25,0,1)</f>
        <v>0</v>
      </c>
    </row>
    <row r="33" spans="3:5" hidden="1">
      <c r="C33" s="269">
        <f>IF(AND(C15&lt;&gt;3300,C15&lt;&gt;1650),1,0)</f>
        <v>0</v>
      </c>
    </row>
    <row r="34" spans="3:5" ht="12.75" hidden="1" customHeight="1">
      <c r="C34" s="92">
        <f>IF(SUM(C27:C33)=0,0,"erro")</f>
        <v>0</v>
      </c>
    </row>
    <row r="39" spans="3:5" ht="12.75" hidden="1" customHeight="1">
      <c r="D39" s="694"/>
      <c r="E39" s="97"/>
    </row>
    <row r="40" spans="3:5" ht="12.75" hidden="1" customHeight="1">
      <c r="D40" s="694"/>
      <c r="E40" s="97"/>
    </row>
  </sheetData>
  <sheetProtection algorithmName="SHA-512" hashValue="Fwq6c8EtMMEN7ZZV7F61l44uD0T72zC08aCiE8HKTA1daFwf8vsKXmUmA3AfkAXxUneIIANzAO6peAWp2TJo4A==" saltValue="remG4mmewRnX6xKiC55p+w==" spinCount="100000" sheet="1" selectLockedCells="1"/>
  <mergeCells count="3">
    <mergeCell ref="D39:D40"/>
    <mergeCell ref="B24:B25"/>
    <mergeCell ref="D24:D25"/>
  </mergeCells>
  <dataValidations count="7">
    <dataValidation type="custom" allowBlank="1" showInputMessage="1" showErrorMessage="1" error="Campo não parametrizável." sqref="D39:D40" xr:uid="{00000000-0002-0000-0100-000000000000}">
      <formula1>"&lt;&gt;""e"""</formula1>
    </dataValidation>
    <dataValidation type="custom" allowBlank="1" showInputMessage="1" showErrorMessage="1" error="Campo não parametrizável." sqref="E40" xr:uid="{00000000-0002-0000-0100-000001000000}">
      <formula1>"&lt;&gt;99999999,99"</formula1>
    </dataValidation>
    <dataValidation type="custom" allowBlank="1" showInputMessage="1" showErrorMessage="1" error="Campo não parametrizável." sqref="E39" xr:uid="{00000000-0002-0000-0100-000002000000}">
      <formula1>"&lt;&gt;D7-0,01"</formula1>
    </dataValidation>
    <dataValidation type="list" allowBlank="1" showInputMessage="1" showErrorMessage="1" sqref="D6" xr:uid="{00000000-0002-0000-0100-000003000000}">
      <formula1>$C$24:$C$25</formula1>
    </dataValidation>
    <dataValidation type="list" allowBlank="1" showInputMessage="1" showErrorMessage="1" sqref="D8" xr:uid="{00000000-0002-0000-0100-000004000000}">
      <formula1>$E$24:$E$25</formula1>
    </dataValidation>
    <dataValidation allowBlank="1" showInputMessage="1" showErrorMessage="1" error="Cálculo automático. Não alterar." sqref="J3:J4" xr:uid="{00000000-0002-0000-0100-000005000000}"/>
    <dataValidation type="custom" allowBlank="1" showInputMessage="1" showErrorMessage="1" error="Campo não parametrizável." sqref="F3:F4" xr:uid="{00000000-0002-0000-0100-000006000000}">
      <formula1>"&lt;&gt;1000"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S513"/>
  <sheetViews>
    <sheetView showGridLines="0" showRowColHeaders="0" zoomScaleNormal="100" zoomScaleSheetLayoutView="85" workbookViewId="0">
      <selection activeCell="AD57" sqref="AD57"/>
    </sheetView>
  </sheetViews>
  <sheetFormatPr defaultColWidth="0" defaultRowHeight="12.75" zeroHeight="1"/>
  <cols>
    <col min="1" max="1" width="3.85546875" style="53" customWidth="1"/>
    <col min="2" max="2" width="13.42578125" style="82" customWidth="1"/>
    <col min="3" max="3" width="15.5703125" style="82" customWidth="1"/>
    <col min="4" max="4" width="23.7109375" style="82" customWidth="1"/>
    <col min="5" max="8" width="13.5703125" style="82" customWidth="1"/>
    <col min="9" max="9" width="14" style="82" customWidth="1"/>
    <col min="10" max="10" width="22" style="82" customWidth="1"/>
    <col min="11" max="11" width="21.42578125" style="82" customWidth="1"/>
    <col min="12" max="12" width="3.5703125" style="82" customWidth="1"/>
    <col min="13" max="13" width="10.5703125" style="82" hidden="1" customWidth="1"/>
    <col min="14" max="14" width="8.5703125" style="82" hidden="1" customWidth="1"/>
    <col min="15" max="15" width="15.7109375" style="82" hidden="1" customWidth="1"/>
    <col min="16" max="18" width="10" style="82" hidden="1" customWidth="1"/>
    <col min="19" max="21" width="9.28515625" style="82" hidden="1" customWidth="1"/>
    <col min="22" max="22" width="2.140625" style="82" hidden="1" customWidth="1"/>
    <col min="23" max="24" width="13.28515625" style="82" hidden="1" customWidth="1"/>
    <col min="25" max="25" width="7.7109375" style="82" hidden="1" customWidth="1"/>
    <col min="26" max="26" width="4.7109375" style="82" hidden="1" customWidth="1"/>
    <col min="27" max="27" width="3.28515625" style="82" hidden="1" customWidth="1"/>
    <col min="28" max="28" width="18.140625" style="82" hidden="1" customWidth="1"/>
    <col min="29" max="29" width="14.7109375" style="82" hidden="1" customWidth="1"/>
    <col min="30" max="31" width="13.42578125" style="82" hidden="1" customWidth="1"/>
    <col min="32" max="32" width="9.140625" style="82" hidden="1" customWidth="1"/>
    <col min="33" max="33" width="14.7109375" style="82" hidden="1" customWidth="1"/>
    <col min="34" max="34" width="7.7109375" style="82" hidden="1" customWidth="1"/>
    <col min="35" max="35" width="2.140625" style="82" hidden="1" customWidth="1"/>
    <col min="36" max="37" width="13.28515625" style="82" hidden="1" customWidth="1"/>
    <col min="38" max="38" width="7.7109375" style="82" hidden="1" customWidth="1"/>
    <col min="39" max="39" width="4.7109375" style="82" hidden="1" customWidth="1"/>
    <col min="40" max="40" width="2.140625" style="82" hidden="1" customWidth="1"/>
    <col min="41" max="42" width="13.28515625" style="82" hidden="1" customWidth="1"/>
    <col min="43" max="43" width="4.42578125" style="82" hidden="1" customWidth="1"/>
    <col min="44" max="44" width="9.140625" style="82" hidden="1" customWidth="1"/>
    <col min="45" max="16384" width="15.7109375" style="82" hidden="1"/>
  </cols>
  <sheetData>
    <row r="1" spans="2:45" ht="45.75" customHeight="1" thickBot="1">
      <c r="B1" s="698" t="str">
        <f>IF(Apoio!$L$29=1,"Parcelas Fixas (Tabela Price)",IF(Apoio!$L$29=2,"Parcelas Fixas (Tabela Price) - Imóvel Novo"))</f>
        <v>Parcelas Fixas (Tabela Price)</v>
      </c>
      <c r="C1" s="698"/>
      <c r="D1" s="698"/>
      <c r="E1" s="698"/>
      <c r="F1" s="698"/>
      <c r="G1" s="698"/>
      <c r="H1" s="698"/>
      <c r="I1" s="698"/>
      <c r="J1" s="698"/>
      <c r="K1" s="698"/>
      <c r="L1" s="5"/>
      <c r="M1" s="5"/>
      <c r="N1" s="113"/>
      <c r="O1" s="113"/>
      <c r="P1" s="113"/>
      <c r="Q1" s="113"/>
      <c r="R1" s="113"/>
      <c r="S1" s="113"/>
      <c r="T1" s="113"/>
      <c r="U1" s="113"/>
      <c r="AS1" s="82" t="e">
        <f>Preenchimento!#REF!</f>
        <v>#REF!</v>
      </c>
    </row>
    <row r="2" spans="2:45" ht="12.75" customHeight="1">
      <c r="B2" s="112"/>
      <c r="D2" s="135"/>
      <c r="E2" s="135"/>
      <c r="F2" s="135"/>
      <c r="G2" s="135"/>
      <c r="H2" s="135"/>
      <c r="I2" s="135"/>
      <c r="K2" s="554" t="str">
        <f>Preenchimento!I3</f>
        <v>V. Mar/2022</v>
      </c>
      <c r="N2" s="113"/>
      <c r="O2" s="113"/>
      <c r="P2" s="113"/>
      <c r="Q2" s="113"/>
      <c r="R2" s="113"/>
      <c r="S2" s="113"/>
      <c r="T2" s="113"/>
      <c r="U2" s="113"/>
    </row>
    <row r="3" spans="2:45" ht="15.75" customHeight="1">
      <c r="B3" s="23" t="s">
        <v>72</v>
      </c>
      <c r="D3" s="135"/>
      <c r="E3" s="135"/>
      <c r="G3" s="462" t="str">
        <f>IF(Preenchimento!D17="Clientes","",IF(Preenchimento!D18="Parcelas Fixas",CONCATENATE("Condição exclusiva para o segmento ",Preenchimento!I87," ",Preenchimento!D17," - ",Preenchimento!D19),IF(AND(Preenchimento!D7="Aquisição",Preenchimento!D19="Plano Saúde/Leilão"),CONCATENATE("Condição exclusiva para "," ",Preenchimento!D17," ",Preenchimento!D19),CONCATENATE("Condição exclusiva para o segmento ",Preenchimento!I87," ",Preenchimento!D17," - ",IF(AND(Preenchimento!D17="Select / Private",Preenchimento!D19="Oferta Padrão")," - ",Preenchimento!D19)))))</f>
        <v xml:space="preserve">Condição exclusiva para o segmento Público  - </v>
      </c>
      <c r="I3" s="135"/>
      <c r="N3" s="113"/>
      <c r="O3" s="113"/>
      <c r="P3" s="113"/>
      <c r="Q3" s="113"/>
      <c r="R3" s="113"/>
      <c r="S3" s="113"/>
      <c r="T3" s="113"/>
      <c r="U3" s="113"/>
    </row>
    <row r="4" spans="2:45" ht="18" customHeight="1">
      <c r="B4" s="112" t="s">
        <v>50</v>
      </c>
      <c r="D4" s="135"/>
      <c r="E4" s="135"/>
      <c r="F4" s="135"/>
      <c r="G4" s="135"/>
      <c r="H4" s="136"/>
      <c r="I4" s="135"/>
      <c r="N4" s="113"/>
      <c r="O4" s="113"/>
      <c r="P4" s="113"/>
      <c r="Q4" s="113"/>
      <c r="R4" s="113"/>
      <c r="S4" s="113"/>
      <c r="T4" s="113"/>
      <c r="U4" s="113"/>
      <c r="AN4" s="53" t="e">
        <f>Preenchimento!#REF!</f>
        <v>#REF!</v>
      </c>
    </row>
    <row r="5" spans="2:45" ht="38.25" customHeight="1">
      <c r="B5" s="701" t="s">
        <v>339</v>
      </c>
      <c r="C5" s="701"/>
      <c r="D5" s="701"/>
      <c r="E5" s="701"/>
      <c r="F5" s="701"/>
      <c r="G5" s="701"/>
      <c r="H5" s="701"/>
      <c r="I5" s="701"/>
      <c r="J5" s="701"/>
      <c r="K5" s="701"/>
      <c r="N5" s="113"/>
      <c r="O5" s="113"/>
      <c r="P5" s="113"/>
      <c r="Q5" s="113"/>
      <c r="R5" s="113"/>
      <c r="S5" s="113"/>
      <c r="T5" s="113"/>
      <c r="U5" s="113"/>
    </row>
    <row r="6" spans="2:45">
      <c r="B6" s="702" t="s">
        <v>122</v>
      </c>
      <c r="C6" s="702"/>
      <c r="D6" s="702"/>
      <c r="E6" s="702"/>
      <c r="F6" s="702"/>
      <c r="G6" s="702"/>
      <c r="H6" s="702"/>
      <c r="I6" s="702"/>
      <c r="J6" s="702"/>
      <c r="K6" s="702"/>
      <c r="N6" s="113"/>
      <c r="O6" s="113"/>
      <c r="P6" s="113"/>
      <c r="Q6" s="113"/>
      <c r="R6" s="113"/>
      <c r="S6" s="113"/>
      <c r="T6" s="113"/>
      <c r="U6" s="113"/>
      <c r="Z6" s="135"/>
    </row>
    <row r="7" spans="2:45" ht="12.75" customHeight="1">
      <c r="B7" s="703" t="s">
        <v>346</v>
      </c>
      <c r="C7" s="703"/>
      <c r="D7" s="703"/>
      <c r="E7" s="703"/>
      <c r="F7" s="703"/>
      <c r="G7" s="703"/>
      <c r="H7" s="703"/>
      <c r="I7" s="703"/>
      <c r="J7" s="703"/>
      <c r="K7" s="703"/>
      <c r="L7" s="703"/>
      <c r="N7" s="113"/>
      <c r="O7" s="113"/>
      <c r="P7" s="113"/>
      <c r="Q7" s="113"/>
      <c r="R7" s="113"/>
      <c r="S7" s="113"/>
      <c r="T7" s="113"/>
      <c r="U7" s="113"/>
    </row>
    <row r="8" spans="2:45" ht="12.75" customHeight="1">
      <c r="B8" s="112" t="s">
        <v>71</v>
      </c>
      <c r="D8" s="135"/>
      <c r="E8" s="135"/>
      <c r="F8" s="135"/>
      <c r="G8" s="135"/>
      <c r="H8" s="135"/>
      <c r="I8" s="135"/>
      <c r="N8" s="113"/>
      <c r="O8" s="113"/>
      <c r="P8" s="113"/>
      <c r="Q8" s="113"/>
      <c r="R8" s="113"/>
      <c r="S8" s="113"/>
      <c r="T8" s="113"/>
      <c r="U8" s="113"/>
    </row>
    <row r="9" spans="2:45">
      <c r="B9" s="112" t="s">
        <v>167</v>
      </c>
      <c r="D9" s="135"/>
      <c r="E9" s="135"/>
      <c r="F9" s="135"/>
      <c r="G9" s="135"/>
      <c r="H9" s="135"/>
      <c r="I9" s="135"/>
      <c r="N9" s="113"/>
      <c r="O9" s="113"/>
      <c r="P9" s="113"/>
      <c r="Q9" s="113"/>
      <c r="R9" s="113"/>
      <c r="S9" s="113"/>
      <c r="T9" s="113"/>
      <c r="U9" s="113"/>
    </row>
    <row r="10" spans="2:45" ht="27.75" customHeight="1">
      <c r="B10" s="700"/>
      <c r="C10" s="700"/>
      <c r="D10" s="700"/>
      <c r="E10" s="700"/>
      <c r="F10" s="700"/>
      <c r="G10" s="700"/>
      <c r="H10" s="700"/>
      <c r="I10" s="700"/>
      <c r="J10" s="700"/>
      <c r="K10" s="700"/>
      <c r="N10" s="113"/>
      <c r="O10" s="113"/>
      <c r="P10" s="113"/>
      <c r="Q10" s="113"/>
      <c r="R10" s="113"/>
      <c r="S10" s="113"/>
      <c r="T10" s="113"/>
      <c r="U10" s="113"/>
    </row>
    <row r="11" spans="2:45">
      <c r="B11" s="700"/>
      <c r="C11" s="700"/>
      <c r="D11" s="700"/>
      <c r="E11" s="700"/>
      <c r="F11" s="700"/>
      <c r="G11" s="700"/>
      <c r="H11" s="700"/>
      <c r="I11" s="700"/>
      <c r="J11" s="700"/>
      <c r="K11" s="700"/>
      <c r="N11" s="113"/>
      <c r="O11" s="113"/>
      <c r="P11" s="113"/>
      <c r="Q11" s="113"/>
      <c r="R11" s="113"/>
      <c r="S11" s="113"/>
      <c r="T11" s="113"/>
      <c r="U11" s="113"/>
    </row>
    <row r="12" spans="2:45" ht="13.5" customHeight="1">
      <c r="B12" s="108" t="s">
        <v>6</v>
      </c>
      <c r="C12" s="124"/>
      <c r="D12" s="130">
        <f>Preenchimento!D24</f>
        <v>0</v>
      </c>
      <c r="E12" s="114"/>
      <c r="F12" s="118" t="s">
        <v>224</v>
      </c>
      <c r="G12" s="118"/>
      <c r="H12" s="119"/>
      <c r="I12" s="119"/>
      <c r="J12" s="120" t="e">
        <f ca="1">Preenchimento!G48</f>
        <v>#VALUE!</v>
      </c>
      <c r="L12" s="135"/>
      <c r="M12" s="135"/>
      <c r="N12" s="113"/>
      <c r="O12" s="113"/>
      <c r="P12" s="113"/>
      <c r="Q12" s="113"/>
      <c r="R12" s="113"/>
      <c r="S12" s="113"/>
      <c r="T12" s="113"/>
      <c r="U12" s="113"/>
    </row>
    <row r="13" spans="2:45" ht="13.5" customHeight="1">
      <c r="B13" s="108" t="str">
        <f>SAC!B13</f>
        <v>Prazo em anos</v>
      </c>
      <c r="C13" s="124"/>
      <c r="D13" s="134">
        <f>Preenchimento!D29</f>
        <v>0</v>
      </c>
      <c r="E13" s="114"/>
      <c r="F13" s="109" t="s">
        <v>223</v>
      </c>
      <c r="G13" s="121"/>
      <c r="H13" s="122"/>
      <c r="I13" s="122"/>
      <c r="J13" s="123" t="e">
        <f ca="1">Preenchimento!G47</f>
        <v>#NUM!</v>
      </c>
      <c r="L13" s="135"/>
      <c r="M13" s="135"/>
      <c r="N13" s="113"/>
      <c r="O13" s="113"/>
      <c r="P13" s="113"/>
      <c r="Q13" s="113"/>
      <c r="R13" s="113"/>
      <c r="S13" s="113"/>
      <c r="T13" s="113"/>
      <c r="U13" s="113"/>
    </row>
    <row r="14" spans="2:45" ht="13.5" customHeight="1">
      <c r="B14" s="108" t="s">
        <v>31</v>
      </c>
      <c r="C14" s="124"/>
      <c r="D14" s="134">
        <f ca="1">Preenchimento!W42</f>
        <v>126.1</v>
      </c>
      <c r="E14" s="114"/>
      <c r="F14" s="121" t="s">
        <v>335</v>
      </c>
      <c r="G14" s="121"/>
      <c r="H14" s="122"/>
      <c r="I14" s="122"/>
      <c r="J14" s="542" t="str">
        <f>IF(Apoio!D17=1,Apoio!C17,IF(Apoio!D17=2,Apoio!C18,IF(Apoio!D17=3,"",Apoio!C20)))</f>
        <v>Zurich Santander</v>
      </c>
      <c r="L14" s="245"/>
      <c r="M14" s="245"/>
      <c r="N14" s="113"/>
      <c r="O14" s="113" t="e">
        <f>Preenchimento!#REF!</f>
        <v>#REF!</v>
      </c>
      <c r="P14" s="113"/>
      <c r="Q14" s="113"/>
      <c r="R14" s="113"/>
      <c r="S14" s="113"/>
      <c r="T14" s="113"/>
      <c r="U14" s="113"/>
      <c r="AH14" s="155" t="s">
        <v>80</v>
      </c>
    </row>
    <row r="15" spans="2:45" ht="13.5" customHeight="1">
      <c r="B15" s="108" t="s">
        <v>33</v>
      </c>
      <c r="C15" s="124"/>
      <c r="D15" s="133" t="e">
        <f>AC47</f>
        <v>#N/A</v>
      </c>
      <c r="E15" s="114"/>
      <c r="F15" s="108" t="s">
        <v>220</v>
      </c>
      <c r="G15" s="124"/>
      <c r="H15" s="118"/>
      <c r="I15" s="108"/>
      <c r="J15" s="118">
        <f>Preenchimento!I20</f>
        <v>0</v>
      </c>
      <c r="K15" s="125">
        <v>1</v>
      </c>
      <c r="L15" s="245"/>
      <c r="M15" s="245"/>
      <c r="N15" s="113"/>
      <c r="O15" s="113"/>
      <c r="P15" s="113"/>
      <c r="Q15" s="113"/>
      <c r="R15" s="113"/>
      <c r="S15" s="113"/>
      <c r="T15" s="113"/>
      <c r="U15" s="113"/>
      <c r="X15" s="699" t="e">
        <f>X18&lt;#REF!</f>
        <v>#N/A</v>
      </c>
      <c r="Y15" s="699"/>
      <c r="AG15" s="161" t="s">
        <v>96</v>
      </c>
      <c r="AH15" s="217" t="e">
        <f ca="1">(((IRR(AG25:AG445,0.01))+1)^12)-1</f>
        <v>#NUM!</v>
      </c>
    </row>
    <row r="16" spans="2:45" ht="13.5" customHeight="1">
      <c r="B16" s="108" t="s">
        <v>34</v>
      </c>
      <c r="C16" s="124"/>
      <c r="D16" s="133" t="e">
        <f>IF(AC48=FALSE,"",AC48)</f>
        <v>#N/A</v>
      </c>
      <c r="E16" s="114"/>
      <c r="F16" s="109" t="str">
        <f>IF(Preenchimento!D7="Portabilidade","Valor liberado","Valor liberado ao vendedor")</f>
        <v>Valor liberado ao vendedor</v>
      </c>
      <c r="G16" s="121"/>
      <c r="H16" s="126"/>
      <c r="I16" s="109"/>
      <c r="J16" s="126">
        <f>Preenchimento!D25</f>
        <v>0</v>
      </c>
      <c r="K16" s="555" t="e">
        <f>J16/J15</f>
        <v>#DIV/0!</v>
      </c>
      <c r="L16" s="105"/>
      <c r="M16" s="105"/>
      <c r="N16" s="113"/>
      <c r="O16" s="113"/>
      <c r="P16" s="113"/>
      <c r="Q16" s="113"/>
      <c r="R16" s="113"/>
      <c r="S16" s="113"/>
      <c r="T16" s="113"/>
      <c r="U16" s="113"/>
      <c r="AG16" s="161" t="s">
        <v>97</v>
      </c>
      <c r="AH16" s="217" t="e">
        <f>#N/A</f>
        <v>#N/A</v>
      </c>
    </row>
    <row r="17" spans="1:45" ht="13.5" customHeight="1">
      <c r="B17" s="108" t="s">
        <v>7</v>
      </c>
      <c r="C17" s="124"/>
      <c r="D17" s="130" t="str">
        <f>IF(Preenchimento!D21="","Nenhum",Preenchimento!D21)</f>
        <v>Nenhum</v>
      </c>
      <c r="E17" s="114"/>
      <c r="F17" s="109" t="s">
        <v>221</v>
      </c>
      <c r="G17" s="121"/>
      <c r="H17" s="126"/>
      <c r="I17" s="109"/>
      <c r="J17" s="126">
        <f>SUM(J18:J21)</f>
        <v>3300</v>
      </c>
      <c r="K17" s="127" t="e">
        <f>J17/J15</f>
        <v>#DIV/0!</v>
      </c>
      <c r="L17" s="246"/>
      <c r="M17" s="246"/>
      <c r="N17" s="113"/>
      <c r="O17" s="113"/>
      <c r="P17" s="113"/>
      <c r="Q17" s="113"/>
      <c r="R17" s="113"/>
      <c r="S17" s="113"/>
      <c r="T17" s="113"/>
      <c r="U17" s="113"/>
    </row>
    <row r="18" spans="1:45" ht="13.5" customHeight="1">
      <c r="B18" s="445" t="s">
        <v>282</v>
      </c>
      <c r="C18" s="446"/>
      <c r="D18" s="447">
        <f ca="1">SUM(K25:K447)</f>
        <v>0</v>
      </c>
      <c r="E18" s="114"/>
      <c r="F18" s="128" t="s">
        <v>222</v>
      </c>
      <c r="G18" s="121"/>
      <c r="H18" s="126"/>
      <c r="I18" s="109"/>
      <c r="J18" s="126">
        <f>'Caract. Prods'!C15</f>
        <v>3300</v>
      </c>
      <c r="K18" s="127" t="e">
        <f>J18/J15</f>
        <v>#DIV/0!</v>
      </c>
      <c r="L18" s="246"/>
      <c r="M18" s="246"/>
      <c r="N18" s="50" t="s">
        <v>121</v>
      </c>
      <c r="O18" s="113" t="s">
        <v>90</v>
      </c>
      <c r="P18" s="113">
        <v>9</v>
      </c>
      <c r="Q18" s="113"/>
      <c r="R18" s="113"/>
      <c r="S18" s="113"/>
      <c r="T18" s="113"/>
      <c r="U18" s="113"/>
      <c r="X18" s="82" t="e">
        <f>SUM(X26:X445)</f>
        <v>#N/A</v>
      </c>
      <c r="AG18" s="155"/>
      <c r="AK18" s="225" t="e">
        <f ca="1">SUM(AK26:AK445)</f>
        <v>#N/A</v>
      </c>
      <c r="AO18" s="12" t="s">
        <v>178</v>
      </c>
    </row>
    <row r="19" spans="1:45" ht="14.25" customHeight="1">
      <c r="B19" s="129"/>
      <c r="C19" s="113"/>
      <c r="D19" s="114"/>
      <c r="E19" s="114"/>
      <c r="F19" s="128" t="s">
        <v>347</v>
      </c>
      <c r="G19" s="121"/>
      <c r="H19" s="126"/>
      <c r="I19" s="109"/>
      <c r="J19" s="126">
        <f>AC56+AC58</f>
        <v>0</v>
      </c>
      <c r="K19" s="127" t="e">
        <f>J19/$J$15</f>
        <v>#DIV/0!</v>
      </c>
      <c r="O19" s="113"/>
      <c r="P19" s="113"/>
      <c r="Q19" s="113"/>
      <c r="R19" s="113"/>
      <c r="S19" s="113"/>
      <c r="T19" s="113"/>
      <c r="U19" s="113"/>
    </row>
    <row r="20" spans="1:45" ht="14.25" customHeight="1">
      <c r="F20" s="128" t="s">
        <v>58</v>
      </c>
      <c r="G20" s="121"/>
      <c r="H20" s="126"/>
      <c r="I20" s="109"/>
      <c r="J20" s="126">
        <f>AC57</f>
        <v>0</v>
      </c>
      <c r="K20" s="127" t="e">
        <f>J20/$J$15</f>
        <v>#DIV/0!</v>
      </c>
      <c r="O20" s="113"/>
      <c r="P20" s="113"/>
      <c r="Q20" s="113"/>
      <c r="R20" s="113"/>
      <c r="S20" s="113"/>
      <c r="T20" s="113"/>
      <c r="U20" s="113"/>
    </row>
    <row r="21" spans="1:45" ht="14.25" customHeight="1">
      <c r="B21" s="129"/>
      <c r="C21" s="113"/>
      <c r="E21" s="114"/>
      <c r="F21" s="128" t="s">
        <v>169</v>
      </c>
      <c r="G21" s="121"/>
      <c r="H21" s="126"/>
      <c r="I21" s="109"/>
      <c r="J21" s="126">
        <f>AC55</f>
        <v>0</v>
      </c>
      <c r="K21" s="127" t="e">
        <f>J21/$J$15</f>
        <v>#DIV/0!</v>
      </c>
      <c r="O21" s="113"/>
      <c r="P21" s="113"/>
      <c r="Q21" s="113"/>
      <c r="R21" s="113"/>
      <c r="S21" s="113"/>
      <c r="T21" s="113"/>
      <c r="U21" s="113"/>
    </row>
    <row r="22" spans="1:45" ht="14.25" customHeight="1">
      <c r="B22" s="129"/>
      <c r="C22" s="113"/>
      <c r="D22" s="114"/>
      <c r="E22" s="114"/>
      <c r="F22" s="543"/>
      <c r="G22" s="113"/>
      <c r="H22" s="114"/>
      <c r="I22" s="129"/>
      <c r="J22" s="533" t="s">
        <v>325</v>
      </c>
      <c r="K22" s="534" t="str">
        <f ca="1">IF(Preenchimento!$D$7="","",TODAY())</f>
        <v/>
      </c>
      <c r="O22" s="113"/>
      <c r="P22" s="113"/>
      <c r="Q22" s="113"/>
      <c r="R22" s="113"/>
      <c r="S22" s="113"/>
      <c r="T22" s="113"/>
      <c r="U22" s="113"/>
    </row>
    <row r="23" spans="1:45" ht="5.25" customHeight="1">
      <c r="B23" s="129"/>
      <c r="C23" s="113"/>
      <c r="D23" s="114"/>
      <c r="E23" s="114"/>
      <c r="F23" s="114"/>
      <c r="G23" s="114"/>
      <c r="H23" s="114"/>
      <c r="I23" s="114"/>
      <c r="J23" s="113"/>
      <c r="K23" s="247"/>
      <c r="O23" s="113"/>
      <c r="P23" s="113"/>
      <c r="Q23" s="113"/>
      <c r="R23" s="113"/>
      <c r="S23" s="113"/>
      <c r="T23" s="113"/>
      <c r="U23" s="113"/>
      <c r="AS23" s="474" t="s">
        <v>298</v>
      </c>
    </row>
    <row r="24" spans="1:45" ht="36.75" customHeight="1">
      <c r="B24" s="14" t="s">
        <v>1</v>
      </c>
      <c r="C24" s="15" t="s">
        <v>0</v>
      </c>
      <c r="D24" s="16" t="s">
        <v>2</v>
      </c>
      <c r="E24" s="16" t="s">
        <v>47</v>
      </c>
      <c r="F24" s="16" t="s">
        <v>3</v>
      </c>
      <c r="G24" s="16" t="s">
        <v>46</v>
      </c>
      <c r="H24" s="16" t="s">
        <v>48</v>
      </c>
      <c r="I24" s="16" t="s">
        <v>123</v>
      </c>
      <c r="J24" s="15" t="s">
        <v>124</v>
      </c>
      <c r="K24" s="86" t="s">
        <v>180</v>
      </c>
      <c r="L24" s="1"/>
      <c r="M24" s="146"/>
      <c r="N24" s="52" t="e">
        <f ca="1">SUM(N25:N445)/D25</f>
        <v>#DIV/0!</v>
      </c>
      <c r="O24" s="16" t="s">
        <v>2</v>
      </c>
      <c r="P24" s="16" t="s">
        <v>47</v>
      </c>
      <c r="Q24" s="16" t="s">
        <v>3</v>
      </c>
      <c r="R24" s="16" t="s">
        <v>46</v>
      </c>
      <c r="S24" s="16" t="s">
        <v>48</v>
      </c>
      <c r="T24" s="16" t="s">
        <v>49</v>
      </c>
      <c r="U24" s="16" t="s">
        <v>91</v>
      </c>
      <c r="V24" s="1"/>
      <c r="W24" s="248" t="s">
        <v>42</v>
      </c>
      <c r="X24" s="248" t="s">
        <v>43</v>
      </c>
      <c r="Y24" s="248" t="s">
        <v>0</v>
      </c>
      <c r="Z24" s="248" t="s">
        <v>1</v>
      </c>
      <c r="AG24" s="220" t="e">
        <f ca="1">IF(ISERROR(AH16),AH15,AH16)</f>
        <v>#NUM!</v>
      </c>
      <c r="AH24" s="221"/>
      <c r="AI24" s="1"/>
      <c r="AJ24" s="248" t="s">
        <v>42</v>
      </c>
      <c r="AK24" s="248" t="s">
        <v>43</v>
      </c>
      <c r="AL24" s="248" t="s">
        <v>0</v>
      </c>
      <c r="AM24" s="248" t="s">
        <v>1</v>
      </c>
      <c r="AP24" s="82" t="e">
        <f ca="1">SUM(AP26:AP445)</f>
        <v>#N/A</v>
      </c>
      <c r="AS24" s="475" t="e">
        <f ca="1">TRUNC(ROUND((((IRR(AS25:AS446,0.01))+1)^12)-1,6),4)</f>
        <v>#NUM!</v>
      </c>
    </row>
    <row r="25" spans="1:45" ht="12" customHeight="1">
      <c r="A25" s="54"/>
      <c r="B25" s="249">
        <f ca="1">Condições!C109</f>
        <v>46189</v>
      </c>
      <c r="C25" s="250">
        <f>IF(Y25&gt;$AC$46,"",Y25)</f>
        <v>0</v>
      </c>
      <c r="D25" s="251">
        <f>ROUND(O25,2)</f>
        <v>0</v>
      </c>
      <c r="E25" s="251">
        <f>ROUND(P25,2)</f>
        <v>0</v>
      </c>
      <c r="F25" s="251">
        <f>ROUND(Q25,2)</f>
        <v>0</v>
      </c>
      <c r="G25" s="251">
        <f>F25+E25</f>
        <v>0</v>
      </c>
      <c r="H25" s="251">
        <f ca="1">ROUND(S25,2)</f>
        <v>0</v>
      </c>
      <c r="I25" s="251">
        <f>ROUND(T25+U25,2)</f>
        <v>0</v>
      </c>
      <c r="J25" s="251"/>
      <c r="K25" s="251">
        <f ca="1">IF(C25&gt;$AC$46,0,SUM(G25:J25))</f>
        <v>0</v>
      </c>
      <c r="L25" s="174"/>
      <c r="M25" s="224"/>
      <c r="N25" s="225">
        <f ca="1">SUM(H25+I25)</f>
        <v>0</v>
      </c>
      <c r="O25" s="251">
        <f>ROUND(IF(Preenchimento!$C$88=2,0,Preenchimento!D25+SUM(AC54:AC58)),$P$18)</f>
        <v>0</v>
      </c>
      <c r="P25" s="251">
        <v>0</v>
      </c>
      <c r="Q25" s="251">
        <v>0</v>
      </c>
      <c r="R25" s="251"/>
      <c r="S25" s="251">
        <f ca="1">ROUND($AC$52*O25,P18)</f>
        <v>0</v>
      </c>
      <c r="T25" s="251">
        <f t="shared" ref="T25:T88" si="0">IF(C25&gt;=$AC$46,0,ROUND(IF(Y25&gt;$AC$46,"",$AC$51*$AC$44),$P$18))</f>
        <v>0</v>
      </c>
      <c r="U25" s="252">
        <f>TRUNC(T25*Condições!$C$102,2)</f>
        <v>0</v>
      </c>
      <c r="V25" s="82">
        <f ca="1">IF($AC$53=Z25,0,1)</f>
        <v>1</v>
      </c>
      <c r="W25" s="161" t="e">
        <f>1/(1+$AC$47)^Y25</f>
        <v>#N/A</v>
      </c>
      <c r="X25" s="161" t="e">
        <f ca="1">W25*V25</f>
        <v>#N/A</v>
      </c>
      <c r="Y25" s="161">
        <v>0</v>
      </c>
      <c r="Z25" s="161">
        <f ca="1">Condições!C111</f>
        <v>6</v>
      </c>
      <c r="AG25" s="114">
        <f ca="1">IF(AC54&lt;&gt;0,(-O25+K25),(-O25+'Caract. Prods'!C15+K25))</f>
        <v>3300</v>
      </c>
      <c r="AH25" s="228"/>
      <c r="AI25" s="82">
        <f ca="1">IF($AC$53=AM25,0,1)</f>
        <v>1</v>
      </c>
      <c r="AJ25" s="161" t="e">
        <f>1/(1+$AC$47)^AL25</f>
        <v>#N/A</v>
      </c>
      <c r="AK25" s="161" t="e">
        <f ca="1">AJ25*AI25</f>
        <v>#N/A</v>
      </c>
      <c r="AL25" s="161">
        <v>0</v>
      </c>
      <c r="AM25" s="161">
        <f ca="1">Condições!C111</f>
        <v>6</v>
      </c>
      <c r="AO25" s="161" t="e">
        <f ca="1">1/(1+SAC!$AD$29)^AL25</f>
        <v>#N/A</v>
      </c>
      <c r="AP25" s="161" t="e">
        <f ca="1">1/(1+SAC!$AD$29)^AL25</f>
        <v>#N/A</v>
      </c>
      <c r="AS25" s="476">
        <f>-D25+Preenchimento!$I$9</f>
        <v>3300</v>
      </c>
    </row>
    <row r="26" spans="1:45" ht="12" customHeight="1">
      <c r="A26" s="53">
        <v>1</v>
      </c>
      <c r="B26" s="249">
        <f ca="1">DATE(IF(MONTH(B25)=12,YEAR(B25)+1,YEAR(B25)),IF(MONTH(B25)=12,1,MONTH(B25)+1),MIN(DAY(Condições!$C$109),IF(IF(MONTH(B25)=12,1,MONTH(B25)+1)=2,IF(MOD(IF(MONTH(B25)=12,YEAR(B25)+1,YEAR(B25)),4)=0,29,28),IF(OR(IF(MONTH(B25)=12,1,MONTH(B25)+1)=4,IF(MONTH(B25)=12,1,MONTH(B25)+1)=6,IF(MONTH(B25)=12,1,MONTH(B25)+1)=9,IF(MONTH(B25)=12,1,MONTH(B25)+1)=11),30,DAY($B$25)))))</f>
        <v>46219</v>
      </c>
      <c r="C26" s="250" t="str">
        <f t="shared" ref="C26:C89" si="1">IF(Y26&gt;$AC$46,"",Y26)</f>
        <v/>
      </c>
      <c r="D26" s="251" t="e">
        <f t="shared" ref="D26:D89" si="2">ROUND(O26,2)</f>
        <v>#N/A</v>
      </c>
      <c r="E26" s="251">
        <f t="shared" ref="E26:E89" si="3">ROUND(P26,2)</f>
        <v>0</v>
      </c>
      <c r="F26" s="251">
        <f t="shared" ref="F26:F89" si="4">ROUND(Q26,2)</f>
        <v>0</v>
      </c>
      <c r="G26" s="251">
        <f t="shared" ref="G26:G89" si="5">F26+E26</f>
        <v>0</v>
      </c>
      <c r="H26" s="251" t="e">
        <f t="shared" ref="H26:H89" si="6">ROUND(S26,2)</f>
        <v>#VALUE!</v>
      </c>
      <c r="I26" s="251">
        <f t="shared" ref="I26:I89" si="7">ROUND(T26+U26,2)</f>
        <v>0</v>
      </c>
      <c r="J26" s="251">
        <f>IF(V26=0,0,$AC$49)</f>
        <v>0</v>
      </c>
      <c r="K26" s="251">
        <f t="shared" ref="K26:K89" si="8">IF(C26&gt;$AC$46,0,SUM(G26:J26))</f>
        <v>0</v>
      </c>
      <c r="L26" s="174"/>
      <c r="M26" s="224"/>
      <c r="N26" s="225">
        <f t="shared" ref="N26:N89" si="9">IF(C26&gt;$AC$46,0,(H26+I26)/(1.008^((12*(B26-$B$25))/365)))</f>
        <v>0</v>
      </c>
      <c r="O26" s="251" t="e">
        <f t="shared" ref="O26:O89" si="10">ROUND(O25*(1+$AC$47)-R26,$P$18)</f>
        <v>#N/A</v>
      </c>
      <c r="P26" s="251">
        <f>ROUND(IF(V26=0,0,R26-Q26),$P$18)</f>
        <v>0</v>
      </c>
      <c r="Q26" s="251">
        <f t="shared" ref="Q26:Q89" si="11">ROUND(IF(V26=0,0,O25*$AC$47),$P$18)</f>
        <v>0</v>
      </c>
      <c r="R26" s="251">
        <f t="shared" ref="R26:R89" si="12">ROUND(IF(V26=0,0,$O$25/$X$18),$P$18)</f>
        <v>0</v>
      </c>
      <c r="S26" s="251" t="e">
        <f t="shared" ref="S26:S89" si="13">ROUND(IF(Y26&gt;$AC$46,"",$AC$52*O26),$P$18)</f>
        <v>#VALUE!</v>
      </c>
      <c r="T26" s="251">
        <f t="shared" si="0"/>
        <v>0</v>
      </c>
      <c r="U26" s="252">
        <f>TRUNC(T26*Condições!$C$102,2)</f>
        <v>0</v>
      </c>
      <c r="V26" s="199">
        <f>IF(Y26&gt;$AC$46,0,IF($AC$53=Z26,0,1))</f>
        <v>0</v>
      </c>
      <c r="W26" s="161" t="e">
        <f t="shared" ref="W26:W89" si="14">1/(1+$AC$47)^Y26</f>
        <v>#N/A</v>
      </c>
      <c r="X26" s="161" t="e">
        <f t="shared" ref="X26:X89" si="15">W26*V26</f>
        <v>#N/A</v>
      </c>
      <c r="Y26" s="161">
        <f>1+Y25</f>
        <v>1</v>
      </c>
      <c r="Z26" s="161">
        <f ca="1">IF(Z25=12,1,Z25+1)</f>
        <v>7</v>
      </c>
      <c r="AG26" s="114">
        <f>IF(C26&gt;$AC$46,0,R26+S26+T26+U26+J26)</f>
        <v>0</v>
      </c>
      <c r="AH26" s="233"/>
      <c r="AI26" s="199">
        <f ca="1">IF(AL26=0,0,IF(AL26&gt;Preenchimento!$AA$88*12,0,IF($AC$53=AM26,0,1)))</f>
        <v>0</v>
      </c>
      <c r="AJ26" s="161" t="e">
        <f ca="1">1/(1+$AC$47)^AL26</f>
        <v>#N/A</v>
      </c>
      <c r="AK26" s="161" t="e">
        <f t="shared" ref="AK26:AK89" ca="1" si="16">AJ26*AI26</f>
        <v>#N/A</v>
      </c>
      <c r="AL26" s="161">
        <f ca="1">IF(Y26&gt;(Preenchimento!$AA$90*12),0,Fixa!Y26)</f>
        <v>0</v>
      </c>
      <c r="AM26" s="161">
        <f ca="1">IF(AM25=12,1,AM25+1)</f>
        <v>7</v>
      </c>
      <c r="AN26" s="199">
        <f ca="1">IF(AQ26&gt;Preenchimento!$AA$90*12,0,1)</f>
        <v>0</v>
      </c>
      <c r="AO26" s="161" t="e">
        <f ca="1">1/((1+SAC!$AD$29)^AL26)</f>
        <v>#N/A</v>
      </c>
      <c r="AP26" s="82" t="e">
        <f ca="1">AO26*AN26</f>
        <v>#N/A</v>
      </c>
      <c r="AQ26" s="82">
        <v>1</v>
      </c>
      <c r="AS26" s="477">
        <f t="shared" ref="AS26:AS89" ca="1" si="17">IFERROR(IF(Z25&gt;$AC$46,0,R26),0)</f>
        <v>0</v>
      </c>
    </row>
    <row r="27" spans="1:45" ht="12" customHeight="1">
      <c r="A27" s="53">
        <v>2</v>
      </c>
      <c r="B27" s="249">
        <f ca="1">DATE(IF(MONTH(B26)=12,YEAR(B26)+1,YEAR(B26)),IF(MONTH(B26)=12,1,MONTH(B26)+1),MIN(DAY(Condições!$C$109),IF(IF(MONTH(B26)=12,1,MONTH(B26)+1)=2,IF(MOD(IF(MONTH(B26)=12,YEAR(B26)+1,YEAR(B26)),4)=0,29,28),IF(OR(IF(MONTH(B26)=12,1,MONTH(B26)+1)=4,IF(MONTH(B26)=12,1,MONTH(B26)+1)=6,IF(MONTH(B26)=12,1,MONTH(B26)+1)=9,IF(MONTH(B26)=12,1,MONTH(B26)+1)=11),30,DAY($B$25)))))</f>
        <v>46250</v>
      </c>
      <c r="C27" s="250" t="str">
        <f t="shared" si="1"/>
        <v/>
      </c>
      <c r="D27" s="251" t="e">
        <f t="shared" si="2"/>
        <v>#N/A</v>
      </c>
      <c r="E27" s="251">
        <f t="shared" si="3"/>
        <v>0</v>
      </c>
      <c r="F27" s="251">
        <f t="shared" si="4"/>
        <v>0</v>
      </c>
      <c r="G27" s="251">
        <f t="shared" si="5"/>
        <v>0</v>
      </c>
      <c r="H27" s="251" t="e">
        <f t="shared" si="6"/>
        <v>#VALUE!</v>
      </c>
      <c r="I27" s="251">
        <f t="shared" si="7"/>
        <v>0</v>
      </c>
      <c r="J27" s="251">
        <f t="shared" ref="J27:J90" si="18">IF(V27=0,0,$AC$49)</f>
        <v>0</v>
      </c>
      <c r="K27" s="251">
        <f t="shared" si="8"/>
        <v>0</v>
      </c>
      <c r="L27" s="174"/>
      <c r="M27" s="224"/>
      <c r="N27" s="225">
        <f t="shared" si="9"/>
        <v>0</v>
      </c>
      <c r="O27" s="251" t="e">
        <f t="shared" si="10"/>
        <v>#N/A</v>
      </c>
      <c r="P27" s="251">
        <f t="shared" ref="P27:P90" si="19">ROUND(IF(V27=0,0,R27-Q27),$P$18)</f>
        <v>0</v>
      </c>
      <c r="Q27" s="251">
        <f t="shared" si="11"/>
        <v>0</v>
      </c>
      <c r="R27" s="251">
        <f t="shared" si="12"/>
        <v>0</v>
      </c>
      <c r="S27" s="251" t="e">
        <f t="shared" si="13"/>
        <v>#VALUE!</v>
      </c>
      <c r="T27" s="251">
        <f t="shared" si="0"/>
        <v>0</v>
      </c>
      <c r="U27" s="252">
        <f>TRUNC(T27*Condições!$C$102,2)</f>
        <v>0</v>
      </c>
      <c r="V27" s="199">
        <f t="shared" ref="V27:V90" si="20">IF(Y27&gt;$AC$46,0,IF($AC$53=Z27,0,1))</f>
        <v>0</v>
      </c>
      <c r="W27" s="161" t="e">
        <f t="shared" si="14"/>
        <v>#N/A</v>
      </c>
      <c r="X27" s="161" t="e">
        <f t="shared" si="15"/>
        <v>#N/A</v>
      </c>
      <c r="Y27" s="161">
        <f t="shared" ref="Y27:Y90" si="21">1+Y26</f>
        <v>2</v>
      </c>
      <c r="Z27" s="161">
        <f t="shared" ref="Z27:Z90" ca="1" si="22">IF(Z26=12,1,Z26+1)</f>
        <v>8</v>
      </c>
      <c r="AG27" s="114">
        <f t="shared" ref="AG27:AG90" si="23">IF(C27&gt;$AC$46,0,R27+S27+T27+U27+J27)</f>
        <v>0</v>
      </c>
      <c r="AH27" s="113"/>
      <c r="AI27" s="199">
        <f ca="1">IF(AL27=0,0,IF(AL27&gt;Preenchimento!$AA$88*12,0,IF($AC$53=AM27,0,1)))</f>
        <v>0</v>
      </c>
      <c r="AJ27" s="161" t="e">
        <f t="shared" ref="AJ27:AJ89" ca="1" si="24">1/(1+$AC$47)^AL27</f>
        <v>#N/A</v>
      </c>
      <c r="AK27" s="161" t="e">
        <f t="shared" ca="1" si="16"/>
        <v>#N/A</v>
      </c>
      <c r="AL27" s="161">
        <f ca="1">IF(Y27&gt;(Preenchimento!$AA$90*12),0,Fixa!Y27)</f>
        <v>0</v>
      </c>
      <c r="AM27" s="161">
        <f t="shared" ref="AM27:AM90" ca="1" si="25">IF(AM26=12,1,AM26+1)</f>
        <v>8</v>
      </c>
      <c r="AN27" s="199">
        <f ca="1">IF(AQ27&gt;Preenchimento!$AA$90*12,0,1)</f>
        <v>0</v>
      </c>
      <c r="AO27" s="161" t="e">
        <f ca="1">1/((1+SAC!$AD$29)^AL27)</f>
        <v>#N/A</v>
      </c>
      <c r="AP27" s="82" t="e">
        <f t="shared" ref="AP27:AP90" ca="1" si="26">AO27*AN27</f>
        <v>#N/A</v>
      </c>
      <c r="AQ27" s="82">
        <v>2</v>
      </c>
      <c r="AS27" s="477">
        <f t="shared" ca="1" si="17"/>
        <v>0</v>
      </c>
    </row>
    <row r="28" spans="1:45" ht="12" customHeight="1">
      <c r="A28" s="53">
        <v>3</v>
      </c>
      <c r="B28" s="249">
        <f ca="1">DATE(IF(MONTH(B27)=12,YEAR(B27)+1,YEAR(B27)),IF(MONTH(B27)=12,1,MONTH(B27)+1),MIN(DAY(Condições!$C$109),IF(IF(MONTH(B27)=12,1,MONTH(B27)+1)=2,IF(MOD(IF(MONTH(B27)=12,YEAR(B27)+1,YEAR(B27)),4)=0,29,28),IF(OR(IF(MONTH(B27)=12,1,MONTH(B27)+1)=4,IF(MONTH(B27)=12,1,MONTH(B27)+1)=6,IF(MONTH(B27)=12,1,MONTH(B27)+1)=9,IF(MONTH(B27)=12,1,MONTH(B27)+1)=11),30,DAY($B$25)))))</f>
        <v>46281</v>
      </c>
      <c r="C28" s="250" t="str">
        <f t="shared" si="1"/>
        <v/>
      </c>
      <c r="D28" s="251" t="e">
        <f t="shared" si="2"/>
        <v>#N/A</v>
      </c>
      <c r="E28" s="251">
        <f t="shared" si="3"/>
        <v>0</v>
      </c>
      <c r="F28" s="251">
        <f t="shared" si="4"/>
        <v>0</v>
      </c>
      <c r="G28" s="251">
        <f t="shared" si="5"/>
        <v>0</v>
      </c>
      <c r="H28" s="251" t="e">
        <f t="shared" si="6"/>
        <v>#VALUE!</v>
      </c>
      <c r="I28" s="251">
        <f t="shared" si="7"/>
        <v>0</v>
      </c>
      <c r="J28" s="251">
        <f t="shared" si="18"/>
        <v>0</v>
      </c>
      <c r="K28" s="251">
        <f t="shared" si="8"/>
        <v>0</v>
      </c>
      <c r="L28" s="174"/>
      <c r="M28" s="224"/>
      <c r="N28" s="225">
        <f t="shared" si="9"/>
        <v>0</v>
      </c>
      <c r="O28" s="251" t="e">
        <f t="shared" si="10"/>
        <v>#N/A</v>
      </c>
      <c r="P28" s="251">
        <f t="shared" si="19"/>
        <v>0</v>
      </c>
      <c r="Q28" s="251">
        <f t="shared" si="11"/>
        <v>0</v>
      </c>
      <c r="R28" s="251">
        <f t="shared" si="12"/>
        <v>0</v>
      </c>
      <c r="S28" s="251" t="e">
        <f t="shared" si="13"/>
        <v>#VALUE!</v>
      </c>
      <c r="T28" s="251">
        <f t="shared" si="0"/>
        <v>0</v>
      </c>
      <c r="U28" s="252">
        <f>TRUNC(T28*Condições!$C$102,2)</f>
        <v>0</v>
      </c>
      <c r="V28" s="199">
        <f t="shared" si="20"/>
        <v>0</v>
      </c>
      <c r="W28" s="161" t="e">
        <f t="shared" si="14"/>
        <v>#N/A</v>
      </c>
      <c r="X28" s="161" t="e">
        <f t="shared" si="15"/>
        <v>#N/A</v>
      </c>
      <c r="Y28" s="161">
        <f t="shared" si="21"/>
        <v>3</v>
      </c>
      <c r="Z28" s="161">
        <f t="shared" ca="1" si="22"/>
        <v>9</v>
      </c>
      <c r="AA28" s="82">
        <v>1</v>
      </c>
      <c r="AB28" s="82" t="s">
        <v>10</v>
      </c>
      <c r="AG28" s="114">
        <f t="shared" si="23"/>
        <v>0</v>
      </c>
      <c r="AH28" s="113"/>
      <c r="AI28" s="199">
        <f ca="1">IF(AL28=0,0,IF(AL28&gt;Preenchimento!$AA$88*12,0,IF($AC$53=AM28,0,1)))</f>
        <v>0</v>
      </c>
      <c r="AJ28" s="161" t="e">
        <f t="shared" ca="1" si="24"/>
        <v>#N/A</v>
      </c>
      <c r="AK28" s="161" t="e">
        <f t="shared" ca="1" si="16"/>
        <v>#N/A</v>
      </c>
      <c r="AL28" s="161">
        <f ca="1">IF(Y28&gt;(Preenchimento!$AA$90*12),0,Fixa!Y28)</f>
        <v>0</v>
      </c>
      <c r="AM28" s="161">
        <f t="shared" ca="1" si="25"/>
        <v>9</v>
      </c>
      <c r="AN28" s="199">
        <f ca="1">IF(AQ28&gt;Preenchimento!$AA$90*12,0,1)</f>
        <v>0</v>
      </c>
      <c r="AO28" s="161" t="e">
        <f ca="1">1/((1+SAC!$AD$29)^AL28)</f>
        <v>#N/A</v>
      </c>
      <c r="AP28" s="82" t="e">
        <f t="shared" ca="1" si="26"/>
        <v>#N/A</v>
      </c>
      <c r="AQ28" s="82">
        <v>3</v>
      </c>
      <c r="AS28" s="477">
        <f t="shared" ca="1" si="17"/>
        <v>0</v>
      </c>
    </row>
    <row r="29" spans="1:45" ht="12" customHeight="1">
      <c r="A29" s="53">
        <v>4</v>
      </c>
      <c r="B29" s="249">
        <f ca="1">DATE(IF(MONTH(B28)=12,YEAR(B28)+1,YEAR(B28)),IF(MONTH(B28)=12,1,MONTH(B28)+1),MIN(DAY(Condições!$C$109),IF(IF(MONTH(B28)=12,1,MONTH(B28)+1)=2,IF(MOD(IF(MONTH(B28)=12,YEAR(B28)+1,YEAR(B28)),4)=0,29,28),IF(OR(IF(MONTH(B28)=12,1,MONTH(B28)+1)=4,IF(MONTH(B28)=12,1,MONTH(B28)+1)=6,IF(MONTH(B28)=12,1,MONTH(B28)+1)=9,IF(MONTH(B28)=12,1,MONTH(B28)+1)=11),30,DAY($B$25)))))</f>
        <v>46311</v>
      </c>
      <c r="C29" s="250" t="str">
        <f t="shared" si="1"/>
        <v/>
      </c>
      <c r="D29" s="251" t="e">
        <f t="shared" si="2"/>
        <v>#N/A</v>
      </c>
      <c r="E29" s="251">
        <f t="shared" si="3"/>
        <v>0</v>
      </c>
      <c r="F29" s="251">
        <f t="shared" si="4"/>
        <v>0</v>
      </c>
      <c r="G29" s="251">
        <f t="shared" si="5"/>
        <v>0</v>
      </c>
      <c r="H29" s="251" t="e">
        <f t="shared" si="6"/>
        <v>#VALUE!</v>
      </c>
      <c r="I29" s="251">
        <f t="shared" si="7"/>
        <v>0</v>
      </c>
      <c r="J29" s="251">
        <f t="shared" si="18"/>
        <v>0</v>
      </c>
      <c r="K29" s="251">
        <f t="shared" si="8"/>
        <v>0</v>
      </c>
      <c r="L29" s="174"/>
      <c r="M29" s="224"/>
      <c r="N29" s="225">
        <f t="shared" si="9"/>
        <v>0</v>
      </c>
      <c r="O29" s="251" t="e">
        <f t="shared" si="10"/>
        <v>#N/A</v>
      </c>
      <c r="P29" s="251">
        <f t="shared" si="19"/>
        <v>0</v>
      </c>
      <c r="Q29" s="251">
        <f t="shared" si="11"/>
        <v>0</v>
      </c>
      <c r="R29" s="251">
        <f t="shared" si="12"/>
        <v>0</v>
      </c>
      <c r="S29" s="251" t="e">
        <f t="shared" si="13"/>
        <v>#VALUE!</v>
      </c>
      <c r="T29" s="251">
        <f t="shared" si="0"/>
        <v>0</v>
      </c>
      <c r="U29" s="252">
        <f>TRUNC(T29*Condições!$C$102,2)</f>
        <v>0</v>
      </c>
      <c r="V29" s="199">
        <f t="shared" si="20"/>
        <v>0</v>
      </c>
      <c r="W29" s="161" t="e">
        <f t="shared" si="14"/>
        <v>#N/A</v>
      </c>
      <c r="X29" s="161" t="e">
        <f t="shared" si="15"/>
        <v>#N/A</v>
      </c>
      <c r="Y29" s="161">
        <f t="shared" si="21"/>
        <v>4</v>
      </c>
      <c r="Z29" s="161">
        <f t="shared" ca="1" si="22"/>
        <v>10</v>
      </c>
      <c r="AA29" s="82">
        <f>AA28+1</f>
        <v>2</v>
      </c>
      <c r="AB29" s="82" t="s">
        <v>11</v>
      </c>
      <c r="AG29" s="114">
        <f t="shared" si="23"/>
        <v>0</v>
      </c>
      <c r="AH29" s="113"/>
      <c r="AI29" s="199">
        <f ca="1">IF(AL29=0,0,IF(AL29&gt;Preenchimento!$AA$88*12,0,IF($AC$53=AM29,0,1)))</f>
        <v>0</v>
      </c>
      <c r="AJ29" s="161" t="e">
        <f t="shared" ca="1" si="24"/>
        <v>#N/A</v>
      </c>
      <c r="AK29" s="161" t="e">
        <f t="shared" ca="1" si="16"/>
        <v>#N/A</v>
      </c>
      <c r="AL29" s="161">
        <f ca="1">IF(Y29&gt;(Preenchimento!$AA$90*12),0,Fixa!Y29)</f>
        <v>0</v>
      </c>
      <c r="AM29" s="161">
        <f t="shared" ca="1" si="25"/>
        <v>10</v>
      </c>
      <c r="AN29" s="199">
        <f ca="1">IF(AQ29&gt;Preenchimento!$AA$90*12,0,1)</f>
        <v>0</v>
      </c>
      <c r="AO29" s="161" t="e">
        <f ca="1">1/((1+SAC!$AD$29)^AL29)</f>
        <v>#N/A</v>
      </c>
      <c r="AP29" s="82" t="e">
        <f t="shared" ca="1" si="26"/>
        <v>#N/A</v>
      </c>
      <c r="AQ29" s="82">
        <v>4</v>
      </c>
      <c r="AS29" s="477">
        <f t="shared" ca="1" si="17"/>
        <v>0</v>
      </c>
    </row>
    <row r="30" spans="1:45" ht="12" customHeight="1">
      <c r="A30" s="53">
        <v>5</v>
      </c>
      <c r="B30" s="249">
        <f ca="1">DATE(IF(MONTH(B29)=12,YEAR(B29)+1,YEAR(B29)),IF(MONTH(B29)=12,1,MONTH(B29)+1),MIN(DAY(Condições!$C$109),IF(IF(MONTH(B29)=12,1,MONTH(B29)+1)=2,IF(MOD(IF(MONTH(B29)=12,YEAR(B29)+1,YEAR(B29)),4)=0,29,28),IF(OR(IF(MONTH(B29)=12,1,MONTH(B29)+1)=4,IF(MONTH(B29)=12,1,MONTH(B29)+1)=6,IF(MONTH(B29)=12,1,MONTH(B29)+1)=9,IF(MONTH(B29)=12,1,MONTH(B29)+1)=11),30,DAY($B$25)))))</f>
        <v>46342</v>
      </c>
      <c r="C30" s="250" t="str">
        <f t="shared" si="1"/>
        <v/>
      </c>
      <c r="D30" s="251" t="e">
        <f t="shared" si="2"/>
        <v>#N/A</v>
      </c>
      <c r="E30" s="251">
        <f t="shared" si="3"/>
        <v>0</v>
      </c>
      <c r="F30" s="251">
        <f t="shared" si="4"/>
        <v>0</v>
      </c>
      <c r="G30" s="251">
        <f t="shared" si="5"/>
        <v>0</v>
      </c>
      <c r="H30" s="251" t="e">
        <f t="shared" si="6"/>
        <v>#VALUE!</v>
      </c>
      <c r="I30" s="251">
        <f t="shared" si="7"/>
        <v>0</v>
      </c>
      <c r="J30" s="251">
        <f t="shared" si="18"/>
        <v>0</v>
      </c>
      <c r="K30" s="251">
        <f t="shared" si="8"/>
        <v>0</v>
      </c>
      <c r="L30" s="174"/>
      <c r="M30" s="224"/>
      <c r="N30" s="225">
        <f t="shared" si="9"/>
        <v>0</v>
      </c>
      <c r="O30" s="251" t="e">
        <f t="shared" si="10"/>
        <v>#N/A</v>
      </c>
      <c r="P30" s="251">
        <f t="shared" si="19"/>
        <v>0</v>
      </c>
      <c r="Q30" s="251">
        <f t="shared" si="11"/>
        <v>0</v>
      </c>
      <c r="R30" s="251">
        <f t="shared" si="12"/>
        <v>0</v>
      </c>
      <c r="S30" s="251" t="e">
        <f t="shared" si="13"/>
        <v>#VALUE!</v>
      </c>
      <c r="T30" s="251">
        <f t="shared" si="0"/>
        <v>0</v>
      </c>
      <c r="U30" s="252">
        <f>TRUNC(T30*Condições!$C$102,2)</f>
        <v>0</v>
      </c>
      <c r="V30" s="199">
        <f t="shared" si="20"/>
        <v>0</v>
      </c>
      <c r="W30" s="161" t="e">
        <f t="shared" si="14"/>
        <v>#N/A</v>
      </c>
      <c r="X30" s="161" t="e">
        <f t="shared" si="15"/>
        <v>#N/A</v>
      </c>
      <c r="Y30" s="161">
        <f t="shared" si="21"/>
        <v>5</v>
      </c>
      <c r="Z30" s="161">
        <f t="shared" ca="1" si="22"/>
        <v>11</v>
      </c>
      <c r="AA30" s="82">
        <f t="shared" ref="AA30:AA39" si="27">AA29+1</f>
        <v>3</v>
      </c>
      <c r="AB30" s="82" t="s">
        <v>12</v>
      </c>
      <c r="AG30" s="114">
        <f t="shared" si="23"/>
        <v>0</v>
      </c>
      <c r="AH30" s="113"/>
      <c r="AI30" s="199">
        <f ca="1">IF(AL30=0,0,IF(AL30&gt;Preenchimento!$AA$88*12,0,IF($AC$53=AM30,0,1)))</f>
        <v>0</v>
      </c>
      <c r="AJ30" s="161" t="e">
        <f t="shared" ca="1" si="24"/>
        <v>#N/A</v>
      </c>
      <c r="AK30" s="161" t="e">
        <f t="shared" ca="1" si="16"/>
        <v>#N/A</v>
      </c>
      <c r="AL30" s="161">
        <f ca="1">IF(Y30&gt;(Preenchimento!$AA$90*12),0,Fixa!Y30)</f>
        <v>0</v>
      </c>
      <c r="AM30" s="161">
        <f t="shared" ca="1" si="25"/>
        <v>11</v>
      </c>
      <c r="AN30" s="199">
        <f ca="1">IF(AQ30&gt;Preenchimento!$AA$90*12,0,1)</f>
        <v>0</v>
      </c>
      <c r="AO30" s="161" t="e">
        <f ca="1">1/((1+SAC!$AD$29)^AL30)</f>
        <v>#N/A</v>
      </c>
      <c r="AP30" s="82" t="e">
        <f t="shared" ca="1" si="26"/>
        <v>#N/A</v>
      </c>
      <c r="AQ30" s="82">
        <v>5</v>
      </c>
      <c r="AS30" s="477">
        <f t="shared" ca="1" si="17"/>
        <v>0</v>
      </c>
    </row>
    <row r="31" spans="1:45" ht="12" customHeight="1">
      <c r="A31" s="53">
        <v>6</v>
      </c>
      <c r="B31" s="249">
        <f ca="1">DATE(IF(MONTH(B30)=12,YEAR(B30)+1,YEAR(B30)),IF(MONTH(B30)=12,1,MONTH(B30)+1),MIN(DAY(Condições!$C$109),IF(IF(MONTH(B30)=12,1,MONTH(B30)+1)=2,IF(MOD(IF(MONTH(B30)=12,YEAR(B30)+1,YEAR(B30)),4)=0,29,28),IF(OR(IF(MONTH(B30)=12,1,MONTH(B30)+1)=4,IF(MONTH(B30)=12,1,MONTH(B30)+1)=6,IF(MONTH(B30)=12,1,MONTH(B30)+1)=9,IF(MONTH(B30)=12,1,MONTH(B30)+1)=11),30,DAY($B$25)))))</f>
        <v>46372</v>
      </c>
      <c r="C31" s="250" t="str">
        <f t="shared" si="1"/>
        <v/>
      </c>
      <c r="D31" s="251" t="e">
        <f t="shared" si="2"/>
        <v>#N/A</v>
      </c>
      <c r="E31" s="251">
        <f t="shared" si="3"/>
        <v>0</v>
      </c>
      <c r="F31" s="251">
        <f t="shared" si="4"/>
        <v>0</v>
      </c>
      <c r="G31" s="251">
        <f t="shared" si="5"/>
        <v>0</v>
      </c>
      <c r="H31" s="251" t="e">
        <f t="shared" si="6"/>
        <v>#VALUE!</v>
      </c>
      <c r="I31" s="251">
        <f t="shared" si="7"/>
        <v>0</v>
      </c>
      <c r="J31" s="251">
        <f t="shared" si="18"/>
        <v>0</v>
      </c>
      <c r="K31" s="251">
        <f t="shared" si="8"/>
        <v>0</v>
      </c>
      <c r="L31" s="174"/>
      <c r="M31" s="224"/>
      <c r="N31" s="225">
        <f t="shared" si="9"/>
        <v>0</v>
      </c>
      <c r="O31" s="251" t="e">
        <f t="shared" si="10"/>
        <v>#N/A</v>
      </c>
      <c r="P31" s="251">
        <f t="shared" si="19"/>
        <v>0</v>
      </c>
      <c r="Q31" s="251">
        <f t="shared" si="11"/>
        <v>0</v>
      </c>
      <c r="R31" s="251">
        <f t="shared" si="12"/>
        <v>0</v>
      </c>
      <c r="S31" s="251" t="e">
        <f t="shared" si="13"/>
        <v>#VALUE!</v>
      </c>
      <c r="T31" s="251">
        <f t="shared" si="0"/>
        <v>0</v>
      </c>
      <c r="U31" s="252">
        <f>TRUNC(T31*Condições!$C$102,2)</f>
        <v>0</v>
      </c>
      <c r="V31" s="199">
        <f t="shared" si="20"/>
        <v>0</v>
      </c>
      <c r="W31" s="161" t="e">
        <f t="shared" si="14"/>
        <v>#N/A</v>
      </c>
      <c r="X31" s="161" t="e">
        <f t="shared" si="15"/>
        <v>#N/A</v>
      </c>
      <c r="Y31" s="161">
        <f t="shared" si="21"/>
        <v>6</v>
      </c>
      <c r="Z31" s="161">
        <f t="shared" ca="1" si="22"/>
        <v>12</v>
      </c>
      <c r="AA31" s="82">
        <f t="shared" si="27"/>
        <v>4</v>
      </c>
      <c r="AB31" s="82" t="s">
        <v>13</v>
      </c>
      <c r="AG31" s="114">
        <f t="shared" si="23"/>
        <v>0</v>
      </c>
      <c r="AH31" s="113"/>
      <c r="AI31" s="199">
        <f ca="1">IF(AL31=0,0,IF(AL31&gt;Preenchimento!$AA$88*12,0,IF($AC$53=AM31,0,1)))</f>
        <v>0</v>
      </c>
      <c r="AJ31" s="161" t="e">
        <f t="shared" ca="1" si="24"/>
        <v>#N/A</v>
      </c>
      <c r="AK31" s="161" t="e">
        <f t="shared" ca="1" si="16"/>
        <v>#N/A</v>
      </c>
      <c r="AL31" s="161">
        <f ca="1">IF(Y31&gt;(Preenchimento!$AA$90*12),0,Fixa!Y31)</f>
        <v>0</v>
      </c>
      <c r="AM31" s="161">
        <f t="shared" ca="1" si="25"/>
        <v>12</v>
      </c>
      <c r="AN31" s="199">
        <f ca="1">IF(AQ31&gt;Preenchimento!$AA$90*12,0,1)</f>
        <v>0</v>
      </c>
      <c r="AO31" s="161" t="e">
        <f ca="1">1/((1+SAC!$AD$29)^AL31)</f>
        <v>#N/A</v>
      </c>
      <c r="AP31" s="82" t="e">
        <f t="shared" ca="1" si="26"/>
        <v>#N/A</v>
      </c>
      <c r="AQ31" s="82">
        <v>6</v>
      </c>
      <c r="AS31" s="477">
        <f t="shared" ca="1" si="17"/>
        <v>0</v>
      </c>
    </row>
    <row r="32" spans="1:45" ht="12" customHeight="1">
      <c r="A32" s="53">
        <v>7</v>
      </c>
      <c r="B32" s="249">
        <f ca="1">DATE(IF(MONTH(B31)=12,YEAR(B31)+1,YEAR(B31)),IF(MONTH(B31)=12,1,MONTH(B31)+1),MIN(DAY(Condições!$C$109),IF(IF(MONTH(B31)=12,1,MONTH(B31)+1)=2,IF(MOD(IF(MONTH(B31)=12,YEAR(B31)+1,YEAR(B31)),4)=0,29,28),IF(OR(IF(MONTH(B31)=12,1,MONTH(B31)+1)=4,IF(MONTH(B31)=12,1,MONTH(B31)+1)=6,IF(MONTH(B31)=12,1,MONTH(B31)+1)=9,IF(MONTH(B31)=12,1,MONTH(B31)+1)=11),30,DAY($B$25)))))</f>
        <v>46403</v>
      </c>
      <c r="C32" s="250" t="str">
        <f t="shared" si="1"/>
        <v/>
      </c>
      <c r="D32" s="251" t="e">
        <f t="shared" si="2"/>
        <v>#N/A</v>
      </c>
      <c r="E32" s="251">
        <f t="shared" si="3"/>
        <v>0</v>
      </c>
      <c r="F32" s="251">
        <f t="shared" si="4"/>
        <v>0</v>
      </c>
      <c r="G32" s="251">
        <f t="shared" si="5"/>
        <v>0</v>
      </c>
      <c r="H32" s="251" t="e">
        <f t="shared" si="6"/>
        <v>#VALUE!</v>
      </c>
      <c r="I32" s="251">
        <f t="shared" si="7"/>
        <v>0</v>
      </c>
      <c r="J32" s="251">
        <f t="shared" si="18"/>
        <v>0</v>
      </c>
      <c r="K32" s="251">
        <f t="shared" si="8"/>
        <v>0</v>
      </c>
      <c r="L32" s="174"/>
      <c r="M32" s="224"/>
      <c r="N32" s="225">
        <f t="shared" si="9"/>
        <v>0</v>
      </c>
      <c r="O32" s="251" t="e">
        <f t="shared" si="10"/>
        <v>#N/A</v>
      </c>
      <c r="P32" s="251">
        <f t="shared" si="19"/>
        <v>0</v>
      </c>
      <c r="Q32" s="251">
        <f t="shared" si="11"/>
        <v>0</v>
      </c>
      <c r="R32" s="251">
        <f t="shared" si="12"/>
        <v>0</v>
      </c>
      <c r="S32" s="251" t="e">
        <f t="shared" si="13"/>
        <v>#VALUE!</v>
      </c>
      <c r="T32" s="251">
        <f t="shared" si="0"/>
        <v>0</v>
      </c>
      <c r="U32" s="252">
        <f>TRUNC(T32*Condições!$C$102,2)</f>
        <v>0</v>
      </c>
      <c r="V32" s="199">
        <f t="shared" si="20"/>
        <v>0</v>
      </c>
      <c r="W32" s="161" t="e">
        <f t="shared" si="14"/>
        <v>#N/A</v>
      </c>
      <c r="X32" s="161" t="e">
        <f t="shared" si="15"/>
        <v>#N/A</v>
      </c>
      <c r="Y32" s="161">
        <f t="shared" si="21"/>
        <v>7</v>
      </c>
      <c r="Z32" s="161">
        <f t="shared" ca="1" si="22"/>
        <v>1</v>
      </c>
      <c r="AA32" s="82">
        <f t="shared" si="27"/>
        <v>5</v>
      </c>
      <c r="AB32" s="82" t="s">
        <v>14</v>
      </c>
      <c r="AG32" s="114">
        <f t="shared" si="23"/>
        <v>0</v>
      </c>
      <c r="AH32" s="113"/>
      <c r="AI32" s="199">
        <f ca="1">IF(AL32=0,0,IF(AL32&gt;Preenchimento!$AA$88*12,0,IF($AC$53=AM32,0,1)))</f>
        <v>0</v>
      </c>
      <c r="AJ32" s="161" t="e">
        <f t="shared" ca="1" si="24"/>
        <v>#N/A</v>
      </c>
      <c r="AK32" s="161" t="e">
        <f t="shared" ca="1" si="16"/>
        <v>#N/A</v>
      </c>
      <c r="AL32" s="161">
        <f ca="1">IF(Y32&gt;(Preenchimento!$AA$90*12),0,Fixa!Y32)</f>
        <v>0</v>
      </c>
      <c r="AM32" s="161">
        <f t="shared" ca="1" si="25"/>
        <v>1</v>
      </c>
      <c r="AN32" s="199">
        <f ca="1">IF(AQ32&gt;Preenchimento!$AA$90*12,0,1)</f>
        <v>0</v>
      </c>
      <c r="AO32" s="161" t="e">
        <f ca="1">1/((1+SAC!$AD$29)^AL32)</f>
        <v>#N/A</v>
      </c>
      <c r="AP32" s="82" t="e">
        <f t="shared" ca="1" si="26"/>
        <v>#N/A</v>
      </c>
      <c r="AQ32" s="82">
        <v>7</v>
      </c>
      <c r="AS32" s="477">
        <f t="shared" ca="1" si="17"/>
        <v>0</v>
      </c>
    </row>
    <row r="33" spans="1:45" ht="12" customHeight="1">
      <c r="A33" s="53">
        <v>8</v>
      </c>
      <c r="B33" s="249">
        <f ca="1">DATE(IF(MONTH(B32)=12,YEAR(B32)+1,YEAR(B32)),IF(MONTH(B32)=12,1,MONTH(B32)+1),MIN(DAY(Condições!$C$109),IF(IF(MONTH(B32)=12,1,MONTH(B32)+1)=2,IF(MOD(IF(MONTH(B32)=12,YEAR(B32)+1,YEAR(B32)),4)=0,29,28),IF(OR(IF(MONTH(B32)=12,1,MONTH(B32)+1)=4,IF(MONTH(B32)=12,1,MONTH(B32)+1)=6,IF(MONTH(B32)=12,1,MONTH(B32)+1)=9,IF(MONTH(B32)=12,1,MONTH(B32)+1)=11),30,DAY($B$25)))))</f>
        <v>46434</v>
      </c>
      <c r="C33" s="250" t="str">
        <f t="shared" si="1"/>
        <v/>
      </c>
      <c r="D33" s="251" t="e">
        <f t="shared" si="2"/>
        <v>#N/A</v>
      </c>
      <c r="E33" s="251">
        <f t="shared" si="3"/>
        <v>0</v>
      </c>
      <c r="F33" s="251">
        <f t="shared" si="4"/>
        <v>0</v>
      </c>
      <c r="G33" s="251">
        <f t="shared" si="5"/>
        <v>0</v>
      </c>
      <c r="H33" s="251" t="e">
        <f t="shared" si="6"/>
        <v>#VALUE!</v>
      </c>
      <c r="I33" s="251">
        <f t="shared" si="7"/>
        <v>0</v>
      </c>
      <c r="J33" s="251">
        <f t="shared" si="18"/>
        <v>0</v>
      </c>
      <c r="K33" s="251">
        <f t="shared" si="8"/>
        <v>0</v>
      </c>
      <c r="L33" s="174"/>
      <c r="M33" s="224"/>
      <c r="N33" s="225">
        <f t="shared" si="9"/>
        <v>0</v>
      </c>
      <c r="O33" s="251" t="e">
        <f t="shared" si="10"/>
        <v>#N/A</v>
      </c>
      <c r="P33" s="251">
        <f t="shared" si="19"/>
        <v>0</v>
      </c>
      <c r="Q33" s="251">
        <f t="shared" si="11"/>
        <v>0</v>
      </c>
      <c r="R33" s="251">
        <f t="shared" si="12"/>
        <v>0</v>
      </c>
      <c r="S33" s="251" t="e">
        <f t="shared" si="13"/>
        <v>#VALUE!</v>
      </c>
      <c r="T33" s="251">
        <f t="shared" si="0"/>
        <v>0</v>
      </c>
      <c r="U33" s="252">
        <f>TRUNC(T33*Condições!$C$102,2)</f>
        <v>0</v>
      </c>
      <c r="V33" s="199">
        <f t="shared" si="20"/>
        <v>0</v>
      </c>
      <c r="W33" s="161" t="e">
        <f t="shared" si="14"/>
        <v>#N/A</v>
      </c>
      <c r="X33" s="161" t="e">
        <f t="shared" si="15"/>
        <v>#N/A</v>
      </c>
      <c r="Y33" s="161">
        <f t="shared" si="21"/>
        <v>8</v>
      </c>
      <c r="Z33" s="161">
        <f t="shared" ca="1" si="22"/>
        <v>2</v>
      </c>
      <c r="AA33" s="82">
        <f t="shared" si="27"/>
        <v>6</v>
      </c>
      <c r="AB33" s="82" t="s">
        <v>15</v>
      </c>
      <c r="AG33" s="114">
        <f t="shared" si="23"/>
        <v>0</v>
      </c>
      <c r="AH33" s="113"/>
      <c r="AI33" s="199">
        <f ca="1">IF(AL33=0,0,IF(AL33&gt;Preenchimento!$AA$88*12,0,IF($AC$53=AM33,0,1)))</f>
        <v>0</v>
      </c>
      <c r="AJ33" s="161" t="e">
        <f t="shared" ca="1" si="24"/>
        <v>#N/A</v>
      </c>
      <c r="AK33" s="161" t="e">
        <f t="shared" ca="1" si="16"/>
        <v>#N/A</v>
      </c>
      <c r="AL33" s="161">
        <f ca="1">IF(Y33&gt;(Preenchimento!$AA$90*12),0,Fixa!Y33)</f>
        <v>0</v>
      </c>
      <c r="AM33" s="161">
        <f t="shared" ca="1" si="25"/>
        <v>2</v>
      </c>
      <c r="AN33" s="199">
        <f ca="1">IF(AQ33&gt;Preenchimento!$AA$90*12,0,1)</f>
        <v>0</v>
      </c>
      <c r="AO33" s="161" t="e">
        <f ca="1">1/((1+SAC!$AD$29)^AL33)</f>
        <v>#N/A</v>
      </c>
      <c r="AP33" s="82" t="e">
        <f t="shared" ca="1" si="26"/>
        <v>#N/A</v>
      </c>
      <c r="AQ33" s="82">
        <v>8</v>
      </c>
      <c r="AS33" s="477">
        <f t="shared" ca="1" si="17"/>
        <v>0</v>
      </c>
    </row>
    <row r="34" spans="1:45" ht="12" customHeight="1">
      <c r="A34" s="53">
        <v>9</v>
      </c>
      <c r="B34" s="249">
        <f ca="1">DATE(IF(MONTH(B33)=12,YEAR(B33)+1,YEAR(B33)),IF(MONTH(B33)=12,1,MONTH(B33)+1),MIN(DAY(Condições!$C$109),IF(IF(MONTH(B33)=12,1,MONTH(B33)+1)=2,IF(MOD(IF(MONTH(B33)=12,YEAR(B33)+1,YEAR(B33)),4)=0,29,28),IF(OR(IF(MONTH(B33)=12,1,MONTH(B33)+1)=4,IF(MONTH(B33)=12,1,MONTH(B33)+1)=6,IF(MONTH(B33)=12,1,MONTH(B33)+1)=9,IF(MONTH(B33)=12,1,MONTH(B33)+1)=11),30,DAY($B$25)))))</f>
        <v>46462</v>
      </c>
      <c r="C34" s="250" t="str">
        <f t="shared" si="1"/>
        <v/>
      </c>
      <c r="D34" s="251" t="e">
        <f t="shared" si="2"/>
        <v>#N/A</v>
      </c>
      <c r="E34" s="251">
        <f t="shared" si="3"/>
        <v>0</v>
      </c>
      <c r="F34" s="251">
        <f t="shared" si="4"/>
        <v>0</v>
      </c>
      <c r="G34" s="251">
        <f t="shared" si="5"/>
        <v>0</v>
      </c>
      <c r="H34" s="251" t="e">
        <f t="shared" si="6"/>
        <v>#VALUE!</v>
      </c>
      <c r="I34" s="251">
        <f t="shared" si="7"/>
        <v>0</v>
      </c>
      <c r="J34" s="251">
        <f t="shared" si="18"/>
        <v>0</v>
      </c>
      <c r="K34" s="251">
        <f t="shared" si="8"/>
        <v>0</v>
      </c>
      <c r="L34" s="174"/>
      <c r="M34" s="224"/>
      <c r="N34" s="225">
        <f t="shared" si="9"/>
        <v>0</v>
      </c>
      <c r="O34" s="251" t="e">
        <f t="shared" si="10"/>
        <v>#N/A</v>
      </c>
      <c r="P34" s="251">
        <f t="shared" si="19"/>
        <v>0</v>
      </c>
      <c r="Q34" s="251">
        <f t="shared" si="11"/>
        <v>0</v>
      </c>
      <c r="R34" s="251">
        <f t="shared" si="12"/>
        <v>0</v>
      </c>
      <c r="S34" s="251" t="e">
        <f t="shared" si="13"/>
        <v>#VALUE!</v>
      </c>
      <c r="T34" s="251">
        <f t="shared" si="0"/>
        <v>0</v>
      </c>
      <c r="U34" s="252">
        <f>TRUNC(T34*Condições!$C$102,2)</f>
        <v>0</v>
      </c>
      <c r="V34" s="199">
        <f t="shared" si="20"/>
        <v>0</v>
      </c>
      <c r="W34" s="161" t="e">
        <f t="shared" si="14"/>
        <v>#N/A</v>
      </c>
      <c r="X34" s="161" t="e">
        <f t="shared" si="15"/>
        <v>#N/A</v>
      </c>
      <c r="Y34" s="161">
        <f t="shared" si="21"/>
        <v>9</v>
      </c>
      <c r="Z34" s="161">
        <f t="shared" ca="1" si="22"/>
        <v>3</v>
      </c>
      <c r="AA34" s="82">
        <f t="shared" si="27"/>
        <v>7</v>
      </c>
      <c r="AB34" s="82" t="s">
        <v>16</v>
      </c>
      <c r="AG34" s="114">
        <f t="shared" si="23"/>
        <v>0</v>
      </c>
      <c r="AH34" s="113"/>
      <c r="AI34" s="199">
        <f ca="1">IF(AL34=0,0,IF(AL34&gt;Preenchimento!$AA$88*12,0,IF($AC$53=AM34,0,1)))</f>
        <v>0</v>
      </c>
      <c r="AJ34" s="161" t="e">
        <f t="shared" ca="1" si="24"/>
        <v>#N/A</v>
      </c>
      <c r="AK34" s="161" t="e">
        <f t="shared" ca="1" si="16"/>
        <v>#N/A</v>
      </c>
      <c r="AL34" s="161">
        <f ca="1">IF(Y34&gt;(Preenchimento!$AA$90*12),0,Fixa!Y34)</f>
        <v>0</v>
      </c>
      <c r="AM34" s="161">
        <f t="shared" ca="1" si="25"/>
        <v>3</v>
      </c>
      <c r="AN34" s="199">
        <f ca="1">IF(AQ34&gt;Preenchimento!$AA$90*12,0,1)</f>
        <v>0</v>
      </c>
      <c r="AO34" s="161" t="e">
        <f ca="1">1/((1+SAC!$AD$29)^AL34)</f>
        <v>#N/A</v>
      </c>
      <c r="AP34" s="82" t="e">
        <f t="shared" ca="1" si="26"/>
        <v>#N/A</v>
      </c>
      <c r="AQ34" s="82">
        <v>9</v>
      </c>
      <c r="AS34" s="477">
        <f t="shared" ca="1" si="17"/>
        <v>0</v>
      </c>
    </row>
    <row r="35" spans="1:45" ht="12" customHeight="1">
      <c r="A35" s="53">
        <v>10</v>
      </c>
      <c r="B35" s="249">
        <f ca="1">DATE(IF(MONTH(B34)=12,YEAR(B34)+1,YEAR(B34)),IF(MONTH(B34)=12,1,MONTH(B34)+1),MIN(DAY(Condições!$C$109),IF(IF(MONTH(B34)=12,1,MONTH(B34)+1)=2,IF(MOD(IF(MONTH(B34)=12,YEAR(B34)+1,YEAR(B34)),4)=0,29,28),IF(OR(IF(MONTH(B34)=12,1,MONTH(B34)+1)=4,IF(MONTH(B34)=12,1,MONTH(B34)+1)=6,IF(MONTH(B34)=12,1,MONTH(B34)+1)=9,IF(MONTH(B34)=12,1,MONTH(B34)+1)=11),30,DAY($B$25)))))</f>
        <v>46493</v>
      </c>
      <c r="C35" s="250" t="str">
        <f t="shared" si="1"/>
        <v/>
      </c>
      <c r="D35" s="251" t="e">
        <f t="shared" si="2"/>
        <v>#N/A</v>
      </c>
      <c r="E35" s="251">
        <f t="shared" si="3"/>
        <v>0</v>
      </c>
      <c r="F35" s="251">
        <f t="shared" si="4"/>
        <v>0</v>
      </c>
      <c r="G35" s="251">
        <f t="shared" si="5"/>
        <v>0</v>
      </c>
      <c r="H35" s="251" t="e">
        <f t="shared" si="6"/>
        <v>#VALUE!</v>
      </c>
      <c r="I35" s="251">
        <f t="shared" si="7"/>
        <v>0</v>
      </c>
      <c r="J35" s="251">
        <f t="shared" si="18"/>
        <v>0</v>
      </c>
      <c r="K35" s="251">
        <f t="shared" si="8"/>
        <v>0</v>
      </c>
      <c r="L35" s="174"/>
      <c r="M35" s="224"/>
      <c r="N35" s="225">
        <f t="shared" si="9"/>
        <v>0</v>
      </c>
      <c r="O35" s="251" t="e">
        <f t="shared" si="10"/>
        <v>#N/A</v>
      </c>
      <c r="P35" s="251">
        <f t="shared" si="19"/>
        <v>0</v>
      </c>
      <c r="Q35" s="251">
        <f t="shared" si="11"/>
        <v>0</v>
      </c>
      <c r="R35" s="251">
        <f t="shared" si="12"/>
        <v>0</v>
      </c>
      <c r="S35" s="251" t="e">
        <f t="shared" si="13"/>
        <v>#VALUE!</v>
      </c>
      <c r="T35" s="251">
        <f t="shared" si="0"/>
        <v>0</v>
      </c>
      <c r="U35" s="252">
        <f>TRUNC(T35*Condições!$C$102,2)</f>
        <v>0</v>
      </c>
      <c r="V35" s="199">
        <f t="shared" si="20"/>
        <v>0</v>
      </c>
      <c r="W35" s="161" t="e">
        <f t="shared" si="14"/>
        <v>#N/A</v>
      </c>
      <c r="X35" s="161" t="e">
        <f t="shared" si="15"/>
        <v>#N/A</v>
      </c>
      <c r="Y35" s="161">
        <f t="shared" si="21"/>
        <v>10</v>
      </c>
      <c r="Z35" s="161">
        <f t="shared" ca="1" si="22"/>
        <v>4</v>
      </c>
      <c r="AA35" s="82">
        <f t="shared" si="27"/>
        <v>8</v>
      </c>
      <c r="AB35" s="82" t="s">
        <v>17</v>
      </c>
      <c r="AG35" s="114">
        <f t="shared" si="23"/>
        <v>0</v>
      </c>
      <c r="AH35" s="113"/>
      <c r="AI35" s="199">
        <f ca="1">IF(AL35=0,0,IF(AL35&gt;Preenchimento!$AA$88*12,0,IF($AC$53=AM35,0,1)))</f>
        <v>0</v>
      </c>
      <c r="AJ35" s="161" t="e">
        <f t="shared" ca="1" si="24"/>
        <v>#N/A</v>
      </c>
      <c r="AK35" s="161" t="e">
        <f t="shared" ca="1" si="16"/>
        <v>#N/A</v>
      </c>
      <c r="AL35" s="161">
        <f ca="1">IF(Y35&gt;(Preenchimento!$AA$90*12),0,Fixa!Y35)</f>
        <v>0</v>
      </c>
      <c r="AM35" s="161">
        <f t="shared" ca="1" si="25"/>
        <v>4</v>
      </c>
      <c r="AN35" s="199">
        <f ca="1">IF(AQ35&gt;Preenchimento!$AA$90*12,0,1)</f>
        <v>0</v>
      </c>
      <c r="AO35" s="161" t="e">
        <f ca="1">1/((1+SAC!$AD$29)^AL35)</f>
        <v>#N/A</v>
      </c>
      <c r="AP35" s="82" t="e">
        <f t="shared" ca="1" si="26"/>
        <v>#N/A</v>
      </c>
      <c r="AQ35" s="82">
        <v>10</v>
      </c>
      <c r="AS35" s="477">
        <f t="shared" ca="1" si="17"/>
        <v>0</v>
      </c>
    </row>
    <row r="36" spans="1:45" ht="12" customHeight="1">
      <c r="A36" s="53">
        <v>11</v>
      </c>
      <c r="B36" s="249">
        <f ca="1">DATE(IF(MONTH(B35)=12,YEAR(B35)+1,YEAR(B35)),IF(MONTH(B35)=12,1,MONTH(B35)+1),MIN(DAY(Condições!$C$109),IF(IF(MONTH(B35)=12,1,MONTH(B35)+1)=2,IF(MOD(IF(MONTH(B35)=12,YEAR(B35)+1,YEAR(B35)),4)=0,29,28),IF(OR(IF(MONTH(B35)=12,1,MONTH(B35)+1)=4,IF(MONTH(B35)=12,1,MONTH(B35)+1)=6,IF(MONTH(B35)=12,1,MONTH(B35)+1)=9,IF(MONTH(B35)=12,1,MONTH(B35)+1)=11),30,DAY($B$25)))))</f>
        <v>46523</v>
      </c>
      <c r="C36" s="250" t="str">
        <f t="shared" si="1"/>
        <v/>
      </c>
      <c r="D36" s="251" t="e">
        <f t="shared" si="2"/>
        <v>#N/A</v>
      </c>
      <c r="E36" s="251">
        <f t="shared" si="3"/>
        <v>0</v>
      </c>
      <c r="F36" s="251">
        <f t="shared" si="4"/>
        <v>0</v>
      </c>
      <c r="G36" s="251">
        <f t="shared" si="5"/>
        <v>0</v>
      </c>
      <c r="H36" s="251" t="e">
        <f t="shared" si="6"/>
        <v>#VALUE!</v>
      </c>
      <c r="I36" s="251">
        <f t="shared" si="7"/>
        <v>0</v>
      </c>
      <c r="J36" s="251">
        <f t="shared" si="18"/>
        <v>0</v>
      </c>
      <c r="K36" s="251">
        <f t="shared" si="8"/>
        <v>0</v>
      </c>
      <c r="L36" s="174"/>
      <c r="M36" s="224"/>
      <c r="N36" s="225">
        <f t="shared" si="9"/>
        <v>0</v>
      </c>
      <c r="O36" s="251" t="e">
        <f t="shared" si="10"/>
        <v>#N/A</v>
      </c>
      <c r="P36" s="251">
        <f t="shared" si="19"/>
        <v>0</v>
      </c>
      <c r="Q36" s="251">
        <f t="shared" si="11"/>
        <v>0</v>
      </c>
      <c r="R36" s="251">
        <f t="shared" si="12"/>
        <v>0</v>
      </c>
      <c r="S36" s="251" t="e">
        <f t="shared" si="13"/>
        <v>#VALUE!</v>
      </c>
      <c r="T36" s="251">
        <f t="shared" si="0"/>
        <v>0</v>
      </c>
      <c r="U36" s="252">
        <f>TRUNC(T36*Condições!$C$102,2)</f>
        <v>0</v>
      </c>
      <c r="V36" s="199">
        <f t="shared" si="20"/>
        <v>0</v>
      </c>
      <c r="W36" s="161" t="e">
        <f t="shared" si="14"/>
        <v>#N/A</v>
      </c>
      <c r="X36" s="161" t="e">
        <f t="shared" si="15"/>
        <v>#N/A</v>
      </c>
      <c r="Y36" s="161">
        <f t="shared" si="21"/>
        <v>11</v>
      </c>
      <c r="Z36" s="161">
        <f t="shared" ca="1" si="22"/>
        <v>5</v>
      </c>
      <c r="AA36" s="82">
        <f t="shared" si="27"/>
        <v>9</v>
      </c>
      <c r="AB36" s="82" t="s">
        <v>18</v>
      </c>
      <c r="AG36" s="114">
        <f t="shared" si="23"/>
        <v>0</v>
      </c>
      <c r="AH36" s="113"/>
      <c r="AI36" s="199">
        <f ca="1">IF(AL36=0,0,IF(AL36&gt;Preenchimento!$AA$88*12,0,IF($AC$53=AM36,0,1)))</f>
        <v>0</v>
      </c>
      <c r="AJ36" s="161" t="e">
        <f t="shared" ca="1" si="24"/>
        <v>#N/A</v>
      </c>
      <c r="AK36" s="161" t="e">
        <f t="shared" ca="1" si="16"/>
        <v>#N/A</v>
      </c>
      <c r="AL36" s="161">
        <f ca="1">IF(Y36&gt;(Preenchimento!$AA$90*12),0,Fixa!Y36)</f>
        <v>0</v>
      </c>
      <c r="AM36" s="161">
        <f t="shared" ca="1" si="25"/>
        <v>5</v>
      </c>
      <c r="AN36" s="199">
        <f ca="1">IF(AQ36&gt;Preenchimento!$AA$90*12,0,1)</f>
        <v>0</v>
      </c>
      <c r="AO36" s="161" t="e">
        <f ca="1">1/((1+SAC!$AD$29)^AL36)</f>
        <v>#N/A</v>
      </c>
      <c r="AP36" s="82" t="e">
        <f t="shared" ca="1" si="26"/>
        <v>#N/A</v>
      </c>
      <c r="AQ36" s="82">
        <v>11</v>
      </c>
      <c r="AS36" s="477">
        <f t="shared" ca="1" si="17"/>
        <v>0</v>
      </c>
    </row>
    <row r="37" spans="1:45" ht="12" customHeight="1">
      <c r="A37" s="53">
        <v>12</v>
      </c>
      <c r="B37" s="249">
        <f ca="1">DATE(IF(MONTH(B36)=12,YEAR(B36)+1,YEAR(B36)),IF(MONTH(B36)=12,1,MONTH(B36)+1),MIN(DAY(Condições!$C$109),IF(IF(MONTH(B36)=12,1,MONTH(B36)+1)=2,IF(MOD(IF(MONTH(B36)=12,YEAR(B36)+1,YEAR(B36)),4)=0,29,28),IF(OR(IF(MONTH(B36)=12,1,MONTH(B36)+1)=4,IF(MONTH(B36)=12,1,MONTH(B36)+1)=6,IF(MONTH(B36)=12,1,MONTH(B36)+1)=9,IF(MONTH(B36)=12,1,MONTH(B36)+1)=11),30,DAY($B$25)))))</f>
        <v>46554</v>
      </c>
      <c r="C37" s="250" t="str">
        <f t="shared" si="1"/>
        <v/>
      </c>
      <c r="D37" s="251" t="e">
        <f t="shared" si="2"/>
        <v>#N/A</v>
      </c>
      <c r="E37" s="251">
        <f t="shared" si="3"/>
        <v>0</v>
      </c>
      <c r="F37" s="251">
        <f t="shared" si="4"/>
        <v>0</v>
      </c>
      <c r="G37" s="251">
        <f t="shared" si="5"/>
        <v>0</v>
      </c>
      <c r="H37" s="251" t="e">
        <f t="shared" si="6"/>
        <v>#VALUE!</v>
      </c>
      <c r="I37" s="251">
        <f t="shared" si="7"/>
        <v>0</v>
      </c>
      <c r="J37" s="251">
        <f t="shared" si="18"/>
        <v>0</v>
      </c>
      <c r="K37" s="251">
        <f t="shared" si="8"/>
        <v>0</v>
      </c>
      <c r="L37" s="174"/>
      <c r="M37" s="224"/>
      <c r="N37" s="225">
        <f t="shared" si="9"/>
        <v>0</v>
      </c>
      <c r="O37" s="251" t="e">
        <f t="shared" si="10"/>
        <v>#N/A</v>
      </c>
      <c r="P37" s="251">
        <f t="shared" si="19"/>
        <v>0</v>
      </c>
      <c r="Q37" s="251">
        <f t="shared" si="11"/>
        <v>0</v>
      </c>
      <c r="R37" s="251">
        <f t="shared" si="12"/>
        <v>0</v>
      </c>
      <c r="S37" s="251" t="e">
        <f t="shared" si="13"/>
        <v>#VALUE!</v>
      </c>
      <c r="T37" s="251">
        <f t="shared" si="0"/>
        <v>0</v>
      </c>
      <c r="U37" s="252">
        <f>TRUNC(T37*Condições!$C$102,2)</f>
        <v>0</v>
      </c>
      <c r="V37" s="199">
        <f t="shared" si="20"/>
        <v>0</v>
      </c>
      <c r="W37" s="161" t="e">
        <f t="shared" si="14"/>
        <v>#N/A</v>
      </c>
      <c r="X37" s="161" t="e">
        <f t="shared" si="15"/>
        <v>#N/A</v>
      </c>
      <c r="Y37" s="161">
        <f t="shared" si="21"/>
        <v>12</v>
      </c>
      <c r="Z37" s="161">
        <f t="shared" ca="1" si="22"/>
        <v>6</v>
      </c>
      <c r="AA37" s="82">
        <f t="shared" si="27"/>
        <v>10</v>
      </c>
      <c r="AB37" s="82" t="s">
        <v>19</v>
      </c>
      <c r="AG37" s="114">
        <f t="shared" si="23"/>
        <v>0</v>
      </c>
      <c r="AH37" s="113"/>
      <c r="AI37" s="199">
        <f ca="1">IF(AL37=0,0,IF(AL37&gt;Preenchimento!$AA$88*12,0,IF($AC$53=AM37,0,1)))</f>
        <v>0</v>
      </c>
      <c r="AJ37" s="161" t="e">
        <f t="shared" ca="1" si="24"/>
        <v>#N/A</v>
      </c>
      <c r="AK37" s="161" t="e">
        <f t="shared" ca="1" si="16"/>
        <v>#N/A</v>
      </c>
      <c r="AL37" s="161">
        <f ca="1">IF(Y37&gt;(Preenchimento!$AA$90*12),0,Fixa!Y37)</f>
        <v>0</v>
      </c>
      <c r="AM37" s="161">
        <f t="shared" ca="1" si="25"/>
        <v>6</v>
      </c>
      <c r="AN37" s="199">
        <f ca="1">IF(AQ37&gt;Preenchimento!$AA$90*12,0,1)</f>
        <v>0</v>
      </c>
      <c r="AO37" s="161" t="e">
        <f ca="1">1/((1+SAC!$AD$29)^AL37)</f>
        <v>#N/A</v>
      </c>
      <c r="AP37" s="82" t="e">
        <f t="shared" ca="1" si="26"/>
        <v>#N/A</v>
      </c>
      <c r="AQ37" s="82">
        <v>12</v>
      </c>
      <c r="AS37" s="477">
        <f t="shared" ca="1" si="17"/>
        <v>0</v>
      </c>
    </row>
    <row r="38" spans="1:45" ht="12" customHeight="1">
      <c r="A38" s="53">
        <v>13</v>
      </c>
      <c r="B38" s="249">
        <f ca="1">DATE(IF(MONTH(B37)=12,YEAR(B37)+1,YEAR(B37)),IF(MONTH(B37)=12,1,MONTH(B37)+1),MIN(DAY(Condições!$C$109),IF(IF(MONTH(B37)=12,1,MONTH(B37)+1)=2,IF(MOD(IF(MONTH(B37)=12,YEAR(B37)+1,YEAR(B37)),4)=0,29,28),IF(OR(IF(MONTH(B37)=12,1,MONTH(B37)+1)=4,IF(MONTH(B37)=12,1,MONTH(B37)+1)=6,IF(MONTH(B37)=12,1,MONTH(B37)+1)=9,IF(MONTH(B37)=12,1,MONTH(B37)+1)=11),30,DAY($B$25)))))</f>
        <v>46584</v>
      </c>
      <c r="C38" s="250" t="str">
        <f t="shared" si="1"/>
        <v/>
      </c>
      <c r="D38" s="251" t="e">
        <f t="shared" si="2"/>
        <v>#N/A</v>
      </c>
      <c r="E38" s="251">
        <f t="shared" si="3"/>
        <v>0</v>
      </c>
      <c r="F38" s="251">
        <f t="shared" si="4"/>
        <v>0</v>
      </c>
      <c r="G38" s="251">
        <f t="shared" si="5"/>
        <v>0</v>
      </c>
      <c r="H38" s="251" t="e">
        <f t="shared" si="6"/>
        <v>#VALUE!</v>
      </c>
      <c r="I38" s="251">
        <f t="shared" si="7"/>
        <v>0</v>
      </c>
      <c r="J38" s="251">
        <f t="shared" si="18"/>
        <v>0</v>
      </c>
      <c r="K38" s="251">
        <f t="shared" si="8"/>
        <v>0</v>
      </c>
      <c r="L38" s="174"/>
      <c r="M38" s="224"/>
      <c r="N38" s="225">
        <f t="shared" si="9"/>
        <v>0</v>
      </c>
      <c r="O38" s="251" t="e">
        <f t="shared" si="10"/>
        <v>#N/A</v>
      </c>
      <c r="P38" s="251">
        <f t="shared" si="19"/>
        <v>0</v>
      </c>
      <c r="Q38" s="251">
        <f t="shared" si="11"/>
        <v>0</v>
      </c>
      <c r="R38" s="251">
        <f t="shared" si="12"/>
        <v>0</v>
      </c>
      <c r="S38" s="251" t="e">
        <f t="shared" si="13"/>
        <v>#VALUE!</v>
      </c>
      <c r="T38" s="251">
        <f t="shared" si="0"/>
        <v>0</v>
      </c>
      <c r="U38" s="252">
        <f>TRUNC(T38*Condições!$C$102,2)</f>
        <v>0</v>
      </c>
      <c r="V38" s="199">
        <f t="shared" si="20"/>
        <v>0</v>
      </c>
      <c r="W38" s="161" t="e">
        <f t="shared" si="14"/>
        <v>#N/A</v>
      </c>
      <c r="X38" s="161" t="e">
        <f t="shared" si="15"/>
        <v>#N/A</v>
      </c>
      <c r="Y38" s="161">
        <f t="shared" si="21"/>
        <v>13</v>
      </c>
      <c r="Z38" s="161">
        <f t="shared" ca="1" si="22"/>
        <v>7</v>
      </c>
      <c r="AA38" s="82">
        <f t="shared" si="27"/>
        <v>11</v>
      </c>
      <c r="AB38" s="82" t="s">
        <v>20</v>
      </c>
      <c r="AG38" s="114">
        <f t="shared" si="23"/>
        <v>0</v>
      </c>
      <c r="AH38" s="113"/>
      <c r="AI38" s="199">
        <f ca="1">IF(AL38=0,0,IF(AL38&gt;Preenchimento!$AA$88*12,0,IF($AC$53=AM38,0,1)))</f>
        <v>0</v>
      </c>
      <c r="AJ38" s="161" t="e">
        <f t="shared" ca="1" si="24"/>
        <v>#N/A</v>
      </c>
      <c r="AK38" s="161" t="e">
        <f t="shared" ca="1" si="16"/>
        <v>#N/A</v>
      </c>
      <c r="AL38" s="161">
        <f ca="1">IF(Y38&gt;(Preenchimento!$AA$90*12),0,Fixa!Y38)</f>
        <v>0</v>
      </c>
      <c r="AM38" s="161">
        <f t="shared" ca="1" si="25"/>
        <v>7</v>
      </c>
      <c r="AN38" s="199">
        <f ca="1">IF(AQ38&gt;Preenchimento!$AA$90*12,0,1)</f>
        <v>0</v>
      </c>
      <c r="AO38" s="161" t="e">
        <f ca="1">1/((1+SAC!$AD$29)^AL38)</f>
        <v>#N/A</v>
      </c>
      <c r="AP38" s="82" t="e">
        <f t="shared" ca="1" si="26"/>
        <v>#N/A</v>
      </c>
      <c r="AQ38" s="82">
        <v>13</v>
      </c>
      <c r="AS38" s="477">
        <f t="shared" ca="1" si="17"/>
        <v>0</v>
      </c>
    </row>
    <row r="39" spans="1:45" ht="12" customHeight="1">
      <c r="A39" s="53">
        <v>14</v>
      </c>
      <c r="B39" s="249">
        <f ca="1">DATE(IF(MONTH(B38)=12,YEAR(B38)+1,YEAR(B38)),IF(MONTH(B38)=12,1,MONTH(B38)+1),MIN(DAY(Condições!$C$109),IF(IF(MONTH(B38)=12,1,MONTH(B38)+1)=2,IF(MOD(IF(MONTH(B38)=12,YEAR(B38)+1,YEAR(B38)),4)=0,29,28),IF(OR(IF(MONTH(B38)=12,1,MONTH(B38)+1)=4,IF(MONTH(B38)=12,1,MONTH(B38)+1)=6,IF(MONTH(B38)=12,1,MONTH(B38)+1)=9,IF(MONTH(B38)=12,1,MONTH(B38)+1)=11),30,DAY($B$25)))))</f>
        <v>46615</v>
      </c>
      <c r="C39" s="250" t="str">
        <f t="shared" si="1"/>
        <v/>
      </c>
      <c r="D39" s="251" t="e">
        <f t="shared" si="2"/>
        <v>#N/A</v>
      </c>
      <c r="E39" s="251">
        <f t="shared" si="3"/>
        <v>0</v>
      </c>
      <c r="F39" s="251">
        <f t="shared" si="4"/>
        <v>0</v>
      </c>
      <c r="G39" s="251">
        <f t="shared" si="5"/>
        <v>0</v>
      </c>
      <c r="H39" s="251" t="e">
        <f t="shared" si="6"/>
        <v>#VALUE!</v>
      </c>
      <c r="I39" s="251">
        <f t="shared" si="7"/>
        <v>0</v>
      </c>
      <c r="J39" s="251">
        <f t="shared" si="18"/>
        <v>0</v>
      </c>
      <c r="K39" s="251">
        <f t="shared" si="8"/>
        <v>0</v>
      </c>
      <c r="L39" s="174"/>
      <c r="M39" s="224"/>
      <c r="N39" s="225">
        <f t="shared" si="9"/>
        <v>0</v>
      </c>
      <c r="O39" s="251" t="e">
        <f t="shared" si="10"/>
        <v>#N/A</v>
      </c>
      <c r="P39" s="251">
        <f t="shared" si="19"/>
        <v>0</v>
      </c>
      <c r="Q39" s="251">
        <f t="shared" si="11"/>
        <v>0</v>
      </c>
      <c r="R39" s="251">
        <f t="shared" si="12"/>
        <v>0</v>
      </c>
      <c r="S39" s="251" t="e">
        <f t="shared" si="13"/>
        <v>#VALUE!</v>
      </c>
      <c r="T39" s="251">
        <f t="shared" si="0"/>
        <v>0</v>
      </c>
      <c r="U39" s="252">
        <f>TRUNC(T39*Condições!$C$102,2)</f>
        <v>0</v>
      </c>
      <c r="V39" s="199">
        <f t="shared" si="20"/>
        <v>0</v>
      </c>
      <c r="W39" s="161" t="e">
        <f t="shared" si="14"/>
        <v>#N/A</v>
      </c>
      <c r="X39" s="161" t="e">
        <f t="shared" si="15"/>
        <v>#N/A</v>
      </c>
      <c r="Y39" s="161">
        <f t="shared" si="21"/>
        <v>14</v>
      </c>
      <c r="Z39" s="161">
        <f t="shared" ca="1" si="22"/>
        <v>8</v>
      </c>
      <c r="AA39" s="82">
        <f t="shared" si="27"/>
        <v>12</v>
      </c>
      <c r="AB39" s="82" t="s">
        <v>21</v>
      </c>
      <c r="AG39" s="114">
        <f t="shared" si="23"/>
        <v>0</v>
      </c>
      <c r="AH39" s="113"/>
      <c r="AI39" s="199">
        <f ca="1">IF(AL39=0,0,IF(AL39&gt;Preenchimento!$AA$88*12,0,IF($AC$53=AM39,0,1)))</f>
        <v>0</v>
      </c>
      <c r="AJ39" s="161" t="e">
        <f t="shared" ca="1" si="24"/>
        <v>#N/A</v>
      </c>
      <c r="AK39" s="161" t="e">
        <f t="shared" ca="1" si="16"/>
        <v>#N/A</v>
      </c>
      <c r="AL39" s="161">
        <f ca="1">IF(Y39&gt;(Preenchimento!$AA$90*12),0,Fixa!Y39)</f>
        <v>0</v>
      </c>
      <c r="AM39" s="161">
        <f t="shared" ca="1" si="25"/>
        <v>8</v>
      </c>
      <c r="AN39" s="199">
        <f ca="1">IF(AQ39&gt;Preenchimento!$AA$90*12,0,1)</f>
        <v>0</v>
      </c>
      <c r="AO39" s="161" t="e">
        <f ca="1">1/((1+SAC!$AD$29)^AL39)</f>
        <v>#N/A</v>
      </c>
      <c r="AP39" s="82" t="e">
        <f t="shared" ca="1" si="26"/>
        <v>#N/A</v>
      </c>
      <c r="AQ39" s="82">
        <v>14</v>
      </c>
      <c r="AS39" s="477">
        <f t="shared" ca="1" si="17"/>
        <v>0</v>
      </c>
    </row>
    <row r="40" spans="1:45" ht="12" customHeight="1">
      <c r="A40" s="53">
        <v>15</v>
      </c>
      <c r="B40" s="249">
        <f ca="1">DATE(IF(MONTH(B39)=12,YEAR(B39)+1,YEAR(B39)),IF(MONTH(B39)=12,1,MONTH(B39)+1),MIN(DAY(Condições!$C$109),IF(IF(MONTH(B39)=12,1,MONTH(B39)+1)=2,IF(MOD(IF(MONTH(B39)=12,YEAR(B39)+1,YEAR(B39)),4)=0,29,28),IF(OR(IF(MONTH(B39)=12,1,MONTH(B39)+1)=4,IF(MONTH(B39)=12,1,MONTH(B39)+1)=6,IF(MONTH(B39)=12,1,MONTH(B39)+1)=9,IF(MONTH(B39)=12,1,MONTH(B39)+1)=11),30,DAY($B$25)))))</f>
        <v>46646</v>
      </c>
      <c r="C40" s="250" t="str">
        <f t="shared" si="1"/>
        <v/>
      </c>
      <c r="D40" s="251" t="e">
        <f t="shared" si="2"/>
        <v>#N/A</v>
      </c>
      <c r="E40" s="251">
        <f t="shared" si="3"/>
        <v>0</v>
      </c>
      <c r="F40" s="251">
        <f t="shared" si="4"/>
        <v>0</v>
      </c>
      <c r="G40" s="251">
        <f t="shared" si="5"/>
        <v>0</v>
      </c>
      <c r="H40" s="251" t="e">
        <f t="shared" si="6"/>
        <v>#VALUE!</v>
      </c>
      <c r="I40" s="251">
        <f t="shared" si="7"/>
        <v>0</v>
      </c>
      <c r="J40" s="251">
        <f t="shared" si="18"/>
        <v>0</v>
      </c>
      <c r="K40" s="251">
        <f t="shared" si="8"/>
        <v>0</v>
      </c>
      <c r="L40" s="174"/>
      <c r="M40" s="224"/>
      <c r="N40" s="225">
        <f t="shared" si="9"/>
        <v>0</v>
      </c>
      <c r="O40" s="251" t="e">
        <f t="shared" si="10"/>
        <v>#N/A</v>
      </c>
      <c r="P40" s="251">
        <f t="shared" si="19"/>
        <v>0</v>
      </c>
      <c r="Q40" s="251">
        <f t="shared" si="11"/>
        <v>0</v>
      </c>
      <c r="R40" s="251">
        <f t="shared" si="12"/>
        <v>0</v>
      </c>
      <c r="S40" s="251" t="e">
        <f t="shared" si="13"/>
        <v>#VALUE!</v>
      </c>
      <c r="T40" s="251">
        <f t="shared" si="0"/>
        <v>0</v>
      </c>
      <c r="U40" s="252">
        <f>TRUNC(T40*Condições!$C$102,2)</f>
        <v>0</v>
      </c>
      <c r="V40" s="199">
        <f t="shared" si="20"/>
        <v>0</v>
      </c>
      <c r="W40" s="161" t="e">
        <f t="shared" si="14"/>
        <v>#N/A</v>
      </c>
      <c r="X40" s="161" t="e">
        <f t="shared" si="15"/>
        <v>#N/A</v>
      </c>
      <c r="Y40" s="161">
        <f t="shared" si="21"/>
        <v>15</v>
      </c>
      <c r="Z40" s="161">
        <f t="shared" ca="1" si="22"/>
        <v>9</v>
      </c>
      <c r="AG40" s="114">
        <f t="shared" si="23"/>
        <v>0</v>
      </c>
      <c r="AH40" s="113"/>
      <c r="AI40" s="199">
        <f ca="1">IF(AL40=0,0,IF(AL40&gt;Preenchimento!$AA$88*12,0,IF($AC$53=AM40,0,1)))</f>
        <v>0</v>
      </c>
      <c r="AJ40" s="161" t="e">
        <f t="shared" ca="1" si="24"/>
        <v>#N/A</v>
      </c>
      <c r="AK40" s="161" t="e">
        <f t="shared" ca="1" si="16"/>
        <v>#N/A</v>
      </c>
      <c r="AL40" s="161">
        <f ca="1">IF(Y40&gt;(Preenchimento!$AA$90*12),0,Fixa!Y40)</f>
        <v>0</v>
      </c>
      <c r="AM40" s="161">
        <f t="shared" ca="1" si="25"/>
        <v>9</v>
      </c>
      <c r="AN40" s="199">
        <f ca="1">IF(AQ40&gt;Preenchimento!$AA$90*12,0,1)</f>
        <v>0</v>
      </c>
      <c r="AO40" s="161" t="e">
        <f ca="1">1/((1+SAC!$AD$29)^AL40)</f>
        <v>#N/A</v>
      </c>
      <c r="AP40" s="82" t="e">
        <f t="shared" ca="1" si="26"/>
        <v>#N/A</v>
      </c>
      <c r="AQ40" s="82">
        <v>15</v>
      </c>
      <c r="AS40" s="477">
        <f t="shared" ca="1" si="17"/>
        <v>0</v>
      </c>
    </row>
    <row r="41" spans="1:45" ht="12" customHeight="1">
      <c r="A41" s="53">
        <v>16</v>
      </c>
      <c r="B41" s="249">
        <f ca="1">DATE(IF(MONTH(B40)=12,YEAR(B40)+1,YEAR(B40)),IF(MONTH(B40)=12,1,MONTH(B40)+1),MIN(DAY(Condições!$C$109),IF(IF(MONTH(B40)=12,1,MONTH(B40)+1)=2,IF(MOD(IF(MONTH(B40)=12,YEAR(B40)+1,YEAR(B40)),4)=0,29,28),IF(OR(IF(MONTH(B40)=12,1,MONTH(B40)+1)=4,IF(MONTH(B40)=12,1,MONTH(B40)+1)=6,IF(MONTH(B40)=12,1,MONTH(B40)+1)=9,IF(MONTH(B40)=12,1,MONTH(B40)+1)=11),30,DAY($B$25)))))</f>
        <v>46676</v>
      </c>
      <c r="C41" s="250" t="str">
        <f t="shared" si="1"/>
        <v/>
      </c>
      <c r="D41" s="251" t="e">
        <f t="shared" si="2"/>
        <v>#N/A</v>
      </c>
      <c r="E41" s="251">
        <f t="shared" si="3"/>
        <v>0</v>
      </c>
      <c r="F41" s="251">
        <f t="shared" si="4"/>
        <v>0</v>
      </c>
      <c r="G41" s="251">
        <f t="shared" si="5"/>
        <v>0</v>
      </c>
      <c r="H41" s="251" t="e">
        <f t="shared" si="6"/>
        <v>#VALUE!</v>
      </c>
      <c r="I41" s="251">
        <f t="shared" si="7"/>
        <v>0</v>
      </c>
      <c r="J41" s="251">
        <f t="shared" si="18"/>
        <v>0</v>
      </c>
      <c r="K41" s="251">
        <f t="shared" si="8"/>
        <v>0</v>
      </c>
      <c r="L41" s="174"/>
      <c r="M41" s="224"/>
      <c r="N41" s="225">
        <f t="shared" si="9"/>
        <v>0</v>
      </c>
      <c r="O41" s="251" t="e">
        <f t="shared" si="10"/>
        <v>#N/A</v>
      </c>
      <c r="P41" s="251">
        <f t="shared" si="19"/>
        <v>0</v>
      </c>
      <c r="Q41" s="251">
        <f t="shared" si="11"/>
        <v>0</v>
      </c>
      <c r="R41" s="251">
        <f t="shared" si="12"/>
        <v>0</v>
      </c>
      <c r="S41" s="251" t="e">
        <f t="shared" si="13"/>
        <v>#VALUE!</v>
      </c>
      <c r="T41" s="251">
        <f t="shared" si="0"/>
        <v>0</v>
      </c>
      <c r="U41" s="252">
        <f>TRUNC(T41*Condições!$C$102,2)</f>
        <v>0</v>
      </c>
      <c r="V41" s="199">
        <f t="shared" si="20"/>
        <v>0</v>
      </c>
      <c r="W41" s="161" t="e">
        <f t="shared" si="14"/>
        <v>#N/A</v>
      </c>
      <c r="X41" s="161" t="e">
        <f t="shared" si="15"/>
        <v>#N/A</v>
      </c>
      <c r="Y41" s="161">
        <f t="shared" si="21"/>
        <v>16</v>
      </c>
      <c r="Z41" s="161">
        <f t="shared" ca="1" si="22"/>
        <v>10</v>
      </c>
      <c r="AG41" s="114">
        <f t="shared" si="23"/>
        <v>0</v>
      </c>
      <c r="AH41" s="113"/>
      <c r="AI41" s="199">
        <f ca="1">IF(AL41=0,0,IF(AL41&gt;Preenchimento!$AA$88*12,0,IF($AC$53=AM41,0,1)))</f>
        <v>0</v>
      </c>
      <c r="AJ41" s="161" t="e">
        <f t="shared" ca="1" si="24"/>
        <v>#N/A</v>
      </c>
      <c r="AK41" s="161" t="e">
        <f t="shared" ca="1" si="16"/>
        <v>#N/A</v>
      </c>
      <c r="AL41" s="161">
        <f ca="1">IF(Y41&gt;(Preenchimento!$AA$90*12),0,Fixa!Y41)</f>
        <v>0</v>
      </c>
      <c r="AM41" s="161">
        <f t="shared" ca="1" si="25"/>
        <v>10</v>
      </c>
      <c r="AN41" s="199">
        <f ca="1">IF(AQ41&gt;Preenchimento!$AA$90*12,0,1)</f>
        <v>0</v>
      </c>
      <c r="AO41" s="161" t="e">
        <f ca="1">1/((1+SAC!$AD$29)^AL41)</f>
        <v>#N/A</v>
      </c>
      <c r="AP41" s="82" t="e">
        <f t="shared" ca="1" si="26"/>
        <v>#N/A</v>
      </c>
      <c r="AQ41" s="82">
        <v>16</v>
      </c>
      <c r="AS41" s="477">
        <f t="shared" ca="1" si="17"/>
        <v>0</v>
      </c>
    </row>
    <row r="42" spans="1:45" ht="12" customHeight="1">
      <c r="A42" s="53">
        <v>17</v>
      </c>
      <c r="B42" s="249">
        <f ca="1">DATE(IF(MONTH(B41)=12,YEAR(B41)+1,YEAR(B41)),IF(MONTH(B41)=12,1,MONTH(B41)+1),MIN(DAY(Condições!$C$109),IF(IF(MONTH(B41)=12,1,MONTH(B41)+1)=2,IF(MOD(IF(MONTH(B41)=12,YEAR(B41)+1,YEAR(B41)),4)=0,29,28),IF(OR(IF(MONTH(B41)=12,1,MONTH(B41)+1)=4,IF(MONTH(B41)=12,1,MONTH(B41)+1)=6,IF(MONTH(B41)=12,1,MONTH(B41)+1)=9,IF(MONTH(B41)=12,1,MONTH(B41)+1)=11),30,DAY($B$25)))))</f>
        <v>46707</v>
      </c>
      <c r="C42" s="250" t="str">
        <f t="shared" si="1"/>
        <v/>
      </c>
      <c r="D42" s="251" t="e">
        <f t="shared" si="2"/>
        <v>#N/A</v>
      </c>
      <c r="E42" s="251">
        <f t="shared" si="3"/>
        <v>0</v>
      </c>
      <c r="F42" s="251">
        <f t="shared" si="4"/>
        <v>0</v>
      </c>
      <c r="G42" s="251">
        <f t="shared" si="5"/>
        <v>0</v>
      </c>
      <c r="H42" s="251" t="e">
        <f t="shared" si="6"/>
        <v>#VALUE!</v>
      </c>
      <c r="I42" s="251">
        <f t="shared" si="7"/>
        <v>0</v>
      </c>
      <c r="J42" s="251">
        <f t="shared" si="18"/>
        <v>0</v>
      </c>
      <c r="K42" s="251">
        <f t="shared" si="8"/>
        <v>0</v>
      </c>
      <c r="L42" s="174"/>
      <c r="M42" s="224"/>
      <c r="N42" s="225">
        <f t="shared" si="9"/>
        <v>0</v>
      </c>
      <c r="O42" s="251" t="e">
        <f t="shared" si="10"/>
        <v>#N/A</v>
      </c>
      <c r="P42" s="251">
        <f t="shared" si="19"/>
        <v>0</v>
      </c>
      <c r="Q42" s="251">
        <f t="shared" si="11"/>
        <v>0</v>
      </c>
      <c r="R42" s="251">
        <f t="shared" si="12"/>
        <v>0</v>
      </c>
      <c r="S42" s="251" t="e">
        <f t="shared" si="13"/>
        <v>#VALUE!</v>
      </c>
      <c r="T42" s="251">
        <f t="shared" si="0"/>
        <v>0</v>
      </c>
      <c r="U42" s="252">
        <f>TRUNC(T42*Condições!$C$102,2)</f>
        <v>0</v>
      </c>
      <c r="V42" s="199">
        <f t="shared" si="20"/>
        <v>0</v>
      </c>
      <c r="W42" s="161" t="e">
        <f t="shared" si="14"/>
        <v>#N/A</v>
      </c>
      <c r="X42" s="161" t="e">
        <f t="shared" si="15"/>
        <v>#N/A</v>
      </c>
      <c r="Y42" s="161">
        <f t="shared" si="21"/>
        <v>17</v>
      </c>
      <c r="Z42" s="161">
        <f t="shared" ca="1" si="22"/>
        <v>11</v>
      </c>
      <c r="AG42" s="114">
        <f t="shared" si="23"/>
        <v>0</v>
      </c>
      <c r="AH42" s="113"/>
      <c r="AI42" s="199">
        <f ca="1">IF(AL42=0,0,IF(AL42&gt;Preenchimento!$AA$88*12,0,IF($AC$53=AM42,0,1)))</f>
        <v>0</v>
      </c>
      <c r="AJ42" s="161" t="e">
        <f t="shared" ca="1" si="24"/>
        <v>#N/A</v>
      </c>
      <c r="AK42" s="161" t="e">
        <f t="shared" ca="1" si="16"/>
        <v>#N/A</v>
      </c>
      <c r="AL42" s="161">
        <f ca="1">IF(Y42&gt;(Preenchimento!$AA$90*12),0,Fixa!Y42)</f>
        <v>0</v>
      </c>
      <c r="AM42" s="161">
        <f t="shared" ca="1" si="25"/>
        <v>11</v>
      </c>
      <c r="AN42" s="199">
        <f ca="1">IF(AQ42&gt;Preenchimento!$AA$90*12,0,1)</f>
        <v>0</v>
      </c>
      <c r="AO42" s="161" t="e">
        <f ca="1">1/((1+SAC!$AD$29)^AL42)</f>
        <v>#N/A</v>
      </c>
      <c r="AP42" s="82" t="e">
        <f t="shared" ca="1" si="26"/>
        <v>#N/A</v>
      </c>
      <c r="AQ42" s="82">
        <v>17</v>
      </c>
      <c r="AS42" s="477">
        <f t="shared" ca="1" si="17"/>
        <v>0</v>
      </c>
    </row>
    <row r="43" spans="1:45" ht="12" customHeight="1">
      <c r="A43" s="53">
        <v>18</v>
      </c>
      <c r="B43" s="249">
        <f ca="1">DATE(IF(MONTH(B42)=12,YEAR(B42)+1,YEAR(B42)),IF(MONTH(B42)=12,1,MONTH(B42)+1),MIN(DAY(Condições!$C$109),IF(IF(MONTH(B42)=12,1,MONTH(B42)+1)=2,IF(MOD(IF(MONTH(B42)=12,YEAR(B42)+1,YEAR(B42)),4)=0,29,28),IF(OR(IF(MONTH(B42)=12,1,MONTH(B42)+1)=4,IF(MONTH(B42)=12,1,MONTH(B42)+1)=6,IF(MONTH(B42)=12,1,MONTH(B42)+1)=9,IF(MONTH(B42)=12,1,MONTH(B42)+1)=11),30,DAY($B$25)))))</f>
        <v>46737</v>
      </c>
      <c r="C43" s="250" t="str">
        <f t="shared" si="1"/>
        <v/>
      </c>
      <c r="D43" s="251" t="e">
        <f t="shared" si="2"/>
        <v>#N/A</v>
      </c>
      <c r="E43" s="251">
        <f t="shared" si="3"/>
        <v>0</v>
      </c>
      <c r="F43" s="251">
        <f t="shared" si="4"/>
        <v>0</v>
      </c>
      <c r="G43" s="251">
        <f t="shared" si="5"/>
        <v>0</v>
      </c>
      <c r="H43" s="251" t="e">
        <f t="shared" si="6"/>
        <v>#VALUE!</v>
      </c>
      <c r="I43" s="251">
        <f t="shared" si="7"/>
        <v>0</v>
      </c>
      <c r="J43" s="251">
        <f t="shared" si="18"/>
        <v>0</v>
      </c>
      <c r="K43" s="251">
        <f t="shared" si="8"/>
        <v>0</v>
      </c>
      <c r="L43" s="174"/>
      <c r="M43" s="224"/>
      <c r="N43" s="225">
        <f t="shared" si="9"/>
        <v>0</v>
      </c>
      <c r="O43" s="251" t="e">
        <f t="shared" si="10"/>
        <v>#N/A</v>
      </c>
      <c r="P43" s="251">
        <f t="shared" si="19"/>
        <v>0</v>
      </c>
      <c r="Q43" s="251">
        <f t="shared" si="11"/>
        <v>0</v>
      </c>
      <c r="R43" s="251">
        <f t="shared" si="12"/>
        <v>0</v>
      </c>
      <c r="S43" s="251" t="e">
        <f t="shared" si="13"/>
        <v>#VALUE!</v>
      </c>
      <c r="T43" s="251">
        <f t="shared" si="0"/>
        <v>0</v>
      </c>
      <c r="U43" s="252">
        <f>TRUNC(T43*Condições!$C$102,2)</f>
        <v>0</v>
      </c>
      <c r="V43" s="199">
        <f t="shared" si="20"/>
        <v>0</v>
      </c>
      <c r="W43" s="161" t="e">
        <f t="shared" si="14"/>
        <v>#N/A</v>
      </c>
      <c r="X43" s="161" t="e">
        <f t="shared" si="15"/>
        <v>#N/A</v>
      </c>
      <c r="Y43" s="161">
        <f t="shared" si="21"/>
        <v>18</v>
      </c>
      <c r="Z43" s="161">
        <f t="shared" ca="1" si="22"/>
        <v>12</v>
      </c>
      <c r="AB43" s="161" t="s">
        <v>63</v>
      </c>
      <c r="AC43" s="227">
        <f>AC44*0.8</f>
        <v>0</v>
      </c>
      <c r="AG43" s="114">
        <f t="shared" si="23"/>
        <v>0</v>
      </c>
      <c r="AH43" s="113"/>
      <c r="AI43" s="199">
        <f ca="1">IF(AL43=0,0,IF(AL43&gt;Preenchimento!$AA$88*12,0,IF($AC$53=AM43,0,1)))</f>
        <v>0</v>
      </c>
      <c r="AJ43" s="161" t="e">
        <f t="shared" ca="1" si="24"/>
        <v>#N/A</v>
      </c>
      <c r="AK43" s="161" t="e">
        <f t="shared" ca="1" si="16"/>
        <v>#N/A</v>
      </c>
      <c r="AL43" s="161">
        <f ca="1">IF(Y43&gt;(Preenchimento!$AA$90*12),0,Fixa!Y43)</f>
        <v>0</v>
      </c>
      <c r="AM43" s="161">
        <f t="shared" ca="1" si="25"/>
        <v>12</v>
      </c>
      <c r="AN43" s="199">
        <f ca="1">IF(AQ43&gt;Preenchimento!$AA$90*12,0,1)</f>
        <v>0</v>
      </c>
      <c r="AO43" s="161" t="e">
        <f ca="1">1/((1+SAC!$AD$29)^AL43)</f>
        <v>#N/A</v>
      </c>
      <c r="AP43" s="82" t="e">
        <f t="shared" ca="1" si="26"/>
        <v>#N/A</v>
      </c>
      <c r="AQ43" s="82">
        <v>18</v>
      </c>
      <c r="AS43" s="477">
        <f t="shared" ca="1" si="17"/>
        <v>0</v>
      </c>
    </row>
    <row r="44" spans="1:45" ht="12" customHeight="1">
      <c r="A44" s="53">
        <v>19</v>
      </c>
      <c r="B44" s="249">
        <f ca="1">DATE(IF(MONTH(B43)=12,YEAR(B43)+1,YEAR(B43)),IF(MONTH(B43)=12,1,MONTH(B43)+1),MIN(DAY(Condições!$C$109),IF(IF(MONTH(B43)=12,1,MONTH(B43)+1)=2,IF(MOD(IF(MONTH(B43)=12,YEAR(B43)+1,YEAR(B43)),4)=0,29,28),IF(OR(IF(MONTH(B43)=12,1,MONTH(B43)+1)=4,IF(MONTH(B43)=12,1,MONTH(B43)+1)=6,IF(MONTH(B43)=12,1,MONTH(B43)+1)=9,IF(MONTH(B43)=12,1,MONTH(B43)+1)=11),30,DAY($B$25)))))</f>
        <v>46768</v>
      </c>
      <c r="C44" s="250" t="str">
        <f t="shared" si="1"/>
        <v/>
      </c>
      <c r="D44" s="251" t="e">
        <f t="shared" si="2"/>
        <v>#N/A</v>
      </c>
      <c r="E44" s="251">
        <f t="shared" si="3"/>
        <v>0</v>
      </c>
      <c r="F44" s="251">
        <f t="shared" si="4"/>
        <v>0</v>
      </c>
      <c r="G44" s="251">
        <f t="shared" si="5"/>
        <v>0</v>
      </c>
      <c r="H44" s="251" t="e">
        <f t="shared" si="6"/>
        <v>#VALUE!</v>
      </c>
      <c r="I44" s="251">
        <f t="shared" si="7"/>
        <v>0</v>
      </c>
      <c r="J44" s="251">
        <f t="shared" si="18"/>
        <v>0</v>
      </c>
      <c r="K44" s="251">
        <f t="shared" si="8"/>
        <v>0</v>
      </c>
      <c r="L44" s="174"/>
      <c r="M44" s="224"/>
      <c r="N44" s="225">
        <f t="shared" si="9"/>
        <v>0</v>
      </c>
      <c r="O44" s="251" t="e">
        <f t="shared" si="10"/>
        <v>#N/A</v>
      </c>
      <c r="P44" s="251">
        <f t="shared" si="19"/>
        <v>0</v>
      </c>
      <c r="Q44" s="251">
        <f t="shared" si="11"/>
        <v>0</v>
      </c>
      <c r="R44" s="251">
        <f t="shared" si="12"/>
        <v>0</v>
      </c>
      <c r="S44" s="251" t="e">
        <f t="shared" si="13"/>
        <v>#VALUE!</v>
      </c>
      <c r="T44" s="251">
        <f t="shared" si="0"/>
        <v>0</v>
      </c>
      <c r="U44" s="252">
        <f>TRUNC(T44*Condições!$C$102,2)</f>
        <v>0</v>
      </c>
      <c r="V44" s="199">
        <f t="shared" si="20"/>
        <v>0</v>
      </c>
      <c r="W44" s="161" t="e">
        <f t="shared" si="14"/>
        <v>#N/A</v>
      </c>
      <c r="X44" s="161" t="e">
        <f t="shared" si="15"/>
        <v>#N/A</v>
      </c>
      <c r="Y44" s="161">
        <f t="shared" si="21"/>
        <v>19</v>
      </c>
      <c r="Z44" s="161">
        <f t="shared" ca="1" si="22"/>
        <v>1</v>
      </c>
      <c r="AB44" s="161" t="s">
        <v>6</v>
      </c>
      <c r="AC44" s="227">
        <f>Preenchimento!D24</f>
        <v>0</v>
      </c>
      <c r="AG44" s="114">
        <f t="shared" si="23"/>
        <v>0</v>
      </c>
      <c r="AH44" s="113"/>
      <c r="AI44" s="199">
        <f ca="1">IF(AL44=0,0,IF(AL44&gt;Preenchimento!$AA$88*12,0,IF($AC$53=AM44,0,1)))</f>
        <v>0</v>
      </c>
      <c r="AJ44" s="161" t="e">
        <f t="shared" ca="1" si="24"/>
        <v>#N/A</v>
      </c>
      <c r="AK44" s="161" t="e">
        <f t="shared" ca="1" si="16"/>
        <v>#N/A</v>
      </c>
      <c r="AL44" s="161">
        <f ca="1">IF(Y44&gt;(Preenchimento!$AA$90*12),0,Fixa!Y44)</f>
        <v>0</v>
      </c>
      <c r="AM44" s="161">
        <f t="shared" ca="1" si="25"/>
        <v>1</v>
      </c>
      <c r="AN44" s="199">
        <f ca="1">IF(AQ44&gt;Preenchimento!$AA$90*12,0,1)</f>
        <v>0</v>
      </c>
      <c r="AO44" s="161" t="e">
        <f ca="1">1/((1+SAC!$AD$29)^AL44)</f>
        <v>#N/A</v>
      </c>
      <c r="AP44" s="82" t="e">
        <f t="shared" ca="1" si="26"/>
        <v>#N/A</v>
      </c>
      <c r="AQ44" s="82">
        <v>19</v>
      </c>
      <c r="AS44" s="477">
        <f t="shared" ca="1" si="17"/>
        <v>0</v>
      </c>
    </row>
    <row r="45" spans="1:45" ht="12" customHeight="1">
      <c r="A45" s="53">
        <v>20</v>
      </c>
      <c r="B45" s="249">
        <f ca="1">DATE(IF(MONTH(B44)=12,YEAR(B44)+1,YEAR(B44)),IF(MONTH(B44)=12,1,MONTH(B44)+1),MIN(DAY(Condições!$C$109),IF(IF(MONTH(B44)=12,1,MONTH(B44)+1)=2,IF(MOD(IF(MONTH(B44)=12,YEAR(B44)+1,YEAR(B44)),4)=0,29,28),IF(OR(IF(MONTH(B44)=12,1,MONTH(B44)+1)=4,IF(MONTH(B44)=12,1,MONTH(B44)+1)=6,IF(MONTH(B44)=12,1,MONTH(B44)+1)=9,IF(MONTH(B44)=12,1,MONTH(B44)+1)=11),30,DAY($B$25)))))</f>
        <v>46799</v>
      </c>
      <c r="C45" s="250" t="str">
        <f t="shared" si="1"/>
        <v/>
      </c>
      <c r="D45" s="251" t="e">
        <f t="shared" si="2"/>
        <v>#N/A</v>
      </c>
      <c r="E45" s="251">
        <f t="shared" si="3"/>
        <v>0</v>
      </c>
      <c r="F45" s="251">
        <f t="shared" si="4"/>
        <v>0</v>
      </c>
      <c r="G45" s="251">
        <f t="shared" si="5"/>
        <v>0</v>
      </c>
      <c r="H45" s="251" t="e">
        <f t="shared" si="6"/>
        <v>#VALUE!</v>
      </c>
      <c r="I45" s="251">
        <f t="shared" si="7"/>
        <v>0</v>
      </c>
      <c r="J45" s="251">
        <f t="shared" si="18"/>
        <v>0</v>
      </c>
      <c r="K45" s="251">
        <f t="shared" si="8"/>
        <v>0</v>
      </c>
      <c r="L45" s="174"/>
      <c r="M45" s="224"/>
      <c r="N45" s="225">
        <f t="shared" si="9"/>
        <v>0</v>
      </c>
      <c r="O45" s="251" t="e">
        <f t="shared" si="10"/>
        <v>#N/A</v>
      </c>
      <c r="P45" s="251">
        <f t="shared" si="19"/>
        <v>0</v>
      </c>
      <c r="Q45" s="251">
        <f t="shared" si="11"/>
        <v>0</v>
      </c>
      <c r="R45" s="251">
        <f t="shared" si="12"/>
        <v>0</v>
      </c>
      <c r="S45" s="251" t="e">
        <f t="shared" si="13"/>
        <v>#VALUE!</v>
      </c>
      <c r="T45" s="251">
        <f t="shared" si="0"/>
        <v>0</v>
      </c>
      <c r="U45" s="252">
        <f>TRUNC(T45*Condições!$C$102,2)</f>
        <v>0</v>
      </c>
      <c r="V45" s="199">
        <f t="shared" si="20"/>
        <v>0</v>
      </c>
      <c r="W45" s="161" t="e">
        <f t="shared" si="14"/>
        <v>#N/A</v>
      </c>
      <c r="X45" s="161" t="e">
        <f t="shared" si="15"/>
        <v>#N/A</v>
      </c>
      <c r="Y45" s="161">
        <f t="shared" si="21"/>
        <v>20</v>
      </c>
      <c r="Z45" s="161">
        <f t="shared" ca="1" si="22"/>
        <v>2</v>
      </c>
      <c r="AB45" s="161" t="s">
        <v>32</v>
      </c>
      <c r="AC45" s="232">
        <f>Condições!C81</f>
        <v>0.35</v>
      </c>
      <c r="AG45" s="114">
        <f t="shared" si="23"/>
        <v>0</v>
      </c>
      <c r="AH45" s="113"/>
      <c r="AI45" s="199">
        <f ca="1">IF(AL45=0,0,IF(AL45&gt;Preenchimento!$AA$88*12,0,IF($AC$53=AM45,0,1)))</f>
        <v>0</v>
      </c>
      <c r="AJ45" s="161" t="e">
        <f t="shared" ca="1" si="24"/>
        <v>#N/A</v>
      </c>
      <c r="AK45" s="161" t="e">
        <f t="shared" ca="1" si="16"/>
        <v>#N/A</v>
      </c>
      <c r="AL45" s="161">
        <f ca="1">IF(Y45&gt;(Preenchimento!$AA$90*12),0,Fixa!Y45)</f>
        <v>0</v>
      </c>
      <c r="AM45" s="161">
        <f t="shared" ca="1" si="25"/>
        <v>2</v>
      </c>
      <c r="AN45" s="199">
        <f ca="1">IF(AQ45&gt;Preenchimento!$AA$90*12,0,1)</f>
        <v>0</v>
      </c>
      <c r="AO45" s="161" t="e">
        <f ca="1">1/((1+SAC!$AD$29)^AL45)</f>
        <v>#N/A</v>
      </c>
      <c r="AP45" s="82" t="e">
        <f t="shared" ca="1" si="26"/>
        <v>#N/A</v>
      </c>
      <c r="AQ45" s="82">
        <v>20</v>
      </c>
      <c r="AS45" s="477">
        <f t="shared" ca="1" si="17"/>
        <v>0</v>
      </c>
    </row>
    <row r="46" spans="1:45" ht="12" customHeight="1">
      <c r="A46" s="53">
        <v>21</v>
      </c>
      <c r="B46" s="249">
        <f ca="1">DATE(IF(MONTH(B45)=12,YEAR(B45)+1,YEAR(B45)),IF(MONTH(B45)=12,1,MONTH(B45)+1),MIN(DAY(Condições!$C$109),IF(IF(MONTH(B45)=12,1,MONTH(B45)+1)=2,IF(MOD(IF(MONTH(B45)=12,YEAR(B45)+1,YEAR(B45)),4)=0,29,28),IF(OR(IF(MONTH(B45)=12,1,MONTH(B45)+1)=4,IF(MONTH(B45)=12,1,MONTH(B45)+1)=6,IF(MONTH(B45)=12,1,MONTH(B45)+1)=9,IF(MONTH(B45)=12,1,MONTH(B45)+1)=11),30,DAY($B$25)))))</f>
        <v>46828</v>
      </c>
      <c r="C46" s="250" t="str">
        <f t="shared" si="1"/>
        <v/>
      </c>
      <c r="D46" s="251" t="e">
        <f t="shared" si="2"/>
        <v>#N/A</v>
      </c>
      <c r="E46" s="251">
        <f t="shared" si="3"/>
        <v>0</v>
      </c>
      <c r="F46" s="251">
        <f t="shared" si="4"/>
        <v>0</v>
      </c>
      <c r="G46" s="251">
        <f t="shared" si="5"/>
        <v>0</v>
      </c>
      <c r="H46" s="251" t="e">
        <f t="shared" si="6"/>
        <v>#VALUE!</v>
      </c>
      <c r="I46" s="251">
        <f t="shared" si="7"/>
        <v>0</v>
      </c>
      <c r="J46" s="251">
        <f t="shared" si="18"/>
        <v>0</v>
      </c>
      <c r="K46" s="251">
        <f t="shared" si="8"/>
        <v>0</v>
      </c>
      <c r="L46" s="174"/>
      <c r="M46" s="224"/>
      <c r="N46" s="225">
        <f t="shared" si="9"/>
        <v>0</v>
      </c>
      <c r="O46" s="251" t="e">
        <f t="shared" si="10"/>
        <v>#N/A</v>
      </c>
      <c r="P46" s="251">
        <f t="shared" si="19"/>
        <v>0</v>
      </c>
      <c r="Q46" s="251">
        <f t="shared" si="11"/>
        <v>0</v>
      </c>
      <c r="R46" s="251">
        <f t="shared" si="12"/>
        <v>0</v>
      </c>
      <c r="S46" s="251" t="e">
        <f t="shared" si="13"/>
        <v>#VALUE!</v>
      </c>
      <c r="T46" s="251">
        <f t="shared" si="0"/>
        <v>0</v>
      </c>
      <c r="U46" s="252">
        <f>TRUNC(T46*Condições!$C$102,2)</f>
        <v>0</v>
      </c>
      <c r="V46" s="199">
        <f t="shared" si="20"/>
        <v>0</v>
      </c>
      <c r="W46" s="161" t="e">
        <f t="shared" si="14"/>
        <v>#N/A</v>
      </c>
      <c r="X46" s="161" t="e">
        <f t="shared" si="15"/>
        <v>#N/A</v>
      </c>
      <c r="Y46" s="161">
        <f t="shared" si="21"/>
        <v>21</v>
      </c>
      <c r="Z46" s="161">
        <f t="shared" ca="1" si="22"/>
        <v>3</v>
      </c>
      <c r="AB46" s="161" t="s">
        <v>4</v>
      </c>
      <c r="AC46" s="161">
        <f>SAC!AD28</f>
        <v>0</v>
      </c>
      <c r="AG46" s="114">
        <f t="shared" si="23"/>
        <v>0</v>
      </c>
      <c r="AH46" s="113"/>
      <c r="AI46" s="199">
        <f ca="1">IF(AL46=0,0,IF(AL46&gt;Preenchimento!$AA$88*12,0,IF($AC$53=AM46,0,1)))</f>
        <v>0</v>
      </c>
      <c r="AJ46" s="161" t="e">
        <f t="shared" ca="1" si="24"/>
        <v>#N/A</v>
      </c>
      <c r="AK46" s="161" t="e">
        <f t="shared" ca="1" si="16"/>
        <v>#N/A</v>
      </c>
      <c r="AL46" s="161">
        <f ca="1">IF(Y46&gt;(Preenchimento!$AA$90*12),0,Fixa!Y46)</f>
        <v>0</v>
      </c>
      <c r="AM46" s="161">
        <f t="shared" ca="1" si="25"/>
        <v>3</v>
      </c>
      <c r="AN46" s="199">
        <f ca="1">IF(AQ46&gt;Preenchimento!$AA$90*12,0,1)</f>
        <v>0</v>
      </c>
      <c r="AO46" s="161" t="e">
        <f ca="1">1/((1+SAC!$AD$29)^AL46)</f>
        <v>#N/A</v>
      </c>
      <c r="AP46" s="82" t="e">
        <f t="shared" ca="1" si="26"/>
        <v>#N/A</v>
      </c>
      <c r="AQ46" s="82">
        <v>21</v>
      </c>
      <c r="AS46" s="477">
        <f t="shared" ca="1" si="17"/>
        <v>0</v>
      </c>
    </row>
    <row r="47" spans="1:45" ht="12" customHeight="1">
      <c r="A47" s="53">
        <v>22</v>
      </c>
      <c r="B47" s="249">
        <f ca="1">DATE(IF(MONTH(B46)=12,YEAR(B46)+1,YEAR(B46)),IF(MONTH(B46)=12,1,MONTH(B46)+1),MIN(DAY(Condições!$C$109),IF(IF(MONTH(B46)=12,1,MONTH(B46)+1)=2,IF(MOD(IF(MONTH(B46)=12,YEAR(B46)+1,YEAR(B46)),4)=0,29,28),IF(OR(IF(MONTH(B46)=12,1,MONTH(B46)+1)=4,IF(MONTH(B46)=12,1,MONTH(B46)+1)=6,IF(MONTH(B46)=12,1,MONTH(B46)+1)=9,IF(MONTH(B46)=12,1,MONTH(B46)+1)=11),30,DAY($B$25)))))</f>
        <v>46859</v>
      </c>
      <c r="C47" s="250" t="str">
        <f t="shared" si="1"/>
        <v/>
      </c>
      <c r="D47" s="251" t="e">
        <f t="shared" si="2"/>
        <v>#N/A</v>
      </c>
      <c r="E47" s="251">
        <f t="shared" si="3"/>
        <v>0</v>
      </c>
      <c r="F47" s="251">
        <f t="shared" si="4"/>
        <v>0</v>
      </c>
      <c r="G47" s="251">
        <f t="shared" si="5"/>
        <v>0</v>
      </c>
      <c r="H47" s="251" t="e">
        <f t="shared" si="6"/>
        <v>#VALUE!</v>
      </c>
      <c r="I47" s="251">
        <f t="shared" si="7"/>
        <v>0</v>
      </c>
      <c r="J47" s="251">
        <f t="shared" si="18"/>
        <v>0</v>
      </c>
      <c r="K47" s="251">
        <f t="shared" si="8"/>
        <v>0</v>
      </c>
      <c r="L47" s="174"/>
      <c r="M47" s="224"/>
      <c r="N47" s="225">
        <f t="shared" si="9"/>
        <v>0</v>
      </c>
      <c r="O47" s="251" t="e">
        <f t="shared" si="10"/>
        <v>#N/A</v>
      </c>
      <c r="P47" s="251">
        <f t="shared" si="19"/>
        <v>0</v>
      </c>
      <c r="Q47" s="251">
        <f t="shared" si="11"/>
        <v>0</v>
      </c>
      <c r="R47" s="251">
        <f t="shared" si="12"/>
        <v>0</v>
      </c>
      <c r="S47" s="251" t="e">
        <f t="shared" si="13"/>
        <v>#VALUE!</v>
      </c>
      <c r="T47" s="251">
        <f t="shared" si="0"/>
        <v>0</v>
      </c>
      <c r="U47" s="252">
        <f>TRUNC(T47*Condições!$C$102,2)</f>
        <v>0</v>
      </c>
      <c r="V47" s="199">
        <f t="shared" si="20"/>
        <v>0</v>
      </c>
      <c r="W47" s="161" t="e">
        <f t="shared" si="14"/>
        <v>#N/A</v>
      </c>
      <c r="X47" s="161" t="e">
        <f t="shared" si="15"/>
        <v>#N/A</v>
      </c>
      <c r="Y47" s="161">
        <f t="shared" si="21"/>
        <v>22</v>
      </c>
      <c r="Z47" s="161">
        <f t="shared" ca="1" si="22"/>
        <v>4</v>
      </c>
      <c r="AB47" s="161" t="s">
        <v>35</v>
      </c>
      <c r="AC47" s="237" t="e">
        <f>ROUND((1+AC48)^(1/12)-1,P18+2)</f>
        <v>#N/A</v>
      </c>
      <c r="AG47" s="114">
        <f t="shared" si="23"/>
        <v>0</v>
      </c>
      <c r="AH47" s="113"/>
      <c r="AI47" s="199">
        <f ca="1">IF(AL47=0,0,IF(AL47&gt;Preenchimento!$AA$88*12,0,IF($AC$53=AM47,0,1)))</f>
        <v>0</v>
      </c>
      <c r="AJ47" s="161" t="e">
        <f t="shared" ca="1" si="24"/>
        <v>#N/A</v>
      </c>
      <c r="AK47" s="161" t="e">
        <f t="shared" ca="1" si="16"/>
        <v>#N/A</v>
      </c>
      <c r="AL47" s="161">
        <f ca="1">IF(Y47&gt;(Preenchimento!$AA$90*12),0,Fixa!Y47)</f>
        <v>0</v>
      </c>
      <c r="AM47" s="161">
        <f t="shared" ca="1" si="25"/>
        <v>4</v>
      </c>
      <c r="AN47" s="199">
        <f ca="1">IF(AQ47&gt;Preenchimento!$AA$90*12,0,1)</f>
        <v>0</v>
      </c>
      <c r="AO47" s="161" t="e">
        <f ca="1">1/((1+SAC!$AD$29)^AL47)</f>
        <v>#N/A</v>
      </c>
      <c r="AP47" s="82" t="e">
        <f t="shared" ca="1" si="26"/>
        <v>#N/A</v>
      </c>
      <c r="AQ47" s="82">
        <v>22</v>
      </c>
      <c r="AS47" s="477">
        <f t="shared" ca="1" si="17"/>
        <v>0</v>
      </c>
    </row>
    <row r="48" spans="1:45" ht="12" customHeight="1">
      <c r="A48" s="53">
        <v>23</v>
      </c>
      <c r="B48" s="249">
        <f ca="1">DATE(IF(MONTH(B47)=12,YEAR(B47)+1,YEAR(B47)),IF(MONTH(B47)=12,1,MONTH(B47)+1),MIN(DAY(Condições!$C$109),IF(IF(MONTH(B47)=12,1,MONTH(B47)+1)=2,IF(MOD(IF(MONTH(B47)=12,YEAR(B47)+1,YEAR(B47)),4)=0,29,28),IF(OR(IF(MONTH(B47)=12,1,MONTH(B47)+1)=4,IF(MONTH(B47)=12,1,MONTH(B47)+1)=6,IF(MONTH(B47)=12,1,MONTH(B47)+1)=9,IF(MONTH(B47)=12,1,MONTH(B47)+1)=11),30,DAY($B$25)))))</f>
        <v>46889</v>
      </c>
      <c r="C48" s="250" t="str">
        <f t="shared" si="1"/>
        <v/>
      </c>
      <c r="D48" s="251" t="e">
        <f t="shared" si="2"/>
        <v>#N/A</v>
      </c>
      <c r="E48" s="251">
        <f t="shared" si="3"/>
        <v>0</v>
      </c>
      <c r="F48" s="251">
        <f t="shared" si="4"/>
        <v>0</v>
      </c>
      <c r="G48" s="251">
        <f t="shared" si="5"/>
        <v>0</v>
      </c>
      <c r="H48" s="251" t="e">
        <f t="shared" si="6"/>
        <v>#VALUE!</v>
      </c>
      <c r="I48" s="251">
        <f t="shared" si="7"/>
        <v>0</v>
      </c>
      <c r="J48" s="251">
        <f t="shared" si="18"/>
        <v>0</v>
      </c>
      <c r="K48" s="251">
        <f t="shared" si="8"/>
        <v>0</v>
      </c>
      <c r="L48" s="174"/>
      <c r="M48" s="224"/>
      <c r="N48" s="225">
        <f t="shared" si="9"/>
        <v>0</v>
      </c>
      <c r="O48" s="251" t="e">
        <f t="shared" si="10"/>
        <v>#N/A</v>
      </c>
      <c r="P48" s="251">
        <f t="shared" si="19"/>
        <v>0</v>
      </c>
      <c r="Q48" s="251">
        <f t="shared" si="11"/>
        <v>0</v>
      </c>
      <c r="R48" s="251">
        <f t="shared" si="12"/>
        <v>0</v>
      </c>
      <c r="S48" s="251" t="e">
        <f t="shared" si="13"/>
        <v>#VALUE!</v>
      </c>
      <c r="T48" s="251">
        <f t="shared" si="0"/>
        <v>0</v>
      </c>
      <c r="U48" s="252">
        <f>TRUNC(T48*Condições!$C$102,2)</f>
        <v>0</v>
      </c>
      <c r="V48" s="199">
        <f t="shared" si="20"/>
        <v>0</v>
      </c>
      <c r="W48" s="161" t="e">
        <f t="shared" si="14"/>
        <v>#N/A</v>
      </c>
      <c r="X48" s="161" t="e">
        <f t="shared" si="15"/>
        <v>#N/A</v>
      </c>
      <c r="Y48" s="161">
        <f t="shared" si="21"/>
        <v>23</v>
      </c>
      <c r="Z48" s="161">
        <f t="shared" ca="1" si="22"/>
        <v>5</v>
      </c>
      <c r="AB48" s="161" t="s">
        <v>36</v>
      </c>
      <c r="AC48" s="253" t="e">
        <f>Condições!G66</f>
        <v>#N/A</v>
      </c>
      <c r="AG48" s="114">
        <f t="shared" si="23"/>
        <v>0</v>
      </c>
      <c r="AH48" s="113"/>
      <c r="AI48" s="199">
        <f ca="1">IF(AL48=0,0,IF(AL48&gt;Preenchimento!$AA$88*12,0,IF($AC$53=AM48,0,1)))</f>
        <v>0</v>
      </c>
      <c r="AJ48" s="161" t="e">
        <f t="shared" ca="1" si="24"/>
        <v>#N/A</v>
      </c>
      <c r="AK48" s="161" t="e">
        <f t="shared" ca="1" si="16"/>
        <v>#N/A</v>
      </c>
      <c r="AL48" s="161">
        <f ca="1">IF(Y48&gt;(Preenchimento!$AA$90*12),0,Fixa!Y48)</f>
        <v>0</v>
      </c>
      <c r="AM48" s="161">
        <f t="shared" ca="1" si="25"/>
        <v>5</v>
      </c>
      <c r="AN48" s="199">
        <f ca="1">IF(AQ48&gt;Preenchimento!$AA$90*12,0,1)</f>
        <v>0</v>
      </c>
      <c r="AO48" s="161" t="e">
        <f ca="1">1/((1+SAC!$AD$29)^AL48)</f>
        <v>#N/A</v>
      </c>
      <c r="AP48" s="82" t="e">
        <f t="shared" ca="1" si="26"/>
        <v>#N/A</v>
      </c>
      <c r="AQ48" s="82">
        <v>23</v>
      </c>
      <c r="AS48" s="477">
        <f t="shared" ca="1" si="17"/>
        <v>0</v>
      </c>
    </row>
    <row r="49" spans="1:45" ht="12" customHeight="1">
      <c r="A49" s="53">
        <v>24</v>
      </c>
      <c r="B49" s="249">
        <f ca="1">DATE(IF(MONTH(B48)=12,YEAR(B48)+1,YEAR(B48)),IF(MONTH(B48)=12,1,MONTH(B48)+1),MIN(DAY(Condições!$C$109),IF(IF(MONTH(B48)=12,1,MONTH(B48)+1)=2,IF(MOD(IF(MONTH(B48)=12,YEAR(B48)+1,YEAR(B48)),4)=0,29,28),IF(OR(IF(MONTH(B48)=12,1,MONTH(B48)+1)=4,IF(MONTH(B48)=12,1,MONTH(B48)+1)=6,IF(MONTH(B48)=12,1,MONTH(B48)+1)=9,IF(MONTH(B48)=12,1,MONTH(B48)+1)=11),30,DAY($B$25)))))</f>
        <v>46920</v>
      </c>
      <c r="C49" s="250" t="str">
        <f t="shared" si="1"/>
        <v/>
      </c>
      <c r="D49" s="251" t="e">
        <f t="shared" si="2"/>
        <v>#N/A</v>
      </c>
      <c r="E49" s="251">
        <f t="shared" si="3"/>
        <v>0</v>
      </c>
      <c r="F49" s="251">
        <f t="shared" si="4"/>
        <v>0</v>
      </c>
      <c r="G49" s="251">
        <f t="shared" si="5"/>
        <v>0</v>
      </c>
      <c r="H49" s="251" t="e">
        <f t="shared" si="6"/>
        <v>#VALUE!</v>
      </c>
      <c r="I49" s="251">
        <f t="shared" si="7"/>
        <v>0</v>
      </c>
      <c r="J49" s="251">
        <f t="shared" si="18"/>
        <v>0</v>
      </c>
      <c r="K49" s="251">
        <f t="shared" si="8"/>
        <v>0</v>
      </c>
      <c r="L49" s="174"/>
      <c r="M49" s="224"/>
      <c r="N49" s="225">
        <f t="shared" si="9"/>
        <v>0</v>
      </c>
      <c r="O49" s="251" t="e">
        <f t="shared" si="10"/>
        <v>#N/A</v>
      </c>
      <c r="P49" s="251">
        <f t="shared" si="19"/>
        <v>0</v>
      </c>
      <c r="Q49" s="251">
        <f t="shared" si="11"/>
        <v>0</v>
      </c>
      <c r="R49" s="251">
        <f t="shared" si="12"/>
        <v>0</v>
      </c>
      <c r="S49" s="251" t="e">
        <f t="shared" si="13"/>
        <v>#VALUE!</v>
      </c>
      <c r="T49" s="251">
        <f t="shared" si="0"/>
        <v>0</v>
      </c>
      <c r="U49" s="252">
        <f>TRUNC(T49*Condições!$C$102,2)</f>
        <v>0</v>
      </c>
      <c r="V49" s="199">
        <f t="shared" si="20"/>
        <v>0</v>
      </c>
      <c r="W49" s="161" t="e">
        <f t="shared" si="14"/>
        <v>#N/A</v>
      </c>
      <c r="X49" s="161" t="e">
        <f t="shared" si="15"/>
        <v>#N/A</v>
      </c>
      <c r="Y49" s="161">
        <f t="shared" si="21"/>
        <v>24</v>
      </c>
      <c r="Z49" s="161">
        <f t="shared" ca="1" si="22"/>
        <v>6</v>
      </c>
      <c r="AB49" s="161" t="s">
        <v>24</v>
      </c>
      <c r="AC49" s="227">
        <f>IF(Preenchimento!D17="Funcionários",Condições!C106,Condições!C105)</f>
        <v>25</v>
      </c>
      <c r="AG49" s="114">
        <f t="shared" si="23"/>
        <v>0</v>
      </c>
      <c r="AH49" s="113"/>
      <c r="AI49" s="199">
        <f ca="1">IF(AL49=0,0,IF(AL49&gt;Preenchimento!$AA$88*12,0,IF($AC$53=AM49,0,1)))</f>
        <v>0</v>
      </c>
      <c r="AJ49" s="161" t="e">
        <f t="shared" ca="1" si="24"/>
        <v>#N/A</v>
      </c>
      <c r="AK49" s="161" t="e">
        <f t="shared" ca="1" si="16"/>
        <v>#N/A</v>
      </c>
      <c r="AL49" s="161">
        <f ca="1">IF(Y49&gt;(Preenchimento!$AA$90*12),0,Fixa!Y49)</f>
        <v>0</v>
      </c>
      <c r="AM49" s="161">
        <f t="shared" ca="1" si="25"/>
        <v>6</v>
      </c>
      <c r="AN49" s="199">
        <f ca="1">IF(AQ49&gt;Preenchimento!$AA$90*12,0,1)</f>
        <v>0</v>
      </c>
      <c r="AO49" s="161" t="e">
        <f ca="1">1/((1+SAC!$AD$29)^AL49)</f>
        <v>#N/A</v>
      </c>
      <c r="AP49" s="82" t="e">
        <f t="shared" ca="1" si="26"/>
        <v>#N/A</v>
      </c>
      <c r="AQ49" s="82">
        <v>24</v>
      </c>
      <c r="AS49" s="477">
        <f t="shared" ca="1" si="17"/>
        <v>0</v>
      </c>
    </row>
    <row r="50" spans="1:45" ht="12" customHeight="1">
      <c r="A50" s="53">
        <v>25</v>
      </c>
      <c r="B50" s="249">
        <f ca="1">DATE(IF(MONTH(B49)=12,YEAR(B49)+1,YEAR(B49)),IF(MONTH(B49)=12,1,MONTH(B49)+1),MIN(DAY(Condições!$C$109),IF(IF(MONTH(B49)=12,1,MONTH(B49)+1)=2,IF(MOD(IF(MONTH(B49)=12,YEAR(B49)+1,YEAR(B49)),4)=0,29,28),IF(OR(IF(MONTH(B49)=12,1,MONTH(B49)+1)=4,IF(MONTH(B49)=12,1,MONTH(B49)+1)=6,IF(MONTH(B49)=12,1,MONTH(B49)+1)=9,IF(MONTH(B49)=12,1,MONTH(B49)+1)=11),30,DAY($B$25)))))</f>
        <v>46950</v>
      </c>
      <c r="C50" s="250" t="str">
        <f t="shared" si="1"/>
        <v/>
      </c>
      <c r="D50" s="251" t="e">
        <f t="shared" si="2"/>
        <v>#N/A</v>
      </c>
      <c r="E50" s="251">
        <f t="shared" si="3"/>
        <v>0</v>
      </c>
      <c r="F50" s="251">
        <f t="shared" si="4"/>
        <v>0</v>
      </c>
      <c r="G50" s="251">
        <f t="shared" si="5"/>
        <v>0</v>
      </c>
      <c r="H50" s="251" t="e">
        <f t="shared" si="6"/>
        <v>#VALUE!</v>
      </c>
      <c r="I50" s="251">
        <f t="shared" si="7"/>
        <v>0</v>
      </c>
      <c r="J50" s="251">
        <f t="shared" si="18"/>
        <v>0</v>
      </c>
      <c r="K50" s="251">
        <f t="shared" si="8"/>
        <v>0</v>
      </c>
      <c r="L50" s="174"/>
      <c r="M50" s="224"/>
      <c r="N50" s="225">
        <f t="shared" si="9"/>
        <v>0</v>
      </c>
      <c r="O50" s="251" t="e">
        <f t="shared" si="10"/>
        <v>#N/A</v>
      </c>
      <c r="P50" s="251">
        <f t="shared" si="19"/>
        <v>0</v>
      </c>
      <c r="Q50" s="251">
        <f t="shared" si="11"/>
        <v>0</v>
      </c>
      <c r="R50" s="251">
        <f t="shared" si="12"/>
        <v>0</v>
      </c>
      <c r="S50" s="251" t="e">
        <f t="shared" si="13"/>
        <v>#VALUE!</v>
      </c>
      <c r="T50" s="251">
        <f t="shared" si="0"/>
        <v>0</v>
      </c>
      <c r="U50" s="252">
        <f>TRUNC(T50*Condições!$C$102,2)</f>
        <v>0</v>
      </c>
      <c r="V50" s="199">
        <f t="shared" si="20"/>
        <v>0</v>
      </c>
      <c r="W50" s="161" t="e">
        <f t="shared" si="14"/>
        <v>#N/A</v>
      </c>
      <c r="X50" s="161" t="e">
        <f t="shared" si="15"/>
        <v>#N/A</v>
      </c>
      <c r="Y50" s="161">
        <f t="shared" si="21"/>
        <v>25</v>
      </c>
      <c r="Z50" s="161">
        <f t="shared" ca="1" si="22"/>
        <v>7</v>
      </c>
      <c r="AB50" s="161" t="s">
        <v>29</v>
      </c>
      <c r="AC50" s="161">
        <f>MAX(Preenchimento!D11:E11)</f>
        <v>0</v>
      </c>
      <c r="AD50" s="254"/>
      <c r="AG50" s="114">
        <f t="shared" si="23"/>
        <v>0</v>
      </c>
      <c r="AH50" s="113"/>
      <c r="AI50" s="199">
        <f ca="1">IF(AL50=0,0,IF(AL50&gt;Preenchimento!$AA$88*12,0,IF($AC$53=AM50,0,1)))</f>
        <v>0</v>
      </c>
      <c r="AJ50" s="161" t="e">
        <f t="shared" ca="1" si="24"/>
        <v>#N/A</v>
      </c>
      <c r="AK50" s="161" t="e">
        <f t="shared" ca="1" si="16"/>
        <v>#N/A</v>
      </c>
      <c r="AL50" s="161">
        <f ca="1">IF(Y50&gt;(Preenchimento!$AA$90*12),0,Fixa!Y50)</f>
        <v>0</v>
      </c>
      <c r="AM50" s="161">
        <f t="shared" ca="1" si="25"/>
        <v>7</v>
      </c>
      <c r="AN50" s="199">
        <f ca="1">IF(AQ50&gt;Preenchimento!$AA$90*12,0,1)</f>
        <v>0</v>
      </c>
      <c r="AO50" s="161" t="e">
        <f ca="1">1/((1+SAC!$AD$29)^AL50)</f>
        <v>#N/A</v>
      </c>
      <c r="AP50" s="82" t="e">
        <f t="shared" ca="1" si="26"/>
        <v>#N/A</v>
      </c>
      <c r="AQ50" s="82">
        <v>25</v>
      </c>
      <c r="AS50" s="477">
        <f t="shared" ca="1" si="17"/>
        <v>0</v>
      </c>
    </row>
    <row r="51" spans="1:45" ht="12" customHeight="1">
      <c r="A51" s="53">
        <v>26</v>
      </c>
      <c r="B51" s="249">
        <f ca="1">DATE(IF(MONTH(B50)=12,YEAR(B50)+1,YEAR(B50)),IF(MONTH(B50)=12,1,MONTH(B50)+1),MIN(DAY(Condições!$C$109),IF(IF(MONTH(B50)=12,1,MONTH(B50)+1)=2,IF(MOD(IF(MONTH(B50)=12,YEAR(B50)+1,YEAR(B50)),4)=0,29,28),IF(OR(IF(MONTH(B50)=12,1,MONTH(B50)+1)=4,IF(MONTH(B50)=12,1,MONTH(B50)+1)=6,IF(MONTH(B50)=12,1,MONTH(B50)+1)=9,IF(MONTH(B50)=12,1,MONTH(B50)+1)=11),30,DAY($B$25)))))</f>
        <v>46981</v>
      </c>
      <c r="C51" s="250" t="str">
        <f t="shared" si="1"/>
        <v/>
      </c>
      <c r="D51" s="251" t="e">
        <f t="shared" si="2"/>
        <v>#N/A</v>
      </c>
      <c r="E51" s="251">
        <f t="shared" si="3"/>
        <v>0</v>
      </c>
      <c r="F51" s="251">
        <f t="shared" si="4"/>
        <v>0</v>
      </c>
      <c r="G51" s="251">
        <f t="shared" si="5"/>
        <v>0</v>
      </c>
      <c r="H51" s="251" t="e">
        <f t="shared" si="6"/>
        <v>#VALUE!</v>
      </c>
      <c r="I51" s="251">
        <f t="shared" si="7"/>
        <v>0</v>
      </c>
      <c r="J51" s="251">
        <f t="shared" si="18"/>
        <v>0</v>
      </c>
      <c r="K51" s="251">
        <f t="shared" si="8"/>
        <v>0</v>
      </c>
      <c r="L51" s="174"/>
      <c r="M51" s="224"/>
      <c r="N51" s="225">
        <f t="shared" si="9"/>
        <v>0</v>
      </c>
      <c r="O51" s="251" t="e">
        <f t="shared" si="10"/>
        <v>#N/A</v>
      </c>
      <c r="P51" s="251">
        <f t="shared" si="19"/>
        <v>0</v>
      </c>
      <c r="Q51" s="251">
        <f t="shared" si="11"/>
        <v>0</v>
      </c>
      <c r="R51" s="251">
        <f t="shared" si="12"/>
        <v>0</v>
      </c>
      <c r="S51" s="251" t="e">
        <f t="shared" si="13"/>
        <v>#VALUE!</v>
      </c>
      <c r="T51" s="251">
        <f t="shared" si="0"/>
        <v>0</v>
      </c>
      <c r="U51" s="252">
        <f>TRUNC(T51*Condições!$C$102,2)</f>
        <v>0</v>
      </c>
      <c r="V51" s="199">
        <f t="shared" si="20"/>
        <v>0</v>
      </c>
      <c r="W51" s="161" t="e">
        <f t="shared" si="14"/>
        <v>#N/A</v>
      </c>
      <c r="X51" s="161" t="e">
        <f t="shared" si="15"/>
        <v>#N/A</v>
      </c>
      <c r="Y51" s="161">
        <f t="shared" si="21"/>
        <v>26</v>
      </c>
      <c r="Z51" s="161">
        <f t="shared" ca="1" si="22"/>
        <v>8</v>
      </c>
      <c r="AB51" s="161" t="s">
        <v>28</v>
      </c>
      <c r="AC51" s="239">
        <f>IF('Caract. Prods'!C19="",IF(Preenchimento!D15="Zurich Santander - Apólice F1/Private",Condições!I88,IF(Preenchimento!D15="Zurich Santander",Condições!E88,Condições!P88)),'Caract. Prods'!C19)</f>
        <v>5.0000000000000002E-5</v>
      </c>
      <c r="AD51" s="255"/>
      <c r="AG51" s="114">
        <f t="shared" si="23"/>
        <v>0</v>
      </c>
      <c r="AH51" s="113"/>
      <c r="AI51" s="199">
        <f ca="1">IF(AL51=0,0,IF(AL51&gt;Preenchimento!$AA$88*12,0,IF($AC$53=AM51,0,1)))</f>
        <v>0</v>
      </c>
      <c r="AJ51" s="161" t="e">
        <f t="shared" ca="1" si="24"/>
        <v>#N/A</v>
      </c>
      <c r="AK51" s="161" t="e">
        <f t="shared" ca="1" si="16"/>
        <v>#N/A</v>
      </c>
      <c r="AL51" s="161">
        <f ca="1">IF(Y51&gt;(Preenchimento!$AA$90*12),0,Fixa!Y51)</f>
        <v>0</v>
      </c>
      <c r="AM51" s="161">
        <f t="shared" ca="1" si="25"/>
        <v>8</v>
      </c>
      <c r="AN51" s="199">
        <f ca="1">IF(AQ51&gt;Preenchimento!$AA$90*12,0,1)</f>
        <v>0</v>
      </c>
      <c r="AO51" s="161" t="e">
        <f ca="1">1/((1+SAC!$AD$29)^AL51)</f>
        <v>#N/A</v>
      </c>
      <c r="AP51" s="82" t="e">
        <f t="shared" ca="1" si="26"/>
        <v>#N/A</v>
      </c>
      <c r="AQ51" s="82">
        <v>26</v>
      </c>
      <c r="AS51" s="477">
        <f t="shared" ca="1" si="17"/>
        <v>0</v>
      </c>
    </row>
    <row r="52" spans="1:45" ht="12" customHeight="1">
      <c r="A52" s="53">
        <v>27</v>
      </c>
      <c r="B52" s="249">
        <f ca="1">DATE(IF(MONTH(B51)=12,YEAR(B51)+1,YEAR(B51)),IF(MONTH(B51)=12,1,MONTH(B51)+1),MIN(DAY(Condições!$C$109),IF(IF(MONTH(B51)=12,1,MONTH(B51)+1)=2,IF(MOD(IF(MONTH(B51)=12,YEAR(B51)+1,YEAR(B51)),4)=0,29,28),IF(OR(IF(MONTH(B51)=12,1,MONTH(B51)+1)=4,IF(MONTH(B51)=12,1,MONTH(B51)+1)=6,IF(MONTH(B51)=12,1,MONTH(B51)+1)=9,IF(MONTH(B51)=12,1,MONTH(B51)+1)=11),30,DAY($B$25)))))</f>
        <v>47012</v>
      </c>
      <c r="C52" s="250" t="str">
        <f t="shared" si="1"/>
        <v/>
      </c>
      <c r="D52" s="251" t="e">
        <f t="shared" si="2"/>
        <v>#N/A</v>
      </c>
      <c r="E52" s="251">
        <f t="shared" si="3"/>
        <v>0</v>
      </c>
      <c r="F52" s="251">
        <f t="shared" si="4"/>
        <v>0</v>
      </c>
      <c r="G52" s="251">
        <f t="shared" si="5"/>
        <v>0</v>
      </c>
      <c r="H52" s="251" t="e">
        <f t="shared" si="6"/>
        <v>#VALUE!</v>
      </c>
      <c r="I52" s="251">
        <f t="shared" si="7"/>
        <v>0</v>
      </c>
      <c r="J52" s="251">
        <f t="shared" si="18"/>
        <v>0</v>
      </c>
      <c r="K52" s="251">
        <f t="shared" si="8"/>
        <v>0</v>
      </c>
      <c r="L52" s="174"/>
      <c r="M52" s="224"/>
      <c r="N52" s="225">
        <f t="shared" si="9"/>
        <v>0</v>
      </c>
      <c r="O52" s="251" t="e">
        <f t="shared" si="10"/>
        <v>#N/A</v>
      </c>
      <c r="P52" s="251">
        <f t="shared" si="19"/>
        <v>0</v>
      </c>
      <c r="Q52" s="251">
        <f t="shared" si="11"/>
        <v>0</v>
      </c>
      <c r="R52" s="251">
        <f t="shared" si="12"/>
        <v>0</v>
      </c>
      <c r="S52" s="251" t="e">
        <f t="shared" si="13"/>
        <v>#VALUE!</v>
      </c>
      <c r="T52" s="251">
        <f t="shared" si="0"/>
        <v>0</v>
      </c>
      <c r="U52" s="252">
        <f>TRUNC(T52*Condições!$C$102,2)</f>
        <v>0</v>
      </c>
      <c r="V52" s="199">
        <f t="shared" si="20"/>
        <v>0</v>
      </c>
      <c r="W52" s="161" t="e">
        <f t="shared" si="14"/>
        <v>#N/A</v>
      </c>
      <c r="X52" s="161" t="e">
        <f t="shared" si="15"/>
        <v>#N/A</v>
      </c>
      <c r="Y52" s="161">
        <f t="shared" si="21"/>
        <v>27</v>
      </c>
      <c r="Z52" s="161">
        <f t="shared" ca="1" si="22"/>
        <v>9</v>
      </c>
      <c r="AB52" s="161" t="s">
        <v>30</v>
      </c>
      <c r="AC52" s="240">
        <f ca="1">IF('Caract. Prods'!C18="",IF(Preenchimento!D15="Zurich Santander - Apólice F1/Private",VLOOKUP(Preenchimento!W42,Condições!B88:I97,7,TRUE),IF(Preenchimento!D15="Zurich Santander",VLOOKUP(Preenchimento!W42,Condições!B88:I97,3,TRUE),VLOOKUP(Preenchimento!W42,Condições!N88:O97,2,TRUE))),'Caract. Prods'!C18)</f>
        <v>7.1000000000000004E-3</v>
      </c>
      <c r="AD52" s="255"/>
      <c r="AG52" s="114">
        <f t="shared" si="23"/>
        <v>0</v>
      </c>
      <c r="AH52" s="113"/>
      <c r="AI52" s="199">
        <f ca="1">IF(AL52=0,0,IF(AL52&gt;Preenchimento!$AA$88*12,0,IF($AC$53=AM52,0,1)))</f>
        <v>0</v>
      </c>
      <c r="AJ52" s="161" t="e">
        <f t="shared" ca="1" si="24"/>
        <v>#N/A</v>
      </c>
      <c r="AK52" s="161" t="e">
        <f t="shared" ca="1" si="16"/>
        <v>#N/A</v>
      </c>
      <c r="AL52" s="161">
        <f ca="1">IF(Y52&gt;(Preenchimento!$AA$90*12),0,Fixa!Y52)</f>
        <v>0</v>
      </c>
      <c r="AM52" s="161">
        <f t="shared" ca="1" si="25"/>
        <v>9</v>
      </c>
      <c r="AN52" s="199">
        <f ca="1">IF(AQ52&gt;Preenchimento!$AA$90*12,0,1)</f>
        <v>0</v>
      </c>
      <c r="AO52" s="161" t="e">
        <f ca="1">1/((1+SAC!$AD$29)^AL52)</f>
        <v>#N/A</v>
      </c>
      <c r="AP52" s="82" t="e">
        <f t="shared" ca="1" si="26"/>
        <v>#N/A</v>
      </c>
      <c r="AQ52" s="82">
        <v>27</v>
      </c>
      <c r="AS52" s="477">
        <f t="shared" ca="1" si="17"/>
        <v>0</v>
      </c>
    </row>
    <row r="53" spans="1:45" ht="12" customHeight="1">
      <c r="A53" s="53">
        <v>28</v>
      </c>
      <c r="B53" s="249">
        <f ca="1">DATE(IF(MONTH(B52)=12,YEAR(B52)+1,YEAR(B52)),IF(MONTH(B52)=12,1,MONTH(B52)+1),MIN(DAY(Condições!$C$109),IF(IF(MONTH(B52)=12,1,MONTH(B52)+1)=2,IF(MOD(IF(MONTH(B52)=12,YEAR(B52)+1,YEAR(B52)),4)=0,29,28),IF(OR(IF(MONTH(B52)=12,1,MONTH(B52)+1)=4,IF(MONTH(B52)=12,1,MONTH(B52)+1)=6,IF(MONTH(B52)=12,1,MONTH(B52)+1)=9,IF(MONTH(B52)=12,1,MONTH(B52)+1)=11),30,DAY($B$25)))))</f>
        <v>47042</v>
      </c>
      <c r="C53" s="250" t="str">
        <f t="shared" si="1"/>
        <v/>
      </c>
      <c r="D53" s="251" t="e">
        <f t="shared" si="2"/>
        <v>#N/A</v>
      </c>
      <c r="E53" s="251">
        <f t="shared" si="3"/>
        <v>0</v>
      </c>
      <c r="F53" s="251">
        <f t="shared" si="4"/>
        <v>0</v>
      </c>
      <c r="G53" s="251">
        <f t="shared" si="5"/>
        <v>0</v>
      </c>
      <c r="H53" s="251" t="e">
        <f t="shared" si="6"/>
        <v>#VALUE!</v>
      </c>
      <c r="I53" s="251">
        <f t="shared" si="7"/>
        <v>0</v>
      </c>
      <c r="J53" s="251">
        <f t="shared" si="18"/>
        <v>0</v>
      </c>
      <c r="K53" s="251">
        <f t="shared" si="8"/>
        <v>0</v>
      </c>
      <c r="L53" s="174"/>
      <c r="M53" s="224"/>
      <c r="N53" s="225">
        <f t="shared" si="9"/>
        <v>0</v>
      </c>
      <c r="O53" s="251" t="e">
        <f t="shared" si="10"/>
        <v>#N/A</v>
      </c>
      <c r="P53" s="251">
        <f t="shared" si="19"/>
        <v>0</v>
      </c>
      <c r="Q53" s="251">
        <f t="shared" si="11"/>
        <v>0</v>
      </c>
      <c r="R53" s="251">
        <f t="shared" si="12"/>
        <v>0</v>
      </c>
      <c r="S53" s="251" t="e">
        <f t="shared" si="13"/>
        <v>#VALUE!</v>
      </c>
      <c r="T53" s="251">
        <f t="shared" si="0"/>
        <v>0</v>
      </c>
      <c r="U53" s="252">
        <f>TRUNC(T53*Condições!$C$102,2)</f>
        <v>0</v>
      </c>
      <c r="V53" s="199">
        <f t="shared" si="20"/>
        <v>0</v>
      </c>
      <c r="W53" s="161" t="e">
        <f t="shared" si="14"/>
        <v>#N/A</v>
      </c>
      <c r="X53" s="161" t="e">
        <f t="shared" si="15"/>
        <v>#N/A</v>
      </c>
      <c r="Y53" s="161">
        <f t="shared" si="21"/>
        <v>28</v>
      </c>
      <c r="Z53" s="161">
        <f t="shared" ca="1" si="22"/>
        <v>10</v>
      </c>
      <c r="AB53" s="161" t="s">
        <v>44</v>
      </c>
      <c r="AC53" s="161">
        <f>Preenchimento!C89</f>
        <v>0</v>
      </c>
      <c r="AD53" s="255" t="b">
        <v>0</v>
      </c>
      <c r="AG53" s="114">
        <f t="shared" si="23"/>
        <v>0</v>
      </c>
      <c r="AH53" s="113"/>
      <c r="AI53" s="199">
        <f ca="1">IF(AL53=0,0,IF(AL53&gt;Preenchimento!$AA$88*12,0,IF($AC$53=AM53,0,1)))</f>
        <v>0</v>
      </c>
      <c r="AJ53" s="161" t="e">
        <f t="shared" ca="1" si="24"/>
        <v>#N/A</v>
      </c>
      <c r="AK53" s="161" t="e">
        <f t="shared" ca="1" si="16"/>
        <v>#N/A</v>
      </c>
      <c r="AL53" s="161">
        <f ca="1">IF(Y53&gt;(Preenchimento!$AA$90*12),0,Fixa!Y53)</f>
        <v>0</v>
      </c>
      <c r="AM53" s="161">
        <f t="shared" ca="1" si="25"/>
        <v>10</v>
      </c>
      <c r="AN53" s="199">
        <f ca="1">IF(AQ53&gt;Preenchimento!$AA$90*12,0,1)</f>
        <v>0</v>
      </c>
      <c r="AO53" s="161" t="e">
        <f ca="1">1/((1+SAC!$AD$29)^AL53)</f>
        <v>#N/A</v>
      </c>
      <c r="AP53" s="82" t="e">
        <f t="shared" ca="1" si="26"/>
        <v>#N/A</v>
      </c>
      <c r="AQ53" s="82">
        <v>28</v>
      </c>
      <c r="AS53" s="477">
        <f t="shared" ca="1" si="17"/>
        <v>0</v>
      </c>
    </row>
    <row r="54" spans="1:45" ht="12" customHeight="1">
      <c r="A54" s="53">
        <v>29</v>
      </c>
      <c r="B54" s="249">
        <f ca="1">DATE(IF(MONTH(B53)=12,YEAR(B53)+1,YEAR(B53)),IF(MONTH(B53)=12,1,MONTH(B53)+1),MIN(DAY(Condições!$C$109),IF(IF(MONTH(B53)=12,1,MONTH(B53)+1)=2,IF(MOD(IF(MONTH(B53)=12,YEAR(B53)+1,YEAR(B53)),4)=0,29,28),IF(OR(IF(MONTH(B53)=12,1,MONTH(B53)+1)=4,IF(MONTH(B53)=12,1,MONTH(B53)+1)=6,IF(MONTH(B53)=12,1,MONTH(B53)+1)=9,IF(MONTH(B53)=12,1,MONTH(B53)+1)=11),30,DAY($B$25)))))</f>
        <v>47073</v>
      </c>
      <c r="C54" s="250" t="str">
        <f t="shared" si="1"/>
        <v/>
      </c>
      <c r="D54" s="251" t="e">
        <f t="shared" si="2"/>
        <v>#N/A</v>
      </c>
      <c r="E54" s="251">
        <f t="shared" si="3"/>
        <v>0</v>
      </c>
      <c r="F54" s="251">
        <f t="shared" si="4"/>
        <v>0</v>
      </c>
      <c r="G54" s="251">
        <f t="shared" si="5"/>
        <v>0</v>
      </c>
      <c r="H54" s="251" t="e">
        <f t="shared" si="6"/>
        <v>#VALUE!</v>
      </c>
      <c r="I54" s="251">
        <f t="shared" si="7"/>
        <v>0</v>
      </c>
      <c r="J54" s="251">
        <f t="shared" si="18"/>
        <v>0</v>
      </c>
      <c r="K54" s="251">
        <f t="shared" si="8"/>
        <v>0</v>
      </c>
      <c r="L54" s="174"/>
      <c r="M54" s="224"/>
      <c r="N54" s="225">
        <f t="shared" si="9"/>
        <v>0</v>
      </c>
      <c r="O54" s="251" t="e">
        <f t="shared" si="10"/>
        <v>#N/A</v>
      </c>
      <c r="P54" s="251">
        <f t="shared" si="19"/>
        <v>0</v>
      </c>
      <c r="Q54" s="251">
        <f t="shared" si="11"/>
        <v>0</v>
      </c>
      <c r="R54" s="251">
        <f t="shared" si="12"/>
        <v>0</v>
      </c>
      <c r="S54" s="251" t="e">
        <f t="shared" si="13"/>
        <v>#VALUE!</v>
      </c>
      <c r="T54" s="251">
        <f t="shared" si="0"/>
        <v>0</v>
      </c>
      <c r="U54" s="252">
        <f>TRUNC(T54*Condições!$C$102,2)</f>
        <v>0</v>
      </c>
      <c r="V54" s="199">
        <f t="shared" si="20"/>
        <v>0</v>
      </c>
      <c r="W54" s="161" t="e">
        <f t="shared" si="14"/>
        <v>#N/A</v>
      </c>
      <c r="X54" s="161" t="e">
        <f t="shared" si="15"/>
        <v>#N/A</v>
      </c>
      <c r="Y54" s="161">
        <f t="shared" si="21"/>
        <v>29</v>
      </c>
      <c r="Z54" s="161">
        <f t="shared" ca="1" si="22"/>
        <v>11</v>
      </c>
      <c r="AB54" s="80" t="s">
        <v>60</v>
      </c>
      <c r="AC54" s="242">
        <f>IF(AE54="FALSO",0,IF(Preenchimento!D7="Portabilidade",0,Preenchimento!$I$9))</f>
        <v>0</v>
      </c>
      <c r="AD54" s="256" t="b">
        <v>0</v>
      </c>
      <c r="AE54" s="165" t="str">
        <f>IF(OR(AD54=FALSE,AD54="FALSO"),"FALSO","VERDADEIRO")</f>
        <v>FALSO</v>
      </c>
      <c r="AG54" s="114">
        <f t="shared" si="23"/>
        <v>0</v>
      </c>
      <c r="AH54" s="113" t="b">
        <v>0</v>
      </c>
      <c r="AI54" s="199">
        <f ca="1">IF(AL54=0,0,IF(AL54&gt;Preenchimento!$AA$88*12,0,IF($AC$53=AM54,0,1)))</f>
        <v>0</v>
      </c>
      <c r="AJ54" s="161" t="e">
        <f t="shared" ca="1" si="24"/>
        <v>#N/A</v>
      </c>
      <c r="AK54" s="161" t="e">
        <f t="shared" ca="1" si="16"/>
        <v>#N/A</v>
      </c>
      <c r="AL54" s="161">
        <f ca="1">IF(Y54&gt;(Preenchimento!$AA$90*12),0,Fixa!Y54)</f>
        <v>0</v>
      </c>
      <c r="AM54" s="161">
        <f t="shared" ca="1" si="25"/>
        <v>11</v>
      </c>
      <c r="AN54" s="199">
        <f ca="1">IF(AQ54&gt;Preenchimento!$AA$90*12,0,1)</f>
        <v>0</v>
      </c>
      <c r="AO54" s="161" t="e">
        <f ca="1">1/((1+SAC!$AD$29)^AL54)</f>
        <v>#N/A</v>
      </c>
      <c r="AP54" s="82" t="e">
        <f t="shared" ca="1" si="26"/>
        <v>#N/A</v>
      </c>
      <c r="AQ54" s="82">
        <v>29</v>
      </c>
      <c r="AS54" s="477">
        <f t="shared" ca="1" si="17"/>
        <v>0</v>
      </c>
    </row>
    <row r="55" spans="1:45" ht="12" customHeight="1">
      <c r="A55" s="53">
        <v>30</v>
      </c>
      <c r="B55" s="249">
        <f ca="1">DATE(IF(MONTH(B54)=12,YEAR(B54)+1,YEAR(B54)),IF(MONTH(B54)=12,1,MONTH(B54)+1),MIN(DAY(Condições!$C$109),IF(IF(MONTH(B54)=12,1,MONTH(B54)+1)=2,IF(MOD(IF(MONTH(B54)=12,YEAR(B54)+1,YEAR(B54)),4)=0,29,28),IF(OR(IF(MONTH(B54)=12,1,MONTH(B54)+1)=4,IF(MONTH(B54)=12,1,MONTH(B54)+1)=6,IF(MONTH(B54)=12,1,MONTH(B54)+1)=9,IF(MONTH(B54)=12,1,MONTH(B54)+1)=11),30,DAY($B$25)))))</f>
        <v>47103</v>
      </c>
      <c r="C55" s="250" t="str">
        <f t="shared" si="1"/>
        <v/>
      </c>
      <c r="D55" s="251" t="e">
        <f t="shared" si="2"/>
        <v>#N/A</v>
      </c>
      <c r="E55" s="251">
        <f t="shared" si="3"/>
        <v>0</v>
      </c>
      <c r="F55" s="251">
        <f t="shared" si="4"/>
        <v>0</v>
      </c>
      <c r="G55" s="251">
        <f t="shared" si="5"/>
        <v>0</v>
      </c>
      <c r="H55" s="251" t="e">
        <f t="shared" si="6"/>
        <v>#VALUE!</v>
      </c>
      <c r="I55" s="251">
        <f t="shared" si="7"/>
        <v>0</v>
      </c>
      <c r="J55" s="251">
        <f t="shared" si="18"/>
        <v>0</v>
      </c>
      <c r="K55" s="251">
        <f t="shared" si="8"/>
        <v>0</v>
      </c>
      <c r="L55" s="174"/>
      <c r="M55" s="224"/>
      <c r="N55" s="225">
        <f t="shared" si="9"/>
        <v>0</v>
      </c>
      <c r="O55" s="251" t="e">
        <f t="shared" si="10"/>
        <v>#N/A</v>
      </c>
      <c r="P55" s="251">
        <f t="shared" si="19"/>
        <v>0</v>
      </c>
      <c r="Q55" s="251">
        <f t="shared" si="11"/>
        <v>0</v>
      </c>
      <c r="R55" s="251">
        <f t="shared" si="12"/>
        <v>0</v>
      </c>
      <c r="S55" s="251" t="e">
        <f t="shared" si="13"/>
        <v>#VALUE!</v>
      </c>
      <c r="T55" s="251">
        <f t="shared" si="0"/>
        <v>0</v>
      </c>
      <c r="U55" s="252">
        <f>TRUNC(T55*Condições!$C$102,2)</f>
        <v>0</v>
      </c>
      <c r="V55" s="199">
        <f t="shared" si="20"/>
        <v>0</v>
      </c>
      <c r="W55" s="161" t="e">
        <f t="shared" si="14"/>
        <v>#N/A</v>
      </c>
      <c r="X55" s="161" t="e">
        <f t="shared" si="15"/>
        <v>#N/A</v>
      </c>
      <c r="Y55" s="161">
        <f t="shared" si="21"/>
        <v>30</v>
      </c>
      <c r="Z55" s="161">
        <f t="shared" ca="1" si="22"/>
        <v>12</v>
      </c>
      <c r="AB55" s="80" t="s">
        <v>169</v>
      </c>
      <c r="AC55" s="242">
        <f>IF(AE55="FALSO",0,IF(Preenchimento!D7="Portabilidade",0,Preenchimento!I16))</f>
        <v>0</v>
      </c>
      <c r="AD55" s="256" t="b">
        <v>0</v>
      </c>
      <c r="AE55" s="165" t="str">
        <f>IF(OR(AD55=FALSE,AD55="FALSO"),"FALSO","VERDADEIRO")</f>
        <v>FALSO</v>
      </c>
      <c r="AG55" s="114">
        <f t="shared" si="23"/>
        <v>0</v>
      </c>
      <c r="AH55" s="113" t="b">
        <v>0</v>
      </c>
      <c r="AI55" s="199">
        <f ca="1">IF(AL55=0,0,IF(AL55&gt;Preenchimento!$AA$88*12,0,IF($AC$53=AM55,0,1)))</f>
        <v>0</v>
      </c>
      <c r="AJ55" s="161" t="e">
        <f t="shared" ca="1" si="24"/>
        <v>#N/A</v>
      </c>
      <c r="AK55" s="161" t="e">
        <f t="shared" ca="1" si="16"/>
        <v>#N/A</v>
      </c>
      <c r="AL55" s="161">
        <f ca="1">IF(Y55&gt;(Preenchimento!$AA$90*12),0,Fixa!Y55)</f>
        <v>0</v>
      </c>
      <c r="AM55" s="161">
        <f t="shared" ca="1" si="25"/>
        <v>12</v>
      </c>
      <c r="AN55" s="199">
        <f ca="1">IF(AQ55&gt;Preenchimento!$AA$90*12,0,1)</f>
        <v>0</v>
      </c>
      <c r="AO55" s="161" t="e">
        <f ca="1">1/((1+SAC!$AD$29)^AL55)</f>
        <v>#N/A</v>
      </c>
      <c r="AP55" s="82" t="e">
        <f t="shared" ca="1" si="26"/>
        <v>#N/A</v>
      </c>
      <c r="AQ55" s="82">
        <v>30</v>
      </c>
      <c r="AS55" s="477">
        <f t="shared" ca="1" si="17"/>
        <v>0</v>
      </c>
    </row>
    <row r="56" spans="1:45" ht="12" customHeight="1">
      <c r="A56" s="53">
        <v>31</v>
      </c>
      <c r="B56" s="249">
        <f ca="1">DATE(IF(MONTH(B55)=12,YEAR(B55)+1,YEAR(B55)),IF(MONTH(B55)=12,1,MONTH(B55)+1),MIN(DAY(Condições!$C$109),IF(IF(MONTH(B55)=12,1,MONTH(B55)+1)=2,IF(MOD(IF(MONTH(B55)=12,YEAR(B55)+1,YEAR(B55)),4)=0,29,28),IF(OR(IF(MONTH(B55)=12,1,MONTH(B55)+1)=4,IF(MONTH(B55)=12,1,MONTH(B55)+1)=6,IF(MONTH(B55)=12,1,MONTH(B55)+1)=9,IF(MONTH(B55)=12,1,MONTH(B55)+1)=11),30,DAY($B$25)))))</f>
        <v>47134</v>
      </c>
      <c r="C56" s="250" t="str">
        <f t="shared" si="1"/>
        <v/>
      </c>
      <c r="D56" s="251" t="e">
        <f t="shared" si="2"/>
        <v>#N/A</v>
      </c>
      <c r="E56" s="251">
        <f t="shared" si="3"/>
        <v>0</v>
      </c>
      <c r="F56" s="251">
        <f t="shared" si="4"/>
        <v>0</v>
      </c>
      <c r="G56" s="251">
        <f t="shared" si="5"/>
        <v>0</v>
      </c>
      <c r="H56" s="251" t="e">
        <f t="shared" si="6"/>
        <v>#VALUE!</v>
      </c>
      <c r="I56" s="251">
        <f t="shared" si="7"/>
        <v>0</v>
      </c>
      <c r="J56" s="251">
        <f t="shared" si="18"/>
        <v>0</v>
      </c>
      <c r="K56" s="251">
        <f t="shared" si="8"/>
        <v>0</v>
      </c>
      <c r="L56" s="174"/>
      <c r="M56" s="224"/>
      <c r="N56" s="225">
        <f t="shared" si="9"/>
        <v>0</v>
      </c>
      <c r="O56" s="251" t="e">
        <f t="shared" si="10"/>
        <v>#N/A</v>
      </c>
      <c r="P56" s="251">
        <f t="shared" si="19"/>
        <v>0</v>
      </c>
      <c r="Q56" s="251">
        <f t="shared" si="11"/>
        <v>0</v>
      </c>
      <c r="R56" s="251">
        <f t="shared" si="12"/>
        <v>0</v>
      </c>
      <c r="S56" s="251" t="e">
        <f t="shared" si="13"/>
        <v>#VALUE!</v>
      </c>
      <c r="T56" s="251">
        <f t="shared" si="0"/>
        <v>0</v>
      </c>
      <c r="U56" s="252">
        <f>TRUNC(T56*Condições!$C$102,2)</f>
        <v>0</v>
      </c>
      <c r="V56" s="199">
        <f t="shared" si="20"/>
        <v>0</v>
      </c>
      <c r="W56" s="161" t="e">
        <f t="shared" si="14"/>
        <v>#N/A</v>
      </c>
      <c r="X56" s="161" t="e">
        <f t="shared" si="15"/>
        <v>#N/A</v>
      </c>
      <c r="Y56" s="161">
        <f t="shared" si="21"/>
        <v>31</v>
      </c>
      <c r="Z56" s="161">
        <f t="shared" ca="1" si="22"/>
        <v>1</v>
      </c>
      <c r="AB56" s="80" t="s">
        <v>347</v>
      </c>
      <c r="AC56" s="242">
        <f>IF(AE56="FALSO",0,IF(Preenchimento!D7="Portabilidade",0,Preenchimento!$I$11))</f>
        <v>0</v>
      </c>
      <c r="AD56" s="256" t="b">
        <v>0</v>
      </c>
      <c r="AE56" s="165" t="str">
        <f>IF(OR(AD56=FALSE,AD56="FALSO"),"FALSO","VERDADEIRO")</f>
        <v>FALSO</v>
      </c>
      <c r="AG56" s="114">
        <f t="shared" si="23"/>
        <v>0</v>
      </c>
      <c r="AH56" s="113" t="b">
        <v>0</v>
      </c>
      <c r="AI56" s="199">
        <f ca="1">IF(AL56=0,0,IF(AL56&gt;Preenchimento!$AA$88*12,0,IF($AC$53=AM56,0,1)))</f>
        <v>0</v>
      </c>
      <c r="AJ56" s="161" t="e">
        <f t="shared" ca="1" si="24"/>
        <v>#N/A</v>
      </c>
      <c r="AK56" s="161" t="e">
        <f t="shared" ca="1" si="16"/>
        <v>#N/A</v>
      </c>
      <c r="AL56" s="161">
        <f ca="1">IF(Y56&gt;(Preenchimento!$AA$90*12),0,Fixa!Y56)</f>
        <v>0</v>
      </c>
      <c r="AM56" s="161">
        <f t="shared" ca="1" si="25"/>
        <v>1</v>
      </c>
      <c r="AN56" s="199">
        <f ca="1">IF(AQ56&gt;Preenchimento!$AA$90*12,0,1)</f>
        <v>0</v>
      </c>
      <c r="AO56" s="161" t="e">
        <f ca="1">1/((1+SAC!$AD$29)^AL56)</f>
        <v>#N/A</v>
      </c>
      <c r="AP56" s="82" t="e">
        <f t="shared" ca="1" si="26"/>
        <v>#N/A</v>
      </c>
      <c r="AQ56" s="82">
        <v>31</v>
      </c>
      <c r="AS56" s="477">
        <f t="shared" ca="1" si="17"/>
        <v>0</v>
      </c>
    </row>
    <row r="57" spans="1:45" ht="12" customHeight="1">
      <c r="A57" s="53">
        <v>32</v>
      </c>
      <c r="B57" s="249">
        <f ca="1">DATE(IF(MONTH(B56)=12,YEAR(B56)+1,YEAR(B56)),IF(MONTH(B56)=12,1,MONTH(B56)+1),MIN(DAY(Condições!$C$109),IF(IF(MONTH(B56)=12,1,MONTH(B56)+1)=2,IF(MOD(IF(MONTH(B56)=12,YEAR(B56)+1,YEAR(B56)),4)=0,29,28),IF(OR(IF(MONTH(B56)=12,1,MONTH(B56)+1)=4,IF(MONTH(B56)=12,1,MONTH(B56)+1)=6,IF(MONTH(B56)=12,1,MONTH(B56)+1)=9,IF(MONTH(B56)=12,1,MONTH(B56)+1)=11),30,DAY($B$25)))))</f>
        <v>47165</v>
      </c>
      <c r="C57" s="250" t="str">
        <f t="shared" si="1"/>
        <v/>
      </c>
      <c r="D57" s="251" t="e">
        <f t="shared" si="2"/>
        <v>#N/A</v>
      </c>
      <c r="E57" s="251">
        <f t="shared" si="3"/>
        <v>0</v>
      </c>
      <c r="F57" s="251">
        <f t="shared" si="4"/>
        <v>0</v>
      </c>
      <c r="G57" s="251">
        <f t="shared" si="5"/>
        <v>0</v>
      </c>
      <c r="H57" s="251" t="e">
        <f t="shared" si="6"/>
        <v>#VALUE!</v>
      </c>
      <c r="I57" s="251">
        <f t="shared" si="7"/>
        <v>0</v>
      </c>
      <c r="J57" s="251">
        <f t="shared" si="18"/>
        <v>0</v>
      </c>
      <c r="K57" s="251">
        <f t="shared" si="8"/>
        <v>0</v>
      </c>
      <c r="L57" s="174"/>
      <c r="M57" s="224"/>
      <c r="N57" s="225">
        <f t="shared" si="9"/>
        <v>0</v>
      </c>
      <c r="O57" s="251" t="e">
        <f t="shared" si="10"/>
        <v>#N/A</v>
      </c>
      <c r="P57" s="251">
        <f t="shared" si="19"/>
        <v>0</v>
      </c>
      <c r="Q57" s="251">
        <f t="shared" si="11"/>
        <v>0</v>
      </c>
      <c r="R57" s="251">
        <f t="shared" si="12"/>
        <v>0</v>
      </c>
      <c r="S57" s="251" t="e">
        <f t="shared" si="13"/>
        <v>#VALUE!</v>
      </c>
      <c r="T57" s="251">
        <f t="shared" si="0"/>
        <v>0</v>
      </c>
      <c r="U57" s="252">
        <f>TRUNC(T57*Condições!$C$102,2)</f>
        <v>0</v>
      </c>
      <c r="V57" s="199">
        <f t="shared" si="20"/>
        <v>0</v>
      </c>
      <c r="W57" s="161" t="e">
        <f t="shared" si="14"/>
        <v>#N/A</v>
      </c>
      <c r="X57" s="161" t="e">
        <f t="shared" si="15"/>
        <v>#N/A</v>
      </c>
      <c r="Y57" s="161">
        <f t="shared" si="21"/>
        <v>32</v>
      </c>
      <c r="Z57" s="161">
        <f t="shared" ca="1" si="22"/>
        <v>2</v>
      </c>
      <c r="AB57" s="80" t="s">
        <v>58</v>
      </c>
      <c r="AC57" s="242">
        <f>IF(AE57="FALSO",0,IF(Preenchimento!D7="Portabilidade",0,Preenchimento!I12))</f>
        <v>0</v>
      </c>
      <c r="AD57" s="256" t="b">
        <v>0</v>
      </c>
      <c r="AE57" s="165" t="str">
        <f>IF(OR(AD57=FALSE,AD57="FALSO"),"FALSO","VERDADEIRO")</f>
        <v>FALSO</v>
      </c>
      <c r="AG57" s="114">
        <f t="shared" si="23"/>
        <v>0</v>
      </c>
      <c r="AH57" s="113" t="b">
        <v>0</v>
      </c>
      <c r="AI57" s="199">
        <f ca="1">IF(AL57=0,0,IF(AL57&gt;Preenchimento!$AA$88*12,0,IF($AC$53=AM57,0,1)))</f>
        <v>0</v>
      </c>
      <c r="AJ57" s="161" t="e">
        <f t="shared" ca="1" si="24"/>
        <v>#N/A</v>
      </c>
      <c r="AK57" s="161" t="e">
        <f t="shared" ca="1" si="16"/>
        <v>#N/A</v>
      </c>
      <c r="AL57" s="161">
        <f ca="1">IF(Y57&gt;(Preenchimento!$AA$90*12),0,Fixa!Y57)</f>
        <v>0</v>
      </c>
      <c r="AM57" s="161">
        <f t="shared" ca="1" si="25"/>
        <v>2</v>
      </c>
      <c r="AN57" s="199">
        <f ca="1">IF(AQ57&gt;Preenchimento!$AA$90*12,0,1)</f>
        <v>0</v>
      </c>
      <c r="AO57" s="161" t="e">
        <f ca="1">1/((1+SAC!$AD$29)^AL57)</f>
        <v>#N/A</v>
      </c>
      <c r="AP57" s="82" t="e">
        <f t="shared" ca="1" si="26"/>
        <v>#N/A</v>
      </c>
      <c r="AQ57" s="82">
        <v>32</v>
      </c>
      <c r="AS57" s="477">
        <f t="shared" ca="1" si="17"/>
        <v>0</v>
      </c>
    </row>
    <row r="58" spans="1:45" ht="12" customHeight="1">
      <c r="A58" s="53">
        <v>33</v>
      </c>
      <c r="B58" s="249">
        <f ca="1">DATE(IF(MONTH(B57)=12,YEAR(B57)+1,YEAR(B57)),IF(MONTH(B57)=12,1,MONTH(B57)+1),MIN(DAY(Condições!$C$109),IF(IF(MONTH(B57)=12,1,MONTH(B57)+1)=2,IF(MOD(IF(MONTH(B57)=12,YEAR(B57)+1,YEAR(B57)),4)=0,29,28),IF(OR(IF(MONTH(B57)=12,1,MONTH(B57)+1)=4,IF(MONTH(B57)=12,1,MONTH(B57)+1)=6,IF(MONTH(B57)=12,1,MONTH(B57)+1)=9,IF(MONTH(B57)=12,1,MONTH(B57)+1)=11),30,DAY($B$25)))))</f>
        <v>47193</v>
      </c>
      <c r="C58" s="250" t="str">
        <f t="shared" si="1"/>
        <v/>
      </c>
      <c r="D58" s="251" t="e">
        <f t="shared" si="2"/>
        <v>#N/A</v>
      </c>
      <c r="E58" s="251">
        <f t="shared" si="3"/>
        <v>0</v>
      </c>
      <c r="F58" s="251">
        <f t="shared" si="4"/>
        <v>0</v>
      </c>
      <c r="G58" s="251">
        <f t="shared" si="5"/>
        <v>0</v>
      </c>
      <c r="H58" s="251" t="e">
        <f t="shared" si="6"/>
        <v>#VALUE!</v>
      </c>
      <c r="I58" s="251">
        <f t="shared" si="7"/>
        <v>0</v>
      </c>
      <c r="J58" s="251">
        <f t="shared" si="18"/>
        <v>0</v>
      </c>
      <c r="K58" s="251">
        <f t="shared" si="8"/>
        <v>0</v>
      </c>
      <c r="L58" s="174"/>
      <c r="M58" s="224"/>
      <c r="N58" s="225">
        <f t="shared" si="9"/>
        <v>0</v>
      </c>
      <c r="O58" s="251" t="e">
        <f t="shared" si="10"/>
        <v>#N/A</v>
      </c>
      <c r="P58" s="251">
        <f t="shared" si="19"/>
        <v>0</v>
      </c>
      <c r="Q58" s="251">
        <f t="shared" si="11"/>
        <v>0</v>
      </c>
      <c r="R58" s="251">
        <f t="shared" si="12"/>
        <v>0</v>
      </c>
      <c r="S58" s="251" t="e">
        <f t="shared" si="13"/>
        <v>#VALUE!</v>
      </c>
      <c r="T58" s="251">
        <f t="shared" si="0"/>
        <v>0</v>
      </c>
      <c r="U58" s="252">
        <f>TRUNC(T58*Condições!$C$102,2)</f>
        <v>0</v>
      </c>
      <c r="V58" s="199">
        <f t="shared" si="20"/>
        <v>0</v>
      </c>
      <c r="W58" s="161" t="e">
        <f t="shared" si="14"/>
        <v>#N/A</v>
      </c>
      <c r="X58" s="161" t="e">
        <f t="shared" si="15"/>
        <v>#N/A</v>
      </c>
      <c r="Y58" s="161">
        <f t="shared" si="21"/>
        <v>33</v>
      </c>
      <c r="Z58" s="161">
        <f t="shared" ca="1" si="22"/>
        <v>3</v>
      </c>
      <c r="AB58" s="80" t="s">
        <v>61</v>
      </c>
      <c r="AC58" s="242">
        <f>IF(AE58="FALSO",0,IF(Preenchimento!D7="Portabilidade",0,Preenchimento!I14))</f>
        <v>0</v>
      </c>
      <c r="AD58" s="256" t="b">
        <v>0</v>
      </c>
      <c r="AE58" s="165" t="str">
        <f>IF(OR(AD58=FALSE,AD58="FALSO"),"FALSO","VERDADEIRO")</f>
        <v>FALSO</v>
      </c>
      <c r="AG58" s="114">
        <f t="shared" si="23"/>
        <v>0</v>
      </c>
      <c r="AH58" s="113" t="b">
        <v>0</v>
      </c>
      <c r="AI58" s="199">
        <f ca="1">IF(AL58=0,0,IF(AL58&gt;Preenchimento!$AA$88*12,0,IF($AC$53=AM58,0,1)))</f>
        <v>0</v>
      </c>
      <c r="AJ58" s="161" t="e">
        <f t="shared" ca="1" si="24"/>
        <v>#N/A</v>
      </c>
      <c r="AK58" s="161" t="e">
        <f t="shared" ca="1" si="16"/>
        <v>#N/A</v>
      </c>
      <c r="AL58" s="161">
        <f ca="1">IF(Y58&gt;(Preenchimento!$AA$90*12),0,Fixa!Y58)</f>
        <v>0</v>
      </c>
      <c r="AM58" s="161">
        <f t="shared" ca="1" si="25"/>
        <v>3</v>
      </c>
      <c r="AN58" s="199">
        <f ca="1">IF(AQ58&gt;Preenchimento!$AA$90*12,0,1)</f>
        <v>0</v>
      </c>
      <c r="AO58" s="161" t="e">
        <f ca="1">1/((1+SAC!$AD$29)^AL58)</f>
        <v>#N/A</v>
      </c>
      <c r="AP58" s="82" t="e">
        <f t="shared" ca="1" si="26"/>
        <v>#N/A</v>
      </c>
      <c r="AQ58" s="82">
        <v>33</v>
      </c>
      <c r="AS58" s="477">
        <f t="shared" ca="1" si="17"/>
        <v>0</v>
      </c>
    </row>
    <row r="59" spans="1:45" ht="12" customHeight="1">
      <c r="A59" s="53">
        <v>34</v>
      </c>
      <c r="B59" s="249">
        <f ca="1">DATE(IF(MONTH(B58)=12,YEAR(B58)+1,YEAR(B58)),IF(MONTH(B58)=12,1,MONTH(B58)+1),MIN(DAY(Condições!$C$109),IF(IF(MONTH(B58)=12,1,MONTH(B58)+1)=2,IF(MOD(IF(MONTH(B58)=12,YEAR(B58)+1,YEAR(B58)),4)=0,29,28),IF(OR(IF(MONTH(B58)=12,1,MONTH(B58)+1)=4,IF(MONTH(B58)=12,1,MONTH(B58)+1)=6,IF(MONTH(B58)=12,1,MONTH(B58)+1)=9,IF(MONTH(B58)=12,1,MONTH(B58)+1)=11),30,DAY($B$25)))))</f>
        <v>47224</v>
      </c>
      <c r="C59" s="250" t="str">
        <f t="shared" si="1"/>
        <v/>
      </c>
      <c r="D59" s="251" t="e">
        <f t="shared" si="2"/>
        <v>#N/A</v>
      </c>
      <c r="E59" s="251">
        <f t="shared" si="3"/>
        <v>0</v>
      </c>
      <c r="F59" s="251">
        <f t="shared" si="4"/>
        <v>0</v>
      </c>
      <c r="G59" s="251">
        <f t="shared" si="5"/>
        <v>0</v>
      </c>
      <c r="H59" s="251" t="e">
        <f t="shared" si="6"/>
        <v>#VALUE!</v>
      </c>
      <c r="I59" s="251">
        <f t="shared" si="7"/>
        <v>0</v>
      </c>
      <c r="J59" s="251">
        <f t="shared" si="18"/>
        <v>0</v>
      </c>
      <c r="K59" s="251">
        <f t="shared" si="8"/>
        <v>0</v>
      </c>
      <c r="L59" s="174"/>
      <c r="M59" s="224"/>
      <c r="N59" s="225">
        <f t="shared" si="9"/>
        <v>0</v>
      </c>
      <c r="O59" s="251" t="e">
        <f t="shared" si="10"/>
        <v>#N/A</v>
      </c>
      <c r="P59" s="251">
        <f t="shared" si="19"/>
        <v>0</v>
      </c>
      <c r="Q59" s="251">
        <f t="shared" si="11"/>
        <v>0</v>
      </c>
      <c r="R59" s="251">
        <f t="shared" si="12"/>
        <v>0</v>
      </c>
      <c r="S59" s="251" t="e">
        <f t="shared" si="13"/>
        <v>#VALUE!</v>
      </c>
      <c r="T59" s="251">
        <f t="shared" si="0"/>
        <v>0</v>
      </c>
      <c r="U59" s="252">
        <f>TRUNC(T59*Condições!$C$102,2)</f>
        <v>0</v>
      </c>
      <c r="V59" s="199">
        <f t="shared" si="20"/>
        <v>0</v>
      </c>
      <c r="W59" s="161" t="e">
        <f t="shared" si="14"/>
        <v>#N/A</v>
      </c>
      <c r="X59" s="161" t="e">
        <f t="shared" si="15"/>
        <v>#N/A</v>
      </c>
      <c r="Y59" s="161">
        <f t="shared" si="21"/>
        <v>34</v>
      </c>
      <c r="Z59" s="161">
        <f t="shared" ca="1" si="22"/>
        <v>4</v>
      </c>
      <c r="AB59" s="243" t="s">
        <v>80</v>
      </c>
      <c r="AC59" s="238" t="e">
        <f ca="1">(IF(    AND(VALUE(MID(TEXT(AG24*100,"0,0000000000000000"),(FIND(",",AG24*100)+3),1))=5,((AG24*100-(INT((AG24*100*1000))/1000))&gt;0)),ROUNDUP(AG24*100,2),    IF(   AND(VALUE(MID(TEXT(AG24*100,"0,0000000000000000"),(FIND(",",AG24*100)+3),1))=5,((AG24*100-(INT((AG24*100*100))/100))=0), VALUE(MID(TEXT(AG24*100,"0,0000000000000000"),(FIND(",",AG24*100)+2),1))&lt;&gt;ODD(VALUE(MID(TEXT(AG24*100,"0,0000000000000000"),(FIND(",",AG24*100)+2),1)))                                 ),ROUNDDOWN(AG24*100,2),      IF(   AND(VALUE(MID(TEXT(AG24*100,"0,0000000000000000"),(FIND(",",AG24*100)+3),1))=5,EVEN(VALUE(MID(TEXT(AG24*100,"0,0000000000000000"),(FIND(",",AG24*100)+2),1)))=VALUE(MID(TEXT(AG24*100,"0,0000000000000000"),(FIND(",",AG24*100)+2),1))),ROUNDDOWN(AG24*100,2),IF(VALUE(MID(TEXT(AG24*100,"0,0000000000000000"),(FIND(",",AG24*100)+3),1))&lt;5,ROUNDDOWN(AG24*100,2),ROUNDUP(AG24*100,2))))))/100</f>
        <v>#NUM!</v>
      </c>
      <c r="AG59" s="114">
        <f t="shared" si="23"/>
        <v>0</v>
      </c>
      <c r="AH59" s="113"/>
      <c r="AI59" s="199">
        <f ca="1">IF(AL59=0,0,IF(AL59&gt;Preenchimento!$AA$88*12,0,IF($AC$53=AM59,0,1)))</f>
        <v>0</v>
      </c>
      <c r="AJ59" s="161" t="e">
        <f t="shared" ca="1" si="24"/>
        <v>#N/A</v>
      </c>
      <c r="AK59" s="161" t="e">
        <f t="shared" ca="1" si="16"/>
        <v>#N/A</v>
      </c>
      <c r="AL59" s="161">
        <f ca="1">IF(Y59&gt;(Preenchimento!$AA$90*12),0,Fixa!Y59)</f>
        <v>0</v>
      </c>
      <c r="AM59" s="161">
        <f t="shared" ca="1" si="25"/>
        <v>4</v>
      </c>
      <c r="AN59" s="199">
        <f ca="1">IF(AQ59&gt;Preenchimento!$AA$90*12,0,1)</f>
        <v>0</v>
      </c>
      <c r="AO59" s="161" t="e">
        <f ca="1">1/((1+SAC!$AD$29)^AL59)</f>
        <v>#N/A</v>
      </c>
      <c r="AP59" s="82" t="e">
        <f t="shared" ca="1" si="26"/>
        <v>#N/A</v>
      </c>
      <c r="AQ59" s="82">
        <v>34</v>
      </c>
      <c r="AS59" s="477">
        <f t="shared" ca="1" si="17"/>
        <v>0</v>
      </c>
    </row>
    <row r="60" spans="1:45" ht="12" customHeight="1">
      <c r="A60" s="53">
        <v>35</v>
      </c>
      <c r="B60" s="249">
        <f ca="1">DATE(IF(MONTH(B59)=12,YEAR(B59)+1,YEAR(B59)),IF(MONTH(B59)=12,1,MONTH(B59)+1),MIN(DAY(Condições!$C$109),IF(IF(MONTH(B59)=12,1,MONTH(B59)+1)=2,IF(MOD(IF(MONTH(B59)=12,YEAR(B59)+1,YEAR(B59)),4)=0,29,28),IF(OR(IF(MONTH(B59)=12,1,MONTH(B59)+1)=4,IF(MONTH(B59)=12,1,MONTH(B59)+1)=6,IF(MONTH(B59)=12,1,MONTH(B59)+1)=9,IF(MONTH(B59)=12,1,MONTH(B59)+1)=11),30,DAY($B$25)))))</f>
        <v>47254</v>
      </c>
      <c r="C60" s="250" t="str">
        <f t="shared" si="1"/>
        <v/>
      </c>
      <c r="D60" s="251" t="e">
        <f t="shared" si="2"/>
        <v>#N/A</v>
      </c>
      <c r="E60" s="251">
        <f t="shared" si="3"/>
        <v>0</v>
      </c>
      <c r="F60" s="251">
        <f t="shared" si="4"/>
        <v>0</v>
      </c>
      <c r="G60" s="251">
        <f t="shared" si="5"/>
        <v>0</v>
      </c>
      <c r="H60" s="251" t="e">
        <f t="shared" si="6"/>
        <v>#VALUE!</v>
      </c>
      <c r="I60" s="251">
        <f t="shared" si="7"/>
        <v>0</v>
      </c>
      <c r="J60" s="251">
        <f t="shared" si="18"/>
        <v>0</v>
      </c>
      <c r="K60" s="251">
        <f t="shared" si="8"/>
        <v>0</v>
      </c>
      <c r="L60" s="174"/>
      <c r="M60" s="224"/>
      <c r="N60" s="225">
        <f t="shared" si="9"/>
        <v>0</v>
      </c>
      <c r="O60" s="251" t="e">
        <f t="shared" si="10"/>
        <v>#N/A</v>
      </c>
      <c r="P60" s="251">
        <f t="shared" si="19"/>
        <v>0</v>
      </c>
      <c r="Q60" s="251">
        <f t="shared" si="11"/>
        <v>0</v>
      </c>
      <c r="R60" s="251">
        <f t="shared" si="12"/>
        <v>0</v>
      </c>
      <c r="S60" s="251" t="e">
        <f t="shared" si="13"/>
        <v>#VALUE!</v>
      </c>
      <c r="T60" s="251">
        <f t="shared" si="0"/>
        <v>0</v>
      </c>
      <c r="U60" s="252">
        <f>TRUNC(T60*Condições!$C$102,2)</f>
        <v>0</v>
      </c>
      <c r="V60" s="199">
        <f t="shared" si="20"/>
        <v>0</v>
      </c>
      <c r="W60" s="161" t="e">
        <f t="shared" si="14"/>
        <v>#N/A</v>
      </c>
      <c r="X60" s="161" t="e">
        <f t="shared" si="15"/>
        <v>#N/A</v>
      </c>
      <c r="Y60" s="161">
        <f t="shared" si="21"/>
        <v>35</v>
      </c>
      <c r="Z60" s="161">
        <f t="shared" ca="1" si="22"/>
        <v>5</v>
      </c>
      <c r="AG60" s="114">
        <f t="shared" si="23"/>
        <v>0</v>
      </c>
      <c r="AH60" s="113"/>
      <c r="AI60" s="199">
        <f ca="1">IF(AL60=0,0,IF(AL60&gt;Preenchimento!$AA$88*12,0,IF($AC$53=AM60,0,1)))</f>
        <v>0</v>
      </c>
      <c r="AJ60" s="161" t="e">
        <f t="shared" ca="1" si="24"/>
        <v>#N/A</v>
      </c>
      <c r="AK60" s="161" t="e">
        <f t="shared" ca="1" si="16"/>
        <v>#N/A</v>
      </c>
      <c r="AL60" s="161">
        <f ca="1">IF(Y60&gt;(Preenchimento!$AA$90*12),0,Fixa!Y60)</f>
        <v>0</v>
      </c>
      <c r="AM60" s="161">
        <f t="shared" ca="1" si="25"/>
        <v>5</v>
      </c>
      <c r="AN60" s="199">
        <f ca="1">IF(AQ60&gt;Preenchimento!$AA$90*12,0,1)</f>
        <v>0</v>
      </c>
      <c r="AO60" s="161" t="e">
        <f ca="1">1/((1+SAC!$AD$29)^AL60)</f>
        <v>#N/A</v>
      </c>
      <c r="AP60" s="82" t="e">
        <f t="shared" ca="1" si="26"/>
        <v>#N/A</v>
      </c>
      <c r="AQ60" s="82">
        <v>35</v>
      </c>
      <c r="AS60" s="477">
        <f t="shared" ca="1" si="17"/>
        <v>0</v>
      </c>
    </row>
    <row r="61" spans="1:45" ht="12" customHeight="1">
      <c r="A61" s="53">
        <v>36</v>
      </c>
      <c r="B61" s="249">
        <f ca="1">DATE(IF(MONTH(B60)=12,YEAR(B60)+1,YEAR(B60)),IF(MONTH(B60)=12,1,MONTH(B60)+1),MIN(DAY(Condições!$C$109),IF(IF(MONTH(B60)=12,1,MONTH(B60)+1)=2,IF(MOD(IF(MONTH(B60)=12,YEAR(B60)+1,YEAR(B60)),4)=0,29,28),IF(OR(IF(MONTH(B60)=12,1,MONTH(B60)+1)=4,IF(MONTH(B60)=12,1,MONTH(B60)+1)=6,IF(MONTH(B60)=12,1,MONTH(B60)+1)=9,IF(MONTH(B60)=12,1,MONTH(B60)+1)=11),30,DAY($B$25)))))</f>
        <v>47285</v>
      </c>
      <c r="C61" s="250" t="str">
        <f t="shared" si="1"/>
        <v/>
      </c>
      <c r="D61" s="251" t="e">
        <f t="shared" si="2"/>
        <v>#N/A</v>
      </c>
      <c r="E61" s="251">
        <f t="shared" si="3"/>
        <v>0</v>
      </c>
      <c r="F61" s="251">
        <f t="shared" si="4"/>
        <v>0</v>
      </c>
      <c r="G61" s="251">
        <f t="shared" si="5"/>
        <v>0</v>
      </c>
      <c r="H61" s="251" t="e">
        <f t="shared" si="6"/>
        <v>#VALUE!</v>
      </c>
      <c r="I61" s="251">
        <f t="shared" si="7"/>
        <v>0</v>
      </c>
      <c r="J61" s="251">
        <f t="shared" si="18"/>
        <v>0</v>
      </c>
      <c r="K61" s="251">
        <f t="shared" si="8"/>
        <v>0</v>
      </c>
      <c r="L61" s="174"/>
      <c r="M61" s="224"/>
      <c r="N61" s="225">
        <f t="shared" si="9"/>
        <v>0</v>
      </c>
      <c r="O61" s="251" t="e">
        <f t="shared" si="10"/>
        <v>#N/A</v>
      </c>
      <c r="P61" s="251">
        <f t="shared" si="19"/>
        <v>0</v>
      </c>
      <c r="Q61" s="251">
        <f t="shared" si="11"/>
        <v>0</v>
      </c>
      <c r="R61" s="251">
        <f t="shared" si="12"/>
        <v>0</v>
      </c>
      <c r="S61" s="251" t="e">
        <f t="shared" si="13"/>
        <v>#VALUE!</v>
      </c>
      <c r="T61" s="251">
        <f t="shared" si="0"/>
        <v>0</v>
      </c>
      <c r="U61" s="252">
        <f>TRUNC(T61*Condições!$C$102,2)</f>
        <v>0</v>
      </c>
      <c r="V61" s="199">
        <f t="shared" si="20"/>
        <v>0</v>
      </c>
      <c r="W61" s="161" t="e">
        <f t="shared" si="14"/>
        <v>#N/A</v>
      </c>
      <c r="X61" s="161" t="e">
        <f t="shared" si="15"/>
        <v>#N/A</v>
      </c>
      <c r="Y61" s="161">
        <f t="shared" si="21"/>
        <v>36</v>
      </c>
      <c r="Z61" s="161">
        <f t="shared" ca="1" si="22"/>
        <v>6</v>
      </c>
      <c r="AG61" s="114">
        <f t="shared" si="23"/>
        <v>0</v>
      </c>
      <c r="AH61" s="113"/>
      <c r="AI61" s="199">
        <f ca="1">IF(AL61=0,0,IF(AL61&gt;Preenchimento!$AA$88*12,0,IF($AC$53=AM61,0,1)))</f>
        <v>0</v>
      </c>
      <c r="AJ61" s="161" t="e">
        <f t="shared" ca="1" si="24"/>
        <v>#N/A</v>
      </c>
      <c r="AK61" s="161" t="e">
        <f t="shared" ca="1" si="16"/>
        <v>#N/A</v>
      </c>
      <c r="AL61" s="161">
        <f ca="1">IF(Y61&gt;(Preenchimento!$AA$90*12),0,Fixa!Y61)</f>
        <v>0</v>
      </c>
      <c r="AM61" s="161">
        <f t="shared" ca="1" si="25"/>
        <v>6</v>
      </c>
      <c r="AN61" s="199">
        <f ca="1">IF(AQ61&gt;Preenchimento!$AA$90*12,0,1)</f>
        <v>0</v>
      </c>
      <c r="AO61" s="161" t="e">
        <f ca="1">1/((1+SAC!$AD$29)^AL61)</f>
        <v>#N/A</v>
      </c>
      <c r="AP61" s="82" t="e">
        <f t="shared" ca="1" si="26"/>
        <v>#N/A</v>
      </c>
      <c r="AQ61" s="82">
        <v>36</v>
      </c>
      <c r="AS61" s="477">
        <f t="shared" ca="1" si="17"/>
        <v>0</v>
      </c>
    </row>
    <row r="62" spans="1:45" ht="12" customHeight="1">
      <c r="A62" s="53">
        <v>37</v>
      </c>
      <c r="B62" s="249">
        <f ca="1">DATE(IF(MONTH(B61)=12,YEAR(B61)+1,YEAR(B61)),IF(MONTH(B61)=12,1,MONTH(B61)+1),MIN(DAY(Condições!$C$109),IF(IF(MONTH(B61)=12,1,MONTH(B61)+1)=2,IF(MOD(IF(MONTH(B61)=12,YEAR(B61)+1,YEAR(B61)),4)=0,29,28),IF(OR(IF(MONTH(B61)=12,1,MONTH(B61)+1)=4,IF(MONTH(B61)=12,1,MONTH(B61)+1)=6,IF(MONTH(B61)=12,1,MONTH(B61)+1)=9,IF(MONTH(B61)=12,1,MONTH(B61)+1)=11),30,DAY($B$25)))))</f>
        <v>47315</v>
      </c>
      <c r="C62" s="250" t="str">
        <f t="shared" si="1"/>
        <v/>
      </c>
      <c r="D62" s="251" t="e">
        <f t="shared" si="2"/>
        <v>#N/A</v>
      </c>
      <c r="E62" s="251">
        <f t="shared" si="3"/>
        <v>0</v>
      </c>
      <c r="F62" s="251">
        <f t="shared" si="4"/>
        <v>0</v>
      </c>
      <c r="G62" s="251">
        <f t="shared" si="5"/>
        <v>0</v>
      </c>
      <c r="H62" s="251" t="e">
        <f t="shared" si="6"/>
        <v>#VALUE!</v>
      </c>
      <c r="I62" s="251">
        <f t="shared" si="7"/>
        <v>0</v>
      </c>
      <c r="J62" s="251">
        <f t="shared" si="18"/>
        <v>0</v>
      </c>
      <c r="K62" s="251">
        <f t="shared" si="8"/>
        <v>0</v>
      </c>
      <c r="L62" s="174"/>
      <c r="M62" s="224"/>
      <c r="N62" s="225">
        <f t="shared" si="9"/>
        <v>0</v>
      </c>
      <c r="O62" s="251" t="e">
        <f t="shared" si="10"/>
        <v>#N/A</v>
      </c>
      <c r="P62" s="251">
        <f t="shared" si="19"/>
        <v>0</v>
      </c>
      <c r="Q62" s="251">
        <f t="shared" si="11"/>
        <v>0</v>
      </c>
      <c r="R62" s="251">
        <f t="shared" si="12"/>
        <v>0</v>
      </c>
      <c r="S62" s="251" t="e">
        <f t="shared" si="13"/>
        <v>#VALUE!</v>
      </c>
      <c r="T62" s="251">
        <f t="shared" si="0"/>
        <v>0</v>
      </c>
      <c r="U62" s="252">
        <f>TRUNC(T62*Condições!$C$102,2)</f>
        <v>0</v>
      </c>
      <c r="V62" s="199">
        <f t="shared" si="20"/>
        <v>0</v>
      </c>
      <c r="W62" s="161" t="e">
        <f t="shared" si="14"/>
        <v>#N/A</v>
      </c>
      <c r="X62" s="161" t="e">
        <f t="shared" si="15"/>
        <v>#N/A</v>
      </c>
      <c r="Y62" s="161">
        <f t="shared" si="21"/>
        <v>37</v>
      </c>
      <c r="Z62" s="161">
        <f t="shared" ca="1" si="22"/>
        <v>7</v>
      </c>
      <c r="AG62" s="114">
        <f t="shared" si="23"/>
        <v>0</v>
      </c>
      <c r="AH62" s="113"/>
      <c r="AI62" s="199">
        <f ca="1">IF(AL62=0,0,IF(AL62&gt;Preenchimento!$AA$88*12,0,IF($AC$53=AM62,0,1)))</f>
        <v>0</v>
      </c>
      <c r="AJ62" s="161" t="e">
        <f t="shared" ca="1" si="24"/>
        <v>#N/A</v>
      </c>
      <c r="AK62" s="161" t="e">
        <f t="shared" ca="1" si="16"/>
        <v>#N/A</v>
      </c>
      <c r="AL62" s="161">
        <f ca="1">IF(Y62&gt;(Preenchimento!$AA$90*12),0,Fixa!Y62)</f>
        <v>0</v>
      </c>
      <c r="AM62" s="161">
        <f t="shared" ca="1" si="25"/>
        <v>7</v>
      </c>
      <c r="AN62" s="199">
        <f ca="1">IF(AQ62&gt;Preenchimento!$AA$90*12,0,1)</f>
        <v>0</v>
      </c>
      <c r="AO62" s="161" t="e">
        <f ca="1">1/((1+SAC!$AD$29)^AL62)</f>
        <v>#N/A</v>
      </c>
      <c r="AP62" s="82" t="e">
        <f t="shared" ca="1" si="26"/>
        <v>#N/A</v>
      </c>
      <c r="AQ62" s="82">
        <v>37</v>
      </c>
      <c r="AS62" s="477">
        <f t="shared" ca="1" si="17"/>
        <v>0</v>
      </c>
    </row>
    <row r="63" spans="1:45" ht="12" customHeight="1">
      <c r="A63" s="53">
        <v>38</v>
      </c>
      <c r="B63" s="249">
        <f ca="1">DATE(IF(MONTH(B62)=12,YEAR(B62)+1,YEAR(B62)),IF(MONTH(B62)=12,1,MONTH(B62)+1),MIN(DAY(Condições!$C$109),IF(IF(MONTH(B62)=12,1,MONTH(B62)+1)=2,IF(MOD(IF(MONTH(B62)=12,YEAR(B62)+1,YEAR(B62)),4)=0,29,28),IF(OR(IF(MONTH(B62)=12,1,MONTH(B62)+1)=4,IF(MONTH(B62)=12,1,MONTH(B62)+1)=6,IF(MONTH(B62)=12,1,MONTH(B62)+1)=9,IF(MONTH(B62)=12,1,MONTH(B62)+1)=11),30,DAY($B$25)))))</f>
        <v>47346</v>
      </c>
      <c r="C63" s="250" t="str">
        <f t="shared" si="1"/>
        <v/>
      </c>
      <c r="D63" s="251" t="e">
        <f t="shared" si="2"/>
        <v>#N/A</v>
      </c>
      <c r="E63" s="251">
        <f t="shared" si="3"/>
        <v>0</v>
      </c>
      <c r="F63" s="251">
        <f t="shared" si="4"/>
        <v>0</v>
      </c>
      <c r="G63" s="251">
        <f t="shared" si="5"/>
        <v>0</v>
      </c>
      <c r="H63" s="251" t="e">
        <f t="shared" si="6"/>
        <v>#VALUE!</v>
      </c>
      <c r="I63" s="251">
        <f t="shared" si="7"/>
        <v>0</v>
      </c>
      <c r="J63" s="251">
        <f t="shared" si="18"/>
        <v>0</v>
      </c>
      <c r="K63" s="251">
        <f t="shared" si="8"/>
        <v>0</v>
      </c>
      <c r="L63" s="174"/>
      <c r="M63" s="224"/>
      <c r="N63" s="225">
        <f t="shared" si="9"/>
        <v>0</v>
      </c>
      <c r="O63" s="251" t="e">
        <f t="shared" si="10"/>
        <v>#N/A</v>
      </c>
      <c r="P63" s="251">
        <f t="shared" si="19"/>
        <v>0</v>
      </c>
      <c r="Q63" s="251">
        <f t="shared" si="11"/>
        <v>0</v>
      </c>
      <c r="R63" s="251">
        <f t="shared" si="12"/>
        <v>0</v>
      </c>
      <c r="S63" s="251" t="e">
        <f t="shared" si="13"/>
        <v>#VALUE!</v>
      </c>
      <c r="T63" s="251">
        <f t="shared" si="0"/>
        <v>0</v>
      </c>
      <c r="U63" s="252">
        <f>TRUNC(T63*Condições!$C$102,2)</f>
        <v>0</v>
      </c>
      <c r="V63" s="199">
        <f t="shared" si="20"/>
        <v>0</v>
      </c>
      <c r="W63" s="161" t="e">
        <f t="shared" si="14"/>
        <v>#N/A</v>
      </c>
      <c r="X63" s="161" t="e">
        <f t="shared" si="15"/>
        <v>#N/A</v>
      </c>
      <c r="Y63" s="161">
        <f t="shared" si="21"/>
        <v>38</v>
      </c>
      <c r="Z63" s="161">
        <f t="shared" ca="1" si="22"/>
        <v>8</v>
      </c>
      <c r="AG63" s="114">
        <f t="shared" si="23"/>
        <v>0</v>
      </c>
      <c r="AH63" s="113"/>
      <c r="AI63" s="199">
        <f ca="1">IF(AL63=0,0,IF(AL63&gt;Preenchimento!$AA$88*12,0,IF($AC$53=AM63,0,1)))</f>
        <v>0</v>
      </c>
      <c r="AJ63" s="161" t="e">
        <f t="shared" ca="1" si="24"/>
        <v>#N/A</v>
      </c>
      <c r="AK63" s="161" t="e">
        <f t="shared" ca="1" si="16"/>
        <v>#N/A</v>
      </c>
      <c r="AL63" s="161">
        <f ca="1">IF(Y63&gt;(Preenchimento!$AA$90*12),0,Fixa!Y63)</f>
        <v>0</v>
      </c>
      <c r="AM63" s="161">
        <f t="shared" ca="1" si="25"/>
        <v>8</v>
      </c>
      <c r="AN63" s="199">
        <f ca="1">IF(AQ63&gt;Preenchimento!$AA$90*12,0,1)</f>
        <v>0</v>
      </c>
      <c r="AO63" s="161" t="e">
        <f ca="1">1/((1+SAC!$AD$29)^AL63)</f>
        <v>#N/A</v>
      </c>
      <c r="AP63" s="82" t="e">
        <f t="shared" ca="1" si="26"/>
        <v>#N/A</v>
      </c>
      <c r="AQ63" s="82">
        <v>38</v>
      </c>
      <c r="AS63" s="477">
        <f t="shared" ca="1" si="17"/>
        <v>0</v>
      </c>
    </row>
    <row r="64" spans="1:45" ht="12" customHeight="1">
      <c r="A64" s="53">
        <v>39</v>
      </c>
      <c r="B64" s="249">
        <f ca="1">DATE(IF(MONTH(B63)=12,YEAR(B63)+1,YEAR(B63)),IF(MONTH(B63)=12,1,MONTH(B63)+1),MIN(DAY(Condições!$C$109),IF(IF(MONTH(B63)=12,1,MONTH(B63)+1)=2,IF(MOD(IF(MONTH(B63)=12,YEAR(B63)+1,YEAR(B63)),4)=0,29,28),IF(OR(IF(MONTH(B63)=12,1,MONTH(B63)+1)=4,IF(MONTH(B63)=12,1,MONTH(B63)+1)=6,IF(MONTH(B63)=12,1,MONTH(B63)+1)=9,IF(MONTH(B63)=12,1,MONTH(B63)+1)=11),30,DAY($B$25)))))</f>
        <v>47377</v>
      </c>
      <c r="C64" s="250" t="str">
        <f t="shared" si="1"/>
        <v/>
      </c>
      <c r="D64" s="251" t="e">
        <f t="shared" si="2"/>
        <v>#N/A</v>
      </c>
      <c r="E64" s="251">
        <f t="shared" si="3"/>
        <v>0</v>
      </c>
      <c r="F64" s="251">
        <f t="shared" si="4"/>
        <v>0</v>
      </c>
      <c r="G64" s="251">
        <f t="shared" si="5"/>
        <v>0</v>
      </c>
      <c r="H64" s="251" t="e">
        <f t="shared" si="6"/>
        <v>#VALUE!</v>
      </c>
      <c r="I64" s="251">
        <f t="shared" si="7"/>
        <v>0</v>
      </c>
      <c r="J64" s="251">
        <f t="shared" si="18"/>
        <v>0</v>
      </c>
      <c r="K64" s="251">
        <f t="shared" si="8"/>
        <v>0</v>
      </c>
      <c r="L64" s="174"/>
      <c r="M64" s="224"/>
      <c r="N64" s="225">
        <f t="shared" si="9"/>
        <v>0</v>
      </c>
      <c r="O64" s="251" t="e">
        <f t="shared" si="10"/>
        <v>#N/A</v>
      </c>
      <c r="P64" s="251">
        <f t="shared" si="19"/>
        <v>0</v>
      </c>
      <c r="Q64" s="251">
        <f t="shared" si="11"/>
        <v>0</v>
      </c>
      <c r="R64" s="251">
        <f t="shared" si="12"/>
        <v>0</v>
      </c>
      <c r="S64" s="251" t="e">
        <f t="shared" si="13"/>
        <v>#VALUE!</v>
      </c>
      <c r="T64" s="251">
        <f t="shared" si="0"/>
        <v>0</v>
      </c>
      <c r="U64" s="252">
        <f>TRUNC(T64*Condições!$C$102,2)</f>
        <v>0</v>
      </c>
      <c r="V64" s="199">
        <f t="shared" si="20"/>
        <v>0</v>
      </c>
      <c r="W64" s="161" t="e">
        <f t="shared" si="14"/>
        <v>#N/A</v>
      </c>
      <c r="X64" s="161" t="e">
        <f t="shared" si="15"/>
        <v>#N/A</v>
      </c>
      <c r="Y64" s="161">
        <f t="shared" si="21"/>
        <v>39</v>
      </c>
      <c r="Z64" s="161">
        <f t="shared" ca="1" si="22"/>
        <v>9</v>
      </c>
      <c r="AG64" s="114">
        <f t="shared" si="23"/>
        <v>0</v>
      </c>
      <c r="AH64" s="113"/>
      <c r="AI64" s="199">
        <f ca="1">IF(AL64=0,0,IF(AL64&gt;Preenchimento!$AA$88*12,0,IF($AC$53=AM64,0,1)))</f>
        <v>0</v>
      </c>
      <c r="AJ64" s="161" t="e">
        <f t="shared" ca="1" si="24"/>
        <v>#N/A</v>
      </c>
      <c r="AK64" s="161" t="e">
        <f t="shared" ca="1" si="16"/>
        <v>#N/A</v>
      </c>
      <c r="AL64" s="161">
        <f ca="1">IF(Y64&gt;(Preenchimento!$AA$90*12),0,Fixa!Y64)</f>
        <v>0</v>
      </c>
      <c r="AM64" s="161">
        <f t="shared" ca="1" si="25"/>
        <v>9</v>
      </c>
      <c r="AN64" s="199">
        <f ca="1">IF(AQ64&gt;Preenchimento!$AA$90*12,0,1)</f>
        <v>0</v>
      </c>
      <c r="AO64" s="161" t="e">
        <f ca="1">1/((1+SAC!$AD$29)^AL64)</f>
        <v>#N/A</v>
      </c>
      <c r="AP64" s="82" t="e">
        <f t="shared" ca="1" si="26"/>
        <v>#N/A</v>
      </c>
      <c r="AQ64" s="82">
        <v>39</v>
      </c>
      <c r="AS64" s="477">
        <f t="shared" ca="1" si="17"/>
        <v>0</v>
      </c>
    </row>
    <row r="65" spans="1:45" ht="12" customHeight="1">
      <c r="A65" s="53">
        <v>40</v>
      </c>
      <c r="B65" s="249">
        <f ca="1">DATE(IF(MONTH(B64)=12,YEAR(B64)+1,YEAR(B64)),IF(MONTH(B64)=12,1,MONTH(B64)+1),MIN(DAY(Condições!$C$109),IF(IF(MONTH(B64)=12,1,MONTH(B64)+1)=2,IF(MOD(IF(MONTH(B64)=12,YEAR(B64)+1,YEAR(B64)),4)=0,29,28),IF(OR(IF(MONTH(B64)=12,1,MONTH(B64)+1)=4,IF(MONTH(B64)=12,1,MONTH(B64)+1)=6,IF(MONTH(B64)=12,1,MONTH(B64)+1)=9,IF(MONTH(B64)=12,1,MONTH(B64)+1)=11),30,DAY($B$25)))))</f>
        <v>47407</v>
      </c>
      <c r="C65" s="250" t="str">
        <f t="shared" si="1"/>
        <v/>
      </c>
      <c r="D65" s="251" t="e">
        <f t="shared" si="2"/>
        <v>#N/A</v>
      </c>
      <c r="E65" s="251">
        <f t="shared" si="3"/>
        <v>0</v>
      </c>
      <c r="F65" s="251">
        <f t="shared" si="4"/>
        <v>0</v>
      </c>
      <c r="G65" s="251">
        <f t="shared" si="5"/>
        <v>0</v>
      </c>
      <c r="H65" s="251" t="e">
        <f t="shared" si="6"/>
        <v>#VALUE!</v>
      </c>
      <c r="I65" s="251">
        <f t="shared" si="7"/>
        <v>0</v>
      </c>
      <c r="J65" s="251">
        <f t="shared" si="18"/>
        <v>0</v>
      </c>
      <c r="K65" s="251">
        <f t="shared" si="8"/>
        <v>0</v>
      </c>
      <c r="L65" s="174"/>
      <c r="M65" s="224"/>
      <c r="N65" s="225">
        <f t="shared" si="9"/>
        <v>0</v>
      </c>
      <c r="O65" s="251" t="e">
        <f t="shared" si="10"/>
        <v>#N/A</v>
      </c>
      <c r="P65" s="251">
        <f t="shared" si="19"/>
        <v>0</v>
      </c>
      <c r="Q65" s="251">
        <f t="shared" si="11"/>
        <v>0</v>
      </c>
      <c r="R65" s="251">
        <f t="shared" si="12"/>
        <v>0</v>
      </c>
      <c r="S65" s="251" t="e">
        <f t="shared" si="13"/>
        <v>#VALUE!</v>
      </c>
      <c r="T65" s="251">
        <f t="shared" si="0"/>
        <v>0</v>
      </c>
      <c r="U65" s="252">
        <f>TRUNC(T65*Condições!$C$102,2)</f>
        <v>0</v>
      </c>
      <c r="V65" s="199">
        <f t="shared" si="20"/>
        <v>0</v>
      </c>
      <c r="W65" s="161" t="e">
        <f t="shared" si="14"/>
        <v>#N/A</v>
      </c>
      <c r="X65" s="161" t="e">
        <f t="shared" si="15"/>
        <v>#N/A</v>
      </c>
      <c r="Y65" s="161">
        <f t="shared" si="21"/>
        <v>40</v>
      </c>
      <c r="Z65" s="161">
        <f t="shared" ca="1" si="22"/>
        <v>10</v>
      </c>
      <c r="AG65" s="114">
        <f t="shared" si="23"/>
        <v>0</v>
      </c>
      <c r="AH65" s="113"/>
      <c r="AI65" s="199">
        <f ca="1">IF(AL65=0,0,IF(AL65&gt;Preenchimento!$AA$88*12,0,IF($AC$53=AM65,0,1)))</f>
        <v>0</v>
      </c>
      <c r="AJ65" s="161" t="e">
        <f t="shared" ca="1" si="24"/>
        <v>#N/A</v>
      </c>
      <c r="AK65" s="161" t="e">
        <f t="shared" ca="1" si="16"/>
        <v>#N/A</v>
      </c>
      <c r="AL65" s="161">
        <f ca="1">IF(Y65&gt;(Preenchimento!$AA$90*12),0,Fixa!Y65)</f>
        <v>0</v>
      </c>
      <c r="AM65" s="161">
        <f t="shared" ca="1" si="25"/>
        <v>10</v>
      </c>
      <c r="AN65" s="199">
        <f ca="1">IF(AQ65&gt;Preenchimento!$AA$90*12,0,1)</f>
        <v>0</v>
      </c>
      <c r="AO65" s="161" t="e">
        <f ca="1">1/((1+SAC!$AD$29)^AL65)</f>
        <v>#N/A</v>
      </c>
      <c r="AP65" s="82" t="e">
        <f t="shared" ca="1" si="26"/>
        <v>#N/A</v>
      </c>
      <c r="AQ65" s="82">
        <v>40</v>
      </c>
      <c r="AS65" s="477">
        <f t="shared" ca="1" si="17"/>
        <v>0</v>
      </c>
    </row>
    <row r="66" spans="1:45" ht="12" customHeight="1">
      <c r="A66" s="53">
        <v>41</v>
      </c>
      <c r="B66" s="249">
        <f ca="1">DATE(IF(MONTH(B65)=12,YEAR(B65)+1,YEAR(B65)),IF(MONTH(B65)=12,1,MONTH(B65)+1),MIN(DAY(Condições!$C$109),IF(IF(MONTH(B65)=12,1,MONTH(B65)+1)=2,IF(MOD(IF(MONTH(B65)=12,YEAR(B65)+1,YEAR(B65)),4)=0,29,28),IF(OR(IF(MONTH(B65)=12,1,MONTH(B65)+1)=4,IF(MONTH(B65)=12,1,MONTH(B65)+1)=6,IF(MONTH(B65)=12,1,MONTH(B65)+1)=9,IF(MONTH(B65)=12,1,MONTH(B65)+1)=11),30,DAY($B$25)))))</f>
        <v>47438</v>
      </c>
      <c r="C66" s="250" t="str">
        <f t="shared" si="1"/>
        <v/>
      </c>
      <c r="D66" s="251" t="e">
        <f t="shared" si="2"/>
        <v>#N/A</v>
      </c>
      <c r="E66" s="251">
        <f t="shared" si="3"/>
        <v>0</v>
      </c>
      <c r="F66" s="251">
        <f t="shared" si="4"/>
        <v>0</v>
      </c>
      <c r="G66" s="251">
        <f t="shared" si="5"/>
        <v>0</v>
      </c>
      <c r="H66" s="251" t="e">
        <f t="shared" si="6"/>
        <v>#VALUE!</v>
      </c>
      <c r="I66" s="251">
        <f t="shared" si="7"/>
        <v>0</v>
      </c>
      <c r="J66" s="251">
        <f t="shared" si="18"/>
        <v>0</v>
      </c>
      <c r="K66" s="251">
        <f t="shared" si="8"/>
        <v>0</v>
      </c>
      <c r="L66" s="174"/>
      <c r="M66" s="224"/>
      <c r="N66" s="225">
        <f t="shared" si="9"/>
        <v>0</v>
      </c>
      <c r="O66" s="251" t="e">
        <f t="shared" si="10"/>
        <v>#N/A</v>
      </c>
      <c r="P66" s="251">
        <f t="shared" si="19"/>
        <v>0</v>
      </c>
      <c r="Q66" s="251">
        <f t="shared" si="11"/>
        <v>0</v>
      </c>
      <c r="R66" s="251">
        <f t="shared" si="12"/>
        <v>0</v>
      </c>
      <c r="S66" s="251" t="e">
        <f t="shared" si="13"/>
        <v>#VALUE!</v>
      </c>
      <c r="T66" s="251">
        <f t="shared" si="0"/>
        <v>0</v>
      </c>
      <c r="U66" s="252">
        <f>TRUNC(T66*Condições!$C$102,2)</f>
        <v>0</v>
      </c>
      <c r="V66" s="199">
        <f t="shared" si="20"/>
        <v>0</v>
      </c>
      <c r="W66" s="161" t="e">
        <f t="shared" si="14"/>
        <v>#N/A</v>
      </c>
      <c r="X66" s="161" t="e">
        <f t="shared" si="15"/>
        <v>#N/A</v>
      </c>
      <c r="Y66" s="161">
        <f t="shared" si="21"/>
        <v>41</v>
      </c>
      <c r="Z66" s="161">
        <f t="shared" ca="1" si="22"/>
        <v>11</v>
      </c>
      <c r="AG66" s="114">
        <f t="shared" si="23"/>
        <v>0</v>
      </c>
      <c r="AH66" s="113"/>
      <c r="AI66" s="199">
        <f ca="1">IF(AL66=0,0,IF(AL66&gt;Preenchimento!$AA$88*12,0,IF($AC$53=AM66,0,1)))</f>
        <v>0</v>
      </c>
      <c r="AJ66" s="161" t="e">
        <f t="shared" ca="1" si="24"/>
        <v>#N/A</v>
      </c>
      <c r="AK66" s="161" t="e">
        <f t="shared" ca="1" si="16"/>
        <v>#N/A</v>
      </c>
      <c r="AL66" s="161">
        <f ca="1">IF(Y66&gt;(Preenchimento!$AA$90*12),0,Fixa!Y66)</f>
        <v>0</v>
      </c>
      <c r="AM66" s="161">
        <f t="shared" ca="1" si="25"/>
        <v>11</v>
      </c>
      <c r="AN66" s="199">
        <f ca="1">IF(AQ66&gt;Preenchimento!$AA$90*12,0,1)</f>
        <v>0</v>
      </c>
      <c r="AO66" s="161" t="e">
        <f ca="1">1/((1+SAC!$AD$29)^AL66)</f>
        <v>#N/A</v>
      </c>
      <c r="AP66" s="82" t="e">
        <f t="shared" ca="1" si="26"/>
        <v>#N/A</v>
      </c>
      <c r="AQ66" s="82">
        <v>41</v>
      </c>
      <c r="AS66" s="477">
        <f t="shared" ca="1" si="17"/>
        <v>0</v>
      </c>
    </row>
    <row r="67" spans="1:45" ht="12" customHeight="1">
      <c r="A67" s="53">
        <v>42</v>
      </c>
      <c r="B67" s="249">
        <f ca="1">DATE(IF(MONTH(B66)=12,YEAR(B66)+1,YEAR(B66)),IF(MONTH(B66)=12,1,MONTH(B66)+1),MIN(DAY(Condições!$C$109),IF(IF(MONTH(B66)=12,1,MONTH(B66)+1)=2,IF(MOD(IF(MONTH(B66)=12,YEAR(B66)+1,YEAR(B66)),4)=0,29,28),IF(OR(IF(MONTH(B66)=12,1,MONTH(B66)+1)=4,IF(MONTH(B66)=12,1,MONTH(B66)+1)=6,IF(MONTH(B66)=12,1,MONTH(B66)+1)=9,IF(MONTH(B66)=12,1,MONTH(B66)+1)=11),30,DAY($B$25)))))</f>
        <v>47468</v>
      </c>
      <c r="C67" s="250" t="str">
        <f t="shared" si="1"/>
        <v/>
      </c>
      <c r="D67" s="251" t="e">
        <f t="shared" si="2"/>
        <v>#N/A</v>
      </c>
      <c r="E67" s="251">
        <f t="shared" si="3"/>
        <v>0</v>
      </c>
      <c r="F67" s="251">
        <f t="shared" si="4"/>
        <v>0</v>
      </c>
      <c r="G67" s="251">
        <f t="shared" si="5"/>
        <v>0</v>
      </c>
      <c r="H67" s="251" t="e">
        <f t="shared" si="6"/>
        <v>#VALUE!</v>
      </c>
      <c r="I67" s="251">
        <f t="shared" si="7"/>
        <v>0</v>
      </c>
      <c r="J67" s="251">
        <f t="shared" si="18"/>
        <v>0</v>
      </c>
      <c r="K67" s="251">
        <f t="shared" si="8"/>
        <v>0</v>
      </c>
      <c r="L67" s="174"/>
      <c r="M67" s="224"/>
      <c r="N67" s="225">
        <f t="shared" si="9"/>
        <v>0</v>
      </c>
      <c r="O67" s="251" t="e">
        <f t="shared" si="10"/>
        <v>#N/A</v>
      </c>
      <c r="P67" s="251">
        <f t="shared" si="19"/>
        <v>0</v>
      </c>
      <c r="Q67" s="251">
        <f t="shared" si="11"/>
        <v>0</v>
      </c>
      <c r="R67" s="251">
        <f t="shared" si="12"/>
        <v>0</v>
      </c>
      <c r="S67" s="251" t="e">
        <f t="shared" si="13"/>
        <v>#VALUE!</v>
      </c>
      <c r="T67" s="251">
        <f t="shared" si="0"/>
        <v>0</v>
      </c>
      <c r="U67" s="252">
        <f>TRUNC(T67*Condições!$C$102,2)</f>
        <v>0</v>
      </c>
      <c r="V67" s="199">
        <f t="shared" si="20"/>
        <v>0</v>
      </c>
      <c r="W67" s="161" t="e">
        <f t="shared" si="14"/>
        <v>#N/A</v>
      </c>
      <c r="X67" s="161" t="e">
        <f t="shared" si="15"/>
        <v>#N/A</v>
      </c>
      <c r="Y67" s="161">
        <f t="shared" si="21"/>
        <v>42</v>
      </c>
      <c r="Z67" s="161">
        <f t="shared" ca="1" si="22"/>
        <v>12</v>
      </c>
      <c r="AG67" s="114">
        <f t="shared" si="23"/>
        <v>0</v>
      </c>
      <c r="AH67" s="113"/>
      <c r="AI67" s="199">
        <f ca="1">IF(AL67=0,0,IF(AL67&gt;Preenchimento!$AA$88*12,0,IF($AC$53=AM67,0,1)))</f>
        <v>0</v>
      </c>
      <c r="AJ67" s="161" t="e">
        <f t="shared" ca="1" si="24"/>
        <v>#N/A</v>
      </c>
      <c r="AK67" s="161" t="e">
        <f t="shared" ca="1" si="16"/>
        <v>#N/A</v>
      </c>
      <c r="AL67" s="161">
        <f ca="1">IF(Y67&gt;(Preenchimento!$AA$90*12),0,Fixa!Y67)</f>
        <v>0</v>
      </c>
      <c r="AM67" s="161">
        <f t="shared" ca="1" si="25"/>
        <v>12</v>
      </c>
      <c r="AN67" s="199">
        <f ca="1">IF(AQ67&gt;Preenchimento!$AA$90*12,0,1)</f>
        <v>0</v>
      </c>
      <c r="AO67" s="161" t="e">
        <f ca="1">1/((1+SAC!$AD$29)^AL67)</f>
        <v>#N/A</v>
      </c>
      <c r="AP67" s="82" t="e">
        <f t="shared" ca="1" si="26"/>
        <v>#N/A</v>
      </c>
      <c r="AQ67" s="82">
        <v>42</v>
      </c>
      <c r="AS67" s="477">
        <f t="shared" ca="1" si="17"/>
        <v>0</v>
      </c>
    </row>
    <row r="68" spans="1:45" ht="12" customHeight="1">
      <c r="A68" s="53">
        <v>43</v>
      </c>
      <c r="B68" s="249">
        <f ca="1">DATE(IF(MONTH(B67)=12,YEAR(B67)+1,YEAR(B67)),IF(MONTH(B67)=12,1,MONTH(B67)+1),MIN(DAY(Condições!$C$109),IF(IF(MONTH(B67)=12,1,MONTH(B67)+1)=2,IF(MOD(IF(MONTH(B67)=12,YEAR(B67)+1,YEAR(B67)),4)=0,29,28),IF(OR(IF(MONTH(B67)=12,1,MONTH(B67)+1)=4,IF(MONTH(B67)=12,1,MONTH(B67)+1)=6,IF(MONTH(B67)=12,1,MONTH(B67)+1)=9,IF(MONTH(B67)=12,1,MONTH(B67)+1)=11),30,DAY($B$25)))))</f>
        <v>47499</v>
      </c>
      <c r="C68" s="250" t="str">
        <f t="shared" si="1"/>
        <v/>
      </c>
      <c r="D68" s="251" t="e">
        <f t="shared" si="2"/>
        <v>#N/A</v>
      </c>
      <c r="E68" s="251">
        <f t="shared" si="3"/>
        <v>0</v>
      </c>
      <c r="F68" s="251">
        <f t="shared" si="4"/>
        <v>0</v>
      </c>
      <c r="G68" s="251">
        <f t="shared" si="5"/>
        <v>0</v>
      </c>
      <c r="H68" s="251" t="e">
        <f t="shared" si="6"/>
        <v>#VALUE!</v>
      </c>
      <c r="I68" s="251">
        <f t="shared" si="7"/>
        <v>0</v>
      </c>
      <c r="J68" s="251">
        <f t="shared" si="18"/>
        <v>0</v>
      </c>
      <c r="K68" s="251">
        <f t="shared" si="8"/>
        <v>0</v>
      </c>
      <c r="L68" s="174"/>
      <c r="M68" s="224"/>
      <c r="N68" s="225">
        <f t="shared" si="9"/>
        <v>0</v>
      </c>
      <c r="O68" s="251" t="e">
        <f t="shared" si="10"/>
        <v>#N/A</v>
      </c>
      <c r="P68" s="251">
        <f t="shared" si="19"/>
        <v>0</v>
      </c>
      <c r="Q68" s="251">
        <f t="shared" si="11"/>
        <v>0</v>
      </c>
      <c r="R68" s="251">
        <f t="shared" si="12"/>
        <v>0</v>
      </c>
      <c r="S68" s="251" t="e">
        <f t="shared" si="13"/>
        <v>#VALUE!</v>
      </c>
      <c r="T68" s="251">
        <f t="shared" si="0"/>
        <v>0</v>
      </c>
      <c r="U68" s="252">
        <f>TRUNC(T68*Condições!$C$102,2)</f>
        <v>0</v>
      </c>
      <c r="V68" s="199">
        <f t="shared" si="20"/>
        <v>0</v>
      </c>
      <c r="W68" s="161" t="e">
        <f t="shared" si="14"/>
        <v>#N/A</v>
      </c>
      <c r="X68" s="161" t="e">
        <f t="shared" si="15"/>
        <v>#N/A</v>
      </c>
      <c r="Y68" s="161">
        <f t="shared" si="21"/>
        <v>43</v>
      </c>
      <c r="Z68" s="161">
        <f t="shared" ca="1" si="22"/>
        <v>1</v>
      </c>
      <c r="AG68" s="114">
        <f t="shared" si="23"/>
        <v>0</v>
      </c>
      <c r="AH68" s="113"/>
      <c r="AI68" s="199">
        <f ca="1">IF(AL68=0,0,IF(AL68&gt;Preenchimento!$AA$88*12,0,IF($AC$53=AM68,0,1)))</f>
        <v>0</v>
      </c>
      <c r="AJ68" s="161" t="e">
        <f t="shared" ca="1" si="24"/>
        <v>#N/A</v>
      </c>
      <c r="AK68" s="161" t="e">
        <f t="shared" ca="1" si="16"/>
        <v>#N/A</v>
      </c>
      <c r="AL68" s="161">
        <f ca="1">IF(Y68&gt;(Preenchimento!$AA$90*12),0,Fixa!Y68)</f>
        <v>0</v>
      </c>
      <c r="AM68" s="161">
        <f t="shared" ca="1" si="25"/>
        <v>1</v>
      </c>
      <c r="AN68" s="199">
        <f ca="1">IF(AQ68&gt;Preenchimento!$AA$90*12,0,1)</f>
        <v>0</v>
      </c>
      <c r="AO68" s="161" t="e">
        <f ca="1">1/((1+SAC!$AD$29)^AL68)</f>
        <v>#N/A</v>
      </c>
      <c r="AP68" s="82" t="e">
        <f t="shared" ca="1" si="26"/>
        <v>#N/A</v>
      </c>
      <c r="AQ68" s="82">
        <v>43</v>
      </c>
      <c r="AS68" s="477">
        <f t="shared" ca="1" si="17"/>
        <v>0</v>
      </c>
    </row>
    <row r="69" spans="1:45" ht="12" customHeight="1">
      <c r="A69" s="53">
        <v>44</v>
      </c>
      <c r="B69" s="249">
        <f ca="1">DATE(IF(MONTH(B68)=12,YEAR(B68)+1,YEAR(B68)),IF(MONTH(B68)=12,1,MONTH(B68)+1),MIN(DAY(Condições!$C$109),IF(IF(MONTH(B68)=12,1,MONTH(B68)+1)=2,IF(MOD(IF(MONTH(B68)=12,YEAR(B68)+1,YEAR(B68)),4)=0,29,28),IF(OR(IF(MONTH(B68)=12,1,MONTH(B68)+1)=4,IF(MONTH(B68)=12,1,MONTH(B68)+1)=6,IF(MONTH(B68)=12,1,MONTH(B68)+1)=9,IF(MONTH(B68)=12,1,MONTH(B68)+1)=11),30,DAY($B$25)))))</f>
        <v>47530</v>
      </c>
      <c r="C69" s="250" t="str">
        <f t="shared" si="1"/>
        <v/>
      </c>
      <c r="D69" s="251" t="e">
        <f t="shared" si="2"/>
        <v>#N/A</v>
      </c>
      <c r="E69" s="251">
        <f t="shared" si="3"/>
        <v>0</v>
      </c>
      <c r="F69" s="251">
        <f t="shared" si="4"/>
        <v>0</v>
      </c>
      <c r="G69" s="251">
        <f t="shared" si="5"/>
        <v>0</v>
      </c>
      <c r="H69" s="251" t="e">
        <f t="shared" si="6"/>
        <v>#VALUE!</v>
      </c>
      <c r="I69" s="251">
        <f t="shared" si="7"/>
        <v>0</v>
      </c>
      <c r="J69" s="251">
        <f t="shared" si="18"/>
        <v>0</v>
      </c>
      <c r="K69" s="251">
        <f t="shared" si="8"/>
        <v>0</v>
      </c>
      <c r="L69" s="174"/>
      <c r="M69" s="224"/>
      <c r="N69" s="225">
        <f t="shared" si="9"/>
        <v>0</v>
      </c>
      <c r="O69" s="251" t="e">
        <f t="shared" si="10"/>
        <v>#N/A</v>
      </c>
      <c r="P69" s="251">
        <f t="shared" si="19"/>
        <v>0</v>
      </c>
      <c r="Q69" s="251">
        <f t="shared" si="11"/>
        <v>0</v>
      </c>
      <c r="R69" s="251">
        <f t="shared" si="12"/>
        <v>0</v>
      </c>
      <c r="S69" s="251" t="e">
        <f t="shared" si="13"/>
        <v>#VALUE!</v>
      </c>
      <c r="T69" s="251">
        <f t="shared" si="0"/>
        <v>0</v>
      </c>
      <c r="U69" s="252">
        <f>TRUNC(T69*Condições!$C$102,2)</f>
        <v>0</v>
      </c>
      <c r="V69" s="199">
        <f t="shared" si="20"/>
        <v>0</v>
      </c>
      <c r="W69" s="161" t="e">
        <f t="shared" si="14"/>
        <v>#N/A</v>
      </c>
      <c r="X69" s="161" t="e">
        <f t="shared" si="15"/>
        <v>#N/A</v>
      </c>
      <c r="Y69" s="161">
        <f t="shared" si="21"/>
        <v>44</v>
      </c>
      <c r="Z69" s="161">
        <f t="shared" ca="1" si="22"/>
        <v>2</v>
      </c>
      <c r="AG69" s="114">
        <f t="shared" si="23"/>
        <v>0</v>
      </c>
      <c r="AH69" s="113"/>
      <c r="AI69" s="199">
        <f ca="1">IF(AL69=0,0,IF(AL69&gt;Preenchimento!$AA$88*12,0,IF($AC$53=AM69,0,1)))</f>
        <v>0</v>
      </c>
      <c r="AJ69" s="161" t="e">
        <f t="shared" ca="1" si="24"/>
        <v>#N/A</v>
      </c>
      <c r="AK69" s="161" t="e">
        <f t="shared" ca="1" si="16"/>
        <v>#N/A</v>
      </c>
      <c r="AL69" s="161">
        <f ca="1">IF(Y69&gt;(Preenchimento!$AA$90*12),0,Fixa!Y69)</f>
        <v>0</v>
      </c>
      <c r="AM69" s="161">
        <f t="shared" ca="1" si="25"/>
        <v>2</v>
      </c>
      <c r="AN69" s="199">
        <f ca="1">IF(AQ69&gt;Preenchimento!$AA$90*12,0,1)</f>
        <v>0</v>
      </c>
      <c r="AO69" s="161" t="e">
        <f ca="1">1/((1+SAC!$AD$29)^AL69)</f>
        <v>#N/A</v>
      </c>
      <c r="AP69" s="82" t="e">
        <f t="shared" ca="1" si="26"/>
        <v>#N/A</v>
      </c>
      <c r="AQ69" s="82">
        <v>44</v>
      </c>
      <c r="AS69" s="477">
        <f t="shared" ca="1" si="17"/>
        <v>0</v>
      </c>
    </row>
    <row r="70" spans="1:45" ht="12" customHeight="1">
      <c r="A70" s="53">
        <v>45</v>
      </c>
      <c r="B70" s="249">
        <f ca="1">DATE(IF(MONTH(B69)=12,YEAR(B69)+1,YEAR(B69)),IF(MONTH(B69)=12,1,MONTH(B69)+1),MIN(DAY(Condições!$C$109),IF(IF(MONTH(B69)=12,1,MONTH(B69)+1)=2,IF(MOD(IF(MONTH(B69)=12,YEAR(B69)+1,YEAR(B69)),4)=0,29,28),IF(OR(IF(MONTH(B69)=12,1,MONTH(B69)+1)=4,IF(MONTH(B69)=12,1,MONTH(B69)+1)=6,IF(MONTH(B69)=12,1,MONTH(B69)+1)=9,IF(MONTH(B69)=12,1,MONTH(B69)+1)=11),30,DAY($B$25)))))</f>
        <v>47558</v>
      </c>
      <c r="C70" s="250" t="str">
        <f t="shared" si="1"/>
        <v/>
      </c>
      <c r="D70" s="251" t="e">
        <f t="shared" si="2"/>
        <v>#N/A</v>
      </c>
      <c r="E70" s="251">
        <f t="shared" si="3"/>
        <v>0</v>
      </c>
      <c r="F70" s="251">
        <f t="shared" si="4"/>
        <v>0</v>
      </c>
      <c r="G70" s="251">
        <f t="shared" si="5"/>
        <v>0</v>
      </c>
      <c r="H70" s="251" t="e">
        <f t="shared" si="6"/>
        <v>#VALUE!</v>
      </c>
      <c r="I70" s="251">
        <f t="shared" si="7"/>
        <v>0</v>
      </c>
      <c r="J70" s="251">
        <f t="shared" si="18"/>
        <v>0</v>
      </c>
      <c r="K70" s="251">
        <f t="shared" si="8"/>
        <v>0</v>
      </c>
      <c r="L70" s="174"/>
      <c r="M70" s="224"/>
      <c r="N70" s="225">
        <f t="shared" si="9"/>
        <v>0</v>
      </c>
      <c r="O70" s="251" t="e">
        <f t="shared" si="10"/>
        <v>#N/A</v>
      </c>
      <c r="P70" s="251">
        <f t="shared" si="19"/>
        <v>0</v>
      </c>
      <c r="Q70" s="251">
        <f t="shared" si="11"/>
        <v>0</v>
      </c>
      <c r="R70" s="251">
        <f t="shared" si="12"/>
        <v>0</v>
      </c>
      <c r="S70" s="251" t="e">
        <f t="shared" si="13"/>
        <v>#VALUE!</v>
      </c>
      <c r="T70" s="251">
        <f t="shared" si="0"/>
        <v>0</v>
      </c>
      <c r="U70" s="252">
        <f>TRUNC(T70*Condições!$C$102,2)</f>
        <v>0</v>
      </c>
      <c r="V70" s="199">
        <f t="shared" si="20"/>
        <v>0</v>
      </c>
      <c r="W70" s="161" t="e">
        <f t="shared" si="14"/>
        <v>#N/A</v>
      </c>
      <c r="X70" s="161" t="e">
        <f t="shared" si="15"/>
        <v>#N/A</v>
      </c>
      <c r="Y70" s="161">
        <f t="shared" si="21"/>
        <v>45</v>
      </c>
      <c r="Z70" s="161">
        <f t="shared" ca="1" si="22"/>
        <v>3</v>
      </c>
      <c r="AG70" s="114">
        <f t="shared" si="23"/>
        <v>0</v>
      </c>
      <c r="AH70" s="113"/>
      <c r="AI70" s="199">
        <f ca="1">IF(AL70=0,0,IF(AL70&gt;Preenchimento!$AA$88*12,0,IF($AC$53=AM70,0,1)))</f>
        <v>0</v>
      </c>
      <c r="AJ70" s="161" t="e">
        <f t="shared" ca="1" si="24"/>
        <v>#N/A</v>
      </c>
      <c r="AK70" s="161" t="e">
        <f t="shared" ca="1" si="16"/>
        <v>#N/A</v>
      </c>
      <c r="AL70" s="161">
        <f ca="1">IF(Y70&gt;(Preenchimento!$AA$90*12),0,Fixa!Y70)</f>
        <v>0</v>
      </c>
      <c r="AM70" s="161">
        <f t="shared" ca="1" si="25"/>
        <v>3</v>
      </c>
      <c r="AN70" s="199">
        <f ca="1">IF(AQ70&gt;Preenchimento!$AA$90*12,0,1)</f>
        <v>0</v>
      </c>
      <c r="AO70" s="161" t="e">
        <f ca="1">1/((1+SAC!$AD$29)^AL70)</f>
        <v>#N/A</v>
      </c>
      <c r="AP70" s="82" t="e">
        <f t="shared" ca="1" si="26"/>
        <v>#N/A</v>
      </c>
      <c r="AQ70" s="82">
        <v>45</v>
      </c>
      <c r="AS70" s="477">
        <f t="shared" ca="1" si="17"/>
        <v>0</v>
      </c>
    </row>
    <row r="71" spans="1:45" ht="12" customHeight="1">
      <c r="A71" s="53">
        <v>46</v>
      </c>
      <c r="B71" s="249">
        <f ca="1">DATE(IF(MONTH(B70)=12,YEAR(B70)+1,YEAR(B70)),IF(MONTH(B70)=12,1,MONTH(B70)+1),MIN(DAY(Condições!$C$109),IF(IF(MONTH(B70)=12,1,MONTH(B70)+1)=2,IF(MOD(IF(MONTH(B70)=12,YEAR(B70)+1,YEAR(B70)),4)=0,29,28),IF(OR(IF(MONTH(B70)=12,1,MONTH(B70)+1)=4,IF(MONTH(B70)=12,1,MONTH(B70)+1)=6,IF(MONTH(B70)=12,1,MONTH(B70)+1)=9,IF(MONTH(B70)=12,1,MONTH(B70)+1)=11),30,DAY($B$25)))))</f>
        <v>47589</v>
      </c>
      <c r="C71" s="250" t="str">
        <f t="shared" si="1"/>
        <v/>
      </c>
      <c r="D71" s="251" t="e">
        <f t="shared" si="2"/>
        <v>#N/A</v>
      </c>
      <c r="E71" s="251">
        <f t="shared" si="3"/>
        <v>0</v>
      </c>
      <c r="F71" s="251">
        <f t="shared" si="4"/>
        <v>0</v>
      </c>
      <c r="G71" s="251">
        <f t="shared" si="5"/>
        <v>0</v>
      </c>
      <c r="H71" s="251" t="e">
        <f t="shared" si="6"/>
        <v>#VALUE!</v>
      </c>
      <c r="I71" s="251">
        <f t="shared" si="7"/>
        <v>0</v>
      </c>
      <c r="J71" s="251">
        <f t="shared" si="18"/>
        <v>0</v>
      </c>
      <c r="K71" s="251">
        <f t="shared" si="8"/>
        <v>0</v>
      </c>
      <c r="L71" s="174"/>
      <c r="M71" s="224"/>
      <c r="N71" s="225">
        <f t="shared" si="9"/>
        <v>0</v>
      </c>
      <c r="O71" s="251" t="e">
        <f t="shared" si="10"/>
        <v>#N/A</v>
      </c>
      <c r="P71" s="251">
        <f t="shared" si="19"/>
        <v>0</v>
      </c>
      <c r="Q71" s="251">
        <f t="shared" si="11"/>
        <v>0</v>
      </c>
      <c r="R71" s="251">
        <f t="shared" si="12"/>
        <v>0</v>
      </c>
      <c r="S71" s="251" t="e">
        <f t="shared" si="13"/>
        <v>#VALUE!</v>
      </c>
      <c r="T71" s="251">
        <f t="shared" si="0"/>
        <v>0</v>
      </c>
      <c r="U71" s="252">
        <f>TRUNC(T71*Condições!$C$102,2)</f>
        <v>0</v>
      </c>
      <c r="V71" s="199">
        <f t="shared" si="20"/>
        <v>0</v>
      </c>
      <c r="W71" s="161" t="e">
        <f t="shared" si="14"/>
        <v>#N/A</v>
      </c>
      <c r="X71" s="161" t="e">
        <f t="shared" si="15"/>
        <v>#N/A</v>
      </c>
      <c r="Y71" s="161">
        <f t="shared" si="21"/>
        <v>46</v>
      </c>
      <c r="Z71" s="161">
        <f t="shared" ca="1" si="22"/>
        <v>4</v>
      </c>
      <c r="AG71" s="114">
        <f t="shared" si="23"/>
        <v>0</v>
      </c>
      <c r="AH71" s="113"/>
      <c r="AI71" s="199">
        <f ca="1">IF(AL71=0,0,IF(AL71&gt;Preenchimento!$AA$88*12,0,IF($AC$53=AM71,0,1)))</f>
        <v>0</v>
      </c>
      <c r="AJ71" s="161" t="e">
        <f t="shared" ca="1" si="24"/>
        <v>#N/A</v>
      </c>
      <c r="AK71" s="161" t="e">
        <f t="shared" ca="1" si="16"/>
        <v>#N/A</v>
      </c>
      <c r="AL71" s="161">
        <f ca="1">IF(Y71&gt;(Preenchimento!$AA$90*12),0,Fixa!Y71)</f>
        <v>0</v>
      </c>
      <c r="AM71" s="161">
        <f t="shared" ca="1" si="25"/>
        <v>4</v>
      </c>
      <c r="AN71" s="199">
        <f ca="1">IF(AQ71&gt;Preenchimento!$AA$90*12,0,1)</f>
        <v>0</v>
      </c>
      <c r="AO71" s="161" t="e">
        <f ca="1">1/((1+SAC!$AD$29)^AL71)</f>
        <v>#N/A</v>
      </c>
      <c r="AP71" s="82" t="e">
        <f t="shared" ca="1" si="26"/>
        <v>#N/A</v>
      </c>
      <c r="AQ71" s="82">
        <v>46</v>
      </c>
      <c r="AS71" s="477">
        <f t="shared" ca="1" si="17"/>
        <v>0</v>
      </c>
    </row>
    <row r="72" spans="1:45" ht="12" customHeight="1">
      <c r="A72" s="53">
        <v>47</v>
      </c>
      <c r="B72" s="249">
        <f ca="1">DATE(IF(MONTH(B71)=12,YEAR(B71)+1,YEAR(B71)),IF(MONTH(B71)=12,1,MONTH(B71)+1),MIN(DAY(Condições!$C$109),IF(IF(MONTH(B71)=12,1,MONTH(B71)+1)=2,IF(MOD(IF(MONTH(B71)=12,YEAR(B71)+1,YEAR(B71)),4)=0,29,28),IF(OR(IF(MONTH(B71)=12,1,MONTH(B71)+1)=4,IF(MONTH(B71)=12,1,MONTH(B71)+1)=6,IF(MONTH(B71)=12,1,MONTH(B71)+1)=9,IF(MONTH(B71)=12,1,MONTH(B71)+1)=11),30,DAY($B$25)))))</f>
        <v>47619</v>
      </c>
      <c r="C72" s="250" t="str">
        <f t="shared" si="1"/>
        <v/>
      </c>
      <c r="D72" s="251" t="e">
        <f t="shared" si="2"/>
        <v>#N/A</v>
      </c>
      <c r="E72" s="251">
        <f t="shared" si="3"/>
        <v>0</v>
      </c>
      <c r="F72" s="251">
        <f t="shared" si="4"/>
        <v>0</v>
      </c>
      <c r="G72" s="251">
        <f t="shared" si="5"/>
        <v>0</v>
      </c>
      <c r="H72" s="251" t="e">
        <f t="shared" si="6"/>
        <v>#VALUE!</v>
      </c>
      <c r="I72" s="251">
        <f t="shared" si="7"/>
        <v>0</v>
      </c>
      <c r="J72" s="251">
        <f t="shared" si="18"/>
        <v>0</v>
      </c>
      <c r="K72" s="251">
        <f t="shared" si="8"/>
        <v>0</v>
      </c>
      <c r="L72" s="174"/>
      <c r="M72" s="224"/>
      <c r="N72" s="225">
        <f t="shared" si="9"/>
        <v>0</v>
      </c>
      <c r="O72" s="251" t="e">
        <f t="shared" si="10"/>
        <v>#N/A</v>
      </c>
      <c r="P72" s="251">
        <f t="shared" si="19"/>
        <v>0</v>
      </c>
      <c r="Q72" s="251">
        <f t="shared" si="11"/>
        <v>0</v>
      </c>
      <c r="R72" s="251">
        <f t="shared" si="12"/>
        <v>0</v>
      </c>
      <c r="S72" s="251" t="e">
        <f t="shared" si="13"/>
        <v>#VALUE!</v>
      </c>
      <c r="T72" s="251">
        <f t="shared" si="0"/>
        <v>0</v>
      </c>
      <c r="U72" s="252">
        <f>TRUNC(T72*Condições!$C$102,2)</f>
        <v>0</v>
      </c>
      <c r="V72" s="199">
        <f t="shared" si="20"/>
        <v>0</v>
      </c>
      <c r="W72" s="161" t="e">
        <f t="shared" si="14"/>
        <v>#N/A</v>
      </c>
      <c r="X72" s="161" t="e">
        <f t="shared" si="15"/>
        <v>#N/A</v>
      </c>
      <c r="Y72" s="161">
        <f t="shared" si="21"/>
        <v>47</v>
      </c>
      <c r="Z72" s="161">
        <f t="shared" ca="1" si="22"/>
        <v>5</v>
      </c>
      <c r="AG72" s="114">
        <f t="shared" si="23"/>
        <v>0</v>
      </c>
      <c r="AH72" s="113"/>
      <c r="AI72" s="199">
        <f ca="1">IF(AL72=0,0,IF(AL72&gt;Preenchimento!$AA$88*12,0,IF($AC$53=AM72,0,1)))</f>
        <v>0</v>
      </c>
      <c r="AJ72" s="161" t="e">
        <f t="shared" ca="1" si="24"/>
        <v>#N/A</v>
      </c>
      <c r="AK72" s="161" t="e">
        <f t="shared" ca="1" si="16"/>
        <v>#N/A</v>
      </c>
      <c r="AL72" s="161">
        <f ca="1">IF(Y72&gt;(Preenchimento!$AA$90*12),0,Fixa!Y72)</f>
        <v>0</v>
      </c>
      <c r="AM72" s="161">
        <f t="shared" ca="1" si="25"/>
        <v>5</v>
      </c>
      <c r="AN72" s="199">
        <f ca="1">IF(AQ72&gt;Preenchimento!$AA$90*12,0,1)</f>
        <v>0</v>
      </c>
      <c r="AO72" s="161" t="e">
        <f ca="1">1/((1+SAC!$AD$29)^AL72)</f>
        <v>#N/A</v>
      </c>
      <c r="AP72" s="82" t="e">
        <f t="shared" ca="1" si="26"/>
        <v>#N/A</v>
      </c>
      <c r="AQ72" s="82">
        <v>47</v>
      </c>
      <c r="AS72" s="477">
        <f t="shared" ca="1" si="17"/>
        <v>0</v>
      </c>
    </row>
    <row r="73" spans="1:45" ht="12" customHeight="1">
      <c r="A73" s="53">
        <v>48</v>
      </c>
      <c r="B73" s="249">
        <f ca="1">DATE(IF(MONTH(B72)=12,YEAR(B72)+1,YEAR(B72)),IF(MONTH(B72)=12,1,MONTH(B72)+1),MIN(DAY(Condições!$C$109),IF(IF(MONTH(B72)=12,1,MONTH(B72)+1)=2,IF(MOD(IF(MONTH(B72)=12,YEAR(B72)+1,YEAR(B72)),4)=0,29,28),IF(OR(IF(MONTH(B72)=12,1,MONTH(B72)+1)=4,IF(MONTH(B72)=12,1,MONTH(B72)+1)=6,IF(MONTH(B72)=12,1,MONTH(B72)+1)=9,IF(MONTH(B72)=12,1,MONTH(B72)+1)=11),30,DAY($B$25)))))</f>
        <v>47650</v>
      </c>
      <c r="C73" s="250" t="str">
        <f t="shared" si="1"/>
        <v/>
      </c>
      <c r="D73" s="251" t="e">
        <f t="shared" si="2"/>
        <v>#N/A</v>
      </c>
      <c r="E73" s="251">
        <f t="shared" si="3"/>
        <v>0</v>
      </c>
      <c r="F73" s="251">
        <f t="shared" si="4"/>
        <v>0</v>
      </c>
      <c r="G73" s="251">
        <f t="shared" si="5"/>
        <v>0</v>
      </c>
      <c r="H73" s="251" t="e">
        <f t="shared" si="6"/>
        <v>#VALUE!</v>
      </c>
      <c r="I73" s="251">
        <f t="shared" si="7"/>
        <v>0</v>
      </c>
      <c r="J73" s="251">
        <f t="shared" si="18"/>
        <v>0</v>
      </c>
      <c r="K73" s="251">
        <f t="shared" si="8"/>
        <v>0</v>
      </c>
      <c r="L73" s="174"/>
      <c r="M73" s="224"/>
      <c r="N73" s="225">
        <f t="shared" si="9"/>
        <v>0</v>
      </c>
      <c r="O73" s="251" t="e">
        <f t="shared" si="10"/>
        <v>#N/A</v>
      </c>
      <c r="P73" s="251">
        <f t="shared" si="19"/>
        <v>0</v>
      </c>
      <c r="Q73" s="251">
        <f t="shared" si="11"/>
        <v>0</v>
      </c>
      <c r="R73" s="251">
        <f t="shared" si="12"/>
        <v>0</v>
      </c>
      <c r="S73" s="251" t="e">
        <f t="shared" si="13"/>
        <v>#VALUE!</v>
      </c>
      <c r="T73" s="251">
        <f t="shared" si="0"/>
        <v>0</v>
      </c>
      <c r="U73" s="252">
        <f>TRUNC(T73*Condições!$C$102,2)</f>
        <v>0</v>
      </c>
      <c r="V73" s="199">
        <f t="shared" si="20"/>
        <v>0</v>
      </c>
      <c r="W73" s="161" t="e">
        <f t="shared" si="14"/>
        <v>#N/A</v>
      </c>
      <c r="X73" s="161" t="e">
        <f t="shared" si="15"/>
        <v>#N/A</v>
      </c>
      <c r="Y73" s="161">
        <f t="shared" si="21"/>
        <v>48</v>
      </c>
      <c r="Z73" s="161">
        <f t="shared" ca="1" si="22"/>
        <v>6</v>
      </c>
      <c r="AG73" s="114">
        <f t="shared" si="23"/>
        <v>0</v>
      </c>
      <c r="AH73" s="113"/>
      <c r="AI73" s="199">
        <f ca="1">IF(AL73=0,0,IF(AL73&gt;Preenchimento!$AA$88*12,0,IF($AC$53=AM73,0,1)))</f>
        <v>0</v>
      </c>
      <c r="AJ73" s="161" t="e">
        <f t="shared" ca="1" si="24"/>
        <v>#N/A</v>
      </c>
      <c r="AK73" s="161" t="e">
        <f t="shared" ca="1" si="16"/>
        <v>#N/A</v>
      </c>
      <c r="AL73" s="161">
        <f ca="1">IF(Y73&gt;(Preenchimento!$AA$90*12),0,Fixa!Y73)</f>
        <v>0</v>
      </c>
      <c r="AM73" s="161">
        <f t="shared" ca="1" si="25"/>
        <v>6</v>
      </c>
      <c r="AN73" s="199">
        <f ca="1">IF(AQ73&gt;Preenchimento!$AA$90*12,0,1)</f>
        <v>0</v>
      </c>
      <c r="AO73" s="161" t="e">
        <f ca="1">1/((1+SAC!$AD$29)^AL73)</f>
        <v>#N/A</v>
      </c>
      <c r="AP73" s="82" t="e">
        <f t="shared" ca="1" si="26"/>
        <v>#N/A</v>
      </c>
      <c r="AQ73" s="82">
        <v>48</v>
      </c>
      <c r="AS73" s="477">
        <f t="shared" ca="1" si="17"/>
        <v>0</v>
      </c>
    </row>
    <row r="74" spans="1:45" ht="12" customHeight="1">
      <c r="A74" s="53">
        <v>49</v>
      </c>
      <c r="B74" s="249">
        <f ca="1">DATE(IF(MONTH(B73)=12,YEAR(B73)+1,YEAR(B73)),IF(MONTH(B73)=12,1,MONTH(B73)+1),MIN(DAY(Condições!$C$109),IF(IF(MONTH(B73)=12,1,MONTH(B73)+1)=2,IF(MOD(IF(MONTH(B73)=12,YEAR(B73)+1,YEAR(B73)),4)=0,29,28),IF(OR(IF(MONTH(B73)=12,1,MONTH(B73)+1)=4,IF(MONTH(B73)=12,1,MONTH(B73)+1)=6,IF(MONTH(B73)=12,1,MONTH(B73)+1)=9,IF(MONTH(B73)=12,1,MONTH(B73)+1)=11),30,DAY($B$25)))))</f>
        <v>47680</v>
      </c>
      <c r="C74" s="250" t="str">
        <f t="shared" si="1"/>
        <v/>
      </c>
      <c r="D74" s="251" t="e">
        <f t="shared" si="2"/>
        <v>#N/A</v>
      </c>
      <c r="E74" s="251">
        <f t="shared" si="3"/>
        <v>0</v>
      </c>
      <c r="F74" s="251">
        <f t="shared" si="4"/>
        <v>0</v>
      </c>
      <c r="G74" s="251">
        <f t="shared" si="5"/>
        <v>0</v>
      </c>
      <c r="H74" s="251" t="e">
        <f t="shared" si="6"/>
        <v>#VALUE!</v>
      </c>
      <c r="I74" s="251">
        <f t="shared" si="7"/>
        <v>0</v>
      </c>
      <c r="J74" s="251">
        <f t="shared" si="18"/>
        <v>0</v>
      </c>
      <c r="K74" s="251">
        <f t="shared" si="8"/>
        <v>0</v>
      </c>
      <c r="L74" s="174"/>
      <c r="M74" s="224"/>
      <c r="N74" s="225">
        <f t="shared" si="9"/>
        <v>0</v>
      </c>
      <c r="O74" s="251" t="e">
        <f t="shared" si="10"/>
        <v>#N/A</v>
      </c>
      <c r="P74" s="251">
        <f t="shared" si="19"/>
        <v>0</v>
      </c>
      <c r="Q74" s="251">
        <f t="shared" si="11"/>
        <v>0</v>
      </c>
      <c r="R74" s="251">
        <f t="shared" si="12"/>
        <v>0</v>
      </c>
      <c r="S74" s="251" t="e">
        <f t="shared" si="13"/>
        <v>#VALUE!</v>
      </c>
      <c r="T74" s="251">
        <f t="shared" si="0"/>
        <v>0</v>
      </c>
      <c r="U74" s="252">
        <f>TRUNC(T74*Condições!$C$102,2)</f>
        <v>0</v>
      </c>
      <c r="V74" s="199">
        <f t="shared" si="20"/>
        <v>0</v>
      </c>
      <c r="W74" s="161" t="e">
        <f t="shared" si="14"/>
        <v>#N/A</v>
      </c>
      <c r="X74" s="161" t="e">
        <f t="shared" si="15"/>
        <v>#N/A</v>
      </c>
      <c r="Y74" s="161">
        <f t="shared" si="21"/>
        <v>49</v>
      </c>
      <c r="Z74" s="161">
        <f t="shared" ca="1" si="22"/>
        <v>7</v>
      </c>
      <c r="AG74" s="114">
        <f t="shared" si="23"/>
        <v>0</v>
      </c>
      <c r="AH74" s="113"/>
      <c r="AI74" s="199">
        <f ca="1">IF(AL74=0,0,IF(AL74&gt;Preenchimento!$AA$88*12,0,IF($AC$53=AM74,0,1)))</f>
        <v>0</v>
      </c>
      <c r="AJ74" s="161" t="e">
        <f t="shared" ca="1" si="24"/>
        <v>#N/A</v>
      </c>
      <c r="AK74" s="161" t="e">
        <f t="shared" ca="1" si="16"/>
        <v>#N/A</v>
      </c>
      <c r="AL74" s="161">
        <f ca="1">IF(Y74&gt;(Preenchimento!$AA$90*12),0,Fixa!Y74)</f>
        <v>0</v>
      </c>
      <c r="AM74" s="161">
        <f t="shared" ca="1" si="25"/>
        <v>7</v>
      </c>
      <c r="AN74" s="199">
        <f ca="1">IF(AQ74&gt;Preenchimento!$AA$90*12,0,1)</f>
        <v>0</v>
      </c>
      <c r="AO74" s="161" t="e">
        <f ca="1">1/((1+SAC!$AD$29)^AL74)</f>
        <v>#N/A</v>
      </c>
      <c r="AP74" s="82" t="e">
        <f t="shared" ca="1" si="26"/>
        <v>#N/A</v>
      </c>
      <c r="AQ74" s="82">
        <v>49</v>
      </c>
      <c r="AS74" s="477">
        <f t="shared" ca="1" si="17"/>
        <v>0</v>
      </c>
    </row>
    <row r="75" spans="1:45" ht="12" customHeight="1">
      <c r="A75" s="53">
        <v>50</v>
      </c>
      <c r="B75" s="249">
        <f ca="1">DATE(IF(MONTH(B74)=12,YEAR(B74)+1,YEAR(B74)),IF(MONTH(B74)=12,1,MONTH(B74)+1),MIN(DAY(Condições!$C$109),IF(IF(MONTH(B74)=12,1,MONTH(B74)+1)=2,IF(MOD(IF(MONTH(B74)=12,YEAR(B74)+1,YEAR(B74)),4)=0,29,28),IF(OR(IF(MONTH(B74)=12,1,MONTH(B74)+1)=4,IF(MONTH(B74)=12,1,MONTH(B74)+1)=6,IF(MONTH(B74)=12,1,MONTH(B74)+1)=9,IF(MONTH(B74)=12,1,MONTH(B74)+1)=11),30,DAY($B$25)))))</f>
        <v>47711</v>
      </c>
      <c r="C75" s="250" t="str">
        <f t="shared" si="1"/>
        <v/>
      </c>
      <c r="D75" s="251" t="e">
        <f t="shared" si="2"/>
        <v>#N/A</v>
      </c>
      <c r="E75" s="251">
        <f t="shared" si="3"/>
        <v>0</v>
      </c>
      <c r="F75" s="251">
        <f t="shared" si="4"/>
        <v>0</v>
      </c>
      <c r="G75" s="251">
        <f t="shared" si="5"/>
        <v>0</v>
      </c>
      <c r="H75" s="251" t="e">
        <f t="shared" si="6"/>
        <v>#VALUE!</v>
      </c>
      <c r="I75" s="251">
        <f t="shared" si="7"/>
        <v>0</v>
      </c>
      <c r="J75" s="251">
        <f t="shared" si="18"/>
        <v>0</v>
      </c>
      <c r="K75" s="251">
        <f t="shared" si="8"/>
        <v>0</v>
      </c>
      <c r="L75" s="174"/>
      <c r="M75" s="224"/>
      <c r="N75" s="225">
        <f t="shared" si="9"/>
        <v>0</v>
      </c>
      <c r="O75" s="251" t="e">
        <f t="shared" si="10"/>
        <v>#N/A</v>
      </c>
      <c r="P75" s="251">
        <f t="shared" si="19"/>
        <v>0</v>
      </c>
      <c r="Q75" s="251">
        <f t="shared" si="11"/>
        <v>0</v>
      </c>
      <c r="R75" s="251">
        <f t="shared" si="12"/>
        <v>0</v>
      </c>
      <c r="S75" s="251" t="e">
        <f t="shared" si="13"/>
        <v>#VALUE!</v>
      </c>
      <c r="T75" s="251">
        <f t="shared" si="0"/>
        <v>0</v>
      </c>
      <c r="U75" s="252">
        <f>TRUNC(T75*Condições!$C$102,2)</f>
        <v>0</v>
      </c>
      <c r="V75" s="199">
        <f t="shared" si="20"/>
        <v>0</v>
      </c>
      <c r="W75" s="161" t="e">
        <f t="shared" si="14"/>
        <v>#N/A</v>
      </c>
      <c r="X75" s="161" t="e">
        <f t="shared" si="15"/>
        <v>#N/A</v>
      </c>
      <c r="Y75" s="161">
        <f t="shared" si="21"/>
        <v>50</v>
      </c>
      <c r="Z75" s="161">
        <f t="shared" ca="1" si="22"/>
        <v>8</v>
      </c>
      <c r="AG75" s="114">
        <f t="shared" si="23"/>
        <v>0</v>
      </c>
      <c r="AH75" s="113"/>
      <c r="AI75" s="199">
        <f ca="1">IF(AL75=0,0,IF(AL75&gt;Preenchimento!$AA$88*12,0,IF($AC$53=AM75,0,1)))</f>
        <v>0</v>
      </c>
      <c r="AJ75" s="161" t="e">
        <f t="shared" ca="1" si="24"/>
        <v>#N/A</v>
      </c>
      <c r="AK75" s="161" t="e">
        <f t="shared" ca="1" si="16"/>
        <v>#N/A</v>
      </c>
      <c r="AL75" s="161">
        <f ca="1">IF(Y75&gt;(Preenchimento!$AA$90*12),0,Fixa!Y75)</f>
        <v>0</v>
      </c>
      <c r="AM75" s="161">
        <f t="shared" ca="1" si="25"/>
        <v>8</v>
      </c>
      <c r="AN75" s="199">
        <f ca="1">IF(AQ75&gt;Preenchimento!$AA$90*12,0,1)</f>
        <v>0</v>
      </c>
      <c r="AO75" s="161" t="e">
        <f ca="1">1/((1+SAC!$AD$29)^AL75)</f>
        <v>#N/A</v>
      </c>
      <c r="AP75" s="82" t="e">
        <f t="shared" ca="1" si="26"/>
        <v>#N/A</v>
      </c>
      <c r="AQ75" s="82">
        <v>50</v>
      </c>
      <c r="AS75" s="477">
        <f t="shared" ca="1" si="17"/>
        <v>0</v>
      </c>
    </row>
    <row r="76" spans="1:45" ht="12" customHeight="1">
      <c r="A76" s="53">
        <v>51</v>
      </c>
      <c r="B76" s="249">
        <f ca="1">DATE(IF(MONTH(B75)=12,YEAR(B75)+1,YEAR(B75)),IF(MONTH(B75)=12,1,MONTH(B75)+1),MIN(DAY(Condições!$C$109),IF(IF(MONTH(B75)=12,1,MONTH(B75)+1)=2,IF(MOD(IF(MONTH(B75)=12,YEAR(B75)+1,YEAR(B75)),4)=0,29,28),IF(OR(IF(MONTH(B75)=12,1,MONTH(B75)+1)=4,IF(MONTH(B75)=12,1,MONTH(B75)+1)=6,IF(MONTH(B75)=12,1,MONTH(B75)+1)=9,IF(MONTH(B75)=12,1,MONTH(B75)+1)=11),30,DAY($B$25)))))</f>
        <v>47742</v>
      </c>
      <c r="C76" s="250" t="str">
        <f t="shared" si="1"/>
        <v/>
      </c>
      <c r="D76" s="251" t="e">
        <f t="shared" si="2"/>
        <v>#N/A</v>
      </c>
      <c r="E76" s="251">
        <f t="shared" si="3"/>
        <v>0</v>
      </c>
      <c r="F76" s="251">
        <f t="shared" si="4"/>
        <v>0</v>
      </c>
      <c r="G76" s="251">
        <f t="shared" si="5"/>
        <v>0</v>
      </c>
      <c r="H76" s="251" t="e">
        <f t="shared" si="6"/>
        <v>#VALUE!</v>
      </c>
      <c r="I76" s="251">
        <f t="shared" si="7"/>
        <v>0</v>
      </c>
      <c r="J76" s="251">
        <f t="shared" si="18"/>
        <v>0</v>
      </c>
      <c r="K76" s="251">
        <f t="shared" si="8"/>
        <v>0</v>
      </c>
      <c r="L76" s="174"/>
      <c r="M76" s="224"/>
      <c r="N76" s="225">
        <f t="shared" si="9"/>
        <v>0</v>
      </c>
      <c r="O76" s="251" t="e">
        <f t="shared" si="10"/>
        <v>#N/A</v>
      </c>
      <c r="P76" s="251">
        <f t="shared" si="19"/>
        <v>0</v>
      </c>
      <c r="Q76" s="251">
        <f t="shared" si="11"/>
        <v>0</v>
      </c>
      <c r="R76" s="251">
        <f t="shared" si="12"/>
        <v>0</v>
      </c>
      <c r="S76" s="251" t="e">
        <f t="shared" si="13"/>
        <v>#VALUE!</v>
      </c>
      <c r="T76" s="251">
        <f t="shared" si="0"/>
        <v>0</v>
      </c>
      <c r="U76" s="252">
        <f>TRUNC(T76*Condições!$C$102,2)</f>
        <v>0</v>
      </c>
      <c r="V76" s="199">
        <f t="shared" si="20"/>
        <v>0</v>
      </c>
      <c r="W76" s="161" t="e">
        <f t="shared" si="14"/>
        <v>#N/A</v>
      </c>
      <c r="X76" s="161" t="e">
        <f t="shared" si="15"/>
        <v>#N/A</v>
      </c>
      <c r="Y76" s="161">
        <f t="shared" si="21"/>
        <v>51</v>
      </c>
      <c r="Z76" s="161">
        <f t="shared" ca="1" si="22"/>
        <v>9</v>
      </c>
      <c r="AG76" s="114">
        <f t="shared" si="23"/>
        <v>0</v>
      </c>
      <c r="AH76" s="113"/>
      <c r="AI76" s="199">
        <f ca="1">IF(AL76=0,0,IF(AL76&gt;Preenchimento!$AA$88*12,0,IF($AC$53=AM76,0,1)))</f>
        <v>0</v>
      </c>
      <c r="AJ76" s="161" t="e">
        <f t="shared" ca="1" si="24"/>
        <v>#N/A</v>
      </c>
      <c r="AK76" s="161" t="e">
        <f t="shared" ca="1" si="16"/>
        <v>#N/A</v>
      </c>
      <c r="AL76" s="161">
        <f ca="1">IF(Y76&gt;(Preenchimento!$AA$90*12),0,Fixa!Y76)</f>
        <v>0</v>
      </c>
      <c r="AM76" s="161">
        <f t="shared" ca="1" si="25"/>
        <v>9</v>
      </c>
      <c r="AN76" s="199">
        <f ca="1">IF(AQ76&gt;Preenchimento!$AA$90*12,0,1)</f>
        <v>0</v>
      </c>
      <c r="AO76" s="161" t="e">
        <f ca="1">1/((1+SAC!$AD$29)^AL76)</f>
        <v>#N/A</v>
      </c>
      <c r="AP76" s="82" t="e">
        <f t="shared" ca="1" si="26"/>
        <v>#N/A</v>
      </c>
      <c r="AQ76" s="82">
        <v>51</v>
      </c>
      <c r="AS76" s="477">
        <f t="shared" ca="1" si="17"/>
        <v>0</v>
      </c>
    </row>
    <row r="77" spans="1:45" ht="12" customHeight="1">
      <c r="A77" s="53">
        <v>52</v>
      </c>
      <c r="B77" s="249">
        <f ca="1">DATE(IF(MONTH(B76)=12,YEAR(B76)+1,YEAR(B76)),IF(MONTH(B76)=12,1,MONTH(B76)+1),MIN(DAY(Condições!$C$109),IF(IF(MONTH(B76)=12,1,MONTH(B76)+1)=2,IF(MOD(IF(MONTH(B76)=12,YEAR(B76)+1,YEAR(B76)),4)=0,29,28),IF(OR(IF(MONTH(B76)=12,1,MONTH(B76)+1)=4,IF(MONTH(B76)=12,1,MONTH(B76)+1)=6,IF(MONTH(B76)=12,1,MONTH(B76)+1)=9,IF(MONTH(B76)=12,1,MONTH(B76)+1)=11),30,DAY($B$25)))))</f>
        <v>47772</v>
      </c>
      <c r="C77" s="250" t="str">
        <f t="shared" si="1"/>
        <v/>
      </c>
      <c r="D77" s="251" t="e">
        <f t="shared" si="2"/>
        <v>#N/A</v>
      </c>
      <c r="E77" s="251">
        <f t="shared" si="3"/>
        <v>0</v>
      </c>
      <c r="F77" s="251">
        <f t="shared" si="4"/>
        <v>0</v>
      </c>
      <c r="G77" s="251">
        <f t="shared" si="5"/>
        <v>0</v>
      </c>
      <c r="H77" s="251" t="e">
        <f t="shared" si="6"/>
        <v>#VALUE!</v>
      </c>
      <c r="I77" s="251">
        <f t="shared" si="7"/>
        <v>0</v>
      </c>
      <c r="J77" s="251">
        <f t="shared" si="18"/>
        <v>0</v>
      </c>
      <c r="K77" s="251">
        <f t="shared" si="8"/>
        <v>0</v>
      </c>
      <c r="L77" s="174"/>
      <c r="M77" s="224"/>
      <c r="N77" s="225">
        <f t="shared" si="9"/>
        <v>0</v>
      </c>
      <c r="O77" s="251" t="e">
        <f t="shared" si="10"/>
        <v>#N/A</v>
      </c>
      <c r="P77" s="251">
        <f t="shared" si="19"/>
        <v>0</v>
      </c>
      <c r="Q77" s="251">
        <f t="shared" si="11"/>
        <v>0</v>
      </c>
      <c r="R77" s="251">
        <f t="shared" si="12"/>
        <v>0</v>
      </c>
      <c r="S77" s="251" t="e">
        <f t="shared" si="13"/>
        <v>#VALUE!</v>
      </c>
      <c r="T77" s="251">
        <f t="shared" si="0"/>
        <v>0</v>
      </c>
      <c r="U77" s="252">
        <f>TRUNC(T77*Condições!$C$102,2)</f>
        <v>0</v>
      </c>
      <c r="V77" s="199">
        <f t="shared" si="20"/>
        <v>0</v>
      </c>
      <c r="W77" s="161" t="e">
        <f t="shared" si="14"/>
        <v>#N/A</v>
      </c>
      <c r="X77" s="161" t="e">
        <f t="shared" si="15"/>
        <v>#N/A</v>
      </c>
      <c r="Y77" s="161">
        <f t="shared" si="21"/>
        <v>52</v>
      </c>
      <c r="Z77" s="161">
        <f t="shared" ca="1" si="22"/>
        <v>10</v>
      </c>
      <c r="AG77" s="114">
        <f t="shared" si="23"/>
        <v>0</v>
      </c>
      <c r="AH77" s="113"/>
      <c r="AI77" s="199">
        <f ca="1">IF(AL77=0,0,IF(AL77&gt;Preenchimento!$AA$88*12,0,IF($AC$53=AM77,0,1)))</f>
        <v>0</v>
      </c>
      <c r="AJ77" s="161" t="e">
        <f t="shared" ca="1" si="24"/>
        <v>#N/A</v>
      </c>
      <c r="AK77" s="161" t="e">
        <f t="shared" ca="1" si="16"/>
        <v>#N/A</v>
      </c>
      <c r="AL77" s="161">
        <f ca="1">IF(Y77&gt;(Preenchimento!$AA$90*12),0,Fixa!Y77)</f>
        <v>0</v>
      </c>
      <c r="AM77" s="161">
        <f t="shared" ca="1" si="25"/>
        <v>10</v>
      </c>
      <c r="AN77" s="199">
        <f ca="1">IF(AQ77&gt;Preenchimento!$AA$90*12,0,1)</f>
        <v>0</v>
      </c>
      <c r="AO77" s="161" t="e">
        <f ca="1">1/((1+SAC!$AD$29)^AL77)</f>
        <v>#N/A</v>
      </c>
      <c r="AP77" s="82" t="e">
        <f t="shared" ca="1" si="26"/>
        <v>#N/A</v>
      </c>
      <c r="AQ77" s="82">
        <v>52</v>
      </c>
      <c r="AS77" s="477">
        <f t="shared" ca="1" si="17"/>
        <v>0</v>
      </c>
    </row>
    <row r="78" spans="1:45" ht="12" customHeight="1">
      <c r="A78" s="53">
        <v>53</v>
      </c>
      <c r="B78" s="249">
        <f ca="1">DATE(IF(MONTH(B77)=12,YEAR(B77)+1,YEAR(B77)),IF(MONTH(B77)=12,1,MONTH(B77)+1),MIN(DAY(Condições!$C$109),IF(IF(MONTH(B77)=12,1,MONTH(B77)+1)=2,IF(MOD(IF(MONTH(B77)=12,YEAR(B77)+1,YEAR(B77)),4)=0,29,28),IF(OR(IF(MONTH(B77)=12,1,MONTH(B77)+1)=4,IF(MONTH(B77)=12,1,MONTH(B77)+1)=6,IF(MONTH(B77)=12,1,MONTH(B77)+1)=9,IF(MONTH(B77)=12,1,MONTH(B77)+1)=11),30,DAY($B$25)))))</f>
        <v>47803</v>
      </c>
      <c r="C78" s="250" t="str">
        <f t="shared" si="1"/>
        <v/>
      </c>
      <c r="D78" s="251" t="e">
        <f t="shared" si="2"/>
        <v>#N/A</v>
      </c>
      <c r="E78" s="251">
        <f t="shared" si="3"/>
        <v>0</v>
      </c>
      <c r="F78" s="251">
        <f t="shared" si="4"/>
        <v>0</v>
      </c>
      <c r="G78" s="251">
        <f t="shared" si="5"/>
        <v>0</v>
      </c>
      <c r="H78" s="251" t="e">
        <f t="shared" si="6"/>
        <v>#VALUE!</v>
      </c>
      <c r="I78" s="251">
        <f t="shared" si="7"/>
        <v>0</v>
      </c>
      <c r="J78" s="251">
        <f t="shared" si="18"/>
        <v>0</v>
      </c>
      <c r="K78" s="251">
        <f t="shared" si="8"/>
        <v>0</v>
      </c>
      <c r="L78" s="174"/>
      <c r="M78" s="224"/>
      <c r="N78" s="225">
        <f t="shared" si="9"/>
        <v>0</v>
      </c>
      <c r="O78" s="251" t="e">
        <f t="shared" si="10"/>
        <v>#N/A</v>
      </c>
      <c r="P78" s="251">
        <f t="shared" si="19"/>
        <v>0</v>
      </c>
      <c r="Q78" s="251">
        <f t="shared" si="11"/>
        <v>0</v>
      </c>
      <c r="R78" s="251">
        <f t="shared" si="12"/>
        <v>0</v>
      </c>
      <c r="S78" s="251" t="e">
        <f t="shared" si="13"/>
        <v>#VALUE!</v>
      </c>
      <c r="T78" s="251">
        <f t="shared" si="0"/>
        <v>0</v>
      </c>
      <c r="U78" s="252">
        <f>TRUNC(T78*Condições!$C$102,2)</f>
        <v>0</v>
      </c>
      <c r="V78" s="199">
        <f t="shared" si="20"/>
        <v>0</v>
      </c>
      <c r="W78" s="161" t="e">
        <f t="shared" si="14"/>
        <v>#N/A</v>
      </c>
      <c r="X78" s="161" t="e">
        <f t="shared" si="15"/>
        <v>#N/A</v>
      </c>
      <c r="Y78" s="161">
        <f t="shared" si="21"/>
        <v>53</v>
      </c>
      <c r="Z78" s="161">
        <f t="shared" ca="1" si="22"/>
        <v>11</v>
      </c>
      <c r="AG78" s="114">
        <f t="shared" si="23"/>
        <v>0</v>
      </c>
      <c r="AH78" s="113"/>
      <c r="AI78" s="199">
        <f ca="1">IF(AL78=0,0,IF(AL78&gt;Preenchimento!$AA$88*12,0,IF($AC$53=AM78,0,1)))</f>
        <v>0</v>
      </c>
      <c r="AJ78" s="161" t="e">
        <f t="shared" ca="1" si="24"/>
        <v>#N/A</v>
      </c>
      <c r="AK78" s="161" t="e">
        <f t="shared" ca="1" si="16"/>
        <v>#N/A</v>
      </c>
      <c r="AL78" s="161">
        <f ca="1">IF(Y78&gt;(Preenchimento!$AA$90*12),0,Fixa!Y78)</f>
        <v>0</v>
      </c>
      <c r="AM78" s="161">
        <f t="shared" ca="1" si="25"/>
        <v>11</v>
      </c>
      <c r="AN78" s="199">
        <f ca="1">IF(AQ78&gt;Preenchimento!$AA$90*12,0,1)</f>
        <v>0</v>
      </c>
      <c r="AO78" s="161" t="e">
        <f ca="1">1/((1+SAC!$AD$29)^AL78)</f>
        <v>#N/A</v>
      </c>
      <c r="AP78" s="82" t="e">
        <f t="shared" ca="1" si="26"/>
        <v>#N/A</v>
      </c>
      <c r="AQ78" s="82">
        <v>53</v>
      </c>
      <c r="AS78" s="477">
        <f t="shared" ca="1" si="17"/>
        <v>0</v>
      </c>
    </row>
    <row r="79" spans="1:45" ht="12" customHeight="1">
      <c r="A79" s="53">
        <v>54</v>
      </c>
      <c r="B79" s="249">
        <f ca="1">DATE(IF(MONTH(B78)=12,YEAR(B78)+1,YEAR(B78)),IF(MONTH(B78)=12,1,MONTH(B78)+1),MIN(DAY(Condições!$C$109),IF(IF(MONTH(B78)=12,1,MONTH(B78)+1)=2,IF(MOD(IF(MONTH(B78)=12,YEAR(B78)+1,YEAR(B78)),4)=0,29,28),IF(OR(IF(MONTH(B78)=12,1,MONTH(B78)+1)=4,IF(MONTH(B78)=12,1,MONTH(B78)+1)=6,IF(MONTH(B78)=12,1,MONTH(B78)+1)=9,IF(MONTH(B78)=12,1,MONTH(B78)+1)=11),30,DAY($B$25)))))</f>
        <v>47833</v>
      </c>
      <c r="C79" s="250" t="str">
        <f t="shared" si="1"/>
        <v/>
      </c>
      <c r="D79" s="251" t="e">
        <f t="shared" si="2"/>
        <v>#N/A</v>
      </c>
      <c r="E79" s="251">
        <f t="shared" si="3"/>
        <v>0</v>
      </c>
      <c r="F79" s="251">
        <f t="shared" si="4"/>
        <v>0</v>
      </c>
      <c r="G79" s="251">
        <f t="shared" si="5"/>
        <v>0</v>
      </c>
      <c r="H79" s="251" t="e">
        <f t="shared" si="6"/>
        <v>#VALUE!</v>
      </c>
      <c r="I79" s="251">
        <f t="shared" si="7"/>
        <v>0</v>
      </c>
      <c r="J79" s="251">
        <f t="shared" si="18"/>
        <v>0</v>
      </c>
      <c r="K79" s="251">
        <f t="shared" si="8"/>
        <v>0</v>
      </c>
      <c r="L79" s="174"/>
      <c r="M79" s="224"/>
      <c r="N79" s="225">
        <f t="shared" si="9"/>
        <v>0</v>
      </c>
      <c r="O79" s="251" t="e">
        <f t="shared" si="10"/>
        <v>#N/A</v>
      </c>
      <c r="P79" s="251">
        <f t="shared" si="19"/>
        <v>0</v>
      </c>
      <c r="Q79" s="251">
        <f t="shared" si="11"/>
        <v>0</v>
      </c>
      <c r="R79" s="251">
        <f t="shared" si="12"/>
        <v>0</v>
      </c>
      <c r="S79" s="251" t="e">
        <f t="shared" si="13"/>
        <v>#VALUE!</v>
      </c>
      <c r="T79" s="251">
        <f t="shared" si="0"/>
        <v>0</v>
      </c>
      <c r="U79" s="252">
        <f>TRUNC(T79*Condições!$C$102,2)</f>
        <v>0</v>
      </c>
      <c r="V79" s="199">
        <f t="shared" si="20"/>
        <v>0</v>
      </c>
      <c r="W79" s="161" t="e">
        <f t="shared" si="14"/>
        <v>#N/A</v>
      </c>
      <c r="X79" s="161" t="e">
        <f t="shared" si="15"/>
        <v>#N/A</v>
      </c>
      <c r="Y79" s="161">
        <f t="shared" si="21"/>
        <v>54</v>
      </c>
      <c r="Z79" s="161">
        <f t="shared" ca="1" si="22"/>
        <v>12</v>
      </c>
      <c r="AG79" s="114">
        <f t="shared" si="23"/>
        <v>0</v>
      </c>
      <c r="AH79" s="113"/>
      <c r="AI79" s="199">
        <f ca="1">IF(AL79=0,0,IF(AL79&gt;Preenchimento!$AA$88*12,0,IF($AC$53=AM79,0,1)))</f>
        <v>0</v>
      </c>
      <c r="AJ79" s="161" t="e">
        <f t="shared" ca="1" si="24"/>
        <v>#N/A</v>
      </c>
      <c r="AK79" s="161" t="e">
        <f t="shared" ca="1" si="16"/>
        <v>#N/A</v>
      </c>
      <c r="AL79" s="161">
        <f ca="1">IF(Y79&gt;(Preenchimento!$AA$90*12),0,Fixa!Y79)</f>
        <v>0</v>
      </c>
      <c r="AM79" s="161">
        <f t="shared" ca="1" si="25"/>
        <v>12</v>
      </c>
      <c r="AN79" s="199">
        <f ca="1">IF(AQ79&gt;Preenchimento!$AA$90*12,0,1)</f>
        <v>0</v>
      </c>
      <c r="AO79" s="161" t="e">
        <f ca="1">1/((1+SAC!$AD$29)^AL79)</f>
        <v>#N/A</v>
      </c>
      <c r="AP79" s="82" t="e">
        <f t="shared" ca="1" si="26"/>
        <v>#N/A</v>
      </c>
      <c r="AQ79" s="82">
        <v>54</v>
      </c>
      <c r="AS79" s="477">
        <f t="shared" ca="1" si="17"/>
        <v>0</v>
      </c>
    </row>
    <row r="80" spans="1:45" ht="12" customHeight="1">
      <c r="A80" s="53">
        <v>55</v>
      </c>
      <c r="B80" s="249">
        <f ca="1">DATE(IF(MONTH(B79)=12,YEAR(B79)+1,YEAR(B79)),IF(MONTH(B79)=12,1,MONTH(B79)+1),MIN(DAY(Condições!$C$109),IF(IF(MONTH(B79)=12,1,MONTH(B79)+1)=2,IF(MOD(IF(MONTH(B79)=12,YEAR(B79)+1,YEAR(B79)),4)=0,29,28),IF(OR(IF(MONTH(B79)=12,1,MONTH(B79)+1)=4,IF(MONTH(B79)=12,1,MONTH(B79)+1)=6,IF(MONTH(B79)=12,1,MONTH(B79)+1)=9,IF(MONTH(B79)=12,1,MONTH(B79)+1)=11),30,DAY($B$25)))))</f>
        <v>47864</v>
      </c>
      <c r="C80" s="250" t="str">
        <f t="shared" si="1"/>
        <v/>
      </c>
      <c r="D80" s="251" t="e">
        <f t="shared" si="2"/>
        <v>#N/A</v>
      </c>
      <c r="E80" s="251">
        <f t="shared" si="3"/>
        <v>0</v>
      </c>
      <c r="F80" s="251">
        <f t="shared" si="4"/>
        <v>0</v>
      </c>
      <c r="G80" s="251">
        <f t="shared" si="5"/>
        <v>0</v>
      </c>
      <c r="H80" s="251" t="e">
        <f t="shared" si="6"/>
        <v>#VALUE!</v>
      </c>
      <c r="I80" s="251">
        <f t="shared" si="7"/>
        <v>0</v>
      </c>
      <c r="J80" s="251">
        <f t="shared" si="18"/>
        <v>0</v>
      </c>
      <c r="K80" s="251">
        <f t="shared" si="8"/>
        <v>0</v>
      </c>
      <c r="L80" s="174"/>
      <c r="M80" s="224"/>
      <c r="N80" s="225">
        <f t="shared" si="9"/>
        <v>0</v>
      </c>
      <c r="O80" s="251" t="e">
        <f t="shared" si="10"/>
        <v>#N/A</v>
      </c>
      <c r="P80" s="251">
        <f t="shared" si="19"/>
        <v>0</v>
      </c>
      <c r="Q80" s="251">
        <f t="shared" si="11"/>
        <v>0</v>
      </c>
      <c r="R80" s="251">
        <f t="shared" si="12"/>
        <v>0</v>
      </c>
      <c r="S80" s="251" t="e">
        <f t="shared" si="13"/>
        <v>#VALUE!</v>
      </c>
      <c r="T80" s="251">
        <f t="shared" si="0"/>
        <v>0</v>
      </c>
      <c r="U80" s="252">
        <f>TRUNC(T80*Condições!$C$102,2)</f>
        <v>0</v>
      </c>
      <c r="V80" s="199">
        <f t="shared" si="20"/>
        <v>0</v>
      </c>
      <c r="W80" s="161" t="e">
        <f t="shared" si="14"/>
        <v>#N/A</v>
      </c>
      <c r="X80" s="161" t="e">
        <f t="shared" si="15"/>
        <v>#N/A</v>
      </c>
      <c r="Y80" s="161">
        <f t="shared" si="21"/>
        <v>55</v>
      </c>
      <c r="Z80" s="161">
        <f t="shared" ca="1" si="22"/>
        <v>1</v>
      </c>
      <c r="AG80" s="114">
        <f t="shared" si="23"/>
        <v>0</v>
      </c>
      <c r="AH80" s="113"/>
      <c r="AI80" s="199">
        <f ca="1">IF(AL80=0,0,IF(AL80&gt;Preenchimento!$AA$88*12,0,IF($AC$53=AM80,0,1)))</f>
        <v>0</v>
      </c>
      <c r="AJ80" s="161" t="e">
        <f t="shared" ca="1" si="24"/>
        <v>#N/A</v>
      </c>
      <c r="AK80" s="161" t="e">
        <f t="shared" ca="1" si="16"/>
        <v>#N/A</v>
      </c>
      <c r="AL80" s="161">
        <f ca="1">IF(Y80&gt;(Preenchimento!$AA$90*12),0,Fixa!Y80)</f>
        <v>0</v>
      </c>
      <c r="AM80" s="161">
        <f t="shared" ca="1" si="25"/>
        <v>1</v>
      </c>
      <c r="AN80" s="199">
        <f ca="1">IF(AQ80&gt;Preenchimento!$AA$90*12,0,1)</f>
        <v>0</v>
      </c>
      <c r="AO80" s="161" t="e">
        <f ca="1">1/((1+SAC!$AD$29)^AL80)</f>
        <v>#N/A</v>
      </c>
      <c r="AP80" s="82" t="e">
        <f t="shared" ca="1" si="26"/>
        <v>#N/A</v>
      </c>
      <c r="AQ80" s="82">
        <v>55</v>
      </c>
      <c r="AS80" s="477">
        <f t="shared" ca="1" si="17"/>
        <v>0</v>
      </c>
    </row>
    <row r="81" spans="1:45" ht="12" customHeight="1">
      <c r="A81" s="53">
        <v>56</v>
      </c>
      <c r="B81" s="249">
        <f ca="1">DATE(IF(MONTH(B80)=12,YEAR(B80)+1,YEAR(B80)),IF(MONTH(B80)=12,1,MONTH(B80)+1),MIN(DAY(Condições!$C$109),IF(IF(MONTH(B80)=12,1,MONTH(B80)+1)=2,IF(MOD(IF(MONTH(B80)=12,YEAR(B80)+1,YEAR(B80)),4)=0,29,28),IF(OR(IF(MONTH(B80)=12,1,MONTH(B80)+1)=4,IF(MONTH(B80)=12,1,MONTH(B80)+1)=6,IF(MONTH(B80)=12,1,MONTH(B80)+1)=9,IF(MONTH(B80)=12,1,MONTH(B80)+1)=11),30,DAY($B$25)))))</f>
        <v>47895</v>
      </c>
      <c r="C81" s="250" t="str">
        <f t="shared" si="1"/>
        <v/>
      </c>
      <c r="D81" s="251" t="e">
        <f t="shared" si="2"/>
        <v>#N/A</v>
      </c>
      <c r="E81" s="251">
        <f t="shared" si="3"/>
        <v>0</v>
      </c>
      <c r="F81" s="251">
        <f t="shared" si="4"/>
        <v>0</v>
      </c>
      <c r="G81" s="251">
        <f t="shared" si="5"/>
        <v>0</v>
      </c>
      <c r="H81" s="251" t="e">
        <f t="shared" si="6"/>
        <v>#VALUE!</v>
      </c>
      <c r="I81" s="251">
        <f t="shared" si="7"/>
        <v>0</v>
      </c>
      <c r="J81" s="251">
        <f t="shared" si="18"/>
        <v>0</v>
      </c>
      <c r="K81" s="251">
        <f t="shared" si="8"/>
        <v>0</v>
      </c>
      <c r="L81" s="174"/>
      <c r="M81" s="224"/>
      <c r="N81" s="225">
        <f t="shared" si="9"/>
        <v>0</v>
      </c>
      <c r="O81" s="251" t="e">
        <f t="shared" si="10"/>
        <v>#N/A</v>
      </c>
      <c r="P81" s="251">
        <f t="shared" si="19"/>
        <v>0</v>
      </c>
      <c r="Q81" s="251">
        <f t="shared" si="11"/>
        <v>0</v>
      </c>
      <c r="R81" s="251">
        <f t="shared" si="12"/>
        <v>0</v>
      </c>
      <c r="S81" s="251" t="e">
        <f t="shared" si="13"/>
        <v>#VALUE!</v>
      </c>
      <c r="T81" s="251">
        <f t="shared" si="0"/>
        <v>0</v>
      </c>
      <c r="U81" s="252">
        <f>TRUNC(T81*Condições!$C$102,2)</f>
        <v>0</v>
      </c>
      <c r="V81" s="199">
        <f t="shared" si="20"/>
        <v>0</v>
      </c>
      <c r="W81" s="161" t="e">
        <f t="shared" si="14"/>
        <v>#N/A</v>
      </c>
      <c r="X81" s="161" t="e">
        <f t="shared" si="15"/>
        <v>#N/A</v>
      </c>
      <c r="Y81" s="161">
        <f t="shared" si="21"/>
        <v>56</v>
      </c>
      <c r="Z81" s="161">
        <f t="shared" ca="1" si="22"/>
        <v>2</v>
      </c>
      <c r="AG81" s="114">
        <f t="shared" si="23"/>
        <v>0</v>
      </c>
      <c r="AH81" s="113"/>
      <c r="AI81" s="199">
        <f ca="1">IF(AL81=0,0,IF(AL81&gt;Preenchimento!$AA$88*12,0,IF($AC$53=AM81,0,1)))</f>
        <v>0</v>
      </c>
      <c r="AJ81" s="161" t="e">
        <f t="shared" ca="1" si="24"/>
        <v>#N/A</v>
      </c>
      <c r="AK81" s="161" t="e">
        <f t="shared" ca="1" si="16"/>
        <v>#N/A</v>
      </c>
      <c r="AL81" s="161">
        <f ca="1">IF(Y81&gt;(Preenchimento!$AA$90*12),0,Fixa!Y81)</f>
        <v>0</v>
      </c>
      <c r="AM81" s="161">
        <f t="shared" ca="1" si="25"/>
        <v>2</v>
      </c>
      <c r="AN81" s="199">
        <f ca="1">IF(AQ81&gt;Preenchimento!$AA$90*12,0,1)</f>
        <v>0</v>
      </c>
      <c r="AO81" s="161" t="e">
        <f ca="1">1/((1+SAC!$AD$29)^AL81)</f>
        <v>#N/A</v>
      </c>
      <c r="AP81" s="82" t="e">
        <f t="shared" ca="1" si="26"/>
        <v>#N/A</v>
      </c>
      <c r="AQ81" s="82">
        <v>56</v>
      </c>
      <c r="AS81" s="477">
        <f t="shared" ca="1" si="17"/>
        <v>0</v>
      </c>
    </row>
    <row r="82" spans="1:45" ht="12" customHeight="1">
      <c r="A82" s="53">
        <v>57</v>
      </c>
      <c r="B82" s="249">
        <f ca="1">DATE(IF(MONTH(B81)=12,YEAR(B81)+1,YEAR(B81)),IF(MONTH(B81)=12,1,MONTH(B81)+1),MIN(DAY(Condições!$C$109),IF(IF(MONTH(B81)=12,1,MONTH(B81)+1)=2,IF(MOD(IF(MONTH(B81)=12,YEAR(B81)+1,YEAR(B81)),4)=0,29,28),IF(OR(IF(MONTH(B81)=12,1,MONTH(B81)+1)=4,IF(MONTH(B81)=12,1,MONTH(B81)+1)=6,IF(MONTH(B81)=12,1,MONTH(B81)+1)=9,IF(MONTH(B81)=12,1,MONTH(B81)+1)=11),30,DAY($B$25)))))</f>
        <v>47923</v>
      </c>
      <c r="C82" s="250" t="str">
        <f t="shared" si="1"/>
        <v/>
      </c>
      <c r="D82" s="251" t="e">
        <f t="shared" si="2"/>
        <v>#N/A</v>
      </c>
      <c r="E82" s="251">
        <f t="shared" si="3"/>
        <v>0</v>
      </c>
      <c r="F82" s="251">
        <f t="shared" si="4"/>
        <v>0</v>
      </c>
      <c r="G82" s="251">
        <f t="shared" si="5"/>
        <v>0</v>
      </c>
      <c r="H82" s="251" t="e">
        <f t="shared" si="6"/>
        <v>#VALUE!</v>
      </c>
      <c r="I82" s="251">
        <f t="shared" si="7"/>
        <v>0</v>
      </c>
      <c r="J82" s="251">
        <f t="shared" si="18"/>
        <v>0</v>
      </c>
      <c r="K82" s="251">
        <f t="shared" si="8"/>
        <v>0</v>
      </c>
      <c r="L82" s="174"/>
      <c r="M82" s="224"/>
      <c r="N82" s="225">
        <f t="shared" si="9"/>
        <v>0</v>
      </c>
      <c r="O82" s="251" t="e">
        <f t="shared" si="10"/>
        <v>#N/A</v>
      </c>
      <c r="P82" s="251">
        <f t="shared" si="19"/>
        <v>0</v>
      </c>
      <c r="Q82" s="251">
        <f t="shared" si="11"/>
        <v>0</v>
      </c>
      <c r="R82" s="251">
        <f t="shared" si="12"/>
        <v>0</v>
      </c>
      <c r="S82" s="251" t="e">
        <f t="shared" si="13"/>
        <v>#VALUE!</v>
      </c>
      <c r="T82" s="251">
        <f t="shared" si="0"/>
        <v>0</v>
      </c>
      <c r="U82" s="252">
        <f>TRUNC(T82*Condições!$C$102,2)</f>
        <v>0</v>
      </c>
      <c r="V82" s="199">
        <f t="shared" si="20"/>
        <v>0</v>
      </c>
      <c r="W82" s="161" t="e">
        <f t="shared" si="14"/>
        <v>#N/A</v>
      </c>
      <c r="X82" s="161" t="e">
        <f t="shared" si="15"/>
        <v>#N/A</v>
      </c>
      <c r="Y82" s="161">
        <f t="shared" si="21"/>
        <v>57</v>
      </c>
      <c r="Z82" s="161">
        <f t="shared" ca="1" si="22"/>
        <v>3</v>
      </c>
      <c r="AG82" s="114">
        <f t="shared" si="23"/>
        <v>0</v>
      </c>
      <c r="AH82" s="113"/>
      <c r="AI82" s="199">
        <f ca="1">IF(AL82=0,0,IF(AL82&gt;Preenchimento!$AA$88*12,0,IF($AC$53=AM82,0,1)))</f>
        <v>0</v>
      </c>
      <c r="AJ82" s="161" t="e">
        <f t="shared" ca="1" si="24"/>
        <v>#N/A</v>
      </c>
      <c r="AK82" s="161" t="e">
        <f t="shared" ca="1" si="16"/>
        <v>#N/A</v>
      </c>
      <c r="AL82" s="161">
        <f ca="1">IF(Y82&gt;(Preenchimento!$AA$90*12),0,Fixa!Y82)</f>
        <v>0</v>
      </c>
      <c r="AM82" s="161">
        <f t="shared" ca="1" si="25"/>
        <v>3</v>
      </c>
      <c r="AN82" s="199">
        <f ca="1">IF(AQ82&gt;Preenchimento!$AA$90*12,0,1)</f>
        <v>0</v>
      </c>
      <c r="AO82" s="161" t="e">
        <f ca="1">1/((1+SAC!$AD$29)^AL82)</f>
        <v>#N/A</v>
      </c>
      <c r="AP82" s="82" t="e">
        <f t="shared" ca="1" si="26"/>
        <v>#N/A</v>
      </c>
      <c r="AQ82" s="82">
        <v>57</v>
      </c>
      <c r="AS82" s="477">
        <f t="shared" ca="1" si="17"/>
        <v>0</v>
      </c>
    </row>
    <row r="83" spans="1:45" ht="12" customHeight="1">
      <c r="A83" s="53">
        <v>58</v>
      </c>
      <c r="B83" s="249">
        <f ca="1">DATE(IF(MONTH(B82)=12,YEAR(B82)+1,YEAR(B82)),IF(MONTH(B82)=12,1,MONTH(B82)+1),MIN(DAY(Condições!$C$109),IF(IF(MONTH(B82)=12,1,MONTH(B82)+1)=2,IF(MOD(IF(MONTH(B82)=12,YEAR(B82)+1,YEAR(B82)),4)=0,29,28),IF(OR(IF(MONTH(B82)=12,1,MONTH(B82)+1)=4,IF(MONTH(B82)=12,1,MONTH(B82)+1)=6,IF(MONTH(B82)=12,1,MONTH(B82)+1)=9,IF(MONTH(B82)=12,1,MONTH(B82)+1)=11),30,DAY($B$25)))))</f>
        <v>47954</v>
      </c>
      <c r="C83" s="250" t="str">
        <f t="shared" si="1"/>
        <v/>
      </c>
      <c r="D83" s="251" t="e">
        <f t="shared" si="2"/>
        <v>#N/A</v>
      </c>
      <c r="E83" s="251">
        <f t="shared" si="3"/>
        <v>0</v>
      </c>
      <c r="F83" s="251">
        <f t="shared" si="4"/>
        <v>0</v>
      </c>
      <c r="G83" s="251">
        <f t="shared" si="5"/>
        <v>0</v>
      </c>
      <c r="H83" s="251" t="e">
        <f t="shared" si="6"/>
        <v>#VALUE!</v>
      </c>
      <c r="I83" s="251">
        <f t="shared" si="7"/>
        <v>0</v>
      </c>
      <c r="J83" s="251">
        <f t="shared" si="18"/>
        <v>0</v>
      </c>
      <c r="K83" s="251">
        <f t="shared" si="8"/>
        <v>0</v>
      </c>
      <c r="L83" s="174"/>
      <c r="M83" s="224"/>
      <c r="N83" s="225">
        <f t="shared" si="9"/>
        <v>0</v>
      </c>
      <c r="O83" s="251" t="e">
        <f t="shared" si="10"/>
        <v>#N/A</v>
      </c>
      <c r="P83" s="251">
        <f t="shared" si="19"/>
        <v>0</v>
      </c>
      <c r="Q83" s="251">
        <f t="shared" si="11"/>
        <v>0</v>
      </c>
      <c r="R83" s="251">
        <f t="shared" si="12"/>
        <v>0</v>
      </c>
      <c r="S83" s="251" t="e">
        <f t="shared" si="13"/>
        <v>#VALUE!</v>
      </c>
      <c r="T83" s="251">
        <f t="shared" si="0"/>
        <v>0</v>
      </c>
      <c r="U83" s="252">
        <f>TRUNC(T83*Condições!$C$102,2)</f>
        <v>0</v>
      </c>
      <c r="V83" s="199">
        <f t="shared" si="20"/>
        <v>0</v>
      </c>
      <c r="W83" s="161" t="e">
        <f t="shared" si="14"/>
        <v>#N/A</v>
      </c>
      <c r="X83" s="161" t="e">
        <f t="shared" si="15"/>
        <v>#N/A</v>
      </c>
      <c r="Y83" s="161">
        <f t="shared" si="21"/>
        <v>58</v>
      </c>
      <c r="Z83" s="161">
        <f t="shared" ca="1" si="22"/>
        <v>4</v>
      </c>
      <c r="AG83" s="114">
        <f t="shared" si="23"/>
        <v>0</v>
      </c>
      <c r="AH83" s="113"/>
      <c r="AI83" s="199">
        <f ca="1">IF(AL83=0,0,IF(AL83&gt;Preenchimento!$AA$88*12,0,IF($AC$53=AM83,0,1)))</f>
        <v>0</v>
      </c>
      <c r="AJ83" s="161" t="e">
        <f t="shared" ca="1" si="24"/>
        <v>#N/A</v>
      </c>
      <c r="AK83" s="161" t="e">
        <f t="shared" ca="1" si="16"/>
        <v>#N/A</v>
      </c>
      <c r="AL83" s="161">
        <f ca="1">IF(Y83&gt;(Preenchimento!$AA$90*12),0,Fixa!Y83)</f>
        <v>0</v>
      </c>
      <c r="AM83" s="161">
        <f t="shared" ca="1" si="25"/>
        <v>4</v>
      </c>
      <c r="AN83" s="199">
        <f ca="1">IF(AQ83&gt;Preenchimento!$AA$90*12,0,1)</f>
        <v>0</v>
      </c>
      <c r="AO83" s="161" t="e">
        <f ca="1">1/((1+SAC!$AD$29)^AL83)</f>
        <v>#N/A</v>
      </c>
      <c r="AP83" s="82" t="e">
        <f t="shared" ca="1" si="26"/>
        <v>#N/A</v>
      </c>
      <c r="AQ83" s="82">
        <v>58</v>
      </c>
      <c r="AS83" s="477">
        <f t="shared" ca="1" si="17"/>
        <v>0</v>
      </c>
    </row>
    <row r="84" spans="1:45" ht="12" customHeight="1">
      <c r="A84" s="53">
        <v>59</v>
      </c>
      <c r="B84" s="249">
        <f ca="1">DATE(IF(MONTH(B83)=12,YEAR(B83)+1,YEAR(B83)),IF(MONTH(B83)=12,1,MONTH(B83)+1),MIN(DAY(Condições!$C$109),IF(IF(MONTH(B83)=12,1,MONTH(B83)+1)=2,IF(MOD(IF(MONTH(B83)=12,YEAR(B83)+1,YEAR(B83)),4)=0,29,28),IF(OR(IF(MONTH(B83)=12,1,MONTH(B83)+1)=4,IF(MONTH(B83)=12,1,MONTH(B83)+1)=6,IF(MONTH(B83)=12,1,MONTH(B83)+1)=9,IF(MONTH(B83)=12,1,MONTH(B83)+1)=11),30,DAY($B$25)))))</f>
        <v>47984</v>
      </c>
      <c r="C84" s="250" t="str">
        <f t="shared" si="1"/>
        <v/>
      </c>
      <c r="D84" s="251" t="e">
        <f t="shared" si="2"/>
        <v>#N/A</v>
      </c>
      <c r="E84" s="251">
        <f t="shared" si="3"/>
        <v>0</v>
      </c>
      <c r="F84" s="251">
        <f t="shared" si="4"/>
        <v>0</v>
      </c>
      <c r="G84" s="251">
        <f t="shared" si="5"/>
        <v>0</v>
      </c>
      <c r="H84" s="251" t="e">
        <f t="shared" si="6"/>
        <v>#VALUE!</v>
      </c>
      <c r="I84" s="251">
        <f t="shared" si="7"/>
        <v>0</v>
      </c>
      <c r="J84" s="251">
        <f t="shared" si="18"/>
        <v>0</v>
      </c>
      <c r="K84" s="251">
        <f t="shared" si="8"/>
        <v>0</v>
      </c>
      <c r="L84" s="174"/>
      <c r="M84" s="224"/>
      <c r="N84" s="225">
        <f t="shared" si="9"/>
        <v>0</v>
      </c>
      <c r="O84" s="251" t="e">
        <f t="shared" si="10"/>
        <v>#N/A</v>
      </c>
      <c r="P84" s="251">
        <f t="shared" si="19"/>
        <v>0</v>
      </c>
      <c r="Q84" s="251">
        <f t="shared" si="11"/>
        <v>0</v>
      </c>
      <c r="R84" s="251">
        <f t="shared" si="12"/>
        <v>0</v>
      </c>
      <c r="S84" s="251" t="e">
        <f t="shared" si="13"/>
        <v>#VALUE!</v>
      </c>
      <c r="T84" s="251">
        <f t="shared" si="0"/>
        <v>0</v>
      </c>
      <c r="U84" s="252">
        <f>TRUNC(T84*Condições!$C$102,2)</f>
        <v>0</v>
      </c>
      <c r="V84" s="199">
        <f t="shared" si="20"/>
        <v>0</v>
      </c>
      <c r="W84" s="161" t="e">
        <f t="shared" si="14"/>
        <v>#N/A</v>
      </c>
      <c r="X84" s="161" t="e">
        <f t="shared" si="15"/>
        <v>#N/A</v>
      </c>
      <c r="Y84" s="161">
        <f t="shared" si="21"/>
        <v>59</v>
      </c>
      <c r="Z84" s="161">
        <f t="shared" ca="1" si="22"/>
        <v>5</v>
      </c>
      <c r="AG84" s="114">
        <f t="shared" si="23"/>
        <v>0</v>
      </c>
      <c r="AH84" s="113"/>
      <c r="AI84" s="199">
        <f ca="1">IF(AL84=0,0,IF(AL84&gt;Preenchimento!$AA$88*12,0,IF($AC$53=AM84,0,1)))</f>
        <v>0</v>
      </c>
      <c r="AJ84" s="161" t="e">
        <f t="shared" ca="1" si="24"/>
        <v>#N/A</v>
      </c>
      <c r="AK84" s="161" t="e">
        <f t="shared" ca="1" si="16"/>
        <v>#N/A</v>
      </c>
      <c r="AL84" s="161">
        <f ca="1">IF(Y84&gt;(Preenchimento!$AA$90*12),0,Fixa!Y84)</f>
        <v>0</v>
      </c>
      <c r="AM84" s="161">
        <f t="shared" ca="1" si="25"/>
        <v>5</v>
      </c>
      <c r="AN84" s="199">
        <f ca="1">IF(AQ84&gt;Preenchimento!$AA$90*12,0,1)</f>
        <v>0</v>
      </c>
      <c r="AO84" s="161" t="e">
        <f ca="1">1/((1+SAC!$AD$29)^AL84)</f>
        <v>#N/A</v>
      </c>
      <c r="AP84" s="82" t="e">
        <f t="shared" ca="1" si="26"/>
        <v>#N/A</v>
      </c>
      <c r="AQ84" s="82">
        <v>59</v>
      </c>
      <c r="AS84" s="477">
        <f t="shared" ca="1" si="17"/>
        <v>0</v>
      </c>
    </row>
    <row r="85" spans="1:45" ht="12" customHeight="1">
      <c r="A85" s="53">
        <v>60</v>
      </c>
      <c r="B85" s="249">
        <f ca="1">DATE(IF(MONTH(B84)=12,YEAR(B84)+1,YEAR(B84)),IF(MONTH(B84)=12,1,MONTH(B84)+1),MIN(DAY(Condições!$C$109),IF(IF(MONTH(B84)=12,1,MONTH(B84)+1)=2,IF(MOD(IF(MONTH(B84)=12,YEAR(B84)+1,YEAR(B84)),4)=0,29,28),IF(OR(IF(MONTH(B84)=12,1,MONTH(B84)+1)=4,IF(MONTH(B84)=12,1,MONTH(B84)+1)=6,IF(MONTH(B84)=12,1,MONTH(B84)+1)=9,IF(MONTH(B84)=12,1,MONTH(B84)+1)=11),30,DAY($B$25)))))</f>
        <v>48015</v>
      </c>
      <c r="C85" s="250" t="str">
        <f t="shared" si="1"/>
        <v/>
      </c>
      <c r="D85" s="251" t="e">
        <f t="shared" si="2"/>
        <v>#N/A</v>
      </c>
      <c r="E85" s="251">
        <f t="shared" si="3"/>
        <v>0</v>
      </c>
      <c r="F85" s="251">
        <f t="shared" si="4"/>
        <v>0</v>
      </c>
      <c r="G85" s="251">
        <f t="shared" si="5"/>
        <v>0</v>
      </c>
      <c r="H85" s="251" t="e">
        <f t="shared" si="6"/>
        <v>#VALUE!</v>
      </c>
      <c r="I85" s="251">
        <f t="shared" si="7"/>
        <v>0</v>
      </c>
      <c r="J85" s="251">
        <f t="shared" si="18"/>
        <v>0</v>
      </c>
      <c r="K85" s="251">
        <f t="shared" si="8"/>
        <v>0</v>
      </c>
      <c r="L85" s="174"/>
      <c r="M85" s="224"/>
      <c r="N85" s="225">
        <f t="shared" si="9"/>
        <v>0</v>
      </c>
      <c r="O85" s="251" t="e">
        <f t="shared" si="10"/>
        <v>#N/A</v>
      </c>
      <c r="P85" s="251">
        <f t="shared" si="19"/>
        <v>0</v>
      </c>
      <c r="Q85" s="251">
        <f t="shared" si="11"/>
        <v>0</v>
      </c>
      <c r="R85" s="251">
        <f t="shared" si="12"/>
        <v>0</v>
      </c>
      <c r="S85" s="251" t="e">
        <f t="shared" si="13"/>
        <v>#VALUE!</v>
      </c>
      <c r="T85" s="251">
        <f t="shared" si="0"/>
        <v>0</v>
      </c>
      <c r="U85" s="252">
        <f>TRUNC(T85*Condições!$C$102,2)</f>
        <v>0</v>
      </c>
      <c r="V85" s="199">
        <f t="shared" si="20"/>
        <v>0</v>
      </c>
      <c r="W85" s="161" t="e">
        <f t="shared" si="14"/>
        <v>#N/A</v>
      </c>
      <c r="X85" s="161" t="e">
        <f t="shared" si="15"/>
        <v>#N/A</v>
      </c>
      <c r="Y85" s="161">
        <f t="shared" si="21"/>
        <v>60</v>
      </c>
      <c r="Z85" s="161">
        <f t="shared" ca="1" si="22"/>
        <v>6</v>
      </c>
      <c r="AG85" s="114">
        <f t="shared" si="23"/>
        <v>0</v>
      </c>
      <c r="AH85" s="113"/>
      <c r="AI85" s="199">
        <f ca="1">IF(AL85=0,0,IF(AL85&gt;Preenchimento!$AA$88*12,0,IF($AC$53=AM85,0,1)))</f>
        <v>0</v>
      </c>
      <c r="AJ85" s="161" t="e">
        <f t="shared" ca="1" si="24"/>
        <v>#N/A</v>
      </c>
      <c r="AK85" s="161" t="e">
        <f t="shared" ca="1" si="16"/>
        <v>#N/A</v>
      </c>
      <c r="AL85" s="161">
        <f ca="1">IF(Y85&gt;(Preenchimento!$AA$90*12),0,Fixa!Y85)</f>
        <v>0</v>
      </c>
      <c r="AM85" s="161">
        <f t="shared" ca="1" si="25"/>
        <v>6</v>
      </c>
      <c r="AN85" s="199">
        <f ca="1">IF(AQ85&gt;Preenchimento!$AA$90*12,0,1)</f>
        <v>0</v>
      </c>
      <c r="AO85" s="161" t="e">
        <f ca="1">1/((1+SAC!$AD$29)^AL85)</f>
        <v>#N/A</v>
      </c>
      <c r="AP85" s="82" t="e">
        <f t="shared" ca="1" si="26"/>
        <v>#N/A</v>
      </c>
      <c r="AQ85" s="82">
        <v>60</v>
      </c>
      <c r="AS85" s="477">
        <f t="shared" ca="1" si="17"/>
        <v>0</v>
      </c>
    </row>
    <row r="86" spans="1:45" ht="12" customHeight="1">
      <c r="A86" s="53">
        <v>61</v>
      </c>
      <c r="B86" s="249">
        <f ca="1">DATE(IF(MONTH(B85)=12,YEAR(B85)+1,YEAR(B85)),IF(MONTH(B85)=12,1,MONTH(B85)+1),MIN(DAY(Condições!$C$109),IF(IF(MONTH(B85)=12,1,MONTH(B85)+1)=2,IF(MOD(IF(MONTH(B85)=12,YEAR(B85)+1,YEAR(B85)),4)=0,29,28),IF(OR(IF(MONTH(B85)=12,1,MONTH(B85)+1)=4,IF(MONTH(B85)=12,1,MONTH(B85)+1)=6,IF(MONTH(B85)=12,1,MONTH(B85)+1)=9,IF(MONTH(B85)=12,1,MONTH(B85)+1)=11),30,DAY($B$25)))))</f>
        <v>48045</v>
      </c>
      <c r="C86" s="250" t="str">
        <f t="shared" si="1"/>
        <v/>
      </c>
      <c r="D86" s="251" t="e">
        <f t="shared" si="2"/>
        <v>#N/A</v>
      </c>
      <c r="E86" s="251">
        <f t="shared" si="3"/>
        <v>0</v>
      </c>
      <c r="F86" s="251">
        <f t="shared" si="4"/>
        <v>0</v>
      </c>
      <c r="G86" s="251">
        <f t="shared" si="5"/>
        <v>0</v>
      </c>
      <c r="H86" s="251" t="e">
        <f t="shared" si="6"/>
        <v>#VALUE!</v>
      </c>
      <c r="I86" s="251">
        <f t="shared" si="7"/>
        <v>0</v>
      </c>
      <c r="J86" s="251">
        <f t="shared" si="18"/>
        <v>0</v>
      </c>
      <c r="K86" s="251">
        <f t="shared" si="8"/>
        <v>0</v>
      </c>
      <c r="L86" s="174"/>
      <c r="M86" s="224"/>
      <c r="N86" s="225">
        <f t="shared" si="9"/>
        <v>0</v>
      </c>
      <c r="O86" s="251" t="e">
        <f t="shared" si="10"/>
        <v>#N/A</v>
      </c>
      <c r="P86" s="251">
        <f t="shared" si="19"/>
        <v>0</v>
      </c>
      <c r="Q86" s="251">
        <f t="shared" si="11"/>
        <v>0</v>
      </c>
      <c r="R86" s="251">
        <f t="shared" si="12"/>
        <v>0</v>
      </c>
      <c r="S86" s="251" t="e">
        <f t="shared" si="13"/>
        <v>#VALUE!</v>
      </c>
      <c r="T86" s="251">
        <f t="shared" si="0"/>
        <v>0</v>
      </c>
      <c r="U86" s="252">
        <f>TRUNC(T86*Condições!$C$102,2)</f>
        <v>0</v>
      </c>
      <c r="V86" s="199">
        <f t="shared" si="20"/>
        <v>0</v>
      </c>
      <c r="W86" s="161" t="e">
        <f t="shared" si="14"/>
        <v>#N/A</v>
      </c>
      <c r="X86" s="161" t="e">
        <f t="shared" si="15"/>
        <v>#N/A</v>
      </c>
      <c r="Y86" s="161">
        <f t="shared" si="21"/>
        <v>61</v>
      </c>
      <c r="Z86" s="161">
        <f t="shared" ca="1" si="22"/>
        <v>7</v>
      </c>
      <c r="AG86" s="114">
        <f t="shared" si="23"/>
        <v>0</v>
      </c>
      <c r="AH86" s="113"/>
      <c r="AI86" s="199">
        <f ca="1">IF(AL86=0,0,IF(AL86&gt;Preenchimento!$AA$88*12,0,IF($AC$53=AM86,0,1)))</f>
        <v>0</v>
      </c>
      <c r="AJ86" s="161" t="e">
        <f t="shared" ca="1" si="24"/>
        <v>#N/A</v>
      </c>
      <c r="AK86" s="161" t="e">
        <f t="shared" ca="1" si="16"/>
        <v>#N/A</v>
      </c>
      <c r="AL86" s="161">
        <f ca="1">IF(Y86&gt;(Preenchimento!$AA$90*12),0,Fixa!Y86)</f>
        <v>0</v>
      </c>
      <c r="AM86" s="161">
        <f t="shared" ca="1" si="25"/>
        <v>7</v>
      </c>
      <c r="AN86" s="199">
        <f ca="1">IF(AQ86&gt;Preenchimento!$AA$90*12,0,1)</f>
        <v>0</v>
      </c>
      <c r="AO86" s="161" t="e">
        <f ca="1">1/((1+SAC!$AD$29)^AL86)</f>
        <v>#N/A</v>
      </c>
      <c r="AP86" s="82" t="e">
        <f t="shared" ca="1" si="26"/>
        <v>#N/A</v>
      </c>
      <c r="AQ86" s="82">
        <v>61</v>
      </c>
      <c r="AS86" s="477">
        <f t="shared" ca="1" si="17"/>
        <v>0</v>
      </c>
    </row>
    <row r="87" spans="1:45" ht="12" customHeight="1">
      <c r="A87" s="53">
        <v>62</v>
      </c>
      <c r="B87" s="249">
        <f ca="1">DATE(IF(MONTH(B86)=12,YEAR(B86)+1,YEAR(B86)),IF(MONTH(B86)=12,1,MONTH(B86)+1),MIN(DAY(Condições!$C$109),IF(IF(MONTH(B86)=12,1,MONTH(B86)+1)=2,IF(MOD(IF(MONTH(B86)=12,YEAR(B86)+1,YEAR(B86)),4)=0,29,28),IF(OR(IF(MONTH(B86)=12,1,MONTH(B86)+1)=4,IF(MONTH(B86)=12,1,MONTH(B86)+1)=6,IF(MONTH(B86)=12,1,MONTH(B86)+1)=9,IF(MONTH(B86)=12,1,MONTH(B86)+1)=11),30,DAY($B$25)))))</f>
        <v>48076</v>
      </c>
      <c r="C87" s="250" t="str">
        <f t="shared" si="1"/>
        <v/>
      </c>
      <c r="D87" s="251" t="e">
        <f t="shared" si="2"/>
        <v>#N/A</v>
      </c>
      <c r="E87" s="251">
        <f t="shared" si="3"/>
        <v>0</v>
      </c>
      <c r="F87" s="251">
        <f t="shared" si="4"/>
        <v>0</v>
      </c>
      <c r="G87" s="251">
        <f t="shared" si="5"/>
        <v>0</v>
      </c>
      <c r="H87" s="251" t="e">
        <f t="shared" si="6"/>
        <v>#VALUE!</v>
      </c>
      <c r="I87" s="251">
        <f t="shared" si="7"/>
        <v>0</v>
      </c>
      <c r="J87" s="251">
        <f t="shared" si="18"/>
        <v>0</v>
      </c>
      <c r="K87" s="251">
        <f t="shared" si="8"/>
        <v>0</v>
      </c>
      <c r="L87" s="174"/>
      <c r="M87" s="224"/>
      <c r="N87" s="225">
        <f t="shared" si="9"/>
        <v>0</v>
      </c>
      <c r="O87" s="251" t="e">
        <f t="shared" si="10"/>
        <v>#N/A</v>
      </c>
      <c r="P87" s="251">
        <f t="shared" si="19"/>
        <v>0</v>
      </c>
      <c r="Q87" s="251">
        <f t="shared" si="11"/>
        <v>0</v>
      </c>
      <c r="R87" s="251">
        <f t="shared" si="12"/>
        <v>0</v>
      </c>
      <c r="S87" s="251" t="e">
        <f t="shared" si="13"/>
        <v>#VALUE!</v>
      </c>
      <c r="T87" s="251">
        <f t="shared" si="0"/>
        <v>0</v>
      </c>
      <c r="U87" s="252">
        <f>TRUNC(T87*Condições!$C$102,2)</f>
        <v>0</v>
      </c>
      <c r="V87" s="199">
        <f t="shared" si="20"/>
        <v>0</v>
      </c>
      <c r="W87" s="161" t="e">
        <f t="shared" si="14"/>
        <v>#N/A</v>
      </c>
      <c r="X87" s="161" t="e">
        <f t="shared" si="15"/>
        <v>#N/A</v>
      </c>
      <c r="Y87" s="161">
        <f t="shared" si="21"/>
        <v>62</v>
      </c>
      <c r="Z87" s="161">
        <f t="shared" ca="1" si="22"/>
        <v>8</v>
      </c>
      <c r="AG87" s="114">
        <f t="shared" si="23"/>
        <v>0</v>
      </c>
      <c r="AH87" s="113"/>
      <c r="AI87" s="199">
        <f ca="1">IF(AL87=0,0,IF(AL87&gt;Preenchimento!$AA$88*12,0,IF($AC$53=AM87,0,1)))</f>
        <v>0</v>
      </c>
      <c r="AJ87" s="161" t="e">
        <f t="shared" ca="1" si="24"/>
        <v>#N/A</v>
      </c>
      <c r="AK87" s="161" t="e">
        <f t="shared" ca="1" si="16"/>
        <v>#N/A</v>
      </c>
      <c r="AL87" s="161">
        <f ca="1">IF(Y87&gt;(Preenchimento!$AA$90*12),0,Fixa!Y87)</f>
        <v>0</v>
      </c>
      <c r="AM87" s="161">
        <f t="shared" ca="1" si="25"/>
        <v>8</v>
      </c>
      <c r="AN87" s="199">
        <f ca="1">IF(AQ87&gt;Preenchimento!$AA$90*12,0,1)</f>
        <v>0</v>
      </c>
      <c r="AO87" s="161" t="e">
        <f ca="1">1/((1+SAC!$AD$29)^AL87)</f>
        <v>#N/A</v>
      </c>
      <c r="AP87" s="82" t="e">
        <f t="shared" ca="1" si="26"/>
        <v>#N/A</v>
      </c>
      <c r="AQ87" s="82">
        <v>62</v>
      </c>
      <c r="AS87" s="477">
        <f t="shared" ca="1" si="17"/>
        <v>0</v>
      </c>
    </row>
    <row r="88" spans="1:45" ht="12" customHeight="1">
      <c r="A88" s="53">
        <v>63</v>
      </c>
      <c r="B88" s="249">
        <f ca="1">DATE(IF(MONTH(B87)=12,YEAR(B87)+1,YEAR(B87)),IF(MONTH(B87)=12,1,MONTH(B87)+1),MIN(DAY(Condições!$C$109),IF(IF(MONTH(B87)=12,1,MONTH(B87)+1)=2,IF(MOD(IF(MONTH(B87)=12,YEAR(B87)+1,YEAR(B87)),4)=0,29,28),IF(OR(IF(MONTH(B87)=12,1,MONTH(B87)+1)=4,IF(MONTH(B87)=12,1,MONTH(B87)+1)=6,IF(MONTH(B87)=12,1,MONTH(B87)+1)=9,IF(MONTH(B87)=12,1,MONTH(B87)+1)=11),30,DAY($B$25)))))</f>
        <v>48107</v>
      </c>
      <c r="C88" s="250" t="str">
        <f t="shared" si="1"/>
        <v/>
      </c>
      <c r="D88" s="251" t="e">
        <f t="shared" si="2"/>
        <v>#N/A</v>
      </c>
      <c r="E88" s="251">
        <f t="shared" si="3"/>
        <v>0</v>
      </c>
      <c r="F88" s="251">
        <f t="shared" si="4"/>
        <v>0</v>
      </c>
      <c r="G88" s="251">
        <f t="shared" si="5"/>
        <v>0</v>
      </c>
      <c r="H88" s="251" t="e">
        <f t="shared" si="6"/>
        <v>#VALUE!</v>
      </c>
      <c r="I88" s="251">
        <f t="shared" si="7"/>
        <v>0</v>
      </c>
      <c r="J88" s="251">
        <f t="shared" si="18"/>
        <v>0</v>
      </c>
      <c r="K88" s="251">
        <f t="shared" si="8"/>
        <v>0</v>
      </c>
      <c r="L88" s="174"/>
      <c r="M88" s="224"/>
      <c r="N88" s="225">
        <f t="shared" si="9"/>
        <v>0</v>
      </c>
      <c r="O88" s="251" t="e">
        <f t="shared" si="10"/>
        <v>#N/A</v>
      </c>
      <c r="P88" s="251">
        <f t="shared" si="19"/>
        <v>0</v>
      </c>
      <c r="Q88" s="251">
        <f t="shared" si="11"/>
        <v>0</v>
      </c>
      <c r="R88" s="251">
        <f t="shared" si="12"/>
        <v>0</v>
      </c>
      <c r="S88" s="251" t="e">
        <f t="shared" si="13"/>
        <v>#VALUE!</v>
      </c>
      <c r="T88" s="251">
        <f t="shared" si="0"/>
        <v>0</v>
      </c>
      <c r="U88" s="252">
        <f>TRUNC(T88*Condições!$C$102,2)</f>
        <v>0</v>
      </c>
      <c r="V88" s="199">
        <f t="shared" si="20"/>
        <v>0</v>
      </c>
      <c r="W88" s="161" t="e">
        <f t="shared" si="14"/>
        <v>#N/A</v>
      </c>
      <c r="X88" s="161" t="e">
        <f t="shared" si="15"/>
        <v>#N/A</v>
      </c>
      <c r="Y88" s="161">
        <f t="shared" si="21"/>
        <v>63</v>
      </c>
      <c r="Z88" s="161">
        <f t="shared" ca="1" si="22"/>
        <v>9</v>
      </c>
      <c r="AG88" s="114">
        <f t="shared" si="23"/>
        <v>0</v>
      </c>
      <c r="AH88" s="113"/>
      <c r="AI88" s="199">
        <f ca="1">IF(AL88=0,0,IF(AL88&gt;Preenchimento!$AA$88*12,0,IF($AC$53=AM88,0,1)))</f>
        <v>0</v>
      </c>
      <c r="AJ88" s="161" t="e">
        <f t="shared" ca="1" si="24"/>
        <v>#N/A</v>
      </c>
      <c r="AK88" s="161" t="e">
        <f t="shared" ca="1" si="16"/>
        <v>#N/A</v>
      </c>
      <c r="AL88" s="161">
        <f ca="1">IF(Y88&gt;(Preenchimento!$AA$90*12),0,Fixa!Y88)</f>
        <v>0</v>
      </c>
      <c r="AM88" s="161">
        <f t="shared" ca="1" si="25"/>
        <v>9</v>
      </c>
      <c r="AN88" s="199">
        <f ca="1">IF(AQ88&gt;Preenchimento!$AA$90*12,0,1)</f>
        <v>0</v>
      </c>
      <c r="AO88" s="161" t="e">
        <f ca="1">1/((1+SAC!$AD$29)^AL88)</f>
        <v>#N/A</v>
      </c>
      <c r="AP88" s="82" t="e">
        <f t="shared" ca="1" si="26"/>
        <v>#N/A</v>
      </c>
      <c r="AQ88" s="82">
        <v>63</v>
      </c>
      <c r="AS88" s="477">
        <f t="shared" ca="1" si="17"/>
        <v>0</v>
      </c>
    </row>
    <row r="89" spans="1:45" ht="12" customHeight="1">
      <c r="A89" s="53">
        <v>64</v>
      </c>
      <c r="B89" s="249">
        <f ca="1">DATE(IF(MONTH(B88)=12,YEAR(B88)+1,YEAR(B88)),IF(MONTH(B88)=12,1,MONTH(B88)+1),MIN(DAY(Condições!$C$109),IF(IF(MONTH(B88)=12,1,MONTH(B88)+1)=2,IF(MOD(IF(MONTH(B88)=12,YEAR(B88)+1,YEAR(B88)),4)=0,29,28),IF(OR(IF(MONTH(B88)=12,1,MONTH(B88)+1)=4,IF(MONTH(B88)=12,1,MONTH(B88)+1)=6,IF(MONTH(B88)=12,1,MONTH(B88)+1)=9,IF(MONTH(B88)=12,1,MONTH(B88)+1)=11),30,DAY($B$25)))))</f>
        <v>48137</v>
      </c>
      <c r="C89" s="250" t="str">
        <f t="shared" si="1"/>
        <v/>
      </c>
      <c r="D89" s="251" t="e">
        <f t="shared" si="2"/>
        <v>#N/A</v>
      </c>
      <c r="E89" s="251">
        <f t="shared" si="3"/>
        <v>0</v>
      </c>
      <c r="F89" s="251">
        <f t="shared" si="4"/>
        <v>0</v>
      </c>
      <c r="G89" s="251">
        <f t="shared" si="5"/>
        <v>0</v>
      </c>
      <c r="H89" s="251" t="e">
        <f t="shared" si="6"/>
        <v>#VALUE!</v>
      </c>
      <c r="I89" s="251">
        <f t="shared" si="7"/>
        <v>0</v>
      </c>
      <c r="J89" s="251">
        <f t="shared" si="18"/>
        <v>0</v>
      </c>
      <c r="K89" s="251">
        <f t="shared" si="8"/>
        <v>0</v>
      </c>
      <c r="L89" s="174"/>
      <c r="M89" s="224"/>
      <c r="N89" s="225">
        <f t="shared" si="9"/>
        <v>0</v>
      </c>
      <c r="O89" s="251" t="e">
        <f t="shared" si="10"/>
        <v>#N/A</v>
      </c>
      <c r="P89" s="251">
        <f t="shared" si="19"/>
        <v>0</v>
      </c>
      <c r="Q89" s="251">
        <f t="shared" si="11"/>
        <v>0</v>
      </c>
      <c r="R89" s="251">
        <f t="shared" si="12"/>
        <v>0</v>
      </c>
      <c r="S89" s="251" t="e">
        <f t="shared" si="13"/>
        <v>#VALUE!</v>
      </c>
      <c r="T89" s="251">
        <f t="shared" ref="T89:T152" si="28">IF(C89&gt;=$AC$46,0,ROUND(IF(Y89&gt;$AC$46,"",$AC$51*$AC$44),$P$18))</f>
        <v>0</v>
      </c>
      <c r="U89" s="252">
        <f>TRUNC(T89*Condições!$C$102,2)</f>
        <v>0</v>
      </c>
      <c r="V89" s="199">
        <f t="shared" si="20"/>
        <v>0</v>
      </c>
      <c r="W89" s="161" t="e">
        <f t="shared" si="14"/>
        <v>#N/A</v>
      </c>
      <c r="X89" s="161" t="e">
        <f t="shared" si="15"/>
        <v>#N/A</v>
      </c>
      <c r="Y89" s="161">
        <f t="shared" si="21"/>
        <v>64</v>
      </c>
      <c r="Z89" s="161">
        <f t="shared" ca="1" si="22"/>
        <v>10</v>
      </c>
      <c r="AG89" s="114">
        <f t="shared" si="23"/>
        <v>0</v>
      </c>
      <c r="AH89" s="113"/>
      <c r="AI89" s="199">
        <f ca="1">IF(AL89=0,0,IF(AL89&gt;Preenchimento!$AA$88*12,0,IF($AC$53=AM89,0,1)))</f>
        <v>0</v>
      </c>
      <c r="AJ89" s="161" t="e">
        <f t="shared" ca="1" si="24"/>
        <v>#N/A</v>
      </c>
      <c r="AK89" s="161" t="e">
        <f t="shared" ca="1" si="16"/>
        <v>#N/A</v>
      </c>
      <c r="AL89" s="161">
        <f ca="1">IF(Y89&gt;(Preenchimento!$AA$90*12),0,Fixa!Y89)</f>
        <v>0</v>
      </c>
      <c r="AM89" s="161">
        <f t="shared" ca="1" si="25"/>
        <v>10</v>
      </c>
      <c r="AN89" s="199">
        <f ca="1">IF(AQ89&gt;Preenchimento!$AA$90*12,0,1)</f>
        <v>0</v>
      </c>
      <c r="AO89" s="161" t="e">
        <f ca="1">1/((1+SAC!$AD$29)^AL89)</f>
        <v>#N/A</v>
      </c>
      <c r="AP89" s="82" t="e">
        <f t="shared" ca="1" si="26"/>
        <v>#N/A</v>
      </c>
      <c r="AQ89" s="82">
        <v>64</v>
      </c>
      <c r="AS89" s="477">
        <f t="shared" ca="1" si="17"/>
        <v>0</v>
      </c>
    </row>
    <row r="90" spans="1:45" ht="12" customHeight="1">
      <c r="A90" s="53">
        <v>65</v>
      </c>
      <c r="B90" s="249">
        <f ca="1">DATE(IF(MONTH(B89)=12,YEAR(B89)+1,YEAR(B89)),IF(MONTH(B89)=12,1,MONTH(B89)+1),MIN(DAY(Condições!$C$109),IF(IF(MONTH(B89)=12,1,MONTH(B89)+1)=2,IF(MOD(IF(MONTH(B89)=12,YEAR(B89)+1,YEAR(B89)),4)=0,29,28),IF(OR(IF(MONTH(B89)=12,1,MONTH(B89)+1)=4,IF(MONTH(B89)=12,1,MONTH(B89)+1)=6,IF(MONTH(B89)=12,1,MONTH(B89)+1)=9,IF(MONTH(B89)=12,1,MONTH(B89)+1)=11),30,DAY($B$25)))))</f>
        <v>48168</v>
      </c>
      <c r="C90" s="250" t="str">
        <f t="shared" ref="C90:C153" si="29">IF(Y90&gt;$AC$46,"",Y90)</f>
        <v/>
      </c>
      <c r="D90" s="251" t="e">
        <f t="shared" ref="D90:D153" si="30">ROUND(O90,2)</f>
        <v>#N/A</v>
      </c>
      <c r="E90" s="251">
        <f t="shared" ref="E90:E153" si="31">ROUND(P90,2)</f>
        <v>0</v>
      </c>
      <c r="F90" s="251">
        <f t="shared" ref="F90:F153" si="32">ROUND(Q90,2)</f>
        <v>0</v>
      </c>
      <c r="G90" s="251">
        <f t="shared" ref="G90:G153" si="33">F90+E90</f>
        <v>0</v>
      </c>
      <c r="H90" s="251" t="e">
        <f t="shared" ref="H90:H153" si="34">ROUND(S90,2)</f>
        <v>#VALUE!</v>
      </c>
      <c r="I90" s="251">
        <f t="shared" ref="I90:I153" si="35">ROUND(T90+U90,2)</f>
        <v>0</v>
      </c>
      <c r="J90" s="251">
        <f t="shared" si="18"/>
        <v>0</v>
      </c>
      <c r="K90" s="251">
        <f t="shared" ref="K90:K153" si="36">IF(C90&gt;$AC$46,0,SUM(G90:J90))</f>
        <v>0</v>
      </c>
      <c r="L90" s="174"/>
      <c r="M90" s="224"/>
      <c r="N90" s="225">
        <f t="shared" ref="N90:N153" si="37">IF(C90&gt;$AC$46,0,(H90+I90)/(1.008^((12*(B90-$B$25))/365)))</f>
        <v>0</v>
      </c>
      <c r="O90" s="251" t="e">
        <f t="shared" ref="O90:O153" si="38">ROUND(O89*(1+$AC$47)-R90,$P$18)</f>
        <v>#N/A</v>
      </c>
      <c r="P90" s="251">
        <f t="shared" si="19"/>
        <v>0</v>
      </c>
      <c r="Q90" s="251">
        <f t="shared" ref="Q90:Q153" si="39">ROUND(IF(V90=0,0,O89*$AC$47),$P$18)</f>
        <v>0</v>
      </c>
      <c r="R90" s="251">
        <f t="shared" ref="R90:R153" si="40">ROUND(IF(V90=0,0,$O$25/$X$18),$P$18)</f>
        <v>0</v>
      </c>
      <c r="S90" s="251" t="e">
        <f t="shared" ref="S90:S153" si="41">ROUND(IF(Y90&gt;$AC$46,"",$AC$52*O90),$P$18)</f>
        <v>#VALUE!</v>
      </c>
      <c r="T90" s="251">
        <f t="shared" si="28"/>
        <v>0</v>
      </c>
      <c r="U90" s="252">
        <f>TRUNC(T90*Condições!$C$102,2)</f>
        <v>0</v>
      </c>
      <c r="V90" s="199">
        <f t="shared" si="20"/>
        <v>0</v>
      </c>
      <c r="W90" s="161" t="e">
        <f t="shared" ref="W90:W153" si="42">1/(1+$AC$47)^Y90</f>
        <v>#N/A</v>
      </c>
      <c r="X90" s="161" t="e">
        <f t="shared" ref="X90:X153" si="43">W90*V90</f>
        <v>#N/A</v>
      </c>
      <c r="Y90" s="161">
        <f t="shared" si="21"/>
        <v>65</v>
      </c>
      <c r="Z90" s="161">
        <f t="shared" ca="1" si="22"/>
        <v>11</v>
      </c>
      <c r="AG90" s="114">
        <f t="shared" si="23"/>
        <v>0</v>
      </c>
      <c r="AH90" s="113"/>
      <c r="AI90" s="199">
        <f ca="1">IF(AL90=0,0,IF(AL90&gt;Preenchimento!$AA$88*12,0,IF($AC$53=AM90,0,1)))</f>
        <v>0</v>
      </c>
      <c r="AJ90" s="161" t="e">
        <f t="shared" ref="AJ90:AJ153" ca="1" si="44">1/(1+$AC$47)^AL90</f>
        <v>#N/A</v>
      </c>
      <c r="AK90" s="161" t="e">
        <f t="shared" ref="AK90:AK153" ca="1" si="45">AJ90*AI90</f>
        <v>#N/A</v>
      </c>
      <c r="AL90" s="161">
        <f ca="1">IF(Y90&gt;(Preenchimento!$AA$90*12),0,Fixa!Y90)</f>
        <v>0</v>
      </c>
      <c r="AM90" s="161">
        <f t="shared" ca="1" si="25"/>
        <v>11</v>
      </c>
      <c r="AN90" s="199">
        <f ca="1">IF(AQ90&gt;Preenchimento!$AA$90*12,0,1)</f>
        <v>0</v>
      </c>
      <c r="AO90" s="161" t="e">
        <f ca="1">1/((1+SAC!$AD$29)^AL90)</f>
        <v>#N/A</v>
      </c>
      <c r="AP90" s="82" t="e">
        <f t="shared" ca="1" si="26"/>
        <v>#N/A</v>
      </c>
      <c r="AQ90" s="82">
        <v>65</v>
      </c>
      <c r="AS90" s="477">
        <f t="shared" ref="AS90:AS153" ca="1" si="46">IFERROR(IF(Z89&gt;$AC$46,0,R90),0)</f>
        <v>0</v>
      </c>
    </row>
    <row r="91" spans="1:45" ht="12" customHeight="1">
      <c r="A91" s="53">
        <v>66</v>
      </c>
      <c r="B91" s="249">
        <f ca="1">DATE(IF(MONTH(B90)=12,YEAR(B90)+1,YEAR(B90)),IF(MONTH(B90)=12,1,MONTH(B90)+1),MIN(DAY(Condições!$C$109),IF(IF(MONTH(B90)=12,1,MONTH(B90)+1)=2,IF(MOD(IF(MONTH(B90)=12,YEAR(B90)+1,YEAR(B90)),4)=0,29,28),IF(OR(IF(MONTH(B90)=12,1,MONTH(B90)+1)=4,IF(MONTH(B90)=12,1,MONTH(B90)+1)=6,IF(MONTH(B90)=12,1,MONTH(B90)+1)=9,IF(MONTH(B90)=12,1,MONTH(B90)+1)=11),30,DAY($B$25)))))</f>
        <v>48198</v>
      </c>
      <c r="C91" s="250" t="str">
        <f t="shared" si="29"/>
        <v/>
      </c>
      <c r="D91" s="251" t="e">
        <f t="shared" si="30"/>
        <v>#N/A</v>
      </c>
      <c r="E91" s="251">
        <f t="shared" si="31"/>
        <v>0</v>
      </c>
      <c r="F91" s="251">
        <f t="shared" si="32"/>
        <v>0</v>
      </c>
      <c r="G91" s="251">
        <f t="shared" si="33"/>
        <v>0</v>
      </c>
      <c r="H91" s="251" t="e">
        <f t="shared" si="34"/>
        <v>#VALUE!</v>
      </c>
      <c r="I91" s="251">
        <f t="shared" si="35"/>
        <v>0</v>
      </c>
      <c r="J91" s="251">
        <f t="shared" ref="J91:J154" si="47">IF(V91=0,0,$AC$49)</f>
        <v>0</v>
      </c>
      <c r="K91" s="251">
        <f t="shared" si="36"/>
        <v>0</v>
      </c>
      <c r="L91" s="174"/>
      <c r="M91" s="224"/>
      <c r="N91" s="225">
        <f t="shared" si="37"/>
        <v>0</v>
      </c>
      <c r="O91" s="251" t="e">
        <f t="shared" si="38"/>
        <v>#N/A</v>
      </c>
      <c r="P91" s="251">
        <f t="shared" ref="P91:P154" si="48">ROUND(IF(V91=0,0,R91-Q91),$P$18)</f>
        <v>0</v>
      </c>
      <c r="Q91" s="251">
        <f t="shared" si="39"/>
        <v>0</v>
      </c>
      <c r="R91" s="251">
        <f t="shared" si="40"/>
        <v>0</v>
      </c>
      <c r="S91" s="251" t="e">
        <f t="shared" si="41"/>
        <v>#VALUE!</v>
      </c>
      <c r="T91" s="251">
        <f t="shared" si="28"/>
        <v>0</v>
      </c>
      <c r="U91" s="252">
        <f>TRUNC(T91*Condições!$C$102,2)</f>
        <v>0</v>
      </c>
      <c r="V91" s="199">
        <f t="shared" ref="V91:V154" si="49">IF(Y91&gt;$AC$46,0,IF($AC$53=Z91,0,1))</f>
        <v>0</v>
      </c>
      <c r="W91" s="161" t="e">
        <f t="shared" si="42"/>
        <v>#N/A</v>
      </c>
      <c r="X91" s="161" t="e">
        <f t="shared" si="43"/>
        <v>#N/A</v>
      </c>
      <c r="Y91" s="161">
        <f t="shared" ref="Y91:Y154" si="50">1+Y90</f>
        <v>66</v>
      </c>
      <c r="Z91" s="161">
        <f t="shared" ref="Z91:Z154" ca="1" si="51">IF(Z90=12,1,Z90+1)</f>
        <v>12</v>
      </c>
      <c r="AG91" s="114">
        <f t="shared" ref="AG91:AG154" si="52">IF(C91&gt;$AC$46,0,R91+S91+T91+U91+J91)</f>
        <v>0</v>
      </c>
      <c r="AH91" s="113"/>
      <c r="AI91" s="199">
        <f ca="1">IF(AL91=0,0,IF(AL91&gt;Preenchimento!$AA$88*12,0,IF($AC$53=AM91,0,1)))</f>
        <v>0</v>
      </c>
      <c r="AJ91" s="161" t="e">
        <f t="shared" ca="1" si="44"/>
        <v>#N/A</v>
      </c>
      <c r="AK91" s="161" t="e">
        <f t="shared" ca="1" si="45"/>
        <v>#N/A</v>
      </c>
      <c r="AL91" s="161">
        <f ca="1">IF(Y91&gt;(Preenchimento!$AA$90*12),0,Fixa!Y91)</f>
        <v>0</v>
      </c>
      <c r="AM91" s="161">
        <f t="shared" ref="AM91:AM154" ca="1" si="53">IF(AM90=12,1,AM90+1)</f>
        <v>12</v>
      </c>
      <c r="AN91" s="199">
        <f ca="1">IF(AQ91&gt;Preenchimento!$AA$90*12,0,1)</f>
        <v>0</v>
      </c>
      <c r="AO91" s="161" t="e">
        <f ca="1">1/((1+SAC!$AD$29)^AL91)</f>
        <v>#N/A</v>
      </c>
      <c r="AP91" s="82" t="e">
        <f t="shared" ref="AP91:AP154" ca="1" si="54">AO91*AN91</f>
        <v>#N/A</v>
      </c>
      <c r="AQ91" s="82">
        <v>66</v>
      </c>
      <c r="AS91" s="477">
        <f t="shared" ca="1" si="46"/>
        <v>0</v>
      </c>
    </row>
    <row r="92" spans="1:45" ht="12" customHeight="1">
      <c r="A92" s="53">
        <v>67</v>
      </c>
      <c r="B92" s="249">
        <f ca="1">DATE(IF(MONTH(B91)=12,YEAR(B91)+1,YEAR(B91)),IF(MONTH(B91)=12,1,MONTH(B91)+1),MIN(DAY(Condições!$C$109),IF(IF(MONTH(B91)=12,1,MONTH(B91)+1)=2,IF(MOD(IF(MONTH(B91)=12,YEAR(B91)+1,YEAR(B91)),4)=0,29,28),IF(OR(IF(MONTH(B91)=12,1,MONTH(B91)+1)=4,IF(MONTH(B91)=12,1,MONTH(B91)+1)=6,IF(MONTH(B91)=12,1,MONTH(B91)+1)=9,IF(MONTH(B91)=12,1,MONTH(B91)+1)=11),30,DAY($B$25)))))</f>
        <v>48229</v>
      </c>
      <c r="C92" s="250" t="str">
        <f t="shared" si="29"/>
        <v/>
      </c>
      <c r="D92" s="251" t="e">
        <f t="shared" si="30"/>
        <v>#N/A</v>
      </c>
      <c r="E92" s="251">
        <f t="shared" si="31"/>
        <v>0</v>
      </c>
      <c r="F92" s="251">
        <f t="shared" si="32"/>
        <v>0</v>
      </c>
      <c r="G92" s="251">
        <f t="shared" si="33"/>
        <v>0</v>
      </c>
      <c r="H92" s="251" t="e">
        <f t="shared" si="34"/>
        <v>#VALUE!</v>
      </c>
      <c r="I92" s="251">
        <f t="shared" si="35"/>
        <v>0</v>
      </c>
      <c r="J92" s="251">
        <f t="shared" si="47"/>
        <v>0</v>
      </c>
      <c r="K92" s="251">
        <f t="shared" si="36"/>
        <v>0</v>
      </c>
      <c r="L92" s="174"/>
      <c r="M92" s="224"/>
      <c r="N92" s="225">
        <f t="shared" si="37"/>
        <v>0</v>
      </c>
      <c r="O92" s="251" t="e">
        <f t="shared" si="38"/>
        <v>#N/A</v>
      </c>
      <c r="P92" s="251">
        <f t="shared" si="48"/>
        <v>0</v>
      </c>
      <c r="Q92" s="251">
        <f t="shared" si="39"/>
        <v>0</v>
      </c>
      <c r="R92" s="251">
        <f t="shared" si="40"/>
        <v>0</v>
      </c>
      <c r="S92" s="251" t="e">
        <f t="shared" si="41"/>
        <v>#VALUE!</v>
      </c>
      <c r="T92" s="251">
        <f t="shared" si="28"/>
        <v>0</v>
      </c>
      <c r="U92" s="252">
        <f>TRUNC(T92*Condições!$C$102,2)</f>
        <v>0</v>
      </c>
      <c r="V92" s="199">
        <f t="shared" si="49"/>
        <v>0</v>
      </c>
      <c r="W92" s="161" t="e">
        <f t="shared" si="42"/>
        <v>#N/A</v>
      </c>
      <c r="X92" s="161" t="e">
        <f t="shared" si="43"/>
        <v>#N/A</v>
      </c>
      <c r="Y92" s="161">
        <f t="shared" si="50"/>
        <v>67</v>
      </c>
      <c r="Z92" s="161">
        <f t="shared" ca="1" si="51"/>
        <v>1</v>
      </c>
      <c r="AG92" s="114">
        <f t="shared" si="52"/>
        <v>0</v>
      </c>
      <c r="AH92" s="113"/>
      <c r="AI92" s="199">
        <f ca="1">IF(AL92=0,0,IF(AL92&gt;Preenchimento!$AA$88*12,0,IF($AC$53=AM92,0,1)))</f>
        <v>0</v>
      </c>
      <c r="AJ92" s="161" t="e">
        <f t="shared" ca="1" si="44"/>
        <v>#N/A</v>
      </c>
      <c r="AK92" s="161" t="e">
        <f t="shared" ca="1" si="45"/>
        <v>#N/A</v>
      </c>
      <c r="AL92" s="161">
        <f ca="1">IF(Y92&gt;(Preenchimento!$AA$90*12),0,Fixa!Y92)</f>
        <v>0</v>
      </c>
      <c r="AM92" s="161">
        <f t="shared" ca="1" si="53"/>
        <v>1</v>
      </c>
      <c r="AN92" s="199">
        <f ca="1">IF(AQ92&gt;Preenchimento!$AA$90*12,0,1)</f>
        <v>0</v>
      </c>
      <c r="AO92" s="161" t="e">
        <f ca="1">1/((1+SAC!$AD$29)^AL92)</f>
        <v>#N/A</v>
      </c>
      <c r="AP92" s="82" t="e">
        <f t="shared" ca="1" si="54"/>
        <v>#N/A</v>
      </c>
      <c r="AQ92" s="82">
        <v>67</v>
      </c>
      <c r="AS92" s="477">
        <f t="shared" ca="1" si="46"/>
        <v>0</v>
      </c>
    </row>
    <row r="93" spans="1:45" ht="12" customHeight="1">
      <c r="A93" s="53">
        <v>68</v>
      </c>
      <c r="B93" s="249">
        <f ca="1">DATE(IF(MONTH(B92)=12,YEAR(B92)+1,YEAR(B92)),IF(MONTH(B92)=12,1,MONTH(B92)+1),MIN(DAY(Condições!$C$109),IF(IF(MONTH(B92)=12,1,MONTH(B92)+1)=2,IF(MOD(IF(MONTH(B92)=12,YEAR(B92)+1,YEAR(B92)),4)=0,29,28),IF(OR(IF(MONTH(B92)=12,1,MONTH(B92)+1)=4,IF(MONTH(B92)=12,1,MONTH(B92)+1)=6,IF(MONTH(B92)=12,1,MONTH(B92)+1)=9,IF(MONTH(B92)=12,1,MONTH(B92)+1)=11),30,DAY($B$25)))))</f>
        <v>48260</v>
      </c>
      <c r="C93" s="250" t="str">
        <f t="shared" si="29"/>
        <v/>
      </c>
      <c r="D93" s="251" t="e">
        <f t="shared" si="30"/>
        <v>#N/A</v>
      </c>
      <c r="E93" s="251">
        <f t="shared" si="31"/>
        <v>0</v>
      </c>
      <c r="F93" s="251">
        <f t="shared" si="32"/>
        <v>0</v>
      </c>
      <c r="G93" s="251">
        <f t="shared" si="33"/>
        <v>0</v>
      </c>
      <c r="H93" s="251" t="e">
        <f t="shared" si="34"/>
        <v>#VALUE!</v>
      </c>
      <c r="I93" s="251">
        <f t="shared" si="35"/>
        <v>0</v>
      </c>
      <c r="J93" s="251">
        <f t="shared" si="47"/>
        <v>0</v>
      </c>
      <c r="K93" s="251">
        <f t="shared" si="36"/>
        <v>0</v>
      </c>
      <c r="L93" s="174"/>
      <c r="M93" s="224"/>
      <c r="N93" s="225">
        <f t="shared" si="37"/>
        <v>0</v>
      </c>
      <c r="O93" s="251" t="e">
        <f t="shared" si="38"/>
        <v>#N/A</v>
      </c>
      <c r="P93" s="251">
        <f t="shared" si="48"/>
        <v>0</v>
      </c>
      <c r="Q93" s="251">
        <f t="shared" si="39"/>
        <v>0</v>
      </c>
      <c r="R93" s="251">
        <f t="shared" si="40"/>
        <v>0</v>
      </c>
      <c r="S93" s="251" t="e">
        <f t="shared" si="41"/>
        <v>#VALUE!</v>
      </c>
      <c r="T93" s="251">
        <f t="shared" si="28"/>
        <v>0</v>
      </c>
      <c r="U93" s="252">
        <f>TRUNC(T93*Condições!$C$102,2)</f>
        <v>0</v>
      </c>
      <c r="V93" s="199">
        <f t="shared" si="49"/>
        <v>0</v>
      </c>
      <c r="W93" s="161" t="e">
        <f t="shared" si="42"/>
        <v>#N/A</v>
      </c>
      <c r="X93" s="161" t="e">
        <f t="shared" si="43"/>
        <v>#N/A</v>
      </c>
      <c r="Y93" s="161">
        <f t="shared" si="50"/>
        <v>68</v>
      </c>
      <c r="Z93" s="161">
        <f t="shared" ca="1" si="51"/>
        <v>2</v>
      </c>
      <c r="AG93" s="114">
        <f t="shared" si="52"/>
        <v>0</v>
      </c>
      <c r="AH93" s="113"/>
      <c r="AI93" s="199">
        <f ca="1">IF(AL93=0,0,IF(AL93&gt;Preenchimento!$AA$88*12,0,IF($AC$53=AM93,0,1)))</f>
        <v>0</v>
      </c>
      <c r="AJ93" s="161" t="e">
        <f t="shared" ca="1" si="44"/>
        <v>#N/A</v>
      </c>
      <c r="AK93" s="161" t="e">
        <f t="shared" ca="1" si="45"/>
        <v>#N/A</v>
      </c>
      <c r="AL93" s="161">
        <f ca="1">IF(Y93&gt;(Preenchimento!$AA$90*12),0,Fixa!Y93)</f>
        <v>0</v>
      </c>
      <c r="AM93" s="161">
        <f t="shared" ca="1" si="53"/>
        <v>2</v>
      </c>
      <c r="AN93" s="199">
        <f ca="1">IF(AQ93&gt;Preenchimento!$AA$90*12,0,1)</f>
        <v>0</v>
      </c>
      <c r="AO93" s="161" t="e">
        <f ca="1">1/((1+SAC!$AD$29)^AL93)</f>
        <v>#N/A</v>
      </c>
      <c r="AP93" s="82" t="e">
        <f t="shared" ca="1" si="54"/>
        <v>#N/A</v>
      </c>
      <c r="AQ93" s="82">
        <v>68</v>
      </c>
      <c r="AS93" s="477">
        <f t="shared" ca="1" si="46"/>
        <v>0</v>
      </c>
    </row>
    <row r="94" spans="1:45" ht="12" customHeight="1">
      <c r="A94" s="53">
        <v>69</v>
      </c>
      <c r="B94" s="249">
        <f ca="1">DATE(IF(MONTH(B93)=12,YEAR(B93)+1,YEAR(B93)),IF(MONTH(B93)=12,1,MONTH(B93)+1),MIN(DAY(Condições!$C$109),IF(IF(MONTH(B93)=12,1,MONTH(B93)+1)=2,IF(MOD(IF(MONTH(B93)=12,YEAR(B93)+1,YEAR(B93)),4)=0,29,28),IF(OR(IF(MONTH(B93)=12,1,MONTH(B93)+1)=4,IF(MONTH(B93)=12,1,MONTH(B93)+1)=6,IF(MONTH(B93)=12,1,MONTH(B93)+1)=9,IF(MONTH(B93)=12,1,MONTH(B93)+1)=11),30,DAY($B$25)))))</f>
        <v>48289</v>
      </c>
      <c r="C94" s="250" t="str">
        <f t="shared" si="29"/>
        <v/>
      </c>
      <c r="D94" s="251" t="e">
        <f t="shared" si="30"/>
        <v>#N/A</v>
      </c>
      <c r="E94" s="251">
        <f t="shared" si="31"/>
        <v>0</v>
      </c>
      <c r="F94" s="251">
        <f t="shared" si="32"/>
        <v>0</v>
      </c>
      <c r="G94" s="251">
        <f t="shared" si="33"/>
        <v>0</v>
      </c>
      <c r="H94" s="251" t="e">
        <f t="shared" si="34"/>
        <v>#VALUE!</v>
      </c>
      <c r="I94" s="251">
        <f t="shared" si="35"/>
        <v>0</v>
      </c>
      <c r="J94" s="251">
        <f t="shared" si="47"/>
        <v>0</v>
      </c>
      <c r="K94" s="251">
        <f t="shared" si="36"/>
        <v>0</v>
      </c>
      <c r="L94" s="174"/>
      <c r="M94" s="224"/>
      <c r="N94" s="225">
        <f t="shared" si="37"/>
        <v>0</v>
      </c>
      <c r="O94" s="251" t="e">
        <f t="shared" si="38"/>
        <v>#N/A</v>
      </c>
      <c r="P94" s="251">
        <f t="shared" si="48"/>
        <v>0</v>
      </c>
      <c r="Q94" s="251">
        <f t="shared" si="39"/>
        <v>0</v>
      </c>
      <c r="R94" s="251">
        <f t="shared" si="40"/>
        <v>0</v>
      </c>
      <c r="S94" s="251" t="e">
        <f t="shared" si="41"/>
        <v>#VALUE!</v>
      </c>
      <c r="T94" s="251">
        <f t="shared" si="28"/>
        <v>0</v>
      </c>
      <c r="U94" s="252">
        <f>TRUNC(T94*Condições!$C$102,2)</f>
        <v>0</v>
      </c>
      <c r="V94" s="199">
        <f t="shared" si="49"/>
        <v>0</v>
      </c>
      <c r="W94" s="161" t="e">
        <f t="shared" si="42"/>
        <v>#N/A</v>
      </c>
      <c r="X94" s="161" t="e">
        <f t="shared" si="43"/>
        <v>#N/A</v>
      </c>
      <c r="Y94" s="161">
        <f t="shared" si="50"/>
        <v>69</v>
      </c>
      <c r="Z94" s="161">
        <f t="shared" ca="1" si="51"/>
        <v>3</v>
      </c>
      <c r="AG94" s="114">
        <f t="shared" si="52"/>
        <v>0</v>
      </c>
      <c r="AH94" s="113"/>
      <c r="AI94" s="199">
        <f ca="1">IF(AL94=0,0,IF(AL94&gt;Preenchimento!$AA$88*12,0,IF($AC$53=AM94,0,1)))</f>
        <v>0</v>
      </c>
      <c r="AJ94" s="161" t="e">
        <f t="shared" ca="1" si="44"/>
        <v>#N/A</v>
      </c>
      <c r="AK94" s="161" t="e">
        <f t="shared" ca="1" si="45"/>
        <v>#N/A</v>
      </c>
      <c r="AL94" s="161">
        <f ca="1">IF(Y94&gt;(Preenchimento!$AA$90*12),0,Fixa!Y94)</f>
        <v>0</v>
      </c>
      <c r="AM94" s="161">
        <f t="shared" ca="1" si="53"/>
        <v>3</v>
      </c>
      <c r="AN94" s="199">
        <f ca="1">IF(AQ94&gt;Preenchimento!$AA$90*12,0,1)</f>
        <v>0</v>
      </c>
      <c r="AO94" s="161" t="e">
        <f ca="1">1/((1+SAC!$AD$29)^AL94)</f>
        <v>#N/A</v>
      </c>
      <c r="AP94" s="82" t="e">
        <f t="shared" ca="1" si="54"/>
        <v>#N/A</v>
      </c>
      <c r="AQ94" s="82">
        <v>69</v>
      </c>
      <c r="AS94" s="477">
        <f t="shared" ca="1" si="46"/>
        <v>0</v>
      </c>
    </row>
    <row r="95" spans="1:45" ht="12" customHeight="1">
      <c r="A95" s="53">
        <v>70</v>
      </c>
      <c r="B95" s="249">
        <f ca="1">DATE(IF(MONTH(B94)=12,YEAR(B94)+1,YEAR(B94)),IF(MONTH(B94)=12,1,MONTH(B94)+1),MIN(DAY(Condições!$C$109),IF(IF(MONTH(B94)=12,1,MONTH(B94)+1)=2,IF(MOD(IF(MONTH(B94)=12,YEAR(B94)+1,YEAR(B94)),4)=0,29,28),IF(OR(IF(MONTH(B94)=12,1,MONTH(B94)+1)=4,IF(MONTH(B94)=12,1,MONTH(B94)+1)=6,IF(MONTH(B94)=12,1,MONTH(B94)+1)=9,IF(MONTH(B94)=12,1,MONTH(B94)+1)=11),30,DAY($B$25)))))</f>
        <v>48320</v>
      </c>
      <c r="C95" s="250" t="str">
        <f t="shared" si="29"/>
        <v/>
      </c>
      <c r="D95" s="251" t="e">
        <f t="shared" si="30"/>
        <v>#N/A</v>
      </c>
      <c r="E95" s="251">
        <f t="shared" si="31"/>
        <v>0</v>
      </c>
      <c r="F95" s="251">
        <f t="shared" si="32"/>
        <v>0</v>
      </c>
      <c r="G95" s="251">
        <f t="shared" si="33"/>
        <v>0</v>
      </c>
      <c r="H95" s="251" t="e">
        <f t="shared" si="34"/>
        <v>#VALUE!</v>
      </c>
      <c r="I95" s="251">
        <f t="shared" si="35"/>
        <v>0</v>
      </c>
      <c r="J95" s="251">
        <f t="shared" si="47"/>
        <v>0</v>
      </c>
      <c r="K95" s="251">
        <f t="shared" si="36"/>
        <v>0</v>
      </c>
      <c r="L95" s="174"/>
      <c r="M95" s="224"/>
      <c r="N95" s="225">
        <f t="shared" si="37"/>
        <v>0</v>
      </c>
      <c r="O95" s="251" t="e">
        <f t="shared" si="38"/>
        <v>#N/A</v>
      </c>
      <c r="P95" s="251">
        <f t="shared" si="48"/>
        <v>0</v>
      </c>
      <c r="Q95" s="251">
        <f t="shared" si="39"/>
        <v>0</v>
      </c>
      <c r="R95" s="251">
        <f t="shared" si="40"/>
        <v>0</v>
      </c>
      <c r="S95" s="251" t="e">
        <f t="shared" si="41"/>
        <v>#VALUE!</v>
      </c>
      <c r="T95" s="251">
        <f t="shared" si="28"/>
        <v>0</v>
      </c>
      <c r="U95" s="252">
        <f>TRUNC(T95*Condições!$C$102,2)</f>
        <v>0</v>
      </c>
      <c r="V95" s="199">
        <f t="shared" si="49"/>
        <v>0</v>
      </c>
      <c r="W95" s="161" t="e">
        <f t="shared" si="42"/>
        <v>#N/A</v>
      </c>
      <c r="X95" s="161" t="e">
        <f t="shared" si="43"/>
        <v>#N/A</v>
      </c>
      <c r="Y95" s="161">
        <f t="shared" si="50"/>
        <v>70</v>
      </c>
      <c r="Z95" s="161">
        <f t="shared" ca="1" si="51"/>
        <v>4</v>
      </c>
      <c r="AG95" s="114">
        <f t="shared" si="52"/>
        <v>0</v>
      </c>
      <c r="AH95" s="113"/>
      <c r="AI95" s="199">
        <f ca="1">IF(AL95=0,0,IF(AL95&gt;Preenchimento!$AA$88*12,0,IF($AC$53=AM95,0,1)))</f>
        <v>0</v>
      </c>
      <c r="AJ95" s="161" t="e">
        <f t="shared" ca="1" si="44"/>
        <v>#N/A</v>
      </c>
      <c r="AK95" s="161" t="e">
        <f t="shared" ca="1" si="45"/>
        <v>#N/A</v>
      </c>
      <c r="AL95" s="161">
        <f ca="1">IF(Y95&gt;(Preenchimento!$AA$90*12),0,Fixa!Y95)</f>
        <v>0</v>
      </c>
      <c r="AM95" s="161">
        <f t="shared" ca="1" si="53"/>
        <v>4</v>
      </c>
      <c r="AN95" s="199">
        <f ca="1">IF(AQ95&gt;Preenchimento!$AA$90*12,0,1)</f>
        <v>0</v>
      </c>
      <c r="AO95" s="161" t="e">
        <f ca="1">1/((1+SAC!$AD$29)^AL95)</f>
        <v>#N/A</v>
      </c>
      <c r="AP95" s="82" t="e">
        <f t="shared" ca="1" si="54"/>
        <v>#N/A</v>
      </c>
      <c r="AQ95" s="82">
        <v>70</v>
      </c>
      <c r="AS95" s="477">
        <f t="shared" ca="1" si="46"/>
        <v>0</v>
      </c>
    </row>
    <row r="96" spans="1:45" ht="12" customHeight="1">
      <c r="A96" s="53">
        <v>71</v>
      </c>
      <c r="B96" s="249">
        <f ca="1">DATE(IF(MONTH(B95)=12,YEAR(B95)+1,YEAR(B95)),IF(MONTH(B95)=12,1,MONTH(B95)+1),MIN(DAY(Condições!$C$109),IF(IF(MONTH(B95)=12,1,MONTH(B95)+1)=2,IF(MOD(IF(MONTH(B95)=12,YEAR(B95)+1,YEAR(B95)),4)=0,29,28),IF(OR(IF(MONTH(B95)=12,1,MONTH(B95)+1)=4,IF(MONTH(B95)=12,1,MONTH(B95)+1)=6,IF(MONTH(B95)=12,1,MONTH(B95)+1)=9,IF(MONTH(B95)=12,1,MONTH(B95)+1)=11),30,DAY($B$25)))))</f>
        <v>48350</v>
      </c>
      <c r="C96" s="250" t="str">
        <f t="shared" si="29"/>
        <v/>
      </c>
      <c r="D96" s="251" t="e">
        <f t="shared" si="30"/>
        <v>#N/A</v>
      </c>
      <c r="E96" s="251">
        <f t="shared" si="31"/>
        <v>0</v>
      </c>
      <c r="F96" s="251">
        <f t="shared" si="32"/>
        <v>0</v>
      </c>
      <c r="G96" s="251">
        <f t="shared" si="33"/>
        <v>0</v>
      </c>
      <c r="H96" s="251" t="e">
        <f t="shared" si="34"/>
        <v>#VALUE!</v>
      </c>
      <c r="I96" s="251">
        <f t="shared" si="35"/>
        <v>0</v>
      </c>
      <c r="J96" s="251">
        <f t="shared" si="47"/>
        <v>0</v>
      </c>
      <c r="K96" s="251">
        <f t="shared" si="36"/>
        <v>0</v>
      </c>
      <c r="L96" s="174"/>
      <c r="M96" s="224"/>
      <c r="N96" s="225">
        <f t="shared" si="37"/>
        <v>0</v>
      </c>
      <c r="O96" s="251" t="e">
        <f t="shared" si="38"/>
        <v>#N/A</v>
      </c>
      <c r="P96" s="251">
        <f t="shared" si="48"/>
        <v>0</v>
      </c>
      <c r="Q96" s="251">
        <f t="shared" si="39"/>
        <v>0</v>
      </c>
      <c r="R96" s="251">
        <f t="shared" si="40"/>
        <v>0</v>
      </c>
      <c r="S96" s="251" t="e">
        <f t="shared" si="41"/>
        <v>#VALUE!</v>
      </c>
      <c r="T96" s="251">
        <f t="shared" si="28"/>
        <v>0</v>
      </c>
      <c r="U96" s="252">
        <f>TRUNC(T96*Condições!$C$102,2)</f>
        <v>0</v>
      </c>
      <c r="V96" s="199">
        <f t="shared" si="49"/>
        <v>0</v>
      </c>
      <c r="W96" s="161" t="e">
        <f t="shared" si="42"/>
        <v>#N/A</v>
      </c>
      <c r="X96" s="161" t="e">
        <f t="shared" si="43"/>
        <v>#N/A</v>
      </c>
      <c r="Y96" s="161">
        <f t="shared" si="50"/>
        <v>71</v>
      </c>
      <c r="Z96" s="161">
        <f t="shared" ca="1" si="51"/>
        <v>5</v>
      </c>
      <c r="AG96" s="114">
        <f t="shared" si="52"/>
        <v>0</v>
      </c>
      <c r="AH96" s="113"/>
      <c r="AI96" s="199">
        <f ca="1">IF(AL96=0,0,IF(AL96&gt;Preenchimento!$AA$88*12,0,IF($AC$53=AM96,0,1)))</f>
        <v>0</v>
      </c>
      <c r="AJ96" s="161" t="e">
        <f t="shared" ca="1" si="44"/>
        <v>#N/A</v>
      </c>
      <c r="AK96" s="161" t="e">
        <f t="shared" ca="1" si="45"/>
        <v>#N/A</v>
      </c>
      <c r="AL96" s="161">
        <f ca="1">IF(Y96&gt;(Preenchimento!$AA$90*12),0,Fixa!Y96)</f>
        <v>0</v>
      </c>
      <c r="AM96" s="161">
        <f t="shared" ca="1" si="53"/>
        <v>5</v>
      </c>
      <c r="AN96" s="199">
        <f ca="1">IF(AQ96&gt;Preenchimento!$AA$90*12,0,1)</f>
        <v>0</v>
      </c>
      <c r="AO96" s="161" t="e">
        <f ca="1">1/((1+SAC!$AD$29)^AL96)</f>
        <v>#N/A</v>
      </c>
      <c r="AP96" s="82" t="e">
        <f t="shared" ca="1" si="54"/>
        <v>#N/A</v>
      </c>
      <c r="AQ96" s="82">
        <v>71</v>
      </c>
      <c r="AS96" s="477">
        <f t="shared" ca="1" si="46"/>
        <v>0</v>
      </c>
    </row>
    <row r="97" spans="1:45" ht="12" customHeight="1">
      <c r="A97" s="53">
        <v>72</v>
      </c>
      <c r="B97" s="249">
        <f ca="1">DATE(IF(MONTH(B96)=12,YEAR(B96)+1,YEAR(B96)),IF(MONTH(B96)=12,1,MONTH(B96)+1),MIN(DAY(Condições!$C$109),IF(IF(MONTH(B96)=12,1,MONTH(B96)+1)=2,IF(MOD(IF(MONTH(B96)=12,YEAR(B96)+1,YEAR(B96)),4)=0,29,28),IF(OR(IF(MONTH(B96)=12,1,MONTH(B96)+1)=4,IF(MONTH(B96)=12,1,MONTH(B96)+1)=6,IF(MONTH(B96)=12,1,MONTH(B96)+1)=9,IF(MONTH(B96)=12,1,MONTH(B96)+1)=11),30,DAY($B$25)))))</f>
        <v>48381</v>
      </c>
      <c r="C97" s="250" t="str">
        <f t="shared" si="29"/>
        <v/>
      </c>
      <c r="D97" s="251" t="e">
        <f t="shared" si="30"/>
        <v>#N/A</v>
      </c>
      <c r="E97" s="251">
        <f t="shared" si="31"/>
        <v>0</v>
      </c>
      <c r="F97" s="251">
        <f t="shared" si="32"/>
        <v>0</v>
      </c>
      <c r="G97" s="251">
        <f t="shared" si="33"/>
        <v>0</v>
      </c>
      <c r="H97" s="251" t="e">
        <f t="shared" si="34"/>
        <v>#VALUE!</v>
      </c>
      <c r="I97" s="251">
        <f t="shared" si="35"/>
        <v>0</v>
      </c>
      <c r="J97" s="251">
        <f t="shared" si="47"/>
        <v>0</v>
      </c>
      <c r="K97" s="251">
        <f t="shared" si="36"/>
        <v>0</v>
      </c>
      <c r="L97" s="174"/>
      <c r="M97" s="224"/>
      <c r="N97" s="225">
        <f t="shared" si="37"/>
        <v>0</v>
      </c>
      <c r="O97" s="251" t="e">
        <f t="shared" si="38"/>
        <v>#N/A</v>
      </c>
      <c r="P97" s="251">
        <f t="shared" si="48"/>
        <v>0</v>
      </c>
      <c r="Q97" s="251">
        <f t="shared" si="39"/>
        <v>0</v>
      </c>
      <c r="R97" s="251">
        <f t="shared" si="40"/>
        <v>0</v>
      </c>
      <c r="S97" s="251" t="e">
        <f t="shared" si="41"/>
        <v>#VALUE!</v>
      </c>
      <c r="T97" s="251">
        <f t="shared" si="28"/>
        <v>0</v>
      </c>
      <c r="U97" s="252">
        <f>TRUNC(T97*Condições!$C$102,2)</f>
        <v>0</v>
      </c>
      <c r="V97" s="199">
        <f t="shared" si="49"/>
        <v>0</v>
      </c>
      <c r="W97" s="161" t="e">
        <f t="shared" si="42"/>
        <v>#N/A</v>
      </c>
      <c r="X97" s="161" t="e">
        <f t="shared" si="43"/>
        <v>#N/A</v>
      </c>
      <c r="Y97" s="161">
        <f t="shared" si="50"/>
        <v>72</v>
      </c>
      <c r="Z97" s="161">
        <f t="shared" ca="1" si="51"/>
        <v>6</v>
      </c>
      <c r="AG97" s="114">
        <f t="shared" si="52"/>
        <v>0</v>
      </c>
      <c r="AH97" s="113"/>
      <c r="AI97" s="199">
        <f ca="1">IF(AL97=0,0,IF(AL97&gt;Preenchimento!$AA$88*12,0,IF($AC$53=AM97,0,1)))</f>
        <v>0</v>
      </c>
      <c r="AJ97" s="161" t="e">
        <f t="shared" ca="1" si="44"/>
        <v>#N/A</v>
      </c>
      <c r="AK97" s="161" t="e">
        <f t="shared" ca="1" si="45"/>
        <v>#N/A</v>
      </c>
      <c r="AL97" s="161">
        <f ca="1">IF(Y97&gt;(Preenchimento!$AA$90*12),0,Fixa!Y97)</f>
        <v>0</v>
      </c>
      <c r="AM97" s="161">
        <f t="shared" ca="1" si="53"/>
        <v>6</v>
      </c>
      <c r="AN97" s="199">
        <f ca="1">IF(AQ97&gt;Preenchimento!$AA$90*12,0,1)</f>
        <v>0</v>
      </c>
      <c r="AO97" s="161" t="e">
        <f ca="1">1/((1+SAC!$AD$29)^AL97)</f>
        <v>#N/A</v>
      </c>
      <c r="AP97" s="82" t="e">
        <f t="shared" ca="1" si="54"/>
        <v>#N/A</v>
      </c>
      <c r="AQ97" s="82">
        <v>72</v>
      </c>
      <c r="AS97" s="477">
        <f t="shared" ca="1" si="46"/>
        <v>0</v>
      </c>
    </row>
    <row r="98" spans="1:45" ht="12" customHeight="1">
      <c r="A98" s="53">
        <v>73</v>
      </c>
      <c r="B98" s="249">
        <f ca="1">DATE(IF(MONTH(B97)=12,YEAR(B97)+1,YEAR(B97)),IF(MONTH(B97)=12,1,MONTH(B97)+1),MIN(DAY(Condições!$C$109),IF(IF(MONTH(B97)=12,1,MONTH(B97)+1)=2,IF(MOD(IF(MONTH(B97)=12,YEAR(B97)+1,YEAR(B97)),4)=0,29,28),IF(OR(IF(MONTH(B97)=12,1,MONTH(B97)+1)=4,IF(MONTH(B97)=12,1,MONTH(B97)+1)=6,IF(MONTH(B97)=12,1,MONTH(B97)+1)=9,IF(MONTH(B97)=12,1,MONTH(B97)+1)=11),30,DAY($B$25)))))</f>
        <v>48411</v>
      </c>
      <c r="C98" s="250" t="str">
        <f t="shared" si="29"/>
        <v/>
      </c>
      <c r="D98" s="251" t="e">
        <f t="shared" si="30"/>
        <v>#N/A</v>
      </c>
      <c r="E98" s="251">
        <f t="shared" si="31"/>
        <v>0</v>
      </c>
      <c r="F98" s="251">
        <f t="shared" si="32"/>
        <v>0</v>
      </c>
      <c r="G98" s="251">
        <f t="shared" si="33"/>
        <v>0</v>
      </c>
      <c r="H98" s="251" t="e">
        <f t="shared" si="34"/>
        <v>#VALUE!</v>
      </c>
      <c r="I98" s="251">
        <f t="shared" si="35"/>
        <v>0</v>
      </c>
      <c r="J98" s="251">
        <f t="shared" si="47"/>
        <v>0</v>
      </c>
      <c r="K98" s="251">
        <f t="shared" si="36"/>
        <v>0</v>
      </c>
      <c r="L98" s="174"/>
      <c r="M98" s="224"/>
      <c r="N98" s="225">
        <f t="shared" si="37"/>
        <v>0</v>
      </c>
      <c r="O98" s="251" t="e">
        <f t="shared" si="38"/>
        <v>#N/A</v>
      </c>
      <c r="P98" s="251">
        <f t="shared" si="48"/>
        <v>0</v>
      </c>
      <c r="Q98" s="251">
        <f t="shared" si="39"/>
        <v>0</v>
      </c>
      <c r="R98" s="251">
        <f t="shared" si="40"/>
        <v>0</v>
      </c>
      <c r="S98" s="251" t="e">
        <f t="shared" si="41"/>
        <v>#VALUE!</v>
      </c>
      <c r="T98" s="251">
        <f t="shared" si="28"/>
        <v>0</v>
      </c>
      <c r="U98" s="252">
        <f>TRUNC(T98*Condições!$C$102,2)</f>
        <v>0</v>
      </c>
      <c r="V98" s="199">
        <f t="shared" si="49"/>
        <v>0</v>
      </c>
      <c r="W98" s="161" t="e">
        <f t="shared" si="42"/>
        <v>#N/A</v>
      </c>
      <c r="X98" s="161" t="e">
        <f t="shared" si="43"/>
        <v>#N/A</v>
      </c>
      <c r="Y98" s="161">
        <f t="shared" si="50"/>
        <v>73</v>
      </c>
      <c r="Z98" s="161">
        <f t="shared" ca="1" si="51"/>
        <v>7</v>
      </c>
      <c r="AG98" s="114">
        <f t="shared" si="52"/>
        <v>0</v>
      </c>
      <c r="AH98" s="113"/>
      <c r="AI98" s="199">
        <f ca="1">IF(AL98=0,0,IF(AL98&gt;Preenchimento!$AA$88*12,0,IF($AC$53=AM98,0,1)))</f>
        <v>0</v>
      </c>
      <c r="AJ98" s="161" t="e">
        <f t="shared" ca="1" si="44"/>
        <v>#N/A</v>
      </c>
      <c r="AK98" s="161" t="e">
        <f t="shared" ca="1" si="45"/>
        <v>#N/A</v>
      </c>
      <c r="AL98" s="161">
        <f ca="1">IF(Y98&gt;(Preenchimento!$AA$90*12),0,Fixa!Y98)</f>
        <v>0</v>
      </c>
      <c r="AM98" s="161">
        <f t="shared" ca="1" si="53"/>
        <v>7</v>
      </c>
      <c r="AN98" s="199">
        <f ca="1">IF(AQ98&gt;Preenchimento!$AA$90*12,0,1)</f>
        <v>0</v>
      </c>
      <c r="AO98" s="161" t="e">
        <f ca="1">1/((1+SAC!$AD$29)^AL98)</f>
        <v>#N/A</v>
      </c>
      <c r="AP98" s="82" t="e">
        <f t="shared" ca="1" si="54"/>
        <v>#N/A</v>
      </c>
      <c r="AQ98" s="82">
        <v>73</v>
      </c>
      <c r="AS98" s="477">
        <f t="shared" ca="1" si="46"/>
        <v>0</v>
      </c>
    </row>
    <row r="99" spans="1:45" ht="12" customHeight="1">
      <c r="A99" s="53">
        <v>74</v>
      </c>
      <c r="B99" s="249">
        <f ca="1">DATE(IF(MONTH(B98)=12,YEAR(B98)+1,YEAR(B98)),IF(MONTH(B98)=12,1,MONTH(B98)+1),MIN(DAY(Condições!$C$109),IF(IF(MONTH(B98)=12,1,MONTH(B98)+1)=2,IF(MOD(IF(MONTH(B98)=12,YEAR(B98)+1,YEAR(B98)),4)=0,29,28),IF(OR(IF(MONTH(B98)=12,1,MONTH(B98)+1)=4,IF(MONTH(B98)=12,1,MONTH(B98)+1)=6,IF(MONTH(B98)=12,1,MONTH(B98)+1)=9,IF(MONTH(B98)=12,1,MONTH(B98)+1)=11),30,DAY($B$25)))))</f>
        <v>48442</v>
      </c>
      <c r="C99" s="250" t="str">
        <f t="shared" si="29"/>
        <v/>
      </c>
      <c r="D99" s="251" t="e">
        <f t="shared" si="30"/>
        <v>#N/A</v>
      </c>
      <c r="E99" s="251">
        <f t="shared" si="31"/>
        <v>0</v>
      </c>
      <c r="F99" s="251">
        <f t="shared" si="32"/>
        <v>0</v>
      </c>
      <c r="G99" s="251">
        <f t="shared" si="33"/>
        <v>0</v>
      </c>
      <c r="H99" s="251" t="e">
        <f t="shared" si="34"/>
        <v>#VALUE!</v>
      </c>
      <c r="I99" s="251">
        <f t="shared" si="35"/>
        <v>0</v>
      </c>
      <c r="J99" s="251">
        <f t="shared" si="47"/>
        <v>0</v>
      </c>
      <c r="K99" s="251">
        <f t="shared" si="36"/>
        <v>0</v>
      </c>
      <c r="L99" s="174"/>
      <c r="M99" s="224"/>
      <c r="N99" s="225">
        <f t="shared" si="37"/>
        <v>0</v>
      </c>
      <c r="O99" s="251" t="e">
        <f t="shared" si="38"/>
        <v>#N/A</v>
      </c>
      <c r="P99" s="251">
        <f t="shared" si="48"/>
        <v>0</v>
      </c>
      <c r="Q99" s="251">
        <f t="shared" si="39"/>
        <v>0</v>
      </c>
      <c r="R99" s="251">
        <f t="shared" si="40"/>
        <v>0</v>
      </c>
      <c r="S99" s="251" t="e">
        <f t="shared" si="41"/>
        <v>#VALUE!</v>
      </c>
      <c r="T99" s="251">
        <f t="shared" si="28"/>
        <v>0</v>
      </c>
      <c r="U99" s="252">
        <f>TRUNC(T99*Condições!$C$102,2)</f>
        <v>0</v>
      </c>
      <c r="V99" s="199">
        <f t="shared" si="49"/>
        <v>0</v>
      </c>
      <c r="W99" s="161" t="e">
        <f t="shared" si="42"/>
        <v>#N/A</v>
      </c>
      <c r="X99" s="161" t="e">
        <f t="shared" si="43"/>
        <v>#N/A</v>
      </c>
      <c r="Y99" s="161">
        <f t="shared" si="50"/>
        <v>74</v>
      </c>
      <c r="Z99" s="161">
        <f t="shared" ca="1" si="51"/>
        <v>8</v>
      </c>
      <c r="AG99" s="114">
        <f t="shared" si="52"/>
        <v>0</v>
      </c>
      <c r="AH99" s="113"/>
      <c r="AI99" s="199">
        <f ca="1">IF(AL99=0,0,IF(AL99&gt;Preenchimento!$AA$88*12,0,IF($AC$53=AM99,0,1)))</f>
        <v>0</v>
      </c>
      <c r="AJ99" s="161" t="e">
        <f t="shared" ca="1" si="44"/>
        <v>#N/A</v>
      </c>
      <c r="AK99" s="161" t="e">
        <f t="shared" ca="1" si="45"/>
        <v>#N/A</v>
      </c>
      <c r="AL99" s="161">
        <f ca="1">IF(Y99&gt;(Preenchimento!$AA$90*12),0,Fixa!Y99)</f>
        <v>0</v>
      </c>
      <c r="AM99" s="161">
        <f t="shared" ca="1" si="53"/>
        <v>8</v>
      </c>
      <c r="AN99" s="199">
        <f ca="1">IF(AQ99&gt;Preenchimento!$AA$90*12,0,1)</f>
        <v>0</v>
      </c>
      <c r="AO99" s="161" t="e">
        <f ca="1">1/((1+SAC!$AD$29)^AL99)</f>
        <v>#N/A</v>
      </c>
      <c r="AP99" s="82" t="e">
        <f t="shared" ca="1" si="54"/>
        <v>#N/A</v>
      </c>
      <c r="AQ99" s="82">
        <v>74</v>
      </c>
      <c r="AS99" s="477">
        <f t="shared" ca="1" si="46"/>
        <v>0</v>
      </c>
    </row>
    <row r="100" spans="1:45" ht="12" customHeight="1">
      <c r="A100" s="53">
        <v>75</v>
      </c>
      <c r="B100" s="249">
        <f ca="1">DATE(IF(MONTH(B99)=12,YEAR(B99)+1,YEAR(B99)),IF(MONTH(B99)=12,1,MONTH(B99)+1),MIN(DAY(Condições!$C$109),IF(IF(MONTH(B99)=12,1,MONTH(B99)+1)=2,IF(MOD(IF(MONTH(B99)=12,YEAR(B99)+1,YEAR(B99)),4)=0,29,28),IF(OR(IF(MONTH(B99)=12,1,MONTH(B99)+1)=4,IF(MONTH(B99)=12,1,MONTH(B99)+1)=6,IF(MONTH(B99)=12,1,MONTH(B99)+1)=9,IF(MONTH(B99)=12,1,MONTH(B99)+1)=11),30,DAY($B$25)))))</f>
        <v>48473</v>
      </c>
      <c r="C100" s="250" t="str">
        <f t="shared" si="29"/>
        <v/>
      </c>
      <c r="D100" s="251" t="e">
        <f t="shared" si="30"/>
        <v>#N/A</v>
      </c>
      <c r="E100" s="251">
        <f t="shared" si="31"/>
        <v>0</v>
      </c>
      <c r="F100" s="251">
        <f t="shared" si="32"/>
        <v>0</v>
      </c>
      <c r="G100" s="251">
        <f t="shared" si="33"/>
        <v>0</v>
      </c>
      <c r="H100" s="251" t="e">
        <f t="shared" si="34"/>
        <v>#VALUE!</v>
      </c>
      <c r="I100" s="251">
        <f t="shared" si="35"/>
        <v>0</v>
      </c>
      <c r="J100" s="251">
        <f t="shared" si="47"/>
        <v>0</v>
      </c>
      <c r="K100" s="251">
        <f t="shared" si="36"/>
        <v>0</v>
      </c>
      <c r="L100" s="174"/>
      <c r="M100" s="224"/>
      <c r="N100" s="225">
        <f t="shared" si="37"/>
        <v>0</v>
      </c>
      <c r="O100" s="251" t="e">
        <f t="shared" si="38"/>
        <v>#N/A</v>
      </c>
      <c r="P100" s="251">
        <f t="shared" si="48"/>
        <v>0</v>
      </c>
      <c r="Q100" s="251">
        <f t="shared" si="39"/>
        <v>0</v>
      </c>
      <c r="R100" s="251">
        <f t="shared" si="40"/>
        <v>0</v>
      </c>
      <c r="S100" s="251" t="e">
        <f t="shared" si="41"/>
        <v>#VALUE!</v>
      </c>
      <c r="T100" s="251">
        <f t="shared" si="28"/>
        <v>0</v>
      </c>
      <c r="U100" s="252">
        <f>TRUNC(T100*Condições!$C$102,2)</f>
        <v>0</v>
      </c>
      <c r="V100" s="199">
        <f t="shared" si="49"/>
        <v>0</v>
      </c>
      <c r="W100" s="161" t="e">
        <f t="shared" si="42"/>
        <v>#N/A</v>
      </c>
      <c r="X100" s="161" t="e">
        <f t="shared" si="43"/>
        <v>#N/A</v>
      </c>
      <c r="Y100" s="161">
        <f t="shared" si="50"/>
        <v>75</v>
      </c>
      <c r="Z100" s="161">
        <f t="shared" ca="1" si="51"/>
        <v>9</v>
      </c>
      <c r="AG100" s="114">
        <f t="shared" si="52"/>
        <v>0</v>
      </c>
      <c r="AH100" s="113"/>
      <c r="AI100" s="199">
        <f ca="1">IF(AL100=0,0,IF(AL100&gt;Preenchimento!$AA$88*12,0,IF($AC$53=AM100,0,1)))</f>
        <v>0</v>
      </c>
      <c r="AJ100" s="161" t="e">
        <f t="shared" ca="1" si="44"/>
        <v>#N/A</v>
      </c>
      <c r="AK100" s="161" t="e">
        <f t="shared" ca="1" si="45"/>
        <v>#N/A</v>
      </c>
      <c r="AL100" s="161">
        <f ca="1">IF(Y100&gt;(Preenchimento!$AA$90*12),0,Fixa!Y100)</f>
        <v>0</v>
      </c>
      <c r="AM100" s="161">
        <f t="shared" ca="1" si="53"/>
        <v>9</v>
      </c>
      <c r="AN100" s="199">
        <f ca="1">IF(AQ100&gt;Preenchimento!$AA$90*12,0,1)</f>
        <v>0</v>
      </c>
      <c r="AO100" s="161" t="e">
        <f ca="1">1/((1+SAC!$AD$29)^AL100)</f>
        <v>#N/A</v>
      </c>
      <c r="AP100" s="82" t="e">
        <f t="shared" ca="1" si="54"/>
        <v>#N/A</v>
      </c>
      <c r="AQ100" s="82">
        <v>75</v>
      </c>
      <c r="AS100" s="477">
        <f t="shared" ca="1" si="46"/>
        <v>0</v>
      </c>
    </row>
    <row r="101" spans="1:45" ht="12" customHeight="1">
      <c r="A101" s="53">
        <v>76</v>
      </c>
      <c r="B101" s="249">
        <f ca="1">DATE(IF(MONTH(B100)=12,YEAR(B100)+1,YEAR(B100)),IF(MONTH(B100)=12,1,MONTH(B100)+1),MIN(DAY(Condições!$C$109),IF(IF(MONTH(B100)=12,1,MONTH(B100)+1)=2,IF(MOD(IF(MONTH(B100)=12,YEAR(B100)+1,YEAR(B100)),4)=0,29,28),IF(OR(IF(MONTH(B100)=12,1,MONTH(B100)+1)=4,IF(MONTH(B100)=12,1,MONTH(B100)+1)=6,IF(MONTH(B100)=12,1,MONTH(B100)+1)=9,IF(MONTH(B100)=12,1,MONTH(B100)+1)=11),30,DAY($B$25)))))</f>
        <v>48503</v>
      </c>
      <c r="C101" s="250" t="str">
        <f t="shared" si="29"/>
        <v/>
      </c>
      <c r="D101" s="251" t="e">
        <f t="shared" si="30"/>
        <v>#N/A</v>
      </c>
      <c r="E101" s="251">
        <f t="shared" si="31"/>
        <v>0</v>
      </c>
      <c r="F101" s="251">
        <f t="shared" si="32"/>
        <v>0</v>
      </c>
      <c r="G101" s="251">
        <f t="shared" si="33"/>
        <v>0</v>
      </c>
      <c r="H101" s="251" t="e">
        <f t="shared" si="34"/>
        <v>#VALUE!</v>
      </c>
      <c r="I101" s="251">
        <f t="shared" si="35"/>
        <v>0</v>
      </c>
      <c r="J101" s="251">
        <f t="shared" si="47"/>
        <v>0</v>
      </c>
      <c r="K101" s="251">
        <f t="shared" si="36"/>
        <v>0</v>
      </c>
      <c r="L101" s="174"/>
      <c r="M101" s="224"/>
      <c r="N101" s="225">
        <f t="shared" si="37"/>
        <v>0</v>
      </c>
      <c r="O101" s="251" t="e">
        <f t="shared" si="38"/>
        <v>#N/A</v>
      </c>
      <c r="P101" s="251">
        <f t="shared" si="48"/>
        <v>0</v>
      </c>
      <c r="Q101" s="251">
        <f t="shared" si="39"/>
        <v>0</v>
      </c>
      <c r="R101" s="251">
        <f t="shared" si="40"/>
        <v>0</v>
      </c>
      <c r="S101" s="251" t="e">
        <f t="shared" si="41"/>
        <v>#VALUE!</v>
      </c>
      <c r="T101" s="251">
        <f t="shared" si="28"/>
        <v>0</v>
      </c>
      <c r="U101" s="252">
        <f>TRUNC(T101*Condições!$C$102,2)</f>
        <v>0</v>
      </c>
      <c r="V101" s="199">
        <f t="shared" si="49"/>
        <v>0</v>
      </c>
      <c r="W101" s="161" t="e">
        <f t="shared" si="42"/>
        <v>#N/A</v>
      </c>
      <c r="X101" s="161" t="e">
        <f t="shared" si="43"/>
        <v>#N/A</v>
      </c>
      <c r="Y101" s="161">
        <f t="shared" si="50"/>
        <v>76</v>
      </c>
      <c r="Z101" s="161">
        <f t="shared" ca="1" si="51"/>
        <v>10</v>
      </c>
      <c r="AG101" s="114">
        <f t="shared" si="52"/>
        <v>0</v>
      </c>
      <c r="AH101" s="113"/>
      <c r="AI101" s="199">
        <f ca="1">IF(AL101=0,0,IF(AL101&gt;Preenchimento!$AA$88*12,0,IF($AC$53=AM101,0,1)))</f>
        <v>0</v>
      </c>
      <c r="AJ101" s="161" t="e">
        <f t="shared" ca="1" si="44"/>
        <v>#N/A</v>
      </c>
      <c r="AK101" s="161" t="e">
        <f t="shared" ca="1" si="45"/>
        <v>#N/A</v>
      </c>
      <c r="AL101" s="161">
        <f ca="1">IF(Y101&gt;(Preenchimento!$AA$90*12),0,Fixa!Y101)</f>
        <v>0</v>
      </c>
      <c r="AM101" s="161">
        <f t="shared" ca="1" si="53"/>
        <v>10</v>
      </c>
      <c r="AN101" s="199">
        <f ca="1">IF(AQ101&gt;Preenchimento!$AA$90*12,0,1)</f>
        <v>0</v>
      </c>
      <c r="AO101" s="161" t="e">
        <f ca="1">1/((1+SAC!$AD$29)^AL101)</f>
        <v>#N/A</v>
      </c>
      <c r="AP101" s="82" t="e">
        <f t="shared" ca="1" si="54"/>
        <v>#N/A</v>
      </c>
      <c r="AQ101" s="82">
        <v>76</v>
      </c>
      <c r="AS101" s="477">
        <f t="shared" ca="1" si="46"/>
        <v>0</v>
      </c>
    </row>
    <row r="102" spans="1:45" ht="12" customHeight="1">
      <c r="A102" s="53">
        <v>77</v>
      </c>
      <c r="B102" s="249">
        <f ca="1">DATE(IF(MONTH(B101)=12,YEAR(B101)+1,YEAR(B101)),IF(MONTH(B101)=12,1,MONTH(B101)+1),MIN(DAY(Condições!$C$109),IF(IF(MONTH(B101)=12,1,MONTH(B101)+1)=2,IF(MOD(IF(MONTH(B101)=12,YEAR(B101)+1,YEAR(B101)),4)=0,29,28),IF(OR(IF(MONTH(B101)=12,1,MONTH(B101)+1)=4,IF(MONTH(B101)=12,1,MONTH(B101)+1)=6,IF(MONTH(B101)=12,1,MONTH(B101)+1)=9,IF(MONTH(B101)=12,1,MONTH(B101)+1)=11),30,DAY($B$25)))))</f>
        <v>48534</v>
      </c>
      <c r="C102" s="250" t="str">
        <f t="shared" si="29"/>
        <v/>
      </c>
      <c r="D102" s="251" t="e">
        <f t="shared" si="30"/>
        <v>#N/A</v>
      </c>
      <c r="E102" s="251">
        <f t="shared" si="31"/>
        <v>0</v>
      </c>
      <c r="F102" s="251">
        <f t="shared" si="32"/>
        <v>0</v>
      </c>
      <c r="G102" s="251">
        <f t="shared" si="33"/>
        <v>0</v>
      </c>
      <c r="H102" s="251" t="e">
        <f t="shared" si="34"/>
        <v>#VALUE!</v>
      </c>
      <c r="I102" s="251">
        <f t="shared" si="35"/>
        <v>0</v>
      </c>
      <c r="J102" s="251">
        <f t="shared" si="47"/>
        <v>0</v>
      </c>
      <c r="K102" s="251">
        <f t="shared" si="36"/>
        <v>0</v>
      </c>
      <c r="L102" s="174"/>
      <c r="M102" s="224"/>
      <c r="N102" s="225">
        <f t="shared" si="37"/>
        <v>0</v>
      </c>
      <c r="O102" s="251" t="e">
        <f t="shared" si="38"/>
        <v>#N/A</v>
      </c>
      <c r="P102" s="251">
        <f t="shared" si="48"/>
        <v>0</v>
      </c>
      <c r="Q102" s="251">
        <f t="shared" si="39"/>
        <v>0</v>
      </c>
      <c r="R102" s="251">
        <f t="shared" si="40"/>
        <v>0</v>
      </c>
      <c r="S102" s="251" t="e">
        <f t="shared" si="41"/>
        <v>#VALUE!</v>
      </c>
      <c r="T102" s="251">
        <f t="shared" si="28"/>
        <v>0</v>
      </c>
      <c r="U102" s="252">
        <f>TRUNC(T102*Condições!$C$102,2)</f>
        <v>0</v>
      </c>
      <c r="V102" s="199">
        <f t="shared" si="49"/>
        <v>0</v>
      </c>
      <c r="W102" s="161" t="e">
        <f t="shared" si="42"/>
        <v>#N/A</v>
      </c>
      <c r="X102" s="161" t="e">
        <f t="shared" si="43"/>
        <v>#N/A</v>
      </c>
      <c r="Y102" s="161">
        <f t="shared" si="50"/>
        <v>77</v>
      </c>
      <c r="Z102" s="161">
        <f t="shared" ca="1" si="51"/>
        <v>11</v>
      </c>
      <c r="AG102" s="114">
        <f t="shared" si="52"/>
        <v>0</v>
      </c>
      <c r="AH102" s="113"/>
      <c r="AI102" s="199">
        <f ca="1">IF(AL102=0,0,IF(AL102&gt;Preenchimento!$AA$88*12,0,IF($AC$53=AM102,0,1)))</f>
        <v>0</v>
      </c>
      <c r="AJ102" s="161" t="e">
        <f t="shared" ca="1" si="44"/>
        <v>#N/A</v>
      </c>
      <c r="AK102" s="161" t="e">
        <f t="shared" ca="1" si="45"/>
        <v>#N/A</v>
      </c>
      <c r="AL102" s="161">
        <f ca="1">IF(Y102&gt;(Preenchimento!$AA$90*12),0,Fixa!Y102)</f>
        <v>0</v>
      </c>
      <c r="AM102" s="161">
        <f t="shared" ca="1" si="53"/>
        <v>11</v>
      </c>
      <c r="AN102" s="199">
        <f ca="1">IF(AQ102&gt;Preenchimento!$AA$90*12,0,1)</f>
        <v>0</v>
      </c>
      <c r="AO102" s="161" t="e">
        <f ca="1">1/((1+SAC!$AD$29)^AL102)</f>
        <v>#N/A</v>
      </c>
      <c r="AP102" s="82" t="e">
        <f t="shared" ca="1" si="54"/>
        <v>#N/A</v>
      </c>
      <c r="AQ102" s="82">
        <v>77</v>
      </c>
      <c r="AS102" s="477">
        <f t="shared" ca="1" si="46"/>
        <v>0</v>
      </c>
    </row>
    <row r="103" spans="1:45" ht="12" customHeight="1">
      <c r="A103" s="53">
        <v>78</v>
      </c>
      <c r="B103" s="249">
        <f ca="1">DATE(IF(MONTH(B102)=12,YEAR(B102)+1,YEAR(B102)),IF(MONTH(B102)=12,1,MONTH(B102)+1),MIN(DAY(Condições!$C$109),IF(IF(MONTH(B102)=12,1,MONTH(B102)+1)=2,IF(MOD(IF(MONTH(B102)=12,YEAR(B102)+1,YEAR(B102)),4)=0,29,28),IF(OR(IF(MONTH(B102)=12,1,MONTH(B102)+1)=4,IF(MONTH(B102)=12,1,MONTH(B102)+1)=6,IF(MONTH(B102)=12,1,MONTH(B102)+1)=9,IF(MONTH(B102)=12,1,MONTH(B102)+1)=11),30,DAY($B$25)))))</f>
        <v>48564</v>
      </c>
      <c r="C103" s="250" t="str">
        <f t="shared" si="29"/>
        <v/>
      </c>
      <c r="D103" s="251" t="e">
        <f t="shared" si="30"/>
        <v>#N/A</v>
      </c>
      <c r="E103" s="251">
        <f t="shared" si="31"/>
        <v>0</v>
      </c>
      <c r="F103" s="251">
        <f t="shared" si="32"/>
        <v>0</v>
      </c>
      <c r="G103" s="251">
        <f t="shared" si="33"/>
        <v>0</v>
      </c>
      <c r="H103" s="251" t="e">
        <f t="shared" si="34"/>
        <v>#VALUE!</v>
      </c>
      <c r="I103" s="251">
        <f t="shared" si="35"/>
        <v>0</v>
      </c>
      <c r="J103" s="251">
        <f t="shared" si="47"/>
        <v>0</v>
      </c>
      <c r="K103" s="251">
        <f t="shared" si="36"/>
        <v>0</v>
      </c>
      <c r="L103" s="174"/>
      <c r="M103" s="224"/>
      <c r="N103" s="225">
        <f t="shared" si="37"/>
        <v>0</v>
      </c>
      <c r="O103" s="251" t="e">
        <f t="shared" si="38"/>
        <v>#N/A</v>
      </c>
      <c r="P103" s="251">
        <f t="shared" si="48"/>
        <v>0</v>
      </c>
      <c r="Q103" s="251">
        <f t="shared" si="39"/>
        <v>0</v>
      </c>
      <c r="R103" s="251">
        <f t="shared" si="40"/>
        <v>0</v>
      </c>
      <c r="S103" s="251" t="e">
        <f t="shared" si="41"/>
        <v>#VALUE!</v>
      </c>
      <c r="T103" s="251">
        <f t="shared" si="28"/>
        <v>0</v>
      </c>
      <c r="U103" s="252">
        <f>TRUNC(T103*Condições!$C$102,2)</f>
        <v>0</v>
      </c>
      <c r="V103" s="199">
        <f t="shared" si="49"/>
        <v>0</v>
      </c>
      <c r="W103" s="161" t="e">
        <f t="shared" si="42"/>
        <v>#N/A</v>
      </c>
      <c r="X103" s="161" t="e">
        <f t="shared" si="43"/>
        <v>#N/A</v>
      </c>
      <c r="Y103" s="161">
        <f t="shared" si="50"/>
        <v>78</v>
      </c>
      <c r="Z103" s="161">
        <f t="shared" ca="1" si="51"/>
        <v>12</v>
      </c>
      <c r="AG103" s="114">
        <f t="shared" si="52"/>
        <v>0</v>
      </c>
      <c r="AH103" s="113"/>
      <c r="AI103" s="199">
        <f ca="1">IF(AL103=0,0,IF(AL103&gt;Preenchimento!$AA$88*12,0,IF($AC$53=AM103,0,1)))</f>
        <v>0</v>
      </c>
      <c r="AJ103" s="161" t="e">
        <f t="shared" ca="1" si="44"/>
        <v>#N/A</v>
      </c>
      <c r="AK103" s="161" t="e">
        <f t="shared" ca="1" si="45"/>
        <v>#N/A</v>
      </c>
      <c r="AL103" s="161">
        <f ca="1">IF(Y103&gt;(Preenchimento!$AA$90*12),0,Fixa!Y103)</f>
        <v>0</v>
      </c>
      <c r="AM103" s="161">
        <f t="shared" ca="1" si="53"/>
        <v>12</v>
      </c>
      <c r="AN103" s="199">
        <f ca="1">IF(AQ103&gt;Preenchimento!$AA$90*12,0,1)</f>
        <v>0</v>
      </c>
      <c r="AO103" s="161" t="e">
        <f ca="1">1/((1+SAC!$AD$29)^AL103)</f>
        <v>#N/A</v>
      </c>
      <c r="AP103" s="82" t="e">
        <f t="shared" ca="1" si="54"/>
        <v>#N/A</v>
      </c>
      <c r="AQ103" s="82">
        <v>78</v>
      </c>
      <c r="AS103" s="477">
        <f t="shared" ca="1" si="46"/>
        <v>0</v>
      </c>
    </row>
    <row r="104" spans="1:45" ht="12" customHeight="1">
      <c r="A104" s="53">
        <v>79</v>
      </c>
      <c r="B104" s="249">
        <f ca="1">DATE(IF(MONTH(B103)=12,YEAR(B103)+1,YEAR(B103)),IF(MONTH(B103)=12,1,MONTH(B103)+1),MIN(DAY(Condições!$C$109),IF(IF(MONTH(B103)=12,1,MONTH(B103)+1)=2,IF(MOD(IF(MONTH(B103)=12,YEAR(B103)+1,YEAR(B103)),4)=0,29,28),IF(OR(IF(MONTH(B103)=12,1,MONTH(B103)+1)=4,IF(MONTH(B103)=12,1,MONTH(B103)+1)=6,IF(MONTH(B103)=12,1,MONTH(B103)+1)=9,IF(MONTH(B103)=12,1,MONTH(B103)+1)=11),30,DAY($B$25)))))</f>
        <v>48595</v>
      </c>
      <c r="C104" s="250" t="str">
        <f t="shared" si="29"/>
        <v/>
      </c>
      <c r="D104" s="251" t="e">
        <f t="shared" si="30"/>
        <v>#N/A</v>
      </c>
      <c r="E104" s="251">
        <f t="shared" si="31"/>
        <v>0</v>
      </c>
      <c r="F104" s="251">
        <f t="shared" si="32"/>
        <v>0</v>
      </c>
      <c r="G104" s="251">
        <f t="shared" si="33"/>
        <v>0</v>
      </c>
      <c r="H104" s="251" t="e">
        <f t="shared" si="34"/>
        <v>#VALUE!</v>
      </c>
      <c r="I104" s="251">
        <f t="shared" si="35"/>
        <v>0</v>
      </c>
      <c r="J104" s="251">
        <f t="shared" si="47"/>
        <v>0</v>
      </c>
      <c r="K104" s="251">
        <f t="shared" si="36"/>
        <v>0</v>
      </c>
      <c r="L104" s="174"/>
      <c r="M104" s="224"/>
      <c r="N104" s="225">
        <f t="shared" si="37"/>
        <v>0</v>
      </c>
      <c r="O104" s="251" t="e">
        <f t="shared" si="38"/>
        <v>#N/A</v>
      </c>
      <c r="P104" s="251">
        <f t="shared" si="48"/>
        <v>0</v>
      </c>
      <c r="Q104" s="251">
        <f t="shared" si="39"/>
        <v>0</v>
      </c>
      <c r="R104" s="251">
        <f t="shared" si="40"/>
        <v>0</v>
      </c>
      <c r="S104" s="251" t="e">
        <f t="shared" si="41"/>
        <v>#VALUE!</v>
      </c>
      <c r="T104" s="251">
        <f t="shared" si="28"/>
        <v>0</v>
      </c>
      <c r="U104" s="252">
        <f>TRUNC(T104*Condições!$C$102,2)</f>
        <v>0</v>
      </c>
      <c r="V104" s="199">
        <f t="shared" si="49"/>
        <v>0</v>
      </c>
      <c r="W104" s="161" t="e">
        <f t="shared" si="42"/>
        <v>#N/A</v>
      </c>
      <c r="X104" s="161" t="e">
        <f t="shared" si="43"/>
        <v>#N/A</v>
      </c>
      <c r="Y104" s="161">
        <f t="shared" si="50"/>
        <v>79</v>
      </c>
      <c r="Z104" s="161">
        <f t="shared" ca="1" si="51"/>
        <v>1</v>
      </c>
      <c r="AG104" s="114">
        <f t="shared" si="52"/>
        <v>0</v>
      </c>
      <c r="AH104" s="113"/>
      <c r="AI104" s="199">
        <f ca="1">IF(AL104=0,0,IF(AL104&gt;Preenchimento!$AA$88*12,0,IF($AC$53=AM104,0,1)))</f>
        <v>0</v>
      </c>
      <c r="AJ104" s="161" t="e">
        <f t="shared" ca="1" si="44"/>
        <v>#N/A</v>
      </c>
      <c r="AK104" s="161" t="e">
        <f t="shared" ca="1" si="45"/>
        <v>#N/A</v>
      </c>
      <c r="AL104" s="161">
        <f ca="1">IF(Y104&gt;(Preenchimento!$AA$90*12),0,Fixa!Y104)</f>
        <v>0</v>
      </c>
      <c r="AM104" s="161">
        <f t="shared" ca="1" si="53"/>
        <v>1</v>
      </c>
      <c r="AN104" s="199">
        <f ca="1">IF(AQ104&gt;Preenchimento!$AA$90*12,0,1)</f>
        <v>0</v>
      </c>
      <c r="AO104" s="161" t="e">
        <f ca="1">1/((1+SAC!$AD$29)^AL104)</f>
        <v>#N/A</v>
      </c>
      <c r="AP104" s="82" t="e">
        <f t="shared" ca="1" si="54"/>
        <v>#N/A</v>
      </c>
      <c r="AQ104" s="82">
        <v>79</v>
      </c>
      <c r="AS104" s="477">
        <f t="shared" ca="1" si="46"/>
        <v>0</v>
      </c>
    </row>
    <row r="105" spans="1:45" ht="12" customHeight="1">
      <c r="A105" s="53">
        <v>80</v>
      </c>
      <c r="B105" s="249">
        <f ca="1">DATE(IF(MONTH(B104)=12,YEAR(B104)+1,YEAR(B104)),IF(MONTH(B104)=12,1,MONTH(B104)+1),MIN(DAY(Condições!$C$109),IF(IF(MONTH(B104)=12,1,MONTH(B104)+1)=2,IF(MOD(IF(MONTH(B104)=12,YEAR(B104)+1,YEAR(B104)),4)=0,29,28),IF(OR(IF(MONTH(B104)=12,1,MONTH(B104)+1)=4,IF(MONTH(B104)=12,1,MONTH(B104)+1)=6,IF(MONTH(B104)=12,1,MONTH(B104)+1)=9,IF(MONTH(B104)=12,1,MONTH(B104)+1)=11),30,DAY($B$25)))))</f>
        <v>48626</v>
      </c>
      <c r="C105" s="250" t="str">
        <f t="shared" si="29"/>
        <v/>
      </c>
      <c r="D105" s="251" t="e">
        <f t="shared" si="30"/>
        <v>#N/A</v>
      </c>
      <c r="E105" s="251">
        <f t="shared" si="31"/>
        <v>0</v>
      </c>
      <c r="F105" s="251">
        <f t="shared" si="32"/>
        <v>0</v>
      </c>
      <c r="G105" s="251">
        <f t="shared" si="33"/>
        <v>0</v>
      </c>
      <c r="H105" s="251" t="e">
        <f t="shared" si="34"/>
        <v>#VALUE!</v>
      </c>
      <c r="I105" s="251">
        <f t="shared" si="35"/>
        <v>0</v>
      </c>
      <c r="J105" s="251">
        <f t="shared" si="47"/>
        <v>0</v>
      </c>
      <c r="K105" s="251">
        <f t="shared" si="36"/>
        <v>0</v>
      </c>
      <c r="L105" s="174"/>
      <c r="M105" s="224"/>
      <c r="N105" s="225">
        <f t="shared" si="37"/>
        <v>0</v>
      </c>
      <c r="O105" s="251" t="e">
        <f t="shared" si="38"/>
        <v>#N/A</v>
      </c>
      <c r="P105" s="251">
        <f t="shared" si="48"/>
        <v>0</v>
      </c>
      <c r="Q105" s="251">
        <f t="shared" si="39"/>
        <v>0</v>
      </c>
      <c r="R105" s="251">
        <f t="shared" si="40"/>
        <v>0</v>
      </c>
      <c r="S105" s="251" t="e">
        <f t="shared" si="41"/>
        <v>#VALUE!</v>
      </c>
      <c r="T105" s="251">
        <f t="shared" si="28"/>
        <v>0</v>
      </c>
      <c r="U105" s="252">
        <f>TRUNC(T105*Condições!$C$102,2)</f>
        <v>0</v>
      </c>
      <c r="V105" s="199">
        <f t="shared" si="49"/>
        <v>0</v>
      </c>
      <c r="W105" s="161" t="e">
        <f t="shared" si="42"/>
        <v>#N/A</v>
      </c>
      <c r="X105" s="161" t="e">
        <f t="shared" si="43"/>
        <v>#N/A</v>
      </c>
      <c r="Y105" s="161">
        <f t="shared" si="50"/>
        <v>80</v>
      </c>
      <c r="Z105" s="161">
        <f t="shared" ca="1" si="51"/>
        <v>2</v>
      </c>
      <c r="AG105" s="114">
        <f t="shared" si="52"/>
        <v>0</v>
      </c>
      <c r="AH105" s="113"/>
      <c r="AI105" s="199">
        <f ca="1">IF(AL105=0,0,IF(AL105&gt;Preenchimento!$AA$88*12,0,IF($AC$53=AM105,0,1)))</f>
        <v>0</v>
      </c>
      <c r="AJ105" s="161" t="e">
        <f t="shared" ca="1" si="44"/>
        <v>#N/A</v>
      </c>
      <c r="AK105" s="161" t="e">
        <f t="shared" ca="1" si="45"/>
        <v>#N/A</v>
      </c>
      <c r="AL105" s="161">
        <f ca="1">IF(Y105&gt;(Preenchimento!$AA$90*12),0,Fixa!Y105)</f>
        <v>0</v>
      </c>
      <c r="AM105" s="161">
        <f t="shared" ca="1" si="53"/>
        <v>2</v>
      </c>
      <c r="AN105" s="199">
        <f ca="1">IF(AQ105&gt;Preenchimento!$AA$90*12,0,1)</f>
        <v>0</v>
      </c>
      <c r="AO105" s="161" t="e">
        <f ca="1">1/((1+SAC!$AD$29)^AL105)</f>
        <v>#N/A</v>
      </c>
      <c r="AP105" s="82" t="e">
        <f t="shared" ca="1" si="54"/>
        <v>#N/A</v>
      </c>
      <c r="AQ105" s="82">
        <v>80</v>
      </c>
      <c r="AS105" s="477">
        <f t="shared" ca="1" si="46"/>
        <v>0</v>
      </c>
    </row>
    <row r="106" spans="1:45" ht="12" customHeight="1">
      <c r="A106" s="53">
        <v>81</v>
      </c>
      <c r="B106" s="249">
        <f ca="1">DATE(IF(MONTH(B105)=12,YEAR(B105)+1,YEAR(B105)),IF(MONTH(B105)=12,1,MONTH(B105)+1),MIN(DAY(Condições!$C$109),IF(IF(MONTH(B105)=12,1,MONTH(B105)+1)=2,IF(MOD(IF(MONTH(B105)=12,YEAR(B105)+1,YEAR(B105)),4)=0,29,28),IF(OR(IF(MONTH(B105)=12,1,MONTH(B105)+1)=4,IF(MONTH(B105)=12,1,MONTH(B105)+1)=6,IF(MONTH(B105)=12,1,MONTH(B105)+1)=9,IF(MONTH(B105)=12,1,MONTH(B105)+1)=11),30,DAY($B$25)))))</f>
        <v>48654</v>
      </c>
      <c r="C106" s="250" t="str">
        <f t="shared" si="29"/>
        <v/>
      </c>
      <c r="D106" s="251" t="e">
        <f t="shared" si="30"/>
        <v>#N/A</v>
      </c>
      <c r="E106" s="251">
        <f t="shared" si="31"/>
        <v>0</v>
      </c>
      <c r="F106" s="251">
        <f t="shared" si="32"/>
        <v>0</v>
      </c>
      <c r="G106" s="251">
        <f t="shared" si="33"/>
        <v>0</v>
      </c>
      <c r="H106" s="251" t="e">
        <f t="shared" si="34"/>
        <v>#VALUE!</v>
      </c>
      <c r="I106" s="251">
        <f t="shared" si="35"/>
        <v>0</v>
      </c>
      <c r="J106" s="251">
        <f t="shared" si="47"/>
        <v>0</v>
      </c>
      <c r="K106" s="251">
        <f t="shared" si="36"/>
        <v>0</v>
      </c>
      <c r="L106" s="174"/>
      <c r="M106" s="224"/>
      <c r="N106" s="225">
        <f t="shared" si="37"/>
        <v>0</v>
      </c>
      <c r="O106" s="251" t="e">
        <f t="shared" si="38"/>
        <v>#N/A</v>
      </c>
      <c r="P106" s="251">
        <f t="shared" si="48"/>
        <v>0</v>
      </c>
      <c r="Q106" s="251">
        <f t="shared" si="39"/>
        <v>0</v>
      </c>
      <c r="R106" s="251">
        <f t="shared" si="40"/>
        <v>0</v>
      </c>
      <c r="S106" s="251" t="e">
        <f t="shared" si="41"/>
        <v>#VALUE!</v>
      </c>
      <c r="T106" s="251">
        <f t="shared" si="28"/>
        <v>0</v>
      </c>
      <c r="U106" s="252">
        <f>TRUNC(T106*Condições!$C$102,2)</f>
        <v>0</v>
      </c>
      <c r="V106" s="199">
        <f t="shared" si="49"/>
        <v>0</v>
      </c>
      <c r="W106" s="161" t="e">
        <f t="shared" si="42"/>
        <v>#N/A</v>
      </c>
      <c r="X106" s="161" t="e">
        <f t="shared" si="43"/>
        <v>#N/A</v>
      </c>
      <c r="Y106" s="161">
        <f t="shared" si="50"/>
        <v>81</v>
      </c>
      <c r="Z106" s="161">
        <f t="shared" ca="1" si="51"/>
        <v>3</v>
      </c>
      <c r="AG106" s="114">
        <f t="shared" si="52"/>
        <v>0</v>
      </c>
      <c r="AH106" s="113"/>
      <c r="AI106" s="199">
        <f ca="1">IF(AL106=0,0,IF(AL106&gt;Preenchimento!$AA$88*12,0,IF($AC$53=AM106,0,1)))</f>
        <v>0</v>
      </c>
      <c r="AJ106" s="161" t="e">
        <f t="shared" ca="1" si="44"/>
        <v>#N/A</v>
      </c>
      <c r="AK106" s="161" t="e">
        <f t="shared" ca="1" si="45"/>
        <v>#N/A</v>
      </c>
      <c r="AL106" s="161">
        <f ca="1">IF(Y106&gt;(Preenchimento!$AA$90*12),0,Fixa!Y106)</f>
        <v>0</v>
      </c>
      <c r="AM106" s="161">
        <f t="shared" ca="1" si="53"/>
        <v>3</v>
      </c>
      <c r="AN106" s="199">
        <f ca="1">IF(AQ106&gt;Preenchimento!$AA$90*12,0,1)</f>
        <v>0</v>
      </c>
      <c r="AO106" s="161" t="e">
        <f ca="1">1/((1+SAC!$AD$29)^AL106)</f>
        <v>#N/A</v>
      </c>
      <c r="AP106" s="82" t="e">
        <f t="shared" ca="1" si="54"/>
        <v>#N/A</v>
      </c>
      <c r="AQ106" s="82">
        <v>81</v>
      </c>
      <c r="AS106" s="477">
        <f t="shared" ca="1" si="46"/>
        <v>0</v>
      </c>
    </row>
    <row r="107" spans="1:45" ht="12" customHeight="1">
      <c r="A107" s="53">
        <v>82</v>
      </c>
      <c r="B107" s="249">
        <f ca="1">DATE(IF(MONTH(B106)=12,YEAR(B106)+1,YEAR(B106)),IF(MONTH(B106)=12,1,MONTH(B106)+1),MIN(DAY(Condições!$C$109),IF(IF(MONTH(B106)=12,1,MONTH(B106)+1)=2,IF(MOD(IF(MONTH(B106)=12,YEAR(B106)+1,YEAR(B106)),4)=0,29,28),IF(OR(IF(MONTH(B106)=12,1,MONTH(B106)+1)=4,IF(MONTH(B106)=12,1,MONTH(B106)+1)=6,IF(MONTH(B106)=12,1,MONTH(B106)+1)=9,IF(MONTH(B106)=12,1,MONTH(B106)+1)=11),30,DAY($B$25)))))</f>
        <v>48685</v>
      </c>
      <c r="C107" s="250" t="str">
        <f t="shared" si="29"/>
        <v/>
      </c>
      <c r="D107" s="251" t="e">
        <f t="shared" si="30"/>
        <v>#N/A</v>
      </c>
      <c r="E107" s="251">
        <f t="shared" si="31"/>
        <v>0</v>
      </c>
      <c r="F107" s="251">
        <f t="shared" si="32"/>
        <v>0</v>
      </c>
      <c r="G107" s="251">
        <f t="shared" si="33"/>
        <v>0</v>
      </c>
      <c r="H107" s="251" t="e">
        <f t="shared" si="34"/>
        <v>#VALUE!</v>
      </c>
      <c r="I107" s="251">
        <f t="shared" si="35"/>
        <v>0</v>
      </c>
      <c r="J107" s="251">
        <f t="shared" si="47"/>
        <v>0</v>
      </c>
      <c r="K107" s="251">
        <f t="shared" si="36"/>
        <v>0</v>
      </c>
      <c r="L107" s="174"/>
      <c r="M107" s="224"/>
      <c r="N107" s="225">
        <f t="shared" si="37"/>
        <v>0</v>
      </c>
      <c r="O107" s="251" t="e">
        <f t="shared" si="38"/>
        <v>#N/A</v>
      </c>
      <c r="P107" s="251">
        <f t="shared" si="48"/>
        <v>0</v>
      </c>
      <c r="Q107" s="251">
        <f t="shared" si="39"/>
        <v>0</v>
      </c>
      <c r="R107" s="251">
        <f t="shared" si="40"/>
        <v>0</v>
      </c>
      <c r="S107" s="251" t="e">
        <f t="shared" si="41"/>
        <v>#VALUE!</v>
      </c>
      <c r="T107" s="251">
        <f t="shared" si="28"/>
        <v>0</v>
      </c>
      <c r="U107" s="252">
        <f>TRUNC(T107*Condições!$C$102,2)</f>
        <v>0</v>
      </c>
      <c r="V107" s="199">
        <f t="shared" si="49"/>
        <v>0</v>
      </c>
      <c r="W107" s="161" t="e">
        <f t="shared" si="42"/>
        <v>#N/A</v>
      </c>
      <c r="X107" s="161" t="e">
        <f t="shared" si="43"/>
        <v>#N/A</v>
      </c>
      <c r="Y107" s="161">
        <f t="shared" si="50"/>
        <v>82</v>
      </c>
      <c r="Z107" s="161">
        <f t="shared" ca="1" si="51"/>
        <v>4</v>
      </c>
      <c r="AG107" s="114">
        <f t="shared" si="52"/>
        <v>0</v>
      </c>
      <c r="AH107" s="113"/>
      <c r="AI107" s="199">
        <f ca="1">IF(AL107=0,0,IF(AL107&gt;Preenchimento!$AA$88*12,0,IF($AC$53=AM107,0,1)))</f>
        <v>0</v>
      </c>
      <c r="AJ107" s="161" t="e">
        <f t="shared" ca="1" si="44"/>
        <v>#N/A</v>
      </c>
      <c r="AK107" s="161" t="e">
        <f t="shared" ca="1" si="45"/>
        <v>#N/A</v>
      </c>
      <c r="AL107" s="161">
        <f ca="1">IF(Y107&gt;(Preenchimento!$AA$90*12),0,Fixa!Y107)</f>
        <v>0</v>
      </c>
      <c r="AM107" s="161">
        <f t="shared" ca="1" si="53"/>
        <v>4</v>
      </c>
      <c r="AN107" s="199">
        <f ca="1">IF(AQ107&gt;Preenchimento!$AA$90*12,0,1)</f>
        <v>0</v>
      </c>
      <c r="AO107" s="161" t="e">
        <f ca="1">1/((1+SAC!$AD$29)^AL107)</f>
        <v>#N/A</v>
      </c>
      <c r="AP107" s="82" t="e">
        <f t="shared" ca="1" si="54"/>
        <v>#N/A</v>
      </c>
      <c r="AQ107" s="82">
        <v>82</v>
      </c>
      <c r="AS107" s="477">
        <f t="shared" ca="1" si="46"/>
        <v>0</v>
      </c>
    </row>
    <row r="108" spans="1:45" ht="12" customHeight="1">
      <c r="A108" s="53">
        <v>83</v>
      </c>
      <c r="B108" s="249">
        <f ca="1">DATE(IF(MONTH(B107)=12,YEAR(B107)+1,YEAR(B107)),IF(MONTH(B107)=12,1,MONTH(B107)+1),MIN(DAY(Condições!$C$109),IF(IF(MONTH(B107)=12,1,MONTH(B107)+1)=2,IF(MOD(IF(MONTH(B107)=12,YEAR(B107)+1,YEAR(B107)),4)=0,29,28),IF(OR(IF(MONTH(B107)=12,1,MONTH(B107)+1)=4,IF(MONTH(B107)=12,1,MONTH(B107)+1)=6,IF(MONTH(B107)=12,1,MONTH(B107)+1)=9,IF(MONTH(B107)=12,1,MONTH(B107)+1)=11),30,DAY($B$25)))))</f>
        <v>48715</v>
      </c>
      <c r="C108" s="250" t="str">
        <f t="shared" si="29"/>
        <v/>
      </c>
      <c r="D108" s="251" t="e">
        <f t="shared" si="30"/>
        <v>#N/A</v>
      </c>
      <c r="E108" s="251">
        <f t="shared" si="31"/>
        <v>0</v>
      </c>
      <c r="F108" s="251">
        <f t="shared" si="32"/>
        <v>0</v>
      </c>
      <c r="G108" s="251">
        <f t="shared" si="33"/>
        <v>0</v>
      </c>
      <c r="H108" s="251" t="e">
        <f t="shared" si="34"/>
        <v>#VALUE!</v>
      </c>
      <c r="I108" s="251">
        <f t="shared" si="35"/>
        <v>0</v>
      </c>
      <c r="J108" s="251">
        <f t="shared" si="47"/>
        <v>0</v>
      </c>
      <c r="K108" s="251">
        <f t="shared" si="36"/>
        <v>0</v>
      </c>
      <c r="L108" s="174"/>
      <c r="M108" s="224"/>
      <c r="N108" s="225">
        <f t="shared" si="37"/>
        <v>0</v>
      </c>
      <c r="O108" s="251" t="e">
        <f t="shared" si="38"/>
        <v>#N/A</v>
      </c>
      <c r="P108" s="251">
        <f t="shared" si="48"/>
        <v>0</v>
      </c>
      <c r="Q108" s="251">
        <f t="shared" si="39"/>
        <v>0</v>
      </c>
      <c r="R108" s="251">
        <f t="shared" si="40"/>
        <v>0</v>
      </c>
      <c r="S108" s="251" t="e">
        <f t="shared" si="41"/>
        <v>#VALUE!</v>
      </c>
      <c r="T108" s="251">
        <f t="shared" si="28"/>
        <v>0</v>
      </c>
      <c r="U108" s="252">
        <f>TRUNC(T108*Condições!$C$102,2)</f>
        <v>0</v>
      </c>
      <c r="V108" s="199">
        <f t="shared" si="49"/>
        <v>0</v>
      </c>
      <c r="W108" s="161" t="e">
        <f t="shared" si="42"/>
        <v>#N/A</v>
      </c>
      <c r="X108" s="161" t="e">
        <f t="shared" si="43"/>
        <v>#N/A</v>
      </c>
      <c r="Y108" s="161">
        <f t="shared" si="50"/>
        <v>83</v>
      </c>
      <c r="Z108" s="161">
        <f t="shared" ca="1" si="51"/>
        <v>5</v>
      </c>
      <c r="AG108" s="114">
        <f t="shared" si="52"/>
        <v>0</v>
      </c>
      <c r="AH108" s="113"/>
      <c r="AI108" s="199">
        <f ca="1">IF(AL108=0,0,IF(AL108&gt;Preenchimento!$AA$88*12,0,IF($AC$53=AM108,0,1)))</f>
        <v>0</v>
      </c>
      <c r="AJ108" s="161" t="e">
        <f t="shared" ca="1" si="44"/>
        <v>#N/A</v>
      </c>
      <c r="AK108" s="161" t="e">
        <f t="shared" ca="1" si="45"/>
        <v>#N/A</v>
      </c>
      <c r="AL108" s="161">
        <f ca="1">IF(Y108&gt;(Preenchimento!$AA$90*12),0,Fixa!Y108)</f>
        <v>0</v>
      </c>
      <c r="AM108" s="161">
        <f t="shared" ca="1" si="53"/>
        <v>5</v>
      </c>
      <c r="AN108" s="199">
        <f ca="1">IF(AQ108&gt;Preenchimento!$AA$90*12,0,1)</f>
        <v>0</v>
      </c>
      <c r="AO108" s="161" t="e">
        <f ca="1">1/((1+SAC!$AD$29)^AL108)</f>
        <v>#N/A</v>
      </c>
      <c r="AP108" s="82" t="e">
        <f t="shared" ca="1" si="54"/>
        <v>#N/A</v>
      </c>
      <c r="AQ108" s="82">
        <v>83</v>
      </c>
      <c r="AS108" s="477">
        <f t="shared" ca="1" si="46"/>
        <v>0</v>
      </c>
    </row>
    <row r="109" spans="1:45" ht="12" customHeight="1">
      <c r="A109" s="53">
        <v>84</v>
      </c>
      <c r="B109" s="249">
        <f ca="1">DATE(IF(MONTH(B108)=12,YEAR(B108)+1,YEAR(B108)),IF(MONTH(B108)=12,1,MONTH(B108)+1),MIN(DAY(Condições!$C$109),IF(IF(MONTH(B108)=12,1,MONTH(B108)+1)=2,IF(MOD(IF(MONTH(B108)=12,YEAR(B108)+1,YEAR(B108)),4)=0,29,28),IF(OR(IF(MONTH(B108)=12,1,MONTH(B108)+1)=4,IF(MONTH(B108)=12,1,MONTH(B108)+1)=6,IF(MONTH(B108)=12,1,MONTH(B108)+1)=9,IF(MONTH(B108)=12,1,MONTH(B108)+1)=11),30,DAY($B$25)))))</f>
        <v>48746</v>
      </c>
      <c r="C109" s="250" t="str">
        <f t="shared" si="29"/>
        <v/>
      </c>
      <c r="D109" s="251" t="e">
        <f t="shared" si="30"/>
        <v>#N/A</v>
      </c>
      <c r="E109" s="251">
        <f t="shared" si="31"/>
        <v>0</v>
      </c>
      <c r="F109" s="251">
        <f t="shared" si="32"/>
        <v>0</v>
      </c>
      <c r="G109" s="251">
        <f t="shared" si="33"/>
        <v>0</v>
      </c>
      <c r="H109" s="251" t="e">
        <f t="shared" si="34"/>
        <v>#VALUE!</v>
      </c>
      <c r="I109" s="251">
        <f t="shared" si="35"/>
        <v>0</v>
      </c>
      <c r="J109" s="251">
        <f t="shared" si="47"/>
        <v>0</v>
      </c>
      <c r="K109" s="251">
        <f t="shared" si="36"/>
        <v>0</v>
      </c>
      <c r="L109" s="174"/>
      <c r="M109" s="224"/>
      <c r="N109" s="225">
        <f t="shared" si="37"/>
        <v>0</v>
      </c>
      <c r="O109" s="251" t="e">
        <f t="shared" si="38"/>
        <v>#N/A</v>
      </c>
      <c r="P109" s="251">
        <f t="shared" si="48"/>
        <v>0</v>
      </c>
      <c r="Q109" s="251">
        <f t="shared" si="39"/>
        <v>0</v>
      </c>
      <c r="R109" s="251">
        <f t="shared" si="40"/>
        <v>0</v>
      </c>
      <c r="S109" s="251" t="e">
        <f t="shared" si="41"/>
        <v>#VALUE!</v>
      </c>
      <c r="T109" s="251">
        <f t="shared" si="28"/>
        <v>0</v>
      </c>
      <c r="U109" s="252">
        <f>TRUNC(T109*Condições!$C$102,2)</f>
        <v>0</v>
      </c>
      <c r="V109" s="199">
        <f t="shared" si="49"/>
        <v>0</v>
      </c>
      <c r="W109" s="161" t="e">
        <f t="shared" si="42"/>
        <v>#N/A</v>
      </c>
      <c r="X109" s="161" t="e">
        <f t="shared" si="43"/>
        <v>#N/A</v>
      </c>
      <c r="Y109" s="161">
        <f t="shared" si="50"/>
        <v>84</v>
      </c>
      <c r="Z109" s="161">
        <f t="shared" ca="1" si="51"/>
        <v>6</v>
      </c>
      <c r="AG109" s="114">
        <f t="shared" si="52"/>
        <v>0</v>
      </c>
      <c r="AH109" s="113"/>
      <c r="AI109" s="199">
        <f ca="1">IF(AL109=0,0,IF(AL109&gt;Preenchimento!$AA$88*12,0,IF($AC$53=AM109,0,1)))</f>
        <v>0</v>
      </c>
      <c r="AJ109" s="161" t="e">
        <f t="shared" ca="1" si="44"/>
        <v>#N/A</v>
      </c>
      <c r="AK109" s="161" t="e">
        <f t="shared" ca="1" si="45"/>
        <v>#N/A</v>
      </c>
      <c r="AL109" s="161">
        <f ca="1">IF(Y109&gt;(Preenchimento!$AA$90*12),0,Fixa!Y109)</f>
        <v>0</v>
      </c>
      <c r="AM109" s="161">
        <f t="shared" ca="1" si="53"/>
        <v>6</v>
      </c>
      <c r="AN109" s="199">
        <f ca="1">IF(AQ109&gt;Preenchimento!$AA$90*12,0,1)</f>
        <v>0</v>
      </c>
      <c r="AO109" s="161" t="e">
        <f ca="1">1/((1+SAC!$AD$29)^AL109)</f>
        <v>#N/A</v>
      </c>
      <c r="AP109" s="82" t="e">
        <f t="shared" ca="1" si="54"/>
        <v>#N/A</v>
      </c>
      <c r="AQ109" s="82">
        <v>84</v>
      </c>
      <c r="AS109" s="477">
        <f t="shared" ca="1" si="46"/>
        <v>0</v>
      </c>
    </row>
    <row r="110" spans="1:45" ht="12" customHeight="1">
      <c r="A110" s="53">
        <v>85</v>
      </c>
      <c r="B110" s="249">
        <f ca="1">DATE(IF(MONTH(B109)=12,YEAR(B109)+1,YEAR(B109)),IF(MONTH(B109)=12,1,MONTH(B109)+1),MIN(DAY(Condições!$C$109),IF(IF(MONTH(B109)=12,1,MONTH(B109)+1)=2,IF(MOD(IF(MONTH(B109)=12,YEAR(B109)+1,YEAR(B109)),4)=0,29,28),IF(OR(IF(MONTH(B109)=12,1,MONTH(B109)+1)=4,IF(MONTH(B109)=12,1,MONTH(B109)+1)=6,IF(MONTH(B109)=12,1,MONTH(B109)+1)=9,IF(MONTH(B109)=12,1,MONTH(B109)+1)=11),30,DAY($B$25)))))</f>
        <v>48776</v>
      </c>
      <c r="C110" s="250" t="str">
        <f t="shared" si="29"/>
        <v/>
      </c>
      <c r="D110" s="251" t="e">
        <f t="shared" si="30"/>
        <v>#N/A</v>
      </c>
      <c r="E110" s="251">
        <f t="shared" si="31"/>
        <v>0</v>
      </c>
      <c r="F110" s="251">
        <f t="shared" si="32"/>
        <v>0</v>
      </c>
      <c r="G110" s="251">
        <f t="shared" si="33"/>
        <v>0</v>
      </c>
      <c r="H110" s="251" t="e">
        <f t="shared" si="34"/>
        <v>#VALUE!</v>
      </c>
      <c r="I110" s="251">
        <f t="shared" si="35"/>
        <v>0</v>
      </c>
      <c r="J110" s="251">
        <f t="shared" si="47"/>
        <v>0</v>
      </c>
      <c r="K110" s="251">
        <f t="shared" si="36"/>
        <v>0</v>
      </c>
      <c r="L110" s="174"/>
      <c r="M110" s="224"/>
      <c r="N110" s="225">
        <f t="shared" si="37"/>
        <v>0</v>
      </c>
      <c r="O110" s="251" t="e">
        <f t="shared" si="38"/>
        <v>#N/A</v>
      </c>
      <c r="P110" s="251">
        <f t="shared" si="48"/>
        <v>0</v>
      </c>
      <c r="Q110" s="251">
        <f t="shared" si="39"/>
        <v>0</v>
      </c>
      <c r="R110" s="251">
        <f t="shared" si="40"/>
        <v>0</v>
      </c>
      <c r="S110" s="251" t="e">
        <f t="shared" si="41"/>
        <v>#VALUE!</v>
      </c>
      <c r="T110" s="251">
        <f t="shared" si="28"/>
        <v>0</v>
      </c>
      <c r="U110" s="252">
        <f>TRUNC(T110*Condições!$C$102,2)</f>
        <v>0</v>
      </c>
      <c r="V110" s="199">
        <f t="shared" si="49"/>
        <v>0</v>
      </c>
      <c r="W110" s="161" t="e">
        <f t="shared" si="42"/>
        <v>#N/A</v>
      </c>
      <c r="X110" s="161" t="e">
        <f t="shared" si="43"/>
        <v>#N/A</v>
      </c>
      <c r="Y110" s="161">
        <f t="shared" si="50"/>
        <v>85</v>
      </c>
      <c r="Z110" s="161">
        <f t="shared" ca="1" si="51"/>
        <v>7</v>
      </c>
      <c r="AG110" s="114">
        <f t="shared" si="52"/>
        <v>0</v>
      </c>
      <c r="AH110" s="113"/>
      <c r="AI110" s="199">
        <f ca="1">IF(AL110=0,0,IF(AL110&gt;Preenchimento!$AA$88*12,0,IF($AC$53=AM110,0,1)))</f>
        <v>0</v>
      </c>
      <c r="AJ110" s="161" t="e">
        <f t="shared" ca="1" si="44"/>
        <v>#N/A</v>
      </c>
      <c r="AK110" s="161" t="e">
        <f t="shared" ca="1" si="45"/>
        <v>#N/A</v>
      </c>
      <c r="AL110" s="161">
        <f ca="1">IF(Y110&gt;(Preenchimento!$AA$90*12),0,Fixa!Y110)</f>
        <v>0</v>
      </c>
      <c r="AM110" s="161">
        <f t="shared" ca="1" si="53"/>
        <v>7</v>
      </c>
      <c r="AN110" s="199">
        <f ca="1">IF(AQ110&gt;Preenchimento!$AA$90*12,0,1)</f>
        <v>0</v>
      </c>
      <c r="AO110" s="161" t="e">
        <f ca="1">1/((1+SAC!$AD$29)^AL110)</f>
        <v>#N/A</v>
      </c>
      <c r="AP110" s="82" t="e">
        <f t="shared" ca="1" si="54"/>
        <v>#N/A</v>
      </c>
      <c r="AQ110" s="82">
        <v>85</v>
      </c>
      <c r="AS110" s="477">
        <f t="shared" ca="1" si="46"/>
        <v>0</v>
      </c>
    </row>
    <row r="111" spans="1:45" ht="12" customHeight="1">
      <c r="A111" s="53">
        <v>86</v>
      </c>
      <c r="B111" s="249">
        <f ca="1">DATE(IF(MONTH(B110)=12,YEAR(B110)+1,YEAR(B110)),IF(MONTH(B110)=12,1,MONTH(B110)+1),MIN(DAY(Condições!$C$109),IF(IF(MONTH(B110)=12,1,MONTH(B110)+1)=2,IF(MOD(IF(MONTH(B110)=12,YEAR(B110)+1,YEAR(B110)),4)=0,29,28),IF(OR(IF(MONTH(B110)=12,1,MONTH(B110)+1)=4,IF(MONTH(B110)=12,1,MONTH(B110)+1)=6,IF(MONTH(B110)=12,1,MONTH(B110)+1)=9,IF(MONTH(B110)=12,1,MONTH(B110)+1)=11),30,DAY($B$25)))))</f>
        <v>48807</v>
      </c>
      <c r="C111" s="250" t="str">
        <f t="shared" si="29"/>
        <v/>
      </c>
      <c r="D111" s="251" t="e">
        <f t="shared" si="30"/>
        <v>#N/A</v>
      </c>
      <c r="E111" s="251">
        <f t="shared" si="31"/>
        <v>0</v>
      </c>
      <c r="F111" s="251">
        <f t="shared" si="32"/>
        <v>0</v>
      </c>
      <c r="G111" s="251">
        <f t="shared" si="33"/>
        <v>0</v>
      </c>
      <c r="H111" s="251" t="e">
        <f t="shared" si="34"/>
        <v>#VALUE!</v>
      </c>
      <c r="I111" s="251">
        <f t="shared" si="35"/>
        <v>0</v>
      </c>
      <c r="J111" s="251">
        <f t="shared" si="47"/>
        <v>0</v>
      </c>
      <c r="K111" s="251">
        <f t="shared" si="36"/>
        <v>0</v>
      </c>
      <c r="L111" s="174"/>
      <c r="M111" s="224"/>
      <c r="N111" s="225">
        <f t="shared" si="37"/>
        <v>0</v>
      </c>
      <c r="O111" s="251" t="e">
        <f t="shared" si="38"/>
        <v>#N/A</v>
      </c>
      <c r="P111" s="251">
        <f t="shared" si="48"/>
        <v>0</v>
      </c>
      <c r="Q111" s="251">
        <f t="shared" si="39"/>
        <v>0</v>
      </c>
      <c r="R111" s="251">
        <f t="shared" si="40"/>
        <v>0</v>
      </c>
      <c r="S111" s="251" t="e">
        <f t="shared" si="41"/>
        <v>#VALUE!</v>
      </c>
      <c r="T111" s="251">
        <f t="shared" si="28"/>
        <v>0</v>
      </c>
      <c r="U111" s="252">
        <f>TRUNC(T111*Condições!$C$102,2)</f>
        <v>0</v>
      </c>
      <c r="V111" s="199">
        <f t="shared" si="49"/>
        <v>0</v>
      </c>
      <c r="W111" s="161" t="e">
        <f t="shared" si="42"/>
        <v>#N/A</v>
      </c>
      <c r="X111" s="161" t="e">
        <f t="shared" si="43"/>
        <v>#N/A</v>
      </c>
      <c r="Y111" s="161">
        <f t="shared" si="50"/>
        <v>86</v>
      </c>
      <c r="Z111" s="161">
        <f t="shared" ca="1" si="51"/>
        <v>8</v>
      </c>
      <c r="AG111" s="114">
        <f t="shared" si="52"/>
        <v>0</v>
      </c>
      <c r="AH111" s="113"/>
      <c r="AI111" s="199">
        <f ca="1">IF(AL111=0,0,IF(AL111&gt;Preenchimento!$AA$88*12,0,IF($AC$53=AM111,0,1)))</f>
        <v>0</v>
      </c>
      <c r="AJ111" s="161" t="e">
        <f t="shared" ca="1" si="44"/>
        <v>#N/A</v>
      </c>
      <c r="AK111" s="161" t="e">
        <f t="shared" ca="1" si="45"/>
        <v>#N/A</v>
      </c>
      <c r="AL111" s="161">
        <f ca="1">IF(Y111&gt;(Preenchimento!$AA$90*12),0,Fixa!Y111)</f>
        <v>0</v>
      </c>
      <c r="AM111" s="161">
        <f t="shared" ca="1" si="53"/>
        <v>8</v>
      </c>
      <c r="AN111" s="199">
        <f ca="1">IF(AQ111&gt;Preenchimento!$AA$90*12,0,1)</f>
        <v>0</v>
      </c>
      <c r="AO111" s="161" t="e">
        <f ca="1">1/((1+SAC!$AD$29)^AL111)</f>
        <v>#N/A</v>
      </c>
      <c r="AP111" s="82" t="e">
        <f t="shared" ca="1" si="54"/>
        <v>#N/A</v>
      </c>
      <c r="AQ111" s="82">
        <v>86</v>
      </c>
      <c r="AS111" s="477">
        <f t="shared" ca="1" si="46"/>
        <v>0</v>
      </c>
    </row>
    <row r="112" spans="1:45" ht="12" customHeight="1">
      <c r="A112" s="53">
        <v>87</v>
      </c>
      <c r="B112" s="249">
        <f ca="1">DATE(IF(MONTH(B111)=12,YEAR(B111)+1,YEAR(B111)),IF(MONTH(B111)=12,1,MONTH(B111)+1),MIN(DAY(Condições!$C$109),IF(IF(MONTH(B111)=12,1,MONTH(B111)+1)=2,IF(MOD(IF(MONTH(B111)=12,YEAR(B111)+1,YEAR(B111)),4)=0,29,28),IF(OR(IF(MONTH(B111)=12,1,MONTH(B111)+1)=4,IF(MONTH(B111)=12,1,MONTH(B111)+1)=6,IF(MONTH(B111)=12,1,MONTH(B111)+1)=9,IF(MONTH(B111)=12,1,MONTH(B111)+1)=11),30,DAY($B$25)))))</f>
        <v>48838</v>
      </c>
      <c r="C112" s="250" t="str">
        <f t="shared" si="29"/>
        <v/>
      </c>
      <c r="D112" s="251" t="e">
        <f t="shared" si="30"/>
        <v>#N/A</v>
      </c>
      <c r="E112" s="251">
        <f t="shared" si="31"/>
        <v>0</v>
      </c>
      <c r="F112" s="251">
        <f t="shared" si="32"/>
        <v>0</v>
      </c>
      <c r="G112" s="251">
        <f t="shared" si="33"/>
        <v>0</v>
      </c>
      <c r="H112" s="251" t="e">
        <f t="shared" si="34"/>
        <v>#VALUE!</v>
      </c>
      <c r="I112" s="251">
        <f t="shared" si="35"/>
        <v>0</v>
      </c>
      <c r="J112" s="251">
        <f t="shared" si="47"/>
        <v>0</v>
      </c>
      <c r="K112" s="251">
        <f t="shared" si="36"/>
        <v>0</v>
      </c>
      <c r="L112" s="174"/>
      <c r="M112" s="224"/>
      <c r="N112" s="225">
        <f t="shared" si="37"/>
        <v>0</v>
      </c>
      <c r="O112" s="251" t="e">
        <f t="shared" si="38"/>
        <v>#N/A</v>
      </c>
      <c r="P112" s="251">
        <f t="shared" si="48"/>
        <v>0</v>
      </c>
      <c r="Q112" s="251">
        <f t="shared" si="39"/>
        <v>0</v>
      </c>
      <c r="R112" s="251">
        <f t="shared" si="40"/>
        <v>0</v>
      </c>
      <c r="S112" s="251" t="e">
        <f t="shared" si="41"/>
        <v>#VALUE!</v>
      </c>
      <c r="T112" s="251">
        <f t="shared" si="28"/>
        <v>0</v>
      </c>
      <c r="U112" s="252">
        <f>TRUNC(T112*Condições!$C$102,2)</f>
        <v>0</v>
      </c>
      <c r="V112" s="199">
        <f t="shared" si="49"/>
        <v>0</v>
      </c>
      <c r="W112" s="161" t="e">
        <f t="shared" si="42"/>
        <v>#N/A</v>
      </c>
      <c r="X112" s="161" t="e">
        <f t="shared" si="43"/>
        <v>#N/A</v>
      </c>
      <c r="Y112" s="161">
        <f t="shared" si="50"/>
        <v>87</v>
      </c>
      <c r="Z112" s="161">
        <f t="shared" ca="1" si="51"/>
        <v>9</v>
      </c>
      <c r="AG112" s="114">
        <f t="shared" si="52"/>
        <v>0</v>
      </c>
      <c r="AH112" s="113"/>
      <c r="AI112" s="199">
        <f ca="1">IF(AL112=0,0,IF(AL112&gt;Preenchimento!$AA$88*12,0,IF($AC$53=AM112,0,1)))</f>
        <v>0</v>
      </c>
      <c r="AJ112" s="161" t="e">
        <f t="shared" ca="1" si="44"/>
        <v>#N/A</v>
      </c>
      <c r="AK112" s="161" t="e">
        <f t="shared" ca="1" si="45"/>
        <v>#N/A</v>
      </c>
      <c r="AL112" s="161">
        <f ca="1">IF(Y112&gt;(Preenchimento!$AA$90*12),0,Fixa!Y112)</f>
        <v>0</v>
      </c>
      <c r="AM112" s="161">
        <f t="shared" ca="1" si="53"/>
        <v>9</v>
      </c>
      <c r="AN112" s="199">
        <f ca="1">IF(AQ112&gt;Preenchimento!$AA$90*12,0,1)</f>
        <v>0</v>
      </c>
      <c r="AO112" s="161" t="e">
        <f ca="1">1/((1+SAC!$AD$29)^AL112)</f>
        <v>#N/A</v>
      </c>
      <c r="AP112" s="82" t="e">
        <f t="shared" ca="1" si="54"/>
        <v>#N/A</v>
      </c>
      <c r="AQ112" s="82">
        <v>87</v>
      </c>
      <c r="AS112" s="477">
        <f t="shared" ca="1" si="46"/>
        <v>0</v>
      </c>
    </row>
    <row r="113" spans="1:45" ht="12" customHeight="1">
      <c r="A113" s="53">
        <v>88</v>
      </c>
      <c r="B113" s="249">
        <f ca="1">DATE(IF(MONTH(B112)=12,YEAR(B112)+1,YEAR(B112)),IF(MONTH(B112)=12,1,MONTH(B112)+1),MIN(DAY(Condições!$C$109),IF(IF(MONTH(B112)=12,1,MONTH(B112)+1)=2,IF(MOD(IF(MONTH(B112)=12,YEAR(B112)+1,YEAR(B112)),4)=0,29,28),IF(OR(IF(MONTH(B112)=12,1,MONTH(B112)+1)=4,IF(MONTH(B112)=12,1,MONTH(B112)+1)=6,IF(MONTH(B112)=12,1,MONTH(B112)+1)=9,IF(MONTH(B112)=12,1,MONTH(B112)+1)=11),30,DAY($B$25)))))</f>
        <v>48868</v>
      </c>
      <c r="C113" s="250" t="str">
        <f t="shared" si="29"/>
        <v/>
      </c>
      <c r="D113" s="251" t="e">
        <f t="shared" si="30"/>
        <v>#N/A</v>
      </c>
      <c r="E113" s="251">
        <f t="shared" si="31"/>
        <v>0</v>
      </c>
      <c r="F113" s="251">
        <f t="shared" si="32"/>
        <v>0</v>
      </c>
      <c r="G113" s="251">
        <f t="shared" si="33"/>
        <v>0</v>
      </c>
      <c r="H113" s="251" t="e">
        <f t="shared" si="34"/>
        <v>#VALUE!</v>
      </c>
      <c r="I113" s="251">
        <f t="shared" si="35"/>
        <v>0</v>
      </c>
      <c r="J113" s="251">
        <f t="shared" si="47"/>
        <v>0</v>
      </c>
      <c r="K113" s="251">
        <f t="shared" si="36"/>
        <v>0</v>
      </c>
      <c r="L113" s="174"/>
      <c r="M113" s="224"/>
      <c r="N113" s="225">
        <f t="shared" si="37"/>
        <v>0</v>
      </c>
      <c r="O113" s="251" t="e">
        <f t="shared" si="38"/>
        <v>#N/A</v>
      </c>
      <c r="P113" s="251">
        <f t="shared" si="48"/>
        <v>0</v>
      </c>
      <c r="Q113" s="251">
        <f t="shared" si="39"/>
        <v>0</v>
      </c>
      <c r="R113" s="251">
        <f t="shared" si="40"/>
        <v>0</v>
      </c>
      <c r="S113" s="251" t="e">
        <f t="shared" si="41"/>
        <v>#VALUE!</v>
      </c>
      <c r="T113" s="251">
        <f t="shared" si="28"/>
        <v>0</v>
      </c>
      <c r="U113" s="252">
        <f>TRUNC(T113*Condições!$C$102,2)</f>
        <v>0</v>
      </c>
      <c r="V113" s="199">
        <f t="shared" si="49"/>
        <v>0</v>
      </c>
      <c r="W113" s="161" t="e">
        <f t="shared" si="42"/>
        <v>#N/A</v>
      </c>
      <c r="X113" s="161" t="e">
        <f t="shared" si="43"/>
        <v>#N/A</v>
      </c>
      <c r="Y113" s="161">
        <f t="shared" si="50"/>
        <v>88</v>
      </c>
      <c r="Z113" s="161">
        <f t="shared" ca="1" si="51"/>
        <v>10</v>
      </c>
      <c r="AG113" s="114">
        <f t="shared" si="52"/>
        <v>0</v>
      </c>
      <c r="AH113" s="113"/>
      <c r="AI113" s="199">
        <f ca="1">IF(AL113=0,0,IF(AL113&gt;Preenchimento!$AA$88*12,0,IF($AC$53=AM113,0,1)))</f>
        <v>0</v>
      </c>
      <c r="AJ113" s="161" t="e">
        <f t="shared" ca="1" si="44"/>
        <v>#N/A</v>
      </c>
      <c r="AK113" s="161" t="e">
        <f t="shared" ca="1" si="45"/>
        <v>#N/A</v>
      </c>
      <c r="AL113" s="161">
        <f ca="1">IF(Y113&gt;(Preenchimento!$AA$90*12),0,Fixa!Y113)</f>
        <v>0</v>
      </c>
      <c r="AM113" s="161">
        <f t="shared" ca="1" si="53"/>
        <v>10</v>
      </c>
      <c r="AN113" s="199">
        <f ca="1">IF(AQ113&gt;Preenchimento!$AA$90*12,0,1)</f>
        <v>0</v>
      </c>
      <c r="AO113" s="161" t="e">
        <f ca="1">1/((1+SAC!$AD$29)^AL113)</f>
        <v>#N/A</v>
      </c>
      <c r="AP113" s="82" t="e">
        <f t="shared" ca="1" si="54"/>
        <v>#N/A</v>
      </c>
      <c r="AQ113" s="82">
        <v>88</v>
      </c>
      <c r="AS113" s="477">
        <f t="shared" ca="1" si="46"/>
        <v>0</v>
      </c>
    </row>
    <row r="114" spans="1:45" ht="12" customHeight="1">
      <c r="A114" s="53">
        <v>89</v>
      </c>
      <c r="B114" s="249">
        <f ca="1">DATE(IF(MONTH(B113)=12,YEAR(B113)+1,YEAR(B113)),IF(MONTH(B113)=12,1,MONTH(B113)+1),MIN(DAY(Condições!$C$109),IF(IF(MONTH(B113)=12,1,MONTH(B113)+1)=2,IF(MOD(IF(MONTH(B113)=12,YEAR(B113)+1,YEAR(B113)),4)=0,29,28),IF(OR(IF(MONTH(B113)=12,1,MONTH(B113)+1)=4,IF(MONTH(B113)=12,1,MONTH(B113)+1)=6,IF(MONTH(B113)=12,1,MONTH(B113)+1)=9,IF(MONTH(B113)=12,1,MONTH(B113)+1)=11),30,DAY($B$25)))))</f>
        <v>48899</v>
      </c>
      <c r="C114" s="250" t="str">
        <f t="shared" si="29"/>
        <v/>
      </c>
      <c r="D114" s="251" t="e">
        <f t="shared" si="30"/>
        <v>#N/A</v>
      </c>
      <c r="E114" s="251">
        <f t="shared" si="31"/>
        <v>0</v>
      </c>
      <c r="F114" s="251">
        <f t="shared" si="32"/>
        <v>0</v>
      </c>
      <c r="G114" s="251">
        <f t="shared" si="33"/>
        <v>0</v>
      </c>
      <c r="H114" s="251" t="e">
        <f t="shared" si="34"/>
        <v>#VALUE!</v>
      </c>
      <c r="I114" s="251">
        <f t="shared" si="35"/>
        <v>0</v>
      </c>
      <c r="J114" s="251">
        <f t="shared" si="47"/>
        <v>0</v>
      </c>
      <c r="K114" s="251">
        <f t="shared" si="36"/>
        <v>0</v>
      </c>
      <c r="L114" s="174"/>
      <c r="M114" s="224"/>
      <c r="N114" s="225">
        <f t="shared" si="37"/>
        <v>0</v>
      </c>
      <c r="O114" s="251" t="e">
        <f t="shared" si="38"/>
        <v>#N/A</v>
      </c>
      <c r="P114" s="251">
        <f t="shared" si="48"/>
        <v>0</v>
      </c>
      <c r="Q114" s="251">
        <f t="shared" si="39"/>
        <v>0</v>
      </c>
      <c r="R114" s="251">
        <f t="shared" si="40"/>
        <v>0</v>
      </c>
      <c r="S114" s="251" t="e">
        <f t="shared" si="41"/>
        <v>#VALUE!</v>
      </c>
      <c r="T114" s="251">
        <f t="shared" si="28"/>
        <v>0</v>
      </c>
      <c r="U114" s="252">
        <f>TRUNC(T114*Condições!$C$102,2)</f>
        <v>0</v>
      </c>
      <c r="V114" s="199">
        <f t="shared" si="49"/>
        <v>0</v>
      </c>
      <c r="W114" s="161" t="e">
        <f t="shared" si="42"/>
        <v>#N/A</v>
      </c>
      <c r="X114" s="161" t="e">
        <f t="shared" si="43"/>
        <v>#N/A</v>
      </c>
      <c r="Y114" s="161">
        <f t="shared" si="50"/>
        <v>89</v>
      </c>
      <c r="Z114" s="161">
        <f t="shared" ca="1" si="51"/>
        <v>11</v>
      </c>
      <c r="AG114" s="114">
        <f t="shared" si="52"/>
        <v>0</v>
      </c>
      <c r="AH114" s="113"/>
      <c r="AI114" s="199">
        <f ca="1">IF(AL114=0,0,IF(AL114&gt;Preenchimento!$AA$88*12,0,IF($AC$53=AM114,0,1)))</f>
        <v>0</v>
      </c>
      <c r="AJ114" s="161" t="e">
        <f t="shared" ca="1" si="44"/>
        <v>#N/A</v>
      </c>
      <c r="AK114" s="161" t="e">
        <f t="shared" ca="1" si="45"/>
        <v>#N/A</v>
      </c>
      <c r="AL114" s="161">
        <f ca="1">IF(Y114&gt;(Preenchimento!$AA$90*12),0,Fixa!Y114)</f>
        <v>0</v>
      </c>
      <c r="AM114" s="161">
        <f t="shared" ca="1" si="53"/>
        <v>11</v>
      </c>
      <c r="AN114" s="199">
        <f ca="1">IF(AQ114&gt;Preenchimento!$AA$90*12,0,1)</f>
        <v>0</v>
      </c>
      <c r="AO114" s="161" t="e">
        <f ca="1">1/((1+SAC!$AD$29)^AL114)</f>
        <v>#N/A</v>
      </c>
      <c r="AP114" s="82" t="e">
        <f t="shared" ca="1" si="54"/>
        <v>#N/A</v>
      </c>
      <c r="AQ114" s="82">
        <v>89</v>
      </c>
      <c r="AS114" s="477">
        <f t="shared" ca="1" si="46"/>
        <v>0</v>
      </c>
    </row>
    <row r="115" spans="1:45" ht="12" customHeight="1">
      <c r="A115" s="53">
        <v>90</v>
      </c>
      <c r="B115" s="249">
        <f ca="1">DATE(IF(MONTH(B114)=12,YEAR(B114)+1,YEAR(B114)),IF(MONTH(B114)=12,1,MONTH(B114)+1),MIN(DAY(Condições!$C$109),IF(IF(MONTH(B114)=12,1,MONTH(B114)+1)=2,IF(MOD(IF(MONTH(B114)=12,YEAR(B114)+1,YEAR(B114)),4)=0,29,28),IF(OR(IF(MONTH(B114)=12,1,MONTH(B114)+1)=4,IF(MONTH(B114)=12,1,MONTH(B114)+1)=6,IF(MONTH(B114)=12,1,MONTH(B114)+1)=9,IF(MONTH(B114)=12,1,MONTH(B114)+1)=11),30,DAY($B$25)))))</f>
        <v>48929</v>
      </c>
      <c r="C115" s="250" t="str">
        <f t="shared" si="29"/>
        <v/>
      </c>
      <c r="D115" s="251" t="e">
        <f t="shared" si="30"/>
        <v>#N/A</v>
      </c>
      <c r="E115" s="251">
        <f t="shared" si="31"/>
        <v>0</v>
      </c>
      <c r="F115" s="251">
        <f t="shared" si="32"/>
        <v>0</v>
      </c>
      <c r="G115" s="251">
        <f t="shared" si="33"/>
        <v>0</v>
      </c>
      <c r="H115" s="251" t="e">
        <f t="shared" si="34"/>
        <v>#VALUE!</v>
      </c>
      <c r="I115" s="251">
        <f t="shared" si="35"/>
        <v>0</v>
      </c>
      <c r="J115" s="251">
        <f t="shared" si="47"/>
        <v>0</v>
      </c>
      <c r="K115" s="251">
        <f t="shared" si="36"/>
        <v>0</v>
      </c>
      <c r="L115" s="174"/>
      <c r="M115" s="224"/>
      <c r="N115" s="225">
        <f t="shared" si="37"/>
        <v>0</v>
      </c>
      <c r="O115" s="251" t="e">
        <f t="shared" si="38"/>
        <v>#N/A</v>
      </c>
      <c r="P115" s="251">
        <f t="shared" si="48"/>
        <v>0</v>
      </c>
      <c r="Q115" s="251">
        <f t="shared" si="39"/>
        <v>0</v>
      </c>
      <c r="R115" s="251">
        <f t="shared" si="40"/>
        <v>0</v>
      </c>
      <c r="S115" s="251" t="e">
        <f t="shared" si="41"/>
        <v>#VALUE!</v>
      </c>
      <c r="T115" s="251">
        <f t="shared" si="28"/>
        <v>0</v>
      </c>
      <c r="U115" s="252">
        <f>TRUNC(T115*Condições!$C$102,2)</f>
        <v>0</v>
      </c>
      <c r="V115" s="199">
        <f t="shared" si="49"/>
        <v>0</v>
      </c>
      <c r="W115" s="161" t="e">
        <f t="shared" si="42"/>
        <v>#N/A</v>
      </c>
      <c r="X115" s="161" t="e">
        <f t="shared" si="43"/>
        <v>#N/A</v>
      </c>
      <c r="Y115" s="161">
        <f t="shared" si="50"/>
        <v>90</v>
      </c>
      <c r="Z115" s="161">
        <f t="shared" ca="1" si="51"/>
        <v>12</v>
      </c>
      <c r="AG115" s="114">
        <f t="shared" si="52"/>
        <v>0</v>
      </c>
      <c r="AH115" s="113"/>
      <c r="AI115" s="199">
        <f ca="1">IF(AL115=0,0,IF(AL115&gt;Preenchimento!$AA$88*12,0,IF($AC$53=AM115,0,1)))</f>
        <v>0</v>
      </c>
      <c r="AJ115" s="161" t="e">
        <f t="shared" ca="1" si="44"/>
        <v>#N/A</v>
      </c>
      <c r="AK115" s="161" t="e">
        <f t="shared" ca="1" si="45"/>
        <v>#N/A</v>
      </c>
      <c r="AL115" s="161">
        <f ca="1">IF(Y115&gt;(Preenchimento!$AA$90*12),0,Fixa!Y115)</f>
        <v>0</v>
      </c>
      <c r="AM115" s="161">
        <f t="shared" ca="1" si="53"/>
        <v>12</v>
      </c>
      <c r="AN115" s="199">
        <f ca="1">IF(AQ115&gt;Preenchimento!$AA$90*12,0,1)</f>
        <v>0</v>
      </c>
      <c r="AO115" s="161" t="e">
        <f ca="1">1/((1+SAC!$AD$29)^AL115)</f>
        <v>#N/A</v>
      </c>
      <c r="AP115" s="82" t="e">
        <f t="shared" ca="1" si="54"/>
        <v>#N/A</v>
      </c>
      <c r="AQ115" s="82">
        <v>90</v>
      </c>
      <c r="AS115" s="477">
        <f t="shared" ca="1" si="46"/>
        <v>0</v>
      </c>
    </row>
    <row r="116" spans="1:45" ht="12" customHeight="1">
      <c r="A116" s="53">
        <v>91</v>
      </c>
      <c r="B116" s="249">
        <f ca="1">DATE(IF(MONTH(B115)=12,YEAR(B115)+1,YEAR(B115)),IF(MONTH(B115)=12,1,MONTH(B115)+1),MIN(DAY(Condições!$C$109),IF(IF(MONTH(B115)=12,1,MONTH(B115)+1)=2,IF(MOD(IF(MONTH(B115)=12,YEAR(B115)+1,YEAR(B115)),4)=0,29,28),IF(OR(IF(MONTH(B115)=12,1,MONTH(B115)+1)=4,IF(MONTH(B115)=12,1,MONTH(B115)+1)=6,IF(MONTH(B115)=12,1,MONTH(B115)+1)=9,IF(MONTH(B115)=12,1,MONTH(B115)+1)=11),30,DAY($B$25)))))</f>
        <v>48960</v>
      </c>
      <c r="C116" s="250" t="str">
        <f t="shared" si="29"/>
        <v/>
      </c>
      <c r="D116" s="251" t="e">
        <f t="shared" si="30"/>
        <v>#N/A</v>
      </c>
      <c r="E116" s="251">
        <f t="shared" si="31"/>
        <v>0</v>
      </c>
      <c r="F116" s="251">
        <f t="shared" si="32"/>
        <v>0</v>
      </c>
      <c r="G116" s="251">
        <f t="shared" si="33"/>
        <v>0</v>
      </c>
      <c r="H116" s="251" t="e">
        <f t="shared" si="34"/>
        <v>#VALUE!</v>
      </c>
      <c r="I116" s="251">
        <f t="shared" si="35"/>
        <v>0</v>
      </c>
      <c r="J116" s="251">
        <f t="shared" si="47"/>
        <v>0</v>
      </c>
      <c r="K116" s="251">
        <f t="shared" si="36"/>
        <v>0</v>
      </c>
      <c r="L116" s="174"/>
      <c r="M116" s="224"/>
      <c r="N116" s="225">
        <f t="shared" si="37"/>
        <v>0</v>
      </c>
      <c r="O116" s="251" t="e">
        <f t="shared" si="38"/>
        <v>#N/A</v>
      </c>
      <c r="P116" s="251">
        <f t="shared" si="48"/>
        <v>0</v>
      </c>
      <c r="Q116" s="251">
        <f t="shared" si="39"/>
        <v>0</v>
      </c>
      <c r="R116" s="251">
        <f t="shared" si="40"/>
        <v>0</v>
      </c>
      <c r="S116" s="251" t="e">
        <f t="shared" si="41"/>
        <v>#VALUE!</v>
      </c>
      <c r="T116" s="251">
        <f t="shared" si="28"/>
        <v>0</v>
      </c>
      <c r="U116" s="252">
        <f>TRUNC(T116*Condições!$C$102,2)</f>
        <v>0</v>
      </c>
      <c r="V116" s="199">
        <f t="shared" si="49"/>
        <v>0</v>
      </c>
      <c r="W116" s="161" t="e">
        <f t="shared" si="42"/>
        <v>#N/A</v>
      </c>
      <c r="X116" s="161" t="e">
        <f t="shared" si="43"/>
        <v>#N/A</v>
      </c>
      <c r="Y116" s="161">
        <f t="shared" si="50"/>
        <v>91</v>
      </c>
      <c r="Z116" s="161">
        <f t="shared" ca="1" si="51"/>
        <v>1</v>
      </c>
      <c r="AG116" s="114">
        <f t="shared" si="52"/>
        <v>0</v>
      </c>
      <c r="AH116" s="113"/>
      <c r="AI116" s="199">
        <f ca="1">IF(AL116=0,0,IF(AL116&gt;Preenchimento!$AA$88*12,0,IF($AC$53=AM116,0,1)))</f>
        <v>0</v>
      </c>
      <c r="AJ116" s="161" t="e">
        <f t="shared" ca="1" si="44"/>
        <v>#N/A</v>
      </c>
      <c r="AK116" s="161" t="e">
        <f t="shared" ca="1" si="45"/>
        <v>#N/A</v>
      </c>
      <c r="AL116" s="161">
        <f ca="1">IF(Y116&gt;(Preenchimento!$AA$90*12),0,Fixa!Y116)</f>
        <v>0</v>
      </c>
      <c r="AM116" s="161">
        <f t="shared" ca="1" si="53"/>
        <v>1</v>
      </c>
      <c r="AN116" s="199">
        <f ca="1">IF(AQ116&gt;Preenchimento!$AA$90*12,0,1)</f>
        <v>0</v>
      </c>
      <c r="AO116" s="161" t="e">
        <f ca="1">1/((1+SAC!$AD$29)^AL116)</f>
        <v>#N/A</v>
      </c>
      <c r="AP116" s="82" t="e">
        <f t="shared" ca="1" si="54"/>
        <v>#N/A</v>
      </c>
      <c r="AQ116" s="82">
        <v>91</v>
      </c>
      <c r="AS116" s="477">
        <f t="shared" ca="1" si="46"/>
        <v>0</v>
      </c>
    </row>
    <row r="117" spans="1:45" ht="12" customHeight="1">
      <c r="A117" s="53">
        <v>92</v>
      </c>
      <c r="B117" s="249">
        <f ca="1">DATE(IF(MONTH(B116)=12,YEAR(B116)+1,YEAR(B116)),IF(MONTH(B116)=12,1,MONTH(B116)+1),MIN(DAY(Condições!$C$109),IF(IF(MONTH(B116)=12,1,MONTH(B116)+1)=2,IF(MOD(IF(MONTH(B116)=12,YEAR(B116)+1,YEAR(B116)),4)=0,29,28),IF(OR(IF(MONTH(B116)=12,1,MONTH(B116)+1)=4,IF(MONTH(B116)=12,1,MONTH(B116)+1)=6,IF(MONTH(B116)=12,1,MONTH(B116)+1)=9,IF(MONTH(B116)=12,1,MONTH(B116)+1)=11),30,DAY($B$25)))))</f>
        <v>48991</v>
      </c>
      <c r="C117" s="250" t="str">
        <f t="shared" si="29"/>
        <v/>
      </c>
      <c r="D117" s="251" t="e">
        <f t="shared" si="30"/>
        <v>#N/A</v>
      </c>
      <c r="E117" s="251">
        <f t="shared" si="31"/>
        <v>0</v>
      </c>
      <c r="F117" s="251">
        <f t="shared" si="32"/>
        <v>0</v>
      </c>
      <c r="G117" s="251">
        <f t="shared" si="33"/>
        <v>0</v>
      </c>
      <c r="H117" s="251" t="e">
        <f t="shared" si="34"/>
        <v>#VALUE!</v>
      </c>
      <c r="I117" s="251">
        <f t="shared" si="35"/>
        <v>0</v>
      </c>
      <c r="J117" s="251">
        <f t="shared" si="47"/>
        <v>0</v>
      </c>
      <c r="K117" s="251">
        <f t="shared" si="36"/>
        <v>0</v>
      </c>
      <c r="L117" s="174"/>
      <c r="M117" s="224"/>
      <c r="N117" s="225">
        <f t="shared" si="37"/>
        <v>0</v>
      </c>
      <c r="O117" s="251" t="e">
        <f t="shared" si="38"/>
        <v>#N/A</v>
      </c>
      <c r="P117" s="251">
        <f t="shared" si="48"/>
        <v>0</v>
      </c>
      <c r="Q117" s="251">
        <f t="shared" si="39"/>
        <v>0</v>
      </c>
      <c r="R117" s="251">
        <f t="shared" si="40"/>
        <v>0</v>
      </c>
      <c r="S117" s="251" t="e">
        <f t="shared" si="41"/>
        <v>#VALUE!</v>
      </c>
      <c r="T117" s="251">
        <f t="shared" si="28"/>
        <v>0</v>
      </c>
      <c r="U117" s="252">
        <f>TRUNC(T117*Condições!$C$102,2)</f>
        <v>0</v>
      </c>
      <c r="V117" s="199">
        <f t="shared" si="49"/>
        <v>0</v>
      </c>
      <c r="W117" s="161" t="e">
        <f t="shared" si="42"/>
        <v>#N/A</v>
      </c>
      <c r="X117" s="161" t="e">
        <f t="shared" si="43"/>
        <v>#N/A</v>
      </c>
      <c r="Y117" s="161">
        <f t="shared" si="50"/>
        <v>92</v>
      </c>
      <c r="Z117" s="161">
        <f t="shared" ca="1" si="51"/>
        <v>2</v>
      </c>
      <c r="AG117" s="114">
        <f t="shared" si="52"/>
        <v>0</v>
      </c>
      <c r="AH117" s="113"/>
      <c r="AI117" s="199">
        <f ca="1">IF(AL117=0,0,IF(AL117&gt;Preenchimento!$AA$88*12,0,IF($AC$53=AM117,0,1)))</f>
        <v>0</v>
      </c>
      <c r="AJ117" s="161" t="e">
        <f t="shared" ca="1" si="44"/>
        <v>#N/A</v>
      </c>
      <c r="AK117" s="161" t="e">
        <f t="shared" ca="1" si="45"/>
        <v>#N/A</v>
      </c>
      <c r="AL117" s="161">
        <f ca="1">IF(Y117&gt;(Preenchimento!$AA$90*12),0,Fixa!Y117)</f>
        <v>0</v>
      </c>
      <c r="AM117" s="161">
        <f t="shared" ca="1" si="53"/>
        <v>2</v>
      </c>
      <c r="AN117" s="199">
        <f ca="1">IF(AQ117&gt;Preenchimento!$AA$90*12,0,1)</f>
        <v>0</v>
      </c>
      <c r="AO117" s="161" t="e">
        <f ca="1">1/((1+SAC!$AD$29)^AL117)</f>
        <v>#N/A</v>
      </c>
      <c r="AP117" s="82" t="e">
        <f t="shared" ca="1" si="54"/>
        <v>#N/A</v>
      </c>
      <c r="AQ117" s="82">
        <v>92</v>
      </c>
      <c r="AS117" s="477">
        <f t="shared" ca="1" si="46"/>
        <v>0</v>
      </c>
    </row>
    <row r="118" spans="1:45" ht="12" customHeight="1">
      <c r="A118" s="53">
        <v>93</v>
      </c>
      <c r="B118" s="249">
        <f ca="1">DATE(IF(MONTH(B117)=12,YEAR(B117)+1,YEAR(B117)),IF(MONTH(B117)=12,1,MONTH(B117)+1),MIN(DAY(Condições!$C$109),IF(IF(MONTH(B117)=12,1,MONTH(B117)+1)=2,IF(MOD(IF(MONTH(B117)=12,YEAR(B117)+1,YEAR(B117)),4)=0,29,28),IF(OR(IF(MONTH(B117)=12,1,MONTH(B117)+1)=4,IF(MONTH(B117)=12,1,MONTH(B117)+1)=6,IF(MONTH(B117)=12,1,MONTH(B117)+1)=9,IF(MONTH(B117)=12,1,MONTH(B117)+1)=11),30,DAY($B$25)))))</f>
        <v>49019</v>
      </c>
      <c r="C118" s="250" t="str">
        <f t="shared" si="29"/>
        <v/>
      </c>
      <c r="D118" s="251" t="e">
        <f t="shared" si="30"/>
        <v>#N/A</v>
      </c>
      <c r="E118" s="251">
        <f t="shared" si="31"/>
        <v>0</v>
      </c>
      <c r="F118" s="251">
        <f t="shared" si="32"/>
        <v>0</v>
      </c>
      <c r="G118" s="251">
        <f t="shared" si="33"/>
        <v>0</v>
      </c>
      <c r="H118" s="251" t="e">
        <f t="shared" si="34"/>
        <v>#VALUE!</v>
      </c>
      <c r="I118" s="251">
        <f t="shared" si="35"/>
        <v>0</v>
      </c>
      <c r="J118" s="251">
        <f t="shared" si="47"/>
        <v>0</v>
      </c>
      <c r="K118" s="251">
        <f t="shared" si="36"/>
        <v>0</v>
      </c>
      <c r="L118" s="174"/>
      <c r="M118" s="224"/>
      <c r="N118" s="225">
        <f t="shared" si="37"/>
        <v>0</v>
      </c>
      <c r="O118" s="251" t="e">
        <f t="shared" si="38"/>
        <v>#N/A</v>
      </c>
      <c r="P118" s="251">
        <f t="shared" si="48"/>
        <v>0</v>
      </c>
      <c r="Q118" s="251">
        <f t="shared" si="39"/>
        <v>0</v>
      </c>
      <c r="R118" s="251">
        <f t="shared" si="40"/>
        <v>0</v>
      </c>
      <c r="S118" s="251" t="e">
        <f t="shared" si="41"/>
        <v>#VALUE!</v>
      </c>
      <c r="T118" s="251">
        <f t="shared" si="28"/>
        <v>0</v>
      </c>
      <c r="U118" s="252">
        <f>TRUNC(T118*Condições!$C$102,2)</f>
        <v>0</v>
      </c>
      <c r="V118" s="199">
        <f t="shared" si="49"/>
        <v>0</v>
      </c>
      <c r="W118" s="161" t="e">
        <f t="shared" si="42"/>
        <v>#N/A</v>
      </c>
      <c r="X118" s="161" t="e">
        <f t="shared" si="43"/>
        <v>#N/A</v>
      </c>
      <c r="Y118" s="161">
        <f t="shared" si="50"/>
        <v>93</v>
      </c>
      <c r="Z118" s="161">
        <f t="shared" ca="1" si="51"/>
        <v>3</v>
      </c>
      <c r="AG118" s="114">
        <f t="shared" si="52"/>
        <v>0</v>
      </c>
      <c r="AH118" s="113"/>
      <c r="AI118" s="199">
        <f ca="1">IF(AL118=0,0,IF(AL118&gt;Preenchimento!$AA$88*12,0,IF($AC$53=AM118,0,1)))</f>
        <v>0</v>
      </c>
      <c r="AJ118" s="161" t="e">
        <f t="shared" ca="1" si="44"/>
        <v>#N/A</v>
      </c>
      <c r="AK118" s="161" t="e">
        <f t="shared" ca="1" si="45"/>
        <v>#N/A</v>
      </c>
      <c r="AL118" s="161">
        <f ca="1">IF(Y118&gt;(Preenchimento!$AA$90*12),0,Fixa!Y118)</f>
        <v>0</v>
      </c>
      <c r="AM118" s="161">
        <f t="shared" ca="1" si="53"/>
        <v>3</v>
      </c>
      <c r="AN118" s="199">
        <f ca="1">IF(AQ118&gt;Preenchimento!$AA$90*12,0,1)</f>
        <v>0</v>
      </c>
      <c r="AO118" s="161" t="e">
        <f ca="1">1/((1+SAC!$AD$29)^AL118)</f>
        <v>#N/A</v>
      </c>
      <c r="AP118" s="82" t="e">
        <f t="shared" ca="1" si="54"/>
        <v>#N/A</v>
      </c>
      <c r="AQ118" s="82">
        <v>93</v>
      </c>
      <c r="AS118" s="477">
        <f t="shared" ca="1" si="46"/>
        <v>0</v>
      </c>
    </row>
    <row r="119" spans="1:45" ht="12" customHeight="1">
      <c r="A119" s="53">
        <v>94</v>
      </c>
      <c r="B119" s="249">
        <f ca="1">DATE(IF(MONTH(B118)=12,YEAR(B118)+1,YEAR(B118)),IF(MONTH(B118)=12,1,MONTH(B118)+1),MIN(DAY(Condições!$C$109),IF(IF(MONTH(B118)=12,1,MONTH(B118)+1)=2,IF(MOD(IF(MONTH(B118)=12,YEAR(B118)+1,YEAR(B118)),4)=0,29,28),IF(OR(IF(MONTH(B118)=12,1,MONTH(B118)+1)=4,IF(MONTH(B118)=12,1,MONTH(B118)+1)=6,IF(MONTH(B118)=12,1,MONTH(B118)+1)=9,IF(MONTH(B118)=12,1,MONTH(B118)+1)=11),30,DAY($B$25)))))</f>
        <v>49050</v>
      </c>
      <c r="C119" s="250" t="str">
        <f t="shared" si="29"/>
        <v/>
      </c>
      <c r="D119" s="251" t="e">
        <f t="shared" si="30"/>
        <v>#N/A</v>
      </c>
      <c r="E119" s="251">
        <f t="shared" si="31"/>
        <v>0</v>
      </c>
      <c r="F119" s="251">
        <f t="shared" si="32"/>
        <v>0</v>
      </c>
      <c r="G119" s="251">
        <f t="shared" si="33"/>
        <v>0</v>
      </c>
      <c r="H119" s="251" t="e">
        <f t="shared" si="34"/>
        <v>#VALUE!</v>
      </c>
      <c r="I119" s="251">
        <f t="shared" si="35"/>
        <v>0</v>
      </c>
      <c r="J119" s="251">
        <f t="shared" si="47"/>
        <v>0</v>
      </c>
      <c r="K119" s="251">
        <f t="shared" si="36"/>
        <v>0</v>
      </c>
      <c r="L119" s="174"/>
      <c r="M119" s="224"/>
      <c r="N119" s="225">
        <f t="shared" si="37"/>
        <v>0</v>
      </c>
      <c r="O119" s="251" t="e">
        <f t="shared" si="38"/>
        <v>#N/A</v>
      </c>
      <c r="P119" s="251">
        <f t="shared" si="48"/>
        <v>0</v>
      </c>
      <c r="Q119" s="251">
        <f t="shared" si="39"/>
        <v>0</v>
      </c>
      <c r="R119" s="251">
        <f t="shared" si="40"/>
        <v>0</v>
      </c>
      <c r="S119" s="251" t="e">
        <f t="shared" si="41"/>
        <v>#VALUE!</v>
      </c>
      <c r="T119" s="251">
        <f t="shared" si="28"/>
        <v>0</v>
      </c>
      <c r="U119" s="252">
        <f>TRUNC(T119*Condições!$C$102,2)</f>
        <v>0</v>
      </c>
      <c r="V119" s="199">
        <f t="shared" si="49"/>
        <v>0</v>
      </c>
      <c r="W119" s="161" t="e">
        <f t="shared" si="42"/>
        <v>#N/A</v>
      </c>
      <c r="X119" s="161" t="e">
        <f t="shared" si="43"/>
        <v>#N/A</v>
      </c>
      <c r="Y119" s="161">
        <f t="shared" si="50"/>
        <v>94</v>
      </c>
      <c r="Z119" s="161">
        <f t="shared" ca="1" si="51"/>
        <v>4</v>
      </c>
      <c r="AG119" s="114">
        <f t="shared" si="52"/>
        <v>0</v>
      </c>
      <c r="AH119" s="113"/>
      <c r="AI119" s="199">
        <f ca="1">IF(AL119=0,0,IF(AL119&gt;Preenchimento!$AA$88*12,0,IF($AC$53=AM119,0,1)))</f>
        <v>0</v>
      </c>
      <c r="AJ119" s="161" t="e">
        <f t="shared" ca="1" si="44"/>
        <v>#N/A</v>
      </c>
      <c r="AK119" s="161" t="e">
        <f t="shared" ca="1" si="45"/>
        <v>#N/A</v>
      </c>
      <c r="AL119" s="161">
        <f ca="1">IF(Y119&gt;(Preenchimento!$AA$90*12),0,Fixa!Y119)</f>
        <v>0</v>
      </c>
      <c r="AM119" s="161">
        <f t="shared" ca="1" si="53"/>
        <v>4</v>
      </c>
      <c r="AN119" s="199">
        <f ca="1">IF(AQ119&gt;Preenchimento!$AA$90*12,0,1)</f>
        <v>0</v>
      </c>
      <c r="AO119" s="161" t="e">
        <f ca="1">1/((1+SAC!$AD$29)^AL119)</f>
        <v>#N/A</v>
      </c>
      <c r="AP119" s="82" t="e">
        <f t="shared" ca="1" si="54"/>
        <v>#N/A</v>
      </c>
      <c r="AQ119" s="82">
        <v>94</v>
      </c>
      <c r="AS119" s="477">
        <f t="shared" ca="1" si="46"/>
        <v>0</v>
      </c>
    </row>
    <row r="120" spans="1:45" ht="12" customHeight="1">
      <c r="A120" s="53">
        <v>95</v>
      </c>
      <c r="B120" s="249">
        <f ca="1">DATE(IF(MONTH(B119)=12,YEAR(B119)+1,YEAR(B119)),IF(MONTH(B119)=12,1,MONTH(B119)+1),MIN(DAY(Condições!$C$109),IF(IF(MONTH(B119)=12,1,MONTH(B119)+1)=2,IF(MOD(IF(MONTH(B119)=12,YEAR(B119)+1,YEAR(B119)),4)=0,29,28),IF(OR(IF(MONTH(B119)=12,1,MONTH(B119)+1)=4,IF(MONTH(B119)=12,1,MONTH(B119)+1)=6,IF(MONTH(B119)=12,1,MONTH(B119)+1)=9,IF(MONTH(B119)=12,1,MONTH(B119)+1)=11),30,DAY($B$25)))))</f>
        <v>49080</v>
      </c>
      <c r="C120" s="250" t="str">
        <f t="shared" si="29"/>
        <v/>
      </c>
      <c r="D120" s="251" t="e">
        <f t="shared" si="30"/>
        <v>#N/A</v>
      </c>
      <c r="E120" s="251">
        <f t="shared" si="31"/>
        <v>0</v>
      </c>
      <c r="F120" s="251">
        <f t="shared" si="32"/>
        <v>0</v>
      </c>
      <c r="G120" s="251">
        <f t="shared" si="33"/>
        <v>0</v>
      </c>
      <c r="H120" s="251" t="e">
        <f t="shared" si="34"/>
        <v>#VALUE!</v>
      </c>
      <c r="I120" s="251">
        <f t="shared" si="35"/>
        <v>0</v>
      </c>
      <c r="J120" s="251">
        <f t="shared" si="47"/>
        <v>0</v>
      </c>
      <c r="K120" s="251">
        <f t="shared" si="36"/>
        <v>0</v>
      </c>
      <c r="L120" s="174"/>
      <c r="M120" s="224"/>
      <c r="N120" s="225">
        <f t="shared" si="37"/>
        <v>0</v>
      </c>
      <c r="O120" s="251" t="e">
        <f t="shared" si="38"/>
        <v>#N/A</v>
      </c>
      <c r="P120" s="251">
        <f t="shared" si="48"/>
        <v>0</v>
      </c>
      <c r="Q120" s="251">
        <f t="shared" si="39"/>
        <v>0</v>
      </c>
      <c r="R120" s="251">
        <f t="shared" si="40"/>
        <v>0</v>
      </c>
      <c r="S120" s="251" t="e">
        <f t="shared" si="41"/>
        <v>#VALUE!</v>
      </c>
      <c r="T120" s="251">
        <f t="shared" si="28"/>
        <v>0</v>
      </c>
      <c r="U120" s="252">
        <f>TRUNC(T120*Condições!$C$102,2)</f>
        <v>0</v>
      </c>
      <c r="V120" s="199">
        <f t="shared" si="49"/>
        <v>0</v>
      </c>
      <c r="W120" s="161" t="e">
        <f t="shared" si="42"/>
        <v>#N/A</v>
      </c>
      <c r="X120" s="161" t="e">
        <f t="shared" si="43"/>
        <v>#N/A</v>
      </c>
      <c r="Y120" s="161">
        <f t="shared" si="50"/>
        <v>95</v>
      </c>
      <c r="Z120" s="161">
        <f t="shared" ca="1" si="51"/>
        <v>5</v>
      </c>
      <c r="AG120" s="114">
        <f t="shared" si="52"/>
        <v>0</v>
      </c>
      <c r="AH120" s="113"/>
      <c r="AI120" s="199">
        <f ca="1">IF(AL120=0,0,IF(AL120&gt;Preenchimento!$AA$88*12,0,IF($AC$53=AM120,0,1)))</f>
        <v>0</v>
      </c>
      <c r="AJ120" s="161" t="e">
        <f t="shared" ca="1" si="44"/>
        <v>#N/A</v>
      </c>
      <c r="AK120" s="161" t="e">
        <f t="shared" ca="1" si="45"/>
        <v>#N/A</v>
      </c>
      <c r="AL120" s="161">
        <f ca="1">IF(Y120&gt;(Preenchimento!$AA$90*12),0,Fixa!Y120)</f>
        <v>0</v>
      </c>
      <c r="AM120" s="161">
        <f t="shared" ca="1" si="53"/>
        <v>5</v>
      </c>
      <c r="AN120" s="199">
        <f ca="1">IF(AQ120&gt;Preenchimento!$AA$90*12,0,1)</f>
        <v>0</v>
      </c>
      <c r="AO120" s="161" t="e">
        <f ca="1">1/((1+SAC!$AD$29)^AL120)</f>
        <v>#N/A</v>
      </c>
      <c r="AP120" s="82" t="e">
        <f t="shared" ca="1" si="54"/>
        <v>#N/A</v>
      </c>
      <c r="AQ120" s="82">
        <v>95</v>
      </c>
      <c r="AS120" s="477">
        <f t="shared" ca="1" si="46"/>
        <v>0</v>
      </c>
    </row>
    <row r="121" spans="1:45" ht="12" customHeight="1">
      <c r="A121" s="53">
        <v>96</v>
      </c>
      <c r="B121" s="249">
        <f ca="1">DATE(IF(MONTH(B120)=12,YEAR(B120)+1,YEAR(B120)),IF(MONTH(B120)=12,1,MONTH(B120)+1),MIN(DAY(Condições!$C$109),IF(IF(MONTH(B120)=12,1,MONTH(B120)+1)=2,IF(MOD(IF(MONTH(B120)=12,YEAR(B120)+1,YEAR(B120)),4)=0,29,28),IF(OR(IF(MONTH(B120)=12,1,MONTH(B120)+1)=4,IF(MONTH(B120)=12,1,MONTH(B120)+1)=6,IF(MONTH(B120)=12,1,MONTH(B120)+1)=9,IF(MONTH(B120)=12,1,MONTH(B120)+1)=11),30,DAY($B$25)))))</f>
        <v>49111</v>
      </c>
      <c r="C121" s="250" t="str">
        <f t="shared" si="29"/>
        <v/>
      </c>
      <c r="D121" s="251" t="e">
        <f t="shared" si="30"/>
        <v>#N/A</v>
      </c>
      <c r="E121" s="251">
        <f t="shared" si="31"/>
        <v>0</v>
      </c>
      <c r="F121" s="251">
        <f t="shared" si="32"/>
        <v>0</v>
      </c>
      <c r="G121" s="251">
        <f t="shared" si="33"/>
        <v>0</v>
      </c>
      <c r="H121" s="251" t="e">
        <f t="shared" si="34"/>
        <v>#VALUE!</v>
      </c>
      <c r="I121" s="251">
        <f t="shared" si="35"/>
        <v>0</v>
      </c>
      <c r="J121" s="251">
        <f t="shared" si="47"/>
        <v>0</v>
      </c>
      <c r="K121" s="251">
        <f t="shared" si="36"/>
        <v>0</v>
      </c>
      <c r="L121" s="174"/>
      <c r="M121" s="224"/>
      <c r="N121" s="225">
        <f t="shared" si="37"/>
        <v>0</v>
      </c>
      <c r="O121" s="251" t="e">
        <f t="shared" si="38"/>
        <v>#N/A</v>
      </c>
      <c r="P121" s="251">
        <f t="shared" si="48"/>
        <v>0</v>
      </c>
      <c r="Q121" s="251">
        <f t="shared" si="39"/>
        <v>0</v>
      </c>
      <c r="R121" s="251">
        <f t="shared" si="40"/>
        <v>0</v>
      </c>
      <c r="S121" s="251" t="e">
        <f t="shared" si="41"/>
        <v>#VALUE!</v>
      </c>
      <c r="T121" s="251">
        <f t="shared" si="28"/>
        <v>0</v>
      </c>
      <c r="U121" s="252">
        <f>TRUNC(T121*Condições!$C$102,2)</f>
        <v>0</v>
      </c>
      <c r="V121" s="199">
        <f t="shared" si="49"/>
        <v>0</v>
      </c>
      <c r="W121" s="161" t="e">
        <f t="shared" si="42"/>
        <v>#N/A</v>
      </c>
      <c r="X121" s="161" t="e">
        <f t="shared" si="43"/>
        <v>#N/A</v>
      </c>
      <c r="Y121" s="161">
        <f t="shared" si="50"/>
        <v>96</v>
      </c>
      <c r="Z121" s="161">
        <f t="shared" ca="1" si="51"/>
        <v>6</v>
      </c>
      <c r="AG121" s="114">
        <f t="shared" si="52"/>
        <v>0</v>
      </c>
      <c r="AH121" s="113"/>
      <c r="AI121" s="199">
        <f ca="1">IF(AL121=0,0,IF(AL121&gt;Preenchimento!$AA$88*12,0,IF($AC$53=AM121,0,1)))</f>
        <v>0</v>
      </c>
      <c r="AJ121" s="161" t="e">
        <f t="shared" ca="1" si="44"/>
        <v>#N/A</v>
      </c>
      <c r="AK121" s="161" t="e">
        <f t="shared" ca="1" si="45"/>
        <v>#N/A</v>
      </c>
      <c r="AL121" s="161">
        <f ca="1">IF(Y121&gt;(Preenchimento!$AA$90*12),0,Fixa!Y121)</f>
        <v>0</v>
      </c>
      <c r="AM121" s="161">
        <f t="shared" ca="1" si="53"/>
        <v>6</v>
      </c>
      <c r="AN121" s="199">
        <f ca="1">IF(AQ121&gt;Preenchimento!$AA$90*12,0,1)</f>
        <v>0</v>
      </c>
      <c r="AO121" s="161" t="e">
        <f ca="1">1/((1+SAC!$AD$29)^AL121)</f>
        <v>#N/A</v>
      </c>
      <c r="AP121" s="82" t="e">
        <f t="shared" ca="1" si="54"/>
        <v>#N/A</v>
      </c>
      <c r="AQ121" s="82">
        <v>96</v>
      </c>
      <c r="AS121" s="477">
        <f t="shared" ca="1" si="46"/>
        <v>0</v>
      </c>
    </row>
    <row r="122" spans="1:45" ht="12" customHeight="1">
      <c r="A122" s="53">
        <v>97</v>
      </c>
      <c r="B122" s="249">
        <f ca="1">DATE(IF(MONTH(B121)=12,YEAR(B121)+1,YEAR(B121)),IF(MONTH(B121)=12,1,MONTH(B121)+1),MIN(DAY(Condições!$C$109),IF(IF(MONTH(B121)=12,1,MONTH(B121)+1)=2,IF(MOD(IF(MONTH(B121)=12,YEAR(B121)+1,YEAR(B121)),4)=0,29,28),IF(OR(IF(MONTH(B121)=12,1,MONTH(B121)+1)=4,IF(MONTH(B121)=12,1,MONTH(B121)+1)=6,IF(MONTH(B121)=12,1,MONTH(B121)+1)=9,IF(MONTH(B121)=12,1,MONTH(B121)+1)=11),30,DAY($B$25)))))</f>
        <v>49141</v>
      </c>
      <c r="C122" s="250" t="str">
        <f t="shared" si="29"/>
        <v/>
      </c>
      <c r="D122" s="251" t="e">
        <f t="shared" si="30"/>
        <v>#N/A</v>
      </c>
      <c r="E122" s="251">
        <f t="shared" si="31"/>
        <v>0</v>
      </c>
      <c r="F122" s="251">
        <f t="shared" si="32"/>
        <v>0</v>
      </c>
      <c r="G122" s="251">
        <f t="shared" si="33"/>
        <v>0</v>
      </c>
      <c r="H122" s="251" t="e">
        <f t="shared" si="34"/>
        <v>#VALUE!</v>
      </c>
      <c r="I122" s="251">
        <f t="shared" si="35"/>
        <v>0</v>
      </c>
      <c r="J122" s="251">
        <f t="shared" si="47"/>
        <v>0</v>
      </c>
      <c r="K122" s="251">
        <f t="shared" si="36"/>
        <v>0</v>
      </c>
      <c r="L122" s="174"/>
      <c r="M122" s="224"/>
      <c r="N122" s="225">
        <f t="shared" si="37"/>
        <v>0</v>
      </c>
      <c r="O122" s="251" t="e">
        <f t="shared" si="38"/>
        <v>#N/A</v>
      </c>
      <c r="P122" s="251">
        <f t="shared" si="48"/>
        <v>0</v>
      </c>
      <c r="Q122" s="251">
        <f t="shared" si="39"/>
        <v>0</v>
      </c>
      <c r="R122" s="251">
        <f t="shared" si="40"/>
        <v>0</v>
      </c>
      <c r="S122" s="251" t="e">
        <f t="shared" si="41"/>
        <v>#VALUE!</v>
      </c>
      <c r="T122" s="251">
        <f t="shared" si="28"/>
        <v>0</v>
      </c>
      <c r="U122" s="252">
        <f>TRUNC(T122*Condições!$C$102,2)</f>
        <v>0</v>
      </c>
      <c r="V122" s="199">
        <f t="shared" si="49"/>
        <v>0</v>
      </c>
      <c r="W122" s="161" t="e">
        <f t="shared" si="42"/>
        <v>#N/A</v>
      </c>
      <c r="X122" s="161" t="e">
        <f t="shared" si="43"/>
        <v>#N/A</v>
      </c>
      <c r="Y122" s="161">
        <f t="shared" si="50"/>
        <v>97</v>
      </c>
      <c r="Z122" s="161">
        <f t="shared" ca="1" si="51"/>
        <v>7</v>
      </c>
      <c r="AG122" s="114">
        <f t="shared" si="52"/>
        <v>0</v>
      </c>
      <c r="AH122" s="113"/>
      <c r="AI122" s="199">
        <f ca="1">IF(AL122=0,0,IF(AL122&gt;Preenchimento!$AA$88*12,0,IF($AC$53=AM122,0,1)))</f>
        <v>0</v>
      </c>
      <c r="AJ122" s="161" t="e">
        <f t="shared" ca="1" si="44"/>
        <v>#N/A</v>
      </c>
      <c r="AK122" s="161" t="e">
        <f t="shared" ca="1" si="45"/>
        <v>#N/A</v>
      </c>
      <c r="AL122" s="161">
        <f ca="1">IF(Y122&gt;(Preenchimento!$AA$90*12),0,Fixa!Y122)</f>
        <v>0</v>
      </c>
      <c r="AM122" s="161">
        <f t="shared" ca="1" si="53"/>
        <v>7</v>
      </c>
      <c r="AN122" s="199">
        <f ca="1">IF(AQ122&gt;Preenchimento!$AA$90*12,0,1)</f>
        <v>0</v>
      </c>
      <c r="AO122" s="161" t="e">
        <f ca="1">1/((1+SAC!$AD$29)^AL122)</f>
        <v>#N/A</v>
      </c>
      <c r="AP122" s="82" t="e">
        <f t="shared" ca="1" si="54"/>
        <v>#N/A</v>
      </c>
      <c r="AQ122" s="82">
        <v>97</v>
      </c>
      <c r="AS122" s="477">
        <f t="shared" ca="1" si="46"/>
        <v>0</v>
      </c>
    </row>
    <row r="123" spans="1:45" ht="12" customHeight="1">
      <c r="A123" s="53">
        <v>98</v>
      </c>
      <c r="B123" s="249">
        <f ca="1">DATE(IF(MONTH(B122)=12,YEAR(B122)+1,YEAR(B122)),IF(MONTH(B122)=12,1,MONTH(B122)+1),MIN(DAY(Condições!$C$109),IF(IF(MONTH(B122)=12,1,MONTH(B122)+1)=2,IF(MOD(IF(MONTH(B122)=12,YEAR(B122)+1,YEAR(B122)),4)=0,29,28),IF(OR(IF(MONTH(B122)=12,1,MONTH(B122)+1)=4,IF(MONTH(B122)=12,1,MONTH(B122)+1)=6,IF(MONTH(B122)=12,1,MONTH(B122)+1)=9,IF(MONTH(B122)=12,1,MONTH(B122)+1)=11),30,DAY($B$25)))))</f>
        <v>49172</v>
      </c>
      <c r="C123" s="250" t="str">
        <f t="shared" si="29"/>
        <v/>
      </c>
      <c r="D123" s="251" t="e">
        <f t="shared" si="30"/>
        <v>#N/A</v>
      </c>
      <c r="E123" s="251">
        <f t="shared" si="31"/>
        <v>0</v>
      </c>
      <c r="F123" s="251">
        <f t="shared" si="32"/>
        <v>0</v>
      </c>
      <c r="G123" s="251">
        <f t="shared" si="33"/>
        <v>0</v>
      </c>
      <c r="H123" s="251" t="e">
        <f t="shared" si="34"/>
        <v>#VALUE!</v>
      </c>
      <c r="I123" s="251">
        <f t="shared" si="35"/>
        <v>0</v>
      </c>
      <c r="J123" s="251">
        <f t="shared" si="47"/>
        <v>0</v>
      </c>
      <c r="K123" s="251">
        <f t="shared" si="36"/>
        <v>0</v>
      </c>
      <c r="L123" s="174"/>
      <c r="M123" s="224"/>
      <c r="N123" s="225">
        <f t="shared" si="37"/>
        <v>0</v>
      </c>
      <c r="O123" s="251" t="e">
        <f t="shared" si="38"/>
        <v>#N/A</v>
      </c>
      <c r="P123" s="251">
        <f t="shared" si="48"/>
        <v>0</v>
      </c>
      <c r="Q123" s="251">
        <f t="shared" si="39"/>
        <v>0</v>
      </c>
      <c r="R123" s="251">
        <f t="shared" si="40"/>
        <v>0</v>
      </c>
      <c r="S123" s="251" t="e">
        <f t="shared" si="41"/>
        <v>#VALUE!</v>
      </c>
      <c r="T123" s="251">
        <f t="shared" si="28"/>
        <v>0</v>
      </c>
      <c r="U123" s="252">
        <f>TRUNC(T123*Condições!$C$102,2)</f>
        <v>0</v>
      </c>
      <c r="V123" s="199">
        <f t="shared" si="49"/>
        <v>0</v>
      </c>
      <c r="W123" s="161" t="e">
        <f t="shared" si="42"/>
        <v>#N/A</v>
      </c>
      <c r="X123" s="161" t="e">
        <f t="shared" si="43"/>
        <v>#N/A</v>
      </c>
      <c r="Y123" s="161">
        <f t="shared" si="50"/>
        <v>98</v>
      </c>
      <c r="Z123" s="161">
        <f t="shared" ca="1" si="51"/>
        <v>8</v>
      </c>
      <c r="AG123" s="114">
        <f t="shared" si="52"/>
        <v>0</v>
      </c>
      <c r="AH123" s="113"/>
      <c r="AI123" s="199">
        <f ca="1">IF(AL123=0,0,IF(AL123&gt;Preenchimento!$AA$88*12,0,IF($AC$53=AM123,0,1)))</f>
        <v>0</v>
      </c>
      <c r="AJ123" s="161" t="e">
        <f t="shared" ca="1" si="44"/>
        <v>#N/A</v>
      </c>
      <c r="AK123" s="161" t="e">
        <f t="shared" ca="1" si="45"/>
        <v>#N/A</v>
      </c>
      <c r="AL123" s="161">
        <f ca="1">IF(Y123&gt;(Preenchimento!$AA$90*12),0,Fixa!Y123)</f>
        <v>0</v>
      </c>
      <c r="AM123" s="161">
        <f t="shared" ca="1" si="53"/>
        <v>8</v>
      </c>
      <c r="AN123" s="199">
        <f ca="1">IF(AQ123&gt;Preenchimento!$AA$90*12,0,1)</f>
        <v>0</v>
      </c>
      <c r="AO123" s="161" t="e">
        <f ca="1">1/((1+SAC!$AD$29)^AL123)</f>
        <v>#N/A</v>
      </c>
      <c r="AP123" s="82" t="e">
        <f t="shared" ca="1" si="54"/>
        <v>#N/A</v>
      </c>
      <c r="AQ123" s="82">
        <v>98</v>
      </c>
      <c r="AS123" s="477">
        <f t="shared" ca="1" si="46"/>
        <v>0</v>
      </c>
    </row>
    <row r="124" spans="1:45" ht="12" customHeight="1">
      <c r="A124" s="53">
        <v>99</v>
      </c>
      <c r="B124" s="249">
        <f ca="1">DATE(IF(MONTH(B123)=12,YEAR(B123)+1,YEAR(B123)),IF(MONTH(B123)=12,1,MONTH(B123)+1),MIN(DAY(Condições!$C$109),IF(IF(MONTH(B123)=12,1,MONTH(B123)+1)=2,IF(MOD(IF(MONTH(B123)=12,YEAR(B123)+1,YEAR(B123)),4)=0,29,28),IF(OR(IF(MONTH(B123)=12,1,MONTH(B123)+1)=4,IF(MONTH(B123)=12,1,MONTH(B123)+1)=6,IF(MONTH(B123)=12,1,MONTH(B123)+1)=9,IF(MONTH(B123)=12,1,MONTH(B123)+1)=11),30,DAY($B$25)))))</f>
        <v>49203</v>
      </c>
      <c r="C124" s="250" t="str">
        <f t="shared" si="29"/>
        <v/>
      </c>
      <c r="D124" s="251" t="e">
        <f t="shared" si="30"/>
        <v>#N/A</v>
      </c>
      <c r="E124" s="251">
        <f t="shared" si="31"/>
        <v>0</v>
      </c>
      <c r="F124" s="251">
        <f t="shared" si="32"/>
        <v>0</v>
      </c>
      <c r="G124" s="251">
        <f t="shared" si="33"/>
        <v>0</v>
      </c>
      <c r="H124" s="251" t="e">
        <f t="shared" si="34"/>
        <v>#VALUE!</v>
      </c>
      <c r="I124" s="251">
        <f t="shared" si="35"/>
        <v>0</v>
      </c>
      <c r="J124" s="251">
        <f t="shared" si="47"/>
        <v>0</v>
      </c>
      <c r="K124" s="251">
        <f t="shared" si="36"/>
        <v>0</v>
      </c>
      <c r="L124" s="174"/>
      <c r="M124" s="224"/>
      <c r="N124" s="225">
        <f t="shared" si="37"/>
        <v>0</v>
      </c>
      <c r="O124" s="251" t="e">
        <f t="shared" si="38"/>
        <v>#N/A</v>
      </c>
      <c r="P124" s="251">
        <f t="shared" si="48"/>
        <v>0</v>
      </c>
      <c r="Q124" s="251">
        <f t="shared" si="39"/>
        <v>0</v>
      </c>
      <c r="R124" s="251">
        <f t="shared" si="40"/>
        <v>0</v>
      </c>
      <c r="S124" s="251" t="e">
        <f t="shared" si="41"/>
        <v>#VALUE!</v>
      </c>
      <c r="T124" s="251">
        <f t="shared" si="28"/>
        <v>0</v>
      </c>
      <c r="U124" s="252">
        <f>TRUNC(T124*Condições!$C$102,2)</f>
        <v>0</v>
      </c>
      <c r="V124" s="199">
        <f t="shared" si="49"/>
        <v>0</v>
      </c>
      <c r="W124" s="161" t="e">
        <f t="shared" si="42"/>
        <v>#N/A</v>
      </c>
      <c r="X124" s="161" t="e">
        <f t="shared" si="43"/>
        <v>#N/A</v>
      </c>
      <c r="Y124" s="161">
        <f t="shared" si="50"/>
        <v>99</v>
      </c>
      <c r="Z124" s="161">
        <f t="shared" ca="1" si="51"/>
        <v>9</v>
      </c>
      <c r="AG124" s="114">
        <f t="shared" si="52"/>
        <v>0</v>
      </c>
      <c r="AH124" s="113"/>
      <c r="AI124" s="199">
        <f ca="1">IF(AL124=0,0,IF(AL124&gt;Preenchimento!$AA$88*12,0,IF($AC$53=AM124,0,1)))</f>
        <v>0</v>
      </c>
      <c r="AJ124" s="161" t="e">
        <f t="shared" ca="1" si="44"/>
        <v>#N/A</v>
      </c>
      <c r="AK124" s="161" t="e">
        <f t="shared" ca="1" si="45"/>
        <v>#N/A</v>
      </c>
      <c r="AL124" s="161">
        <f ca="1">IF(Y124&gt;(Preenchimento!$AA$90*12),0,Fixa!Y124)</f>
        <v>0</v>
      </c>
      <c r="AM124" s="161">
        <f t="shared" ca="1" si="53"/>
        <v>9</v>
      </c>
      <c r="AN124" s="199">
        <f ca="1">IF(AQ124&gt;Preenchimento!$AA$90*12,0,1)</f>
        <v>0</v>
      </c>
      <c r="AO124" s="161" t="e">
        <f ca="1">1/((1+SAC!$AD$29)^AL124)</f>
        <v>#N/A</v>
      </c>
      <c r="AP124" s="82" t="e">
        <f t="shared" ca="1" si="54"/>
        <v>#N/A</v>
      </c>
      <c r="AQ124" s="82">
        <v>99</v>
      </c>
      <c r="AS124" s="477">
        <f t="shared" ca="1" si="46"/>
        <v>0</v>
      </c>
    </row>
    <row r="125" spans="1:45" ht="12" customHeight="1">
      <c r="A125" s="53">
        <v>100</v>
      </c>
      <c r="B125" s="249">
        <f ca="1">DATE(IF(MONTH(B124)=12,YEAR(B124)+1,YEAR(B124)),IF(MONTH(B124)=12,1,MONTH(B124)+1),MIN(DAY(Condições!$C$109),IF(IF(MONTH(B124)=12,1,MONTH(B124)+1)=2,IF(MOD(IF(MONTH(B124)=12,YEAR(B124)+1,YEAR(B124)),4)=0,29,28),IF(OR(IF(MONTH(B124)=12,1,MONTH(B124)+1)=4,IF(MONTH(B124)=12,1,MONTH(B124)+1)=6,IF(MONTH(B124)=12,1,MONTH(B124)+1)=9,IF(MONTH(B124)=12,1,MONTH(B124)+1)=11),30,DAY($B$25)))))</f>
        <v>49233</v>
      </c>
      <c r="C125" s="250" t="str">
        <f t="shared" si="29"/>
        <v/>
      </c>
      <c r="D125" s="251" t="e">
        <f t="shared" si="30"/>
        <v>#N/A</v>
      </c>
      <c r="E125" s="251">
        <f t="shared" si="31"/>
        <v>0</v>
      </c>
      <c r="F125" s="251">
        <f t="shared" si="32"/>
        <v>0</v>
      </c>
      <c r="G125" s="251">
        <f t="shared" si="33"/>
        <v>0</v>
      </c>
      <c r="H125" s="251" t="e">
        <f t="shared" si="34"/>
        <v>#VALUE!</v>
      </c>
      <c r="I125" s="251">
        <f t="shared" si="35"/>
        <v>0</v>
      </c>
      <c r="J125" s="251">
        <f t="shared" si="47"/>
        <v>0</v>
      </c>
      <c r="K125" s="251">
        <f t="shared" si="36"/>
        <v>0</v>
      </c>
      <c r="L125" s="174"/>
      <c r="M125" s="224"/>
      <c r="N125" s="225">
        <f t="shared" si="37"/>
        <v>0</v>
      </c>
      <c r="O125" s="251" t="e">
        <f t="shared" si="38"/>
        <v>#N/A</v>
      </c>
      <c r="P125" s="251">
        <f t="shared" si="48"/>
        <v>0</v>
      </c>
      <c r="Q125" s="251">
        <f t="shared" si="39"/>
        <v>0</v>
      </c>
      <c r="R125" s="251">
        <f t="shared" si="40"/>
        <v>0</v>
      </c>
      <c r="S125" s="251" t="e">
        <f t="shared" si="41"/>
        <v>#VALUE!</v>
      </c>
      <c r="T125" s="251">
        <f t="shared" si="28"/>
        <v>0</v>
      </c>
      <c r="U125" s="252">
        <f>TRUNC(T125*Condições!$C$102,2)</f>
        <v>0</v>
      </c>
      <c r="V125" s="199">
        <f t="shared" si="49"/>
        <v>0</v>
      </c>
      <c r="W125" s="161" t="e">
        <f t="shared" si="42"/>
        <v>#N/A</v>
      </c>
      <c r="X125" s="161" t="e">
        <f t="shared" si="43"/>
        <v>#N/A</v>
      </c>
      <c r="Y125" s="161">
        <f t="shared" si="50"/>
        <v>100</v>
      </c>
      <c r="Z125" s="161">
        <f t="shared" ca="1" si="51"/>
        <v>10</v>
      </c>
      <c r="AG125" s="114">
        <f t="shared" si="52"/>
        <v>0</v>
      </c>
      <c r="AH125" s="113"/>
      <c r="AI125" s="199">
        <f ca="1">IF(AL125=0,0,IF(AL125&gt;Preenchimento!$AA$88*12,0,IF($AC$53=AM125,0,1)))</f>
        <v>0</v>
      </c>
      <c r="AJ125" s="161" t="e">
        <f t="shared" ca="1" si="44"/>
        <v>#N/A</v>
      </c>
      <c r="AK125" s="161" t="e">
        <f t="shared" ca="1" si="45"/>
        <v>#N/A</v>
      </c>
      <c r="AL125" s="161">
        <f ca="1">IF(Y125&gt;(Preenchimento!$AA$90*12),0,Fixa!Y125)</f>
        <v>0</v>
      </c>
      <c r="AM125" s="161">
        <f t="shared" ca="1" si="53"/>
        <v>10</v>
      </c>
      <c r="AN125" s="199">
        <f ca="1">IF(AQ125&gt;Preenchimento!$AA$90*12,0,1)</f>
        <v>0</v>
      </c>
      <c r="AO125" s="161" t="e">
        <f ca="1">1/((1+SAC!$AD$29)^AL125)</f>
        <v>#N/A</v>
      </c>
      <c r="AP125" s="82" t="e">
        <f t="shared" ca="1" si="54"/>
        <v>#N/A</v>
      </c>
      <c r="AQ125" s="82">
        <v>100</v>
      </c>
      <c r="AS125" s="477">
        <f t="shared" ca="1" si="46"/>
        <v>0</v>
      </c>
    </row>
    <row r="126" spans="1:45" ht="12" customHeight="1">
      <c r="A126" s="53">
        <v>101</v>
      </c>
      <c r="B126" s="249">
        <f ca="1">DATE(IF(MONTH(B125)=12,YEAR(B125)+1,YEAR(B125)),IF(MONTH(B125)=12,1,MONTH(B125)+1),MIN(DAY(Condições!$C$109),IF(IF(MONTH(B125)=12,1,MONTH(B125)+1)=2,IF(MOD(IF(MONTH(B125)=12,YEAR(B125)+1,YEAR(B125)),4)=0,29,28),IF(OR(IF(MONTH(B125)=12,1,MONTH(B125)+1)=4,IF(MONTH(B125)=12,1,MONTH(B125)+1)=6,IF(MONTH(B125)=12,1,MONTH(B125)+1)=9,IF(MONTH(B125)=12,1,MONTH(B125)+1)=11),30,DAY($B$25)))))</f>
        <v>49264</v>
      </c>
      <c r="C126" s="250" t="str">
        <f t="shared" si="29"/>
        <v/>
      </c>
      <c r="D126" s="251" t="e">
        <f t="shared" si="30"/>
        <v>#N/A</v>
      </c>
      <c r="E126" s="251">
        <f t="shared" si="31"/>
        <v>0</v>
      </c>
      <c r="F126" s="251">
        <f t="shared" si="32"/>
        <v>0</v>
      </c>
      <c r="G126" s="251">
        <f t="shared" si="33"/>
        <v>0</v>
      </c>
      <c r="H126" s="251" t="e">
        <f t="shared" si="34"/>
        <v>#VALUE!</v>
      </c>
      <c r="I126" s="251">
        <f t="shared" si="35"/>
        <v>0</v>
      </c>
      <c r="J126" s="251">
        <f t="shared" si="47"/>
        <v>0</v>
      </c>
      <c r="K126" s="251">
        <f t="shared" si="36"/>
        <v>0</v>
      </c>
      <c r="L126" s="174"/>
      <c r="M126" s="224"/>
      <c r="N126" s="225">
        <f t="shared" si="37"/>
        <v>0</v>
      </c>
      <c r="O126" s="251" t="e">
        <f t="shared" si="38"/>
        <v>#N/A</v>
      </c>
      <c r="P126" s="251">
        <f t="shared" si="48"/>
        <v>0</v>
      </c>
      <c r="Q126" s="251">
        <f t="shared" si="39"/>
        <v>0</v>
      </c>
      <c r="R126" s="251">
        <f t="shared" si="40"/>
        <v>0</v>
      </c>
      <c r="S126" s="251" t="e">
        <f t="shared" si="41"/>
        <v>#VALUE!</v>
      </c>
      <c r="T126" s="251">
        <f t="shared" si="28"/>
        <v>0</v>
      </c>
      <c r="U126" s="252">
        <f>TRUNC(T126*Condições!$C$102,2)</f>
        <v>0</v>
      </c>
      <c r="V126" s="199">
        <f t="shared" si="49"/>
        <v>0</v>
      </c>
      <c r="W126" s="161" t="e">
        <f t="shared" si="42"/>
        <v>#N/A</v>
      </c>
      <c r="X126" s="161" t="e">
        <f t="shared" si="43"/>
        <v>#N/A</v>
      </c>
      <c r="Y126" s="161">
        <f t="shared" si="50"/>
        <v>101</v>
      </c>
      <c r="Z126" s="161">
        <f t="shared" ca="1" si="51"/>
        <v>11</v>
      </c>
      <c r="AG126" s="114">
        <f t="shared" si="52"/>
        <v>0</v>
      </c>
      <c r="AH126" s="113"/>
      <c r="AI126" s="199">
        <f ca="1">IF(AL126=0,0,IF(AL126&gt;Preenchimento!$AA$88*12,0,IF($AC$53=AM126,0,1)))</f>
        <v>0</v>
      </c>
      <c r="AJ126" s="161" t="e">
        <f t="shared" ca="1" si="44"/>
        <v>#N/A</v>
      </c>
      <c r="AK126" s="161" t="e">
        <f t="shared" ca="1" si="45"/>
        <v>#N/A</v>
      </c>
      <c r="AL126" s="161">
        <f ca="1">IF(Y126&gt;(Preenchimento!$AA$90*12),0,Fixa!Y126)</f>
        <v>0</v>
      </c>
      <c r="AM126" s="161">
        <f t="shared" ca="1" si="53"/>
        <v>11</v>
      </c>
      <c r="AN126" s="199">
        <f ca="1">IF(AQ126&gt;Preenchimento!$AA$90*12,0,1)</f>
        <v>0</v>
      </c>
      <c r="AO126" s="161" t="e">
        <f ca="1">1/((1+SAC!$AD$29)^AL126)</f>
        <v>#N/A</v>
      </c>
      <c r="AP126" s="82" t="e">
        <f t="shared" ca="1" si="54"/>
        <v>#N/A</v>
      </c>
      <c r="AQ126" s="82">
        <v>101</v>
      </c>
      <c r="AS126" s="477">
        <f t="shared" ca="1" si="46"/>
        <v>0</v>
      </c>
    </row>
    <row r="127" spans="1:45" ht="12" customHeight="1">
      <c r="A127" s="53">
        <v>102</v>
      </c>
      <c r="B127" s="249">
        <f ca="1">DATE(IF(MONTH(B126)=12,YEAR(B126)+1,YEAR(B126)),IF(MONTH(B126)=12,1,MONTH(B126)+1),MIN(DAY(Condições!$C$109),IF(IF(MONTH(B126)=12,1,MONTH(B126)+1)=2,IF(MOD(IF(MONTH(B126)=12,YEAR(B126)+1,YEAR(B126)),4)=0,29,28),IF(OR(IF(MONTH(B126)=12,1,MONTH(B126)+1)=4,IF(MONTH(B126)=12,1,MONTH(B126)+1)=6,IF(MONTH(B126)=12,1,MONTH(B126)+1)=9,IF(MONTH(B126)=12,1,MONTH(B126)+1)=11),30,DAY($B$25)))))</f>
        <v>49294</v>
      </c>
      <c r="C127" s="250" t="str">
        <f t="shared" si="29"/>
        <v/>
      </c>
      <c r="D127" s="251" t="e">
        <f t="shared" si="30"/>
        <v>#N/A</v>
      </c>
      <c r="E127" s="251">
        <f t="shared" si="31"/>
        <v>0</v>
      </c>
      <c r="F127" s="251">
        <f t="shared" si="32"/>
        <v>0</v>
      </c>
      <c r="G127" s="251">
        <f t="shared" si="33"/>
        <v>0</v>
      </c>
      <c r="H127" s="251" t="e">
        <f t="shared" si="34"/>
        <v>#VALUE!</v>
      </c>
      <c r="I127" s="251">
        <f t="shared" si="35"/>
        <v>0</v>
      </c>
      <c r="J127" s="251">
        <f t="shared" si="47"/>
        <v>0</v>
      </c>
      <c r="K127" s="251">
        <f t="shared" si="36"/>
        <v>0</v>
      </c>
      <c r="L127" s="174"/>
      <c r="M127" s="224"/>
      <c r="N127" s="225">
        <f t="shared" si="37"/>
        <v>0</v>
      </c>
      <c r="O127" s="251" t="e">
        <f t="shared" si="38"/>
        <v>#N/A</v>
      </c>
      <c r="P127" s="251">
        <f t="shared" si="48"/>
        <v>0</v>
      </c>
      <c r="Q127" s="251">
        <f t="shared" si="39"/>
        <v>0</v>
      </c>
      <c r="R127" s="251">
        <f t="shared" si="40"/>
        <v>0</v>
      </c>
      <c r="S127" s="251" t="e">
        <f t="shared" si="41"/>
        <v>#VALUE!</v>
      </c>
      <c r="T127" s="251">
        <f t="shared" si="28"/>
        <v>0</v>
      </c>
      <c r="U127" s="252">
        <f>TRUNC(T127*Condições!$C$102,2)</f>
        <v>0</v>
      </c>
      <c r="V127" s="199">
        <f t="shared" si="49"/>
        <v>0</v>
      </c>
      <c r="W127" s="161" t="e">
        <f t="shared" si="42"/>
        <v>#N/A</v>
      </c>
      <c r="X127" s="161" t="e">
        <f t="shared" si="43"/>
        <v>#N/A</v>
      </c>
      <c r="Y127" s="161">
        <f t="shared" si="50"/>
        <v>102</v>
      </c>
      <c r="Z127" s="161">
        <f t="shared" ca="1" si="51"/>
        <v>12</v>
      </c>
      <c r="AG127" s="114">
        <f t="shared" si="52"/>
        <v>0</v>
      </c>
      <c r="AH127" s="113"/>
      <c r="AI127" s="199">
        <f ca="1">IF(AL127=0,0,IF(AL127&gt;Preenchimento!$AA$88*12,0,IF($AC$53=AM127,0,1)))</f>
        <v>0</v>
      </c>
      <c r="AJ127" s="161" t="e">
        <f t="shared" ca="1" si="44"/>
        <v>#N/A</v>
      </c>
      <c r="AK127" s="161" t="e">
        <f t="shared" ca="1" si="45"/>
        <v>#N/A</v>
      </c>
      <c r="AL127" s="161">
        <f ca="1">IF(Y127&gt;(Preenchimento!$AA$90*12),0,Fixa!Y127)</f>
        <v>0</v>
      </c>
      <c r="AM127" s="161">
        <f t="shared" ca="1" si="53"/>
        <v>12</v>
      </c>
      <c r="AN127" s="199">
        <f ca="1">IF(AQ127&gt;Preenchimento!$AA$90*12,0,1)</f>
        <v>0</v>
      </c>
      <c r="AO127" s="161" t="e">
        <f ca="1">1/((1+SAC!$AD$29)^AL127)</f>
        <v>#N/A</v>
      </c>
      <c r="AP127" s="82" t="e">
        <f t="shared" ca="1" si="54"/>
        <v>#N/A</v>
      </c>
      <c r="AQ127" s="82">
        <v>102</v>
      </c>
      <c r="AS127" s="477">
        <f t="shared" ca="1" si="46"/>
        <v>0</v>
      </c>
    </row>
    <row r="128" spans="1:45" ht="12" customHeight="1">
      <c r="A128" s="53">
        <v>103</v>
      </c>
      <c r="B128" s="249">
        <f ca="1">DATE(IF(MONTH(B127)=12,YEAR(B127)+1,YEAR(B127)),IF(MONTH(B127)=12,1,MONTH(B127)+1),MIN(DAY(Condições!$C$109),IF(IF(MONTH(B127)=12,1,MONTH(B127)+1)=2,IF(MOD(IF(MONTH(B127)=12,YEAR(B127)+1,YEAR(B127)),4)=0,29,28),IF(OR(IF(MONTH(B127)=12,1,MONTH(B127)+1)=4,IF(MONTH(B127)=12,1,MONTH(B127)+1)=6,IF(MONTH(B127)=12,1,MONTH(B127)+1)=9,IF(MONTH(B127)=12,1,MONTH(B127)+1)=11),30,DAY($B$25)))))</f>
        <v>49325</v>
      </c>
      <c r="C128" s="250" t="str">
        <f t="shared" si="29"/>
        <v/>
      </c>
      <c r="D128" s="251" t="e">
        <f t="shared" si="30"/>
        <v>#N/A</v>
      </c>
      <c r="E128" s="251">
        <f t="shared" si="31"/>
        <v>0</v>
      </c>
      <c r="F128" s="251">
        <f t="shared" si="32"/>
        <v>0</v>
      </c>
      <c r="G128" s="251">
        <f t="shared" si="33"/>
        <v>0</v>
      </c>
      <c r="H128" s="251" t="e">
        <f t="shared" si="34"/>
        <v>#VALUE!</v>
      </c>
      <c r="I128" s="251">
        <f t="shared" si="35"/>
        <v>0</v>
      </c>
      <c r="J128" s="251">
        <f t="shared" si="47"/>
        <v>0</v>
      </c>
      <c r="K128" s="251">
        <f t="shared" si="36"/>
        <v>0</v>
      </c>
      <c r="L128" s="174"/>
      <c r="M128" s="224"/>
      <c r="N128" s="225">
        <f t="shared" si="37"/>
        <v>0</v>
      </c>
      <c r="O128" s="251" t="e">
        <f t="shared" si="38"/>
        <v>#N/A</v>
      </c>
      <c r="P128" s="251">
        <f t="shared" si="48"/>
        <v>0</v>
      </c>
      <c r="Q128" s="251">
        <f t="shared" si="39"/>
        <v>0</v>
      </c>
      <c r="R128" s="251">
        <f t="shared" si="40"/>
        <v>0</v>
      </c>
      <c r="S128" s="251" t="e">
        <f t="shared" si="41"/>
        <v>#VALUE!</v>
      </c>
      <c r="T128" s="251">
        <f t="shared" si="28"/>
        <v>0</v>
      </c>
      <c r="U128" s="252">
        <f>TRUNC(T128*Condições!$C$102,2)</f>
        <v>0</v>
      </c>
      <c r="V128" s="199">
        <f t="shared" si="49"/>
        <v>0</v>
      </c>
      <c r="W128" s="161" t="e">
        <f t="shared" si="42"/>
        <v>#N/A</v>
      </c>
      <c r="X128" s="161" t="e">
        <f t="shared" si="43"/>
        <v>#N/A</v>
      </c>
      <c r="Y128" s="161">
        <f t="shared" si="50"/>
        <v>103</v>
      </c>
      <c r="Z128" s="161">
        <f t="shared" ca="1" si="51"/>
        <v>1</v>
      </c>
      <c r="AG128" s="114">
        <f t="shared" si="52"/>
        <v>0</v>
      </c>
      <c r="AH128" s="113"/>
      <c r="AI128" s="199">
        <f ca="1">IF(AL128=0,0,IF(AL128&gt;Preenchimento!$AA$88*12,0,IF($AC$53=AM128,0,1)))</f>
        <v>0</v>
      </c>
      <c r="AJ128" s="161" t="e">
        <f t="shared" ca="1" si="44"/>
        <v>#N/A</v>
      </c>
      <c r="AK128" s="161" t="e">
        <f t="shared" ca="1" si="45"/>
        <v>#N/A</v>
      </c>
      <c r="AL128" s="161">
        <f ca="1">IF(Y128&gt;(Preenchimento!$AA$90*12),0,Fixa!Y128)</f>
        <v>0</v>
      </c>
      <c r="AM128" s="161">
        <f t="shared" ca="1" si="53"/>
        <v>1</v>
      </c>
      <c r="AN128" s="199">
        <f ca="1">IF(AQ128&gt;Preenchimento!$AA$90*12,0,1)</f>
        <v>0</v>
      </c>
      <c r="AO128" s="161" t="e">
        <f ca="1">1/((1+SAC!$AD$29)^AL128)</f>
        <v>#N/A</v>
      </c>
      <c r="AP128" s="82" t="e">
        <f t="shared" ca="1" si="54"/>
        <v>#N/A</v>
      </c>
      <c r="AQ128" s="82">
        <v>103</v>
      </c>
      <c r="AS128" s="477">
        <f t="shared" ca="1" si="46"/>
        <v>0</v>
      </c>
    </row>
    <row r="129" spans="1:45" ht="12" customHeight="1">
      <c r="A129" s="53">
        <v>104</v>
      </c>
      <c r="B129" s="249">
        <f ca="1">DATE(IF(MONTH(B128)=12,YEAR(B128)+1,YEAR(B128)),IF(MONTH(B128)=12,1,MONTH(B128)+1),MIN(DAY(Condições!$C$109),IF(IF(MONTH(B128)=12,1,MONTH(B128)+1)=2,IF(MOD(IF(MONTH(B128)=12,YEAR(B128)+1,YEAR(B128)),4)=0,29,28),IF(OR(IF(MONTH(B128)=12,1,MONTH(B128)+1)=4,IF(MONTH(B128)=12,1,MONTH(B128)+1)=6,IF(MONTH(B128)=12,1,MONTH(B128)+1)=9,IF(MONTH(B128)=12,1,MONTH(B128)+1)=11),30,DAY($B$25)))))</f>
        <v>49356</v>
      </c>
      <c r="C129" s="250" t="str">
        <f t="shared" si="29"/>
        <v/>
      </c>
      <c r="D129" s="251" t="e">
        <f t="shared" si="30"/>
        <v>#N/A</v>
      </c>
      <c r="E129" s="251">
        <f t="shared" si="31"/>
        <v>0</v>
      </c>
      <c r="F129" s="251">
        <f t="shared" si="32"/>
        <v>0</v>
      </c>
      <c r="G129" s="251">
        <f t="shared" si="33"/>
        <v>0</v>
      </c>
      <c r="H129" s="251" t="e">
        <f t="shared" si="34"/>
        <v>#VALUE!</v>
      </c>
      <c r="I129" s="251">
        <f t="shared" si="35"/>
        <v>0</v>
      </c>
      <c r="J129" s="251">
        <f t="shared" si="47"/>
        <v>0</v>
      </c>
      <c r="K129" s="251">
        <f t="shared" si="36"/>
        <v>0</v>
      </c>
      <c r="L129" s="174"/>
      <c r="M129" s="224"/>
      <c r="N129" s="225">
        <f t="shared" si="37"/>
        <v>0</v>
      </c>
      <c r="O129" s="251" t="e">
        <f t="shared" si="38"/>
        <v>#N/A</v>
      </c>
      <c r="P129" s="251">
        <f t="shared" si="48"/>
        <v>0</v>
      </c>
      <c r="Q129" s="251">
        <f t="shared" si="39"/>
        <v>0</v>
      </c>
      <c r="R129" s="251">
        <f t="shared" si="40"/>
        <v>0</v>
      </c>
      <c r="S129" s="251" t="e">
        <f t="shared" si="41"/>
        <v>#VALUE!</v>
      </c>
      <c r="T129" s="251">
        <f t="shared" si="28"/>
        <v>0</v>
      </c>
      <c r="U129" s="252">
        <f>TRUNC(T129*Condições!$C$102,2)</f>
        <v>0</v>
      </c>
      <c r="V129" s="199">
        <f t="shared" si="49"/>
        <v>0</v>
      </c>
      <c r="W129" s="161" t="e">
        <f t="shared" si="42"/>
        <v>#N/A</v>
      </c>
      <c r="X129" s="161" t="e">
        <f t="shared" si="43"/>
        <v>#N/A</v>
      </c>
      <c r="Y129" s="161">
        <f t="shared" si="50"/>
        <v>104</v>
      </c>
      <c r="Z129" s="161">
        <f t="shared" ca="1" si="51"/>
        <v>2</v>
      </c>
      <c r="AG129" s="114">
        <f t="shared" si="52"/>
        <v>0</v>
      </c>
      <c r="AH129" s="113"/>
      <c r="AI129" s="199">
        <f ca="1">IF(AL129=0,0,IF(AL129&gt;Preenchimento!$AA$88*12,0,IF($AC$53=AM129,0,1)))</f>
        <v>0</v>
      </c>
      <c r="AJ129" s="161" t="e">
        <f t="shared" ca="1" si="44"/>
        <v>#N/A</v>
      </c>
      <c r="AK129" s="161" t="e">
        <f t="shared" ca="1" si="45"/>
        <v>#N/A</v>
      </c>
      <c r="AL129" s="161">
        <f ca="1">IF(Y129&gt;(Preenchimento!$AA$90*12),0,Fixa!Y129)</f>
        <v>0</v>
      </c>
      <c r="AM129" s="161">
        <f t="shared" ca="1" si="53"/>
        <v>2</v>
      </c>
      <c r="AN129" s="199">
        <f ca="1">IF(AQ129&gt;Preenchimento!$AA$90*12,0,1)</f>
        <v>0</v>
      </c>
      <c r="AO129" s="161" t="e">
        <f ca="1">1/((1+SAC!$AD$29)^AL129)</f>
        <v>#N/A</v>
      </c>
      <c r="AP129" s="82" t="e">
        <f t="shared" ca="1" si="54"/>
        <v>#N/A</v>
      </c>
      <c r="AQ129" s="82">
        <v>104</v>
      </c>
      <c r="AS129" s="477">
        <f t="shared" ca="1" si="46"/>
        <v>0</v>
      </c>
    </row>
    <row r="130" spans="1:45" ht="12" customHeight="1">
      <c r="A130" s="53">
        <v>105</v>
      </c>
      <c r="B130" s="249">
        <f ca="1">DATE(IF(MONTH(B129)=12,YEAR(B129)+1,YEAR(B129)),IF(MONTH(B129)=12,1,MONTH(B129)+1),MIN(DAY(Condições!$C$109),IF(IF(MONTH(B129)=12,1,MONTH(B129)+1)=2,IF(MOD(IF(MONTH(B129)=12,YEAR(B129)+1,YEAR(B129)),4)=0,29,28),IF(OR(IF(MONTH(B129)=12,1,MONTH(B129)+1)=4,IF(MONTH(B129)=12,1,MONTH(B129)+1)=6,IF(MONTH(B129)=12,1,MONTH(B129)+1)=9,IF(MONTH(B129)=12,1,MONTH(B129)+1)=11),30,DAY($B$25)))))</f>
        <v>49384</v>
      </c>
      <c r="C130" s="250" t="str">
        <f t="shared" si="29"/>
        <v/>
      </c>
      <c r="D130" s="251" t="e">
        <f t="shared" si="30"/>
        <v>#N/A</v>
      </c>
      <c r="E130" s="251">
        <f t="shared" si="31"/>
        <v>0</v>
      </c>
      <c r="F130" s="251">
        <f t="shared" si="32"/>
        <v>0</v>
      </c>
      <c r="G130" s="251">
        <f t="shared" si="33"/>
        <v>0</v>
      </c>
      <c r="H130" s="251" t="e">
        <f t="shared" si="34"/>
        <v>#VALUE!</v>
      </c>
      <c r="I130" s="251">
        <f t="shared" si="35"/>
        <v>0</v>
      </c>
      <c r="J130" s="251">
        <f t="shared" si="47"/>
        <v>0</v>
      </c>
      <c r="K130" s="251">
        <f t="shared" si="36"/>
        <v>0</v>
      </c>
      <c r="L130" s="174"/>
      <c r="M130" s="224"/>
      <c r="N130" s="225">
        <f t="shared" si="37"/>
        <v>0</v>
      </c>
      <c r="O130" s="251" t="e">
        <f t="shared" si="38"/>
        <v>#N/A</v>
      </c>
      <c r="P130" s="251">
        <f t="shared" si="48"/>
        <v>0</v>
      </c>
      <c r="Q130" s="251">
        <f t="shared" si="39"/>
        <v>0</v>
      </c>
      <c r="R130" s="251">
        <f t="shared" si="40"/>
        <v>0</v>
      </c>
      <c r="S130" s="251" t="e">
        <f t="shared" si="41"/>
        <v>#VALUE!</v>
      </c>
      <c r="T130" s="251">
        <f t="shared" si="28"/>
        <v>0</v>
      </c>
      <c r="U130" s="252">
        <f>TRUNC(T130*Condições!$C$102,2)</f>
        <v>0</v>
      </c>
      <c r="V130" s="199">
        <f t="shared" si="49"/>
        <v>0</v>
      </c>
      <c r="W130" s="161" t="e">
        <f t="shared" si="42"/>
        <v>#N/A</v>
      </c>
      <c r="X130" s="161" t="e">
        <f t="shared" si="43"/>
        <v>#N/A</v>
      </c>
      <c r="Y130" s="161">
        <f t="shared" si="50"/>
        <v>105</v>
      </c>
      <c r="Z130" s="161">
        <f t="shared" ca="1" si="51"/>
        <v>3</v>
      </c>
      <c r="AG130" s="114">
        <f t="shared" si="52"/>
        <v>0</v>
      </c>
      <c r="AH130" s="113"/>
      <c r="AI130" s="199">
        <f ca="1">IF(AL130=0,0,IF(AL130&gt;Preenchimento!$AA$88*12,0,IF($AC$53=AM130,0,1)))</f>
        <v>0</v>
      </c>
      <c r="AJ130" s="161" t="e">
        <f t="shared" ca="1" si="44"/>
        <v>#N/A</v>
      </c>
      <c r="AK130" s="161" t="e">
        <f t="shared" ca="1" si="45"/>
        <v>#N/A</v>
      </c>
      <c r="AL130" s="161">
        <f ca="1">IF(Y130&gt;(Preenchimento!$AA$90*12),0,Fixa!Y130)</f>
        <v>0</v>
      </c>
      <c r="AM130" s="161">
        <f t="shared" ca="1" si="53"/>
        <v>3</v>
      </c>
      <c r="AN130" s="199">
        <f ca="1">IF(AQ130&gt;Preenchimento!$AA$90*12,0,1)</f>
        <v>0</v>
      </c>
      <c r="AO130" s="161" t="e">
        <f ca="1">1/((1+SAC!$AD$29)^AL130)</f>
        <v>#N/A</v>
      </c>
      <c r="AP130" s="82" t="e">
        <f t="shared" ca="1" si="54"/>
        <v>#N/A</v>
      </c>
      <c r="AQ130" s="82">
        <v>105</v>
      </c>
      <c r="AS130" s="477">
        <f t="shared" ca="1" si="46"/>
        <v>0</v>
      </c>
    </row>
    <row r="131" spans="1:45" ht="12" customHeight="1">
      <c r="A131" s="53">
        <v>106</v>
      </c>
      <c r="B131" s="249">
        <f ca="1">DATE(IF(MONTH(B130)=12,YEAR(B130)+1,YEAR(B130)),IF(MONTH(B130)=12,1,MONTH(B130)+1),MIN(DAY(Condições!$C$109),IF(IF(MONTH(B130)=12,1,MONTH(B130)+1)=2,IF(MOD(IF(MONTH(B130)=12,YEAR(B130)+1,YEAR(B130)),4)=0,29,28),IF(OR(IF(MONTH(B130)=12,1,MONTH(B130)+1)=4,IF(MONTH(B130)=12,1,MONTH(B130)+1)=6,IF(MONTH(B130)=12,1,MONTH(B130)+1)=9,IF(MONTH(B130)=12,1,MONTH(B130)+1)=11),30,DAY($B$25)))))</f>
        <v>49415</v>
      </c>
      <c r="C131" s="250" t="str">
        <f t="shared" si="29"/>
        <v/>
      </c>
      <c r="D131" s="251" t="e">
        <f t="shared" si="30"/>
        <v>#N/A</v>
      </c>
      <c r="E131" s="251">
        <f t="shared" si="31"/>
        <v>0</v>
      </c>
      <c r="F131" s="251">
        <f t="shared" si="32"/>
        <v>0</v>
      </c>
      <c r="G131" s="251">
        <f t="shared" si="33"/>
        <v>0</v>
      </c>
      <c r="H131" s="251" t="e">
        <f t="shared" si="34"/>
        <v>#VALUE!</v>
      </c>
      <c r="I131" s="251">
        <f t="shared" si="35"/>
        <v>0</v>
      </c>
      <c r="J131" s="251">
        <f t="shared" si="47"/>
        <v>0</v>
      </c>
      <c r="K131" s="251">
        <f t="shared" si="36"/>
        <v>0</v>
      </c>
      <c r="L131" s="174"/>
      <c r="M131" s="224"/>
      <c r="N131" s="225">
        <f t="shared" si="37"/>
        <v>0</v>
      </c>
      <c r="O131" s="251" t="e">
        <f t="shared" si="38"/>
        <v>#N/A</v>
      </c>
      <c r="P131" s="251">
        <f t="shared" si="48"/>
        <v>0</v>
      </c>
      <c r="Q131" s="251">
        <f t="shared" si="39"/>
        <v>0</v>
      </c>
      <c r="R131" s="251">
        <f t="shared" si="40"/>
        <v>0</v>
      </c>
      <c r="S131" s="251" t="e">
        <f t="shared" si="41"/>
        <v>#VALUE!</v>
      </c>
      <c r="T131" s="251">
        <f t="shared" si="28"/>
        <v>0</v>
      </c>
      <c r="U131" s="252">
        <f>TRUNC(T131*Condições!$C$102,2)</f>
        <v>0</v>
      </c>
      <c r="V131" s="199">
        <f t="shared" si="49"/>
        <v>0</v>
      </c>
      <c r="W131" s="161" t="e">
        <f t="shared" si="42"/>
        <v>#N/A</v>
      </c>
      <c r="X131" s="161" t="e">
        <f t="shared" si="43"/>
        <v>#N/A</v>
      </c>
      <c r="Y131" s="161">
        <f t="shared" si="50"/>
        <v>106</v>
      </c>
      <c r="Z131" s="161">
        <f t="shared" ca="1" si="51"/>
        <v>4</v>
      </c>
      <c r="AG131" s="114">
        <f t="shared" si="52"/>
        <v>0</v>
      </c>
      <c r="AH131" s="113"/>
      <c r="AI131" s="199">
        <f ca="1">IF(AL131=0,0,IF(AL131&gt;Preenchimento!$AA$88*12,0,IF($AC$53=AM131,0,1)))</f>
        <v>0</v>
      </c>
      <c r="AJ131" s="161" t="e">
        <f t="shared" ca="1" si="44"/>
        <v>#N/A</v>
      </c>
      <c r="AK131" s="161" t="e">
        <f t="shared" ca="1" si="45"/>
        <v>#N/A</v>
      </c>
      <c r="AL131" s="161">
        <f ca="1">IF(Y131&gt;(Preenchimento!$AA$90*12),0,Fixa!Y131)</f>
        <v>0</v>
      </c>
      <c r="AM131" s="161">
        <f t="shared" ca="1" si="53"/>
        <v>4</v>
      </c>
      <c r="AN131" s="199">
        <f ca="1">IF(AQ131&gt;Preenchimento!$AA$90*12,0,1)</f>
        <v>0</v>
      </c>
      <c r="AO131" s="161" t="e">
        <f ca="1">1/((1+SAC!$AD$29)^AL131)</f>
        <v>#N/A</v>
      </c>
      <c r="AP131" s="82" t="e">
        <f t="shared" ca="1" si="54"/>
        <v>#N/A</v>
      </c>
      <c r="AQ131" s="82">
        <v>106</v>
      </c>
      <c r="AS131" s="477">
        <f t="shared" ca="1" si="46"/>
        <v>0</v>
      </c>
    </row>
    <row r="132" spans="1:45" ht="12" customHeight="1">
      <c r="A132" s="53">
        <v>107</v>
      </c>
      <c r="B132" s="249">
        <f ca="1">DATE(IF(MONTH(B131)=12,YEAR(B131)+1,YEAR(B131)),IF(MONTH(B131)=12,1,MONTH(B131)+1),MIN(DAY(Condições!$C$109),IF(IF(MONTH(B131)=12,1,MONTH(B131)+1)=2,IF(MOD(IF(MONTH(B131)=12,YEAR(B131)+1,YEAR(B131)),4)=0,29,28),IF(OR(IF(MONTH(B131)=12,1,MONTH(B131)+1)=4,IF(MONTH(B131)=12,1,MONTH(B131)+1)=6,IF(MONTH(B131)=12,1,MONTH(B131)+1)=9,IF(MONTH(B131)=12,1,MONTH(B131)+1)=11),30,DAY($B$25)))))</f>
        <v>49445</v>
      </c>
      <c r="C132" s="250" t="str">
        <f t="shared" si="29"/>
        <v/>
      </c>
      <c r="D132" s="251" t="e">
        <f t="shared" si="30"/>
        <v>#N/A</v>
      </c>
      <c r="E132" s="251">
        <f t="shared" si="31"/>
        <v>0</v>
      </c>
      <c r="F132" s="251">
        <f t="shared" si="32"/>
        <v>0</v>
      </c>
      <c r="G132" s="251">
        <f t="shared" si="33"/>
        <v>0</v>
      </c>
      <c r="H132" s="251" t="e">
        <f t="shared" si="34"/>
        <v>#VALUE!</v>
      </c>
      <c r="I132" s="251">
        <f t="shared" si="35"/>
        <v>0</v>
      </c>
      <c r="J132" s="251">
        <f t="shared" si="47"/>
        <v>0</v>
      </c>
      <c r="K132" s="251">
        <f t="shared" si="36"/>
        <v>0</v>
      </c>
      <c r="L132" s="174"/>
      <c r="M132" s="224"/>
      <c r="N132" s="225">
        <f t="shared" si="37"/>
        <v>0</v>
      </c>
      <c r="O132" s="251" t="e">
        <f t="shared" si="38"/>
        <v>#N/A</v>
      </c>
      <c r="P132" s="251">
        <f t="shared" si="48"/>
        <v>0</v>
      </c>
      <c r="Q132" s="251">
        <f t="shared" si="39"/>
        <v>0</v>
      </c>
      <c r="R132" s="251">
        <f t="shared" si="40"/>
        <v>0</v>
      </c>
      <c r="S132" s="251" t="e">
        <f t="shared" si="41"/>
        <v>#VALUE!</v>
      </c>
      <c r="T132" s="251">
        <f t="shared" si="28"/>
        <v>0</v>
      </c>
      <c r="U132" s="252">
        <f>TRUNC(T132*Condições!$C$102,2)</f>
        <v>0</v>
      </c>
      <c r="V132" s="199">
        <f t="shared" si="49"/>
        <v>0</v>
      </c>
      <c r="W132" s="161" t="e">
        <f t="shared" si="42"/>
        <v>#N/A</v>
      </c>
      <c r="X132" s="161" t="e">
        <f t="shared" si="43"/>
        <v>#N/A</v>
      </c>
      <c r="Y132" s="161">
        <f t="shared" si="50"/>
        <v>107</v>
      </c>
      <c r="Z132" s="161">
        <f t="shared" ca="1" si="51"/>
        <v>5</v>
      </c>
      <c r="AG132" s="114">
        <f t="shared" si="52"/>
        <v>0</v>
      </c>
      <c r="AH132" s="113"/>
      <c r="AI132" s="199">
        <f ca="1">IF(AL132=0,0,IF(AL132&gt;Preenchimento!$AA$88*12,0,IF($AC$53=AM132,0,1)))</f>
        <v>0</v>
      </c>
      <c r="AJ132" s="161" t="e">
        <f t="shared" ca="1" si="44"/>
        <v>#N/A</v>
      </c>
      <c r="AK132" s="161" t="e">
        <f t="shared" ca="1" si="45"/>
        <v>#N/A</v>
      </c>
      <c r="AL132" s="161">
        <f ca="1">IF(Y132&gt;(Preenchimento!$AA$90*12),0,Fixa!Y132)</f>
        <v>0</v>
      </c>
      <c r="AM132" s="161">
        <f t="shared" ca="1" si="53"/>
        <v>5</v>
      </c>
      <c r="AN132" s="199">
        <f ca="1">IF(AQ132&gt;Preenchimento!$AA$90*12,0,1)</f>
        <v>0</v>
      </c>
      <c r="AO132" s="161" t="e">
        <f ca="1">1/((1+SAC!$AD$29)^AL132)</f>
        <v>#N/A</v>
      </c>
      <c r="AP132" s="82" t="e">
        <f t="shared" ca="1" si="54"/>
        <v>#N/A</v>
      </c>
      <c r="AQ132" s="82">
        <v>107</v>
      </c>
      <c r="AS132" s="477">
        <f t="shared" ca="1" si="46"/>
        <v>0</v>
      </c>
    </row>
    <row r="133" spans="1:45" ht="12" customHeight="1">
      <c r="A133" s="53">
        <v>108</v>
      </c>
      <c r="B133" s="249">
        <f ca="1">DATE(IF(MONTH(B132)=12,YEAR(B132)+1,YEAR(B132)),IF(MONTH(B132)=12,1,MONTH(B132)+1),MIN(DAY(Condições!$C$109),IF(IF(MONTH(B132)=12,1,MONTH(B132)+1)=2,IF(MOD(IF(MONTH(B132)=12,YEAR(B132)+1,YEAR(B132)),4)=0,29,28),IF(OR(IF(MONTH(B132)=12,1,MONTH(B132)+1)=4,IF(MONTH(B132)=12,1,MONTH(B132)+1)=6,IF(MONTH(B132)=12,1,MONTH(B132)+1)=9,IF(MONTH(B132)=12,1,MONTH(B132)+1)=11),30,DAY($B$25)))))</f>
        <v>49476</v>
      </c>
      <c r="C133" s="250" t="str">
        <f t="shared" si="29"/>
        <v/>
      </c>
      <c r="D133" s="251" t="e">
        <f t="shared" si="30"/>
        <v>#N/A</v>
      </c>
      <c r="E133" s="251">
        <f t="shared" si="31"/>
        <v>0</v>
      </c>
      <c r="F133" s="251">
        <f t="shared" si="32"/>
        <v>0</v>
      </c>
      <c r="G133" s="251">
        <f t="shared" si="33"/>
        <v>0</v>
      </c>
      <c r="H133" s="251" t="e">
        <f t="shared" si="34"/>
        <v>#VALUE!</v>
      </c>
      <c r="I133" s="251">
        <f t="shared" si="35"/>
        <v>0</v>
      </c>
      <c r="J133" s="251">
        <f t="shared" si="47"/>
        <v>0</v>
      </c>
      <c r="K133" s="251">
        <f t="shared" si="36"/>
        <v>0</v>
      </c>
      <c r="L133" s="174"/>
      <c r="M133" s="224"/>
      <c r="N133" s="225">
        <f t="shared" si="37"/>
        <v>0</v>
      </c>
      <c r="O133" s="251" t="e">
        <f t="shared" si="38"/>
        <v>#N/A</v>
      </c>
      <c r="P133" s="251">
        <f t="shared" si="48"/>
        <v>0</v>
      </c>
      <c r="Q133" s="251">
        <f t="shared" si="39"/>
        <v>0</v>
      </c>
      <c r="R133" s="251">
        <f t="shared" si="40"/>
        <v>0</v>
      </c>
      <c r="S133" s="251" t="e">
        <f t="shared" si="41"/>
        <v>#VALUE!</v>
      </c>
      <c r="T133" s="251">
        <f t="shared" si="28"/>
        <v>0</v>
      </c>
      <c r="U133" s="252">
        <f>TRUNC(T133*Condições!$C$102,2)</f>
        <v>0</v>
      </c>
      <c r="V133" s="199">
        <f t="shared" si="49"/>
        <v>0</v>
      </c>
      <c r="W133" s="161" t="e">
        <f t="shared" si="42"/>
        <v>#N/A</v>
      </c>
      <c r="X133" s="161" t="e">
        <f t="shared" si="43"/>
        <v>#N/A</v>
      </c>
      <c r="Y133" s="161">
        <f t="shared" si="50"/>
        <v>108</v>
      </c>
      <c r="Z133" s="161">
        <f t="shared" ca="1" si="51"/>
        <v>6</v>
      </c>
      <c r="AG133" s="114">
        <f t="shared" si="52"/>
        <v>0</v>
      </c>
      <c r="AH133" s="113"/>
      <c r="AI133" s="199">
        <f ca="1">IF(AL133=0,0,IF(AL133&gt;Preenchimento!$AA$88*12,0,IF($AC$53=AM133,0,1)))</f>
        <v>0</v>
      </c>
      <c r="AJ133" s="161" t="e">
        <f t="shared" ca="1" si="44"/>
        <v>#N/A</v>
      </c>
      <c r="AK133" s="161" t="e">
        <f t="shared" ca="1" si="45"/>
        <v>#N/A</v>
      </c>
      <c r="AL133" s="161">
        <f ca="1">IF(Y133&gt;(Preenchimento!$AA$90*12),0,Fixa!Y133)</f>
        <v>0</v>
      </c>
      <c r="AM133" s="161">
        <f t="shared" ca="1" si="53"/>
        <v>6</v>
      </c>
      <c r="AN133" s="199">
        <f ca="1">IF(AQ133&gt;Preenchimento!$AA$90*12,0,1)</f>
        <v>0</v>
      </c>
      <c r="AO133" s="161" t="e">
        <f ca="1">1/((1+SAC!$AD$29)^AL133)</f>
        <v>#N/A</v>
      </c>
      <c r="AP133" s="82" t="e">
        <f t="shared" ca="1" si="54"/>
        <v>#N/A</v>
      </c>
      <c r="AQ133" s="82">
        <v>108</v>
      </c>
      <c r="AS133" s="477">
        <f t="shared" ca="1" si="46"/>
        <v>0</v>
      </c>
    </row>
    <row r="134" spans="1:45" ht="12" customHeight="1">
      <c r="A134" s="53">
        <v>109</v>
      </c>
      <c r="B134" s="249">
        <f ca="1">DATE(IF(MONTH(B133)=12,YEAR(B133)+1,YEAR(B133)),IF(MONTH(B133)=12,1,MONTH(B133)+1),MIN(DAY(Condições!$C$109),IF(IF(MONTH(B133)=12,1,MONTH(B133)+1)=2,IF(MOD(IF(MONTH(B133)=12,YEAR(B133)+1,YEAR(B133)),4)=0,29,28),IF(OR(IF(MONTH(B133)=12,1,MONTH(B133)+1)=4,IF(MONTH(B133)=12,1,MONTH(B133)+1)=6,IF(MONTH(B133)=12,1,MONTH(B133)+1)=9,IF(MONTH(B133)=12,1,MONTH(B133)+1)=11),30,DAY($B$25)))))</f>
        <v>49506</v>
      </c>
      <c r="C134" s="250" t="str">
        <f t="shared" si="29"/>
        <v/>
      </c>
      <c r="D134" s="251" t="e">
        <f t="shared" si="30"/>
        <v>#N/A</v>
      </c>
      <c r="E134" s="251">
        <f t="shared" si="31"/>
        <v>0</v>
      </c>
      <c r="F134" s="251">
        <f t="shared" si="32"/>
        <v>0</v>
      </c>
      <c r="G134" s="251">
        <f t="shared" si="33"/>
        <v>0</v>
      </c>
      <c r="H134" s="251" t="e">
        <f t="shared" si="34"/>
        <v>#VALUE!</v>
      </c>
      <c r="I134" s="251">
        <f t="shared" si="35"/>
        <v>0</v>
      </c>
      <c r="J134" s="251">
        <f t="shared" si="47"/>
        <v>0</v>
      </c>
      <c r="K134" s="251">
        <f t="shared" si="36"/>
        <v>0</v>
      </c>
      <c r="L134" s="174"/>
      <c r="M134" s="224"/>
      <c r="N134" s="225">
        <f t="shared" si="37"/>
        <v>0</v>
      </c>
      <c r="O134" s="251" t="e">
        <f t="shared" si="38"/>
        <v>#N/A</v>
      </c>
      <c r="P134" s="251">
        <f t="shared" si="48"/>
        <v>0</v>
      </c>
      <c r="Q134" s="251">
        <f t="shared" si="39"/>
        <v>0</v>
      </c>
      <c r="R134" s="251">
        <f t="shared" si="40"/>
        <v>0</v>
      </c>
      <c r="S134" s="251" t="e">
        <f t="shared" si="41"/>
        <v>#VALUE!</v>
      </c>
      <c r="T134" s="251">
        <f t="shared" si="28"/>
        <v>0</v>
      </c>
      <c r="U134" s="252">
        <f>TRUNC(T134*Condições!$C$102,2)</f>
        <v>0</v>
      </c>
      <c r="V134" s="199">
        <f t="shared" si="49"/>
        <v>0</v>
      </c>
      <c r="W134" s="161" t="e">
        <f t="shared" si="42"/>
        <v>#N/A</v>
      </c>
      <c r="X134" s="161" t="e">
        <f t="shared" si="43"/>
        <v>#N/A</v>
      </c>
      <c r="Y134" s="161">
        <f t="shared" si="50"/>
        <v>109</v>
      </c>
      <c r="Z134" s="161">
        <f t="shared" ca="1" si="51"/>
        <v>7</v>
      </c>
      <c r="AG134" s="114">
        <f t="shared" si="52"/>
        <v>0</v>
      </c>
      <c r="AH134" s="113"/>
      <c r="AI134" s="199">
        <f ca="1">IF(AL134=0,0,IF(AL134&gt;Preenchimento!$AA$88*12,0,IF($AC$53=AM134,0,1)))</f>
        <v>0</v>
      </c>
      <c r="AJ134" s="161" t="e">
        <f t="shared" ca="1" si="44"/>
        <v>#N/A</v>
      </c>
      <c r="AK134" s="161" t="e">
        <f t="shared" ca="1" si="45"/>
        <v>#N/A</v>
      </c>
      <c r="AL134" s="161">
        <f ca="1">IF(Y134&gt;(Preenchimento!$AA$90*12),0,Fixa!Y134)</f>
        <v>0</v>
      </c>
      <c r="AM134" s="161">
        <f t="shared" ca="1" si="53"/>
        <v>7</v>
      </c>
      <c r="AN134" s="199">
        <f ca="1">IF(AQ134&gt;Preenchimento!$AA$90*12,0,1)</f>
        <v>0</v>
      </c>
      <c r="AO134" s="161" t="e">
        <f ca="1">1/((1+SAC!$AD$29)^AL134)</f>
        <v>#N/A</v>
      </c>
      <c r="AP134" s="82" t="e">
        <f t="shared" ca="1" si="54"/>
        <v>#N/A</v>
      </c>
      <c r="AQ134" s="82">
        <v>109</v>
      </c>
      <c r="AS134" s="477">
        <f t="shared" ca="1" si="46"/>
        <v>0</v>
      </c>
    </row>
    <row r="135" spans="1:45" ht="12" customHeight="1">
      <c r="A135" s="53">
        <v>110</v>
      </c>
      <c r="B135" s="249">
        <f ca="1">DATE(IF(MONTH(B134)=12,YEAR(B134)+1,YEAR(B134)),IF(MONTH(B134)=12,1,MONTH(B134)+1),MIN(DAY(Condições!$C$109),IF(IF(MONTH(B134)=12,1,MONTH(B134)+1)=2,IF(MOD(IF(MONTH(B134)=12,YEAR(B134)+1,YEAR(B134)),4)=0,29,28),IF(OR(IF(MONTH(B134)=12,1,MONTH(B134)+1)=4,IF(MONTH(B134)=12,1,MONTH(B134)+1)=6,IF(MONTH(B134)=12,1,MONTH(B134)+1)=9,IF(MONTH(B134)=12,1,MONTH(B134)+1)=11),30,DAY($B$25)))))</f>
        <v>49537</v>
      </c>
      <c r="C135" s="250" t="str">
        <f t="shared" si="29"/>
        <v/>
      </c>
      <c r="D135" s="251" t="e">
        <f t="shared" si="30"/>
        <v>#N/A</v>
      </c>
      <c r="E135" s="251">
        <f t="shared" si="31"/>
        <v>0</v>
      </c>
      <c r="F135" s="251">
        <f t="shared" si="32"/>
        <v>0</v>
      </c>
      <c r="G135" s="251">
        <f t="shared" si="33"/>
        <v>0</v>
      </c>
      <c r="H135" s="251" t="e">
        <f t="shared" si="34"/>
        <v>#VALUE!</v>
      </c>
      <c r="I135" s="251">
        <f t="shared" si="35"/>
        <v>0</v>
      </c>
      <c r="J135" s="251">
        <f t="shared" si="47"/>
        <v>0</v>
      </c>
      <c r="K135" s="251">
        <f t="shared" si="36"/>
        <v>0</v>
      </c>
      <c r="L135" s="174"/>
      <c r="M135" s="224"/>
      <c r="N135" s="225">
        <f t="shared" si="37"/>
        <v>0</v>
      </c>
      <c r="O135" s="251" t="e">
        <f t="shared" si="38"/>
        <v>#N/A</v>
      </c>
      <c r="P135" s="251">
        <f t="shared" si="48"/>
        <v>0</v>
      </c>
      <c r="Q135" s="251">
        <f t="shared" si="39"/>
        <v>0</v>
      </c>
      <c r="R135" s="251">
        <f t="shared" si="40"/>
        <v>0</v>
      </c>
      <c r="S135" s="251" t="e">
        <f t="shared" si="41"/>
        <v>#VALUE!</v>
      </c>
      <c r="T135" s="251">
        <f t="shared" si="28"/>
        <v>0</v>
      </c>
      <c r="U135" s="252">
        <f>TRUNC(T135*Condições!$C$102,2)</f>
        <v>0</v>
      </c>
      <c r="V135" s="199">
        <f t="shared" si="49"/>
        <v>0</v>
      </c>
      <c r="W135" s="161" t="e">
        <f t="shared" si="42"/>
        <v>#N/A</v>
      </c>
      <c r="X135" s="161" t="e">
        <f t="shared" si="43"/>
        <v>#N/A</v>
      </c>
      <c r="Y135" s="161">
        <f t="shared" si="50"/>
        <v>110</v>
      </c>
      <c r="Z135" s="161">
        <f t="shared" ca="1" si="51"/>
        <v>8</v>
      </c>
      <c r="AG135" s="114">
        <f t="shared" si="52"/>
        <v>0</v>
      </c>
      <c r="AH135" s="113"/>
      <c r="AI135" s="199">
        <f ca="1">IF(AL135=0,0,IF(AL135&gt;Preenchimento!$AA$88*12,0,IF($AC$53=AM135,0,1)))</f>
        <v>0</v>
      </c>
      <c r="AJ135" s="161" t="e">
        <f t="shared" ca="1" si="44"/>
        <v>#N/A</v>
      </c>
      <c r="AK135" s="161" t="e">
        <f t="shared" ca="1" si="45"/>
        <v>#N/A</v>
      </c>
      <c r="AL135" s="161">
        <f ca="1">IF(Y135&gt;(Preenchimento!$AA$90*12),0,Fixa!Y135)</f>
        <v>0</v>
      </c>
      <c r="AM135" s="161">
        <f t="shared" ca="1" si="53"/>
        <v>8</v>
      </c>
      <c r="AN135" s="199">
        <f ca="1">IF(AQ135&gt;Preenchimento!$AA$90*12,0,1)</f>
        <v>0</v>
      </c>
      <c r="AO135" s="161" t="e">
        <f ca="1">1/((1+SAC!$AD$29)^AL135)</f>
        <v>#N/A</v>
      </c>
      <c r="AP135" s="82" t="e">
        <f t="shared" ca="1" si="54"/>
        <v>#N/A</v>
      </c>
      <c r="AQ135" s="82">
        <v>110</v>
      </c>
      <c r="AS135" s="477">
        <f t="shared" ca="1" si="46"/>
        <v>0</v>
      </c>
    </row>
    <row r="136" spans="1:45" ht="12" customHeight="1">
      <c r="A136" s="53">
        <v>111</v>
      </c>
      <c r="B136" s="249">
        <f ca="1">DATE(IF(MONTH(B135)=12,YEAR(B135)+1,YEAR(B135)),IF(MONTH(B135)=12,1,MONTH(B135)+1),MIN(DAY(Condições!$C$109),IF(IF(MONTH(B135)=12,1,MONTH(B135)+1)=2,IF(MOD(IF(MONTH(B135)=12,YEAR(B135)+1,YEAR(B135)),4)=0,29,28),IF(OR(IF(MONTH(B135)=12,1,MONTH(B135)+1)=4,IF(MONTH(B135)=12,1,MONTH(B135)+1)=6,IF(MONTH(B135)=12,1,MONTH(B135)+1)=9,IF(MONTH(B135)=12,1,MONTH(B135)+1)=11),30,DAY($B$25)))))</f>
        <v>49568</v>
      </c>
      <c r="C136" s="250" t="str">
        <f t="shared" si="29"/>
        <v/>
      </c>
      <c r="D136" s="251" t="e">
        <f t="shared" si="30"/>
        <v>#N/A</v>
      </c>
      <c r="E136" s="251">
        <f t="shared" si="31"/>
        <v>0</v>
      </c>
      <c r="F136" s="251">
        <f t="shared" si="32"/>
        <v>0</v>
      </c>
      <c r="G136" s="251">
        <f t="shared" si="33"/>
        <v>0</v>
      </c>
      <c r="H136" s="251" t="e">
        <f t="shared" si="34"/>
        <v>#VALUE!</v>
      </c>
      <c r="I136" s="251">
        <f t="shared" si="35"/>
        <v>0</v>
      </c>
      <c r="J136" s="251">
        <f t="shared" si="47"/>
        <v>0</v>
      </c>
      <c r="K136" s="251">
        <f t="shared" si="36"/>
        <v>0</v>
      </c>
      <c r="L136" s="174"/>
      <c r="M136" s="224"/>
      <c r="N136" s="225">
        <f t="shared" si="37"/>
        <v>0</v>
      </c>
      <c r="O136" s="251" t="e">
        <f t="shared" si="38"/>
        <v>#N/A</v>
      </c>
      <c r="P136" s="251">
        <f t="shared" si="48"/>
        <v>0</v>
      </c>
      <c r="Q136" s="251">
        <f t="shared" si="39"/>
        <v>0</v>
      </c>
      <c r="R136" s="251">
        <f t="shared" si="40"/>
        <v>0</v>
      </c>
      <c r="S136" s="251" t="e">
        <f t="shared" si="41"/>
        <v>#VALUE!</v>
      </c>
      <c r="T136" s="251">
        <f t="shared" si="28"/>
        <v>0</v>
      </c>
      <c r="U136" s="252">
        <f>TRUNC(T136*Condições!$C$102,2)</f>
        <v>0</v>
      </c>
      <c r="V136" s="199">
        <f t="shared" si="49"/>
        <v>0</v>
      </c>
      <c r="W136" s="161" t="e">
        <f t="shared" si="42"/>
        <v>#N/A</v>
      </c>
      <c r="X136" s="161" t="e">
        <f t="shared" si="43"/>
        <v>#N/A</v>
      </c>
      <c r="Y136" s="161">
        <f t="shared" si="50"/>
        <v>111</v>
      </c>
      <c r="Z136" s="161">
        <f t="shared" ca="1" si="51"/>
        <v>9</v>
      </c>
      <c r="AG136" s="114">
        <f t="shared" si="52"/>
        <v>0</v>
      </c>
      <c r="AH136" s="113"/>
      <c r="AI136" s="199">
        <f ca="1">IF(AL136=0,0,IF(AL136&gt;Preenchimento!$AA$88*12,0,IF($AC$53=AM136,0,1)))</f>
        <v>0</v>
      </c>
      <c r="AJ136" s="161" t="e">
        <f t="shared" ca="1" si="44"/>
        <v>#N/A</v>
      </c>
      <c r="AK136" s="161" t="e">
        <f t="shared" ca="1" si="45"/>
        <v>#N/A</v>
      </c>
      <c r="AL136" s="161">
        <f ca="1">IF(Y136&gt;(Preenchimento!$AA$90*12),0,Fixa!Y136)</f>
        <v>0</v>
      </c>
      <c r="AM136" s="161">
        <f t="shared" ca="1" si="53"/>
        <v>9</v>
      </c>
      <c r="AN136" s="199">
        <f ca="1">IF(AQ136&gt;Preenchimento!$AA$90*12,0,1)</f>
        <v>0</v>
      </c>
      <c r="AO136" s="161" t="e">
        <f ca="1">1/((1+SAC!$AD$29)^AL136)</f>
        <v>#N/A</v>
      </c>
      <c r="AP136" s="82" t="e">
        <f t="shared" ca="1" si="54"/>
        <v>#N/A</v>
      </c>
      <c r="AQ136" s="82">
        <v>111</v>
      </c>
      <c r="AS136" s="477">
        <f t="shared" ca="1" si="46"/>
        <v>0</v>
      </c>
    </row>
    <row r="137" spans="1:45" ht="12" customHeight="1">
      <c r="A137" s="53">
        <v>112</v>
      </c>
      <c r="B137" s="249">
        <f ca="1">DATE(IF(MONTH(B136)=12,YEAR(B136)+1,YEAR(B136)),IF(MONTH(B136)=12,1,MONTH(B136)+1),MIN(DAY(Condições!$C$109),IF(IF(MONTH(B136)=12,1,MONTH(B136)+1)=2,IF(MOD(IF(MONTH(B136)=12,YEAR(B136)+1,YEAR(B136)),4)=0,29,28),IF(OR(IF(MONTH(B136)=12,1,MONTH(B136)+1)=4,IF(MONTH(B136)=12,1,MONTH(B136)+1)=6,IF(MONTH(B136)=12,1,MONTH(B136)+1)=9,IF(MONTH(B136)=12,1,MONTH(B136)+1)=11),30,DAY($B$25)))))</f>
        <v>49598</v>
      </c>
      <c r="C137" s="250" t="str">
        <f t="shared" si="29"/>
        <v/>
      </c>
      <c r="D137" s="251" t="e">
        <f t="shared" si="30"/>
        <v>#N/A</v>
      </c>
      <c r="E137" s="251">
        <f t="shared" si="31"/>
        <v>0</v>
      </c>
      <c r="F137" s="251">
        <f t="shared" si="32"/>
        <v>0</v>
      </c>
      <c r="G137" s="251">
        <f t="shared" si="33"/>
        <v>0</v>
      </c>
      <c r="H137" s="251" t="e">
        <f t="shared" si="34"/>
        <v>#VALUE!</v>
      </c>
      <c r="I137" s="251">
        <f t="shared" si="35"/>
        <v>0</v>
      </c>
      <c r="J137" s="251">
        <f t="shared" si="47"/>
        <v>0</v>
      </c>
      <c r="K137" s="251">
        <f t="shared" si="36"/>
        <v>0</v>
      </c>
      <c r="L137" s="174"/>
      <c r="M137" s="224"/>
      <c r="N137" s="225">
        <f t="shared" si="37"/>
        <v>0</v>
      </c>
      <c r="O137" s="251" t="e">
        <f t="shared" si="38"/>
        <v>#N/A</v>
      </c>
      <c r="P137" s="251">
        <f t="shared" si="48"/>
        <v>0</v>
      </c>
      <c r="Q137" s="251">
        <f t="shared" si="39"/>
        <v>0</v>
      </c>
      <c r="R137" s="251">
        <f t="shared" si="40"/>
        <v>0</v>
      </c>
      <c r="S137" s="251" t="e">
        <f t="shared" si="41"/>
        <v>#VALUE!</v>
      </c>
      <c r="T137" s="251">
        <f t="shared" si="28"/>
        <v>0</v>
      </c>
      <c r="U137" s="252">
        <f>TRUNC(T137*Condições!$C$102,2)</f>
        <v>0</v>
      </c>
      <c r="V137" s="199">
        <f t="shared" si="49"/>
        <v>0</v>
      </c>
      <c r="W137" s="161" t="e">
        <f t="shared" si="42"/>
        <v>#N/A</v>
      </c>
      <c r="X137" s="161" t="e">
        <f t="shared" si="43"/>
        <v>#N/A</v>
      </c>
      <c r="Y137" s="161">
        <f t="shared" si="50"/>
        <v>112</v>
      </c>
      <c r="Z137" s="161">
        <f t="shared" ca="1" si="51"/>
        <v>10</v>
      </c>
      <c r="AG137" s="114">
        <f t="shared" si="52"/>
        <v>0</v>
      </c>
      <c r="AH137" s="113"/>
      <c r="AI137" s="199">
        <f ca="1">IF(AL137=0,0,IF(AL137&gt;Preenchimento!$AA$88*12,0,IF($AC$53=AM137,0,1)))</f>
        <v>0</v>
      </c>
      <c r="AJ137" s="161" t="e">
        <f t="shared" ca="1" si="44"/>
        <v>#N/A</v>
      </c>
      <c r="AK137" s="161" t="e">
        <f t="shared" ca="1" si="45"/>
        <v>#N/A</v>
      </c>
      <c r="AL137" s="161">
        <f ca="1">IF(Y137&gt;(Preenchimento!$AA$90*12),0,Fixa!Y137)</f>
        <v>0</v>
      </c>
      <c r="AM137" s="161">
        <f t="shared" ca="1" si="53"/>
        <v>10</v>
      </c>
      <c r="AN137" s="199">
        <f ca="1">IF(AQ137&gt;Preenchimento!$AA$90*12,0,1)</f>
        <v>0</v>
      </c>
      <c r="AO137" s="161" t="e">
        <f ca="1">1/((1+SAC!$AD$29)^AL137)</f>
        <v>#N/A</v>
      </c>
      <c r="AP137" s="82" t="e">
        <f t="shared" ca="1" si="54"/>
        <v>#N/A</v>
      </c>
      <c r="AQ137" s="82">
        <v>112</v>
      </c>
      <c r="AS137" s="477">
        <f t="shared" ca="1" si="46"/>
        <v>0</v>
      </c>
    </row>
    <row r="138" spans="1:45" ht="12" customHeight="1">
      <c r="A138" s="53">
        <v>113</v>
      </c>
      <c r="B138" s="249">
        <f ca="1">DATE(IF(MONTH(B137)=12,YEAR(B137)+1,YEAR(B137)),IF(MONTH(B137)=12,1,MONTH(B137)+1),MIN(DAY(Condições!$C$109),IF(IF(MONTH(B137)=12,1,MONTH(B137)+1)=2,IF(MOD(IF(MONTH(B137)=12,YEAR(B137)+1,YEAR(B137)),4)=0,29,28),IF(OR(IF(MONTH(B137)=12,1,MONTH(B137)+1)=4,IF(MONTH(B137)=12,1,MONTH(B137)+1)=6,IF(MONTH(B137)=12,1,MONTH(B137)+1)=9,IF(MONTH(B137)=12,1,MONTH(B137)+1)=11),30,DAY($B$25)))))</f>
        <v>49629</v>
      </c>
      <c r="C138" s="250" t="str">
        <f t="shared" si="29"/>
        <v/>
      </c>
      <c r="D138" s="251" t="e">
        <f t="shared" si="30"/>
        <v>#N/A</v>
      </c>
      <c r="E138" s="251">
        <f t="shared" si="31"/>
        <v>0</v>
      </c>
      <c r="F138" s="251">
        <f t="shared" si="32"/>
        <v>0</v>
      </c>
      <c r="G138" s="251">
        <f t="shared" si="33"/>
        <v>0</v>
      </c>
      <c r="H138" s="251" t="e">
        <f t="shared" si="34"/>
        <v>#VALUE!</v>
      </c>
      <c r="I138" s="251">
        <f t="shared" si="35"/>
        <v>0</v>
      </c>
      <c r="J138" s="251">
        <f t="shared" si="47"/>
        <v>0</v>
      </c>
      <c r="K138" s="251">
        <f t="shared" si="36"/>
        <v>0</v>
      </c>
      <c r="L138" s="174"/>
      <c r="M138" s="224"/>
      <c r="N138" s="225">
        <f t="shared" si="37"/>
        <v>0</v>
      </c>
      <c r="O138" s="251" t="e">
        <f t="shared" si="38"/>
        <v>#N/A</v>
      </c>
      <c r="P138" s="251">
        <f t="shared" si="48"/>
        <v>0</v>
      </c>
      <c r="Q138" s="251">
        <f t="shared" si="39"/>
        <v>0</v>
      </c>
      <c r="R138" s="251">
        <f t="shared" si="40"/>
        <v>0</v>
      </c>
      <c r="S138" s="251" t="e">
        <f t="shared" si="41"/>
        <v>#VALUE!</v>
      </c>
      <c r="T138" s="251">
        <f t="shared" si="28"/>
        <v>0</v>
      </c>
      <c r="U138" s="252">
        <f>TRUNC(T138*Condições!$C$102,2)</f>
        <v>0</v>
      </c>
      <c r="V138" s="199">
        <f t="shared" si="49"/>
        <v>0</v>
      </c>
      <c r="W138" s="161" t="e">
        <f t="shared" si="42"/>
        <v>#N/A</v>
      </c>
      <c r="X138" s="161" t="e">
        <f t="shared" si="43"/>
        <v>#N/A</v>
      </c>
      <c r="Y138" s="161">
        <f t="shared" si="50"/>
        <v>113</v>
      </c>
      <c r="Z138" s="161">
        <f t="shared" ca="1" si="51"/>
        <v>11</v>
      </c>
      <c r="AG138" s="114">
        <f t="shared" si="52"/>
        <v>0</v>
      </c>
      <c r="AH138" s="113"/>
      <c r="AI138" s="199">
        <f ca="1">IF(AL138=0,0,IF(AL138&gt;Preenchimento!$AA$88*12,0,IF($AC$53=AM138,0,1)))</f>
        <v>0</v>
      </c>
      <c r="AJ138" s="161" t="e">
        <f t="shared" ca="1" si="44"/>
        <v>#N/A</v>
      </c>
      <c r="AK138" s="161" t="e">
        <f t="shared" ca="1" si="45"/>
        <v>#N/A</v>
      </c>
      <c r="AL138" s="161">
        <f ca="1">IF(Y138&gt;(Preenchimento!$AA$90*12),0,Fixa!Y138)</f>
        <v>0</v>
      </c>
      <c r="AM138" s="161">
        <f t="shared" ca="1" si="53"/>
        <v>11</v>
      </c>
      <c r="AN138" s="199">
        <f ca="1">IF(AQ138&gt;Preenchimento!$AA$90*12,0,1)</f>
        <v>0</v>
      </c>
      <c r="AO138" s="161" t="e">
        <f ca="1">1/((1+SAC!$AD$29)^AL138)</f>
        <v>#N/A</v>
      </c>
      <c r="AP138" s="82" t="e">
        <f t="shared" ca="1" si="54"/>
        <v>#N/A</v>
      </c>
      <c r="AQ138" s="82">
        <v>113</v>
      </c>
      <c r="AS138" s="477">
        <f t="shared" ca="1" si="46"/>
        <v>0</v>
      </c>
    </row>
    <row r="139" spans="1:45" ht="12" customHeight="1">
      <c r="A139" s="53">
        <v>114</v>
      </c>
      <c r="B139" s="249">
        <f ca="1">DATE(IF(MONTH(B138)=12,YEAR(B138)+1,YEAR(B138)),IF(MONTH(B138)=12,1,MONTH(B138)+1),MIN(DAY(Condições!$C$109),IF(IF(MONTH(B138)=12,1,MONTH(B138)+1)=2,IF(MOD(IF(MONTH(B138)=12,YEAR(B138)+1,YEAR(B138)),4)=0,29,28),IF(OR(IF(MONTH(B138)=12,1,MONTH(B138)+1)=4,IF(MONTH(B138)=12,1,MONTH(B138)+1)=6,IF(MONTH(B138)=12,1,MONTH(B138)+1)=9,IF(MONTH(B138)=12,1,MONTH(B138)+1)=11),30,DAY($B$25)))))</f>
        <v>49659</v>
      </c>
      <c r="C139" s="250" t="str">
        <f t="shared" si="29"/>
        <v/>
      </c>
      <c r="D139" s="251" t="e">
        <f t="shared" si="30"/>
        <v>#N/A</v>
      </c>
      <c r="E139" s="251">
        <f t="shared" si="31"/>
        <v>0</v>
      </c>
      <c r="F139" s="251">
        <f t="shared" si="32"/>
        <v>0</v>
      </c>
      <c r="G139" s="251">
        <f t="shared" si="33"/>
        <v>0</v>
      </c>
      <c r="H139" s="251" t="e">
        <f t="shared" si="34"/>
        <v>#VALUE!</v>
      </c>
      <c r="I139" s="251">
        <f t="shared" si="35"/>
        <v>0</v>
      </c>
      <c r="J139" s="251">
        <f t="shared" si="47"/>
        <v>0</v>
      </c>
      <c r="K139" s="251">
        <f t="shared" si="36"/>
        <v>0</v>
      </c>
      <c r="L139" s="174"/>
      <c r="M139" s="224"/>
      <c r="N139" s="225">
        <f t="shared" si="37"/>
        <v>0</v>
      </c>
      <c r="O139" s="251" t="e">
        <f t="shared" si="38"/>
        <v>#N/A</v>
      </c>
      <c r="P139" s="251">
        <f t="shared" si="48"/>
        <v>0</v>
      </c>
      <c r="Q139" s="251">
        <f t="shared" si="39"/>
        <v>0</v>
      </c>
      <c r="R139" s="251">
        <f t="shared" si="40"/>
        <v>0</v>
      </c>
      <c r="S139" s="251" t="e">
        <f t="shared" si="41"/>
        <v>#VALUE!</v>
      </c>
      <c r="T139" s="251">
        <f t="shared" si="28"/>
        <v>0</v>
      </c>
      <c r="U139" s="252">
        <f>TRUNC(T139*Condições!$C$102,2)</f>
        <v>0</v>
      </c>
      <c r="V139" s="199">
        <f t="shared" si="49"/>
        <v>0</v>
      </c>
      <c r="W139" s="161" t="e">
        <f t="shared" si="42"/>
        <v>#N/A</v>
      </c>
      <c r="X139" s="161" t="e">
        <f t="shared" si="43"/>
        <v>#N/A</v>
      </c>
      <c r="Y139" s="161">
        <f t="shared" si="50"/>
        <v>114</v>
      </c>
      <c r="Z139" s="161">
        <f t="shared" ca="1" si="51"/>
        <v>12</v>
      </c>
      <c r="AG139" s="114">
        <f t="shared" si="52"/>
        <v>0</v>
      </c>
      <c r="AH139" s="113"/>
      <c r="AI139" s="199">
        <f ca="1">IF(AL139=0,0,IF(AL139&gt;Preenchimento!$AA$88*12,0,IF($AC$53=AM139,0,1)))</f>
        <v>0</v>
      </c>
      <c r="AJ139" s="161" t="e">
        <f t="shared" ca="1" si="44"/>
        <v>#N/A</v>
      </c>
      <c r="AK139" s="161" t="e">
        <f t="shared" ca="1" si="45"/>
        <v>#N/A</v>
      </c>
      <c r="AL139" s="161">
        <f ca="1">IF(Y139&gt;(Preenchimento!$AA$90*12),0,Fixa!Y139)</f>
        <v>0</v>
      </c>
      <c r="AM139" s="161">
        <f t="shared" ca="1" si="53"/>
        <v>12</v>
      </c>
      <c r="AN139" s="199">
        <f ca="1">IF(AQ139&gt;Preenchimento!$AA$90*12,0,1)</f>
        <v>0</v>
      </c>
      <c r="AO139" s="161" t="e">
        <f ca="1">1/((1+SAC!$AD$29)^AL139)</f>
        <v>#N/A</v>
      </c>
      <c r="AP139" s="82" t="e">
        <f t="shared" ca="1" si="54"/>
        <v>#N/A</v>
      </c>
      <c r="AQ139" s="82">
        <v>114</v>
      </c>
      <c r="AS139" s="477">
        <f t="shared" ca="1" si="46"/>
        <v>0</v>
      </c>
    </row>
    <row r="140" spans="1:45" ht="12" customHeight="1">
      <c r="A140" s="53">
        <v>115</v>
      </c>
      <c r="B140" s="249">
        <f ca="1">DATE(IF(MONTH(B139)=12,YEAR(B139)+1,YEAR(B139)),IF(MONTH(B139)=12,1,MONTH(B139)+1),MIN(DAY(Condições!$C$109),IF(IF(MONTH(B139)=12,1,MONTH(B139)+1)=2,IF(MOD(IF(MONTH(B139)=12,YEAR(B139)+1,YEAR(B139)),4)=0,29,28),IF(OR(IF(MONTH(B139)=12,1,MONTH(B139)+1)=4,IF(MONTH(B139)=12,1,MONTH(B139)+1)=6,IF(MONTH(B139)=12,1,MONTH(B139)+1)=9,IF(MONTH(B139)=12,1,MONTH(B139)+1)=11),30,DAY($B$25)))))</f>
        <v>49690</v>
      </c>
      <c r="C140" s="250" t="str">
        <f t="shared" si="29"/>
        <v/>
      </c>
      <c r="D140" s="251" t="e">
        <f t="shared" si="30"/>
        <v>#N/A</v>
      </c>
      <c r="E140" s="251">
        <f t="shared" si="31"/>
        <v>0</v>
      </c>
      <c r="F140" s="251">
        <f t="shared" si="32"/>
        <v>0</v>
      </c>
      <c r="G140" s="251">
        <f t="shared" si="33"/>
        <v>0</v>
      </c>
      <c r="H140" s="251" t="e">
        <f t="shared" si="34"/>
        <v>#VALUE!</v>
      </c>
      <c r="I140" s="251">
        <f t="shared" si="35"/>
        <v>0</v>
      </c>
      <c r="J140" s="251">
        <f t="shared" si="47"/>
        <v>0</v>
      </c>
      <c r="K140" s="251">
        <f t="shared" si="36"/>
        <v>0</v>
      </c>
      <c r="L140" s="174"/>
      <c r="M140" s="224"/>
      <c r="N140" s="225">
        <f t="shared" si="37"/>
        <v>0</v>
      </c>
      <c r="O140" s="251" t="e">
        <f t="shared" si="38"/>
        <v>#N/A</v>
      </c>
      <c r="P140" s="251">
        <f t="shared" si="48"/>
        <v>0</v>
      </c>
      <c r="Q140" s="251">
        <f t="shared" si="39"/>
        <v>0</v>
      </c>
      <c r="R140" s="251">
        <f t="shared" si="40"/>
        <v>0</v>
      </c>
      <c r="S140" s="251" t="e">
        <f t="shared" si="41"/>
        <v>#VALUE!</v>
      </c>
      <c r="T140" s="251">
        <f t="shared" si="28"/>
        <v>0</v>
      </c>
      <c r="U140" s="252">
        <f>TRUNC(T140*Condições!$C$102,2)</f>
        <v>0</v>
      </c>
      <c r="V140" s="199">
        <f t="shared" si="49"/>
        <v>0</v>
      </c>
      <c r="W140" s="161" t="e">
        <f t="shared" si="42"/>
        <v>#N/A</v>
      </c>
      <c r="X140" s="161" t="e">
        <f t="shared" si="43"/>
        <v>#N/A</v>
      </c>
      <c r="Y140" s="161">
        <f t="shared" si="50"/>
        <v>115</v>
      </c>
      <c r="Z140" s="161">
        <f t="shared" ca="1" si="51"/>
        <v>1</v>
      </c>
      <c r="AG140" s="114">
        <f t="shared" si="52"/>
        <v>0</v>
      </c>
      <c r="AH140" s="113"/>
      <c r="AI140" s="199">
        <f ca="1">IF(AL140=0,0,IF(AL140&gt;Preenchimento!$AA$88*12,0,IF($AC$53=AM140,0,1)))</f>
        <v>0</v>
      </c>
      <c r="AJ140" s="161" t="e">
        <f t="shared" ca="1" si="44"/>
        <v>#N/A</v>
      </c>
      <c r="AK140" s="161" t="e">
        <f t="shared" ca="1" si="45"/>
        <v>#N/A</v>
      </c>
      <c r="AL140" s="161">
        <f ca="1">IF(Y140&gt;(Preenchimento!$AA$90*12),0,Fixa!Y140)</f>
        <v>0</v>
      </c>
      <c r="AM140" s="161">
        <f t="shared" ca="1" si="53"/>
        <v>1</v>
      </c>
      <c r="AN140" s="199">
        <f ca="1">IF(AQ140&gt;Preenchimento!$AA$90*12,0,1)</f>
        <v>0</v>
      </c>
      <c r="AO140" s="161" t="e">
        <f ca="1">1/((1+SAC!$AD$29)^AL140)</f>
        <v>#N/A</v>
      </c>
      <c r="AP140" s="82" t="e">
        <f t="shared" ca="1" si="54"/>
        <v>#N/A</v>
      </c>
      <c r="AQ140" s="82">
        <v>115</v>
      </c>
      <c r="AS140" s="477">
        <f t="shared" ca="1" si="46"/>
        <v>0</v>
      </c>
    </row>
    <row r="141" spans="1:45" ht="12" customHeight="1">
      <c r="A141" s="53">
        <v>116</v>
      </c>
      <c r="B141" s="249">
        <f ca="1">DATE(IF(MONTH(B140)=12,YEAR(B140)+1,YEAR(B140)),IF(MONTH(B140)=12,1,MONTH(B140)+1),MIN(DAY(Condições!$C$109),IF(IF(MONTH(B140)=12,1,MONTH(B140)+1)=2,IF(MOD(IF(MONTH(B140)=12,YEAR(B140)+1,YEAR(B140)),4)=0,29,28),IF(OR(IF(MONTH(B140)=12,1,MONTH(B140)+1)=4,IF(MONTH(B140)=12,1,MONTH(B140)+1)=6,IF(MONTH(B140)=12,1,MONTH(B140)+1)=9,IF(MONTH(B140)=12,1,MONTH(B140)+1)=11),30,DAY($B$25)))))</f>
        <v>49721</v>
      </c>
      <c r="C141" s="250" t="str">
        <f t="shared" si="29"/>
        <v/>
      </c>
      <c r="D141" s="251" t="e">
        <f t="shared" si="30"/>
        <v>#N/A</v>
      </c>
      <c r="E141" s="251">
        <f t="shared" si="31"/>
        <v>0</v>
      </c>
      <c r="F141" s="251">
        <f t="shared" si="32"/>
        <v>0</v>
      </c>
      <c r="G141" s="251">
        <f t="shared" si="33"/>
        <v>0</v>
      </c>
      <c r="H141" s="251" t="e">
        <f t="shared" si="34"/>
        <v>#VALUE!</v>
      </c>
      <c r="I141" s="251">
        <f t="shared" si="35"/>
        <v>0</v>
      </c>
      <c r="J141" s="251">
        <f t="shared" si="47"/>
        <v>0</v>
      </c>
      <c r="K141" s="251">
        <f t="shared" si="36"/>
        <v>0</v>
      </c>
      <c r="L141" s="174"/>
      <c r="M141" s="224"/>
      <c r="N141" s="225">
        <f t="shared" si="37"/>
        <v>0</v>
      </c>
      <c r="O141" s="251" t="e">
        <f t="shared" si="38"/>
        <v>#N/A</v>
      </c>
      <c r="P141" s="251">
        <f t="shared" si="48"/>
        <v>0</v>
      </c>
      <c r="Q141" s="251">
        <f t="shared" si="39"/>
        <v>0</v>
      </c>
      <c r="R141" s="251">
        <f t="shared" si="40"/>
        <v>0</v>
      </c>
      <c r="S141" s="251" t="e">
        <f t="shared" si="41"/>
        <v>#VALUE!</v>
      </c>
      <c r="T141" s="251">
        <f t="shared" si="28"/>
        <v>0</v>
      </c>
      <c r="U141" s="252">
        <f>TRUNC(T141*Condições!$C$102,2)</f>
        <v>0</v>
      </c>
      <c r="V141" s="199">
        <f t="shared" si="49"/>
        <v>0</v>
      </c>
      <c r="W141" s="161" t="e">
        <f t="shared" si="42"/>
        <v>#N/A</v>
      </c>
      <c r="X141" s="161" t="e">
        <f t="shared" si="43"/>
        <v>#N/A</v>
      </c>
      <c r="Y141" s="161">
        <f t="shared" si="50"/>
        <v>116</v>
      </c>
      <c r="Z141" s="161">
        <f t="shared" ca="1" si="51"/>
        <v>2</v>
      </c>
      <c r="AG141" s="114">
        <f t="shared" si="52"/>
        <v>0</v>
      </c>
      <c r="AH141" s="113"/>
      <c r="AI141" s="199">
        <f ca="1">IF(AL141=0,0,IF(AL141&gt;Preenchimento!$AA$88*12,0,IF($AC$53=AM141,0,1)))</f>
        <v>0</v>
      </c>
      <c r="AJ141" s="161" t="e">
        <f t="shared" ca="1" si="44"/>
        <v>#N/A</v>
      </c>
      <c r="AK141" s="161" t="e">
        <f t="shared" ca="1" si="45"/>
        <v>#N/A</v>
      </c>
      <c r="AL141" s="161">
        <f ca="1">IF(Y141&gt;(Preenchimento!$AA$90*12),0,Fixa!Y141)</f>
        <v>0</v>
      </c>
      <c r="AM141" s="161">
        <f t="shared" ca="1" si="53"/>
        <v>2</v>
      </c>
      <c r="AN141" s="199">
        <f ca="1">IF(AQ141&gt;Preenchimento!$AA$90*12,0,1)</f>
        <v>0</v>
      </c>
      <c r="AO141" s="161" t="e">
        <f ca="1">1/((1+SAC!$AD$29)^AL141)</f>
        <v>#N/A</v>
      </c>
      <c r="AP141" s="82" t="e">
        <f t="shared" ca="1" si="54"/>
        <v>#N/A</v>
      </c>
      <c r="AQ141" s="82">
        <v>116</v>
      </c>
      <c r="AS141" s="477">
        <f t="shared" ca="1" si="46"/>
        <v>0</v>
      </c>
    </row>
    <row r="142" spans="1:45" ht="12" customHeight="1">
      <c r="A142" s="53">
        <v>117</v>
      </c>
      <c r="B142" s="249">
        <f ca="1">DATE(IF(MONTH(B141)=12,YEAR(B141)+1,YEAR(B141)),IF(MONTH(B141)=12,1,MONTH(B141)+1),MIN(DAY(Condições!$C$109),IF(IF(MONTH(B141)=12,1,MONTH(B141)+1)=2,IF(MOD(IF(MONTH(B141)=12,YEAR(B141)+1,YEAR(B141)),4)=0,29,28),IF(OR(IF(MONTH(B141)=12,1,MONTH(B141)+1)=4,IF(MONTH(B141)=12,1,MONTH(B141)+1)=6,IF(MONTH(B141)=12,1,MONTH(B141)+1)=9,IF(MONTH(B141)=12,1,MONTH(B141)+1)=11),30,DAY($B$25)))))</f>
        <v>49750</v>
      </c>
      <c r="C142" s="250" t="str">
        <f t="shared" si="29"/>
        <v/>
      </c>
      <c r="D142" s="251" t="e">
        <f t="shared" si="30"/>
        <v>#N/A</v>
      </c>
      <c r="E142" s="251">
        <f t="shared" si="31"/>
        <v>0</v>
      </c>
      <c r="F142" s="251">
        <f t="shared" si="32"/>
        <v>0</v>
      </c>
      <c r="G142" s="251">
        <f t="shared" si="33"/>
        <v>0</v>
      </c>
      <c r="H142" s="251" t="e">
        <f t="shared" si="34"/>
        <v>#VALUE!</v>
      </c>
      <c r="I142" s="251">
        <f t="shared" si="35"/>
        <v>0</v>
      </c>
      <c r="J142" s="251">
        <f t="shared" si="47"/>
        <v>0</v>
      </c>
      <c r="K142" s="251">
        <f t="shared" si="36"/>
        <v>0</v>
      </c>
      <c r="L142" s="174"/>
      <c r="M142" s="224"/>
      <c r="N142" s="225">
        <f t="shared" si="37"/>
        <v>0</v>
      </c>
      <c r="O142" s="251" t="e">
        <f t="shared" si="38"/>
        <v>#N/A</v>
      </c>
      <c r="P142" s="251">
        <f t="shared" si="48"/>
        <v>0</v>
      </c>
      <c r="Q142" s="251">
        <f t="shared" si="39"/>
        <v>0</v>
      </c>
      <c r="R142" s="251">
        <f t="shared" si="40"/>
        <v>0</v>
      </c>
      <c r="S142" s="251" t="e">
        <f t="shared" si="41"/>
        <v>#VALUE!</v>
      </c>
      <c r="T142" s="251">
        <f t="shared" si="28"/>
        <v>0</v>
      </c>
      <c r="U142" s="252">
        <f>TRUNC(T142*Condições!$C$102,2)</f>
        <v>0</v>
      </c>
      <c r="V142" s="199">
        <f t="shared" si="49"/>
        <v>0</v>
      </c>
      <c r="W142" s="161" t="e">
        <f t="shared" si="42"/>
        <v>#N/A</v>
      </c>
      <c r="X142" s="161" t="e">
        <f t="shared" si="43"/>
        <v>#N/A</v>
      </c>
      <c r="Y142" s="161">
        <f t="shared" si="50"/>
        <v>117</v>
      </c>
      <c r="Z142" s="161">
        <f t="shared" ca="1" si="51"/>
        <v>3</v>
      </c>
      <c r="AG142" s="114">
        <f t="shared" si="52"/>
        <v>0</v>
      </c>
      <c r="AH142" s="113"/>
      <c r="AI142" s="199">
        <f ca="1">IF(AL142=0,0,IF(AL142&gt;Preenchimento!$AA$88*12,0,IF($AC$53=AM142,0,1)))</f>
        <v>0</v>
      </c>
      <c r="AJ142" s="161" t="e">
        <f t="shared" ca="1" si="44"/>
        <v>#N/A</v>
      </c>
      <c r="AK142" s="161" t="e">
        <f t="shared" ca="1" si="45"/>
        <v>#N/A</v>
      </c>
      <c r="AL142" s="161">
        <f ca="1">IF(Y142&gt;(Preenchimento!$AA$90*12),0,Fixa!Y142)</f>
        <v>0</v>
      </c>
      <c r="AM142" s="161">
        <f t="shared" ca="1" si="53"/>
        <v>3</v>
      </c>
      <c r="AN142" s="199">
        <f ca="1">IF(AQ142&gt;Preenchimento!$AA$90*12,0,1)</f>
        <v>0</v>
      </c>
      <c r="AO142" s="161" t="e">
        <f ca="1">1/((1+SAC!$AD$29)^AL142)</f>
        <v>#N/A</v>
      </c>
      <c r="AP142" s="82" t="e">
        <f t="shared" ca="1" si="54"/>
        <v>#N/A</v>
      </c>
      <c r="AQ142" s="82">
        <v>117</v>
      </c>
      <c r="AS142" s="477">
        <f t="shared" ca="1" si="46"/>
        <v>0</v>
      </c>
    </row>
    <row r="143" spans="1:45" ht="12" customHeight="1">
      <c r="A143" s="53">
        <v>118</v>
      </c>
      <c r="B143" s="249">
        <f ca="1">DATE(IF(MONTH(B142)=12,YEAR(B142)+1,YEAR(B142)),IF(MONTH(B142)=12,1,MONTH(B142)+1),MIN(DAY(Condições!$C$109),IF(IF(MONTH(B142)=12,1,MONTH(B142)+1)=2,IF(MOD(IF(MONTH(B142)=12,YEAR(B142)+1,YEAR(B142)),4)=0,29,28),IF(OR(IF(MONTH(B142)=12,1,MONTH(B142)+1)=4,IF(MONTH(B142)=12,1,MONTH(B142)+1)=6,IF(MONTH(B142)=12,1,MONTH(B142)+1)=9,IF(MONTH(B142)=12,1,MONTH(B142)+1)=11),30,DAY($B$25)))))</f>
        <v>49781</v>
      </c>
      <c r="C143" s="250" t="str">
        <f t="shared" si="29"/>
        <v/>
      </c>
      <c r="D143" s="251" t="e">
        <f t="shared" si="30"/>
        <v>#N/A</v>
      </c>
      <c r="E143" s="251">
        <f t="shared" si="31"/>
        <v>0</v>
      </c>
      <c r="F143" s="251">
        <f t="shared" si="32"/>
        <v>0</v>
      </c>
      <c r="G143" s="251">
        <f t="shared" si="33"/>
        <v>0</v>
      </c>
      <c r="H143" s="251" t="e">
        <f t="shared" si="34"/>
        <v>#VALUE!</v>
      </c>
      <c r="I143" s="251">
        <f t="shared" si="35"/>
        <v>0</v>
      </c>
      <c r="J143" s="251">
        <f t="shared" si="47"/>
        <v>0</v>
      </c>
      <c r="K143" s="251">
        <f t="shared" si="36"/>
        <v>0</v>
      </c>
      <c r="L143" s="174"/>
      <c r="M143" s="224"/>
      <c r="N143" s="225">
        <f t="shared" si="37"/>
        <v>0</v>
      </c>
      <c r="O143" s="251" t="e">
        <f t="shared" si="38"/>
        <v>#N/A</v>
      </c>
      <c r="P143" s="251">
        <f t="shared" si="48"/>
        <v>0</v>
      </c>
      <c r="Q143" s="251">
        <f t="shared" si="39"/>
        <v>0</v>
      </c>
      <c r="R143" s="251">
        <f t="shared" si="40"/>
        <v>0</v>
      </c>
      <c r="S143" s="251" t="e">
        <f t="shared" si="41"/>
        <v>#VALUE!</v>
      </c>
      <c r="T143" s="251">
        <f t="shared" si="28"/>
        <v>0</v>
      </c>
      <c r="U143" s="252">
        <f>TRUNC(T143*Condições!$C$102,2)</f>
        <v>0</v>
      </c>
      <c r="V143" s="199">
        <f t="shared" si="49"/>
        <v>0</v>
      </c>
      <c r="W143" s="161" t="e">
        <f t="shared" si="42"/>
        <v>#N/A</v>
      </c>
      <c r="X143" s="161" t="e">
        <f t="shared" si="43"/>
        <v>#N/A</v>
      </c>
      <c r="Y143" s="161">
        <f t="shared" si="50"/>
        <v>118</v>
      </c>
      <c r="Z143" s="161">
        <f t="shared" ca="1" si="51"/>
        <v>4</v>
      </c>
      <c r="AG143" s="114">
        <f t="shared" si="52"/>
        <v>0</v>
      </c>
      <c r="AH143" s="113"/>
      <c r="AI143" s="199">
        <f ca="1">IF(AL143=0,0,IF(AL143&gt;Preenchimento!$AA$88*12,0,IF($AC$53=AM143,0,1)))</f>
        <v>0</v>
      </c>
      <c r="AJ143" s="161" t="e">
        <f t="shared" ca="1" si="44"/>
        <v>#N/A</v>
      </c>
      <c r="AK143" s="161" t="e">
        <f t="shared" ca="1" si="45"/>
        <v>#N/A</v>
      </c>
      <c r="AL143" s="161">
        <f ca="1">IF(Y143&gt;(Preenchimento!$AA$90*12),0,Fixa!Y143)</f>
        <v>0</v>
      </c>
      <c r="AM143" s="161">
        <f t="shared" ca="1" si="53"/>
        <v>4</v>
      </c>
      <c r="AN143" s="199">
        <f ca="1">IF(AQ143&gt;Preenchimento!$AA$90*12,0,1)</f>
        <v>0</v>
      </c>
      <c r="AO143" s="161" t="e">
        <f ca="1">1/((1+SAC!$AD$29)^AL143)</f>
        <v>#N/A</v>
      </c>
      <c r="AP143" s="82" t="e">
        <f t="shared" ca="1" si="54"/>
        <v>#N/A</v>
      </c>
      <c r="AQ143" s="82">
        <v>118</v>
      </c>
      <c r="AS143" s="477">
        <f t="shared" ca="1" si="46"/>
        <v>0</v>
      </c>
    </row>
    <row r="144" spans="1:45" ht="12" customHeight="1">
      <c r="A144" s="53">
        <v>119</v>
      </c>
      <c r="B144" s="249">
        <f ca="1">DATE(IF(MONTH(B143)=12,YEAR(B143)+1,YEAR(B143)),IF(MONTH(B143)=12,1,MONTH(B143)+1),MIN(DAY(Condições!$C$109),IF(IF(MONTH(B143)=12,1,MONTH(B143)+1)=2,IF(MOD(IF(MONTH(B143)=12,YEAR(B143)+1,YEAR(B143)),4)=0,29,28),IF(OR(IF(MONTH(B143)=12,1,MONTH(B143)+1)=4,IF(MONTH(B143)=12,1,MONTH(B143)+1)=6,IF(MONTH(B143)=12,1,MONTH(B143)+1)=9,IF(MONTH(B143)=12,1,MONTH(B143)+1)=11),30,DAY($B$25)))))</f>
        <v>49811</v>
      </c>
      <c r="C144" s="250" t="str">
        <f t="shared" si="29"/>
        <v/>
      </c>
      <c r="D144" s="251" t="e">
        <f t="shared" si="30"/>
        <v>#N/A</v>
      </c>
      <c r="E144" s="251">
        <f t="shared" si="31"/>
        <v>0</v>
      </c>
      <c r="F144" s="251">
        <f t="shared" si="32"/>
        <v>0</v>
      </c>
      <c r="G144" s="251">
        <f t="shared" si="33"/>
        <v>0</v>
      </c>
      <c r="H144" s="251" t="e">
        <f t="shared" si="34"/>
        <v>#VALUE!</v>
      </c>
      <c r="I144" s="251">
        <f t="shared" si="35"/>
        <v>0</v>
      </c>
      <c r="J144" s="251">
        <f t="shared" si="47"/>
        <v>0</v>
      </c>
      <c r="K144" s="251">
        <f t="shared" si="36"/>
        <v>0</v>
      </c>
      <c r="L144" s="174"/>
      <c r="M144" s="224"/>
      <c r="N144" s="225">
        <f t="shared" si="37"/>
        <v>0</v>
      </c>
      <c r="O144" s="251" t="e">
        <f t="shared" si="38"/>
        <v>#N/A</v>
      </c>
      <c r="P144" s="251">
        <f t="shared" si="48"/>
        <v>0</v>
      </c>
      <c r="Q144" s="251">
        <f t="shared" si="39"/>
        <v>0</v>
      </c>
      <c r="R144" s="251">
        <f t="shared" si="40"/>
        <v>0</v>
      </c>
      <c r="S144" s="251" t="e">
        <f t="shared" si="41"/>
        <v>#VALUE!</v>
      </c>
      <c r="T144" s="251">
        <f t="shared" si="28"/>
        <v>0</v>
      </c>
      <c r="U144" s="252">
        <f>TRUNC(T144*Condições!$C$102,2)</f>
        <v>0</v>
      </c>
      <c r="V144" s="199">
        <f t="shared" si="49"/>
        <v>0</v>
      </c>
      <c r="W144" s="161" t="e">
        <f t="shared" si="42"/>
        <v>#N/A</v>
      </c>
      <c r="X144" s="161" t="e">
        <f t="shared" si="43"/>
        <v>#N/A</v>
      </c>
      <c r="Y144" s="161">
        <f t="shared" si="50"/>
        <v>119</v>
      </c>
      <c r="Z144" s="161">
        <f t="shared" ca="1" si="51"/>
        <v>5</v>
      </c>
      <c r="AG144" s="114">
        <f t="shared" si="52"/>
        <v>0</v>
      </c>
      <c r="AH144" s="113"/>
      <c r="AI144" s="199">
        <f ca="1">IF(AL144=0,0,IF(AL144&gt;Preenchimento!$AA$88*12,0,IF($AC$53=AM144,0,1)))</f>
        <v>0</v>
      </c>
      <c r="AJ144" s="161" t="e">
        <f t="shared" ca="1" si="44"/>
        <v>#N/A</v>
      </c>
      <c r="AK144" s="161" t="e">
        <f t="shared" ca="1" si="45"/>
        <v>#N/A</v>
      </c>
      <c r="AL144" s="161">
        <f ca="1">IF(Y144&gt;(Preenchimento!$AA$90*12),0,Fixa!Y144)</f>
        <v>0</v>
      </c>
      <c r="AM144" s="161">
        <f t="shared" ca="1" si="53"/>
        <v>5</v>
      </c>
      <c r="AN144" s="199">
        <f ca="1">IF(AQ144&gt;Preenchimento!$AA$90*12,0,1)</f>
        <v>0</v>
      </c>
      <c r="AO144" s="161" t="e">
        <f ca="1">1/((1+SAC!$AD$29)^AL144)</f>
        <v>#N/A</v>
      </c>
      <c r="AP144" s="82" t="e">
        <f t="shared" ca="1" si="54"/>
        <v>#N/A</v>
      </c>
      <c r="AQ144" s="82">
        <v>119</v>
      </c>
      <c r="AS144" s="477">
        <f t="shared" ca="1" si="46"/>
        <v>0</v>
      </c>
    </row>
    <row r="145" spans="1:45" ht="12" customHeight="1">
      <c r="A145" s="53">
        <v>120</v>
      </c>
      <c r="B145" s="249">
        <f ca="1">DATE(IF(MONTH(B144)=12,YEAR(B144)+1,YEAR(B144)),IF(MONTH(B144)=12,1,MONTH(B144)+1),MIN(DAY(Condições!$C$109),IF(IF(MONTH(B144)=12,1,MONTH(B144)+1)=2,IF(MOD(IF(MONTH(B144)=12,YEAR(B144)+1,YEAR(B144)),4)=0,29,28),IF(OR(IF(MONTH(B144)=12,1,MONTH(B144)+1)=4,IF(MONTH(B144)=12,1,MONTH(B144)+1)=6,IF(MONTH(B144)=12,1,MONTH(B144)+1)=9,IF(MONTH(B144)=12,1,MONTH(B144)+1)=11),30,DAY($B$25)))))</f>
        <v>49842</v>
      </c>
      <c r="C145" s="250" t="str">
        <f t="shared" si="29"/>
        <v/>
      </c>
      <c r="D145" s="251" t="e">
        <f t="shared" si="30"/>
        <v>#N/A</v>
      </c>
      <c r="E145" s="251">
        <f t="shared" si="31"/>
        <v>0</v>
      </c>
      <c r="F145" s="251">
        <f t="shared" si="32"/>
        <v>0</v>
      </c>
      <c r="G145" s="251">
        <f t="shared" si="33"/>
        <v>0</v>
      </c>
      <c r="H145" s="251" t="e">
        <f t="shared" si="34"/>
        <v>#VALUE!</v>
      </c>
      <c r="I145" s="251">
        <f t="shared" si="35"/>
        <v>0</v>
      </c>
      <c r="J145" s="251">
        <f t="shared" si="47"/>
        <v>0</v>
      </c>
      <c r="K145" s="251">
        <f t="shared" si="36"/>
        <v>0</v>
      </c>
      <c r="L145" s="174"/>
      <c r="M145" s="224"/>
      <c r="N145" s="225">
        <f t="shared" si="37"/>
        <v>0</v>
      </c>
      <c r="O145" s="251" t="e">
        <f t="shared" si="38"/>
        <v>#N/A</v>
      </c>
      <c r="P145" s="251">
        <f t="shared" si="48"/>
        <v>0</v>
      </c>
      <c r="Q145" s="251">
        <f t="shared" si="39"/>
        <v>0</v>
      </c>
      <c r="R145" s="251">
        <f t="shared" si="40"/>
        <v>0</v>
      </c>
      <c r="S145" s="251" t="e">
        <f t="shared" si="41"/>
        <v>#VALUE!</v>
      </c>
      <c r="T145" s="251">
        <f t="shared" si="28"/>
        <v>0</v>
      </c>
      <c r="U145" s="252">
        <f>TRUNC(T145*Condições!$C$102,2)</f>
        <v>0</v>
      </c>
      <c r="V145" s="199">
        <f t="shared" si="49"/>
        <v>0</v>
      </c>
      <c r="W145" s="161" t="e">
        <f t="shared" si="42"/>
        <v>#N/A</v>
      </c>
      <c r="X145" s="161" t="e">
        <f t="shared" si="43"/>
        <v>#N/A</v>
      </c>
      <c r="Y145" s="161">
        <f t="shared" si="50"/>
        <v>120</v>
      </c>
      <c r="Z145" s="161">
        <f t="shared" ca="1" si="51"/>
        <v>6</v>
      </c>
      <c r="AG145" s="114">
        <f t="shared" si="52"/>
        <v>0</v>
      </c>
      <c r="AH145" s="113"/>
      <c r="AI145" s="199">
        <f ca="1">IF(AL145=0,0,IF(AL145&gt;Preenchimento!$AA$88*12,0,IF($AC$53=AM145,0,1)))</f>
        <v>0</v>
      </c>
      <c r="AJ145" s="161" t="e">
        <f t="shared" ca="1" si="44"/>
        <v>#N/A</v>
      </c>
      <c r="AK145" s="161" t="e">
        <f t="shared" ca="1" si="45"/>
        <v>#N/A</v>
      </c>
      <c r="AL145" s="161">
        <f ca="1">IF(Y145&gt;(Preenchimento!$AA$90*12),0,Fixa!Y145)</f>
        <v>0</v>
      </c>
      <c r="AM145" s="161">
        <f t="shared" ca="1" si="53"/>
        <v>6</v>
      </c>
      <c r="AN145" s="199">
        <f ca="1">IF(AQ145&gt;Preenchimento!$AA$90*12,0,1)</f>
        <v>0</v>
      </c>
      <c r="AO145" s="161" t="e">
        <f ca="1">1/((1+SAC!$AD$29)^AL145)</f>
        <v>#N/A</v>
      </c>
      <c r="AP145" s="82" t="e">
        <f t="shared" ca="1" si="54"/>
        <v>#N/A</v>
      </c>
      <c r="AQ145" s="82">
        <v>120</v>
      </c>
      <c r="AS145" s="477">
        <f t="shared" ca="1" si="46"/>
        <v>0</v>
      </c>
    </row>
    <row r="146" spans="1:45" ht="12" customHeight="1">
      <c r="A146" s="53">
        <v>121</v>
      </c>
      <c r="B146" s="249">
        <f ca="1">DATE(IF(MONTH(B145)=12,YEAR(B145)+1,YEAR(B145)),IF(MONTH(B145)=12,1,MONTH(B145)+1),MIN(DAY(Condições!$C$109),IF(IF(MONTH(B145)=12,1,MONTH(B145)+1)=2,IF(MOD(IF(MONTH(B145)=12,YEAR(B145)+1,YEAR(B145)),4)=0,29,28),IF(OR(IF(MONTH(B145)=12,1,MONTH(B145)+1)=4,IF(MONTH(B145)=12,1,MONTH(B145)+1)=6,IF(MONTH(B145)=12,1,MONTH(B145)+1)=9,IF(MONTH(B145)=12,1,MONTH(B145)+1)=11),30,DAY($B$25)))))</f>
        <v>49872</v>
      </c>
      <c r="C146" s="250" t="str">
        <f t="shared" si="29"/>
        <v/>
      </c>
      <c r="D146" s="251" t="e">
        <f t="shared" si="30"/>
        <v>#N/A</v>
      </c>
      <c r="E146" s="251">
        <f t="shared" si="31"/>
        <v>0</v>
      </c>
      <c r="F146" s="251">
        <f t="shared" si="32"/>
        <v>0</v>
      </c>
      <c r="G146" s="251">
        <f t="shared" si="33"/>
        <v>0</v>
      </c>
      <c r="H146" s="251" t="e">
        <f t="shared" si="34"/>
        <v>#VALUE!</v>
      </c>
      <c r="I146" s="251">
        <f t="shared" si="35"/>
        <v>0</v>
      </c>
      <c r="J146" s="251">
        <f t="shared" si="47"/>
        <v>0</v>
      </c>
      <c r="K146" s="251">
        <f t="shared" si="36"/>
        <v>0</v>
      </c>
      <c r="L146" s="174"/>
      <c r="M146" s="224"/>
      <c r="N146" s="225">
        <f t="shared" si="37"/>
        <v>0</v>
      </c>
      <c r="O146" s="251" t="e">
        <f t="shared" si="38"/>
        <v>#N/A</v>
      </c>
      <c r="P146" s="251">
        <f t="shared" si="48"/>
        <v>0</v>
      </c>
      <c r="Q146" s="251">
        <f t="shared" si="39"/>
        <v>0</v>
      </c>
      <c r="R146" s="251">
        <f t="shared" si="40"/>
        <v>0</v>
      </c>
      <c r="S146" s="251" t="e">
        <f t="shared" si="41"/>
        <v>#VALUE!</v>
      </c>
      <c r="T146" s="251">
        <f t="shared" si="28"/>
        <v>0</v>
      </c>
      <c r="U146" s="252">
        <f>TRUNC(T146*Condições!$C$102,2)</f>
        <v>0</v>
      </c>
      <c r="V146" s="199">
        <f t="shared" si="49"/>
        <v>0</v>
      </c>
      <c r="W146" s="161" t="e">
        <f t="shared" si="42"/>
        <v>#N/A</v>
      </c>
      <c r="X146" s="161" t="e">
        <f t="shared" si="43"/>
        <v>#N/A</v>
      </c>
      <c r="Y146" s="161">
        <f t="shared" si="50"/>
        <v>121</v>
      </c>
      <c r="Z146" s="161">
        <f t="shared" ca="1" si="51"/>
        <v>7</v>
      </c>
      <c r="AG146" s="114">
        <f t="shared" si="52"/>
        <v>0</v>
      </c>
      <c r="AH146" s="113"/>
      <c r="AI146" s="199">
        <f ca="1">IF(AL146=0,0,IF(AL146&gt;Preenchimento!$AA$88*12,0,IF($AC$53=AM146,0,1)))</f>
        <v>0</v>
      </c>
      <c r="AJ146" s="161" t="e">
        <f t="shared" ca="1" si="44"/>
        <v>#N/A</v>
      </c>
      <c r="AK146" s="161" t="e">
        <f t="shared" ca="1" si="45"/>
        <v>#N/A</v>
      </c>
      <c r="AL146" s="161">
        <f ca="1">IF(Y146&gt;(Preenchimento!$AA$90*12),0,Fixa!Y146)</f>
        <v>0</v>
      </c>
      <c r="AM146" s="161">
        <f t="shared" ca="1" si="53"/>
        <v>7</v>
      </c>
      <c r="AN146" s="199">
        <f ca="1">IF(AQ146&gt;Preenchimento!$AA$90*12,0,1)</f>
        <v>0</v>
      </c>
      <c r="AO146" s="161" t="e">
        <f ca="1">1/((1+SAC!$AD$29)^AL146)</f>
        <v>#N/A</v>
      </c>
      <c r="AP146" s="82" t="e">
        <f t="shared" ca="1" si="54"/>
        <v>#N/A</v>
      </c>
      <c r="AQ146" s="82">
        <v>121</v>
      </c>
      <c r="AS146" s="477">
        <f t="shared" ca="1" si="46"/>
        <v>0</v>
      </c>
    </row>
    <row r="147" spans="1:45" ht="12" customHeight="1">
      <c r="A147" s="53">
        <v>122</v>
      </c>
      <c r="B147" s="249">
        <f ca="1">DATE(IF(MONTH(B146)=12,YEAR(B146)+1,YEAR(B146)),IF(MONTH(B146)=12,1,MONTH(B146)+1),MIN(DAY(Condições!$C$109),IF(IF(MONTH(B146)=12,1,MONTH(B146)+1)=2,IF(MOD(IF(MONTH(B146)=12,YEAR(B146)+1,YEAR(B146)),4)=0,29,28),IF(OR(IF(MONTH(B146)=12,1,MONTH(B146)+1)=4,IF(MONTH(B146)=12,1,MONTH(B146)+1)=6,IF(MONTH(B146)=12,1,MONTH(B146)+1)=9,IF(MONTH(B146)=12,1,MONTH(B146)+1)=11),30,DAY($B$25)))))</f>
        <v>49903</v>
      </c>
      <c r="C147" s="250" t="str">
        <f t="shared" si="29"/>
        <v/>
      </c>
      <c r="D147" s="251" t="e">
        <f t="shared" si="30"/>
        <v>#N/A</v>
      </c>
      <c r="E147" s="251">
        <f t="shared" si="31"/>
        <v>0</v>
      </c>
      <c r="F147" s="251">
        <f t="shared" si="32"/>
        <v>0</v>
      </c>
      <c r="G147" s="251">
        <f t="shared" si="33"/>
        <v>0</v>
      </c>
      <c r="H147" s="251" t="e">
        <f t="shared" si="34"/>
        <v>#VALUE!</v>
      </c>
      <c r="I147" s="251">
        <f t="shared" si="35"/>
        <v>0</v>
      </c>
      <c r="J147" s="251">
        <f t="shared" si="47"/>
        <v>0</v>
      </c>
      <c r="K147" s="251">
        <f t="shared" si="36"/>
        <v>0</v>
      </c>
      <c r="L147" s="174"/>
      <c r="M147" s="224"/>
      <c r="N147" s="225">
        <f t="shared" si="37"/>
        <v>0</v>
      </c>
      <c r="O147" s="251" t="e">
        <f t="shared" si="38"/>
        <v>#N/A</v>
      </c>
      <c r="P147" s="251">
        <f t="shared" si="48"/>
        <v>0</v>
      </c>
      <c r="Q147" s="251">
        <f t="shared" si="39"/>
        <v>0</v>
      </c>
      <c r="R147" s="251">
        <f t="shared" si="40"/>
        <v>0</v>
      </c>
      <c r="S147" s="251" t="e">
        <f t="shared" si="41"/>
        <v>#VALUE!</v>
      </c>
      <c r="T147" s="251">
        <f t="shared" si="28"/>
        <v>0</v>
      </c>
      <c r="U147" s="252">
        <f>TRUNC(T147*Condições!$C$102,2)</f>
        <v>0</v>
      </c>
      <c r="V147" s="199">
        <f t="shared" si="49"/>
        <v>0</v>
      </c>
      <c r="W147" s="161" t="e">
        <f t="shared" si="42"/>
        <v>#N/A</v>
      </c>
      <c r="X147" s="161" t="e">
        <f t="shared" si="43"/>
        <v>#N/A</v>
      </c>
      <c r="Y147" s="161">
        <f t="shared" si="50"/>
        <v>122</v>
      </c>
      <c r="Z147" s="161">
        <f t="shared" ca="1" si="51"/>
        <v>8</v>
      </c>
      <c r="AG147" s="114">
        <f t="shared" si="52"/>
        <v>0</v>
      </c>
      <c r="AH147" s="113"/>
      <c r="AI147" s="199">
        <f ca="1">IF(AL147=0,0,IF(AL147&gt;Preenchimento!$AA$88*12,0,IF($AC$53=AM147,0,1)))</f>
        <v>0</v>
      </c>
      <c r="AJ147" s="161" t="e">
        <f t="shared" ca="1" si="44"/>
        <v>#N/A</v>
      </c>
      <c r="AK147" s="161" t="e">
        <f t="shared" ca="1" si="45"/>
        <v>#N/A</v>
      </c>
      <c r="AL147" s="161">
        <f ca="1">IF(Y147&gt;(Preenchimento!$AA$90*12),0,Fixa!Y147)</f>
        <v>0</v>
      </c>
      <c r="AM147" s="161">
        <f t="shared" ca="1" si="53"/>
        <v>8</v>
      </c>
      <c r="AN147" s="199">
        <f ca="1">IF(AQ147&gt;Preenchimento!$AA$90*12,0,1)</f>
        <v>0</v>
      </c>
      <c r="AO147" s="161" t="e">
        <f ca="1">1/((1+SAC!$AD$29)^AL147)</f>
        <v>#N/A</v>
      </c>
      <c r="AP147" s="82" t="e">
        <f t="shared" ca="1" si="54"/>
        <v>#N/A</v>
      </c>
      <c r="AQ147" s="82">
        <v>122</v>
      </c>
      <c r="AS147" s="477">
        <f t="shared" ca="1" si="46"/>
        <v>0</v>
      </c>
    </row>
    <row r="148" spans="1:45" ht="12" customHeight="1">
      <c r="A148" s="53">
        <v>123</v>
      </c>
      <c r="B148" s="249">
        <f ca="1">DATE(IF(MONTH(B147)=12,YEAR(B147)+1,YEAR(B147)),IF(MONTH(B147)=12,1,MONTH(B147)+1),MIN(DAY(Condições!$C$109),IF(IF(MONTH(B147)=12,1,MONTH(B147)+1)=2,IF(MOD(IF(MONTH(B147)=12,YEAR(B147)+1,YEAR(B147)),4)=0,29,28),IF(OR(IF(MONTH(B147)=12,1,MONTH(B147)+1)=4,IF(MONTH(B147)=12,1,MONTH(B147)+1)=6,IF(MONTH(B147)=12,1,MONTH(B147)+1)=9,IF(MONTH(B147)=12,1,MONTH(B147)+1)=11),30,DAY($B$25)))))</f>
        <v>49934</v>
      </c>
      <c r="C148" s="250" t="str">
        <f t="shared" si="29"/>
        <v/>
      </c>
      <c r="D148" s="251" t="e">
        <f t="shared" si="30"/>
        <v>#N/A</v>
      </c>
      <c r="E148" s="251">
        <f t="shared" si="31"/>
        <v>0</v>
      </c>
      <c r="F148" s="251">
        <f t="shared" si="32"/>
        <v>0</v>
      </c>
      <c r="G148" s="251">
        <f t="shared" si="33"/>
        <v>0</v>
      </c>
      <c r="H148" s="251" t="e">
        <f t="shared" si="34"/>
        <v>#VALUE!</v>
      </c>
      <c r="I148" s="251">
        <f t="shared" si="35"/>
        <v>0</v>
      </c>
      <c r="J148" s="251">
        <f t="shared" si="47"/>
        <v>0</v>
      </c>
      <c r="K148" s="251">
        <f t="shared" si="36"/>
        <v>0</v>
      </c>
      <c r="L148" s="174"/>
      <c r="M148" s="224"/>
      <c r="N148" s="225">
        <f t="shared" si="37"/>
        <v>0</v>
      </c>
      <c r="O148" s="251" t="e">
        <f t="shared" si="38"/>
        <v>#N/A</v>
      </c>
      <c r="P148" s="251">
        <f t="shared" si="48"/>
        <v>0</v>
      </c>
      <c r="Q148" s="251">
        <f t="shared" si="39"/>
        <v>0</v>
      </c>
      <c r="R148" s="251">
        <f t="shared" si="40"/>
        <v>0</v>
      </c>
      <c r="S148" s="251" t="e">
        <f t="shared" si="41"/>
        <v>#VALUE!</v>
      </c>
      <c r="T148" s="251">
        <f t="shared" si="28"/>
        <v>0</v>
      </c>
      <c r="U148" s="252">
        <f>TRUNC(T148*Condições!$C$102,2)</f>
        <v>0</v>
      </c>
      <c r="V148" s="199">
        <f t="shared" si="49"/>
        <v>0</v>
      </c>
      <c r="W148" s="161" t="e">
        <f t="shared" si="42"/>
        <v>#N/A</v>
      </c>
      <c r="X148" s="161" t="e">
        <f t="shared" si="43"/>
        <v>#N/A</v>
      </c>
      <c r="Y148" s="161">
        <f t="shared" si="50"/>
        <v>123</v>
      </c>
      <c r="Z148" s="161">
        <f t="shared" ca="1" si="51"/>
        <v>9</v>
      </c>
      <c r="AG148" s="114">
        <f t="shared" si="52"/>
        <v>0</v>
      </c>
      <c r="AH148" s="113"/>
      <c r="AI148" s="199">
        <f ca="1">IF(AL148=0,0,IF(AL148&gt;Preenchimento!$AA$88*12,0,IF($AC$53=AM148,0,1)))</f>
        <v>0</v>
      </c>
      <c r="AJ148" s="161" t="e">
        <f t="shared" ca="1" si="44"/>
        <v>#N/A</v>
      </c>
      <c r="AK148" s="161" t="e">
        <f t="shared" ca="1" si="45"/>
        <v>#N/A</v>
      </c>
      <c r="AL148" s="161">
        <f ca="1">IF(Y148&gt;(Preenchimento!$AA$90*12),0,Fixa!Y148)</f>
        <v>0</v>
      </c>
      <c r="AM148" s="161">
        <f t="shared" ca="1" si="53"/>
        <v>9</v>
      </c>
      <c r="AN148" s="199">
        <f ca="1">IF(AQ148&gt;Preenchimento!$AA$90*12,0,1)</f>
        <v>0</v>
      </c>
      <c r="AO148" s="161" t="e">
        <f ca="1">1/((1+SAC!$AD$29)^AL148)</f>
        <v>#N/A</v>
      </c>
      <c r="AP148" s="82" t="e">
        <f t="shared" ca="1" si="54"/>
        <v>#N/A</v>
      </c>
      <c r="AQ148" s="82">
        <v>123</v>
      </c>
      <c r="AS148" s="477">
        <f t="shared" ca="1" si="46"/>
        <v>0</v>
      </c>
    </row>
    <row r="149" spans="1:45" ht="12" customHeight="1">
      <c r="A149" s="53">
        <v>124</v>
      </c>
      <c r="B149" s="249">
        <f ca="1">DATE(IF(MONTH(B148)=12,YEAR(B148)+1,YEAR(B148)),IF(MONTH(B148)=12,1,MONTH(B148)+1),MIN(DAY(Condições!$C$109),IF(IF(MONTH(B148)=12,1,MONTH(B148)+1)=2,IF(MOD(IF(MONTH(B148)=12,YEAR(B148)+1,YEAR(B148)),4)=0,29,28),IF(OR(IF(MONTH(B148)=12,1,MONTH(B148)+1)=4,IF(MONTH(B148)=12,1,MONTH(B148)+1)=6,IF(MONTH(B148)=12,1,MONTH(B148)+1)=9,IF(MONTH(B148)=12,1,MONTH(B148)+1)=11),30,DAY($B$25)))))</f>
        <v>49964</v>
      </c>
      <c r="C149" s="250" t="str">
        <f t="shared" si="29"/>
        <v/>
      </c>
      <c r="D149" s="251" t="e">
        <f t="shared" si="30"/>
        <v>#N/A</v>
      </c>
      <c r="E149" s="251">
        <f t="shared" si="31"/>
        <v>0</v>
      </c>
      <c r="F149" s="251">
        <f t="shared" si="32"/>
        <v>0</v>
      </c>
      <c r="G149" s="251">
        <f t="shared" si="33"/>
        <v>0</v>
      </c>
      <c r="H149" s="251" t="e">
        <f t="shared" si="34"/>
        <v>#VALUE!</v>
      </c>
      <c r="I149" s="251">
        <f t="shared" si="35"/>
        <v>0</v>
      </c>
      <c r="J149" s="251">
        <f t="shared" si="47"/>
        <v>0</v>
      </c>
      <c r="K149" s="251">
        <f t="shared" si="36"/>
        <v>0</v>
      </c>
      <c r="L149" s="174"/>
      <c r="M149" s="224"/>
      <c r="N149" s="225">
        <f t="shared" si="37"/>
        <v>0</v>
      </c>
      <c r="O149" s="251" t="e">
        <f t="shared" si="38"/>
        <v>#N/A</v>
      </c>
      <c r="P149" s="251">
        <f t="shared" si="48"/>
        <v>0</v>
      </c>
      <c r="Q149" s="251">
        <f t="shared" si="39"/>
        <v>0</v>
      </c>
      <c r="R149" s="251">
        <f t="shared" si="40"/>
        <v>0</v>
      </c>
      <c r="S149" s="251" t="e">
        <f t="shared" si="41"/>
        <v>#VALUE!</v>
      </c>
      <c r="T149" s="251">
        <f t="shared" si="28"/>
        <v>0</v>
      </c>
      <c r="U149" s="252">
        <f>TRUNC(T149*Condições!$C$102,2)</f>
        <v>0</v>
      </c>
      <c r="V149" s="199">
        <f t="shared" si="49"/>
        <v>0</v>
      </c>
      <c r="W149" s="161" t="e">
        <f t="shared" si="42"/>
        <v>#N/A</v>
      </c>
      <c r="X149" s="161" t="e">
        <f t="shared" si="43"/>
        <v>#N/A</v>
      </c>
      <c r="Y149" s="161">
        <f t="shared" si="50"/>
        <v>124</v>
      </c>
      <c r="Z149" s="161">
        <f t="shared" ca="1" si="51"/>
        <v>10</v>
      </c>
      <c r="AG149" s="114">
        <f t="shared" si="52"/>
        <v>0</v>
      </c>
      <c r="AH149" s="113"/>
      <c r="AI149" s="199">
        <f ca="1">IF(AL149=0,0,IF(AL149&gt;Preenchimento!$AA$88*12,0,IF($AC$53=AM149,0,1)))</f>
        <v>0</v>
      </c>
      <c r="AJ149" s="161" t="e">
        <f t="shared" ca="1" si="44"/>
        <v>#N/A</v>
      </c>
      <c r="AK149" s="161" t="e">
        <f t="shared" ca="1" si="45"/>
        <v>#N/A</v>
      </c>
      <c r="AL149" s="161">
        <f ca="1">IF(Y149&gt;(Preenchimento!$AA$90*12),0,Fixa!Y149)</f>
        <v>0</v>
      </c>
      <c r="AM149" s="161">
        <f t="shared" ca="1" si="53"/>
        <v>10</v>
      </c>
      <c r="AN149" s="199">
        <f ca="1">IF(AQ149&gt;Preenchimento!$AA$90*12,0,1)</f>
        <v>0</v>
      </c>
      <c r="AO149" s="161" t="e">
        <f ca="1">1/((1+SAC!$AD$29)^AL149)</f>
        <v>#N/A</v>
      </c>
      <c r="AP149" s="82" t="e">
        <f t="shared" ca="1" si="54"/>
        <v>#N/A</v>
      </c>
      <c r="AQ149" s="82">
        <v>124</v>
      </c>
      <c r="AS149" s="477">
        <f t="shared" ca="1" si="46"/>
        <v>0</v>
      </c>
    </row>
    <row r="150" spans="1:45" ht="12" customHeight="1">
      <c r="A150" s="53">
        <v>125</v>
      </c>
      <c r="B150" s="249">
        <f ca="1">DATE(IF(MONTH(B149)=12,YEAR(B149)+1,YEAR(B149)),IF(MONTH(B149)=12,1,MONTH(B149)+1),MIN(DAY(Condições!$C$109),IF(IF(MONTH(B149)=12,1,MONTH(B149)+1)=2,IF(MOD(IF(MONTH(B149)=12,YEAR(B149)+1,YEAR(B149)),4)=0,29,28),IF(OR(IF(MONTH(B149)=12,1,MONTH(B149)+1)=4,IF(MONTH(B149)=12,1,MONTH(B149)+1)=6,IF(MONTH(B149)=12,1,MONTH(B149)+1)=9,IF(MONTH(B149)=12,1,MONTH(B149)+1)=11),30,DAY($B$25)))))</f>
        <v>49995</v>
      </c>
      <c r="C150" s="250" t="str">
        <f t="shared" si="29"/>
        <v/>
      </c>
      <c r="D150" s="251" t="e">
        <f t="shared" si="30"/>
        <v>#N/A</v>
      </c>
      <c r="E150" s="251">
        <f t="shared" si="31"/>
        <v>0</v>
      </c>
      <c r="F150" s="251">
        <f t="shared" si="32"/>
        <v>0</v>
      </c>
      <c r="G150" s="251">
        <f t="shared" si="33"/>
        <v>0</v>
      </c>
      <c r="H150" s="251" t="e">
        <f t="shared" si="34"/>
        <v>#VALUE!</v>
      </c>
      <c r="I150" s="251">
        <f t="shared" si="35"/>
        <v>0</v>
      </c>
      <c r="J150" s="251">
        <f t="shared" si="47"/>
        <v>0</v>
      </c>
      <c r="K150" s="251">
        <f t="shared" si="36"/>
        <v>0</v>
      </c>
      <c r="L150" s="174"/>
      <c r="M150" s="224"/>
      <c r="N150" s="225">
        <f t="shared" si="37"/>
        <v>0</v>
      </c>
      <c r="O150" s="251" t="e">
        <f t="shared" si="38"/>
        <v>#N/A</v>
      </c>
      <c r="P150" s="251">
        <f t="shared" si="48"/>
        <v>0</v>
      </c>
      <c r="Q150" s="251">
        <f t="shared" si="39"/>
        <v>0</v>
      </c>
      <c r="R150" s="251">
        <f t="shared" si="40"/>
        <v>0</v>
      </c>
      <c r="S150" s="251" t="e">
        <f t="shared" si="41"/>
        <v>#VALUE!</v>
      </c>
      <c r="T150" s="251">
        <f t="shared" si="28"/>
        <v>0</v>
      </c>
      <c r="U150" s="252">
        <f>TRUNC(T150*Condições!$C$102,2)</f>
        <v>0</v>
      </c>
      <c r="V150" s="199">
        <f t="shared" si="49"/>
        <v>0</v>
      </c>
      <c r="W150" s="161" t="e">
        <f t="shared" si="42"/>
        <v>#N/A</v>
      </c>
      <c r="X150" s="161" t="e">
        <f t="shared" si="43"/>
        <v>#N/A</v>
      </c>
      <c r="Y150" s="161">
        <f t="shared" si="50"/>
        <v>125</v>
      </c>
      <c r="Z150" s="161">
        <f t="shared" ca="1" si="51"/>
        <v>11</v>
      </c>
      <c r="AG150" s="114">
        <f t="shared" si="52"/>
        <v>0</v>
      </c>
      <c r="AH150" s="113"/>
      <c r="AI150" s="199">
        <f ca="1">IF(AL150=0,0,IF(AL150&gt;Preenchimento!$AA$88*12,0,IF($AC$53=AM150,0,1)))</f>
        <v>0</v>
      </c>
      <c r="AJ150" s="161" t="e">
        <f t="shared" ca="1" si="44"/>
        <v>#N/A</v>
      </c>
      <c r="AK150" s="161" t="e">
        <f t="shared" ca="1" si="45"/>
        <v>#N/A</v>
      </c>
      <c r="AL150" s="161">
        <f ca="1">IF(Y150&gt;(Preenchimento!$AA$90*12),0,Fixa!Y150)</f>
        <v>0</v>
      </c>
      <c r="AM150" s="161">
        <f t="shared" ca="1" si="53"/>
        <v>11</v>
      </c>
      <c r="AN150" s="199">
        <f ca="1">IF(AQ150&gt;Preenchimento!$AA$90*12,0,1)</f>
        <v>0</v>
      </c>
      <c r="AO150" s="161" t="e">
        <f ca="1">1/((1+SAC!$AD$29)^AL150)</f>
        <v>#N/A</v>
      </c>
      <c r="AP150" s="82" t="e">
        <f t="shared" ca="1" si="54"/>
        <v>#N/A</v>
      </c>
      <c r="AQ150" s="82">
        <v>125</v>
      </c>
      <c r="AS150" s="477">
        <f t="shared" ca="1" si="46"/>
        <v>0</v>
      </c>
    </row>
    <row r="151" spans="1:45" ht="12" customHeight="1">
      <c r="A151" s="53">
        <v>126</v>
      </c>
      <c r="B151" s="249">
        <f ca="1">DATE(IF(MONTH(B150)=12,YEAR(B150)+1,YEAR(B150)),IF(MONTH(B150)=12,1,MONTH(B150)+1),MIN(DAY(Condições!$C$109),IF(IF(MONTH(B150)=12,1,MONTH(B150)+1)=2,IF(MOD(IF(MONTH(B150)=12,YEAR(B150)+1,YEAR(B150)),4)=0,29,28),IF(OR(IF(MONTH(B150)=12,1,MONTH(B150)+1)=4,IF(MONTH(B150)=12,1,MONTH(B150)+1)=6,IF(MONTH(B150)=12,1,MONTH(B150)+1)=9,IF(MONTH(B150)=12,1,MONTH(B150)+1)=11),30,DAY($B$25)))))</f>
        <v>50025</v>
      </c>
      <c r="C151" s="250" t="str">
        <f t="shared" si="29"/>
        <v/>
      </c>
      <c r="D151" s="251" t="e">
        <f t="shared" si="30"/>
        <v>#N/A</v>
      </c>
      <c r="E151" s="251">
        <f t="shared" si="31"/>
        <v>0</v>
      </c>
      <c r="F151" s="251">
        <f t="shared" si="32"/>
        <v>0</v>
      </c>
      <c r="G151" s="251">
        <f t="shared" si="33"/>
        <v>0</v>
      </c>
      <c r="H151" s="251" t="e">
        <f t="shared" si="34"/>
        <v>#VALUE!</v>
      </c>
      <c r="I151" s="251">
        <f t="shared" si="35"/>
        <v>0</v>
      </c>
      <c r="J151" s="251">
        <f t="shared" si="47"/>
        <v>0</v>
      </c>
      <c r="K151" s="251">
        <f t="shared" si="36"/>
        <v>0</v>
      </c>
      <c r="L151" s="174"/>
      <c r="M151" s="224"/>
      <c r="N151" s="225">
        <f t="shared" si="37"/>
        <v>0</v>
      </c>
      <c r="O151" s="251" t="e">
        <f t="shared" si="38"/>
        <v>#N/A</v>
      </c>
      <c r="P151" s="251">
        <f t="shared" si="48"/>
        <v>0</v>
      </c>
      <c r="Q151" s="251">
        <f t="shared" si="39"/>
        <v>0</v>
      </c>
      <c r="R151" s="251">
        <f t="shared" si="40"/>
        <v>0</v>
      </c>
      <c r="S151" s="251" t="e">
        <f t="shared" si="41"/>
        <v>#VALUE!</v>
      </c>
      <c r="T151" s="251">
        <f t="shared" si="28"/>
        <v>0</v>
      </c>
      <c r="U151" s="252">
        <f>TRUNC(T151*Condições!$C$102,2)</f>
        <v>0</v>
      </c>
      <c r="V151" s="199">
        <f t="shared" si="49"/>
        <v>0</v>
      </c>
      <c r="W151" s="161" t="e">
        <f t="shared" si="42"/>
        <v>#N/A</v>
      </c>
      <c r="X151" s="161" t="e">
        <f t="shared" si="43"/>
        <v>#N/A</v>
      </c>
      <c r="Y151" s="161">
        <f t="shared" si="50"/>
        <v>126</v>
      </c>
      <c r="Z151" s="161">
        <f t="shared" ca="1" si="51"/>
        <v>12</v>
      </c>
      <c r="AG151" s="114">
        <f t="shared" si="52"/>
        <v>0</v>
      </c>
      <c r="AH151" s="113"/>
      <c r="AI151" s="199">
        <f ca="1">IF(AL151=0,0,IF(AL151&gt;Preenchimento!$AA$88*12,0,IF($AC$53=AM151,0,1)))</f>
        <v>0</v>
      </c>
      <c r="AJ151" s="161" t="e">
        <f t="shared" ca="1" si="44"/>
        <v>#N/A</v>
      </c>
      <c r="AK151" s="161" t="e">
        <f t="shared" ca="1" si="45"/>
        <v>#N/A</v>
      </c>
      <c r="AL151" s="161">
        <f ca="1">IF(Y151&gt;(Preenchimento!$AA$90*12),0,Fixa!Y151)</f>
        <v>0</v>
      </c>
      <c r="AM151" s="161">
        <f t="shared" ca="1" si="53"/>
        <v>12</v>
      </c>
      <c r="AN151" s="199">
        <f ca="1">IF(AQ151&gt;Preenchimento!$AA$90*12,0,1)</f>
        <v>0</v>
      </c>
      <c r="AO151" s="161" t="e">
        <f ca="1">1/((1+SAC!$AD$29)^AL151)</f>
        <v>#N/A</v>
      </c>
      <c r="AP151" s="82" t="e">
        <f t="shared" ca="1" si="54"/>
        <v>#N/A</v>
      </c>
      <c r="AQ151" s="82">
        <v>126</v>
      </c>
      <c r="AS151" s="477">
        <f t="shared" ca="1" si="46"/>
        <v>0</v>
      </c>
    </row>
    <row r="152" spans="1:45" ht="12" customHeight="1">
      <c r="A152" s="53">
        <v>127</v>
      </c>
      <c r="B152" s="249">
        <f ca="1">DATE(IF(MONTH(B151)=12,YEAR(B151)+1,YEAR(B151)),IF(MONTH(B151)=12,1,MONTH(B151)+1),MIN(DAY(Condições!$C$109),IF(IF(MONTH(B151)=12,1,MONTH(B151)+1)=2,IF(MOD(IF(MONTH(B151)=12,YEAR(B151)+1,YEAR(B151)),4)=0,29,28),IF(OR(IF(MONTH(B151)=12,1,MONTH(B151)+1)=4,IF(MONTH(B151)=12,1,MONTH(B151)+1)=6,IF(MONTH(B151)=12,1,MONTH(B151)+1)=9,IF(MONTH(B151)=12,1,MONTH(B151)+1)=11),30,DAY($B$25)))))</f>
        <v>50056</v>
      </c>
      <c r="C152" s="250" t="str">
        <f t="shared" si="29"/>
        <v/>
      </c>
      <c r="D152" s="251" t="e">
        <f t="shared" si="30"/>
        <v>#N/A</v>
      </c>
      <c r="E152" s="251">
        <f t="shared" si="31"/>
        <v>0</v>
      </c>
      <c r="F152" s="251">
        <f t="shared" si="32"/>
        <v>0</v>
      </c>
      <c r="G152" s="251">
        <f t="shared" si="33"/>
        <v>0</v>
      </c>
      <c r="H152" s="251" t="e">
        <f t="shared" si="34"/>
        <v>#VALUE!</v>
      </c>
      <c r="I152" s="251">
        <f t="shared" si="35"/>
        <v>0</v>
      </c>
      <c r="J152" s="251">
        <f t="shared" si="47"/>
        <v>0</v>
      </c>
      <c r="K152" s="251">
        <f t="shared" si="36"/>
        <v>0</v>
      </c>
      <c r="L152" s="174"/>
      <c r="M152" s="224"/>
      <c r="N152" s="225">
        <f t="shared" si="37"/>
        <v>0</v>
      </c>
      <c r="O152" s="251" t="e">
        <f t="shared" si="38"/>
        <v>#N/A</v>
      </c>
      <c r="P152" s="251">
        <f t="shared" si="48"/>
        <v>0</v>
      </c>
      <c r="Q152" s="251">
        <f t="shared" si="39"/>
        <v>0</v>
      </c>
      <c r="R152" s="251">
        <f t="shared" si="40"/>
        <v>0</v>
      </c>
      <c r="S152" s="251" t="e">
        <f t="shared" si="41"/>
        <v>#VALUE!</v>
      </c>
      <c r="T152" s="251">
        <f t="shared" si="28"/>
        <v>0</v>
      </c>
      <c r="U152" s="252">
        <f>TRUNC(T152*Condições!$C$102,2)</f>
        <v>0</v>
      </c>
      <c r="V152" s="199">
        <f t="shared" si="49"/>
        <v>0</v>
      </c>
      <c r="W152" s="161" t="e">
        <f t="shared" si="42"/>
        <v>#N/A</v>
      </c>
      <c r="X152" s="161" t="e">
        <f t="shared" si="43"/>
        <v>#N/A</v>
      </c>
      <c r="Y152" s="161">
        <f t="shared" si="50"/>
        <v>127</v>
      </c>
      <c r="Z152" s="161">
        <f t="shared" ca="1" si="51"/>
        <v>1</v>
      </c>
      <c r="AG152" s="114">
        <f t="shared" si="52"/>
        <v>0</v>
      </c>
      <c r="AH152" s="113"/>
      <c r="AI152" s="199">
        <f ca="1">IF(AL152=0,0,IF(AL152&gt;Preenchimento!$AA$88*12,0,IF($AC$53=AM152,0,1)))</f>
        <v>0</v>
      </c>
      <c r="AJ152" s="161" t="e">
        <f t="shared" ca="1" si="44"/>
        <v>#N/A</v>
      </c>
      <c r="AK152" s="161" t="e">
        <f t="shared" ca="1" si="45"/>
        <v>#N/A</v>
      </c>
      <c r="AL152" s="161">
        <f ca="1">IF(Y152&gt;(Preenchimento!$AA$90*12),0,Fixa!Y152)</f>
        <v>0</v>
      </c>
      <c r="AM152" s="161">
        <f t="shared" ca="1" si="53"/>
        <v>1</v>
      </c>
      <c r="AN152" s="199">
        <f ca="1">IF(AQ152&gt;Preenchimento!$AA$90*12,0,1)</f>
        <v>0</v>
      </c>
      <c r="AO152" s="161" t="e">
        <f ca="1">1/((1+SAC!$AD$29)^AL152)</f>
        <v>#N/A</v>
      </c>
      <c r="AP152" s="82" t="e">
        <f t="shared" ca="1" si="54"/>
        <v>#N/A</v>
      </c>
      <c r="AQ152" s="82">
        <v>127</v>
      </c>
      <c r="AS152" s="477">
        <f t="shared" ca="1" si="46"/>
        <v>0</v>
      </c>
    </row>
    <row r="153" spans="1:45" ht="12" customHeight="1">
      <c r="A153" s="53">
        <v>128</v>
      </c>
      <c r="B153" s="249">
        <f ca="1">DATE(IF(MONTH(B152)=12,YEAR(B152)+1,YEAR(B152)),IF(MONTH(B152)=12,1,MONTH(B152)+1),MIN(DAY(Condições!$C$109),IF(IF(MONTH(B152)=12,1,MONTH(B152)+1)=2,IF(MOD(IF(MONTH(B152)=12,YEAR(B152)+1,YEAR(B152)),4)=0,29,28),IF(OR(IF(MONTH(B152)=12,1,MONTH(B152)+1)=4,IF(MONTH(B152)=12,1,MONTH(B152)+1)=6,IF(MONTH(B152)=12,1,MONTH(B152)+1)=9,IF(MONTH(B152)=12,1,MONTH(B152)+1)=11),30,DAY($B$25)))))</f>
        <v>50087</v>
      </c>
      <c r="C153" s="250" t="str">
        <f t="shared" si="29"/>
        <v/>
      </c>
      <c r="D153" s="251" t="e">
        <f t="shared" si="30"/>
        <v>#N/A</v>
      </c>
      <c r="E153" s="251">
        <f t="shared" si="31"/>
        <v>0</v>
      </c>
      <c r="F153" s="251">
        <f t="shared" si="32"/>
        <v>0</v>
      </c>
      <c r="G153" s="251">
        <f t="shared" si="33"/>
        <v>0</v>
      </c>
      <c r="H153" s="251" t="e">
        <f t="shared" si="34"/>
        <v>#VALUE!</v>
      </c>
      <c r="I153" s="251">
        <f t="shared" si="35"/>
        <v>0</v>
      </c>
      <c r="J153" s="251">
        <f t="shared" si="47"/>
        <v>0</v>
      </c>
      <c r="K153" s="251">
        <f t="shared" si="36"/>
        <v>0</v>
      </c>
      <c r="L153" s="174"/>
      <c r="M153" s="224"/>
      <c r="N153" s="225">
        <f t="shared" si="37"/>
        <v>0</v>
      </c>
      <c r="O153" s="251" t="e">
        <f t="shared" si="38"/>
        <v>#N/A</v>
      </c>
      <c r="P153" s="251">
        <f t="shared" si="48"/>
        <v>0</v>
      </c>
      <c r="Q153" s="251">
        <f t="shared" si="39"/>
        <v>0</v>
      </c>
      <c r="R153" s="251">
        <f t="shared" si="40"/>
        <v>0</v>
      </c>
      <c r="S153" s="251" t="e">
        <f t="shared" si="41"/>
        <v>#VALUE!</v>
      </c>
      <c r="T153" s="251">
        <f t="shared" ref="T153:T216" si="55">IF(C153&gt;=$AC$46,0,ROUND(IF(Y153&gt;$AC$46,"",$AC$51*$AC$44),$P$18))</f>
        <v>0</v>
      </c>
      <c r="U153" s="252">
        <f>TRUNC(T153*Condições!$C$102,2)</f>
        <v>0</v>
      </c>
      <c r="V153" s="199">
        <f t="shared" si="49"/>
        <v>0</v>
      </c>
      <c r="W153" s="161" t="e">
        <f t="shared" si="42"/>
        <v>#N/A</v>
      </c>
      <c r="X153" s="161" t="e">
        <f t="shared" si="43"/>
        <v>#N/A</v>
      </c>
      <c r="Y153" s="161">
        <f t="shared" si="50"/>
        <v>128</v>
      </c>
      <c r="Z153" s="161">
        <f t="shared" ca="1" si="51"/>
        <v>2</v>
      </c>
      <c r="AG153" s="114">
        <f t="shared" si="52"/>
        <v>0</v>
      </c>
      <c r="AH153" s="113"/>
      <c r="AI153" s="199">
        <f ca="1">IF(AL153=0,0,IF(AL153&gt;Preenchimento!$AA$88*12,0,IF($AC$53=AM153,0,1)))</f>
        <v>0</v>
      </c>
      <c r="AJ153" s="161" t="e">
        <f t="shared" ca="1" si="44"/>
        <v>#N/A</v>
      </c>
      <c r="AK153" s="161" t="e">
        <f t="shared" ca="1" si="45"/>
        <v>#N/A</v>
      </c>
      <c r="AL153" s="161">
        <f ca="1">IF(Y153&gt;(Preenchimento!$AA$90*12),0,Fixa!Y153)</f>
        <v>0</v>
      </c>
      <c r="AM153" s="161">
        <f t="shared" ca="1" si="53"/>
        <v>2</v>
      </c>
      <c r="AN153" s="199">
        <f ca="1">IF(AQ153&gt;Preenchimento!$AA$90*12,0,1)</f>
        <v>0</v>
      </c>
      <c r="AO153" s="161" t="e">
        <f ca="1">1/((1+SAC!$AD$29)^AL153)</f>
        <v>#N/A</v>
      </c>
      <c r="AP153" s="82" t="e">
        <f t="shared" ca="1" si="54"/>
        <v>#N/A</v>
      </c>
      <c r="AQ153" s="82">
        <v>128</v>
      </c>
      <c r="AS153" s="477">
        <f t="shared" ca="1" si="46"/>
        <v>0</v>
      </c>
    </row>
    <row r="154" spans="1:45" ht="12" customHeight="1">
      <c r="A154" s="53">
        <v>129</v>
      </c>
      <c r="B154" s="249">
        <f ca="1">DATE(IF(MONTH(B153)=12,YEAR(B153)+1,YEAR(B153)),IF(MONTH(B153)=12,1,MONTH(B153)+1),MIN(DAY(Condições!$C$109),IF(IF(MONTH(B153)=12,1,MONTH(B153)+1)=2,IF(MOD(IF(MONTH(B153)=12,YEAR(B153)+1,YEAR(B153)),4)=0,29,28),IF(OR(IF(MONTH(B153)=12,1,MONTH(B153)+1)=4,IF(MONTH(B153)=12,1,MONTH(B153)+1)=6,IF(MONTH(B153)=12,1,MONTH(B153)+1)=9,IF(MONTH(B153)=12,1,MONTH(B153)+1)=11),30,DAY($B$25)))))</f>
        <v>50115</v>
      </c>
      <c r="C154" s="250" t="str">
        <f t="shared" ref="C154:C217" si="56">IF(Y154&gt;$AC$46,"",Y154)</f>
        <v/>
      </c>
      <c r="D154" s="251" t="e">
        <f t="shared" ref="D154:D217" si="57">ROUND(O154,2)</f>
        <v>#N/A</v>
      </c>
      <c r="E154" s="251">
        <f t="shared" ref="E154:E217" si="58">ROUND(P154,2)</f>
        <v>0</v>
      </c>
      <c r="F154" s="251">
        <f t="shared" ref="F154:F217" si="59">ROUND(Q154,2)</f>
        <v>0</v>
      </c>
      <c r="G154" s="251">
        <f t="shared" ref="G154:G217" si="60">F154+E154</f>
        <v>0</v>
      </c>
      <c r="H154" s="251" t="e">
        <f t="shared" ref="H154:H217" si="61">ROUND(S154,2)</f>
        <v>#VALUE!</v>
      </c>
      <c r="I154" s="251">
        <f t="shared" ref="I154:I217" si="62">ROUND(T154+U154,2)</f>
        <v>0</v>
      </c>
      <c r="J154" s="251">
        <f t="shared" si="47"/>
        <v>0</v>
      </c>
      <c r="K154" s="251">
        <f t="shared" ref="K154:K217" si="63">IF(C154&gt;$AC$46,0,SUM(G154:J154))</f>
        <v>0</v>
      </c>
      <c r="L154" s="174"/>
      <c r="M154" s="224"/>
      <c r="N154" s="225">
        <f t="shared" ref="N154:N217" si="64">IF(C154&gt;$AC$46,0,(H154+I154)/(1.008^((12*(B154-$B$25))/365)))</f>
        <v>0</v>
      </c>
      <c r="O154" s="251" t="e">
        <f t="shared" ref="O154:O217" si="65">ROUND(O153*(1+$AC$47)-R154,$P$18)</f>
        <v>#N/A</v>
      </c>
      <c r="P154" s="251">
        <f t="shared" si="48"/>
        <v>0</v>
      </c>
      <c r="Q154" s="251">
        <f t="shared" ref="Q154:Q217" si="66">ROUND(IF(V154=0,0,O153*$AC$47),$P$18)</f>
        <v>0</v>
      </c>
      <c r="R154" s="251">
        <f t="shared" ref="R154:R217" si="67">ROUND(IF(V154=0,0,$O$25/$X$18),$P$18)</f>
        <v>0</v>
      </c>
      <c r="S154" s="251" t="e">
        <f t="shared" ref="S154:S217" si="68">ROUND(IF(Y154&gt;$AC$46,"",$AC$52*O154),$P$18)</f>
        <v>#VALUE!</v>
      </c>
      <c r="T154" s="251">
        <f t="shared" si="55"/>
        <v>0</v>
      </c>
      <c r="U154" s="252">
        <f>TRUNC(T154*Condições!$C$102,2)</f>
        <v>0</v>
      </c>
      <c r="V154" s="199">
        <f t="shared" si="49"/>
        <v>0</v>
      </c>
      <c r="W154" s="161" t="e">
        <f t="shared" ref="W154:W217" si="69">1/(1+$AC$47)^Y154</f>
        <v>#N/A</v>
      </c>
      <c r="X154" s="161" t="e">
        <f t="shared" ref="X154:X217" si="70">W154*V154</f>
        <v>#N/A</v>
      </c>
      <c r="Y154" s="161">
        <f t="shared" si="50"/>
        <v>129</v>
      </c>
      <c r="Z154" s="161">
        <f t="shared" ca="1" si="51"/>
        <v>3</v>
      </c>
      <c r="AG154" s="114">
        <f t="shared" si="52"/>
        <v>0</v>
      </c>
      <c r="AH154" s="113"/>
      <c r="AI154" s="199">
        <f ca="1">IF(AL154=0,0,IF(AL154&gt;Preenchimento!$AA$88*12,0,IF($AC$53=AM154,0,1)))</f>
        <v>0</v>
      </c>
      <c r="AJ154" s="161" t="e">
        <f t="shared" ref="AJ154:AJ217" ca="1" si="71">1/(1+$AC$47)^AL154</f>
        <v>#N/A</v>
      </c>
      <c r="AK154" s="161" t="e">
        <f t="shared" ref="AK154:AK217" ca="1" si="72">AJ154*AI154</f>
        <v>#N/A</v>
      </c>
      <c r="AL154" s="161">
        <f ca="1">IF(Y154&gt;(Preenchimento!$AA$90*12),0,Fixa!Y154)</f>
        <v>0</v>
      </c>
      <c r="AM154" s="161">
        <f t="shared" ca="1" si="53"/>
        <v>3</v>
      </c>
      <c r="AN154" s="199">
        <f ca="1">IF(AQ154&gt;Preenchimento!$AA$90*12,0,1)</f>
        <v>0</v>
      </c>
      <c r="AO154" s="161" t="e">
        <f ca="1">1/((1+SAC!$AD$29)^AL154)</f>
        <v>#N/A</v>
      </c>
      <c r="AP154" s="82" t="e">
        <f t="shared" ca="1" si="54"/>
        <v>#N/A</v>
      </c>
      <c r="AQ154" s="82">
        <v>129</v>
      </c>
      <c r="AS154" s="477">
        <f t="shared" ref="AS154:AS217" ca="1" si="73">IFERROR(IF(Z153&gt;$AC$46,0,R154),0)</f>
        <v>0</v>
      </c>
    </row>
    <row r="155" spans="1:45" ht="12" customHeight="1">
      <c r="A155" s="53">
        <v>130</v>
      </c>
      <c r="B155" s="249">
        <f ca="1">DATE(IF(MONTH(B154)=12,YEAR(B154)+1,YEAR(B154)),IF(MONTH(B154)=12,1,MONTH(B154)+1),MIN(DAY(Condições!$C$109),IF(IF(MONTH(B154)=12,1,MONTH(B154)+1)=2,IF(MOD(IF(MONTH(B154)=12,YEAR(B154)+1,YEAR(B154)),4)=0,29,28),IF(OR(IF(MONTH(B154)=12,1,MONTH(B154)+1)=4,IF(MONTH(B154)=12,1,MONTH(B154)+1)=6,IF(MONTH(B154)=12,1,MONTH(B154)+1)=9,IF(MONTH(B154)=12,1,MONTH(B154)+1)=11),30,DAY($B$25)))))</f>
        <v>50146</v>
      </c>
      <c r="C155" s="250" t="str">
        <f t="shared" si="56"/>
        <v/>
      </c>
      <c r="D155" s="251" t="e">
        <f t="shared" si="57"/>
        <v>#N/A</v>
      </c>
      <c r="E155" s="251">
        <f t="shared" si="58"/>
        <v>0</v>
      </c>
      <c r="F155" s="251">
        <f t="shared" si="59"/>
        <v>0</v>
      </c>
      <c r="G155" s="251">
        <f t="shared" si="60"/>
        <v>0</v>
      </c>
      <c r="H155" s="251" t="e">
        <f t="shared" si="61"/>
        <v>#VALUE!</v>
      </c>
      <c r="I155" s="251">
        <f t="shared" si="62"/>
        <v>0</v>
      </c>
      <c r="J155" s="251">
        <f t="shared" ref="J155:J218" si="74">IF(V155=0,0,$AC$49)</f>
        <v>0</v>
      </c>
      <c r="K155" s="251">
        <f t="shared" si="63"/>
        <v>0</v>
      </c>
      <c r="L155" s="174"/>
      <c r="M155" s="224"/>
      <c r="N155" s="225">
        <f t="shared" si="64"/>
        <v>0</v>
      </c>
      <c r="O155" s="251" t="e">
        <f t="shared" si="65"/>
        <v>#N/A</v>
      </c>
      <c r="P155" s="251">
        <f t="shared" ref="P155:P218" si="75">ROUND(IF(V155=0,0,R155-Q155),$P$18)</f>
        <v>0</v>
      </c>
      <c r="Q155" s="251">
        <f t="shared" si="66"/>
        <v>0</v>
      </c>
      <c r="R155" s="251">
        <f t="shared" si="67"/>
        <v>0</v>
      </c>
      <c r="S155" s="251" t="e">
        <f t="shared" si="68"/>
        <v>#VALUE!</v>
      </c>
      <c r="T155" s="251">
        <f t="shared" si="55"/>
        <v>0</v>
      </c>
      <c r="U155" s="252">
        <f>TRUNC(T155*Condições!$C$102,2)</f>
        <v>0</v>
      </c>
      <c r="V155" s="199">
        <f t="shared" ref="V155:V218" si="76">IF(Y155&gt;$AC$46,0,IF($AC$53=Z155,0,1))</f>
        <v>0</v>
      </c>
      <c r="W155" s="161" t="e">
        <f t="shared" si="69"/>
        <v>#N/A</v>
      </c>
      <c r="X155" s="161" t="e">
        <f t="shared" si="70"/>
        <v>#N/A</v>
      </c>
      <c r="Y155" s="161">
        <f t="shared" ref="Y155:Y218" si="77">1+Y154</f>
        <v>130</v>
      </c>
      <c r="Z155" s="161">
        <f t="shared" ref="Z155:Z218" ca="1" si="78">IF(Z154=12,1,Z154+1)</f>
        <v>4</v>
      </c>
      <c r="AG155" s="114">
        <f t="shared" ref="AG155:AG218" si="79">IF(C155&gt;$AC$46,0,R155+S155+T155+U155+J155)</f>
        <v>0</v>
      </c>
      <c r="AH155" s="113"/>
      <c r="AI155" s="199">
        <f ca="1">IF(AL155=0,0,IF(AL155&gt;Preenchimento!$AA$88*12,0,IF($AC$53=AM155,0,1)))</f>
        <v>0</v>
      </c>
      <c r="AJ155" s="161" t="e">
        <f t="shared" ca="1" si="71"/>
        <v>#N/A</v>
      </c>
      <c r="AK155" s="161" t="e">
        <f t="shared" ca="1" si="72"/>
        <v>#N/A</v>
      </c>
      <c r="AL155" s="161">
        <f ca="1">IF(Y155&gt;(Preenchimento!$AA$90*12),0,Fixa!Y155)</f>
        <v>0</v>
      </c>
      <c r="AM155" s="161">
        <f t="shared" ref="AM155:AM218" ca="1" si="80">IF(AM154=12,1,AM154+1)</f>
        <v>4</v>
      </c>
      <c r="AN155" s="199">
        <f ca="1">IF(AQ155&gt;Preenchimento!$AA$90*12,0,1)</f>
        <v>0</v>
      </c>
      <c r="AO155" s="161" t="e">
        <f ca="1">1/((1+SAC!$AD$29)^AL155)</f>
        <v>#N/A</v>
      </c>
      <c r="AP155" s="82" t="e">
        <f t="shared" ref="AP155:AP218" ca="1" si="81">AO155*AN155</f>
        <v>#N/A</v>
      </c>
      <c r="AQ155" s="82">
        <v>130</v>
      </c>
      <c r="AS155" s="477">
        <f t="shared" ca="1" si="73"/>
        <v>0</v>
      </c>
    </row>
    <row r="156" spans="1:45" ht="12" customHeight="1">
      <c r="A156" s="53">
        <v>131</v>
      </c>
      <c r="B156" s="249">
        <f ca="1">DATE(IF(MONTH(B155)=12,YEAR(B155)+1,YEAR(B155)),IF(MONTH(B155)=12,1,MONTH(B155)+1),MIN(DAY(Condições!$C$109),IF(IF(MONTH(B155)=12,1,MONTH(B155)+1)=2,IF(MOD(IF(MONTH(B155)=12,YEAR(B155)+1,YEAR(B155)),4)=0,29,28),IF(OR(IF(MONTH(B155)=12,1,MONTH(B155)+1)=4,IF(MONTH(B155)=12,1,MONTH(B155)+1)=6,IF(MONTH(B155)=12,1,MONTH(B155)+1)=9,IF(MONTH(B155)=12,1,MONTH(B155)+1)=11),30,DAY($B$25)))))</f>
        <v>50176</v>
      </c>
      <c r="C156" s="250" t="str">
        <f t="shared" si="56"/>
        <v/>
      </c>
      <c r="D156" s="251" t="e">
        <f t="shared" si="57"/>
        <v>#N/A</v>
      </c>
      <c r="E156" s="251">
        <f t="shared" si="58"/>
        <v>0</v>
      </c>
      <c r="F156" s="251">
        <f t="shared" si="59"/>
        <v>0</v>
      </c>
      <c r="G156" s="251">
        <f t="shared" si="60"/>
        <v>0</v>
      </c>
      <c r="H156" s="251" t="e">
        <f t="shared" si="61"/>
        <v>#VALUE!</v>
      </c>
      <c r="I156" s="251">
        <f t="shared" si="62"/>
        <v>0</v>
      </c>
      <c r="J156" s="251">
        <f t="shared" si="74"/>
        <v>0</v>
      </c>
      <c r="K156" s="251">
        <f t="shared" si="63"/>
        <v>0</v>
      </c>
      <c r="L156" s="174"/>
      <c r="M156" s="224"/>
      <c r="N156" s="225">
        <f t="shared" si="64"/>
        <v>0</v>
      </c>
      <c r="O156" s="251" t="e">
        <f t="shared" si="65"/>
        <v>#N/A</v>
      </c>
      <c r="P156" s="251">
        <f t="shared" si="75"/>
        <v>0</v>
      </c>
      <c r="Q156" s="251">
        <f t="shared" si="66"/>
        <v>0</v>
      </c>
      <c r="R156" s="251">
        <f t="shared" si="67"/>
        <v>0</v>
      </c>
      <c r="S156" s="251" t="e">
        <f t="shared" si="68"/>
        <v>#VALUE!</v>
      </c>
      <c r="T156" s="251">
        <f t="shared" si="55"/>
        <v>0</v>
      </c>
      <c r="U156" s="252">
        <f>TRUNC(T156*Condições!$C$102,2)</f>
        <v>0</v>
      </c>
      <c r="V156" s="199">
        <f t="shared" si="76"/>
        <v>0</v>
      </c>
      <c r="W156" s="161" t="e">
        <f t="shared" si="69"/>
        <v>#N/A</v>
      </c>
      <c r="X156" s="161" t="e">
        <f t="shared" si="70"/>
        <v>#N/A</v>
      </c>
      <c r="Y156" s="161">
        <f t="shared" si="77"/>
        <v>131</v>
      </c>
      <c r="Z156" s="161">
        <f t="shared" ca="1" si="78"/>
        <v>5</v>
      </c>
      <c r="AG156" s="114">
        <f t="shared" si="79"/>
        <v>0</v>
      </c>
      <c r="AH156" s="113"/>
      <c r="AI156" s="199">
        <f ca="1">IF(AL156=0,0,IF(AL156&gt;Preenchimento!$AA$88*12,0,IF($AC$53=AM156,0,1)))</f>
        <v>0</v>
      </c>
      <c r="AJ156" s="161" t="e">
        <f t="shared" ca="1" si="71"/>
        <v>#N/A</v>
      </c>
      <c r="AK156" s="161" t="e">
        <f t="shared" ca="1" si="72"/>
        <v>#N/A</v>
      </c>
      <c r="AL156" s="161">
        <f ca="1">IF(Y156&gt;(Preenchimento!$AA$90*12),0,Fixa!Y156)</f>
        <v>0</v>
      </c>
      <c r="AM156" s="161">
        <f t="shared" ca="1" si="80"/>
        <v>5</v>
      </c>
      <c r="AN156" s="199">
        <f ca="1">IF(AQ156&gt;Preenchimento!$AA$90*12,0,1)</f>
        <v>0</v>
      </c>
      <c r="AO156" s="161" t="e">
        <f ca="1">1/((1+SAC!$AD$29)^AL156)</f>
        <v>#N/A</v>
      </c>
      <c r="AP156" s="82" t="e">
        <f t="shared" ca="1" si="81"/>
        <v>#N/A</v>
      </c>
      <c r="AQ156" s="82">
        <v>131</v>
      </c>
      <c r="AS156" s="477">
        <f t="shared" ca="1" si="73"/>
        <v>0</v>
      </c>
    </row>
    <row r="157" spans="1:45" ht="12" customHeight="1">
      <c r="A157" s="53">
        <v>132</v>
      </c>
      <c r="B157" s="249">
        <f ca="1">DATE(IF(MONTH(B156)=12,YEAR(B156)+1,YEAR(B156)),IF(MONTH(B156)=12,1,MONTH(B156)+1),MIN(DAY(Condições!$C$109),IF(IF(MONTH(B156)=12,1,MONTH(B156)+1)=2,IF(MOD(IF(MONTH(B156)=12,YEAR(B156)+1,YEAR(B156)),4)=0,29,28),IF(OR(IF(MONTH(B156)=12,1,MONTH(B156)+1)=4,IF(MONTH(B156)=12,1,MONTH(B156)+1)=6,IF(MONTH(B156)=12,1,MONTH(B156)+1)=9,IF(MONTH(B156)=12,1,MONTH(B156)+1)=11),30,DAY($B$25)))))</f>
        <v>50207</v>
      </c>
      <c r="C157" s="250" t="str">
        <f t="shared" si="56"/>
        <v/>
      </c>
      <c r="D157" s="251" t="e">
        <f t="shared" si="57"/>
        <v>#N/A</v>
      </c>
      <c r="E157" s="251">
        <f t="shared" si="58"/>
        <v>0</v>
      </c>
      <c r="F157" s="251">
        <f t="shared" si="59"/>
        <v>0</v>
      </c>
      <c r="G157" s="251">
        <f t="shared" si="60"/>
        <v>0</v>
      </c>
      <c r="H157" s="251" t="e">
        <f t="shared" si="61"/>
        <v>#VALUE!</v>
      </c>
      <c r="I157" s="251">
        <f t="shared" si="62"/>
        <v>0</v>
      </c>
      <c r="J157" s="251">
        <f t="shared" si="74"/>
        <v>0</v>
      </c>
      <c r="K157" s="251">
        <f t="shared" si="63"/>
        <v>0</v>
      </c>
      <c r="L157" s="174"/>
      <c r="M157" s="224"/>
      <c r="N157" s="225">
        <f t="shared" si="64"/>
        <v>0</v>
      </c>
      <c r="O157" s="251" t="e">
        <f t="shared" si="65"/>
        <v>#N/A</v>
      </c>
      <c r="P157" s="251">
        <f t="shared" si="75"/>
        <v>0</v>
      </c>
      <c r="Q157" s="251">
        <f t="shared" si="66"/>
        <v>0</v>
      </c>
      <c r="R157" s="251">
        <f t="shared" si="67"/>
        <v>0</v>
      </c>
      <c r="S157" s="251" t="e">
        <f t="shared" si="68"/>
        <v>#VALUE!</v>
      </c>
      <c r="T157" s="251">
        <f t="shared" si="55"/>
        <v>0</v>
      </c>
      <c r="U157" s="252">
        <f>TRUNC(T157*Condições!$C$102,2)</f>
        <v>0</v>
      </c>
      <c r="V157" s="199">
        <f t="shared" si="76"/>
        <v>0</v>
      </c>
      <c r="W157" s="161" t="e">
        <f t="shared" si="69"/>
        <v>#N/A</v>
      </c>
      <c r="X157" s="161" t="e">
        <f t="shared" si="70"/>
        <v>#N/A</v>
      </c>
      <c r="Y157" s="161">
        <f t="shared" si="77"/>
        <v>132</v>
      </c>
      <c r="Z157" s="161">
        <f t="shared" ca="1" si="78"/>
        <v>6</v>
      </c>
      <c r="AG157" s="114">
        <f t="shared" si="79"/>
        <v>0</v>
      </c>
      <c r="AH157" s="113"/>
      <c r="AI157" s="199">
        <f ca="1">IF(AL157=0,0,IF(AL157&gt;Preenchimento!$AA$88*12,0,IF($AC$53=AM157,0,1)))</f>
        <v>0</v>
      </c>
      <c r="AJ157" s="161" t="e">
        <f t="shared" ca="1" si="71"/>
        <v>#N/A</v>
      </c>
      <c r="AK157" s="161" t="e">
        <f t="shared" ca="1" si="72"/>
        <v>#N/A</v>
      </c>
      <c r="AL157" s="161">
        <f ca="1">IF(Y157&gt;(Preenchimento!$AA$90*12),0,Fixa!Y157)</f>
        <v>0</v>
      </c>
      <c r="AM157" s="161">
        <f t="shared" ca="1" si="80"/>
        <v>6</v>
      </c>
      <c r="AN157" s="199">
        <f ca="1">IF(AQ157&gt;Preenchimento!$AA$90*12,0,1)</f>
        <v>0</v>
      </c>
      <c r="AO157" s="161" t="e">
        <f ca="1">1/((1+SAC!$AD$29)^AL157)</f>
        <v>#N/A</v>
      </c>
      <c r="AP157" s="82" t="e">
        <f t="shared" ca="1" si="81"/>
        <v>#N/A</v>
      </c>
      <c r="AQ157" s="82">
        <v>132</v>
      </c>
      <c r="AS157" s="477">
        <f t="shared" ca="1" si="73"/>
        <v>0</v>
      </c>
    </row>
    <row r="158" spans="1:45" ht="12" customHeight="1">
      <c r="A158" s="53">
        <v>133</v>
      </c>
      <c r="B158" s="249">
        <f ca="1">DATE(IF(MONTH(B157)=12,YEAR(B157)+1,YEAR(B157)),IF(MONTH(B157)=12,1,MONTH(B157)+1),MIN(DAY(Condições!$C$109),IF(IF(MONTH(B157)=12,1,MONTH(B157)+1)=2,IF(MOD(IF(MONTH(B157)=12,YEAR(B157)+1,YEAR(B157)),4)=0,29,28),IF(OR(IF(MONTH(B157)=12,1,MONTH(B157)+1)=4,IF(MONTH(B157)=12,1,MONTH(B157)+1)=6,IF(MONTH(B157)=12,1,MONTH(B157)+1)=9,IF(MONTH(B157)=12,1,MONTH(B157)+1)=11),30,DAY($B$25)))))</f>
        <v>50237</v>
      </c>
      <c r="C158" s="250" t="str">
        <f t="shared" si="56"/>
        <v/>
      </c>
      <c r="D158" s="251" t="e">
        <f t="shared" si="57"/>
        <v>#N/A</v>
      </c>
      <c r="E158" s="251">
        <f t="shared" si="58"/>
        <v>0</v>
      </c>
      <c r="F158" s="251">
        <f t="shared" si="59"/>
        <v>0</v>
      </c>
      <c r="G158" s="251">
        <f t="shared" si="60"/>
        <v>0</v>
      </c>
      <c r="H158" s="251" t="e">
        <f t="shared" si="61"/>
        <v>#VALUE!</v>
      </c>
      <c r="I158" s="251">
        <f t="shared" si="62"/>
        <v>0</v>
      </c>
      <c r="J158" s="251">
        <f t="shared" si="74"/>
        <v>0</v>
      </c>
      <c r="K158" s="251">
        <f t="shared" si="63"/>
        <v>0</v>
      </c>
      <c r="L158" s="174"/>
      <c r="M158" s="224"/>
      <c r="N158" s="225">
        <f t="shared" si="64"/>
        <v>0</v>
      </c>
      <c r="O158" s="251" t="e">
        <f t="shared" si="65"/>
        <v>#N/A</v>
      </c>
      <c r="P158" s="251">
        <f t="shared" si="75"/>
        <v>0</v>
      </c>
      <c r="Q158" s="251">
        <f t="shared" si="66"/>
        <v>0</v>
      </c>
      <c r="R158" s="251">
        <f t="shared" si="67"/>
        <v>0</v>
      </c>
      <c r="S158" s="251" t="e">
        <f t="shared" si="68"/>
        <v>#VALUE!</v>
      </c>
      <c r="T158" s="251">
        <f t="shared" si="55"/>
        <v>0</v>
      </c>
      <c r="U158" s="252">
        <f>TRUNC(T158*Condições!$C$102,2)</f>
        <v>0</v>
      </c>
      <c r="V158" s="199">
        <f t="shared" si="76"/>
        <v>0</v>
      </c>
      <c r="W158" s="161" t="e">
        <f t="shared" si="69"/>
        <v>#N/A</v>
      </c>
      <c r="X158" s="161" t="e">
        <f t="shared" si="70"/>
        <v>#N/A</v>
      </c>
      <c r="Y158" s="161">
        <f t="shared" si="77"/>
        <v>133</v>
      </c>
      <c r="Z158" s="161">
        <f t="shared" ca="1" si="78"/>
        <v>7</v>
      </c>
      <c r="AG158" s="114">
        <f t="shared" si="79"/>
        <v>0</v>
      </c>
      <c r="AH158" s="113"/>
      <c r="AI158" s="199">
        <f ca="1">IF(AL158=0,0,IF(AL158&gt;Preenchimento!$AA$88*12,0,IF($AC$53=AM158,0,1)))</f>
        <v>0</v>
      </c>
      <c r="AJ158" s="161" t="e">
        <f t="shared" ca="1" si="71"/>
        <v>#N/A</v>
      </c>
      <c r="AK158" s="161" t="e">
        <f t="shared" ca="1" si="72"/>
        <v>#N/A</v>
      </c>
      <c r="AL158" s="161">
        <f ca="1">IF(Y158&gt;(Preenchimento!$AA$90*12),0,Fixa!Y158)</f>
        <v>0</v>
      </c>
      <c r="AM158" s="161">
        <f t="shared" ca="1" si="80"/>
        <v>7</v>
      </c>
      <c r="AN158" s="199">
        <f ca="1">IF(AQ158&gt;Preenchimento!$AA$90*12,0,1)</f>
        <v>0</v>
      </c>
      <c r="AO158" s="161" t="e">
        <f ca="1">1/((1+SAC!$AD$29)^AL158)</f>
        <v>#N/A</v>
      </c>
      <c r="AP158" s="82" t="e">
        <f t="shared" ca="1" si="81"/>
        <v>#N/A</v>
      </c>
      <c r="AQ158" s="82">
        <v>133</v>
      </c>
      <c r="AS158" s="477">
        <f t="shared" ca="1" si="73"/>
        <v>0</v>
      </c>
    </row>
    <row r="159" spans="1:45" ht="12" customHeight="1">
      <c r="A159" s="53">
        <v>134</v>
      </c>
      <c r="B159" s="249">
        <f ca="1">DATE(IF(MONTH(B158)=12,YEAR(B158)+1,YEAR(B158)),IF(MONTH(B158)=12,1,MONTH(B158)+1),MIN(DAY(Condições!$C$109),IF(IF(MONTH(B158)=12,1,MONTH(B158)+1)=2,IF(MOD(IF(MONTH(B158)=12,YEAR(B158)+1,YEAR(B158)),4)=0,29,28),IF(OR(IF(MONTH(B158)=12,1,MONTH(B158)+1)=4,IF(MONTH(B158)=12,1,MONTH(B158)+1)=6,IF(MONTH(B158)=12,1,MONTH(B158)+1)=9,IF(MONTH(B158)=12,1,MONTH(B158)+1)=11),30,DAY($B$25)))))</f>
        <v>50268</v>
      </c>
      <c r="C159" s="250" t="str">
        <f t="shared" si="56"/>
        <v/>
      </c>
      <c r="D159" s="251" t="e">
        <f t="shared" si="57"/>
        <v>#N/A</v>
      </c>
      <c r="E159" s="251">
        <f t="shared" si="58"/>
        <v>0</v>
      </c>
      <c r="F159" s="251">
        <f t="shared" si="59"/>
        <v>0</v>
      </c>
      <c r="G159" s="251">
        <f t="shared" si="60"/>
        <v>0</v>
      </c>
      <c r="H159" s="251" t="e">
        <f t="shared" si="61"/>
        <v>#VALUE!</v>
      </c>
      <c r="I159" s="251">
        <f t="shared" si="62"/>
        <v>0</v>
      </c>
      <c r="J159" s="251">
        <f t="shared" si="74"/>
        <v>0</v>
      </c>
      <c r="K159" s="251">
        <f t="shared" si="63"/>
        <v>0</v>
      </c>
      <c r="L159" s="174"/>
      <c r="M159" s="224"/>
      <c r="N159" s="225">
        <f t="shared" si="64"/>
        <v>0</v>
      </c>
      <c r="O159" s="251" t="e">
        <f t="shared" si="65"/>
        <v>#N/A</v>
      </c>
      <c r="P159" s="251">
        <f t="shared" si="75"/>
        <v>0</v>
      </c>
      <c r="Q159" s="251">
        <f t="shared" si="66"/>
        <v>0</v>
      </c>
      <c r="R159" s="251">
        <f t="shared" si="67"/>
        <v>0</v>
      </c>
      <c r="S159" s="251" t="e">
        <f t="shared" si="68"/>
        <v>#VALUE!</v>
      </c>
      <c r="T159" s="251">
        <f t="shared" si="55"/>
        <v>0</v>
      </c>
      <c r="U159" s="252">
        <f>TRUNC(T159*Condições!$C$102,2)</f>
        <v>0</v>
      </c>
      <c r="V159" s="199">
        <f t="shared" si="76"/>
        <v>0</v>
      </c>
      <c r="W159" s="161" t="e">
        <f t="shared" si="69"/>
        <v>#N/A</v>
      </c>
      <c r="X159" s="161" t="e">
        <f t="shared" si="70"/>
        <v>#N/A</v>
      </c>
      <c r="Y159" s="161">
        <f t="shared" si="77"/>
        <v>134</v>
      </c>
      <c r="Z159" s="161">
        <f t="shared" ca="1" si="78"/>
        <v>8</v>
      </c>
      <c r="AG159" s="114">
        <f t="shared" si="79"/>
        <v>0</v>
      </c>
      <c r="AH159" s="113"/>
      <c r="AI159" s="199">
        <f ca="1">IF(AL159=0,0,IF(AL159&gt;Preenchimento!$AA$88*12,0,IF($AC$53=AM159,0,1)))</f>
        <v>0</v>
      </c>
      <c r="AJ159" s="161" t="e">
        <f t="shared" ca="1" si="71"/>
        <v>#N/A</v>
      </c>
      <c r="AK159" s="161" t="e">
        <f t="shared" ca="1" si="72"/>
        <v>#N/A</v>
      </c>
      <c r="AL159" s="161">
        <f ca="1">IF(Y159&gt;(Preenchimento!$AA$90*12),0,Fixa!Y159)</f>
        <v>0</v>
      </c>
      <c r="AM159" s="161">
        <f t="shared" ca="1" si="80"/>
        <v>8</v>
      </c>
      <c r="AN159" s="199">
        <f ca="1">IF(AQ159&gt;Preenchimento!$AA$90*12,0,1)</f>
        <v>0</v>
      </c>
      <c r="AO159" s="161" t="e">
        <f ca="1">1/((1+SAC!$AD$29)^AL159)</f>
        <v>#N/A</v>
      </c>
      <c r="AP159" s="82" t="e">
        <f t="shared" ca="1" si="81"/>
        <v>#N/A</v>
      </c>
      <c r="AQ159" s="82">
        <v>134</v>
      </c>
      <c r="AS159" s="477">
        <f t="shared" ca="1" si="73"/>
        <v>0</v>
      </c>
    </row>
    <row r="160" spans="1:45" ht="12" customHeight="1">
      <c r="A160" s="53">
        <v>135</v>
      </c>
      <c r="B160" s="249">
        <f ca="1">DATE(IF(MONTH(B159)=12,YEAR(B159)+1,YEAR(B159)),IF(MONTH(B159)=12,1,MONTH(B159)+1),MIN(DAY(Condições!$C$109),IF(IF(MONTH(B159)=12,1,MONTH(B159)+1)=2,IF(MOD(IF(MONTH(B159)=12,YEAR(B159)+1,YEAR(B159)),4)=0,29,28),IF(OR(IF(MONTH(B159)=12,1,MONTH(B159)+1)=4,IF(MONTH(B159)=12,1,MONTH(B159)+1)=6,IF(MONTH(B159)=12,1,MONTH(B159)+1)=9,IF(MONTH(B159)=12,1,MONTH(B159)+1)=11),30,DAY($B$25)))))</f>
        <v>50299</v>
      </c>
      <c r="C160" s="250" t="str">
        <f t="shared" si="56"/>
        <v/>
      </c>
      <c r="D160" s="251" t="e">
        <f t="shared" si="57"/>
        <v>#N/A</v>
      </c>
      <c r="E160" s="251">
        <f t="shared" si="58"/>
        <v>0</v>
      </c>
      <c r="F160" s="251">
        <f t="shared" si="59"/>
        <v>0</v>
      </c>
      <c r="G160" s="251">
        <f t="shared" si="60"/>
        <v>0</v>
      </c>
      <c r="H160" s="251" t="e">
        <f t="shared" si="61"/>
        <v>#VALUE!</v>
      </c>
      <c r="I160" s="251">
        <f t="shared" si="62"/>
        <v>0</v>
      </c>
      <c r="J160" s="251">
        <f t="shared" si="74"/>
        <v>0</v>
      </c>
      <c r="K160" s="251">
        <f t="shared" si="63"/>
        <v>0</v>
      </c>
      <c r="L160" s="174"/>
      <c r="M160" s="224"/>
      <c r="N160" s="225">
        <f t="shared" si="64"/>
        <v>0</v>
      </c>
      <c r="O160" s="251" t="e">
        <f t="shared" si="65"/>
        <v>#N/A</v>
      </c>
      <c r="P160" s="251">
        <f t="shared" si="75"/>
        <v>0</v>
      </c>
      <c r="Q160" s="251">
        <f t="shared" si="66"/>
        <v>0</v>
      </c>
      <c r="R160" s="251">
        <f t="shared" si="67"/>
        <v>0</v>
      </c>
      <c r="S160" s="251" t="e">
        <f t="shared" si="68"/>
        <v>#VALUE!</v>
      </c>
      <c r="T160" s="251">
        <f t="shared" si="55"/>
        <v>0</v>
      </c>
      <c r="U160" s="252">
        <f>TRUNC(T160*Condições!$C$102,2)</f>
        <v>0</v>
      </c>
      <c r="V160" s="199">
        <f t="shared" si="76"/>
        <v>0</v>
      </c>
      <c r="W160" s="161" t="e">
        <f t="shared" si="69"/>
        <v>#N/A</v>
      </c>
      <c r="X160" s="161" t="e">
        <f t="shared" si="70"/>
        <v>#N/A</v>
      </c>
      <c r="Y160" s="161">
        <f t="shared" si="77"/>
        <v>135</v>
      </c>
      <c r="Z160" s="161">
        <f t="shared" ca="1" si="78"/>
        <v>9</v>
      </c>
      <c r="AG160" s="114">
        <f t="shared" si="79"/>
        <v>0</v>
      </c>
      <c r="AH160" s="113"/>
      <c r="AI160" s="199">
        <f ca="1">IF(AL160=0,0,IF(AL160&gt;Preenchimento!$AA$88*12,0,IF($AC$53=AM160,0,1)))</f>
        <v>0</v>
      </c>
      <c r="AJ160" s="161" t="e">
        <f t="shared" ca="1" si="71"/>
        <v>#N/A</v>
      </c>
      <c r="AK160" s="161" t="e">
        <f t="shared" ca="1" si="72"/>
        <v>#N/A</v>
      </c>
      <c r="AL160" s="161">
        <f ca="1">IF(Y160&gt;(Preenchimento!$AA$90*12),0,Fixa!Y160)</f>
        <v>0</v>
      </c>
      <c r="AM160" s="161">
        <f t="shared" ca="1" si="80"/>
        <v>9</v>
      </c>
      <c r="AN160" s="199">
        <f ca="1">IF(AQ160&gt;Preenchimento!$AA$90*12,0,1)</f>
        <v>0</v>
      </c>
      <c r="AO160" s="161" t="e">
        <f ca="1">1/((1+SAC!$AD$29)^AL160)</f>
        <v>#N/A</v>
      </c>
      <c r="AP160" s="82" t="e">
        <f t="shared" ca="1" si="81"/>
        <v>#N/A</v>
      </c>
      <c r="AQ160" s="82">
        <v>135</v>
      </c>
      <c r="AS160" s="477">
        <f t="shared" ca="1" si="73"/>
        <v>0</v>
      </c>
    </row>
    <row r="161" spans="1:45" ht="12" customHeight="1">
      <c r="A161" s="53">
        <v>136</v>
      </c>
      <c r="B161" s="249">
        <f ca="1">DATE(IF(MONTH(B160)=12,YEAR(B160)+1,YEAR(B160)),IF(MONTH(B160)=12,1,MONTH(B160)+1),MIN(DAY(Condições!$C$109),IF(IF(MONTH(B160)=12,1,MONTH(B160)+1)=2,IF(MOD(IF(MONTH(B160)=12,YEAR(B160)+1,YEAR(B160)),4)=0,29,28),IF(OR(IF(MONTH(B160)=12,1,MONTH(B160)+1)=4,IF(MONTH(B160)=12,1,MONTH(B160)+1)=6,IF(MONTH(B160)=12,1,MONTH(B160)+1)=9,IF(MONTH(B160)=12,1,MONTH(B160)+1)=11),30,DAY($B$25)))))</f>
        <v>50329</v>
      </c>
      <c r="C161" s="250" t="str">
        <f t="shared" si="56"/>
        <v/>
      </c>
      <c r="D161" s="251" t="e">
        <f t="shared" si="57"/>
        <v>#N/A</v>
      </c>
      <c r="E161" s="251">
        <f t="shared" si="58"/>
        <v>0</v>
      </c>
      <c r="F161" s="251">
        <f t="shared" si="59"/>
        <v>0</v>
      </c>
      <c r="G161" s="251">
        <f t="shared" si="60"/>
        <v>0</v>
      </c>
      <c r="H161" s="251" t="e">
        <f t="shared" si="61"/>
        <v>#VALUE!</v>
      </c>
      <c r="I161" s="251">
        <f t="shared" si="62"/>
        <v>0</v>
      </c>
      <c r="J161" s="251">
        <f t="shared" si="74"/>
        <v>0</v>
      </c>
      <c r="K161" s="251">
        <f t="shared" si="63"/>
        <v>0</v>
      </c>
      <c r="L161" s="174"/>
      <c r="M161" s="224"/>
      <c r="N161" s="225">
        <f t="shared" si="64"/>
        <v>0</v>
      </c>
      <c r="O161" s="251" t="e">
        <f t="shared" si="65"/>
        <v>#N/A</v>
      </c>
      <c r="P161" s="251">
        <f t="shared" si="75"/>
        <v>0</v>
      </c>
      <c r="Q161" s="251">
        <f t="shared" si="66"/>
        <v>0</v>
      </c>
      <c r="R161" s="251">
        <f t="shared" si="67"/>
        <v>0</v>
      </c>
      <c r="S161" s="251" t="e">
        <f t="shared" si="68"/>
        <v>#VALUE!</v>
      </c>
      <c r="T161" s="251">
        <f t="shared" si="55"/>
        <v>0</v>
      </c>
      <c r="U161" s="252">
        <f>TRUNC(T161*Condições!$C$102,2)</f>
        <v>0</v>
      </c>
      <c r="V161" s="199">
        <f t="shared" si="76"/>
        <v>0</v>
      </c>
      <c r="W161" s="161" t="e">
        <f t="shared" si="69"/>
        <v>#N/A</v>
      </c>
      <c r="X161" s="161" t="e">
        <f t="shared" si="70"/>
        <v>#N/A</v>
      </c>
      <c r="Y161" s="161">
        <f t="shared" si="77"/>
        <v>136</v>
      </c>
      <c r="Z161" s="161">
        <f t="shared" ca="1" si="78"/>
        <v>10</v>
      </c>
      <c r="AG161" s="114">
        <f t="shared" si="79"/>
        <v>0</v>
      </c>
      <c r="AH161" s="113"/>
      <c r="AI161" s="199">
        <f ca="1">IF(AL161=0,0,IF(AL161&gt;Preenchimento!$AA$88*12,0,IF($AC$53=AM161,0,1)))</f>
        <v>0</v>
      </c>
      <c r="AJ161" s="161" t="e">
        <f t="shared" ca="1" si="71"/>
        <v>#N/A</v>
      </c>
      <c r="AK161" s="161" t="e">
        <f t="shared" ca="1" si="72"/>
        <v>#N/A</v>
      </c>
      <c r="AL161" s="161">
        <f ca="1">IF(Y161&gt;(Preenchimento!$AA$90*12),0,Fixa!Y161)</f>
        <v>0</v>
      </c>
      <c r="AM161" s="161">
        <f t="shared" ca="1" si="80"/>
        <v>10</v>
      </c>
      <c r="AN161" s="199">
        <f ca="1">IF(AQ161&gt;Preenchimento!$AA$90*12,0,1)</f>
        <v>0</v>
      </c>
      <c r="AO161" s="161" t="e">
        <f ca="1">1/((1+SAC!$AD$29)^AL161)</f>
        <v>#N/A</v>
      </c>
      <c r="AP161" s="82" t="e">
        <f t="shared" ca="1" si="81"/>
        <v>#N/A</v>
      </c>
      <c r="AQ161" s="82">
        <v>136</v>
      </c>
      <c r="AS161" s="477">
        <f t="shared" ca="1" si="73"/>
        <v>0</v>
      </c>
    </row>
    <row r="162" spans="1:45" ht="12" customHeight="1">
      <c r="A162" s="53">
        <v>137</v>
      </c>
      <c r="B162" s="249">
        <f ca="1">DATE(IF(MONTH(B161)=12,YEAR(B161)+1,YEAR(B161)),IF(MONTH(B161)=12,1,MONTH(B161)+1),MIN(DAY(Condições!$C$109),IF(IF(MONTH(B161)=12,1,MONTH(B161)+1)=2,IF(MOD(IF(MONTH(B161)=12,YEAR(B161)+1,YEAR(B161)),4)=0,29,28),IF(OR(IF(MONTH(B161)=12,1,MONTH(B161)+1)=4,IF(MONTH(B161)=12,1,MONTH(B161)+1)=6,IF(MONTH(B161)=12,1,MONTH(B161)+1)=9,IF(MONTH(B161)=12,1,MONTH(B161)+1)=11),30,DAY($B$25)))))</f>
        <v>50360</v>
      </c>
      <c r="C162" s="250" t="str">
        <f t="shared" si="56"/>
        <v/>
      </c>
      <c r="D162" s="251" t="e">
        <f t="shared" si="57"/>
        <v>#N/A</v>
      </c>
      <c r="E162" s="251">
        <f t="shared" si="58"/>
        <v>0</v>
      </c>
      <c r="F162" s="251">
        <f t="shared" si="59"/>
        <v>0</v>
      </c>
      <c r="G162" s="251">
        <f t="shared" si="60"/>
        <v>0</v>
      </c>
      <c r="H162" s="251" t="e">
        <f t="shared" si="61"/>
        <v>#VALUE!</v>
      </c>
      <c r="I162" s="251">
        <f t="shared" si="62"/>
        <v>0</v>
      </c>
      <c r="J162" s="251">
        <f t="shared" si="74"/>
        <v>0</v>
      </c>
      <c r="K162" s="251">
        <f t="shared" si="63"/>
        <v>0</v>
      </c>
      <c r="L162" s="174"/>
      <c r="M162" s="224"/>
      <c r="N162" s="225">
        <f t="shared" si="64"/>
        <v>0</v>
      </c>
      <c r="O162" s="251" t="e">
        <f t="shared" si="65"/>
        <v>#N/A</v>
      </c>
      <c r="P162" s="251">
        <f t="shared" si="75"/>
        <v>0</v>
      </c>
      <c r="Q162" s="251">
        <f t="shared" si="66"/>
        <v>0</v>
      </c>
      <c r="R162" s="251">
        <f t="shared" si="67"/>
        <v>0</v>
      </c>
      <c r="S162" s="251" t="e">
        <f t="shared" si="68"/>
        <v>#VALUE!</v>
      </c>
      <c r="T162" s="251">
        <f t="shared" si="55"/>
        <v>0</v>
      </c>
      <c r="U162" s="252">
        <f>TRUNC(T162*Condições!$C$102,2)</f>
        <v>0</v>
      </c>
      <c r="V162" s="199">
        <f t="shared" si="76"/>
        <v>0</v>
      </c>
      <c r="W162" s="161" t="e">
        <f t="shared" si="69"/>
        <v>#N/A</v>
      </c>
      <c r="X162" s="161" t="e">
        <f t="shared" si="70"/>
        <v>#N/A</v>
      </c>
      <c r="Y162" s="161">
        <f t="shared" si="77"/>
        <v>137</v>
      </c>
      <c r="Z162" s="161">
        <f t="shared" ca="1" si="78"/>
        <v>11</v>
      </c>
      <c r="AG162" s="114">
        <f t="shared" si="79"/>
        <v>0</v>
      </c>
      <c r="AH162" s="113"/>
      <c r="AI162" s="199">
        <f ca="1">IF(AL162=0,0,IF(AL162&gt;Preenchimento!$AA$88*12,0,IF($AC$53=AM162,0,1)))</f>
        <v>0</v>
      </c>
      <c r="AJ162" s="161" t="e">
        <f t="shared" ca="1" si="71"/>
        <v>#N/A</v>
      </c>
      <c r="AK162" s="161" t="e">
        <f t="shared" ca="1" si="72"/>
        <v>#N/A</v>
      </c>
      <c r="AL162" s="161">
        <f ca="1">IF(Y162&gt;(Preenchimento!$AA$90*12),0,Fixa!Y162)</f>
        <v>0</v>
      </c>
      <c r="AM162" s="161">
        <f t="shared" ca="1" si="80"/>
        <v>11</v>
      </c>
      <c r="AN162" s="199">
        <f ca="1">IF(AQ162&gt;Preenchimento!$AA$90*12,0,1)</f>
        <v>0</v>
      </c>
      <c r="AO162" s="161" t="e">
        <f ca="1">1/((1+SAC!$AD$29)^AL162)</f>
        <v>#N/A</v>
      </c>
      <c r="AP162" s="82" t="e">
        <f t="shared" ca="1" si="81"/>
        <v>#N/A</v>
      </c>
      <c r="AQ162" s="82">
        <v>137</v>
      </c>
      <c r="AS162" s="477">
        <f t="shared" ca="1" si="73"/>
        <v>0</v>
      </c>
    </row>
    <row r="163" spans="1:45" ht="12" customHeight="1">
      <c r="A163" s="53">
        <v>138</v>
      </c>
      <c r="B163" s="249">
        <f ca="1">DATE(IF(MONTH(B162)=12,YEAR(B162)+1,YEAR(B162)),IF(MONTH(B162)=12,1,MONTH(B162)+1),MIN(DAY(Condições!$C$109),IF(IF(MONTH(B162)=12,1,MONTH(B162)+1)=2,IF(MOD(IF(MONTH(B162)=12,YEAR(B162)+1,YEAR(B162)),4)=0,29,28),IF(OR(IF(MONTH(B162)=12,1,MONTH(B162)+1)=4,IF(MONTH(B162)=12,1,MONTH(B162)+1)=6,IF(MONTH(B162)=12,1,MONTH(B162)+1)=9,IF(MONTH(B162)=12,1,MONTH(B162)+1)=11),30,DAY($B$25)))))</f>
        <v>50390</v>
      </c>
      <c r="C163" s="250" t="str">
        <f t="shared" si="56"/>
        <v/>
      </c>
      <c r="D163" s="251" t="e">
        <f t="shared" si="57"/>
        <v>#N/A</v>
      </c>
      <c r="E163" s="251">
        <f t="shared" si="58"/>
        <v>0</v>
      </c>
      <c r="F163" s="251">
        <f t="shared" si="59"/>
        <v>0</v>
      </c>
      <c r="G163" s="251">
        <f t="shared" si="60"/>
        <v>0</v>
      </c>
      <c r="H163" s="251" t="e">
        <f t="shared" si="61"/>
        <v>#VALUE!</v>
      </c>
      <c r="I163" s="251">
        <f t="shared" si="62"/>
        <v>0</v>
      </c>
      <c r="J163" s="251">
        <f t="shared" si="74"/>
        <v>0</v>
      </c>
      <c r="K163" s="251">
        <f t="shared" si="63"/>
        <v>0</v>
      </c>
      <c r="L163" s="174"/>
      <c r="M163" s="224"/>
      <c r="N163" s="225">
        <f t="shared" si="64"/>
        <v>0</v>
      </c>
      <c r="O163" s="251" t="e">
        <f t="shared" si="65"/>
        <v>#N/A</v>
      </c>
      <c r="P163" s="251">
        <f t="shared" si="75"/>
        <v>0</v>
      </c>
      <c r="Q163" s="251">
        <f t="shared" si="66"/>
        <v>0</v>
      </c>
      <c r="R163" s="251">
        <f t="shared" si="67"/>
        <v>0</v>
      </c>
      <c r="S163" s="251" t="e">
        <f t="shared" si="68"/>
        <v>#VALUE!</v>
      </c>
      <c r="T163" s="251">
        <f t="shared" si="55"/>
        <v>0</v>
      </c>
      <c r="U163" s="252">
        <f>TRUNC(T163*Condições!$C$102,2)</f>
        <v>0</v>
      </c>
      <c r="V163" s="199">
        <f t="shared" si="76"/>
        <v>0</v>
      </c>
      <c r="W163" s="161" t="e">
        <f t="shared" si="69"/>
        <v>#N/A</v>
      </c>
      <c r="X163" s="161" t="e">
        <f t="shared" si="70"/>
        <v>#N/A</v>
      </c>
      <c r="Y163" s="161">
        <f t="shared" si="77"/>
        <v>138</v>
      </c>
      <c r="Z163" s="161">
        <f t="shared" ca="1" si="78"/>
        <v>12</v>
      </c>
      <c r="AG163" s="114">
        <f t="shared" si="79"/>
        <v>0</v>
      </c>
      <c r="AH163" s="113"/>
      <c r="AI163" s="199">
        <f ca="1">IF(AL163=0,0,IF(AL163&gt;Preenchimento!$AA$88*12,0,IF($AC$53=AM163,0,1)))</f>
        <v>0</v>
      </c>
      <c r="AJ163" s="161" t="e">
        <f t="shared" ca="1" si="71"/>
        <v>#N/A</v>
      </c>
      <c r="AK163" s="161" t="e">
        <f t="shared" ca="1" si="72"/>
        <v>#N/A</v>
      </c>
      <c r="AL163" s="161">
        <f ca="1">IF(Y163&gt;(Preenchimento!$AA$90*12),0,Fixa!Y163)</f>
        <v>0</v>
      </c>
      <c r="AM163" s="161">
        <f t="shared" ca="1" si="80"/>
        <v>12</v>
      </c>
      <c r="AN163" s="199">
        <f ca="1">IF(AQ163&gt;Preenchimento!$AA$90*12,0,1)</f>
        <v>0</v>
      </c>
      <c r="AO163" s="161" t="e">
        <f ca="1">1/((1+SAC!$AD$29)^AL163)</f>
        <v>#N/A</v>
      </c>
      <c r="AP163" s="82" t="e">
        <f t="shared" ca="1" si="81"/>
        <v>#N/A</v>
      </c>
      <c r="AQ163" s="82">
        <v>138</v>
      </c>
      <c r="AS163" s="477">
        <f t="shared" ca="1" si="73"/>
        <v>0</v>
      </c>
    </row>
    <row r="164" spans="1:45" ht="12" customHeight="1">
      <c r="A164" s="53">
        <v>139</v>
      </c>
      <c r="B164" s="249">
        <f ca="1">DATE(IF(MONTH(B163)=12,YEAR(B163)+1,YEAR(B163)),IF(MONTH(B163)=12,1,MONTH(B163)+1),MIN(DAY(Condições!$C$109),IF(IF(MONTH(B163)=12,1,MONTH(B163)+1)=2,IF(MOD(IF(MONTH(B163)=12,YEAR(B163)+1,YEAR(B163)),4)=0,29,28),IF(OR(IF(MONTH(B163)=12,1,MONTH(B163)+1)=4,IF(MONTH(B163)=12,1,MONTH(B163)+1)=6,IF(MONTH(B163)=12,1,MONTH(B163)+1)=9,IF(MONTH(B163)=12,1,MONTH(B163)+1)=11),30,DAY($B$25)))))</f>
        <v>50421</v>
      </c>
      <c r="C164" s="250" t="str">
        <f t="shared" si="56"/>
        <v/>
      </c>
      <c r="D164" s="251" t="e">
        <f t="shared" si="57"/>
        <v>#N/A</v>
      </c>
      <c r="E164" s="251">
        <f t="shared" si="58"/>
        <v>0</v>
      </c>
      <c r="F164" s="251">
        <f t="shared" si="59"/>
        <v>0</v>
      </c>
      <c r="G164" s="251">
        <f t="shared" si="60"/>
        <v>0</v>
      </c>
      <c r="H164" s="251" t="e">
        <f t="shared" si="61"/>
        <v>#VALUE!</v>
      </c>
      <c r="I164" s="251">
        <f t="shared" si="62"/>
        <v>0</v>
      </c>
      <c r="J164" s="251">
        <f t="shared" si="74"/>
        <v>0</v>
      </c>
      <c r="K164" s="251">
        <f t="shared" si="63"/>
        <v>0</v>
      </c>
      <c r="L164" s="174"/>
      <c r="M164" s="224"/>
      <c r="N164" s="225">
        <f t="shared" si="64"/>
        <v>0</v>
      </c>
      <c r="O164" s="251" t="e">
        <f t="shared" si="65"/>
        <v>#N/A</v>
      </c>
      <c r="P164" s="251">
        <f t="shared" si="75"/>
        <v>0</v>
      </c>
      <c r="Q164" s="251">
        <f t="shared" si="66"/>
        <v>0</v>
      </c>
      <c r="R164" s="251">
        <f t="shared" si="67"/>
        <v>0</v>
      </c>
      <c r="S164" s="251" t="e">
        <f t="shared" si="68"/>
        <v>#VALUE!</v>
      </c>
      <c r="T164" s="251">
        <f t="shared" si="55"/>
        <v>0</v>
      </c>
      <c r="U164" s="252">
        <f>TRUNC(T164*Condições!$C$102,2)</f>
        <v>0</v>
      </c>
      <c r="V164" s="199">
        <f t="shared" si="76"/>
        <v>0</v>
      </c>
      <c r="W164" s="161" t="e">
        <f t="shared" si="69"/>
        <v>#N/A</v>
      </c>
      <c r="X164" s="161" t="e">
        <f t="shared" si="70"/>
        <v>#N/A</v>
      </c>
      <c r="Y164" s="161">
        <f t="shared" si="77"/>
        <v>139</v>
      </c>
      <c r="Z164" s="161">
        <f t="shared" ca="1" si="78"/>
        <v>1</v>
      </c>
      <c r="AG164" s="114">
        <f t="shared" si="79"/>
        <v>0</v>
      </c>
      <c r="AH164" s="113"/>
      <c r="AI164" s="199">
        <f ca="1">IF(AL164=0,0,IF(AL164&gt;Preenchimento!$AA$88*12,0,IF($AC$53=AM164,0,1)))</f>
        <v>0</v>
      </c>
      <c r="AJ164" s="161" t="e">
        <f t="shared" ca="1" si="71"/>
        <v>#N/A</v>
      </c>
      <c r="AK164" s="161" t="e">
        <f t="shared" ca="1" si="72"/>
        <v>#N/A</v>
      </c>
      <c r="AL164" s="161">
        <f ca="1">IF(Y164&gt;(Preenchimento!$AA$90*12),0,Fixa!Y164)</f>
        <v>0</v>
      </c>
      <c r="AM164" s="161">
        <f t="shared" ca="1" si="80"/>
        <v>1</v>
      </c>
      <c r="AN164" s="199">
        <f ca="1">IF(AQ164&gt;Preenchimento!$AA$90*12,0,1)</f>
        <v>0</v>
      </c>
      <c r="AO164" s="161" t="e">
        <f ca="1">1/((1+SAC!$AD$29)^AL164)</f>
        <v>#N/A</v>
      </c>
      <c r="AP164" s="82" t="e">
        <f t="shared" ca="1" si="81"/>
        <v>#N/A</v>
      </c>
      <c r="AQ164" s="82">
        <v>139</v>
      </c>
      <c r="AS164" s="477">
        <f t="shared" ca="1" si="73"/>
        <v>0</v>
      </c>
    </row>
    <row r="165" spans="1:45" ht="12" customHeight="1">
      <c r="A165" s="53">
        <v>140</v>
      </c>
      <c r="B165" s="249">
        <f ca="1">DATE(IF(MONTH(B164)=12,YEAR(B164)+1,YEAR(B164)),IF(MONTH(B164)=12,1,MONTH(B164)+1),MIN(DAY(Condições!$C$109),IF(IF(MONTH(B164)=12,1,MONTH(B164)+1)=2,IF(MOD(IF(MONTH(B164)=12,YEAR(B164)+1,YEAR(B164)),4)=0,29,28),IF(OR(IF(MONTH(B164)=12,1,MONTH(B164)+1)=4,IF(MONTH(B164)=12,1,MONTH(B164)+1)=6,IF(MONTH(B164)=12,1,MONTH(B164)+1)=9,IF(MONTH(B164)=12,1,MONTH(B164)+1)=11),30,DAY($B$25)))))</f>
        <v>50452</v>
      </c>
      <c r="C165" s="250" t="str">
        <f t="shared" si="56"/>
        <v/>
      </c>
      <c r="D165" s="251" t="e">
        <f t="shared" si="57"/>
        <v>#N/A</v>
      </c>
      <c r="E165" s="251">
        <f t="shared" si="58"/>
        <v>0</v>
      </c>
      <c r="F165" s="251">
        <f t="shared" si="59"/>
        <v>0</v>
      </c>
      <c r="G165" s="251">
        <f t="shared" si="60"/>
        <v>0</v>
      </c>
      <c r="H165" s="251" t="e">
        <f t="shared" si="61"/>
        <v>#VALUE!</v>
      </c>
      <c r="I165" s="251">
        <f t="shared" si="62"/>
        <v>0</v>
      </c>
      <c r="J165" s="251">
        <f t="shared" si="74"/>
        <v>0</v>
      </c>
      <c r="K165" s="251">
        <f t="shared" si="63"/>
        <v>0</v>
      </c>
      <c r="L165" s="174"/>
      <c r="M165" s="224"/>
      <c r="N165" s="225">
        <f t="shared" si="64"/>
        <v>0</v>
      </c>
      <c r="O165" s="251" t="e">
        <f t="shared" si="65"/>
        <v>#N/A</v>
      </c>
      <c r="P165" s="251">
        <f t="shared" si="75"/>
        <v>0</v>
      </c>
      <c r="Q165" s="251">
        <f t="shared" si="66"/>
        <v>0</v>
      </c>
      <c r="R165" s="251">
        <f t="shared" si="67"/>
        <v>0</v>
      </c>
      <c r="S165" s="251" t="e">
        <f t="shared" si="68"/>
        <v>#VALUE!</v>
      </c>
      <c r="T165" s="251">
        <f t="shared" si="55"/>
        <v>0</v>
      </c>
      <c r="U165" s="252">
        <f>TRUNC(T165*Condições!$C$102,2)</f>
        <v>0</v>
      </c>
      <c r="V165" s="199">
        <f t="shared" si="76"/>
        <v>0</v>
      </c>
      <c r="W165" s="161" t="e">
        <f t="shared" si="69"/>
        <v>#N/A</v>
      </c>
      <c r="X165" s="161" t="e">
        <f t="shared" si="70"/>
        <v>#N/A</v>
      </c>
      <c r="Y165" s="161">
        <f t="shared" si="77"/>
        <v>140</v>
      </c>
      <c r="Z165" s="161">
        <f t="shared" ca="1" si="78"/>
        <v>2</v>
      </c>
      <c r="AG165" s="114">
        <f t="shared" si="79"/>
        <v>0</v>
      </c>
      <c r="AH165" s="113"/>
      <c r="AI165" s="199">
        <f ca="1">IF(AL165=0,0,IF(AL165&gt;Preenchimento!$AA$88*12,0,IF($AC$53=AM165,0,1)))</f>
        <v>0</v>
      </c>
      <c r="AJ165" s="161" t="e">
        <f t="shared" ca="1" si="71"/>
        <v>#N/A</v>
      </c>
      <c r="AK165" s="161" t="e">
        <f t="shared" ca="1" si="72"/>
        <v>#N/A</v>
      </c>
      <c r="AL165" s="161">
        <f ca="1">IF(Y165&gt;(Preenchimento!$AA$90*12),0,Fixa!Y165)</f>
        <v>0</v>
      </c>
      <c r="AM165" s="161">
        <f t="shared" ca="1" si="80"/>
        <v>2</v>
      </c>
      <c r="AN165" s="199">
        <f ca="1">IF(AQ165&gt;Preenchimento!$AA$90*12,0,1)</f>
        <v>0</v>
      </c>
      <c r="AO165" s="161" t="e">
        <f ca="1">1/((1+SAC!$AD$29)^AL165)</f>
        <v>#N/A</v>
      </c>
      <c r="AP165" s="82" t="e">
        <f t="shared" ca="1" si="81"/>
        <v>#N/A</v>
      </c>
      <c r="AQ165" s="82">
        <v>140</v>
      </c>
      <c r="AS165" s="477">
        <f t="shared" ca="1" si="73"/>
        <v>0</v>
      </c>
    </row>
    <row r="166" spans="1:45" ht="12" customHeight="1">
      <c r="A166" s="53">
        <v>141</v>
      </c>
      <c r="B166" s="249">
        <f ca="1">DATE(IF(MONTH(B165)=12,YEAR(B165)+1,YEAR(B165)),IF(MONTH(B165)=12,1,MONTH(B165)+1),MIN(DAY(Condições!$C$109),IF(IF(MONTH(B165)=12,1,MONTH(B165)+1)=2,IF(MOD(IF(MONTH(B165)=12,YEAR(B165)+1,YEAR(B165)),4)=0,29,28),IF(OR(IF(MONTH(B165)=12,1,MONTH(B165)+1)=4,IF(MONTH(B165)=12,1,MONTH(B165)+1)=6,IF(MONTH(B165)=12,1,MONTH(B165)+1)=9,IF(MONTH(B165)=12,1,MONTH(B165)+1)=11),30,DAY($B$25)))))</f>
        <v>50480</v>
      </c>
      <c r="C166" s="250" t="str">
        <f t="shared" si="56"/>
        <v/>
      </c>
      <c r="D166" s="251" t="e">
        <f t="shared" si="57"/>
        <v>#N/A</v>
      </c>
      <c r="E166" s="251">
        <f t="shared" si="58"/>
        <v>0</v>
      </c>
      <c r="F166" s="251">
        <f t="shared" si="59"/>
        <v>0</v>
      </c>
      <c r="G166" s="251">
        <f t="shared" si="60"/>
        <v>0</v>
      </c>
      <c r="H166" s="251" t="e">
        <f t="shared" si="61"/>
        <v>#VALUE!</v>
      </c>
      <c r="I166" s="251">
        <f t="shared" si="62"/>
        <v>0</v>
      </c>
      <c r="J166" s="251">
        <f t="shared" si="74"/>
        <v>0</v>
      </c>
      <c r="K166" s="251">
        <f t="shared" si="63"/>
        <v>0</v>
      </c>
      <c r="L166" s="174"/>
      <c r="M166" s="224"/>
      <c r="N166" s="225">
        <f t="shared" si="64"/>
        <v>0</v>
      </c>
      <c r="O166" s="251" t="e">
        <f t="shared" si="65"/>
        <v>#N/A</v>
      </c>
      <c r="P166" s="251">
        <f t="shared" si="75"/>
        <v>0</v>
      </c>
      <c r="Q166" s="251">
        <f t="shared" si="66"/>
        <v>0</v>
      </c>
      <c r="R166" s="251">
        <f t="shared" si="67"/>
        <v>0</v>
      </c>
      <c r="S166" s="251" t="e">
        <f t="shared" si="68"/>
        <v>#VALUE!</v>
      </c>
      <c r="T166" s="251">
        <f t="shared" si="55"/>
        <v>0</v>
      </c>
      <c r="U166" s="252">
        <f>TRUNC(T166*Condições!$C$102,2)</f>
        <v>0</v>
      </c>
      <c r="V166" s="199">
        <f t="shared" si="76"/>
        <v>0</v>
      </c>
      <c r="W166" s="161" t="e">
        <f t="shared" si="69"/>
        <v>#N/A</v>
      </c>
      <c r="X166" s="161" t="e">
        <f t="shared" si="70"/>
        <v>#N/A</v>
      </c>
      <c r="Y166" s="161">
        <f t="shared" si="77"/>
        <v>141</v>
      </c>
      <c r="Z166" s="161">
        <f t="shared" ca="1" si="78"/>
        <v>3</v>
      </c>
      <c r="AG166" s="114">
        <f t="shared" si="79"/>
        <v>0</v>
      </c>
      <c r="AH166" s="113"/>
      <c r="AI166" s="199">
        <f ca="1">IF(AL166=0,0,IF(AL166&gt;Preenchimento!$AA$88*12,0,IF($AC$53=AM166,0,1)))</f>
        <v>0</v>
      </c>
      <c r="AJ166" s="161" t="e">
        <f t="shared" ca="1" si="71"/>
        <v>#N/A</v>
      </c>
      <c r="AK166" s="161" t="e">
        <f t="shared" ca="1" si="72"/>
        <v>#N/A</v>
      </c>
      <c r="AL166" s="161">
        <f ca="1">IF(Y166&gt;(Preenchimento!$AA$90*12),0,Fixa!Y166)</f>
        <v>0</v>
      </c>
      <c r="AM166" s="161">
        <f t="shared" ca="1" si="80"/>
        <v>3</v>
      </c>
      <c r="AN166" s="199">
        <f ca="1">IF(AQ166&gt;Preenchimento!$AA$90*12,0,1)</f>
        <v>0</v>
      </c>
      <c r="AO166" s="161" t="e">
        <f ca="1">1/((1+SAC!$AD$29)^AL166)</f>
        <v>#N/A</v>
      </c>
      <c r="AP166" s="82" t="e">
        <f t="shared" ca="1" si="81"/>
        <v>#N/A</v>
      </c>
      <c r="AQ166" s="82">
        <v>141</v>
      </c>
      <c r="AS166" s="477">
        <f t="shared" ca="1" si="73"/>
        <v>0</v>
      </c>
    </row>
    <row r="167" spans="1:45" ht="12" customHeight="1">
      <c r="A167" s="53">
        <v>142</v>
      </c>
      <c r="B167" s="249">
        <f ca="1">DATE(IF(MONTH(B166)=12,YEAR(B166)+1,YEAR(B166)),IF(MONTH(B166)=12,1,MONTH(B166)+1),MIN(DAY(Condições!$C$109),IF(IF(MONTH(B166)=12,1,MONTH(B166)+1)=2,IF(MOD(IF(MONTH(B166)=12,YEAR(B166)+1,YEAR(B166)),4)=0,29,28),IF(OR(IF(MONTH(B166)=12,1,MONTH(B166)+1)=4,IF(MONTH(B166)=12,1,MONTH(B166)+1)=6,IF(MONTH(B166)=12,1,MONTH(B166)+1)=9,IF(MONTH(B166)=12,1,MONTH(B166)+1)=11),30,DAY($B$25)))))</f>
        <v>50511</v>
      </c>
      <c r="C167" s="250" t="str">
        <f t="shared" si="56"/>
        <v/>
      </c>
      <c r="D167" s="251" t="e">
        <f t="shared" si="57"/>
        <v>#N/A</v>
      </c>
      <c r="E167" s="251">
        <f t="shared" si="58"/>
        <v>0</v>
      </c>
      <c r="F167" s="251">
        <f t="shared" si="59"/>
        <v>0</v>
      </c>
      <c r="G167" s="251">
        <f t="shared" si="60"/>
        <v>0</v>
      </c>
      <c r="H167" s="251" t="e">
        <f t="shared" si="61"/>
        <v>#VALUE!</v>
      </c>
      <c r="I167" s="251">
        <f t="shared" si="62"/>
        <v>0</v>
      </c>
      <c r="J167" s="251">
        <f t="shared" si="74"/>
        <v>0</v>
      </c>
      <c r="K167" s="251">
        <f t="shared" si="63"/>
        <v>0</v>
      </c>
      <c r="L167" s="174"/>
      <c r="M167" s="224"/>
      <c r="N167" s="225">
        <f t="shared" si="64"/>
        <v>0</v>
      </c>
      <c r="O167" s="251" t="e">
        <f t="shared" si="65"/>
        <v>#N/A</v>
      </c>
      <c r="P167" s="251">
        <f t="shared" si="75"/>
        <v>0</v>
      </c>
      <c r="Q167" s="251">
        <f t="shared" si="66"/>
        <v>0</v>
      </c>
      <c r="R167" s="251">
        <f t="shared" si="67"/>
        <v>0</v>
      </c>
      <c r="S167" s="251" t="e">
        <f t="shared" si="68"/>
        <v>#VALUE!</v>
      </c>
      <c r="T167" s="251">
        <f t="shared" si="55"/>
        <v>0</v>
      </c>
      <c r="U167" s="252">
        <f>TRUNC(T167*Condições!$C$102,2)</f>
        <v>0</v>
      </c>
      <c r="V167" s="199">
        <f t="shared" si="76"/>
        <v>0</v>
      </c>
      <c r="W167" s="161" t="e">
        <f t="shared" si="69"/>
        <v>#N/A</v>
      </c>
      <c r="X167" s="161" t="e">
        <f t="shared" si="70"/>
        <v>#N/A</v>
      </c>
      <c r="Y167" s="161">
        <f t="shared" si="77"/>
        <v>142</v>
      </c>
      <c r="Z167" s="161">
        <f t="shared" ca="1" si="78"/>
        <v>4</v>
      </c>
      <c r="AG167" s="114">
        <f t="shared" si="79"/>
        <v>0</v>
      </c>
      <c r="AH167" s="113"/>
      <c r="AI167" s="199">
        <f ca="1">IF(AL167=0,0,IF(AL167&gt;Preenchimento!$AA$88*12,0,IF($AC$53=AM167,0,1)))</f>
        <v>0</v>
      </c>
      <c r="AJ167" s="161" t="e">
        <f t="shared" ca="1" si="71"/>
        <v>#N/A</v>
      </c>
      <c r="AK167" s="161" t="e">
        <f t="shared" ca="1" si="72"/>
        <v>#N/A</v>
      </c>
      <c r="AL167" s="161">
        <f ca="1">IF(Y167&gt;(Preenchimento!$AA$90*12),0,Fixa!Y167)</f>
        <v>0</v>
      </c>
      <c r="AM167" s="161">
        <f t="shared" ca="1" si="80"/>
        <v>4</v>
      </c>
      <c r="AN167" s="199">
        <f ca="1">IF(AQ167&gt;Preenchimento!$AA$90*12,0,1)</f>
        <v>0</v>
      </c>
      <c r="AO167" s="161" t="e">
        <f ca="1">1/((1+SAC!$AD$29)^AL167)</f>
        <v>#N/A</v>
      </c>
      <c r="AP167" s="82" t="e">
        <f t="shared" ca="1" si="81"/>
        <v>#N/A</v>
      </c>
      <c r="AQ167" s="82">
        <v>142</v>
      </c>
      <c r="AS167" s="477">
        <f t="shared" ca="1" si="73"/>
        <v>0</v>
      </c>
    </row>
    <row r="168" spans="1:45" ht="12" customHeight="1">
      <c r="A168" s="53">
        <v>143</v>
      </c>
      <c r="B168" s="249">
        <f ca="1">DATE(IF(MONTH(B167)=12,YEAR(B167)+1,YEAR(B167)),IF(MONTH(B167)=12,1,MONTH(B167)+1),MIN(DAY(Condições!$C$109),IF(IF(MONTH(B167)=12,1,MONTH(B167)+1)=2,IF(MOD(IF(MONTH(B167)=12,YEAR(B167)+1,YEAR(B167)),4)=0,29,28),IF(OR(IF(MONTH(B167)=12,1,MONTH(B167)+1)=4,IF(MONTH(B167)=12,1,MONTH(B167)+1)=6,IF(MONTH(B167)=12,1,MONTH(B167)+1)=9,IF(MONTH(B167)=12,1,MONTH(B167)+1)=11),30,DAY($B$25)))))</f>
        <v>50541</v>
      </c>
      <c r="C168" s="250" t="str">
        <f t="shared" si="56"/>
        <v/>
      </c>
      <c r="D168" s="251" t="e">
        <f t="shared" si="57"/>
        <v>#N/A</v>
      </c>
      <c r="E168" s="251">
        <f t="shared" si="58"/>
        <v>0</v>
      </c>
      <c r="F168" s="251">
        <f t="shared" si="59"/>
        <v>0</v>
      </c>
      <c r="G168" s="251">
        <f t="shared" si="60"/>
        <v>0</v>
      </c>
      <c r="H168" s="251" t="e">
        <f t="shared" si="61"/>
        <v>#VALUE!</v>
      </c>
      <c r="I168" s="251">
        <f t="shared" si="62"/>
        <v>0</v>
      </c>
      <c r="J168" s="251">
        <f t="shared" si="74"/>
        <v>0</v>
      </c>
      <c r="K168" s="251">
        <f t="shared" si="63"/>
        <v>0</v>
      </c>
      <c r="L168" s="174"/>
      <c r="M168" s="224"/>
      <c r="N168" s="225">
        <f t="shared" si="64"/>
        <v>0</v>
      </c>
      <c r="O168" s="251" t="e">
        <f t="shared" si="65"/>
        <v>#N/A</v>
      </c>
      <c r="P168" s="251">
        <f t="shared" si="75"/>
        <v>0</v>
      </c>
      <c r="Q168" s="251">
        <f t="shared" si="66"/>
        <v>0</v>
      </c>
      <c r="R168" s="251">
        <f t="shared" si="67"/>
        <v>0</v>
      </c>
      <c r="S168" s="251" t="e">
        <f t="shared" si="68"/>
        <v>#VALUE!</v>
      </c>
      <c r="T168" s="251">
        <f t="shared" si="55"/>
        <v>0</v>
      </c>
      <c r="U168" s="252">
        <f>TRUNC(T168*Condições!$C$102,2)</f>
        <v>0</v>
      </c>
      <c r="V168" s="199">
        <f t="shared" si="76"/>
        <v>0</v>
      </c>
      <c r="W168" s="161" t="e">
        <f t="shared" si="69"/>
        <v>#N/A</v>
      </c>
      <c r="X168" s="161" t="e">
        <f t="shared" si="70"/>
        <v>#N/A</v>
      </c>
      <c r="Y168" s="161">
        <f t="shared" si="77"/>
        <v>143</v>
      </c>
      <c r="Z168" s="161">
        <f t="shared" ca="1" si="78"/>
        <v>5</v>
      </c>
      <c r="AG168" s="114">
        <f t="shared" si="79"/>
        <v>0</v>
      </c>
      <c r="AH168" s="113"/>
      <c r="AI168" s="199">
        <f ca="1">IF(AL168=0,0,IF(AL168&gt;Preenchimento!$AA$88*12,0,IF($AC$53=AM168,0,1)))</f>
        <v>0</v>
      </c>
      <c r="AJ168" s="161" t="e">
        <f t="shared" ca="1" si="71"/>
        <v>#N/A</v>
      </c>
      <c r="AK168" s="161" t="e">
        <f t="shared" ca="1" si="72"/>
        <v>#N/A</v>
      </c>
      <c r="AL168" s="161">
        <f ca="1">IF(Y168&gt;(Preenchimento!$AA$90*12),0,Fixa!Y168)</f>
        <v>0</v>
      </c>
      <c r="AM168" s="161">
        <f t="shared" ca="1" si="80"/>
        <v>5</v>
      </c>
      <c r="AN168" s="199">
        <f ca="1">IF(AQ168&gt;Preenchimento!$AA$90*12,0,1)</f>
        <v>0</v>
      </c>
      <c r="AO168" s="161" t="e">
        <f ca="1">1/((1+SAC!$AD$29)^AL168)</f>
        <v>#N/A</v>
      </c>
      <c r="AP168" s="82" t="e">
        <f t="shared" ca="1" si="81"/>
        <v>#N/A</v>
      </c>
      <c r="AQ168" s="82">
        <v>143</v>
      </c>
      <c r="AS168" s="477">
        <f t="shared" ca="1" si="73"/>
        <v>0</v>
      </c>
    </row>
    <row r="169" spans="1:45" ht="12" customHeight="1">
      <c r="A169" s="53">
        <v>144</v>
      </c>
      <c r="B169" s="249">
        <f ca="1">DATE(IF(MONTH(B168)=12,YEAR(B168)+1,YEAR(B168)),IF(MONTH(B168)=12,1,MONTH(B168)+1),MIN(DAY(Condições!$C$109),IF(IF(MONTH(B168)=12,1,MONTH(B168)+1)=2,IF(MOD(IF(MONTH(B168)=12,YEAR(B168)+1,YEAR(B168)),4)=0,29,28),IF(OR(IF(MONTH(B168)=12,1,MONTH(B168)+1)=4,IF(MONTH(B168)=12,1,MONTH(B168)+1)=6,IF(MONTH(B168)=12,1,MONTH(B168)+1)=9,IF(MONTH(B168)=12,1,MONTH(B168)+1)=11),30,DAY($B$25)))))</f>
        <v>50572</v>
      </c>
      <c r="C169" s="250" t="str">
        <f t="shared" si="56"/>
        <v/>
      </c>
      <c r="D169" s="251" t="e">
        <f t="shared" si="57"/>
        <v>#N/A</v>
      </c>
      <c r="E169" s="251">
        <f t="shared" si="58"/>
        <v>0</v>
      </c>
      <c r="F169" s="251">
        <f t="shared" si="59"/>
        <v>0</v>
      </c>
      <c r="G169" s="251">
        <f t="shared" si="60"/>
        <v>0</v>
      </c>
      <c r="H169" s="251" t="e">
        <f t="shared" si="61"/>
        <v>#VALUE!</v>
      </c>
      <c r="I169" s="251">
        <f t="shared" si="62"/>
        <v>0</v>
      </c>
      <c r="J169" s="251">
        <f t="shared" si="74"/>
        <v>0</v>
      </c>
      <c r="K169" s="251">
        <f t="shared" si="63"/>
        <v>0</v>
      </c>
      <c r="L169" s="174"/>
      <c r="M169" s="224"/>
      <c r="N169" s="225">
        <f t="shared" si="64"/>
        <v>0</v>
      </c>
      <c r="O169" s="251" t="e">
        <f t="shared" si="65"/>
        <v>#N/A</v>
      </c>
      <c r="P169" s="251">
        <f t="shared" si="75"/>
        <v>0</v>
      </c>
      <c r="Q169" s="251">
        <f t="shared" si="66"/>
        <v>0</v>
      </c>
      <c r="R169" s="251">
        <f t="shared" si="67"/>
        <v>0</v>
      </c>
      <c r="S169" s="251" t="e">
        <f t="shared" si="68"/>
        <v>#VALUE!</v>
      </c>
      <c r="T169" s="251">
        <f t="shared" si="55"/>
        <v>0</v>
      </c>
      <c r="U169" s="252">
        <f>TRUNC(T169*Condições!$C$102,2)</f>
        <v>0</v>
      </c>
      <c r="V169" s="199">
        <f t="shared" si="76"/>
        <v>0</v>
      </c>
      <c r="W169" s="161" t="e">
        <f t="shared" si="69"/>
        <v>#N/A</v>
      </c>
      <c r="X169" s="161" t="e">
        <f t="shared" si="70"/>
        <v>#N/A</v>
      </c>
      <c r="Y169" s="161">
        <f t="shared" si="77"/>
        <v>144</v>
      </c>
      <c r="Z169" s="161">
        <f t="shared" ca="1" si="78"/>
        <v>6</v>
      </c>
      <c r="AG169" s="114">
        <f t="shared" si="79"/>
        <v>0</v>
      </c>
      <c r="AH169" s="113"/>
      <c r="AI169" s="199">
        <f ca="1">IF(AL169=0,0,IF(AL169&gt;Preenchimento!$AA$88*12,0,IF($AC$53=AM169,0,1)))</f>
        <v>0</v>
      </c>
      <c r="AJ169" s="161" t="e">
        <f t="shared" ca="1" si="71"/>
        <v>#N/A</v>
      </c>
      <c r="AK169" s="161" t="e">
        <f t="shared" ca="1" si="72"/>
        <v>#N/A</v>
      </c>
      <c r="AL169" s="161">
        <f ca="1">IF(Y169&gt;(Preenchimento!$AA$90*12),0,Fixa!Y169)</f>
        <v>0</v>
      </c>
      <c r="AM169" s="161">
        <f t="shared" ca="1" si="80"/>
        <v>6</v>
      </c>
      <c r="AN169" s="199">
        <f ca="1">IF(AQ169&gt;Preenchimento!$AA$90*12,0,1)</f>
        <v>0</v>
      </c>
      <c r="AO169" s="161" t="e">
        <f ca="1">1/((1+SAC!$AD$29)^AL169)</f>
        <v>#N/A</v>
      </c>
      <c r="AP169" s="82" t="e">
        <f t="shared" ca="1" si="81"/>
        <v>#N/A</v>
      </c>
      <c r="AQ169" s="82">
        <v>144</v>
      </c>
      <c r="AS169" s="477">
        <f t="shared" ca="1" si="73"/>
        <v>0</v>
      </c>
    </row>
    <row r="170" spans="1:45" ht="12" customHeight="1">
      <c r="A170" s="53">
        <v>145</v>
      </c>
      <c r="B170" s="249">
        <f ca="1">DATE(IF(MONTH(B169)=12,YEAR(B169)+1,YEAR(B169)),IF(MONTH(B169)=12,1,MONTH(B169)+1),MIN(DAY(Condições!$C$109),IF(IF(MONTH(B169)=12,1,MONTH(B169)+1)=2,IF(MOD(IF(MONTH(B169)=12,YEAR(B169)+1,YEAR(B169)),4)=0,29,28),IF(OR(IF(MONTH(B169)=12,1,MONTH(B169)+1)=4,IF(MONTH(B169)=12,1,MONTH(B169)+1)=6,IF(MONTH(B169)=12,1,MONTH(B169)+1)=9,IF(MONTH(B169)=12,1,MONTH(B169)+1)=11),30,DAY($B$25)))))</f>
        <v>50602</v>
      </c>
      <c r="C170" s="250" t="str">
        <f t="shared" si="56"/>
        <v/>
      </c>
      <c r="D170" s="251" t="e">
        <f t="shared" si="57"/>
        <v>#N/A</v>
      </c>
      <c r="E170" s="251">
        <f t="shared" si="58"/>
        <v>0</v>
      </c>
      <c r="F170" s="251">
        <f t="shared" si="59"/>
        <v>0</v>
      </c>
      <c r="G170" s="251">
        <f t="shared" si="60"/>
        <v>0</v>
      </c>
      <c r="H170" s="251" t="e">
        <f t="shared" si="61"/>
        <v>#VALUE!</v>
      </c>
      <c r="I170" s="251">
        <f t="shared" si="62"/>
        <v>0</v>
      </c>
      <c r="J170" s="251">
        <f t="shared" si="74"/>
        <v>0</v>
      </c>
      <c r="K170" s="251">
        <f t="shared" si="63"/>
        <v>0</v>
      </c>
      <c r="L170" s="174"/>
      <c r="M170" s="224"/>
      <c r="N170" s="225">
        <f t="shared" si="64"/>
        <v>0</v>
      </c>
      <c r="O170" s="251" t="e">
        <f t="shared" si="65"/>
        <v>#N/A</v>
      </c>
      <c r="P170" s="251">
        <f t="shared" si="75"/>
        <v>0</v>
      </c>
      <c r="Q170" s="251">
        <f t="shared" si="66"/>
        <v>0</v>
      </c>
      <c r="R170" s="251">
        <f t="shared" si="67"/>
        <v>0</v>
      </c>
      <c r="S170" s="251" t="e">
        <f t="shared" si="68"/>
        <v>#VALUE!</v>
      </c>
      <c r="T170" s="251">
        <f t="shared" si="55"/>
        <v>0</v>
      </c>
      <c r="U170" s="252">
        <f>TRUNC(T170*Condições!$C$102,2)</f>
        <v>0</v>
      </c>
      <c r="V170" s="199">
        <f t="shared" si="76"/>
        <v>0</v>
      </c>
      <c r="W170" s="161" t="e">
        <f t="shared" si="69"/>
        <v>#N/A</v>
      </c>
      <c r="X170" s="161" t="e">
        <f t="shared" si="70"/>
        <v>#N/A</v>
      </c>
      <c r="Y170" s="161">
        <f t="shared" si="77"/>
        <v>145</v>
      </c>
      <c r="Z170" s="161">
        <f t="shared" ca="1" si="78"/>
        <v>7</v>
      </c>
      <c r="AG170" s="114">
        <f t="shared" si="79"/>
        <v>0</v>
      </c>
      <c r="AH170" s="113"/>
      <c r="AI170" s="199">
        <f ca="1">IF(AL170=0,0,IF(AL170&gt;Preenchimento!$AA$88*12,0,IF($AC$53=AM170,0,1)))</f>
        <v>0</v>
      </c>
      <c r="AJ170" s="161" t="e">
        <f t="shared" ca="1" si="71"/>
        <v>#N/A</v>
      </c>
      <c r="AK170" s="161" t="e">
        <f t="shared" ca="1" si="72"/>
        <v>#N/A</v>
      </c>
      <c r="AL170" s="161">
        <f ca="1">IF(Y170&gt;(Preenchimento!$AA$90*12),0,Fixa!Y170)</f>
        <v>0</v>
      </c>
      <c r="AM170" s="161">
        <f t="shared" ca="1" si="80"/>
        <v>7</v>
      </c>
      <c r="AN170" s="199">
        <f ca="1">IF(AQ170&gt;Preenchimento!$AA$90*12,0,1)</f>
        <v>0</v>
      </c>
      <c r="AO170" s="161" t="e">
        <f ca="1">1/((1+SAC!$AD$29)^AL170)</f>
        <v>#N/A</v>
      </c>
      <c r="AP170" s="82" t="e">
        <f t="shared" ca="1" si="81"/>
        <v>#N/A</v>
      </c>
      <c r="AQ170" s="82">
        <v>145</v>
      </c>
      <c r="AS170" s="477">
        <f t="shared" ca="1" si="73"/>
        <v>0</v>
      </c>
    </row>
    <row r="171" spans="1:45" ht="12" customHeight="1">
      <c r="A171" s="53">
        <v>146</v>
      </c>
      <c r="B171" s="249">
        <f ca="1">DATE(IF(MONTH(B170)=12,YEAR(B170)+1,YEAR(B170)),IF(MONTH(B170)=12,1,MONTH(B170)+1),MIN(DAY(Condições!$C$109),IF(IF(MONTH(B170)=12,1,MONTH(B170)+1)=2,IF(MOD(IF(MONTH(B170)=12,YEAR(B170)+1,YEAR(B170)),4)=0,29,28),IF(OR(IF(MONTH(B170)=12,1,MONTH(B170)+1)=4,IF(MONTH(B170)=12,1,MONTH(B170)+1)=6,IF(MONTH(B170)=12,1,MONTH(B170)+1)=9,IF(MONTH(B170)=12,1,MONTH(B170)+1)=11),30,DAY($B$25)))))</f>
        <v>50633</v>
      </c>
      <c r="C171" s="250" t="str">
        <f t="shared" si="56"/>
        <v/>
      </c>
      <c r="D171" s="251" t="e">
        <f t="shared" si="57"/>
        <v>#N/A</v>
      </c>
      <c r="E171" s="251">
        <f t="shared" si="58"/>
        <v>0</v>
      </c>
      <c r="F171" s="251">
        <f t="shared" si="59"/>
        <v>0</v>
      </c>
      <c r="G171" s="251">
        <f t="shared" si="60"/>
        <v>0</v>
      </c>
      <c r="H171" s="251" t="e">
        <f t="shared" si="61"/>
        <v>#VALUE!</v>
      </c>
      <c r="I171" s="251">
        <f t="shared" si="62"/>
        <v>0</v>
      </c>
      <c r="J171" s="251">
        <f t="shared" si="74"/>
        <v>0</v>
      </c>
      <c r="K171" s="251">
        <f t="shared" si="63"/>
        <v>0</v>
      </c>
      <c r="L171" s="174"/>
      <c r="M171" s="224"/>
      <c r="N171" s="225">
        <f t="shared" si="64"/>
        <v>0</v>
      </c>
      <c r="O171" s="251" t="e">
        <f t="shared" si="65"/>
        <v>#N/A</v>
      </c>
      <c r="P171" s="251">
        <f t="shared" si="75"/>
        <v>0</v>
      </c>
      <c r="Q171" s="251">
        <f t="shared" si="66"/>
        <v>0</v>
      </c>
      <c r="R171" s="251">
        <f t="shared" si="67"/>
        <v>0</v>
      </c>
      <c r="S171" s="251" t="e">
        <f t="shared" si="68"/>
        <v>#VALUE!</v>
      </c>
      <c r="T171" s="251">
        <f t="shared" si="55"/>
        <v>0</v>
      </c>
      <c r="U171" s="252">
        <f>TRUNC(T171*Condições!$C$102,2)</f>
        <v>0</v>
      </c>
      <c r="V171" s="199">
        <f t="shared" si="76"/>
        <v>0</v>
      </c>
      <c r="W171" s="161" t="e">
        <f t="shared" si="69"/>
        <v>#N/A</v>
      </c>
      <c r="X171" s="161" t="e">
        <f t="shared" si="70"/>
        <v>#N/A</v>
      </c>
      <c r="Y171" s="161">
        <f t="shared" si="77"/>
        <v>146</v>
      </c>
      <c r="Z171" s="161">
        <f t="shared" ca="1" si="78"/>
        <v>8</v>
      </c>
      <c r="AG171" s="114">
        <f t="shared" si="79"/>
        <v>0</v>
      </c>
      <c r="AH171" s="113"/>
      <c r="AI171" s="199">
        <f ca="1">IF(AL171=0,0,IF(AL171&gt;Preenchimento!$AA$88*12,0,IF($AC$53=AM171,0,1)))</f>
        <v>0</v>
      </c>
      <c r="AJ171" s="161" t="e">
        <f t="shared" ca="1" si="71"/>
        <v>#N/A</v>
      </c>
      <c r="AK171" s="161" t="e">
        <f t="shared" ca="1" si="72"/>
        <v>#N/A</v>
      </c>
      <c r="AL171" s="161">
        <f ca="1">IF(Y171&gt;(Preenchimento!$AA$90*12),0,Fixa!Y171)</f>
        <v>0</v>
      </c>
      <c r="AM171" s="161">
        <f t="shared" ca="1" si="80"/>
        <v>8</v>
      </c>
      <c r="AN171" s="199">
        <f ca="1">IF(AQ171&gt;Preenchimento!$AA$90*12,0,1)</f>
        <v>0</v>
      </c>
      <c r="AO171" s="161" t="e">
        <f ca="1">1/((1+SAC!$AD$29)^AL171)</f>
        <v>#N/A</v>
      </c>
      <c r="AP171" s="82" t="e">
        <f t="shared" ca="1" si="81"/>
        <v>#N/A</v>
      </c>
      <c r="AQ171" s="82">
        <v>146</v>
      </c>
      <c r="AS171" s="477">
        <f t="shared" ca="1" si="73"/>
        <v>0</v>
      </c>
    </row>
    <row r="172" spans="1:45" ht="12" customHeight="1">
      <c r="A172" s="53">
        <v>147</v>
      </c>
      <c r="B172" s="249">
        <f ca="1">DATE(IF(MONTH(B171)=12,YEAR(B171)+1,YEAR(B171)),IF(MONTH(B171)=12,1,MONTH(B171)+1),MIN(DAY(Condições!$C$109),IF(IF(MONTH(B171)=12,1,MONTH(B171)+1)=2,IF(MOD(IF(MONTH(B171)=12,YEAR(B171)+1,YEAR(B171)),4)=0,29,28),IF(OR(IF(MONTH(B171)=12,1,MONTH(B171)+1)=4,IF(MONTH(B171)=12,1,MONTH(B171)+1)=6,IF(MONTH(B171)=12,1,MONTH(B171)+1)=9,IF(MONTH(B171)=12,1,MONTH(B171)+1)=11),30,DAY($B$25)))))</f>
        <v>50664</v>
      </c>
      <c r="C172" s="250" t="str">
        <f t="shared" si="56"/>
        <v/>
      </c>
      <c r="D172" s="251" t="e">
        <f t="shared" si="57"/>
        <v>#N/A</v>
      </c>
      <c r="E172" s="251">
        <f t="shared" si="58"/>
        <v>0</v>
      </c>
      <c r="F172" s="251">
        <f t="shared" si="59"/>
        <v>0</v>
      </c>
      <c r="G172" s="251">
        <f t="shared" si="60"/>
        <v>0</v>
      </c>
      <c r="H172" s="251" t="e">
        <f t="shared" si="61"/>
        <v>#VALUE!</v>
      </c>
      <c r="I172" s="251">
        <f t="shared" si="62"/>
        <v>0</v>
      </c>
      <c r="J172" s="251">
        <f t="shared" si="74"/>
        <v>0</v>
      </c>
      <c r="K172" s="251">
        <f t="shared" si="63"/>
        <v>0</v>
      </c>
      <c r="L172" s="174"/>
      <c r="M172" s="224"/>
      <c r="N172" s="225">
        <f t="shared" si="64"/>
        <v>0</v>
      </c>
      <c r="O172" s="251" t="e">
        <f t="shared" si="65"/>
        <v>#N/A</v>
      </c>
      <c r="P172" s="251">
        <f t="shared" si="75"/>
        <v>0</v>
      </c>
      <c r="Q172" s="251">
        <f t="shared" si="66"/>
        <v>0</v>
      </c>
      <c r="R172" s="251">
        <f t="shared" si="67"/>
        <v>0</v>
      </c>
      <c r="S172" s="251" t="e">
        <f t="shared" si="68"/>
        <v>#VALUE!</v>
      </c>
      <c r="T172" s="251">
        <f t="shared" si="55"/>
        <v>0</v>
      </c>
      <c r="U172" s="252">
        <f>TRUNC(T172*Condições!$C$102,2)</f>
        <v>0</v>
      </c>
      <c r="V172" s="199">
        <f t="shared" si="76"/>
        <v>0</v>
      </c>
      <c r="W172" s="161" t="e">
        <f t="shared" si="69"/>
        <v>#N/A</v>
      </c>
      <c r="X172" s="161" t="e">
        <f t="shared" si="70"/>
        <v>#N/A</v>
      </c>
      <c r="Y172" s="161">
        <f t="shared" si="77"/>
        <v>147</v>
      </c>
      <c r="Z172" s="161">
        <f t="shared" ca="1" si="78"/>
        <v>9</v>
      </c>
      <c r="AG172" s="114">
        <f t="shared" si="79"/>
        <v>0</v>
      </c>
      <c r="AH172" s="113"/>
      <c r="AI172" s="199">
        <f ca="1">IF(AL172=0,0,IF(AL172&gt;Preenchimento!$AA$88*12,0,IF($AC$53=AM172,0,1)))</f>
        <v>0</v>
      </c>
      <c r="AJ172" s="161" t="e">
        <f t="shared" ca="1" si="71"/>
        <v>#N/A</v>
      </c>
      <c r="AK172" s="161" t="e">
        <f t="shared" ca="1" si="72"/>
        <v>#N/A</v>
      </c>
      <c r="AL172" s="161">
        <f ca="1">IF(Y172&gt;(Preenchimento!$AA$90*12),0,Fixa!Y172)</f>
        <v>0</v>
      </c>
      <c r="AM172" s="161">
        <f t="shared" ca="1" si="80"/>
        <v>9</v>
      </c>
      <c r="AN172" s="199">
        <f ca="1">IF(AQ172&gt;Preenchimento!$AA$90*12,0,1)</f>
        <v>0</v>
      </c>
      <c r="AO172" s="161" t="e">
        <f ca="1">1/((1+SAC!$AD$29)^AL172)</f>
        <v>#N/A</v>
      </c>
      <c r="AP172" s="82" t="e">
        <f t="shared" ca="1" si="81"/>
        <v>#N/A</v>
      </c>
      <c r="AQ172" s="82">
        <v>147</v>
      </c>
      <c r="AS172" s="477">
        <f t="shared" ca="1" si="73"/>
        <v>0</v>
      </c>
    </row>
    <row r="173" spans="1:45" ht="12" customHeight="1">
      <c r="A173" s="53">
        <v>148</v>
      </c>
      <c r="B173" s="249">
        <f ca="1">DATE(IF(MONTH(B172)=12,YEAR(B172)+1,YEAR(B172)),IF(MONTH(B172)=12,1,MONTH(B172)+1),MIN(DAY(Condições!$C$109),IF(IF(MONTH(B172)=12,1,MONTH(B172)+1)=2,IF(MOD(IF(MONTH(B172)=12,YEAR(B172)+1,YEAR(B172)),4)=0,29,28),IF(OR(IF(MONTH(B172)=12,1,MONTH(B172)+1)=4,IF(MONTH(B172)=12,1,MONTH(B172)+1)=6,IF(MONTH(B172)=12,1,MONTH(B172)+1)=9,IF(MONTH(B172)=12,1,MONTH(B172)+1)=11),30,DAY($B$25)))))</f>
        <v>50694</v>
      </c>
      <c r="C173" s="250" t="str">
        <f t="shared" si="56"/>
        <v/>
      </c>
      <c r="D173" s="251" t="e">
        <f t="shared" si="57"/>
        <v>#N/A</v>
      </c>
      <c r="E173" s="251">
        <f t="shared" si="58"/>
        <v>0</v>
      </c>
      <c r="F173" s="251">
        <f t="shared" si="59"/>
        <v>0</v>
      </c>
      <c r="G173" s="251">
        <f t="shared" si="60"/>
        <v>0</v>
      </c>
      <c r="H173" s="251" t="e">
        <f t="shared" si="61"/>
        <v>#VALUE!</v>
      </c>
      <c r="I173" s="251">
        <f t="shared" si="62"/>
        <v>0</v>
      </c>
      <c r="J173" s="251">
        <f t="shared" si="74"/>
        <v>0</v>
      </c>
      <c r="K173" s="251">
        <f t="shared" si="63"/>
        <v>0</v>
      </c>
      <c r="L173" s="174"/>
      <c r="M173" s="224"/>
      <c r="N173" s="225">
        <f t="shared" si="64"/>
        <v>0</v>
      </c>
      <c r="O173" s="251" t="e">
        <f t="shared" si="65"/>
        <v>#N/A</v>
      </c>
      <c r="P173" s="251">
        <f t="shared" si="75"/>
        <v>0</v>
      </c>
      <c r="Q173" s="251">
        <f t="shared" si="66"/>
        <v>0</v>
      </c>
      <c r="R173" s="251">
        <f t="shared" si="67"/>
        <v>0</v>
      </c>
      <c r="S173" s="251" t="e">
        <f t="shared" si="68"/>
        <v>#VALUE!</v>
      </c>
      <c r="T173" s="251">
        <f t="shared" si="55"/>
        <v>0</v>
      </c>
      <c r="U173" s="252">
        <f>TRUNC(T173*Condições!$C$102,2)</f>
        <v>0</v>
      </c>
      <c r="V173" s="199">
        <f t="shared" si="76"/>
        <v>0</v>
      </c>
      <c r="W173" s="161" t="e">
        <f t="shared" si="69"/>
        <v>#N/A</v>
      </c>
      <c r="X173" s="161" t="e">
        <f t="shared" si="70"/>
        <v>#N/A</v>
      </c>
      <c r="Y173" s="161">
        <f t="shared" si="77"/>
        <v>148</v>
      </c>
      <c r="Z173" s="161">
        <f t="shared" ca="1" si="78"/>
        <v>10</v>
      </c>
      <c r="AG173" s="114">
        <f t="shared" si="79"/>
        <v>0</v>
      </c>
      <c r="AH173" s="113"/>
      <c r="AI173" s="199">
        <f ca="1">IF(AL173=0,0,IF(AL173&gt;Preenchimento!$AA$88*12,0,IF($AC$53=AM173,0,1)))</f>
        <v>0</v>
      </c>
      <c r="AJ173" s="161" t="e">
        <f t="shared" ca="1" si="71"/>
        <v>#N/A</v>
      </c>
      <c r="AK173" s="161" t="e">
        <f t="shared" ca="1" si="72"/>
        <v>#N/A</v>
      </c>
      <c r="AL173" s="161">
        <f ca="1">IF(Y173&gt;(Preenchimento!$AA$90*12),0,Fixa!Y173)</f>
        <v>0</v>
      </c>
      <c r="AM173" s="161">
        <f t="shared" ca="1" si="80"/>
        <v>10</v>
      </c>
      <c r="AN173" s="199">
        <f ca="1">IF(AQ173&gt;Preenchimento!$AA$90*12,0,1)</f>
        <v>0</v>
      </c>
      <c r="AO173" s="161" t="e">
        <f ca="1">1/((1+SAC!$AD$29)^AL173)</f>
        <v>#N/A</v>
      </c>
      <c r="AP173" s="82" t="e">
        <f t="shared" ca="1" si="81"/>
        <v>#N/A</v>
      </c>
      <c r="AQ173" s="82">
        <v>148</v>
      </c>
      <c r="AS173" s="477">
        <f t="shared" ca="1" si="73"/>
        <v>0</v>
      </c>
    </row>
    <row r="174" spans="1:45" ht="12" customHeight="1">
      <c r="A174" s="53">
        <v>149</v>
      </c>
      <c r="B174" s="249">
        <f ca="1">DATE(IF(MONTH(B173)=12,YEAR(B173)+1,YEAR(B173)),IF(MONTH(B173)=12,1,MONTH(B173)+1),MIN(DAY(Condições!$C$109),IF(IF(MONTH(B173)=12,1,MONTH(B173)+1)=2,IF(MOD(IF(MONTH(B173)=12,YEAR(B173)+1,YEAR(B173)),4)=0,29,28),IF(OR(IF(MONTH(B173)=12,1,MONTH(B173)+1)=4,IF(MONTH(B173)=12,1,MONTH(B173)+1)=6,IF(MONTH(B173)=12,1,MONTH(B173)+1)=9,IF(MONTH(B173)=12,1,MONTH(B173)+1)=11),30,DAY($B$25)))))</f>
        <v>50725</v>
      </c>
      <c r="C174" s="250" t="str">
        <f t="shared" si="56"/>
        <v/>
      </c>
      <c r="D174" s="251" t="e">
        <f t="shared" si="57"/>
        <v>#N/A</v>
      </c>
      <c r="E174" s="251">
        <f t="shared" si="58"/>
        <v>0</v>
      </c>
      <c r="F174" s="251">
        <f t="shared" si="59"/>
        <v>0</v>
      </c>
      <c r="G174" s="251">
        <f t="shared" si="60"/>
        <v>0</v>
      </c>
      <c r="H174" s="251" t="e">
        <f t="shared" si="61"/>
        <v>#VALUE!</v>
      </c>
      <c r="I174" s="251">
        <f t="shared" si="62"/>
        <v>0</v>
      </c>
      <c r="J174" s="251">
        <f t="shared" si="74"/>
        <v>0</v>
      </c>
      <c r="K174" s="251">
        <f t="shared" si="63"/>
        <v>0</v>
      </c>
      <c r="L174" s="174"/>
      <c r="M174" s="224"/>
      <c r="N174" s="225">
        <f t="shared" si="64"/>
        <v>0</v>
      </c>
      <c r="O174" s="251" t="e">
        <f t="shared" si="65"/>
        <v>#N/A</v>
      </c>
      <c r="P174" s="251">
        <f t="shared" si="75"/>
        <v>0</v>
      </c>
      <c r="Q174" s="251">
        <f t="shared" si="66"/>
        <v>0</v>
      </c>
      <c r="R174" s="251">
        <f t="shared" si="67"/>
        <v>0</v>
      </c>
      <c r="S174" s="251" t="e">
        <f t="shared" si="68"/>
        <v>#VALUE!</v>
      </c>
      <c r="T174" s="251">
        <f t="shared" si="55"/>
        <v>0</v>
      </c>
      <c r="U174" s="252">
        <f>TRUNC(T174*Condições!$C$102,2)</f>
        <v>0</v>
      </c>
      <c r="V174" s="199">
        <f t="shared" si="76"/>
        <v>0</v>
      </c>
      <c r="W174" s="161" t="e">
        <f t="shared" si="69"/>
        <v>#N/A</v>
      </c>
      <c r="X174" s="161" t="e">
        <f t="shared" si="70"/>
        <v>#N/A</v>
      </c>
      <c r="Y174" s="161">
        <f t="shared" si="77"/>
        <v>149</v>
      </c>
      <c r="Z174" s="161">
        <f t="shared" ca="1" si="78"/>
        <v>11</v>
      </c>
      <c r="AG174" s="114">
        <f t="shared" si="79"/>
        <v>0</v>
      </c>
      <c r="AH174" s="113"/>
      <c r="AI174" s="199">
        <f ca="1">IF(AL174=0,0,IF(AL174&gt;Preenchimento!$AA$88*12,0,IF($AC$53=AM174,0,1)))</f>
        <v>0</v>
      </c>
      <c r="AJ174" s="161" t="e">
        <f t="shared" ca="1" si="71"/>
        <v>#N/A</v>
      </c>
      <c r="AK174" s="161" t="e">
        <f t="shared" ca="1" si="72"/>
        <v>#N/A</v>
      </c>
      <c r="AL174" s="161">
        <f ca="1">IF(Y174&gt;(Preenchimento!$AA$90*12),0,Fixa!Y174)</f>
        <v>0</v>
      </c>
      <c r="AM174" s="161">
        <f t="shared" ca="1" si="80"/>
        <v>11</v>
      </c>
      <c r="AN174" s="199">
        <f ca="1">IF(AQ174&gt;Preenchimento!$AA$90*12,0,1)</f>
        <v>0</v>
      </c>
      <c r="AO174" s="161" t="e">
        <f ca="1">1/((1+SAC!$AD$29)^AL174)</f>
        <v>#N/A</v>
      </c>
      <c r="AP174" s="82" t="e">
        <f t="shared" ca="1" si="81"/>
        <v>#N/A</v>
      </c>
      <c r="AQ174" s="82">
        <v>149</v>
      </c>
      <c r="AS174" s="477">
        <f t="shared" ca="1" si="73"/>
        <v>0</v>
      </c>
    </row>
    <row r="175" spans="1:45" ht="12" customHeight="1">
      <c r="A175" s="53">
        <v>150</v>
      </c>
      <c r="B175" s="249">
        <f ca="1">DATE(IF(MONTH(B174)=12,YEAR(B174)+1,YEAR(B174)),IF(MONTH(B174)=12,1,MONTH(B174)+1),MIN(DAY(Condições!$C$109),IF(IF(MONTH(B174)=12,1,MONTH(B174)+1)=2,IF(MOD(IF(MONTH(B174)=12,YEAR(B174)+1,YEAR(B174)),4)=0,29,28),IF(OR(IF(MONTH(B174)=12,1,MONTH(B174)+1)=4,IF(MONTH(B174)=12,1,MONTH(B174)+1)=6,IF(MONTH(B174)=12,1,MONTH(B174)+1)=9,IF(MONTH(B174)=12,1,MONTH(B174)+1)=11),30,DAY($B$25)))))</f>
        <v>50755</v>
      </c>
      <c r="C175" s="250" t="str">
        <f t="shared" si="56"/>
        <v/>
      </c>
      <c r="D175" s="251" t="e">
        <f t="shared" si="57"/>
        <v>#N/A</v>
      </c>
      <c r="E175" s="251">
        <f t="shared" si="58"/>
        <v>0</v>
      </c>
      <c r="F175" s="251">
        <f t="shared" si="59"/>
        <v>0</v>
      </c>
      <c r="G175" s="251">
        <f t="shared" si="60"/>
        <v>0</v>
      </c>
      <c r="H175" s="251" t="e">
        <f t="shared" si="61"/>
        <v>#VALUE!</v>
      </c>
      <c r="I175" s="251">
        <f t="shared" si="62"/>
        <v>0</v>
      </c>
      <c r="J175" s="251">
        <f t="shared" si="74"/>
        <v>0</v>
      </c>
      <c r="K175" s="251">
        <f t="shared" si="63"/>
        <v>0</v>
      </c>
      <c r="L175" s="174"/>
      <c r="M175" s="224"/>
      <c r="N175" s="225">
        <f t="shared" si="64"/>
        <v>0</v>
      </c>
      <c r="O175" s="251" t="e">
        <f t="shared" si="65"/>
        <v>#N/A</v>
      </c>
      <c r="P175" s="251">
        <f t="shared" si="75"/>
        <v>0</v>
      </c>
      <c r="Q175" s="251">
        <f t="shared" si="66"/>
        <v>0</v>
      </c>
      <c r="R175" s="251">
        <f t="shared" si="67"/>
        <v>0</v>
      </c>
      <c r="S175" s="251" t="e">
        <f t="shared" si="68"/>
        <v>#VALUE!</v>
      </c>
      <c r="T175" s="251">
        <f t="shared" si="55"/>
        <v>0</v>
      </c>
      <c r="U175" s="252">
        <f>TRUNC(T175*Condições!$C$102,2)</f>
        <v>0</v>
      </c>
      <c r="V175" s="199">
        <f t="shared" si="76"/>
        <v>0</v>
      </c>
      <c r="W175" s="161" t="e">
        <f t="shared" si="69"/>
        <v>#N/A</v>
      </c>
      <c r="X175" s="161" t="e">
        <f t="shared" si="70"/>
        <v>#N/A</v>
      </c>
      <c r="Y175" s="161">
        <f t="shared" si="77"/>
        <v>150</v>
      </c>
      <c r="Z175" s="161">
        <f t="shared" ca="1" si="78"/>
        <v>12</v>
      </c>
      <c r="AG175" s="114">
        <f t="shared" si="79"/>
        <v>0</v>
      </c>
      <c r="AH175" s="113"/>
      <c r="AI175" s="199">
        <f ca="1">IF(AL175=0,0,IF(AL175&gt;Preenchimento!$AA$88*12,0,IF($AC$53=AM175,0,1)))</f>
        <v>0</v>
      </c>
      <c r="AJ175" s="161" t="e">
        <f t="shared" ca="1" si="71"/>
        <v>#N/A</v>
      </c>
      <c r="AK175" s="161" t="e">
        <f t="shared" ca="1" si="72"/>
        <v>#N/A</v>
      </c>
      <c r="AL175" s="161">
        <f ca="1">IF(Y175&gt;(Preenchimento!$AA$90*12),0,Fixa!Y175)</f>
        <v>0</v>
      </c>
      <c r="AM175" s="161">
        <f t="shared" ca="1" si="80"/>
        <v>12</v>
      </c>
      <c r="AN175" s="199">
        <f ca="1">IF(AQ175&gt;Preenchimento!$AA$90*12,0,1)</f>
        <v>0</v>
      </c>
      <c r="AO175" s="161" t="e">
        <f ca="1">1/((1+SAC!$AD$29)^AL175)</f>
        <v>#N/A</v>
      </c>
      <c r="AP175" s="82" t="e">
        <f t="shared" ca="1" si="81"/>
        <v>#N/A</v>
      </c>
      <c r="AQ175" s="82">
        <v>150</v>
      </c>
      <c r="AS175" s="477">
        <f t="shared" ca="1" si="73"/>
        <v>0</v>
      </c>
    </row>
    <row r="176" spans="1:45" ht="12" customHeight="1">
      <c r="A176" s="53">
        <v>151</v>
      </c>
      <c r="B176" s="249">
        <f ca="1">DATE(IF(MONTH(B175)=12,YEAR(B175)+1,YEAR(B175)),IF(MONTH(B175)=12,1,MONTH(B175)+1),MIN(DAY(Condições!$C$109),IF(IF(MONTH(B175)=12,1,MONTH(B175)+1)=2,IF(MOD(IF(MONTH(B175)=12,YEAR(B175)+1,YEAR(B175)),4)=0,29,28),IF(OR(IF(MONTH(B175)=12,1,MONTH(B175)+1)=4,IF(MONTH(B175)=12,1,MONTH(B175)+1)=6,IF(MONTH(B175)=12,1,MONTH(B175)+1)=9,IF(MONTH(B175)=12,1,MONTH(B175)+1)=11),30,DAY($B$25)))))</f>
        <v>50786</v>
      </c>
      <c r="C176" s="250" t="str">
        <f t="shared" si="56"/>
        <v/>
      </c>
      <c r="D176" s="251" t="e">
        <f t="shared" si="57"/>
        <v>#N/A</v>
      </c>
      <c r="E176" s="251">
        <f t="shared" si="58"/>
        <v>0</v>
      </c>
      <c r="F176" s="251">
        <f t="shared" si="59"/>
        <v>0</v>
      </c>
      <c r="G176" s="251">
        <f t="shared" si="60"/>
        <v>0</v>
      </c>
      <c r="H176" s="251" t="e">
        <f t="shared" si="61"/>
        <v>#VALUE!</v>
      </c>
      <c r="I176" s="251">
        <f t="shared" si="62"/>
        <v>0</v>
      </c>
      <c r="J176" s="251">
        <f t="shared" si="74"/>
        <v>0</v>
      </c>
      <c r="K176" s="251">
        <f t="shared" si="63"/>
        <v>0</v>
      </c>
      <c r="L176" s="174"/>
      <c r="M176" s="224"/>
      <c r="N176" s="225">
        <f t="shared" si="64"/>
        <v>0</v>
      </c>
      <c r="O176" s="251" t="e">
        <f t="shared" si="65"/>
        <v>#N/A</v>
      </c>
      <c r="P176" s="251">
        <f t="shared" si="75"/>
        <v>0</v>
      </c>
      <c r="Q176" s="251">
        <f t="shared" si="66"/>
        <v>0</v>
      </c>
      <c r="R176" s="251">
        <f t="shared" si="67"/>
        <v>0</v>
      </c>
      <c r="S176" s="251" t="e">
        <f t="shared" si="68"/>
        <v>#VALUE!</v>
      </c>
      <c r="T176" s="251">
        <f t="shared" si="55"/>
        <v>0</v>
      </c>
      <c r="U176" s="252">
        <f>TRUNC(T176*Condições!$C$102,2)</f>
        <v>0</v>
      </c>
      <c r="V176" s="199">
        <f t="shared" si="76"/>
        <v>0</v>
      </c>
      <c r="W176" s="161" t="e">
        <f t="shared" si="69"/>
        <v>#N/A</v>
      </c>
      <c r="X176" s="161" t="e">
        <f t="shared" si="70"/>
        <v>#N/A</v>
      </c>
      <c r="Y176" s="161">
        <f t="shared" si="77"/>
        <v>151</v>
      </c>
      <c r="Z176" s="161">
        <f t="shared" ca="1" si="78"/>
        <v>1</v>
      </c>
      <c r="AG176" s="114">
        <f t="shared" si="79"/>
        <v>0</v>
      </c>
      <c r="AH176" s="113"/>
      <c r="AI176" s="199">
        <f ca="1">IF(AL176=0,0,IF(AL176&gt;Preenchimento!$AA$88*12,0,IF($AC$53=AM176,0,1)))</f>
        <v>0</v>
      </c>
      <c r="AJ176" s="161" t="e">
        <f t="shared" ca="1" si="71"/>
        <v>#N/A</v>
      </c>
      <c r="AK176" s="161" t="e">
        <f t="shared" ca="1" si="72"/>
        <v>#N/A</v>
      </c>
      <c r="AL176" s="161">
        <f ca="1">IF(Y176&gt;(Preenchimento!$AA$90*12),0,Fixa!Y176)</f>
        <v>0</v>
      </c>
      <c r="AM176" s="161">
        <f t="shared" ca="1" si="80"/>
        <v>1</v>
      </c>
      <c r="AN176" s="199">
        <f ca="1">IF(AQ176&gt;Preenchimento!$AA$90*12,0,1)</f>
        <v>0</v>
      </c>
      <c r="AO176" s="161" t="e">
        <f ca="1">1/((1+SAC!$AD$29)^AL176)</f>
        <v>#N/A</v>
      </c>
      <c r="AP176" s="82" t="e">
        <f t="shared" ca="1" si="81"/>
        <v>#N/A</v>
      </c>
      <c r="AQ176" s="82">
        <v>151</v>
      </c>
      <c r="AS176" s="477">
        <f t="shared" ca="1" si="73"/>
        <v>0</v>
      </c>
    </row>
    <row r="177" spans="1:45" ht="12" customHeight="1">
      <c r="A177" s="53">
        <v>152</v>
      </c>
      <c r="B177" s="249">
        <f ca="1">DATE(IF(MONTH(B176)=12,YEAR(B176)+1,YEAR(B176)),IF(MONTH(B176)=12,1,MONTH(B176)+1),MIN(DAY(Condições!$C$109),IF(IF(MONTH(B176)=12,1,MONTH(B176)+1)=2,IF(MOD(IF(MONTH(B176)=12,YEAR(B176)+1,YEAR(B176)),4)=0,29,28),IF(OR(IF(MONTH(B176)=12,1,MONTH(B176)+1)=4,IF(MONTH(B176)=12,1,MONTH(B176)+1)=6,IF(MONTH(B176)=12,1,MONTH(B176)+1)=9,IF(MONTH(B176)=12,1,MONTH(B176)+1)=11),30,DAY($B$25)))))</f>
        <v>50817</v>
      </c>
      <c r="C177" s="250" t="str">
        <f t="shared" si="56"/>
        <v/>
      </c>
      <c r="D177" s="251" t="e">
        <f t="shared" si="57"/>
        <v>#N/A</v>
      </c>
      <c r="E177" s="251">
        <f t="shared" si="58"/>
        <v>0</v>
      </c>
      <c r="F177" s="251">
        <f t="shared" si="59"/>
        <v>0</v>
      </c>
      <c r="G177" s="251">
        <f t="shared" si="60"/>
        <v>0</v>
      </c>
      <c r="H177" s="251" t="e">
        <f t="shared" si="61"/>
        <v>#VALUE!</v>
      </c>
      <c r="I177" s="251">
        <f t="shared" si="62"/>
        <v>0</v>
      </c>
      <c r="J177" s="251">
        <f t="shared" si="74"/>
        <v>0</v>
      </c>
      <c r="K177" s="251">
        <f t="shared" si="63"/>
        <v>0</v>
      </c>
      <c r="L177" s="174"/>
      <c r="M177" s="224"/>
      <c r="N177" s="225">
        <f t="shared" si="64"/>
        <v>0</v>
      </c>
      <c r="O177" s="251" t="e">
        <f t="shared" si="65"/>
        <v>#N/A</v>
      </c>
      <c r="P177" s="251">
        <f t="shared" si="75"/>
        <v>0</v>
      </c>
      <c r="Q177" s="251">
        <f t="shared" si="66"/>
        <v>0</v>
      </c>
      <c r="R177" s="251">
        <f t="shared" si="67"/>
        <v>0</v>
      </c>
      <c r="S177" s="251" t="e">
        <f t="shared" si="68"/>
        <v>#VALUE!</v>
      </c>
      <c r="T177" s="251">
        <f t="shared" si="55"/>
        <v>0</v>
      </c>
      <c r="U177" s="252">
        <f>TRUNC(T177*Condições!$C$102,2)</f>
        <v>0</v>
      </c>
      <c r="V177" s="199">
        <f t="shared" si="76"/>
        <v>0</v>
      </c>
      <c r="W177" s="161" t="e">
        <f t="shared" si="69"/>
        <v>#N/A</v>
      </c>
      <c r="X177" s="161" t="e">
        <f t="shared" si="70"/>
        <v>#N/A</v>
      </c>
      <c r="Y177" s="161">
        <f t="shared" si="77"/>
        <v>152</v>
      </c>
      <c r="Z177" s="161">
        <f t="shared" ca="1" si="78"/>
        <v>2</v>
      </c>
      <c r="AG177" s="114">
        <f t="shared" si="79"/>
        <v>0</v>
      </c>
      <c r="AH177" s="113"/>
      <c r="AI177" s="199">
        <f ca="1">IF(AL177=0,0,IF(AL177&gt;Preenchimento!$AA$88*12,0,IF($AC$53=AM177,0,1)))</f>
        <v>0</v>
      </c>
      <c r="AJ177" s="161" t="e">
        <f t="shared" ca="1" si="71"/>
        <v>#N/A</v>
      </c>
      <c r="AK177" s="161" t="e">
        <f t="shared" ca="1" si="72"/>
        <v>#N/A</v>
      </c>
      <c r="AL177" s="161">
        <f ca="1">IF(Y177&gt;(Preenchimento!$AA$90*12),0,Fixa!Y177)</f>
        <v>0</v>
      </c>
      <c r="AM177" s="161">
        <f t="shared" ca="1" si="80"/>
        <v>2</v>
      </c>
      <c r="AN177" s="199">
        <f ca="1">IF(AQ177&gt;Preenchimento!$AA$90*12,0,1)</f>
        <v>0</v>
      </c>
      <c r="AO177" s="161" t="e">
        <f ca="1">1/((1+SAC!$AD$29)^AL177)</f>
        <v>#N/A</v>
      </c>
      <c r="AP177" s="82" t="e">
        <f t="shared" ca="1" si="81"/>
        <v>#N/A</v>
      </c>
      <c r="AQ177" s="82">
        <v>152</v>
      </c>
      <c r="AS177" s="477">
        <f t="shared" ca="1" si="73"/>
        <v>0</v>
      </c>
    </row>
    <row r="178" spans="1:45" ht="12" customHeight="1">
      <c r="A178" s="53">
        <v>153</v>
      </c>
      <c r="B178" s="249">
        <f ca="1">DATE(IF(MONTH(B177)=12,YEAR(B177)+1,YEAR(B177)),IF(MONTH(B177)=12,1,MONTH(B177)+1),MIN(DAY(Condições!$C$109),IF(IF(MONTH(B177)=12,1,MONTH(B177)+1)=2,IF(MOD(IF(MONTH(B177)=12,YEAR(B177)+1,YEAR(B177)),4)=0,29,28),IF(OR(IF(MONTH(B177)=12,1,MONTH(B177)+1)=4,IF(MONTH(B177)=12,1,MONTH(B177)+1)=6,IF(MONTH(B177)=12,1,MONTH(B177)+1)=9,IF(MONTH(B177)=12,1,MONTH(B177)+1)=11),30,DAY($B$25)))))</f>
        <v>50845</v>
      </c>
      <c r="C178" s="250" t="str">
        <f t="shared" si="56"/>
        <v/>
      </c>
      <c r="D178" s="251" t="e">
        <f t="shared" si="57"/>
        <v>#N/A</v>
      </c>
      <c r="E178" s="251">
        <f t="shared" si="58"/>
        <v>0</v>
      </c>
      <c r="F178" s="251">
        <f t="shared" si="59"/>
        <v>0</v>
      </c>
      <c r="G178" s="251">
        <f t="shared" si="60"/>
        <v>0</v>
      </c>
      <c r="H178" s="251" t="e">
        <f t="shared" si="61"/>
        <v>#VALUE!</v>
      </c>
      <c r="I178" s="251">
        <f t="shared" si="62"/>
        <v>0</v>
      </c>
      <c r="J178" s="251">
        <f t="shared" si="74"/>
        <v>0</v>
      </c>
      <c r="K178" s="251">
        <f t="shared" si="63"/>
        <v>0</v>
      </c>
      <c r="L178" s="174"/>
      <c r="M178" s="224"/>
      <c r="N178" s="225">
        <f t="shared" si="64"/>
        <v>0</v>
      </c>
      <c r="O178" s="251" t="e">
        <f t="shared" si="65"/>
        <v>#N/A</v>
      </c>
      <c r="P178" s="251">
        <f t="shared" si="75"/>
        <v>0</v>
      </c>
      <c r="Q178" s="251">
        <f t="shared" si="66"/>
        <v>0</v>
      </c>
      <c r="R178" s="251">
        <f t="shared" si="67"/>
        <v>0</v>
      </c>
      <c r="S178" s="251" t="e">
        <f t="shared" si="68"/>
        <v>#VALUE!</v>
      </c>
      <c r="T178" s="251">
        <f t="shared" si="55"/>
        <v>0</v>
      </c>
      <c r="U178" s="252">
        <f>TRUNC(T178*Condições!$C$102,2)</f>
        <v>0</v>
      </c>
      <c r="V178" s="199">
        <f t="shared" si="76"/>
        <v>0</v>
      </c>
      <c r="W178" s="161" t="e">
        <f t="shared" si="69"/>
        <v>#N/A</v>
      </c>
      <c r="X178" s="161" t="e">
        <f t="shared" si="70"/>
        <v>#N/A</v>
      </c>
      <c r="Y178" s="161">
        <f t="shared" si="77"/>
        <v>153</v>
      </c>
      <c r="Z178" s="161">
        <f t="shared" ca="1" si="78"/>
        <v>3</v>
      </c>
      <c r="AG178" s="114">
        <f t="shared" si="79"/>
        <v>0</v>
      </c>
      <c r="AH178" s="113"/>
      <c r="AI178" s="199">
        <f ca="1">IF(AL178=0,0,IF(AL178&gt;Preenchimento!$AA$88*12,0,IF($AC$53=AM178,0,1)))</f>
        <v>0</v>
      </c>
      <c r="AJ178" s="161" t="e">
        <f t="shared" ca="1" si="71"/>
        <v>#N/A</v>
      </c>
      <c r="AK178" s="161" t="e">
        <f t="shared" ca="1" si="72"/>
        <v>#N/A</v>
      </c>
      <c r="AL178" s="161">
        <f ca="1">IF(Y178&gt;(Preenchimento!$AA$90*12),0,Fixa!Y178)</f>
        <v>0</v>
      </c>
      <c r="AM178" s="161">
        <f t="shared" ca="1" si="80"/>
        <v>3</v>
      </c>
      <c r="AN178" s="199">
        <f ca="1">IF(AQ178&gt;Preenchimento!$AA$90*12,0,1)</f>
        <v>0</v>
      </c>
      <c r="AO178" s="161" t="e">
        <f ca="1">1/((1+SAC!$AD$29)^AL178)</f>
        <v>#N/A</v>
      </c>
      <c r="AP178" s="82" t="e">
        <f t="shared" ca="1" si="81"/>
        <v>#N/A</v>
      </c>
      <c r="AQ178" s="82">
        <v>153</v>
      </c>
      <c r="AS178" s="477">
        <f t="shared" ca="1" si="73"/>
        <v>0</v>
      </c>
    </row>
    <row r="179" spans="1:45" ht="12" customHeight="1">
      <c r="A179" s="53">
        <v>154</v>
      </c>
      <c r="B179" s="249">
        <f ca="1">DATE(IF(MONTH(B178)=12,YEAR(B178)+1,YEAR(B178)),IF(MONTH(B178)=12,1,MONTH(B178)+1),MIN(DAY(Condições!$C$109),IF(IF(MONTH(B178)=12,1,MONTH(B178)+1)=2,IF(MOD(IF(MONTH(B178)=12,YEAR(B178)+1,YEAR(B178)),4)=0,29,28),IF(OR(IF(MONTH(B178)=12,1,MONTH(B178)+1)=4,IF(MONTH(B178)=12,1,MONTH(B178)+1)=6,IF(MONTH(B178)=12,1,MONTH(B178)+1)=9,IF(MONTH(B178)=12,1,MONTH(B178)+1)=11),30,DAY($B$25)))))</f>
        <v>50876</v>
      </c>
      <c r="C179" s="250" t="str">
        <f t="shared" si="56"/>
        <v/>
      </c>
      <c r="D179" s="251" t="e">
        <f t="shared" si="57"/>
        <v>#N/A</v>
      </c>
      <c r="E179" s="251">
        <f t="shared" si="58"/>
        <v>0</v>
      </c>
      <c r="F179" s="251">
        <f t="shared" si="59"/>
        <v>0</v>
      </c>
      <c r="G179" s="251">
        <f t="shared" si="60"/>
        <v>0</v>
      </c>
      <c r="H179" s="251" t="e">
        <f t="shared" si="61"/>
        <v>#VALUE!</v>
      </c>
      <c r="I179" s="251">
        <f t="shared" si="62"/>
        <v>0</v>
      </c>
      <c r="J179" s="251">
        <f t="shared" si="74"/>
        <v>0</v>
      </c>
      <c r="K179" s="251">
        <f t="shared" si="63"/>
        <v>0</v>
      </c>
      <c r="L179" s="174"/>
      <c r="M179" s="224"/>
      <c r="N179" s="225">
        <f t="shared" si="64"/>
        <v>0</v>
      </c>
      <c r="O179" s="251" t="e">
        <f t="shared" si="65"/>
        <v>#N/A</v>
      </c>
      <c r="P179" s="251">
        <f t="shared" si="75"/>
        <v>0</v>
      </c>
      <c r="Q179" s="251">
        <f t="shared" si="66"/>
        <v>0</v>
      </c>
      <c r="R179" s="251">
        <f t="shared" si="67"/>
        <v>0</v>
      </c>
      <c r="S179" s="251" t="e">
        <f t="shared" si="68"/>
        <v>#VALUE!</v>
      </c>
      <c r="T179" s="251">
        <f t="shared" si="55"/>
        <v>0</v>
      </c>
      <c r="U179" s="252">
        <f>TRUNC(T179*Condições!$C$102,2)</f>
        <v>0</v>
      </c>
      <c r="V179" s="199">
        <f t="shared" si="76"/>
        <v>0</v>
      </c>
      <c r="W179" s="161" t="e">
        <f t="shared" si="69"/>
        <v>#N/A</v>
      </c>
      <c r="X179" s="161" t="e">
        <f t="shared" si="70"/>
        <v>#N/A</v>
      </c>
      <c r="Y179" s="161">
        <f t="shared" si="77"/>
        <v>154</v>
      </c>
      <c r="Z179" s="161">
        <f t="shared" ca="1" si="78"/>
        <v>4</v>
      </c>
      <c r="AG179" s="114">
        <f t="shared" si="79"/>
        <v>0</v>
      </c>
      <c r="AH179" s="113"/>
      <c r="AI179" s="199">
        <f ca="1">IF(AL179=0,0,IF(AL179&gt;Preenchimento!$AA$88*12,0,IF($AC$53=AM179,0,1)))</f>
        <v>0</v>
      </c>
      <c r="AJ179" s="161" t="e">
        <f t="shared" ca="1" si="71"/>
        <v>#N/A</v>
      </c>
      <c r="AK179" s="161" t="e">
        <f t="shared" ca="1" si="72"/>
        <v>#N/A</v>
      </c>
      <c r="AL179" s="161">
        <f ca="1">IF(Y179&gt;(Preenchimento!$AA$90*12),0,Fixa!Y179)</f>
        <v>0</v>
      </c>
      <c r="AM179" s="161">
        <f t="shared" ca="1" si="80"/>
        <v>4</v>
      </c>
      <c r="AN179" s="199">
        <f ca="1">IF(AQ179&gt;Preenchimento!$AA$90*12,0,1)</f>
        <v>0</v>
      </c>
      <c r="AO179" s="161" t="e">
        <f ca="1">1/((1+SAC!$AD$29)^AL179)</f>
        <v>#N/A</v>
      </c>
      <c r="AP179" s="82" t="e">
        <f t="shared" ca="1" si="81"/>
        <v>#N/A</v>
      </c>
      <c r="AQ179" s="82">
        <v>154</v>
      </c>
      <c r="AS179" s="477">
        <f t="shared" ca="1" si="73"/>
        <v>0</v>
      </c>
    </row>
    <row r="180" spans="1:45" ht="12" customHeight="1">
      <c r="A180" s="53">
        <v>155</v>
      </c>
      <c r="B180" s="249">
        <f ca="1">DATE(IF(MONTH(B179)=12,YEAR(B179)+1,YEAR(B179)),IF(MONTH(B179)=12,1,MONTH(B179)+1),MIN(DAY(Condições!$C$109),IF(IF(MONTH(B179)=12,1,MONTH(B179)+1)=2,IF(MOD(IF(MONTH(B179)=12,YEAR(B179)+1,YEAR(B179)),4)=0,29,28),IF(OR(IF(MONTH(B179)=12,1,MONTH(B179)+1)=4,IF(MONTH(B179)=12,1,MONTH(B179)+1)=6,IF(MONTH(B179)=12,1,MONTH(B179)+1)=9,IF(MONTH(B179)=12,1,MONTH(B179)+1)=11),30,DAY($B$25)))))</f>
        <v>50906</v>
      </c>
      <c r="C180" s="250" t="str">
        <f t="shared" si="56"/>
        <v/>
      </c>
      <c r="D180" s="251" t="e">
        <f t="shared" si="57"/>
        <v>#N/A</v>
      </c>
      <c r="E180" s="251">
        <f t="shared" si="58"/>
        <v>0</v>
      </c>
      <c r="F180" s="251">
        <f t="shared" si="59"/>
        <v>0</v>
      </c>
      <c r="G180" s="251">
        <f t="shared" si="60"/>
        <v>0</v>
      </c>
      <c r="H180" s="251" t="e">
        <f t="shared" si="61"/>
        <v>#VALUE!</v>
      </c>
      <c r="I180" s="251">
        <f t="shared" si="62"/>
        <v>0</v>
      </c>
      <c r="J180" s="251">
        <f t="shared" si="74"/>
        <v>0</v>
      </c>
      <c r="K180" s="251">
        <f t="shared" si="63"/>
        <v>0</v>
      </c>
      <c r="L180" s="174"/>
      <c r="M180" s="224"/>
      <c r="N180" s="225">
        <f t="shared" si="64"/>
        <v>0</v>
      </c>
      <c r="O180" s="251" t="e">
        <f t="shared" si="65"/>
        <v>#N/A</v>
      </c>
      <c r="P180" s="251">
        <f t="shared" si="75"/>
        <v>0</v>
      </c>
      <c r="Q180" s="251">
        <f t="shared" si="66"/>
        <v>0</v>
      </c>
      <c r="R180" s="251">
        <f t="shared" si="67"/>
        <v>0</v>
      </c>
      <c r="S180" s="251" t="e">
        <f t="shared" si="68"/>
        <v>#VALUE!</v>
      </c>
      <c r="T180" s="251">
        <f t="shared" si="55"/>
        <v>0</v>
      </c>
      <c r="U180" s="252">
        <f>TRUNC(T180*Condições!$C$102,2)</f>
        <v>0</v>
      </c>
      <c r="V180" s="199">
        <f t="shared" si="76"/>
        <v>0</v>
      </c>
      <c r="W180" s="161" t="e">
        <f t="shared" si="69"/>
        <v>#N/A</v>
      </c>
      <c r="X180" s="161" t="e">
        <f t="shared" si="70"/>
        <v>#N/A</v>
      </c>
      <c r="Y180" s="161">
        <f t="shared" si="77"/>
        <v>155</v>
      </c>
      <c r="Z180" s="161">
        <f t="shared" ca="1" si="78"/>
        <v>5</v>
      </c>
      <c r="AG180" s="114">
        <f t="shared" si="79"/>
        <v>0</v>
      </c>
      <c r="AH180" s="113"/>
      <c r="AI180" s="199">
        <f ca="1">IF(AL180=0,0,IF(AL180&gt;Preenchimento!$AA$88*12,0,IF($AC$53=AM180,0,1)))</f>
        <v>0</v>
      </c>
      <c r="AJ180" s="161" t="e">
        <f t="shared" ca="1" si="71"/>
        <v>#N/A</v>
      </c>
      <c r="AK180" s="161" t="e">
        <f t="shared" ca="1" si="72"/>
        <v>#N/A</v>
      </c>
      <c r="AL180" s="161">
        <f ca="1">IF(Y180&gt;(Preenchimento!$AA$90*12),0,Fixa!Y180)</f>
        <v>0</v>
      </c>
      <c r="AM180" s="161">
        <f t="shared" ca="1" si="80"/>
        <v>5</v>
      </c>
      <c r="AN180" s="199">
        <f ca="1">IF(AQ180&gt;Preenchimento!$AA$90*12,0,1)</f>
        <v>0</v>
      </c>
      <c r="AO180" s="161" t="e">
        <f ca="1">1/((1+SAC!$AD$29)^AL180)</f>
        <v>#N/A</v>
      </c>
      <c r="AP180" s="82" t="e">
        <f t="shared" ca="1" si="81"/>
        <v>#N/A</v>
      </c>
      <c r="AQ180" s="82">
        <v>155</v>
      </c>
      <c r="AS180" s="477">
        <f t="shared" ca="1" si="73"/>
        <v>0</v>
      </c>
    </row>
    <row r="181" spans="1:45" ht="12" customHeight="1">
      <c r="A181" s="53">
        <v>156</v>
      </c>
      <c r="B181" s="249">
        <f ca="1">DATE(IF(MONTH(B180)=12,YEAR(B180)+1,YEAR(B180)),IF(MONTH(B180)=12,1,MONTH(B180)+1),MIN(DAY(Condições!$C$109),IF(IF(MONTH(B180)=12,1,MONTH(B180)+1)=2,IF(MOD(IF(MONTH(B180)=12,YEAR(B180)+1,YEAR(B180)),4)=0,29,28),IF(OR(IF(MONTH(B180)=12,1,MONTH(B180)+1)=4,IF(MONTH(B180)=12,1,MONTH(B180)+1)=6,IF(MONTH(B180)=12,1,MONTH(B180)+1)=9,IF(MONTH(B180)=12,1,MONTH(B180)+1)=11),30,DAY($B$25)))))</f>
        <v>50937</v>
      </c>
      <c r="C181" s="250" t="str">
        <f t="shared" si="56"/>
        <v/>
      </c>
      <c r="D181" s="251" t="e">
        <f t="shared" si="57"/>
        <v>#N/A</v>
      </c>
      <c r="E181" s="251">
        <f t="shared" si="58"/>
        <v>0</v>
      </c>
      <c r="F181" s="251">
        <f t="shared" si="59"/>
        <v>0</v>
      </c>
      <c r="G181" s="251">
        <f t="shared" si="60"/>
        <v>0</v>
      </c>
      <c r="H181" s="251" t="e">
        <f t="shared" si="61"/>
        <v>#VALUE!</v>
      </c>
      <c r="I181" s="251">
        <f t="shared" si="62"/>
        <v>0</v>
      </c>
      <c r="J181" s="251">
        <f t="shared" si="74"/>
        <v>0</v>
      </c>
      <c r="K181" s="251">
        <f t="shared" si="63"/>
        <v>0</v>
      </c>
      <c r="L181" s="174"/>
      <c r="M181" s="224"/>
      <c r="N181" s="225">
        <f t="shared" si="64"/>
        <v>0</v>
      </c>
      <c r="O181" s="251" t="e">
        <f t="shared" si="65"/>
        <v>#N/A</v>
      </c>
      <c r="P181" s="251">
        <f t="shared" si="75"/>
        <v>0</v>
      </c>
      <c r="Q181" s="251">
        <f t="shared" si="66"/>
        <v>0</v>
      </c>
      <c r="R181" s="251">
        <f t="shared" si="67"/>
        <v>0</v>
      </c>
      <c r="S181" s="251" t="e">
        <f t="shared" si="68"/>
        <v>#VALUE!</v>
      </c>
      <c r="T181" s="251">
        <f t="shared" si="55"/>
        <v>0</v>
      </c>
      <c r="U181" s="252">
        <f>TRUNC(T181*Condições!$C$102,2)</f>
        <v>0</v>
      </c>
      <c r="V181" s="199">
        <f t="shared" si="76"/>
        <v>0</v>
      </c>
      <c r="W181" s="161" t="e">
        <f t="shared" si="69"/>
        <v>#N/A</v>
      </c>
      <c r="X181" s="161" t="e">
        <f t="shared" si="70"/>
        <v>#N/A</v>
      </c>
      <c r="Y181" s="161">
        <f t="shared" si="77"/>
        <v>156</v>
      </c>
      <c r="Z181" s="161">
        <f t="shared" ca="1" si="78"/>
        <v>6</v>
      </c>
      <c r="AG181" s="114">
        <f t="shared" si="79"/>
        <v>0</v>
      </c>
      <c r="AH181" s="113"/>
      <c r="AI181" s="199">
        <f ca="1">IF(AL181=0,0,IF(AL181&gt;Preenchimento!$AA$88*12,0,IF($AC$53=AM181,0,1)))</f>
        <v>0</v>
      </c>
      <c r="AJ181" s="161" t="e">
        <f t="shared" ca="1" si="71"/>
        <v>#N/A</v>
      </c>
      <c r="AK181" s="161" t="e">
        <f t="shared" ca="1" si="72"/>
        <v>#N/A</v>
      </c>
      <c r="AL181" s="161">
        <f ca="1">IF(Y181&gt;(Preenchimento!$AA$90*12),0,Fixa!Y181)</f>
        <v>0</v>
      </c>
      <c r="AM181" s="161">
        <f t="shared" ca="1" si="80"/>
        <v>6</v>
      </c>
      <c r="AN181" s="199">
        <f ca="1">IF(AQ181&gt;Preenchimento!$AA$90*12,0,1)</f>
        <v>0</v>
      </c>
      <c r="AO181" s="161" t="e">
        <f ca="1">1/((1+SAC!$AD$29)^AL181)</f>
        <v>#N/A</v>
      </c>
      <c r="AP181" s="82" t="e">
        <f t="shared" ca="1" si="81"/>
        <v>#N/A</v>
      </c>
      <c r="AQ181" s="82">
        <v>156</v>
      </c>
      <c r="AS181" s="477">
        <f t="shared" ca="1" si="73"/>
        <v>0</v>
      </c>
    </row>
    <row r="182" spans="1:45" ht="12" customHeight="1">
      <c r="A182" s="53">
        <v>157</v>
      </c>
      <c r="B182" s="249">
        <f ca="1">DATE(IF(MONTH(B181)=12,YEAR(B181)+1,YEAR(B181)),IF(MONTH(B181)=12,1,MONTH(B181)+1),MIN(DAY(Condições!$C$109),IF(IF(MONTH(B181)=12,1,MONTH(B181)+1)=2,IF(MOD(IF(MONTH(B181)=12,YEAR(B181)+1,YEAR(B181)),4)=0,29,28),IF(OR(IF(MONTH(B181)=12,1,MONTH(B181)+1)=4,IF(MONTH(B181)=12,1,MONTH(B181)+1)=6,IF(MONTH(B181)=12,1,MONTH(B181)+1)=9,IF(MONTH(B181)=12,1,MONTH(B181)+1)=11),30,DAY($B$25)))))</f>
        <v>50967</v>
      </c>
      <c r="C182" s="250" t="str">
        <f t="shared" si="56"/>
        <v/>
      </c>
      <c r="D182" s="251" t="e">
        <f t="shared" si="57"/>
        <v>#N/A</v>
      </c>
      <c r="E182" s="251">
        <f t="shared" si="58"/>
        <v>0</v>
      </c>
      <c r="F182" s="251">
        <f t="shared" si="59"/>
        <v>0</v>
      </c>
      <c r="G182" s="251">
        <f t="shared" si="60"/>
        <v>0</v>
      </c>
      <c r="H182" s="251" t="e">
        <f t="shared" si="61"/>
        <v>#VALUE!</v>
      </c>
      <c r="I182" s="251">
        <f t="shared" si="62"/>
        <v>0</v>
      </c>
      <c r="J182" s="251">
        <f t="shared" si="74"/>
        <v>0</v>
      </c>
      <c r="K182" s="251">
        <f t="shared" si="63"/>
        <v>0</v>
      </c>
      <c r="L182" s="174"/>
      <c r="M182" s="224"/>
      <c r="N182" s="225">
        <f t="shared" si="64"/>
        <v>0</v>
      </c>
      <c r="O182" s="251" t="e">
        <f t="shared" si="65"/>
        <v>#N/A</v>
      </c>
      <c r="P182" s="251">
        <f t="shared" si="75"/>
        <v>0</v>
      </c>
      <c r="Q182" s="251">
        <f t="shared" si="66"/>
        <v>0</v>
      </c>
      <c r="R182" s="251">
        <f t="shared" si="67"/>
        <v>0</v>
      </c>
      <c r="S182" s="251" t="e">
        <f t="shared" si="68"/>
        <v>#VALUE!</v>
      </c>
      <c r="T182" s="251">
        <f t="shared" si="55"/>
        <v>0</v>
      </c>
      <c r="U182" s="252">
        <f>TRUNC(T182*Condições!$C$102,2)</f>
        <v>0</v>
      </c>
      <c r="V182" s="199">
        <f t="shared" si="76"/>
        <v>0</v>
      </c>
      <c r="W182" s="161" t="e">
        <f t="shared" si="69"/>
        <v>#N/A</v>
      </c>
      <c r="X182" s="161" t="e">
        <f t="shared" si="70"/>
        <v>#N/A</v>
      </c>
      <c r="Y182" s="161">
        <f t="shared" si="77"/>
        <v>157</v>
      </c>
      <c r="Z182" s="161">
        <f t="shared" ca="1" si="78"/>
        <v>7</v>
      </c>
      <c r="AG182" s="114">
        <f t="shared" si="79"/>
        <v>0</v>
      </c>
      <c r="AH182" s="113"/>
      <c r="AI182" s="199">
        <f ca="1">IF(AL182=0,0,IF(AL182&gt;Preenchimento!$AA$88*12,0,IF($AC$53=AM182,0,1)))</f>
        <v>0</v>
      </c>
      <c r="AJ182" s="161" t="e">
        <f t="shared" ca="1" si="71"/>
        <v>#N/A</v>
      </c>
      <c r="AK182" s="161" t="e">
        <f t="shared" ca="1" si="72"/>
        <v>#N/A</v>
      </c>
      <c r="AL182" s="161">
        <f ca="1">IF(Y182&gt;(Preenchimento!$AA$90*12),0,Fixa!Y182)</f>
        <v>0</v>
      </c>
      <c r="AM182" s="161">
        <f t="shared" ca="1" si="80"/>
        <v>7</v>
      </c>
      <c r="AN182" s="199">
        <f ca="1">IF(AQ182&gt;Preenchimento!$AA$90*12,0,1)</f>
        <v>0</v>
      </c>
      <c r="AO182" s="161" t="e">
        <f ca="1">1/((1+SAC!$AD$29)^AL182)</f>
        <v>#N/A</v>
      </c>
      <c r="AP182" s="82" t="e">
        <f t="shared" ca="1" si="81"/>
        <v>#N/A</v>
      </c>
      <c r="AQ182" s="82">
        <v>157</v>
      </c>
      <c r="AS182" s="477">
        <f t="shared" ca="1" si="73"/>
        <v>0</v>
      </c>
    </row>
    <row r="183" spans="1:45" ht="12" customHeight="1">
      <c r="A183" s="53">
        <v>158</v>
      </c>
      <c r="B183" s="249">
        <f ca="1">DATE(IF(MONTH(B182)=12,YEAR(B182)+1,YEAR(B182)),IF(MONTH(B182)=12,1,MONTH(B182)+1),MIN(DAY(Condições!$C$109),IF(IF(MONTH(B182)=12,1,MONTH(B182)+1)=2,IF(MOD(IF(MONTH(B182)=12,YEAR(B182)+1,YEAR(B182)),4)=0,29,28),IF(OR(IF(MONTH(B182)=12,1,MONTH(B182)+1)=4,IF(MONTH(B182)=12,1,MONTH(B182)+1)=6,IF(MONTH(B182)=12,1,MONTH(B182)+1)=9,IF(MONTH(B182)=12,1,MONTH(B182)+1)=11),30,DAY($B$25)))))</f>
        <v>50998</v>
      </c>
      <c r="C183" s="250" t="str">
        <f t="shared" si="56"/>
        <v/>
      </c>
      <c r="D183" s="251" t="e">
        <f t="shared" si="57"/>
        <v>#N/A</v>
      </c>
      <c r="E183" s="251">
        <f t="shared" si="58"/>
        <v>0</v>
      </c>
      <c r="F183" s="251">
        <f t="shared" si="59"/>
        <v>0</v>
      </c>
      <c r="G183" s="251">
        <f t="shared" si="60"/>
        <v>0</v>
      </c>
      <c r="H183" s="251" t="e">
        <f t="shared" si="61"/>
        <v>#VALUE!</v>
      </c>
      <c r="I183" s="251">
        <f t="shared" si="62"/>
        <v>0</v>
      </c>
      <c r="J183" s="251">
        <f t="shared" si="74"/>
        <v>0</v>
      </c>
      <c r="K183" s="251">
        <f t="shared" si="63"/>
        <v>0</v>
      </c>
      <c r="L183" s="174"/>
      <c r="M183" s="224"/>
      <c r="N183" s="225">
        <f t="shared" si="64"/>
        <v>0</v>
      </c>
      <c r="O183" s="251" t="e">
        <f t="shared" si="65"/>
        <v>#N/A</v>
      </c>
      <c r="P183" s="251">
        <f t="shared" si="75"/>
        <v>0</v>
      </c>
      <c r="Q183" s="251">
        <f t="shared" si="66"/>
        <v>0</v>
      </c>
      <c r="R183" s="251">
        <f t="shared" si="67"/>
        <v>0</v>
      </c>
      <c r="S183" s="251" t="e">
        <f t="shared" si="68"/>
        <v>#VALUE!</v>
      </c>
      <c r="T183" s="251">
        <f t="shared" si="55"/>
        <v>0</v>
      </c>
      <c r="U183" s="252">
        <f>TRUNC(T183*Condições!$C$102,2)</f>
        <v>0</v>
      </c>
      <c r="V183" s="199">
        <f t="shared" si="76"/>
        <v>0</v>
      </c>
      <c r="W183" s="161" t="e">
        <f t="shared" si="69"/>
        <v>#N/A</v>
      </c>
      <c r="X183" s="161" t="e">
        <f t="shared" si="70"/>
        <v>#N/A</v>
      </c>
      <c r="Y183" s="161">
        <f t="shared" si="77"/>
        <v>158</v>
      </c>
      <c r="Z183" s="161">
        <f t="shared" ca="1" si="78"/>
        <v>8</v>
      </c>
      <c r="AG183" s="114">
        <f t="shared" si="79"/>
        <v>0</v>
      </c>
      <c r="AH183" s="113"/>
      <c r="AI183" s="199">
        <f ca="1">IF(AL183=0,0,IF(AL183&gt;Preenchimento!$AA$88*12,0,IF($AC$53=AM183,0,1)))</f>
        <v>0</v>
      </c>
      <c r="AJ183" s="161" t="e">
        <f t="shared" ca="1" si="71"/>
        <v>#N/A</v>
      </c>
      <c r="AK183" s="161" t="e">
        <f t="shared" ca="1" si="72"/>
        <v>#N/A</v>
      </c>
      <c r="AL183" s="161">
        <f ca="1">IF(Y183&gt;(Preenchimento!$AA$90*12),0,Fixa!Y183)</f>
        <v>0</v>
      </c>
      <c r="AM183" s="161">
        <f t="shared" ca="1" si="80"/>
        <v>8</v>
      </c>
      <c r="AN183" s="199">
        <f ca="1">IF(AQ183&gt;Preenchimento!$AA$90*12,0,1)</f>
        <v>0</v>
      </c>
      <c r="AO183" s="161" t="e">
        <f ca="1">1/((1+SAC!$AD$29)^AL183)</f>
        <v>#N/A</v>
      </c>
      <c r="AP183" s="82" t="e">
        <f t="shared" ca="1" si="81"/>
        <v>#N/A</v>
      </c>
      <c r="AQ183" s="82">
        <v>158</v>
      </c>
      <c r="AS183" s="477">
        <f t="shared" ca="1" si="73"/>
        <v>0</v>
      </c>
    </row>
    <row r="184" spans="1:45" ht="12" customHeight="1">
      <c r="A184" s="53">
        <v>159</v>
      </c>
      <c r="B184" s="249">
        <f ca="1">DATE(IF(MONTH(B183)=12,YEAR(B183)+1,YEAR(B183)),IF(MONTH(B183)=12,1,MONTH(B183)+1),MIN(DAY(Condições!$C$109),IF(IF(MONTH(B183)=12,1,MONTH(B183)+1)=2,IF(MOD(IF(MONTH(B183)=12,YEAR(B183)+1,YEAR(B183)),4)=0,29,28),IF(OR(IF(MONTH(B183)=12,1,MONTH(B183)+1)=4,IF(MONTH(B183)=12,1,MONTH(B183)+1)=6,IF(MONTH(B183)=12,1,MONTH(B183)+1)=9,IF(MONTH(B183)=12,1,MONTH(B183)+1)=11),30,DAY($B$25)))))</f>
        <v>51029</v>
      </c>
      <c r="C184" s="250" t="str">
        <f t="shared" si="56"/>
        <v/>
      </c>
      <c r="D184" s="251" t="e">
        <f t="shared" si="57"/>
        <v>#N/A</v>
      </c>
      <c r="E184" s="251">
        <f t="shared" si="58"/>
        <v>0</v>
      </c>
      <c r="F184" s="251">
        <f t="shared" si="59"/>
        <v>0</v>
      </c>
      <c r="G184" s="251">
        <f t="shared" si="60"/>
        <v>0</v>
      </c>
      <c r="H184" s="251" t="e">
        <f t="shared" si="61"/>
        <v>#VALUE!</v>
      </c>
      <c r="I184" s="251">
        <f t="shared" si="62"/>
        <v>0</v>
      </c>
      <c r="J184" s="251">
        <f t="shared" si="74"/>
        <v>0</v>
      </c>
      <c r="K184" s="251">
        <f t="shared" si="63"/>
        <v>0</v>
      </c>
      <c r="L184" s="174"/>
      <c r="M184" s="224"/>
      <c r="N184" s="225">
        <f t="shared" si="64"/>
        <v>0</v>
      </c>
      <c r="O184" s="251" t="e">
        <f t="shared" si="65"/>
        <v>#N/A</v>
      </c>
      <c r="P184" s="251">
        <f t="shared" si="75"/>
        <v>0</v>
      </c>
      <c r="Q184" s="251">
        <f t="shared" si="66"/>
        <v>0</v>
      </c>
      <c r="R184" s="251">
        <f t="shared" si="67"/>
        <v>0</v>
      </c>
      <c r="S184" s="251" t="e">
        <f t="shared" si="68"/>
        <v>#VALUE!</v>
      </c>
      <c r="T184" s="251">
        <f t="shared" si="55"/>
        <v>0</v>
      </c>
      <c r="U184" s="252">
        <f>TRUNC(T184*Condições!$C$102,2)</f>
        <v>0</v>
      </c>
      <c r="V184" s="199">
        <f t="shared" si="76"/>
        <v>0</v>
      </c>
      <c r="W184" s="161" t="e">
        <f t="shared" si="69"/>
        <v>#N/A</v>
      </c>
      <c r="X184" s="161" t="e">
        <f t="shared" si="70"/>
        <v>#N/A</v>
      </c>
      <c r="Y184" s="161">
        <f t="shared" si="77"/>
        <v>159</v>
      </c>
      <c r="Z184" s="161">
        <f t="shared" ca="1" si="78"/>
        <v>9</v>
      </c>
      <c r="AG184" s="114">
        <f t="shared" si="79"/>
        <v>0</v>
      </c>
      <c r="AH184" s="113"/>
      <c r="AI184" s="199">
        <f ca="1">IF(AL184=0,0,IF(AL184&gt;Preenchimento!$AA$88*12,0,IF($AC$53=AM184,0,1)))</f>
        <v>0</v>
      </c>
      <c r="AJ184" s="161" t="e">
        <f t="shared" ca="1" si="71"/>
        <v>#N/A</v>
      </c>
      <c r="AK184" s="161" t="e">
        <f t="shared" ca="1" si="72"/>
        <v>#N/A</v>
      </c>
      <c r="AL184" s="161">
        <f ca="1">IF(Y184&gt;(Preenchimento!$AA$90*12),0,Fixa!Y184)</f>
        <v>0</v>
      </c>
      <c r="AM184" s="161">
        <f t="shared" ca="1" si="80"/>
        <v>9</v>
      </c>
      <c r="AN184" s="199">
        <f ca="1">IF(AQ184&gt;Preenchimento!$AA$90*12,0,1)</f>
        <v>0</v>
      </c>
      <c r="AO184" s="161" t="e">
        <f ca="1">1/((1+SAC!$AD$29)^AL184)</f>
        <v>#N/A</v>
      </c>
      <c r="AP184" s="82" t="e">
        <f t="shared" ca="1" si="81"/>
        <v>#N/A</v>
      </c>
      <c r="AQ184" s="82">
        <v>159</v>
      </c>
      <c r="AS184" s="477">
        <f t="shared" ca="1" si="73"/>
        <v>0</v>
      </c>
    </row>
    <row r="185" spans="1:45" ht="12" customHeight="1">
      <c r="A185" s="53">
        <v>160</v>
      </c>
      <c r="B185" s="249">
        <f ca="1">DATE(IF(MONTH(B184)=12,YEAR(B184)+1,YEAR(B184)),IF(MONTH(B184)=12,1,MONTH(B184)+1),MIN(DAY(Condições!$C$109),IF(IF(MONTH(B184)=12,1,MONTH(B184)+1)=2,IF(MOD(IF(MONTH(B184)=12,YEAR(B184)+1,YEAR(B184)),4)=0,29,28),IF(OR(IF(MONTH(B184)=12,1,MONTH(B184)+1)=4,IF(MONTH(B184)=12,1,MONTH(B184)+1)=6,IF(MONTH(B184)=12,1,MONTH(B184)+1)=9,IF(MONTH(B184)=12,1,MONTH(B184)+1)=11),30,DAY($B$25)))))</f>
        <v>51059</v>
      </c>
      <c r="C185" s="250" t="str">
        <f t="shared" si="56"/>
        <v/>
      </c>
      <c r="D185" s="251" t="e">
        <f t="shared" si="57"/>
        <v>#N/A</v>
      </c>
      <c r="E185" s="251">
        <f t="shared" si="58"/>
        <v>0</v>
      </c>
      <c r="F185" s="251">
        <f t="shared" si="59"/>
        <v>0</v>
      </c>
      <c r="G185" s="251">
        <f t="shared" si="60"/>
        <v>0</v>
      </c>
      <c r="H185" s="251" t="e">
        <f t="shared" si="61"/>
        <v>#VALUE!</v>
      </c>
      <c r="I185" s="251">
        <f t="shared" si="62"/>
        <v>0</v>
      </c>
      <c r="J185" s="251">
        <f t="shared" si="74"/>
        <v>0</v>
      </c>
      <c r="K185" s="251">
        <f t="shared" si="63"/>
        <v>0</v>
      </c>
      <c r="L185" s="174"/>
      <c r="M185" s="224"/>
      <c r="N185" s="225">
        <f t="shared" si="64"/>
        <v>0</v>
      </c>
      <c r="O185" s="251" t="e">
        <f t="shared" si="65"/>
        <v>#N/A</v>
      </c>
      <c r="P185" s="251">
        <f t="shared" si="75"/>
        <v>0</v>
      </c>
      <c r="Q185" s="251">
        <f t="shared" si="66"/>
        <v>0</v>
      </c>
      <c r="R185" s="251">
        <f t="shared" si="67"/>
        <v>0</v>
      </c>
      <c r="S185" s="251" t="e">
        <f t="shared" si="68"/>
        <v>#VALUE!</v>
      </c>
      <c r="T185" s="251">
        <f t="shared" si="55"/>
        <v>0</v>
      </c>
      <c r="U185" s="252">
        <f>TRUNC(T185*Condições!$C$102,2)</f>
        <v>0</v>
      </c>
      <c r="V185" s="199">
        <f t="shared" si="76"/>
        <v>0</v>
      </c>
      <c r="W185" s="161" t="e">
        <f t="shared" si="69"/>
        <v>#N/A</v>
      </c>
      <c r="X185" s="161" t="e">
        <f t="shared" si="70"/>
        <v>#N/A</v>
      </c>
      <c r="Y185" s="161">
        <f t="shared" si="77"/>
        <v>160</v>
      </c>
      <c r="Z185" s="161">
        <f t="shared" ca="1" si="78"/>
        <v>10</v>
      </c>
      <c r="AG185" s="114">
        <f t="shared" si="79"/>
        <v>0</v>
      </c>
      <c r="AH185" s="113"/>
      <c r="AI185" s="199">
        <f ca="1">IF(AL185=0,0,IF(AL185&gt;Preenchimento!$AA$88*12,0,IF($AC$53=AM185,0,1)))</f>
        <v>0</v>
      </c>
      <c r="AJ185" s="161" t="e">
        <f t="shared" ca="1" si="71"/>
        <v>#N/A</v>
      </c>
      <c r="AK185" s="161" t="e">
        <f t="shared" ca="1" si="72"/>
        <v>#N/A</v>
      </c>
      <c r="AL185" s="161">
        <f ca="1">IF(Y185&gt;(Preenchimento!$AA$90*12),0,Fixa!Y185)</f>
        <v>0</v>
      </c>
      <c r="AM185" s="161">
        <f t="shared" ca="1" si="80"/>
        <v>10</v>
      </c>
      <c r="AN185" s="199">
        <f ca="1">IF(AQ185&gt;Preenchimento!$AA$90*12,0,1)</f>
        <v>0</v>
      </c>
      <c r="AO185" s="161" t="e">
        <f ca="1">1/((1+SAC!$AD$29)^AL185)</f>
        <v>#N/A</v>
      </c>
      <c r="AP185" s="82" t="e">
        <f t="shared" ca="1" si="81"/>
        <v>#N/A</v>
      </c>
      <c r="AQ185" s="82">
        <v>160</v>
      </c>
      <c r="AS185" s="477">
        <f t="shared" ca="1" si="73"/>
        <v>0</v>
      </c>
    </row>
    <row r="186" spans="1:45" ht="12" customHeight="1">
      <c r="A186" s="53">
        <v>161</v>
      </c>
      <c r="B186" s="249">
        <f ca="1">DATE(IF(MONTH(B185)=12,YEAR(B185)+1,YEAR(B185)),IF(MONTH(B185)=12,1,MONTH(B185)+1),MIN(DAY(Condições!$C$109),IF(IF(MONTH(B185)=12,1,MONTH(B185)+1)=2,IF(MOD(IF(MONTH(B185)=12,YEAR(B185)+1,YEAR(B185)),4)=0,29,28),IF(OR(IF(MONTH(B185)=12,1,MONTH(B185)+1)=4,IF(MONTH(B185)=12,1,MONTH(B185)+1)=6,IF(MONTH(B185)=12,1,MONTH(B185)+1)=9,IF(MONTH(B185)=12,1,MONTH(B185)+1)=11),30,DAY($B$25)))))</f>
        <v>51090</v>
      </c>
      <c r="C186" s="250" t="str">
        <f t="shared" si="56"/>
        <v/>
      </c>
      <c r="D186" s="251" t="e">
        <f t="shared" si="57"/>
        <v>#N/A</v>
      </c>
      <c r="E186" s="251">
        <f t="shared" si="58"/>
        <v>0</v>
      </c>
      <c r="F186" s="251">
        <f t="shared" si="59"/>
        <v>0</v>
      </c>
      <c r="G186" s="251">
        <f t="shared" si="60"/>
        <v>0</v>
      </c>
      <c r="H186" s="251" t="e">
        <f t="shared" si="61"/>
        <v>#VALUE!</v>
      </c>
      <c r="I186" s="251">
        <f t="shared" si="62"/>
        <v>0</v>
      </c>
      <c r="J186" s="251">
        <f t="shared" si="74"/>
        <v>0</v>
      </c>
      <c r="K186" s="251">
        <f t="shared" si="63"/>
        <v>0</v>
      </c>
      <c r="L186" s="174"/>
      <c r="M186" s="224"/>
      <c r="N186" s="225">
        <f t="shared" si="64"/>
        <v>0</v>
      </c>
      <c r="O186" s="251" t="e">
        <f t="shared" si="65"/>
        <v>#N/A</v>
      </c>
      <c r="P186" s="251">
        <f t="shared" si="75"/>
        <v>0</v>
      </c>
      <c r="Q186" s="251">
        <f t="shared" si="66"/>
        <v>0</v>
      </c>
      <c r="R186" s="251">
        <f t="shared" si="67"/>
        <v>0</v>
      </c>
      <c r="S186" s="251" t="e">
        <f t="shared" si="68"/>
        <v>#VALUE!</v>
      </c>
      <c r="T186" s="251">
        <f t="shared" si="55"/>
        <v>0</v>
      </c>
      <c r="U186" s="252">
        <f>TRUNC(T186*Condições!$C$102,2)</f>
        <v>0</v>
      </c>
      <c r="V186" s="199">
        <f t="shared" si="76"/>
        <v>0</v>
      </c>
      <c r="W186" s="161" t="e">
        <f t="shared" si="69"/>
        <v>#N/A</v>
      </c>
      <c r="X186" s="161" t="e">
        <f t="shared" si="70"/>
        <v>#N/A</v>
      </c>
      <c r="Y186" s="161">
        <f t="shared" si="77"/>
        <v>161</v>
      </c>
      <c r="Z186" s="161">
        <f t="shared" ca="1" si="78"/>
        <v>11</v>
      </c>
      <c r="AG186" s="114">
        <f t="shared" si="79"/>
        <v>0</v>
      </c>
      <c r="AH186" s="113"/>
      <c r="AI186" s="199">
        <f ca="1">IF(AL186=0,0,IF(AL186&gt;Preenchimento!$AA$88*12,0,IF($AC$53=AM186,0,1)))</f>
        <v>0</v>
      </c>
      <c r="AJ186" s="161" t="e">
        <f t="shared" ca="1" si="71"/>
        <v>#N/A</v>
      </c>
      <c r="AK186" s="161" t="e">
        <f t="shared" ca="1" si="72"/>
        <v>#N/A</v>
      </c>
      <c r="AL186" s="161">
        <f ca="1">IF(Y186&gt;(Preenchimento!$AA$90*12),0,Fixa!Y186)</f>
        <v>0</v>
      </c>
      <c r="AM186" s="161">
        <f t="shared" ca="1" si="80"/>
        <v>11</v>
      </c>
      <c r="AN186" s="199">
        <f ca="1">IF(AQ186&gt;Preenchimento!$AA$90*12,0,1)</f>
        <v>0</v>
      </c>
      <c r="AO186" s="161" t="e">
        <f ca="1">1/((1+SAC!$AD$29)^AL186)</f>
        <v>#N/A</v>
      </c>
      <c r="AP186" s="82" t="e">
        <f t="shared" ca="1" si="81"/>
        <v>#N/A</v>
      </c>
      <c r="AQ186" s="82">
        <v>161</v>
      </c>
      <c r="AS186" s="477">
        <f t="shared" ca="1" si="73"/>
        <v>0</v>
      </c>
    </row>
    <row r="187" spans="1:45" ht="12" customHeight="1">
      <c r="A187" s="53">
        <v>162</v>
      </c>
      <c r="B187" s="249">
        <f ca="1">DATE(IF(MONTH(B186)=12,YEAR(B186)+1,YEAR(B186)),IF(MONTH(B186)=12,1,MONTH(B186)+1),MIN(DAY(Condições!$C$109),IF(IF(MONTH(B186)=12,1,MONTH(B186)+1)=2,IF(MOD(IF(MONTH(B186)=12,YEAR(B186)+1,YEAR(B186)),4)=0,29,28),IF(OR(IF(MONTH(B186)=12,1,MONTH(B186)+1)=4,IF(MONTH(B186)=12,1,MONTH(B186)+1)=6,IF(MONTH(B186)=12,1,MONTH(B186)+1)=9,IF(MONTH(B186)=12,1,MONTH(B186)+1)=11),30,DAY($B$25)))))</f>
        <v>51120</v>
      </c>
      <c r="C187" s="250" t="str">
        <f t="shared" si="56"/>
        <v/>
      </c>
      <c r="D187" s="251" t="e">
        <f t="shared" si="57"/>
        <v>#N/A</v>
      </c>
      <c r="E187" s="251">
        <f t="shared" si="58"/>
        <v>0</v>
      </c>
      <c r="F187" s="251">
        <f t="shared" si="59"/>
        <v>0</v>
      </c>
      <c r="G187" s="251">
        <f t="shared" si="60"/>
        <v>0</v>
      </c>
      <c r="H187" s="251" t="e">
        <f t="shared" si="61"/>
        <v>#VALUE!</v>
      </c>
      <c r="I187" s="251">
        <f t="shared" si="62"/>
        <v>0</v>
      </c>
      <c r="J187" s="251">
        <f t="shared" si="74"/>
        <v>0</v>
      </c>
      <c r="K187" s="251">
        <f t="shared" si="63"/>
        <v>0</v>
      </c>
      <c r="L187" s="174"/>
      <c r="M187" s="224"/>
      <c r="N187" s="225">
        <f t="shared" si="64"/>
        <v>0</v>
      </c>
      <c r="O187" s="251" t="e">
        <f t="shared" si="65"/>
        <v>#N/A</v>
      </c>
      <c r="P187" s="251">
        <f t="shared" si="75"/>
        <v>0</v>
      </c>
      <c r="Q187" s="251">
        <f t="shared" si="66"/>
        <v>0</v>
      </c>
      <c r="R187" s="251">
        <f t="shared" si="67"/>
        <v>0</v>
      </c>
      <c r="S187" s="251" t="e">
        <f t="shared" si="68"/>
        <v>#VALUE!</v>
      </c>
      <c r="T187" s="251">
        <f t="shared" si="55"/>
        <v>0</v>
      </c>
      <c r="U187" s="252">
        <f>TRUNC(T187*Condições!$C$102,2)</f>
        <v>0</v>
      </c>
      <c r="V187" s="199">
        <f t="shared" si="76"/>
        <v>0</v>
      </c>
      <c r="W187" s="161" t="e">
        <f t="shared" si="69"/>
        <v>#N/A</v>
      </c>
      <c r="X187" s="161" t="e">
        <f t="shared" si="70"/>
        <v>#N/A</v>
      </c>
      <c r="Y187" s="161">
        <f t="shared" si="77"/>
        <v>162</v>
      </c>
      <c r="Z187" s="161">
        <f t="shared" ca="1" si="78"/>
        <v>12</v>
      </c>
      <c r="AG187" s="114">
        <f t="shared" si="79"/>
        <v>0</v>
      </c>
      <c r="AH187" s="113"/>
      <c r="AI187" s="199">
        <f ca="1">IF(AL187=0,0,IF(AL187&gt;Preenchimento!$AA$88*12,0,IF($AC$53=AM187,0,1)))</f>
        <v>0</v>
      </c>
      <c r="AJ187" s="161" t="e">
        <f t="shared" ca="1" si="71"/>
        <v>#N/A</v>
      </c>
      <c r="AK187" s="161" t="e">
        <f t="shared" ca="1" si="72"/>
        <v>#N/A</v>
      </c>
      <c r="AL187" s="161">
        <f ca="1">IF(Y187&gt;(Preenchimento!$AA$90*12),0,Fixa!Y187)</f>
        <v>0</v>
      </c>
      <c r="AM187" s="161">
        <f t="shared" ca="1" si="80"/>
        <v>12</v>
      </c>
      <c r="AN187" s="199">
        <f ca="1">IF(AQ187&gt;Preenchimento!$AA$90*12,0,1)</f>
        <v>0</v>
      </c>
      <c r="AO187" s="161" t="e">
        <f ca="1">1/((1+SAC!$AD$29)^AL187)</f>
        <v>#N/A</v>
      </c>
      <c r="AP187" s="82" t="e">
        <f t="shared" ca="1" si="81"/>
        <v>#N/A</v>
      </c>
      <c r="AQ187" s="82">
        <v>162</v>
      </c>
      <c r="AS187" s="477">
        <f t="shared" ca="1" si="73"/>
        <v>0</v>
      </c>
    </row>
    <row r="188" spans="1:45" ht="12" customHeight="1">
      <c r="A188" s="53">
        <v>163</v>
      </c>
      <c r="B188" s="249">
        <f ca="1">DATE(IF(MONTH(B187)=12,YEAR(B187)+1,YEAR(B187)),IF(MONTH(B187)=12,1,MONTH(B187)+1),MIN(DAY(Condições!$C$109),IF(IF(MONTH(B187)=12,1,MONTH(B187)+1)=2,IF(MOD(IF(MONTH(B187)=12,YEAR(B187)+1,YEAR(B187)),4)=0,29,28),IF(OR(IF(MONTH(B187)=12,1,MONTH(B187)+1)=4,IF(MONTH(B187)=12,1,MONTH(B187)+1)=6,IF(MONTH(B187)=12,1,MONTH(B187)+1)=9,IF(MONTH(B187)=12,1,MONTH(B187)+1)=11),30,DAY($B$25)))))</f>
        <v>51151</v>
      </c>
      <c r="C188" s="250" t="str">
        <f t="shared" si="56"/>
        <v/>
      </c>
      <c r="D188" s="251" t="e">
        <f t="shared" si="57"/>
        <v>#N/A</v>
      </c>
      <c r="E188" s="251">
        <f t="shared" si="58"/>
        <v>0</v>
      </c>
      <c r="F188" s="251">
        <f t="shared" si="59"/>
        <v>0</v>
      </c>
      <c r="G188" s="251">
        <f t="shared" si="60"/>
        <v>0</v>
      </c>
      <c r="H188" s="251" t="e">
        <f t="shared" si="61"/>
        <v>#VALUE!</v>
      </c>
      <c r="I188" s="251">
        <f t="shared" si="62"/>
        <v>0</v>
      </c>
      <c r="J188" s="251">
        <f t="shared" si="74"/>
        <v>0</v>
      </c>
      <c r="K188" s="251">
        <f t="shared" si="63"/>
        <v>0</v>
      </c>
      <c r="L188" s="174"/>
      <c r="M188" s="224"/>
      <c r="N188" s="225">
        <f t="shared" si="64"/>
        <v>0</v>
      </c>
      <c r="O188" s="251" t="e">
        <f t="shared" si="65"/>
        <v>#N/A</v>
      </c>
      <c r="P188" s="251">
        <f t="shared" si="75"/>
        <v>0</v>
      </c>
      <c r="Q188" s="251">
        <f t="shared" si="66"/>
        <v>0</v>
      </c>
      <c r="R188" s="251">
        <f t="shared" si="67"/>
        <v>0</v>
      </c>
      <c r="S188" s="251" t="e">
        <f t="shared" si="68"/>
        <v>#VALUE!</v>
      </c>
      <c r="T188" s="251">
        <f t="shared" si="55"/>
        <v>0</v>
      </c>
      <c r="U188" s="252">
        <f>TRUNC(T188*Condições!$C$102,2)</f>
        <v>0</v>
      </c>
      <c r="V188" s="199">
        <f t="shared" si="76"/>
        <v>0</v>
      </c>
      <c r="W188" s="161" t="e">
        <f t="shared" si="69"/>
        <v>#N/A</v>
      </c>
      <c r="X188" s="161" t="e">
        <f t="shared" si="70"/>
        <v>#N/A</v>
      </c>
      <c r="Y188" s="161">
        <f t="shared" si="77"/>
        <v>163</v>
      </c>
      <c r="Z188" s="161">
        <f t="shared" ca="1" si="78"/>
        <v>1</v>
      </c>
      <c r="AG188" s="114">
        <f t="shared" si="79"/>
        <v>0</v>
      </c>
      <c r="AH188" s="113"/>
      <c r="AI188" s="199">
        <f ca="1">IF(AL188=0,0,IF(AL188&gt;Preenchimento!$AA$88*12,0,IF($AC$53=AM188,0,1)))</f>
        <v>0</v>
      </c>
      <c r="AJ188" s="161" t="e">
        <f t="shared" ca="1" si="71"/>
        <v>#N/A</v>
      </c>
      <c r="AK188" s="161" t="e">
        <f t="shared" ca="1" si="72"/>
        <v>#N/A</v>
      </c>
      <c r="AL188" s="161">
        <f ca="1">IF(Y188&gt;(Preenchimento!$AA$90*12),0,Fixa!Y188)</f>
        <v>0</v>
      </c>
      <c r="AM188" s="161">
        <f t="shared" ca="1" si="80"/>
        <v>1</v>
      </c>
      <c r="AN188" s="199">
        <f ca="1">IF(AQ188&gt;Preenchimento!$AA$90*12,0,1)</f>
        <v>0</v>
      </c>
      <c r="AO188" s="161" t="e">
        <f ca="1">1/((1+SAC!$AD$29)^AL188)</f>
        <v>#N/A</v>
      </c>
      <c r="AP188" s="82" t="e">
        <f t="shared" ca="1" si="81"/>
        <v>#N/A</v>
      </c>
      <c r="AQ188" s="82">
        <v>163</v>
      </c>
      <c r="AS188" s="477">
        <f t="shared" ca="1" si="73"/>
        <v>0</v>
      </c>
    </row>
    <row r="189" spans="1:45" ht="12" customHeight="1">
      <c r="A189" s="53">
        <v>164</v>
      </c>
      <c r="B189" s="249">
        <f ca="1">DATE(IF(MONTH(B188)=12,YEAR(B188)+1,YEAR(B188)),IF(MONTH(B188)=12,1,MONTH(B188)+1),MIN(DAY(Condições!$C$109),IF(IF(MONTH(B188)=12,1,MONTH(B188)+1)=2,IF(MOD(IF(MONTH(B188)=12,YEAR(B188)+1,YEAR(B188)),4)=0,29,28),IF(OR(IF(MONTH(B188)=12,1,MONTH(B188)+1)=4,IF(MONTH(B188)=12,1,MONTH(B188)+1)=6,IF(MONTH(B188)=12,1,MONTH(B188)+1)=9,IF(MONTH(B188)=12,1,MONTH(B188)+1)=11),30,DAY($B$25)))))</f>
        <v>51182</v>
      </c>
      <c r="C189" s="250" t="str">
        <f t="shared" si="56"/>
        <v/>
      </c>
      <c r="D189" s="251" t="e">
        <f t="shared" si="57"/>
        <v>#N/A</v>
      </c>
      <c r="E189" s="251">
        <f t="shared" si="58"/>
        <v>0</v>
      </c>
      <c r="F189" s="251">
        <f t="shared" si="59"/>
        <v>0</v>
      </c>
      <c r="G189" s="251">
        <f t="shared" si="60"/>
        <v>0</v>
      </c>
      <c r="H189" s="251" t="e">
        <f t="shared" si="61"/>
        <v>#VALUE!</v>
      </c>
      <c r="I189" s="251">
        <f t="shared" si="62"/>
        <v>0</v>
      </c>
      <c r="J189" s="251">
        <f t="shared" si="74"/>
        <v>0</v>
      </c>
      <c r="K189" s="251">
        <f t="shared" si="63"/>
        <v>0</v>
      </c>
      <c r="L189" s="174"/>
      <c r="M189" s="224"/>
      <c r="N189" s="225">
        <f t="shared" si="64"/>
        <v>0</v>
      </c>
      <c r="O189" s="251" t="e">
        <f t="shared" si="65"/>
        <v>#N/A</v>
      </c>
      <c r="P189" s="251">
        <f t="shared" si="75"/>
        <v>0</v>
      </c>
      <c r="Q189" s="251">
        <f t="shared" si="66"/>
        <v>0</v>
      </c>
      <c r="R189" s="251">
        <f t="shared" si="67"/>
        <v>0</v>
      </c>
      <c r="S189" s="251" t="e">
        <f t="shared" si="68"/>
        <v>#VALUE!</v>
      </c>
      <c r="T189" s="251">
        <f t="shared" si="55"/>
        <v>0</v>
      </c>
      <c r="U189" s="252">
        <f>TRUNC(T189*Condições!$C$102,2)</f>
        <v>0</v>
      </c>
      <c r="V189" s="199">
        <f t="shared" si="76"/>
        <v>0</v>
      </c>
      <c r="W189" s="161" t="e">
        <f t="shared" si="69"/>
        <v>#N/A</v>
      </c>
      <c r="X189" s="161" t="e">
        <f t="shared" si="70"/>
        <v>#N/A</v>
      </c>
      <c r="Y189" s="161">
        <f t="shared" si="77"/>
        <v>164</v>
      </c>
      <c r="Z189" s="161">
        <f t="shared" ca="1" si="78"/>
        <v>2</v>
      </c>
      <c r="AG189" s="114">
        <f t="shared" si="79"/>
        <v>0</v>
      </c>
      <c r="AH189" s="113"/>
      <c r="AI189" s="199">
        <f ca="1">IF(AL189=0,0,IF(AL189&gt;Preenchimento!$AA$88*12,0,IF($AC$53=AM189,0,1)))</f>
        <v>0</v>
      </c>
      <c r="AJ189" s="161" t="e">
        <f t="shared" ca="1" si="71"/>
        <v>#N/A</v>
      </c>
      <c r="AK189" s="161" t="e">
        <f t="shared" ca="1" si="72"/>
        <v>#N/A</v>
      </c>
      <c r="AL189" s="161">
        <f ca="1">IF(Y189&gt;(Preenchimento!$AA$90*12),0,Fixa!Y189)</f>
        <v>0</v>
      </c>
      <c r="AM189" s="161">
        <f t="shared" ca="1" si="80"/>
        <v>2</v>
      </c>
      <c r="AN189" s="199">
        <f ca="1">IF(AQ189&gt;Preenchimento!$AA$90*12,0,1)</f>
        <v>0</v>
      </c>
      <c r="AO189" s="161" t="e">
        <f ca="1">1/((1+SAC!$AD$29)^AL189)</f>
        <v>#N/A</v>
      </c>
      <c r="AP189" s="82" t="e">
        <f t="shared" ca="1" si="81"/>
        <v>#N/A</v>
      </c>
      <c r="AQ189" s="82">
        <v>164</v>
      </c>
      <c r="AS189" s="477">
        <f t="shared" ca="1" si="73"/>
        <v>0</v>
      </c>
    </row>
    <row r="190" spans="1:45" ht="12" customHeight="1">
      <c r="A190" s="53">
        <v>165</v>
      </c>
      <c r="B190" s="249">
        <f ca="1">DATE(IF(MONTH(B189)=12,YEAR(B189)+1,YEAR(B189)),IF(MONTH(B189)=12,1,MONTH(B189)+1),MIN(DAY(Condições!$C$109),IF(IF(MONTH(B189)=12,1,MONTH(B189)+1)=2,IF(MOD(IF(MONTH(B189)=12,YEAR(B189)+1,YEAR(B189)),4)=0,29,28),IF(OR(IF(MONTH(B189)=12,1,MONTH(B189)+1)=4,IF(MONTH(B189)=12,1,MONTH(B189)+1)=6,IF(MONTH(B189)=12,1,MONTH(B189)+1)=9,IF(MONTH(B189)=12,1,MONTH(B189)+1)=11),30,DAY($B$25)))))</f>
        <v>51211</v>
      </c>
      <c r="C190" s="250" t="str">
        <f t="shared" si="56"/>
        <v/>
      </c>
      <c r="D190" s="251" t="e">
        <f t="shared" si="57"/>
        <v>#N/A</v>
      </c>
      <c r="E190" s="251">
        <f t="shared" si="58"/>
        <v>0</v>
      </c>
      <c r="F190" s="251">
        <f t="shared" si="59"/>
        <v>0</v>
      </c>
      <c r="G190" s="251">
        <f t="shared" si="60"/>
        <v>0</v>
      </c>
      <c r="H190" s="251" t="e">
        <f t="shared" si="61"/>
        <v>#VALUE!</v>
      </c>
      <c r="I190" s="251">
        <f t="shared" si="62"/>
        <v>0</v>
      </c>
      <c r="J190" s="251">
        <f t="shared" si="74"/>
        <v>0</v>
      </c>
      <c r="K190" s="251">
        <f t="shared" si="63"/>
        <v>0</v>
      </c>
      <c r="L190" s="174"/>
      <c r="M190" s="224"/>
      <c r="N190" s="225">
        <f t="shared" si="64"/>
        <v>0</v>
      </c>
      <c r="O190" s="251" t="e">
        <f t="shared" si="65"/>
        <v>#N/A</v>
      </c>
      <c r="P190" s="251">
        <f t="shared" si="75"/>
        <v>0</v>
      </c>
      <c r="Q190" s="251">
        <f t="shared" si="66"/>
        <v>0</v>
      </c>
      <c r="R190" s="251">
        <f t="shared" si="67"/>
        <v>0</v>
      </c>
      <c r="S190" s="251" t="e">
        <f t="shared" si="68"/>
        <v>#VALUE!</v>
      </c>
      <c r="T190" s="251">
        <f t="shared" si="55"/>
        <v>0</v>
      </c>
      <c r="U190" s="252">
        <f>TRUNC(T190*Condições!$C$102,2)</f>
        <v>0</v>
      </c>
      <c r="V190" s="199">
        <f t="shared" si="76"/>
        <v>0</v>
      </c>
      <c r="W190" s="161" t="e">
        <f t="shared" si="69"/>
        <v>#N/A</v>
      </c>
      <c r="X190" s="161" t="e">
        <f t="shared" si="70"/>
        <v>#N/A</v>
      </c>
      <c r="Y190" s="161">
        <f t="shared" si="77"/>
        <v>165</v>
      </c>
      <c r="Z190" s="161">
        <f t="shared" ca="1" si="78"/>
        <v>3</v>
      </c>
      <c r="AG190" s="114">
        <f t="shared" si="79"/>
        <v>0</v>
      </c>
      <c r="AH190" s="113"/>
      <c r="AI190" s="199">
        <f ca="1">IF(AL190=0,0,IF(AL190&gt;Preenchimento!$AA$88*12,0,IF($AC$53=AM190,0,1)))</f>
        <v>0</v>
      </c>
      <c r="AJ190" s="161" t="e">
        <f t="shared" ca="1" si="71"/>
        <v>#N/A</v>
      </c>
      <c r="AK190" s="161" t="e">
        <f t="shared" ca="1" si="72"/>
        <v>#N/A</v>
      </c>
      <c r="AL190" s="161">
        <f ca="1">IF(Y190&gt;(Preenchimento!$AA$90*12),0,Fixa!Y190)</f>
        <v>0</v>
      </c>
      <c r="AM190" s="161">
        <f t="shared" ca="1" si="80"/>
        <v>3</v>
      </c>
      <c r="AN190" s="199">
        <f ca="1">IF(AQ190&gt;Preenchimento!$AA$90*12,0,1)</f>
        <v>0</v>
      </c>
      <c r="AO190" s="161" t="e">
        <f ca="1">1/((1+SAC!$AD$29)^AL190)</f>
        <v>#N/A</v>
      </c>
      <c r="AP190" s="82" t="e">
        <f t="shared" ca="1" si="81"/>
        <v>#N/A</v>
      </c>
      <c r="AQ190" s="82">
        <v>165</v>
      </c>
      <c r="AS190" s="477">
        <f t="shared" ca="1" si="73"/>
        <v>0</v>
      </c>
    </row>
    <row r="191" spans="1:45" ht="12" customHeight="1">
      <c r="A191" s="53">
        <v>166</v>
      </c>
      <c r="B191" s="249">
        <f ca="1">DATE(IF(MONTH(B190)=12,YEAR(B190)+1,YEAR(B190)),IF(MONTH(B190)=12,1,MONTH(B190)+1),MIN(DAY(Condições!$C$109),IF(IF(MONTH(B190)=12,1,MONTH(B190)+1)=2,IF(MOD(IF(MONTH(B190)=12,YEAR(B190)+1,YEAR(B190)),4)=0,29,28),IF(OR(IF(MONTH(B190)=12,1,MONTH(B190)+1)=4,IF(MONTH(B190)=12,1,MONTH(B190)+1)=6,IF(MONTH(B190)=12,1,MONTH(B190)+1)=9,IF(MONTH(B190)=12,1,MONTH(B190)+1)=11),30,DAY($B$25)))))</f>
        <v>51242</v>
      </c>
      <c r="C191" s="250" t="str">
        <f t="shared" si="56"/>
        <v/>
      </c>
      <c r="D191" s="251" t="e">
        <f t="shared" si="57"/>
        <v>#N/A</v>
      </c>
      <c r="E191" s="251">
        <f t="shared" si="58"/>
        <v>0</v>
      </c>
      <c r="F191" s="251">
        <f t="shared" si="59"/>
        <v>0</v>
      </c>
      <c r="G191" s="251">
        <f t="shared" si="60"/>
        <v>0</v>
      </c>
      <c r="H191" s="251" t="e">
        <f t="shared" si="61"/>
        <v>#VALUE!</v>
      </c>
      <c r="I191" s="251">
        <f t="shared" si="62"/>
        <v>0</v>
      </c>
      <c r="J191" s="251">
        <f t="shared" si="74"/>
        <v>0</v>
      </c>
      <c r="K191" s="251">
        <f t="shared" si="63"/>
        <v>0</v>
      </c>
      <c r="L191" s="174"/>
      <c r="M191" s="224"/>
      <c r="N191" s="225">
        <f t="shared" si="64"/>
        <v>0</v>
      </c>
      <c r="O191" s="251" t="e">
        <f t="shared" si="65"/>
        <v>#N/A</v>
      </c>
      <c r="P191" s="251">
        <f t="shared" si="75"/>
        <v>0</v>
      </c>
      <c r="Q191" s="251">
        <f t="shared" si="66"/>
        <v>0</v>
      </c>
      <c r="R191" s="251">
        <f t="shared" si="67"/>
        <v>0</v>
      </c>
      <c r="S191" s="251" t="e">
        <f t="shared" si="68"/>
        <v>#VALUE!</v>
      </c>
      <c r="T191" s="251">
        <f t="shared" si="55"/>
        <v>0</v>
      </c>
      <c r="U191" s="252">
        <f>TRUNC(T191*Condições!$C$102,2)</f>
        <v>0</v>
      </c>
      <c r="V191" s="199">
        <f t="shared" si="76"/>
        <v>0</v>
      </c>
      <c r="W191" s="161" t="e">
        <f t="shared" si="69"/>
        <v>#N/A</v>
      </c>
      <c r="X191" s="161" t="e">
        <f t="shared" si="70"/>
        <v>#N/A</v>
      </c>
      <c r="Y191" s="161">
        <f t="shared" si="77"/>
        <v>166</v>
      </c>
      <c r="Z191" s="161">
        <f t="shared" ca="1" si="78"/>
        <v>4</v>
      </c>
      <c r="AG191" s="114">
        <f t="shared" si="79"/>
        <v>0</v>
      </c>
      <c r="AH191" s="113"/>
      <c r="AI191" s="199">
        <f ca="1">IF(AL191=0,0,IF(AL191&gt;Preenchimento!$AA$88*12,0,IF($AC$53=AM191,0,1)))</f>
        <v>0</v>
      </c>
      <c r="AJ191" s="161" t="e">
        <f t="shared" ca="1" si="71"/>
        <v>#N/A</v>
      </c>
      <c r="AK191" s="161" t="e">
        <f t="shared" ca="1" si="72"/>
        <v>#N/A</v>
      </c>
      <c r="AL191" s="161">
        <f ca="1">IF(Y191&gt;(Preenchimento!$AA$90*12),0,Fixa!Y191)</f>
        <v>0</v>
      </c>
      <c r="AM191" s="161">
        <f t="shared" ca="1" si="80"/>
        <v>4</v>
      </c>
      <c r="AN191" s="199">
        <f ca="1">IF(AQ191&gt;Preenchimento!$AA$90*12,0,1)</f>
        <v>0</v>
      </c>
      <c r="AO191" s="161" t="e">
        <f ca="1">1/((1+SAC!$AD$29)^AL191)</f>
        <v>#N/A</v>
      </c>
      <c r="AP191" s="82" t="e">
        <f t="shared" ca="1" si="81"/>
        <v>#N/A</v>
      </c>
      <c r="AQ191" s="82">
        <v>166</v>
      </c>
      <c r="AS191" s="477">
        <f t="shared" ca="1" si="73"/>
        <v>0</v>
      </c>
    </row>
    <row r="192" spans="1:45" ht="12" customHeight="1">
      <c r="A192" s="53">
        <v>167</v>
      </c>
      <c r="B192" s="249">
        <f ca="1">DATE(IF(MONTH(B191)=12,YEAR(B191)+1,YEAR(B191)),IF(MONTH(B191)=12,1,MONTH(B191)+1),MIN(DAY(Condições!$C$109),IF(IF(MONTH(B191)=12,1,MONTH(B191)+1)=2,IF(MOD(IF(MONTH(B191)=12,YEAR(B191)+1,YEAR(B191)),4)=0,29,28),IF(OR(IF(MONTH(B191)=12,1,MONTH(B191)+1)=4,IF(MONTH(B191)=12,1,MONTH(B191)+1)=6,IF(MONTH(B191)=12,1,MONTH(B191)+1)=9,IF(MONTH(B191)=12,1,MONTH(B191)+1)=11),30,DAY($B$25)))))</f>
        <v>51272</v>
      </c>
      <c r="C192" s="250" t="str">
        <f t="shared" si="56"/>
        <v/>
      </c>
      <c r="D192" s="251" t="e">
        <f t="shared" si="57"/>
        <v>#N/A</v>
      </c>
      <c r="E192" s="251">
        <f t="shared" si="58"/>
        <v>0</v>
      </c>
      <c r="F192" s="251">
        <f t="shared" si="59"/>
        <v>0</v>
      </c>
      <c r="G192" s="251">
        <f t="shared" si="60"/>
        <v>0</v>
      </c>
      <c r="H192" s="251" t="e">
        <f t="shared" si="61"/>
        <v>#VALUE!</v>
      </c>
      <c r="I192" s="251">
        <f t="shared" si="62"/>
        <v>0</v>
      </c>
      <c r="J192" s="251">
        <f t="shared" si="74"/>
        <v>0</v>
      </c>
      <c r="K192" s="251">
        <f t="shared" si="63"/>
        <v>0</v>
      </c>
      <c r="L192" s="174"/>
      <c r="M192" s="224"/>
      <c r="N192" s="225">
        <f t="shared" si="64"/>
        <v>0</v>
      </c>
      <c r="O192" s="251" t="e">
        <f t="shared" si="65"/>
        <v>#N/A</v>
      </c>
      <c r="P192" s="251">
        <f t="shared" si="75"/>
        <v>0</v>
      </c>
      <c r="Q192" s="251">
        <f t="shared" si="66"/>
        <v>0</v>
      </c>
      <c r="R192" s="251">
        <f t="shared" si="67"/>
        <v>0</v>
      </c>
      <c r="S192" s="251" t="e">
        <f t="shared" si="68"/>
        <v>#VALUE!</v>
      </c>
      <c r="T192" s="251">
        <f t="shared" si="55"/>
        <v>0</v>
      </c>
      <c r="U192" s="252">
        <f>TRUNC(T192*Condições!$C$102,2)</f>
        <v>0</v>
      </c>
      <c r="V192" s="199">
        <f t="shared" si="76"/>
        <v>0</v>
      </c>
      <c r="W192" s="161" t="e">
        <f t="shared" si="69"/>
        <v>#N/A</v>
      </c>
      <c r="X192" s="161" t="e">
        <f t="shared" si="70"/>
        <v>#N/A</v>
      </c>
      <c r="Y192" s="161">
        <f t="shared" si="77"/>
        <v>167</v>
      </c>
      <c r="Z192" s="161">
        <f t="shared" ca="1" si="78"/>
        <v>5</v>
      </c>
      <c r="AG192" s="114">
        <f t="shared" si="79"/>
        <v>0</v>
      </c>
      <c r="AH192" s="113"/>
      <c r="AI192" s="199">
        <f ca="1">IF(AL192=0,0,IF(AL192&gt;Preenchimento!$AA$88*12,0,IF($AC$53=AM192,0,1)))</f>
        <v>0</v>
      </c>
      <c r="AJ192" s="161" t="e">
        <f t="shared" ca="1" si="71"/>
        <v>#N/A</v>
      </c>
      <c r="AK192" s="161" t="e">
        <f t="shared" ca="1" si="72"/>
        <v>#N/A</v>
      </c>
      <c r="AL192" s="161">
        <f ca="1">IF(Y192&gt;(Preenchimento!$AA$90*12),0,Fixa!Y192)</f>
        <v>0</v>
      </c>
      <c r="AM192" s="161">
        <f t="shared" ca="1" si="80"/>
        <v>5</v>
      </c>
      <c r="AN192" s="199">
        <f ca="1">IF(AQ192&gt;Preenchimento!$AA$90*12,0,1)</f>
        <v>0</v>
      </c>
      <c r="AO192" s="161" t="e">
        <f ca="1">1/((1+SAC!$AD$29)^AL192)</f>
        <v>#N/A</v>
      </c>
      <c r="AP192" s="82" t="e">
        <f t="shared" ca="1" si="81"/>
        <v>#N/A</v>
      </c>
      <c r="AQ192" s="82">
        <v>167</v>
      </c>
      <c r="AS192" s="477">
        <f t="shared" ca="1" si="73"/>
        <v>0</v>
      </c>
    </row>
    <row r="193" spans="1:45" ht="12" customHeight="1">
      <c r="A193" s="53">
        <v>168</v>
      </c>
      <c r="B193" s="249">
        <f ca="1">DATE(IF(MONTH(B192)=12,YEAR(B192)+1,YEAR(B192)),IF(MONTH(B192)=12,1,MONTH(B192)+1),MIN(DAY(Condições!$C$109),IF(IF(MONTH(B192)=12,1,MONTH(B192)+1)=2,IF(MOD(IF(MONTH(B192)=12,YEAR(B192)+1,YEAR(B192)),4)=0,29,28),IF(OR(IF(MONTH(B192)=12,1,MONTH(B192)+1)=4,IF(MONTH(B192)=12,1,MONTH(B192)+1)=6,IF(MONTH(B192)=12,1,MONTH(B192)+1)=9,IF(MONTH(B192)=12,1,MONTH(B192)+1)=11),30,DAY($B$25)))))</f>
        <v>51303</v>
      </c>
      <c r="C193" s="250" t="str">
        <f t="shared" si="56"/>
        <v/>
      </c>
      <c r="D193" s="251" t="e">
        <f t="shared" si="57"/>
        <v>#N/A</v>
      </c>
      <c r="E193" s="251">
        <f t="shared" si="58"/>
        <v>0</v>
      </c>
      <c r="F193" s="251">
        <f t="shared" si="59"/>
        <v>0</v>
      </c>
      <c r="G193" s="251">
        <f t="shared" si="60"/>
        <v>0</v>
      </c>
      <c r="H193" s="251" t="e">
        <f t="shared" si="61"/>
        <v>#VALUE!</v>
      </c>
      <c r="I193" s="251">
        <f t="shared" si="62"/>
        <v>0</v>
      </c>
      <c r="J193" s="251">
        <f t="shared" si="74"/>
        <v>0</v>
      </c>
      <c r="K193" s="251">
        <f t="shared" si="63"/>
        <v>0</v>
      </c>
      <c r="L193" s="174"/>
      <c r="M193" s="224"/>
      <c r="N193" s="225">
        <f t="shared" si="64"/>
        <v>0</v>
      </c>
      <c r="O193" s="251" t="e">
        <f t="shared" si="65"/>
        <v>#N/A</v>
      </c>
      <c r="P193" s="251">
        <f t="shared" si="75"/>
        <v>0</v>
      </c>
      <c r="Q193" s="251">
        <f t="shared" si="66"/>
        <v>0</v>
      </c>
      <c r="R193" s="251">
        <f t="shared" si="67"/>
        <v>0</v>
      </c>
      <c r="S193" s="251" t="e">
        <f t="shared" si="68"/>
        <v>#VALUE!</v>
      </c>
      <c r="T193" s="251">
        <f t="shared" si="55"/>
        <v>0</v>
      </c>
      <c r="U193" s="252">
        <f>TRUNC(T193*Condições!$C$102,2)</f>
        <v>0</v>
      </c>
      <c r="V193" s="199">
        <f t="shared" si="76"/>
        <v>0</v>
      </c>
      <c r="W193" s="161" t="e">
        <f t="shared" si="69"/>
        <v>#N/A</v>
      </c>
      <c r="X193" s="161" t="e">
        <f t="shared" si="70"/>
        <v>#N/A</v>
      </c>
      <c r="Y193" s="161">
        <f t="shared" si="77"/>
        <v>168</v>
      </c>
      <c r="Z193" s="161">
        <f t="shared" ca="1" si="78"/>
        <v>6</v>
      </c>
      <c r="AG193" s="114">
        <f t="shared" si="79"/>
        <v>0</v>
      </c>
      <c r="AH193" s="113"/>
      <c r="AI193" s="199">
        <f ca="1">IF(AL193=0,0,IF(AL193&gt;Preenchimento!$AA$88*12,0,IF($AC$53=AM193,0,1)))</f>
        <v>0</v>
      </c>
      <c r="AJ193" s="161" t="e">
        <f t="shared" ca="1" si="71"/>
        <v>#N/A</v>
      </c>
      <c r="AK193" s="161" t="e">
        <f t="shared" ca="1" si="72"/>
        <v>#N/A</v>
      </c>
      <c r="AL193" s="161">
        <f ca="1">IF(Y193&gt;(Preenchimento!$AA$90*12),0,Fixa!Y193)</f>
        <v>0</v>
      </c>
      <c r="AM193" s="161">
        <f t="shared" ca="1" si="80"/>
        <v>6</v>
      </c>
      <c r="AN193" s="199">
        <f ca="1">IF(AQ193&gt;Preenchimento!$AA$90*12,0,1)</f>
        <v>0</v>
      </c>
      <c r="AO193" s="161" t="e">
        <f ca="1">1/((1+SAC!$AD$29)^AL193)</f>
        <v>#N/A</v>
      </c>
      <c r="AP193" s="82" t="e">
        <f t="shared" ca="1" si="81"/>
        <v>#N/A</v>
      </c>
      <c r="AQ193" s="82">
        <v>168</v>
      </c>
      <c r="AS193" s="477">
        <f t="shared" ca="1" si="73"/>
        <v>0</v>
      </c>
    </row>
    <row r="194" spans="1:45" ht="12" customHeight="1">
      <c r="A194" s="53">
        <v>169</v>
      </c>
      <c r="B194" s="249">
        <f ca="1">DATE(IF(MONTH(B193)=12,YEAR(B193)+1,YEAR(B193)),IF(MONTH(B193)=12,1,MONTH(B193)+1),MIN(DAY(Condições!$C$109),IF(IF(MONTH(B193)=12,1,MONTH(B193)+1)=2,IF(MOD(IF(MONTH(B193)=12,YEAR(B193)+1,YEAR(B193)),4)=0,29,28),IF(OR(IF(MONTH(B193)=12,1,MONTH(B193)+1)=4,IF(MONTH(B193)=12,1,MONTH(B193)+1)=6,IF(MONTH(B193)=12,1,MONTH(B193)+1)=9,IF(MONTH(B193)=12,1,MONTH(B193)+1)=11),30,DAY($B$25)))))</f>
        <v>51333</v>
      </c>
      <c r="C194" s="250" t="str">
        <f t="shared" si="56"/>
        <v/>
      </c>
      <c r="D194" s="251" t="e">
        <f t="shared" si="57"/>
        <v>#N/A</v>
      </c>
      <c r="E194" s="251">
        <f t="shared" si="58"/>
        <v>0</v>
      </c>
      <c r="F194" s="251">
        <f t="shared" si="59"/>
        <v>0</v>
      </c>
      <c r="G194" s="251">
        <f t="shared" si="60"/>
        <v>0</v>
      </c>
      <c r="H194" s="251" t="e">
        <f t="shared" si="61"/>
        <v>#VALUE!</v>
      </c>
      <c r="I194" s="251">
        <f t="shared" si="62"/>
        <v>0</v>
      </c>
      <c r="J194" s="251">
        <f t="shared" si="74"/>
        <v>0</v>
      </c>
      <c r="K194" s="251">
        <f t="shared" si="63"/>
        <v>0</v>
      </c>
      <c r="L194" s="174"/>
      <c r="M194" s="224"/>
      <c r="N194" s="225">
        <f t="shared" si="64"/>
        <v>0</v>
      </c>
      <c r="O194" s="251" t="e">
        <f t="shared" si="65"/>
        <v>#N/A</v>
      </c>
      <c r="P194" s="251">
        <f t="shared" si="75"/>
        <v>0</v>
      </c>
      <c r="Q194" s="251">
        <f t="shared" si="66"/>
        <v>0</v>
      </c>
      <c r="R194" s="251">
        <f t="shared" si="67"/>
        <v>0</v>
      </c>
      <c r="S194" s="251" t="e">
        <f t="shared" si="68"/>
        <v>#VALUE!</v>
      </c>
      <c r="T194" s="251">
        <f t="shared" si="55"/>
        <v>0</v>
      </c>
      <c r="U194" s="252">
        <f>TRUNC(T194*Condições!$C$102,2)</f>
        <v>0</v>
      </c>
      <c r="V194" s="199">
        <f t="shared" si="76"/>
        <v>0</v>
      </c>
      <c r="W194" s="161" t="e">
        <f t="shared" si="69"/>
        <v>#N/A</v>
      </c>
      <c r="X194" s="161" t="e">
        <f t="shared" si="70"/>
        <v>#N/A</v>
      </c>
      <c r="Y194" s="161">
        <f t="shared" si="77"/>
        <v>169</v>
      </c>
      <c r="Z194" s="161">
        <f t="shared" ca="1" si="78"/>
        <v>7</v>
      </c>
      <c r="AG194" s="114">
        <f t="shared" si="79"/>
        <v>0</v>
      </c>
      <c r="AH194" s="113"/>
      <c r="AI194" s="199">
        <f ca="1">IF(AL194=0,0,IF(AL194&gt;Preenchimento!$AA$88*12,0,IF($AC$53=AM194,0,1)))</f>
        <v>0</v>
      </c>
      <c r="AJ194" s="161" t="e">
        <f t="shared" ca="1" si="71"/>
        <v>#N/A</v>
      </c>
      <c r="AK194" s="161" t="e">
        <f t="shared" ca="1" si="72"/>
        <v>#N/A</v>
      </c>
      <c r="AL194" s="161">
        <f ca="1">IF(Y194&gt;(Preenchimento!$AA$90*12),0,Fixa!Y194)</f>
        <v>0</v>
      </c>
      <c r="AM194" s="161">
        <f t="shared" ca="1" si="80"/>
        <v>7</v>
      </c>
      <c r="AN194" s="199">
        <f ca="1">IF(AQ194&gt;Preenchimento!$AA$90*12,0,1)</f>
        <v>0</v>
      </c>
      <c r="AO194" s="161" t="e">
        <f ca="1">1/((1+SAC!$AD$29)^AL194)</f>
        <v>#N/A</v>
      </c>
      <c r="AP194" s="82" t="e">
        <f t="shared" ca="1" si="81"/>
        <v>#N/A</v>
      </c>
      <c r="AQ194" s="82">
        <v>169</v>
      </c>
      <c r="AS194" s="477">
        <f t="shared" ca="1" si="73"/>
        <v>0</v>
      </c>
    </row>
    <row r="195" spans="1:45" ht="12" customHeight="1">
      <c r="A195" s="53">
        <v>170</v>
      </c>
      <c r="B195" s="249">
        <f ca="1">DATE(IF(MONTH(B194)=12,YEAR(B194)+1,YEAR(B194)),IF(MONTH(B194)=12,1,MONTH(B194)+1),MIN(DAY(Condições!$C$109),IF(IF(MONTH(B194)=12,1,MONTH(B194)+1)=2,IF(MOD(IF(MONTH(B194)=12,YEAR(B194)+1,YEAR(B194)),4)=0,29,28),IF(OR(IF(MONTH(B194)=12,1,MONTH(B194)+1)=4,IF(MONTH(B194)=12,1,MONTH(B194)+1)=6,IF(MONTH(B194)=12,1,MONTH(B194)+1)=9,IF(MONTH(B194)=12,1,MONTH(B194)+1)=11),30,DAY($B$25)))))</f>
        <v>51364</v>
      </c>
      <c r="C195" s="250" t="str">
        <f t="shared" si="56"/>
        <v/>
      </c>
      <c r="D195" s="251" t="e">
        <f t="shared" si="57"/>
        <v>#N/A</v>
      </c>
      <c r="E195" s="251">
        <f t="shared" si="58"/>
        <v>0</v>
      </c>
      <c r="F195" s="251">
        <f t="shared" si="59"/>
        <v>0</v>
      </c>
      <c r="G195" s="251">
        <f t="shared" si="60"/>
        <v>0</v>
      </c>
      <c r="H195" s="251" t="e">
        <f t="shared" si="61"/>
        <v>#VALUE!</v>
      </c>
      <c r="I195" s="251">
        <f t="shared" si="62"/>
        <v>0</v>
      </c>
      <c r="J195" s="251">
        <f t="shared" si="74"/>
        <v>0</v>
      </c>
      <c r="K195" s="251">
        <f t="shared" si="63"/>
        <v>0</v>
      </c>
      <c r="L195" s="174"/>
      <c r="M195" s="224"/>
      <c r="N195" s="225">
        <f t="shared" si="64"/>
        <v>0</v>
      </c>
      <c r="O195" s="251" t="e">
        <f t="shared" si="65"/>
        <v>#N/A</v>
      </c>
      <c r="P195" s="251">
        <f t="shared" si="75"/>
        <v>0</v>
      </c>
      <c r="Q195" s="251">
        <f t="shared" si="66"/>
        <v>0</v>
      </c>
      <c r="R195" s="251">
        <f t="shared" si="67"/>
        <v>0</v>
      </c>
      <c r="S195" s="251" t="e">
        <f t="shared" si="68"/>
        <v>#VALUE!</v>
      </c>
      <c r="T195" s="251">
        <f t="shared" si="55"/>
        <v>0</v>
      </c>
      <c r="U195" s="252">
        <f>TRUNC(T195*Condições!$C$102,2)</f>
        <v>0</v>
      </c>
      <c r="V195" s="199">
        <f t="shared" si="76"/>
        <v>0</v>
      </c>
      <c r="W195" s="161" t="e">
        <f t="shared" si="69"/>
        <v>#N/A</v>
      </c>
      <c r="X195" s="161" t="e">
        <f t="shared" si="70"/>
        <v>#N/A</v>
      </c>
      <c r="Y195" s="161">
        <f t="shared" si="77"/>
        <v>170</v>
      </c>
      <c r="Z195" s="161">
        <f t="shared" ca="1" si="78"/>
        <v>8</v>
      </c>
      <c r="AG195" s="114">
        <f t="shared" si="79"/>
        <v>0</v>
      </c>
      <c r="AH195" s="113"/>
      <c r="AI195" s="199">
        <f ca="1">IF(AL195=0,0,IF(AL195&gt;Preenchimento!$AA$88*12,0,IF($AC$53=AM195,0,1)))</f>
        <v>0</v>
      </c>
      <c r="AJ195" s="161" t="e">
        <f t="shared" ca="1" si="71"/>
        <v>#N/A</v>
      </c>
      <c r="AK195" s="161" t="e">
        <f t="shared" ca="1" si="72"/>
        <v>#N/A</v>
      </c>
      <c r="AL195" s="161">
        <f ca="1">IF(Y195&gt;(Preenchimento!$AA$90*12),0,Fixa!Y195)</f>
        <v>0</v>
      </c>
      <c r="AM195" s="161">
        <f t="shared" ca="1" si="80"/>
        <v>8</v>
      </c>
      <c r="AN195" s="199">
        <f ca="1">IF(AQ195&gt;Preenchimento!$AA$90*12,0,1)</f>
        <v>0</v>
      </c>
      <c r="AO195" s="161" t="e">
        <f ca="1">1/((1+SAC!$AD$29)^AL195)</f>
        <v>#N/A</v>
      </c>
      <c r="AP195" s="82" t="e">
        <f t="shared" ca="1" si="81"/>
        <v>#N/A</v>
      </c>
      <c r="AQ195" s="82">
        <v>170</v>
      </c>
      <c r="AS195" s="477">
        <f t="shared" ca="1" si="73"/>
        <v>0</v>
      </c>
    </row>
    <row r="196" spans="1:45" ht="12" customHeight="1">
      <c r="A196" s="53">
        <v>171</v>
      </c>
      <c r="B196" s="249">
        <f ca="1">DATE(IF(MONTH(B195)=12,YEAR(B195)+1,YEAR(B195)),IF(MONTH(B195)=12,1,MONTH(B195)+1),MIN(DAY(Condições!$C$109),IF(IF(MONTH(B195)=12,1,MONTH(B195)+1)=2,IF(MOD(IF(MONTH(B195)=12,YEAR(B195)+1,YEAR(B195)),4)=0,29,28),IF(OR(IF(MONTH(B195)=12,1,MONTH(B195)+1)=4,IF(MONTH(B195)=12,1,MONTH(B195)+1)=6,IF(MONTH(B195)=12,1,MONTH(B195)+1)=9,IF(MONTH(B195)=12,1,MONTH(B195)+1)=11),30,DAY($B$25)))))</f>
        <v>51395</v>
      </c>
      <c r="C196" s="250" t="str">
        <f t="shared" si="56"/>
        <v/>
      </c>
      <c r="D196" s="251" t="e">
        <f t="shared" si="57"/>
        <v>#N/A</v>
      </c>
      <c r="E196" s="251">
        <f t="shared" si="58"/>
        <v>0</v>
      </c>
      <c r="F196" s="251">
        <f t="shared" si="59"/>
        <v>0</v>
      </c>
      <c r="G196" s="251">
        <f t="shared" si="60"/>
        <v>0</v>
      </c>
      <c r="H196" s="251" t="e">
        <f t="shared" si="61"/>
        <v>#VALUE!</v>
      </c>
      <c r="I196" s="251">
        <f t="shared" si="62"/>
        <v>0</v>
      </c>
      <c r="J196" s="251">
        <f t="shared" si="74"/>
        <v>0</v>
      </c>
      <c r="K196" s="251">
        <f t="shared" si="63"/>
        <v>0</v>
      </c>
      <c r="L196" s="174"/>
      <c r="M196" s="224"/>
      <c r="N196" s="225">
        <f t="shared" si="64"/>
        <v>0</v>
      </c>
      <c r="O196" s="251" t="e">
        <f t="shared" si="65"/>
        <v>#N/A</v>
      </c>
      <c r="P196" s="251">
        <f t="shared" si="75"/>
        <v>0</v>
      </c>
      <c r="Q196" s="251">
        <f t="shared" si="66"/>
        <v>0</v>
      </c>
      <c r="R196" s="251">
        <f t="shared" si="67"/>
        <v>0</v>
      </c>
      <c r="S196" s="251" t="e">
        <f t="shared" si="68"/>
        <v>#VALUE!</v>
      </c>
      <c r="T196" s="251">
        <f t="shared" si="55"/>
        <v>0</v>
      </c>
      <c r="U196" s="252">
        <f>TRUNC(T196*Condições!$C$102,2)</f>
        <v>0</v>
      </c>
      <c r="V196" s="199">
        <f t="shared" si="76"/>
        <v>0</v>
      </c>
      <c r="W196" s="161" t="e">
        <f t="shared" si="69"/>
        <v>#N/A</v>
      </c>
      <c r="X196" s="161" t="e">
        <f t="shared" si="70"/>
        <v>#N/A</v>
      </c>
      <c r="Y196" s="161">
        <f t="shared" si="77"/>
        <v>171</v>
      </c>
      <c r="Z196" s="161">
        <f t="shared" ca="1" si="78"/>
        <v>9</v>
      </c>
      <c r="AG196" s="114">
        <f t="shared" si="79"/>
        <v>0</v>
      </c>
      <c r="AH196" s="113"/>
      <c r="AI196" s="199">
        <f ca="1">IF(AL196=0,0,IF(AL196&gt;Preenchimento!$AA$88*12,0,IF($AC$53=AM196,0,1)))</f>
        <v>0</v>
      </c>
      <c r="AJ196" s="161" t="e">
        <f t="shared" ca="1" si="71"/>
        <v>#N/A</v>
      </c>
      <c r="AK196" s="161" t="e">
        <f t="shared" ca="1" si="72"/>
        <v>#N/A</v>
      </c>
      <c r="AL196" s="161">
        <f ca="1">IF(Y196&gt;(Preenchimento!$AA$90*12),0,Fixa!Y196)</f>
        <v>0</v>
      </c>
      <c r="AM196" s="161">
        <f t="shared" ca="1" si="80"/>
        <v>9</v>
      </c>
      <c r="AN196" s="199">
        <f ca="1">IF(AQ196&gt;Preenchimento!$AA$90*12,0,1)</f>
        <v>0</v>
      </c>
      <c r="AO196" s="161" t="e">
        <f ca="1">1/((1+SAC!$AD$29)^AL196)</f>
        <v>#N/A</v>
      </c>
      <c r="AP196" s="82" t="e">
        <f t="shared" ca="1" si="81"/>
        <v>#N/A</v>
      </c>
      <c r="AQ196" s="82">
        <v>171</v>
      </c>
      <c r="AS196" s="477">
        <f t="shared" ca="1" si="73"/>
        <v>0</v>
      </c>
    </row>
    <row r="197" spans="1:45" ht="12" customHeight="1">
      <c r="A197" s="53">
        <v>172</v>
      </c>
      <c r="B197" s="249">
        <f ca="1">DATE(IF(MONTH(B196)=12,YEAR(B196)+1,YEAR(B196)),IF(MONTH(B196)=12,1,MONTH(B196)+1),MIN(DAY(Condições!$C$109),IF(IF(MONTH(B196)=12,1,MONTH(B196)+1)=2,IF(MOD(IF(MONTH(B196)=12,YEAR(B196)+1,YEAR(B196)),4)=0,29,28),IF(OR(IF(MONTH(B196)=12,1,MONTH(B196)+1)=4,IF(MONTH(B196)=12,1,MONTH(B196)+1)=6,IF(MONTH(B196)=12,1,MONTH(B196)+1)=9,IF(MONTH(B196)=12,1,MONTH(B196)+1)=11),30,DAY($B$25)))))</f>
        <v>51425</v>
      </c>
      <c r="C197" s="250" t="str">
        <f t="shared" si="56"/>
        <v/>
      </c>
      <c r="D197" s="251" t="e">
        <f t="shared" si="57"/>
        <v>#N/A</v>
      </c>
      <c r="E197" s="251">
        <f t="shared" si="58"/>
        <v>0</v>
      </c>
      <c r="F197" s="251">
        <f t="shared" si="59"/>
        <v>0</v>
      </c>
      <c r="G197" s="251">
        <f t="shared" si="60"/>
        <v>0</v>
      </c>
      <c r="H197" s="251" t="e">
        <f t="shared" si="61"/>
        <v>#VALUE!</v>
      </c>
      <c r="I197" s="251">
        <f t="shared" si="62"/>
        <v>0</v>
      </c>
      <c r="J197" s="251">
        <f t="shared" si="74"/>
        <v>0</v>
      </c>
      <c r="K197" s="251">
        <f t="shared" si="63"/>
        <v>0</v>
      </c>
      <c r="L197" s="174"/>
      <c r="M197" s="224"/>
      <c r="N197" s="225">
        <f t="shared" si="64"/>
        <v>0</v>
      </c>
      <c r="O197" s="251" t="e">
        <f t="shared" si="65"/>
        <v>#N/A</v>
      </c>
      <c r="P197" s="251">
        <f t="shared" si="75"/>
        <v>0</v>
      </c>
      <c r="Q197" s="251">
        <f t="shared" si="66"/>
        <v>0</v>
      </c>
      <c r="R197" s="251">
        <f t="shared" si="67"/>
        <v>0</v>
      </c>
      <c r="S197" s="251" t="e">
        <f t="shared" si="68"/>
        <v>#VALUE!</v>
      </c>
      <c r="T197" s="251">
        <f t="shared" si="55"/>
        <v>0</v>
      </c>
      <c r="U197" s="252">
        <f>TRUNC(T197*Condições!$C$102,2)</f>
        <v>0</v>
      </c>
      <c r="V197" s="199">
        <f t="shared" si="76"/>
        <v>0</v>
      </c>
      <c r="W197" s="161" t="e">
        <f t="shared" si="69"/>
        <v>#N/A</v>
      </c>
      <c r="X197" s="161" t="e">
        <f t="shared" si="70"/>
        <v>#N/A</v>
      </c>
      <c r="Y197" s="161">
        <f t="shared" si="77"/>
        <v>172</v>
      </c>
      <c r="Z197" s="161">
        <f t="shared" ca="1" si="78"/>
        <v>10</v>
      </c>
      <c r="AG197" s="114">
        <f t="shared" si="79"/>
        <v>0</v>
      </c>
      <c r="AH197" s="113"/>
      <c r="AI197" s="199">
        <f ca="1">IF(AL197=0,0,IF(AL197&gt;Preenchimento!$AA$88*12,0,IF($AC$53=AM197,0,1)))</f>
        <v>0</v>
      </c>
      <c r="AJ197" s="161" t="e">
        <f t="shared" ca="1" si="71"/>
        <v>#N/A</v>
      </c>
      <c r="AK197" s="161" t="e">
        <f t="shared" ca="1" si="72"/>
        <v>#N/A</v>
      </c>
      <c r="AL197" s="161">
        <f ca="1">IF(Y197&gt;(Preenchimento!$AA$90*12),0,Fixa!Y197)</f>
        <v>0</v>
      </c>
      <c r="AM197" s="161">
        <f t="shared" ca="1" si="80"/>
        <v>10</v>
      </c>
      <c r="AN197" s="199">
        <f ca="1">IF(AQ197&gt;Preenchimento!$AA$90*12,0,1)</f>
        <v>0</v>
      </c>
      <c r="AO197" s="161" t="e">
        <f ca="1">1/((1+SAC!$AD$29)^AL197)</f>
        <v>#N/A</v>
      </c>
      <c r="AP197" s="82" t="e">
        <f t="shared" ca="1" si="81"/>
        <v>#N/A</v>
      </c>
      <c r="AQ197" s="82">
        <v>172</v>
      </c>
      <c r="AS197" s="477">
        <f t="shared" ca="1" si="73"/>
        <v>0</v>
      </c>
    </row>
    <row r="198" spans="1:45" ht="12" customHeight="1">
      <c r="A198" s="53">
        <v>173</v>
      </c>
      <c r="B198" s="249">
        <f ca="1">DATE(IF(MONTH(B197)=12,YEAR(B197)+1,YEAR(B197)),IF(MONTH(B197)=12,1,MONTH(B197)+1),MIN(DAY(Condições!$C$109),IF(IF(MONTH(B197)=12,1,MONTH(B197)+1)=2,IF(MOD(IF(MONTH(B197)=12,YEAR(B197)+1,YEAR(B197)),4)=0,29,28),IF(OR(IF(MONTH(B197)=12,1,MONTH(B197)+1)=4,IF(MONTH(B197)=12,1,MONTH(B197)+1)=6,IF(MONTH(B197)=12,1,MONTH(B197)+1)=9,IF(MONTH(B197)=12,1,MONTH(B197)+1)=11),30,DAY($B$25)))))</f>
        <v>51456</v>
      </c>
      <c r="C198" s="250" t="str">
        <f t="shared" si="56"/>
        <v/>
      </c>
      <c r="D198" s="251" t="e">
        <f t="shared" si="57"/>
        <v>#N/A</v>
      </c>
      <c r="E198" s="251">
        <f t="shared" si="58"/>
        <v>0</v>
      </c>
      <c r="F198" s="251">
        <f t="shared" si="59"/>
        <v>0</v>
      </c>
      <c r="G198" s="251">
        <f t="shared" si="60"/>
        <v>0</v>
      </c>
      <c r="H198" s="251" t="e">
        <f t="shared" si="61"/>
        <v>#VALUE!</v>
      </c>
      <c r="I198" s="251">
        <f t="shared" si="62"/>
        <v>0</v>
      </c>
      <c r="J198" s="251">
        <f t="shared" si="74"/>
        <v>0</v>
      </c>
      <c r="K198" s="251">
        <f t="shared" si="63"/>
        <v>0</v>
      </c>
      <c r="L198" s="174"/>
      <c r="M198" s="224"/>
      <c r="N198" s="225">
        <f t="shared" si="64"/>
        <v>0</v>
      </c>
      <c r="O198" s="251" t="e">
        <f t="shared" si="65"/>
        <v>#N/A</v>
      </c>
      <c r="P198" s="251">
        <f t="shared" si="75"/>
        <v>0</v>
      </c>
      <c r="Q198" s="251">
        <f t="shared" si="66"/>
        <v>0</v>
      </c>
      <c r="R198" s="251">
        <f t="shared" si="67"/>
        <v>0</v>
      </c>
      <c r="S198" s="251" t="e">
        <f t="shared" si="68"/>
        <v>#VALUE!</v>
      </c>
      <c r="T198" s="251">
        <f t="shared" si="55"/>
        <v>0</v>
      </c>
      <c r="U198" s="252">
        <f>TRUNC(T198*Condições!$C$102,2)</f>
        <v>0</v>
      </c>
      <c r="V198" s="199">
        <f t="shared" si="76"/>
        <v>0</v>
      </c>
      <c r="W198" s="161" t="e">
        <f t="shared" si="69"/>
        <v>#N/A</v>
      </c>
      <c r="X198" s="161" t="e">
        <f t="shared" si="70"/>
        <v>#N/A</v>
      </c>
      <c r="Y198" s="161">
        <f t="shared" si="77"/>
        <v>173</v>
      </c>
      <c r="Z198" s="161">
        <f t="shared" ca="1" si="78"/>
        <v>11</v>
      </c>
      <c r="AG198" s="114">
        <f t="shared" si="79"/>
        <v>0</v>
      </c>
      <c r="AH198" s="113"/>
      <c r="AI198" s="199">
        <f ca="1">IF(AL198=0,0,IF(AL198&gt;Preenchimento!$AA$88*12,0,IF($AC$53=AM198,0,1)))</f>
        <v>0</v>
      </c>
      <c r="AJ198" s="161" t="e">
        <f t="shared" ca="1" si="71"/>
        <v>#N/A</v>
      </c>
      <c r="AK198" s="161" t="e">
        <f t="shared" ca="1" si="72"/>
        <v>#N/A</v>
      </c>
      <c r="AL198" s="161">
        <f ca="1">IF(Y198&gt;(Preenchimento!$AA$90*12),0,Fixa!Y198)</f>
        <v>0</v>
      </c>
      <c r="AM198" s="161">
        <f t="shared" ca="1" si="80"/>
        <v>11</v>
      </c>
      <c r="AN198" s="199">
        <f ca="1">IF(AQ198&gt;Preenchimento!$AA$90*12,0,1)</f>
        <v>0</v>
      </c>
      <c r="AO198" s="161" t="e">
        <f ca="1">1/((1+SAC!$AD$29)^AL198)</f>
        <v>#N/A</v>
      </c>
      <c r="AP198" s="82" t="e">
        <f t="shared" ca="1" si="81"/>
        <v>#N/A</v>
      </c>
      <c r="AQ198" s="82">
        <v>173</v>
      </c>
      <c r="AS198" s="477">
        <f t="shared" ca="1" si="73"/>
        <v>0</v>
      </c>
    </row>
    <row r="199" spans="1:45" ht="12" customHeight="1">
      <c r="A199" s="53">
        <v>174</v>
      </c>
      <c r="B199" s="249">
        <f ca="1">DATE(IF(MONTH(B198)=12,YEAR(B198)+1,YEAR(B198)),IF(MONTH(B198)=12,1,MONTH(B198)+1),MIN(DAY(Condições!$C$109),IF(IF(MONTH(B198)=12,1,MONTH(B198)+1)=2,IF(MOD(IF(MONTH(B198)=12,YEAR(B198)+1,YEAR(B198)),4)=0,29,28),IF(OR(IF(MONTH(B198)=12,1,MONTH(B198)+1)=4,IF(MONTH(B198)=12,1,MONTH(B198)+1)=6,IF(MONTH(B198)=12,1,MONTH(B198)+1)=9,IF(MONTH(B198)=12,1,MONTH(B198)+1)=11),30,DAY($B$25)))))</f>
        <v>51486</v>
      </c>
      <c r="C199" s="250" t="str">
        <f t="shared" si="56"/>
        <v/>
      </c>
      <c r="D199" s="251" t="e">
        <f t="shared" si="57"/>
        <v>#N/A</v>
      </c>
      <c r="E199" s="251">
        <f t="shared" si="58"/>
        <v>0</v>
      </c>
      <c r="F199" s="251">
        <f t="shared" si="59"/>
        <v>0</v>
      </c>
      <c r="G199" s="251">
        <f t="shared" si="60"/>
        <v>0</v>
      </c>
      <c r="H199" s="251" t="e">
        <f t="shared" si="61"/>
        <v>#VALUE!</v>
      </c>
      <c r="I199" s="251">
        <f t="shared" si="62"/>
        <v>0</v>
      </c>
      <c r="J199" s="251">
        <f t="shared" si="74"/>
        <v>0</v>
      </c>
      <c r="K199" s="251">
        <f t="shared" si="63"/>
        <v>0</v>
      </c>
      <c r="L199" s="174"/>
      <c r="M199" s="224"/>
      <c r="N199" s="225">
        <f t="shared" si="64"/>
        <v>0</v>
      </c>
      <c r="O199" s="251" t="e">
        <f t="shared" si="65"/>
        <v>#N/A</v>
      </c>
      <c r="P199" s="251">
        <f t="shared" si="75"/>
        <v>0</v>
      </c>
      <c r="Q199" s="251">
        <f t="shared" si="66"/>
        <v>0</v>
      </c>
      <c r="R199" s="251">
        <f t="shared" si="67"/>
        <v>0</v>
      </c>
      <c r="S199" s="251" t="e">
        <f t="shared" si="68"/>
        <v>#VALUE!</v>
      </c>
      <c r="T199" s="251">
        <f t="shared" si="55"/>
        <v>0</v>
      </c>
      <c r="U199" s="252">
        <f>TRUNC(T199*Condições!$C$102,2)</f>
        <v>0</v>
      </c>
      <c r="V199" s="199">
        <f t="shared" si="76"/>
        <v>0</v>
      </c>
      <c r="W199" s="161" t="e">
        <f t="shared" si="69"/>
        <v>#N/A</v>
      </c>
      <c r="X199" s="161" t="e">
        <f t="shared" si="70"/>
        <v>#N/A</v>
      </c>
      <c r="Y199" s="161">
        <f t="shared" si="77"/>
        <v>174</v>
      </c>
      <c r="Z199" s="161">
        <f t="shared" ca="1" si="78"/>
        <v>12</v>
      </c>
      <c r="AG199" s="114">
        <f t="shared" si="79"/>
        <v>0</v>
      </c>
      <c r="AH199" s="113"/>
      <c r="AI199" s="199">
        <f ca="1">IF(AL199=0,0,IF(AL199&gt;Preenchimento!$AA$88*12,0,IF($AC$53=AM199,0,1)))</f>
        <v>0</v>
      </c>
      <c r="AJ199" s="161" t="e">
        <f t="shared" ca="1" si="71"/>
        <v>#N/A</v>
      </c>
      <c r="AK199" s="161" t="e">
        <f t="shared" ca="1" si="72"/>
        <v>#N/A</v>
      </c>
      <c r="AL199" s="161">
        <f ca="1">IF(Y199&gt;(Preenchimento!$AA$90*12),0,Fixa!Y199)</f>
        <v>0</v>
      </c>
      <c r="AM199" s="161">
        <f t="shared" ca="1" si="80"/>
        <v>12</v>
      </c>
      <c r="AN199" s="199">
        <f ca="1">IF(AQ199&gt;Preenchimento!$AA$90*12,0,1)</f>
        <v>0</v>
      </c>
      <c r="AO199" s="161" t="e">
        <f ca="1">1/((1+SAC!$AD$29)^AL199)</f>
        <v>#N/A</v>
      </c>
      <c r="AP199" s="82" t="e">
        <f t="shared" ca="1" si="81"/>
        <v>#N/A</v>
      </c>
      <c r="AQ199" s="82">
        <v>174</v>
      </c>
      <c r="AS199" s="477">
        <f t="shared" ca="1" si="73"/>
        <v>0</v>
      </c>
    </row>
    <row r="200" spans="1:45" ht="12" customHeight="1">
      <c r="A200" s="53">
        <v>175</v>
      </c>
      <c r="B200" s="249">
        <f ca="1">DATE(IF(MONTH(B199)=12,YEAR(B199)+1,YEAR(B199)),IF(MONTH(B199)=12,1,MONTH(B199)+1),MIN(DAY(Condições!$C$109),IF(IF(MONTH(B199)=12,1,MONTH(B199)+1)=2,IF(MOD(IF(MONTH(B199)=12,YEAR(B199)+1,YEAR(B199)),4)=0,29,28),IF(OR(IF(MONTH(B199)=12,1,MONTH(B199)+1)=4,IF(MONTH(B199)=12,1,MONTH(B199)+1)=6,IF(MONTH(B199)=12,1,MONTH(B199)+1)=9,IF(MONTH(B199)=12,1,MONTH(B199)+1)=11),30,DAY($B$25)))))</f>
        <v>51517</v>
      </c>
      <c r="C200" s="250" t="str">
        <f t="shared" si="56"/>
        <v/>
      </c>
      <c r="D200" s="251" t="e">
        <f t="shared" si="57"/>
        <v>#N/A</v>
      </c>
      <c r="E200" s="251">
        <f t="shared" si="58"/>
        <v>0</v>
      </c>
      <c r="F200" s="251">
        <f t="shared" si="59"/>
        <v>0</v>
      </c>
      <c r="G200" s="251">
        <f t="shared" si="60"/>
        <v>0</v>
      </c>
      <c r="H200" s="251" t="e">
        <f t="shared" si="61"/>
        <v>#VALUE!</v>
      </c>
      <c r="I200" s="251">
        <f t="shared" si="62"/>
        <v>0</v>
      </c>
      <c r="J200" s="251">
        <f t="shared" si="74"/>
        <v>0</v>
      </c>
      <c r="K200" s="251">
        <f t="shared" si="63"/>
        <v>0</v>
      </c>
      <c r="L200" s="174"/>
      <c r="M200" s="224"/>
      <c r="N200" s="225">
        <f t="shared" si="64"/>
        <v>0</v>
      </c>
      <c r="O200" s="251" t="e">
        <f t="shared" si="65"/>
        <v>#N/A</v>
      </c>
      <c r="P200" s="251">
        <f t="shared" si="75"/>
        <v>0</v>
      </c>
      <c r="Q200" s="251">
        <f t="shared" si="66"/>
        <v>0</v>
      </c>
      <c r="R200" s="251">
        <f t="shared" si="67"/>
        <v>0</v>
      </c>
      <c r="S200" s="251" t="e">
        <f t="shared" si="68"/>
        <v>#VALUE!</v>
      </c>
      <c r="T200" s="251">
        <f t="shared" si="55"/>
        <v>0</v>
      </c>
      <c r="U200" s="252">
        <f>TRUNC(T200*Condições!$C$102,2)</f>
        <v>0</v>
      </c>
      <c r="V200" s="199">
        <f t="shared" si="76"/>
        <v>0</v>
      </c>
      <c r="W200" s="161" t="e">
        <f t="shared" si="69"/>
        <v>#N/A</v>
      </c>
      <c r="X200" s="161" t="e">
        <f t="shared" si="70"/>
        <v>#N/A</v>
      </c>
      <c r="Y200" s="161">
        <f t="shared" si="77"/>
        <v>175</v>
      </c>
      <c r="Z200" s="161">
        <f t="shared" ca="1" si="78"/>
        <v>1</v>
      </c>
      <c r="AG200" s="114">
        <f t="shared" si="79"/>
        <v>0</v>
      </c>
      <c r="AH200" s="113"/>
      <c r="AI200" s="199">
        <f ca="1">IF(AL200=0,0,IF(AL200&gt;Preenchimento!$AA$88*12,0,IF($AC$53=AM200,0,1)))</f>
        <v>0</v>
      </c>
      <c r="AJ200" s="161" t="e">
        <f t="shared" ca="1" si="71"/>
        <v>#N/A</v>
      </c>
      <c r="AK200" s="161" t="e">
        <f t="shared" ca="1" si="72"/>
        <v>#N/A</v>
      </c>
      <c r="AL200" s="161">
        <f ca="1">IF(Y200&gt;(Preenchimento!$AA$90*12),0,Fixa!Y200)</f>
        <v>0</v>
      </c>
      <c r="AM200" s="161">
        <f t="shared" ca="1" si="80"/>
        <v>1</v>
      </c>
      <c r="AN200" s="199">
        <f ca="1">IF(AQ200&gt;Preenchimento!$AA$90*12,0,1)</f>
        <v>0</v>
      </c>
      <c r="AO200" s="161" t="e">
        <f ca="1">1/((1+SAC!$AD$29)^AL200)</f>
        <v>#N/A</v>
      </c>
      <c r="AP200" s="82" t="e">
        <f t="shared" ca="1" si="81"/>
        <v>#N/A</v>
      </c>
      <c r="AQ200" s="82">
        <v>175</v>
      </c>
      <c r="AS200" s="477">
        <f t="shared" ca="1" si="73"/>
        <v>0</v>
      </c>
    </row>
    <row r="201" spans="1:45" ht="12" customHeight="1">
      <c r="A201" s="53">
        <v>176</v>
      </c>
      <c r="B201" s="249">
        <f ca="1">DATE(IF(MONTH(B200)=12,YEAR(B200)+1,YEAR(B200)),IF(MONTH(B200)=12,1,MONTH(B200)+1),MIN(DAY(Condições!$C$109),IF(IF(MONTH(B200)=12,1,MONTH(B200)+1)=2,IF(MOD(IF(MONTH(B200)=12,YEAR(B200)+1,YEAR(B200)),4)=0,29,28),IF(OR(IF(MONTH(B200)=12,1,MONTH(B200)+1)=4,IF(MONTH(B200)=12,1,MONTH(B200)+1)=6,IF(MONTH(B200)=12,1,MONTH(B200)+1)=9,IF(MONTH(B200)=12,1,MONTH(B200)+1)=11),30,DAY($B$25)))))</f>
        <v>51548</v>
      </c>
      <c r="C201" s="250" t="str">
        <f t="shared" si="56"/>
        <v/>
      </c>
      <c r="D201" s="251" t="e">
        <f t="shared" si="57"/>
        <v>#N/A</v>
      </c>
      <c r="E201" s="251">
        <f t="shared" si="58"/>
        <v>0</v>
      </c>
      <c r="F201" s="251">
        <f t="shared" si="59"/>
        <v>0</v>
      </c>
      <c r="G201" s="251">
        <f t="shared" si="60"/>
        <v>0</v>
      </c>
      <c r="H201" s="251" t="e">
        <f t="shared" si="61"/>
        <v>#VALUE!</v>
      </c>
      <c r="I201" s="251">
        <f t="shared" si="62"/>
        <v>0</v>
      </c>
      <c r="J201" s="251">
        <f t="shared" si="74"/>
        <v>0</v>
      </c>
      <c r="K201" s="251">
        <f t="shared" si="63"/>
        <v>0</v>
      </c>
      <c r="L201" s="174"/>
      <c r="M201" s="224"/>
      <c r="N201" s="225">
        <f t="shared" si="64"/>
        <v>0</v>
      </c>
      <c r="O201" s="251" t="e">
        <f t="shared" si="65"/>
        <v>#N/A</v>
      </c>
      <c r="P201" s="251">
        <f t="shared" si="75"/>
        <v>0</v>
      </c>
      <c r="Q201" s="251">
        <f t="shared" si="66"/>
        <v>0</v>
      </c>
      <c r="R201" s="251">
        <f t="shared" si="67"/>
        <v>0</v>
      </c>
      <c r="S201" s="251" t="e">
        <f t="shared" si="68"/>
        <v>#VALUE!</v>
      </c>
      <c r="T201" s="251">
        <f t="shared" si="55"/>
        <v>0</v>
      </c>
      <c r="U201" s="252">
        <f>TRUNC(T201*Condições!$C$102,2)</f>
        <v>0</v>
      </c>
      <c r="V201" s="199">
        <f t="shared" si="76"/>
        <v>0</v>
      </c>
      <c r="W201" s="161" t="e">
        <f t="shared" si="69"/>
        <v>#N/A</v>
      </c>
      <c r="X201" s="161" t="e">
        <f t="shared" si="70"/>
        <v>#N/A</v>
      </c>
      <c r="Y201" s="161">
        <f t="shared" si="77"/>
        <v>176</v>
      </c>
      <c r="Z201" s="161">
        <f t="shared" ca="1" si="78"/>
        <v>2</v>
      </c>
      <c r="AG201" s="114">
        <f t="shared" si="79"/>
        <v>0</v>
      </c>
      <c r="AH201" s="113"/>
      <c r="AI201" s="199">
        <f ca="1">IF(AL201=0,0,IF(AL201&gt;Preenchimento!$AA$88*12,0,IF($AC$53=AM201,0,1)))</f>
        <v>0</v>
      </c>
      <c r="AJ201" s="161" t="e">
        <f t="shared" ca="1" si="71"/>
        <v>#N/A</v>
      </c>
      <c r="AK201" s="161" t="e">
        <f t="shared" ca="1" si="72"/>
        <v>#N/A</v>
      </c>
      <c r="AL201" s="161">
        <f ca="1">IF(Y201&gt;(Preenchimento!$AA$90*12),0,Fixa!Y201)</f>
        <v>0</v>
      </c>
      <c r="AM201" s="161">
        <f t="shared" ca="1" si="80"/>
        <v>2</v>
      </c>
      <c r="AN201" s="199">
        <f ca="1">IF(AQ201&gt;Preenchimento!$AA$90*12,0,1)</f>
        <v>0</v>
      </c>
      <c r="AO201" s="161" t="e">
        <f ca="1">1/((1+SAC!$AD$29)^AL201)</f>
        <v>#N/A</v>
      </c>
      <c r="AP201" s="82" t="e">
        <f t="shared" ca="1" si="81"/>
        <v>#N/A</v>
      </c>
      <c r="AQ201" s="82">
        <v>176</v>
      </c>
      <c r="AS201" s="477">
        <f t="shared" ca="1" si="73"/>
        <v>0</v>
      </c>
    </row>
    <row r="202" spans="1:45" ht="12" customHeight="1">
      <c r="A202" s="53">
        <v>177</v>
      </c>
      <c r="B202" s="249">
        <f ca="1">DATE(IF(MONTH(B201)=12,YEAR(B201)+1,YEAR(B201)),IF(MONTH(B201)=12,1,MONTH(B201)+1),MIN(DAY(Condições!$C$109),IF(IF(MONTH(B201)=12,1,MONTH(B201)+1)=2,IF(MOD(IF(MONTH(B201)=12,YEAR(B201)+1,YEAR(B201)),4)=0,29,28),IF(OR(IF(MONTH(B201)=12,1,MONTH(B201)+1)=4,IF(MONTH(B201)=12,1,MONTH(B201)+1)=6,IF(MONTH(B201)=12,1,MONTH(B201)+1)=9,IF(MONTH(B201)=12,1,MONTH(B201)+1)=11),30,DAY($B$25)))))</f>
        <v>51576</v>
      </c>
      <c r="C202" s="250" t="str">
        <f t="shared" si="56"/>
        <v/>
      </c>
      <c r="D202" s="251" t="e">
        <f t="shared" si="57"/>
        <v>#N/A</v>
      </c>
      <c r="E202" s="251">
        <f t="shared" si="58"/>
        <v>0</v>
      </c>
      <c r="F202" s="251">
        <f t="shared" si="59"/>
        <v>0</v>
      </c>
      <c r="G202" s="251">
        <f t="shared" si="60"/>
        <v>0</v>
      </c>
      <c r="H202" s="251" t="e">
        <f t="shared" si="61"/>
        <v>#VALUE!</v>
      </c>
      <c r="I202" s="251">
        <f t="shared" si="62"/>
        <v>0</v>
      </c>
      <c r="J202" s="251">
        <f t="shared" si="74"/>
        <v>0</v>
      </c>
      <c r="K202" s="251">
        <f t="shared" si="63"/>
        <v>0</v>
      </c>
      <c r="L202" s="174"/>
      <c r="M202" s="224"/>
      <c r="N202" s="225">
        <f t="shared" si="64"/>
        <v>0</v>
      </c>
      <c r="O202" s="251" t="e">
        <f t="shared" si="65"/>
        <v>#N/A</v>
      </c>
      <c r="P202" s="251">
        <f t="shared" si="75"/>
        <v>0</v>
      </c>
      <c r="Q202" s="251">
        <f t="shared" si="66"/>
        <v>0</v>
      </c>
      <c r="R202" s="251">
        <f t="shared" si="67"/>
        <v>0</v>
      </c>
      <c r="S202" s="251" t="e">
        <f t="shared" si="68"/>
        <v>#VALUE!</v>
      </c>
      <c r="T202" s="251">
        <f t="shared" si="55"/>
        <v>0</v>
      </c>
      <c r="U202" s="252">
        <f>TRUNC(T202*Condições!$C$102,2)</f>
        <v>0</v>
      </c>
      <c r="V202" s="199">
        <f t="shared" si="76"/>
        <v>0</v>
      </c>
      <c r="W202" s="161" t="e">
        <f t="shared" si="69"/>
        <v>#N/A</v>
      </c>
      <c r="X202" s="161" t="e">
        <f t="shared" si="70"/>
        <v>#N/A</v>
      </c>
      <c r="Y202" s="161">
        <f t="shared" si="77"/>
        <v>177</v>
      </c>
      <c r="Z202" s="161">
        <f t="shared" ca="1" si="78"/>
        <v>3</v>
      </c>
      <c r="AG202" s="114">
        <f t="shared" si="79"/>
        <v>0</v>
      </c>
      <c r="AH202" s="113"/>
      <c r="AI202" s="199">
        <f ca="1">IF(AL202=0,0,IF(AL202&gt;Preenchimento!$AA$88*12,0,IF($AC$53=AM202,0,1)))</f>
        <v>0</v>
      </c>
      <c r="AJ202" s="161" t="e">
        <f t="shared" ca="1" si="71"/>
        <v>#N/A</v>
      </c>
      <c r="AK202" s="161" t="e">
        <f t="shared" ca="1" si="72"/>
        <v>#N/A</v>
      </c>
      <c r="AL202" s="161">
        <f ca="1">IF(Y202&gt;(Preenchimento!$AA$90*12),0,Fixa!Y202)</f>
        <v>0</v>
      </c>
      <c r="AM202" s="161">
        <f t="shared" ca="1" si="80"/>
        <v>3</v>
      </c>
      <c r="AN202" s="199">
        <f ca="1">IF(AQ202&gt;Preenchimento!$AA$90*12,0,1)</f>
        <v>0</v>
      </c>
      <c r="AO202" s="161" t="e">
        <f ca="1">1/((1+SAC!$AD$29)^AL202)</f>
        <v>#N/A</v>
      </c>
      <c r="AP202" s="82" t="e">
        <f t="shared" ca="1" si="81"/>
        <v>#N/A</v>
      </c>
      <c r="AQ202" s="82">
        <v>177</v>
      </c>
      <c r="AS202" s="477">
        <f t="shared" ca="1" si="73"/>
        <v>0</v>
      </c>
    </row>
    <row r="203" spans="1:45" ht="12" customHeight="1">
      <c r="A203" s="53">
        <v>178</v>
      </c>
      <c r="B203" s="249">
        <f ca="1">DATE(IF(MONTH(B202)=12,YEAR(B202)+1,YEAR(B202)),IF(MONTH(B202)=12,1,MONTH(B202)+1),MIN(DAY(Condições!$C$109),IF(IF(MONTH(B202)=12,1,MONTH(B202)+1)=2,IF(MOD(IF(MONTH(B202)=12,YEAR(B202)+1,YEAR(B202)),4)=0,29,28),IF(OR(IF(MONTH(B202)=12,1,MONTH(B202)+1)=4,IF(MONTH(B202)=12,1,MONTH(B202)+1)=6,IF(MONTH(B202)=12,1,MONTH(B202)+1)=9,IF(MONTH(B202)=12,1,MONTH(B202)+1)=11),30,DAY($B$25)))))</f>
        <v>51607</v>
      </c>
      <c r="C203" s="250" t="str">
        <f t="shared" si="56"/>
        <v/>
      </c>
      <c r="D203" s="251" t="e">
        <f t="shared" si="57"/>
        <v>#N/A</v>
      </c>
      <c r="E203" s="251">
        <f t="shared" si="58"/>
        <v>0</v>
      </c>
      <c r="F203" s="251">
        <f t="shared" si="59"/>
        <v>0</v>
      </c>
      <c r="G203" s="251">
        <f t="shared" si="60"/>
        <v>0</v>
      </c>
      <c r="H203" s="251" t="e">
        <f t="shared" si="61"/>
        <v>#VALUE!</v>
      </c>
      <c r="I203" s="251">
        <f t="shared" si="62"/>
        <v>0</v>
      </c>
      <c r="J203" s="251">
        <f t="shared" si="74"/>
        <v>0</v>
      </c>
      <c r="K203" s="251">
        <f t="shared" si="63"/>
        <v>0</v>
      </c>
      <c r="L203" s="174"/>
      <c r="M203" s="224"/>
      <c r="N203" s="225">
        <f t="shared" si="64"/>
        <v>0</v>
      </c>
      <c r="O203" s="251" t="e">
        <f t="shared" si="65"/>
        <v>#N/A</v>
      </c>
      <c r="P203" s="251">
        <f t="shared" si="75"/>
        <v>0</v>
      </c>
      <c r="Q203" s="251">
        <f t="shared" si="66"/>
        <v>0</v>
      </c>
      <c r="R203" s="251">
        <f t="shared" si="67"/>
        <v>0</v>
      </c>
      <c r="S203" s="251" t="e">
        <f t="shared" si="68"/>
        <v>#VALUE!</v>
      </c>
      <c r="T203" s="251">
        <f t="shared" si="55"/>
        <v>0</v>
      </c>
      <c r="U203" s="252">
        <f>TRUNC(T203*Condições!$C$102,2)</f>
        <v>0</v>
      </c>
      <c r="V203" s="199">
        <f t="shared" si="76"/>
        <v>0</v>
      </c>
      <c r="W203" s="161" t="e">
        <f t="shared" si="69"/>
        <v>#N/A</v>
      </c>
      <c r="X203" s="161" t="e">
        <f t="shared" si="70"/>
        <v>#N/A</v>
      </c>
      <c r="Y203" s="161">
        <f t="shared" si="77"/>
        <v>178</v>
      </c>
      <c r="Z203" s="161">
        <f t="shared" ca="1" si="78"/>
        <v>4</v>
      </c>
      <c r="AG203" s="114">
        <f t="shared" si="79"/>
        <v>0</v>
      </c>
      <c r="AH203" s="113"/>
      <c r="AI203" s="199">
        <f ca="1">IF(AL203=0,0,IF(AL203&gt;Preenchimento!$AA$88*12,0,IF($AC$53=AM203,0,1)))</f>
        <v>0</v>
      </c>
      <c r="AJ203" s="161" t="e">
        <f t="shared" ca="1" si="71"/>
        <v>#N/A</v>
      </c>
      <c r="AK203" s="161" t="e">
        <f t="shared" ca="1" si="72"/>
        <v>#N/A</v>
      </c>
      <c r="AL203" s="161">
        <f ca="1">IF(Y203&gt;(Preenchimento!$AA$90*12),0,Fixa!Y203)</f>
        <v>0</v>
      </c>
      <c r="AM203" s="161">
        <f t="shared" ca="1" si="80"/>
        <v>4</v>
      </c>
      <c r="AN203" s="199">
        <f ca="1">IF(AQ203&gt;Preenchimento!$AA$90*12,0,1)</f>
        <v>0</v>
      </c>
      <c r="AO203" s="161" t="e">
        <f ca="1">1/((1+SAC!$AD$29)^AL203)</f>
        <v>#N/A</v>
      </c>
      <c r="AP203" s="82" t="e">
        <f t="shared" ca="1" si="81"/>
        <v>#N/A</v>
      </c>
      <c r="AQ203" s="82">
        <v>178</v>
      </c>
      <c r="AS203" s="477">
        <f t="shared" ca="1" si="73"/>
        <v>0</v>
      </c>
    </row>
    <row r="204" spans="1:45" ht="12" customHeight="1">
      <c r="A204" s="53">
        <v>179</v>
      </c>
      <c r="B204" s="249">
        <f ca="1">DATE(IF(MONTH(B203)=12,YEAR(B203)+1,YEAR(B203)),IF(MONTH(B203)=12,1,MONTH(B203)+1),MIN(DAY(Condições!$C$109),IF(IF(MONTH(B203)=12,1,MONTH(B203)+1)=2,IF(MOD(IF(MONTH(B203)=12,YEAR(B203)+1,YEAR(B203)),4)=0,29,28),IF(OR(IF(MONTH(B203)=12,1,MONTH(B203)+1)=4,IF(MONTH(B203)=12,1,MONTH(B203)+1)=6,IF(MONTH(B203)=12,1,MONTH(B203)+1)=9,IF(MONTH(B203)=12,1,MONTH(B203)+1)=11),30,DAY($B$25)))))</f>
        <v>51637</v>
      </c>
      <c r="C204" s="250" t="str">
        <f t="shared" si="56"/>
        <v/>
      </c>
      <c r="D204" s="251" t="e">
        <f t="shared" si="57"/>
        <v>#N/A</v>
      </c>
      <c r="E204" s="251">
        <f t="shared" si="58"/>
        <v>0</v>
      </c>
      <c r="F204" s="251">
        <f t="shared" si="59"/>
        <v>0</v>
      </c>
      <c r="G204" s="251">
        <f t="shared" si="60"/>
        <v>0</v>
      </c>
      <c r="H204" s="251" t="e">
        <f t="shared" si="61"/>
        <v>#VALUE!</v>
      </c>
      <c r="I204" s="251">
        <f t="shared" si="62"/>
        <v>0</v>
      </c>
      <c r="J204" s="251">
        <f t="shared" si="74"/>
        <v>0</v>
      </c>
      <c r="K204" s="251">
        <f t="shared" si="63"/>
        <v>0</v>
      </c>
      <c r="L204" s="174"/>
      <c r="M204" s="224"/>
      <c r="N204" s="225">
        <f t="shared" si="64"/>
        <v>0</v>
      </c>
      <c r="O204" s="251" t="e">
        <f t="shared" si="65"/>
        <v>#N/A</v>
      </c>
      <c r="P204" s="251">
        <f t="shared" si="75"/>
        <v>0</v>
      </c>
      <c r="Q204" s="251">
        <f t="shared" si="66"/>
        <v>0</v>
      </c>
      <c r="R204" s="251">
        <f t="shared" si="67"/>
        <v>0</v>
      </c>
      <c r="S204" s="251" t="e">
        <f t="shared" si="68"/>
        <v>#VALUE!</v>
      </c>
      <c r="T204" s="251">
        <f t="shared" si="55"/>
        <v>0</v>
      </c>
      <c r="U204" s="252">
        <f>TRUNC(T204*Condições!$C$102,2)</f>
        <v>0</v>
      </c>
      <c r="V204" s="199">
        <f t="shared" si="76"/>
        <v>0</v>
      </c>
      <c r="W204" s="161" t="e">
        <f t="shared" si="69"/>
        <v>#N/A</v>
      </c>
      <c r="X204" s="161" t="e">
        <f t="shared" si="70"/>
        <v>#N/A</v>
      </c>
      <c r="Y204" s="161">
        <f t="shared" si="77"/>
        <v>179</v>
      </c>
      <c r="Z204" s="161">
        <f t="shared" ca="1" si="78"/>
        <v>5</v>
      </c>
      <c r="AG204" s="114">
        <f t="shared" si="79"/>
        <v>0</v>
      </c>
      <c r="AH204" s="113"/>
      <c r="AI204" s="199">
        <f ca="1">IF(AL204=0,0,IF(AL204&gt;Preenchimento!$AA$88*12,0,IF($AC$53=AM204,0,1)))</f>
        <v>0</v>
      </c>
      <c r="AJ204" s="161" t="e">
        <f t="shared" ca="1" si="71"/>
        <v>#N/A</v>
      </c>
      <c r="AK204" s="161" t="e">
        <f t="shared" ca="1" si="72"/>
        <v>#N/A</v>
      </c>
      <c r="AL204" s="161">
        <f ca="1">IF(Y204&gt;(Preenchimento!$AA$90*12),0,Fixa!Y204)</f>
        <v>0</v>
      </c>
      <c r="AM204" s="161">
        <f t="shared" ca="1" si="80"/>
        <v>5</v>
      </c>
      <c r="AN204" s="199">
        <f ca="1">IF(AQ204&gt;Preenchimento!$AA$90*12,0,1)</f>
        <v>0</v>
      </c>
      <c r="AO204" s="161" t="e">
        <f ca="1">1/((1+SAC!$AD$29)^AL204)</f>
        <v>#N/A</v>
      </c>
      <c r="AP204" s="82" t="e">
        <f t="shared" ca="1" si="81"/>
        <v>#N/A</v>
      </c>
      <c r="AQ204" s="82">
        <v>179</v>
      </c>
      <c r="AS204" s="477">
        <f t="shared" ca="1" si="73"/>
        <v>0</v>
      </c>
    </row>
    <row r="205" spans="1:45" ht="12" customHeight="1">
      <c r="A205" s="53">
        <v>180</v>
      </c>
      <c r="B205" s="249">
        <f ca="1">DATE(IF(MONTH(B204)=12,YEAR(B204)+1,YEAR(B204)),IF(MONTH(B204)=12,1,MONTH(B204)+1),MIN(DAY(Condições!$C$109),IF(IF(MONTH(B204)=12,1,MONTH(B204)+1)=2,IF(MOD(IF(MONTH(B204)=12,YEAR(B204)+1,YEAR(B204)),4)=0,29,28),IF(OR(IF(MONTH(B204)=12,1,MONTH(B204)+1)=4,IF(MONTH(B204)=12,1,MONTH(B204)+1)=6,IF(MONTH(B204)=12,1,MONTH(B204)+1)=9,IF(MONTH(B204)=12,1,MONTH(B204)+1)=11),30,DAY($B$25)))))</f>
        <v>51668</v>
      </c>
      <c r="C205" s="250" t="str">
        <f t="shared" si="56"/>
        <v/>
      </c>
      <c r="D205" s="251" t="e">
        <f t="shared" si="57"/>
        <v>#N/A</v>
      </c>
      <c r="E205" s="251">
        <f t="shared" si="58"/>
        <v>0</v>
      </c>
      <c r="F205" s="251">
        <f t="shared" si="59"/>
        <v>0</v>
      </c>
      <c r="G205" s="251">
        <f t="shared" si="60"/>
        <v>0</v>
      </c>
      <c r="H205" s="251" t="e">
        <f t="shared" si="61"/>
        <v>#VALUE!</v>
      </c>
      <c r="I205" s="251">
        <f t="shared" si="62"/>
        <v>0</v>
      </c>
      <c r="J205" s="251">
        <f t="shared" si="74"/>
        <v>0</v>
      </c>
      <c r="K205" s="251">
        <f t="shared" si="63"/>
        <v>0</v>
      </c>
      <c r="L205" s="174"/>
      <c r="M205" s="224"/>
      <c r="N205" s="225">
        <f t="shared" si="64"/>
        <v>0</v>
      </c>
      <c r="O205" s="251" t="e">
        <f t="shared" si="65"/>
        <v>#N/A</v>
      </c>
      <c r="P205" s="251">
        <f t="shared" si="75"/>
        <v>0</v>
      </c>
      <c r="Q205" s="251">
        <f t="shared" si="66"/>
        <v>0</v>
      </c>
      <c r="R205" s="251">
        <f t="shared" si="67"/>
        <v>0</v>
      </c>
      <c r="S205" s="251" t="e">
        <f t="shared" si="68"/>
        <v>#VALUE!</v>
      </c>
      <c r="T205" s="251">
        <f t="shared" si="55"/>
        <v>0</v>
      </c>
      <c r="U205" s="252">
        <f>TRUNC(T205*Condições!$C$102,2)</f>
        <v>0</v>
      </c>
      <c r="V205" s="199">
        <f t="shared" si="76"/>
        <v>0</v>
      </c>
      <c r="W205" s="161" t="e">
        <f t="shared" si="69"/>
        <v>#N/A</v>
      </c>
      <c r="X205" s="161" t="e">
        <f t="shared" si="70"/>
        <v>#N/A</v>
      </c>
      <c r="Y205" s="161">
        <f t="shared" si="77"/>
        <v>180</v>
      </c>
      <c r="Z205" s="161">
        <f t="shared" ca="1" si="78"/>
        <v>6</v>
      </c>
      <c r="AG205" s="114">
        <f t="shared" si="79"/>
        <v>0</v>
      </c>
      <c r="AH205" s="113"/>
      <c r="AI205" s="199">
        <f ca="1">IF(AL205=0,0,IF(AL205&gt;Preenchimento!$AA$88*12,0,IF($AC$53=AM205,0,1)))</f>
        <v>0</v>
      </c>
      <c r="AJ205" s="161" t="e">
        <f t="shared" ca="1" si="71"/>
        <v>#N/A</v>
      </c>
      <c r="AK205" s="161" t="e">
        <f t="shared" ca="1" si="72"/>
        <v>#N/A</v>
      </c>
      <c r="AL205" s="161">
        <f ca="1">IF(Y205&gt;(Preenchimento!$AA$90*12),0,Fixa!Y205)</f>
        <v>0</v>
      </c>
      <c r="AM205" s="161">
        <f t="shared" ca="1" si="80"/>
        <v>6</v>
      </c>
      <c r="AN205" s="199">
        <f ca="1">IF(AQ205&gt;Preenchimento!$AA$90*12,0,1)</f>
        <v>0</v>
      </c>
      <c r="AO205" s="161" t="e">
        <f ca="1">1/((1+SAC!$AD$29)^AL205)</f>
        <v>#N/A</v>
      </c>
      <c r="AP205" s="82" t="e">
        <f t="shared" ca="1" si="81"/>
        <v>#N/A</v>
      </c>
      <c r="AQ205" s="82">
        <v>180</v>
      </c>
      <c r="AS205" s="477">
        <f t="shared" ca="1" si="73"/>
        <v>0</v>
      </c>
    </row>
    <row r="206" spans="1:45" ht="12" customHeight="1">
      <c r="A206" s="53">
        <v>181</v>
      </c>
      <c r="B206" s="249">
        <f ca="1">DATE(IF(MONTH(B205)=12,YEAR(B205)+1,YEAR(B205)),IF(MONTH(B205)=12,1,MONTH(B205)+1),MIN(DAY(Condições!$C$109),IF(IF(MONTH(B205)=12,1,MONTH(B205)+1)=2,IF(MOD(IF(MONTH(B205)=12,YEAR(B205)+1,YEAR(B205)),4)=0,29,28),IF(OR(IF(MONTH(B205)=12,1,MONTH(B205)+1)=4,IF(MONTH(B205)=12,1,MONTH(B205)+1)=6,IF(MONTH(B205)=12,1,MONTH(B205)+1)=9,IF(MONTH(B205)=12,1,MONTH(B205)+1)=11),30,DAY($B$25)))))</f>
        <v>51698</v>
      </c>
      <c r="C206" s="250" t="str">
        <f t="shared" si="56"/>
        <v/>
      </c>
      <c r="D206" s="251" t="e">
        <f t="shared" si="57"/>
        <v>#N/A</v>
      </c>
      <c r="E206" s="251">
        <f t="shared" si="58"/>
        <v>0</v>
      </c>
      <c r="F206" s="251">
        <f t="shared" si="59"/>
        <v>0</v>
      </c>
      <c r="G206" s="251">
        <f t="shared" si="60"/>
        <v>0</v>
      </c>
      <c r="H206" s="251" t="e">
        <f t="shared" si="61"/>
        <v>#VALUE!</v>
      </c>
      <c r="I206" s="251">
        <f t="shared" si="62"/>
        <v>0</v>
      </c>
      <c r="J206" s="251">
        <f t="shared" si="74"/>
        <v>0</v>
      </c>
      <c r="K206" s="251">
        <f t="shared" si="63"/>
        <v>0</v>
      </c>
      <c r="L206" s="174"/>
      <c r="M206" s="224"/>
      <c r="N206" s="225">
        <f t="shared" si="64"/>
        <v>0</v>
      </c>
      <c r="O206" s="251" t="e">
        <f t="shared" si="65"/>
        <v>#N/A</v>
      </c>
      <c r="P206" s="251">
        <f t="shared" si="75"/>
        <v>0</v>
      </c>
      <c r="Q206" s="251">
        <f t="shared" si="66"/>
        <v>0</v>
      </c>
      <c r="R206" s="251">
        <f t="shared" si="67"/>
        <v>0</v>
      </c>
      <c r="S206" s="251" t="e">
        <f t="shared" si="68"/>
        <v>#VALUE!</v>
      </c>
      <c r="T206" s="251">
        <f t="shared" si="55"/>
        <v>0</v>
      </c>
      <c r="U206" s="252">
        <f>TRUNC(T206*Condições!$C$102,2)</f>
        <v>0</v>
      </c>
      <c r="V206" s="199">
        <f t="shared" si="76"/>
        <v>0</v>
      </c>
      <c r="W206" s="161" t="e">
        <f t="shared" si="69"/>
        <v>#N/A</v>
      </c>
      <c r="X206" s="161" t="e">
        <f t="shared" si="70"/>
        <v>#N/A</v>
      </c>
      <c r="Y206" s="161">
        <f t="shared" si="77"/>
        <v>181</v>
      </c>
      <c r="Z206" s="161">
        <f t="shared" ca="1" si="78"/>
        <v>7</v>
      </c>
      <c r="AG206" s="114">
        <f t="shared" si="79"/>
        <v>0</v>
      </c>
      <c r="AH206" s="113"/>
      <c r="AI206" s="199">
        <f ca="1">IF(AL206=0,0,IF(AL206&gt;Preenchimento!$AA$88*12,0,IF($AC$53=AM206,0,1)))</f>
        <v>0</v>
      </c>
      <c r="AJ206" s="161" t="e">
        <f t="shared" ca="1" si="71"/>
        <v>#N/A</v>
      </c>
      <c r="AK206" s="161" t="e">
        <f t="shared" ca="1" si="72"/>
        <v>#N/A</v>
      </c>
      <c r="AL206" s="161">
        <f ca="1">IF(Y206&gt;(Preenchimento!$AA$90*12),0,Fixa!Y206)</f>
        <v>0</v>
      </c>
      <c r="AM206" s="161">
        <f t="shared" ca="1" si="80"/>
        <v>7</v>
      </c>
      <c r="AN206" s="199">
        <f ca="1">IF(AQ206&gt;Preenchimento!$AA$90*12,0,1)</f>
        <v>0</v>
      </c>
      <c r="AO206" s="161" t="e">
        <f ca="1">1/((1+SAC!$AD$29)^AL206)</f>
        <v>#N/A</v>
      </c>
      <c r="AP206" s="82" t="e">
        <f t="shared" ca="1" si="81"/>
        <v>#N/A</v>
      </c>
      <c r="AQ206" s="82">
        <v>181</v>
      </c>
      <c r="AS206" s="477">
        <f t="shared" ca="1" si="73"/>
        <v>0</v>
      </c>
    </row>
    <row r="207" spans="1:45" ht="12" customHeight="1">
      <c r="A207" s="53">
        <v>182</v>
      </c>
      <c r="B207" s="249">
        <f ca="1">DATE(IF(MONTH(B206)=12,YEAR(B206)+1,YEAR(B206)),IF(MONTH(B206)=12,1,MONTH(B206)+1),MIN(DAY(Condições!$C$109),IF(IF(MONTH(B206)=12,1,MONTH(B206)+1)=2,IF(MOD(IF(MONTH(B206)=12,YEAR(B206)+1,YEAR(B206)),4)=0,29,28),IF(OR(IF(MONTH(B206)=12,1,MONTH(B206)+1)=4,IF(MONTH(B206)=12,1,MONTH(B206)+1)=6,IF(MONTH(B206)=12,1,MONTH(B206)+1)=9,IF(MONTH(B206)=12,1,MONTH(B206)+1)=11),30,DAY($B$25)))))</f>
        <v>51729</v>
      </c>
      <c r="C207" s="250" t="str">
        <f t="shared" si="56"/>
        <v/>
      </c>
      <c r="D207" s="251" t="e">
        <f t="shared" si="57"/>
        <v>#N/A</v>
      </c>
      <c r="E207" s="251">
        <f t="shared" si="58"/>
        <v>0</v>
      </c>
      <c r="F207" s="251">
        <f t="shared" si="59"/>
        <v>0</v>
      </c>
      <c r="G207" s="251">
        <f t="shared" si="60"/>
        <v>0</v>
      </c>
      <c r="H207" s="251" t="e">
        <f t="shared" si="61"/>
        <v>#VALUE!</v>
      </c>
      <c r="I207" s="251">
        <f t="shared" si="62"/>
        <v>0</v>
      </c>
      <c r="J207" s="251">
        <f t="shared" si="74"/>
        <v>0</v>
      </c>
      <c r="K207" s="251">
        <f t="shared" si="63"/>
        <v>0</v>
      </c>
      <c r="L207" s="174"/>
      <c r="M207" s="224"/>
      <c r="N207" s="225">
        <f t="shared" si="64"/>
        <v>0</v>
      </c>
      <c r="O207" s="251" t="e">
        <f t="shared" si="65"/>
        <v>#N/A</v>
      </c>
      <c r="P207" s="251">
        <f t="shared" si="75"/>
        <v>0</v>
      </c>
      <c r="Q207" s="251">
        <f t="shared" si="66"/>
        <v>0</v>
      </c>
      <c r="R207" s="251">
        <f t="shared" si="67"/>
        <v>0</v>
      </c>
      <c r="S207" s="251" t="e">
        <f t="shared" si="68"/>
        <v>#VALUE!</v>
      </c>
      <c r="T207" s="251">
        <f t="shared" si="55"/>
        <v>0</v>
      </c>
      <c r="U207" s="252">
        <f>TRUNC(T207*Condições!$C$102,2)</f>
        <v>0</v>
      </c>
      <c r="V207" s="199">
        <f t="shared" si="76"/>
        <v>0</v>
      </c>
      <c r="W207" s="161" t="e">
        <f t="shared" si="69"/>
        <v>#N/A</v>
      </c>
      <c r="X207" s="161" t="e">
        <f t="shared" si="70"/>
        <v>#N/A</v>
      </c>
      <c r="Y207" s="161">
        <f t="shared" si="77"/>
        <v>182</v>
      </c>
      <c r="Z207" s="161">
        <f t="shared" ca="1" si="78"/>
        <v>8</v>
      </c>
      <c r="AG207" s="114">
        <f t="shared" si="79"/>
        <v>0</v>
      </c>
      <c r="AH207" s="113"/>
      <c r="AI207" s="199">
        <f ca="1">IF(AL207=0,0,IF(AL207&gt;Preenchimento!$AA$88*12,0,IF($AC$53=AM207,0,1)))</f>
        <v>0</v>
      </c>
      <c r="AJ207" s="161" t="e">
        <f t="shared" ca="1" si="71"/>
        <v>#N/A</v>
      </c>
      <c r="AK207" s="161" t="e">
        <f t="shared" ca="1" si="72"/>
        <v>#N/A</v>
      </c>
      <c r="AL207" s="161">
        <f ca="1">IF(Y207&gt;(Preenchimento!$AA$90*12),0,Fixa!Y207)</f>
        <v>0</v>
      </c>
      <c r="AM207" s="161">
        <f t="shared" ca="1" si="80"/>
        <v>8</v>
      </c>
      <c r="AN207" s="199">
        <f ca="1">IF(AQ207&gt;Preenchimento!$AA$90*12,0,1)</f>
        <v>0</v>
      </c>
      <c r="AO207" s="161" t="e">
        <f ca="1">1/((1+SAC!$AD$29)^AL207)</f>
        <v>#N/A</v>
      </c>
      <c r="AP207" s="82" t="e">
        <f t="shared" ca="1" si="81"/>
        <v>#N/A</v>
      </c>
      <c r="AQ207" s="82">
        <v>182</v>
      </c>
      <c r="AS207" s="477">
        <f t="shared" ca="1" si="73"/>
        <v>0</v>
      </c>
    </row>
    <row r="208" spans="1:45" ht="12" customHeight="1">
      <c r="A208" s="53">
        <v>183</v>
      </c>
      <c r="B208" s="249">
        <f ca="1">DATE(IF(MONTH(B207)=12,YEAR(B207)+1,YEAR(B207)),IF(MONTH(B207)=12,1,MONTH(B207)+1),MIN(DAY(Condições!$C$109),IF(IF(MONTH(B207)=12,1,MONTH(B207)+1)=2,IF(MOD(IF(MONTH(B207)=12,YEAR(B207)+1,YEAR(B207)),4)=0,29,28),IF(OR(IF(MONTH(B207)=12,1,MONTH(B207)+1)=4,IF(MONTH(B207)=12,1,MONTH(B207)+1)=6,IF(MONTH(B207)=12,1,MONTH(B207)+1)=9,IF(MONTH(B207)=12,1,MONTH(B207)+1)=11),30,DAY($B$25)))))</f>
        <v>51760</v>
      </c>
      <c r="C208" s="250" t="str">
        <f t="shared" si="56"/>
        <v/>
      </c>
      <c r="D208" s="251" t="e">
        <f t="shared" si="57"/>
        <v>#N/A</v>
      </c>
      <c r="E208" s="251">
        <f t="shared" si="58"/>
        <v>0</v>
      </c>
      <c r="F208" s="251">
        <f t="shared" si="59"/>
        <v>0</v>
      </c>
      <c r="G208" s="251">
        <f t="shared" si="60"/>
        <v>0</v>
      </c>
      <c r="H208" s="251" t="e">
        <f t="shared" si="61"/>
        <v>#VALUE!</v>
      </c>
      <c r="I208" s="251">
        <f t="shared" si="62"/>
        <v>0</v>
      </c>
      <c r="J208" s="251">
        <f t="shared" si="74"/>
        <v>0</v>
      </c>
      <c r="K208" s="251">
        <f t="shared" si="63"/>
        <v>0</v>
      </c>
      <c r="L208" s="174"/>
      <c r="M208" s="224"/>
      <c r="N208" s="225">
        <f t="shared" si="64"/>
        <v>0</v>
      </c>
      <c r="O208" s="251" t="e">
        <f t="shared" si="65"/>
        <v>#N/A</v>
      </c>
      <c r="P208" s="251">
        <f t="shared" si="75"/>
        <v>0</v>
      </c>
      <c r="Q208" s="251">
        <f t="shared" si="66"/>
        <v>0</v>
      </c>
      <c r="R208" s="251">
        <f t="shared" si="67"/>
        <v>0</v>
      </c>
      <c r="S208" s="251" t="e">
        <f t="shared" si="68"/>
        <v>#VALUE!</v>
      </c>
      <c r="T208" s="251">
        <f t="shared" si="55"/>
        <v>0</v>
      </c>
      <c r="U208" s="252">
        <f>TRUNC(T208*Condições!$C$102,2)</f>
        <v>0</v>
      </c>
      <c r="V208" s="199">
        <f t="shared" si="76"/>
        <v>0</v>
      </c>
      <c r="W208" s="161" t="e">
        <f t="shared" si="69"/>
        <v>#N/A</v>
      </c>
      <c r="X208" s="161" t="e">
        <f t="shared" si="70"/>
        <v>#N/A</v>
      </c>
      <c r="Y208" s="161">
        <f t="shared" si="77"/>
        <v>183</v>
      </c>
      <c r="Z208" s="161">
        <f t="shared" ca="1" si="78"/>
        <v>9</v>
      </c>
      <c r="AG208" s="114">
        <f t="shared" si="79"/>
        <v>0</v>
      </c>
      <c r="AH208" s="113"/>
      <c r="AI208" s="199">
        <f ca="1">IF(AL208=0,0,IF(AL208&gt;Preenchimento!$AA$88*12,0,IF($AC$53=AM208,0,1)))</f>
        <v>0</v>
      </c>
      <c r="AJ208" s="161" t="e">
        <f t="shared" ca="1" si="71"/>
        <v>#N/A</v>
      </c>
      <c r="AK208" s="161" t="e">
        <f t="shared" ca="1" si="72"/>
        <v>#N/A</v>
      </c>
      <c r="AL208" s="161">
        <f ca="1">IF(Y208&gt;(Preenchimento!$AA$90*12),0,Fixa!Y208)</f>
        <v>0</v>
      </c>
      <c r="AM208" s="161">
        <f t="shared" ca="1" si="80"/>
        <v>9</v>
      </c>
      <c r="AN208" s="199">
        <f ca="1">IF(AQ208&gt;Preenchimento!$AA$90*12,0,1)</f>
        <v>0</v>
      </c>
      <c r="AO208" s="161" t="e">
        <f ca="1">1/((1+SAC!$AD$29)^AL208)</f>
        <v>#N/A</v>
      </c>
      <c r="AP208" s="82" t="e">
        <f t="shared" ca="1" si="81"/>
        <v>#N/A</v>
      </c>
      <c r="AQ208" s="82">
        <v>183</v>
      </c>
      <c r="AS208" s="477">
        <f t="shared" ca="1" si="73"/>
        <v>0</v>
      </c>
    </row>
    <row r="209" spans="1:45" ht="12" customHeight="1">
      <c r="A209" s="53">
        <v>184</v>
      </c>
      <c r="B209" s="249">
        <f ca="1">DATE(IF(MONTH(B208)=12,YEAR(B208)+1,YEAR(B208)),IF(MONTH(B208)=12,1,MONTH(B208)+1),MIN(DAY(Condições!$C$109),IF(IF(MONTH(B208)=12,1,MONTH(B208)+1)=2,IF(MOD(IF(MONTH(B208)=12,YEAR(B208)+1,YEAR(B208)),4)=0,29,28),IF(OR(IF(MONTH(B208)=12,1,MONTH(B208)+1)=4,IF(MONTH(B208)=12,1,MONTH(B208)+1)=6,IF(MONTH(B208)=12,1,MONTH(B208)+1)=9,IF(MONTH(B208)=12,1,MONTH(B208)+1)=11),30,DAY($B$25)))))</f>
        <v>51790</v>
      </c>
      <c r="C209" s="250" t="str">
        <f t="shared" si="56"/>
        <v/>
      </c>
      <c r="D209" s="251" t="e">
        <f t="shared" si="57"/>
        <v>#N/A</v>
      </c>
      <c r="E209" s="251">
        <f t="shared" si="58"/>
        <v>0</v>
      </c>
      <c r="F209" s="251">
        <f t="shared" si="59"/>
        <v>0</v>
      </c>
      <c r="G209" s="251">
        <f t="shared" si="60"/>
        <v>0</v>
      </c>
      <c r="H209" s="251" t="e">
        <f t="shared" si="61"/>
        <v>#VALUE!</v>
      </c>
      <c r="I209" s="251">
        <f t="shared" si="62"/>
        <v>0</v>
      </c>
      <c r="J209" s="251">
        <f t="shared" si="74"/>
        <v>0</v>
      </c>
      <c r="K209" s="251">
        <f t="shared" si="63"/>
        <v>0</v>
      </c>
      <c r="L209" s="174"/>
      <c r="M209" s="224"/>
      <c r="N209" s="225">
        <f t="shared" si="64"/>
        <v>0</v>
      </c>
      <c r="O209" s="251" t="e">
        <f t="shared" si="65"/>
        <v>#N/A</v>
      </c>
      <c r="P209" s="251">
        <f t="shared" si="75"/>
        <v>0</v>
      </c>
      <c r="Q209" s="251">
        <f t="shared" si="66"/>
        <v>0</v>
      </c>
      <c r="R209" s="251">
        <f t="shared" si="67"/>
        <v>0</v>
      </c>
      <c r="S209" s="251" t="e">
        <f t="shared" si="68"/>
        <v>#VALUE!</v>
      </c>
      <c r="T209" s="251">
        <f t="shared" si="55"/>
        <v>0</v>
      </c>
      <c r="U209" s="252">
        <f>TRUNC(T209*Condições!$C$102,2)</f>
        <v>0</v>
      </c>
      <c r="V209" s="199">
        <f t="shared" si="76"/>
        <v>0</v>
      </c>
      <c r="W209" s="161" t="e">
        <f t="shared" si="69"/>
        <v>#N/A</v>
      </c>
      <c r="X209" s="161" t="e">
        <f t="shared" si="70"/>
        <v>#N/A</v>
      </c>
      <c r="Y209" s="161">
        <f t="shared" si="77"/>
        <v>184</v>
      </c>
      <c r="Z209" s="161">
        <f t="shared" ca="1" si="78"/>
        <v>10</v>
      </c>
      <c r="AG209" s="114">
        <f t="shared" si="79"/>
        <v>0</v>
      </c>
      <c r="AH209" s="113"/>
      <c r="AI209" s="199">
        <f ca="1">IF(AL209=0,0,IF(AL209&gt;Preenchimento!$AA$88*12,0,IF($AC$53=AM209,0,1)))</f>
        <v>0</v>
      </c>
      <c r="AJ209" s="161" t="e">
        <f t="shared" ca="1" si="71"/>
        <v>#N/A</v>
      </c>
      <c r="AK209" s="161" t="e">
        <f t="shared" ca="1" si="72"/>
        <v>#N/A</v>
      </c>
      <c r="AL209" s="161">
        <f ca="1">IF(Y209&gt;(Preenchimento!$AA$90*12),0,Fixa!Y209)</f>
        <v>0</v>
      </c>
      <c r="AM209" s="161">
        <f t="shared" ca="1" si="80"/>
        <v>10</v>
      </c>
      <c r="AN209" s="199">
        <f ca="1">IF(AQ209&gt;Preenchimento!$AA$90*12,0,1)</f>
        <v>0</v>
      </c>
      <c r="AO209" s="161" t="e">
        <f ca="1">1/((1+SAC!$AD$29)^AL209)</f>
        <v>#N/A</v>
      </c>
      <c r="AP209" s="82" t="e">
        <f t="shared" ca="1" si="81"/>
        <v>#N/A</v>
      </c>
      <c r="AQ209" s="82">
        <v>184</v>
      </c>
      <c r="AS209" s="477">
        <f t="shared" ca="1" si="73"/>
        <v>0</v>
      </c>
    </row>
    <row r="210" spans="1:45" ht="12" customHeight="1">
      <c r="A210" s="53">
        <v>185</v>
      </c>
      <c r="B210" s="249">
        <f ca="1">DATE(IF(MONTH(B209)=12,YEAR(B209)+1,YEAR(B209)),IF(MONTH(B209)=12,1,MONTH(B209)+1),MIN(DAY(Condições!$C$109),IF(IF(MONTH(B209)=12,1,MONTH(B209)+1)=2,IF(MOD(IF(MONTH(B209)=12,YEAR(B209)+1,YEAR(B209)),4)=0,29,28),IF(OR(IF(MONTH(B209)=12,1,MONTH(B209)+1)=4,IF(MONTH(B209)=12,1,MONTH(B209)+1)=6,IF(MONTH(B209)=12,1,MONTH(B209)+1)=9,IF(MONTH(B209)=12,1,MONTH(B209)+1)=11),30,DAY($B$25)))))</f>
        <v>51821</v>
      </c>
      <c r="C210" s="250" t="str">
        <f t="shared" si="56"/>
        <v/>
      </c>
      <c r="D210" s="251" t="e">
        <f t="shared" si="57"/>
        <v>#N/A</v>
      </c>
      <c r="E210" s="251">
        <f t="shared" si="58"/>
        <v>0</v>
      </c>
      <c r="F210" s="251">
        <f t="shared" si="59"/>
        <v>0</v>
      </c>
      <c r="G210" s="251">
        <f t="shared" si="60"/>
        <v>0</v>
      </c>
      <c r="H210" s="251" t="e">
        <f t="shared" si="61"/>
        <v>#VALUE!</v>
      </c>
      <c r="I210" s="251">
        <f t="shared" si="62"/>
        <v>0</v>
      </c>
      <c r="J210" s="251">
        <f t="shared" si="74"/>
        <v>0</v>
      </c>
      <c r="K210" s="251">
        <f t="shared" si="63"/>
        <v>0</v>
      </c>
      <c r="L210" s="174"/>
      <c r="M210" s="224"/>
      <c r="N210" s="225">
        <f t="shared" si="64"/>
        <v>0</v>
      </c>
      <c r="O210" s="251" t="e">
        <f t="shared" si="65"/>
        <v>#N/A</v>
      </c>
      <c r="P210" s="251">
        <f t="shared" si="75"/>
        <v>0</v>
      </c>
      <c r="Q210" s="251">
        <f t="shared" si="66"/>
        <v>0</v>
      </c>
      <c r="R210" s="251">
        <f t="shared" si="67"/>
        <v>0</v>
      </c>
      <c r="S210" s="251" t="e">
        <f t="shared" si="68"/>
        <v>#VALUE!</v>
      </c>
      <c r="T210" s="251">
        <f t="shared" si="55"/>
        <v>0</v>
      </c>
      <c r="U210" s="252">
        <f>TRUNC(T210*Condições!$C$102,2)</f>
        <v>0</v>
      </c>
      <c r="V210" s="199">
        <f t="shared" si="76"/>
        <v>0</v>
      </c>
      <c r="W210" s="161" t="e">
        <f t="shared" si="69"/>
        <v>#N/A</v>
      </c>
      <c r="X210" s="161" t="e">
        <f t="shared" si="70"/>
        <v>#N/A</v>
      </c>
      <c r="Y210" s="161">
        <f t="shared" si="77"/>
        <v>185</v>
      </c>
      <c r="Z210" s="161">
        <f t="shared" ca="1" si="78"/>
        <v>11</v>
      </c>
      <c r="AG210" s="114">
        <f t="shared" si="79"/>
        <v>0</v>
      </c>
      <c r="AH210" s="113"/>
      <c r="AI210" s="199">
        <f ca="1">IF(AL210=0,0,IF(AL210&gt;Preenchimento!$AA$88*12,0,IF($AC$53=AM210,0,1)))</f>
        <v>0</v>
      </c>
      <c r="AJ210" s="161" t="e">
        <f t="shared" ca="1" si="71"/>
        <v>#N/A</v>
      </c>
      <c r="AK210" s="161" t="e">
        <f t="shared" ca="1" si="72"/>
        <v>#N/A</v>
      </c>
      <c r="AL210" s="161">
        <f ca="1">IF(Y210&gt;(Preenchimento!$AA$90*12),0,Fixa!Y210)</f>
        <v>0</v>
      </c>
      <c r="AM210" s="161">
        <f t="shared" ca="1" si="80"/>
        <v>11</v>
      </c>
      <c r="AN210" s="199">
        <f ca="1">IF(AQ210&gt;Preenchimento!$AA$90*12,0,1)</f>
        <v>0</v>
      </c>
      <c r="AO210" s="161" t="e">
        <f ca="1">1/((1+SAC!$AD$29)^AL210)</f>
        <v>#N/A</v>
      </c>
      <c r="AP210" s="82" t="e">
        <f t="shared" ca="1" si="81"/>
        <v>#N/A</v>
      </c>
      <c r="AQ210" s="82">
        <v>185</v>
      </c>
      <c r="AS210" s="477">
        <f t="shared" ca="1" si="73"/>
        <v>0</v>
      </c>
    </row>
    <row r="211" spans="1:45" ht="12" customHeight="1">
      <c r="A211" s="53">
        <v>186</v>
      </c>
      <c r="B211" s="249">
        <f ca="1">DATE(IF(MONTH(B210)=12,YEAR(B210)+1,YEAR(B210)),IF(MONTH(B210)=12,1,MONTH(B210)+1),MIN(DAY(Condições!$C$109),IF(IF(MONTH(B210)=12,1,MONTH(B210)+1)=2,IF(MOD(IF(MONTH(B210)=12,YEAR(B210)+1,YEAR(B210)),4)=0,29,28),IF(OR(IF(MONTH(B210)=12,1,MONTH(B210)+1)=4,IF(MONTH(B210)=12,1,MONTH(B210)+1)=6,IF(MONTH(B210)=12,1,MONTH(B210)+1)=9,IF(MONTH(B210)=12,1,MONTH(B210)+1)=11),30,DAY($B$25)))))</f>
        <v>51851</v>
      </c>
      <c r="C211" s="250" t="str">
        <f t="shared" si="56"/>
        <v/>
      </c>
      <c r="D211" s="251" t="e">
        <f t="shared" si="57"/>
        <v>#N/A</v>
      </c>
      <c r="E211" s="251">
        <f t="shared" si="58"/>
        <v>0</v>
      </c>
      <c r="F211" s="251">
        <f t="shared" si="59"/>
        <v>0</v>
      </c>
      <c r="G211" s="251">
        <f t="shared" si="60"/>
        <v>0</v>
      </c>
      <c r="H211" s="251" t="e">
        <f t="shared" si="61"/>
        <v>#VALUE!</v>
      </c>
      <c r="I211" s="251">
        <f t="shared" si="62"/>
        <v>0</v>
      </c>
      <c r="J211" s="251">
        <f t="shared" si="74"/>
        <v>0</v>
      </c>
      <c r="K211" s="251">
        <f t="shared" si="63"/>
        <v>0</v>
      </c>
      <c r="L211" s="174"/>
      <c r="M211" s="224"/>
      <c r="N211" s="225">
        <f t="shared" si="64"/>
        <v>0</v>
      </c>
      <c r="O211" s="251" t="e">
        <f t="shared" si="65"/>
        <v>#N/A</v>
      </c>
      <c r="P211" s="251">
        <f t="shared" si="75"/>
        <v>0</v>
      </c>
      <c r="Q211" s="251">
        <f t="shared" si="66"/>
        <v>0</v>
      </c>
      <c r="R211" s="251">
        <f t="shared" si="67"/>
        <v>0</v>
      </c>
      <c r="S211" s="251" t="e">
        <f t="shared" si="68"/>
        <v>#VALUE!</v>
      </c>
      <c r="T211" s="251">
        <f t="shared" si="55"/>
        <v>0</v>
      </c>
      <c r="U211" s="252">
        <f>TRUNC(T211*Condições!$C$102,2)</f>
        <v>0</v>
      </c>
      <c r="V211" s="199">
        <f t="shared" si="76"/>
        <v>0</v>
      </c>
      <c r="W211" s="161" t="e">
        <f t="shared" si="69"/>
        <v>#N/A</v>
      </c>
      <c r="X211" s="161" t="e">
        <f t="shared" si="70"/>
        <v>#N/A</v>
      </c>
      <c r="Y211" s="161">
        <f t="shared" si="77"/>
        <v>186</v>
      </c>
      <c r="Z211" s="161">
        <f t="shared" ca="1" si="78"/>
        <v>12</v>
      </c>
      <c r="AG211" s="114">
        <f t="shared" si="79"/>
        <v>0</v>
      </c>
      <c r="AH211" s="113"/>
      <c r="AI211" s="199">
        <f ca="1">IF(AL211=0,0,IF(AL211&gt;Preenchimento!$AA$88*12,0,IF($AC$53=AM211,0,1)))</f>
        <v>0</v>
      </c>
      <c r="AJ211" s="161" t="e">
        <f t="shared" ca="1" si="71"/>
        <v>#N/A</v>
      </c>
      <c r="AK211" s="161" t="e">
        <f t="shared" ca="1" si="72"/>
        <v>#N/A</v>
      </c>
      <c r="AL211" s="161">
        <f ca="1">IF(Y211&gt;(Preenchimento!$AA$90*12),0,Fixa!Y211)</f>
        <v>0</v>
      </c>
      <c r="AM211" s="161">
        <f t="shared" ca="1" si="80"/>
        <v>12</v>
      </c>
      <c r="AN211" s="199">
        <f ca="1">IF(AQ211&gt;Preenchimento!$AA$90*12,0,1)</f>
        <v>0</v>
      </c>
      <c r="AO211" s="161" t="e">
        <f ca="1">1/((1+SAC!$AD$29)^AL211)</f>
        <v>#N/A</v>
      </c>
      <c r="AP211" s="82" t="e">
        <f t="shared" ca="1" si="81"/>
        <v>#N/A</v>
      </c>
      <c r="AQ211" s="82">
        <v>186</v>
      </c>
      <c r="AS211" s="477">
        <f t="shared" ca="1" si="73"/>
        <v>0</v>
      </c>
    </row>
    <row r="212" spans="1:45" ht="12" customHeight="1">
      <c r="A212" s="53">
        <v>187</v>
      </c>
      <c r="B212" s="249">
        <f ca="1">DATE(IF(MONTH(B211)=12,YEAR(B211)+1,YEAR(B211)),IF(MONTH(B211)=12,1,MONTH(B211)+1),MIN(DAY(Condições!$C$109),IF(IF(MONTH(B211)=12,1,MONTH(B211)+1)=2,IF(MOD(IF(MONTH(B211)=12,YEAR(B211)+1,YEAR(B211)),4)=0,29,28),IF(OR(IF(MONTH(B211)=12,1,MONTH(B211)+1)=4,IF(MONTH(B211)=12,1,MONTH(B211)+1)=6,IF(MONTH(B211)=12,1,MONTH(B211)+1)=9,IF(MONTH(B211)=12,1,MONTH(B211)+1)=11),30,DAY($B$25)))))</f>
        <v>51882</v>
      </c>
      <c r="C212" s="250" t="str">
        <f t="shared" si="56"/>
        <v/>
      </c>
      <c r="D212" s="251" t="e">
        <f t="shared" si="57"/>
        <v>#N/A</v>
      </c>
      <c r="E212" s="251">
        <f t="shared" si="58"/>
        <v>0</v>
      </c>
      <c r="F212" s="251">
        <f t="shared" si="59"/>
        <v>0</v>
      </c>
      <c r="G212" s="251">
        <f t="shared" si="60"/>
        <v>0</v>
      </c>
      <c r="H212" s="251" t="e">
        <f t="shared" si="61"/>
        <v>#VALUE!</v>
      </c>
      <c r="I212" s="251">
        <f t="shared" si="62"/>
        <v>0</v>
      </c>
      <c r="J212" s="251">
        <f t="shared" si="74"/>
        <v>0</v>
      </c>
      <c r="K212" s="251">
        <f t="shared" si="63"/>
        <v>0</v>
      </c>
      <c r="L212" s="174"/>
      <c r="M212" s="224"/>
      <c r="N212" s="225">
        <f t="shared" si="64"/>
        <v>0</v>
      </c>
      <c r="O212" s="251" t="e">
        <f t="shared" si="65"/>
        <v>#N/A</v>
      </c>
      <c r="P212" s="251">
        <f t="shared" si="75"/>
        <v>0</v>
      </c>
      <c r="Q212" s="251">
        <f t="shared" si="66"/>
        <v>0</v>
      </c>
      <c r="R212" s="251">
        <f t="shared" si="67"/>
        <v>0</v>
      </c>
      <c r="S212" s="251" t="e">
        <f t="shared" si="68"/>
        <v>#VALUE!</v>
      </c>
      <c r="T212" s="251">
        <f t="shared" si="55"/>
        <v>0</v>
      </c>
      <c r="U212" s="252">
        <f>TRUNC(T212*Condições!$C$102,2)</f>
        <v>0</v>
      </c>
      <c r="V212" s="199">
        <f t="shared" si="76"/>
        <v>0</v>
      </c>
      <c r="W212" s="161" t="e">
        <f t="shared" si="69"/>
        <v>#N/A</v>
      </c>
      <c r="X212" s="161" t="e">
        <f t="shared" si="70"/>
        <v>#N/A</v>
      </c>
      <c r="Y212" s="161">
        <f t="shared" si="77"/>
        <v>187</v>
      </c>
      <c r="Z212" s="161">
        <f t="shared" ca="1" si="78"/>
        <v>1</v>
      </c>
      <c r="AG212" s="114">
        <f t="shared" si="79"/>
        <v>0</v>
      </c>
      <c r="AH212" s="113"/>
      <c r="AI212" s="199">
        <f ca="1">IF(AL212=0,0,IF(AL212&gt;Preenchimento!$AA$88*12,0,IF($AC$53=AM212,0,1)))</f>
        <v>0</v>
      </c>
      <c r="AJ212" s="161" t="e">
        <f t="shared" ca="1" si="71"/>
        <v>#N/A</v>
      </c>
      <c r="AK212" s="161" t="e">
        <f t="shared" ca="1" si="72"/>
        <v>#N/A</v>
      </c>
      <c r="AL212" s="161">
        <f ca="1">IF(Y212&gt;(Preenchimento!$AA$90*12),0,Fixa!Y212)</f>
        <v>0</v>
      </c>
      <c r="AM212" s="161">
        <f t="shared" ca="1" si="80"/>
        <v>1</v>
      </c>
      <c r="AN212" s="199">
        <f ca="1">IF(AQ212&gt;Preenchimento!$AA$90*12,0,1)</f>
        <v>0</v>
      </c>
      <c r="AO212" s="161" t="e">
        <f ca="1">1/((1+SAC!$AD$29)^AL212)</f>
        <v>#N/A</v>
      </c>
      <c r="AP212" s="82" t="e">
        <f t="shared" ca="1" si="81"/>
        <v>#N/A</v>
      </c>
      <c r="AQ212" s="82">
        <v>187</v>
      </c>
      <c r="AS212" s="477">
        <f t="shared" ca="1" si="73"/>
        <v>0</v>
      </c>
    </row>
    <row r="213" spans="1:45" ht="12" customHeight="1">
      <c r="A213" s="53">
        <v>188</v>
      </c>
      <c r="B213" s="249">
        <f ca="1">DATE(IF(MONTH(B212)=12,YEAR(B212)+1,YEAR(B212)),IF(MONTH(B212)=12,1,MONTH(B212)+1),MIN(DAY(Condições!$C$109),IF(IF(MONTH(B212)=12,1,MONTH(B212)+1)=2,IF(MOD(IF(MONTH(B212)=12,YEAR(B212)+1,YEAR(B212)),4)=0,29,28),IF(OR(IF(MONTH(B212)=12,1,MONTH(B212)+1)=4,IF(MONTH(B212)=12,1,MONTH(B212)+1)=6,IF(MONTH(B212)=12,1,MONTH(B212)+1)=9,IF(MONTH(B212)=12,1,MONTH(B212)+1)=11),30,DAY($B$25)))))</f>
        <v>51913</v>
      </c>
      <c r="C213" s="250" t="str">
        <f t="shared" si="56"/>
        <v/>
      </c>
      <c r="D213" s="251" t="e">
        <f t="shared" si="57"/>
        <v>#N/A</v>
      </c>
      <c r="E213" s="251">
        <f t="shared" si="58"/>
        <v>0</v>
      </c>
      <c r="F213" s="251">
        <f t="shared" si="59"/>
        <v>0</v>
      </c>
      <c r="G213" s="251">
        <f t="shared" si="60"/>
        <v>0</v>
      </c>
      <c r="H213" s="251" t="e">
        <f t="shared" si="61"/>
        <v>#VALUE!</v>
      </c>
      <c r="I213" s="251">
        <f t="shared" si="62"/>
        <v>0</v>
      </c>
      <c r="J213" s="251">
        <f t="shared" si="74"/>
        <v>0</v>
      </c>
      <c r="K213" s="251">
        <f t="shared" si="63"/>
        <v>0</v>
      </c>
      <c r="L213" s="174"/>
      <c r="M213" s="224"/>
      <c r="N213" s="225">
        <f t="shared" si="64"/>
        <v>0</v>
      </c>
      <c r="O213" s="251" t="e">
        <f t="shared" si="65"/>
        <v>#N/A</v>
      </c>
      <c r="P213" s="251">
        <f t="shared" si="75"/>
        <v>0</v>
      </c>
      <c r="Q213" s="251">
        <f t="shared" si="66"/>
        <v>0</v>
      </c>
      <c r="R213" s="251">
        <f t="shared" si="67"/>
        <v>0</v>
      </c>
      <c r="S213" s="251" t="e">
        <f t="shared" si="68"/>
        <v>#VALUE!</v>
      </c>
      <c r="T213" s="251">
        <f t="shared" si="55"/>
        <v>0</v>
      </c>
      <c r="U213" s="252">
        <f>TRUNC(T213*Condições!$C$102,2)</f>
        <v>0</v>
      </c>
      <c r="V213" s="199">
        <f t="shared" si="76"/>
        <v>0</v>
      </c>
      <c r="W213" s="161" t="e">
        <f t="shared" si="69"/>
        <v>#N/A</v>
      </c>
      <c r="X213" s="161" t="e">
        <f t="shared" si="70"/>
        <v>#N/A</v>
      </c>
      <c r="Y213" s="161">
        <f t="shared" si="77"/>
        <v>188</v>
      </c>
      <c r="Z213" s="161">
        <f t="shared" ca="1" si="78"/>
        <v>2</v>
      </c>
      <c r="AG213" s="114">
        <f t="shared" si="79"/>
        <v>0</v>
      </c>
      <c r="AH213" s="113"/>
      <c r="AI213" s="199">
        <f ca="1">IF(AL213=0,0,IF(AL213&gt;Preenchimento!$AA$88*12,0,IF($AC$53=AM213,0,1)))</f>
        <v>0</v>
      </c>
      <c r="AJ213" s="161" t="e">
        <f t="shared" ca="1" si="71"/>
        <v>#N/A</v>
      </c>
      <c r="AK213" s="161" t="e">
        <f t="shared" ca="1" si="72"/>
        <v>#N/A</v>
      </c>
      <c r="AL213" s="161">
        <f ca="1">IF(Y213&gt;(Preenchimento!$AA$90*12),0,Fixa!Y213)</f>
        <v>0</v>
      </c>
      <c r="AM213" s="161">
        <f t="shared" ca="1" si="80"/>
        <v>2</v>
      </c>
      <c r="AN213" s="199">
        <f ca="1">IF(AQ213&gt;Preenchimento!$AA$90*12,0,1)</f>
        <v>0</v>
      </c>
      <c r="AO213" s="161" t="e">
        <f ca="1">1/((1+SAC!$AD$29)^AL213)</f>
        <v>#N/A</v>
      </c>
      <c r="AP213" s="82" t="e">
        <f t="shared" ca="1" si="81"/>
        <v>#N/A</v>
      </c>
      <c r="AQ213" s="82">
        <v>188</v>
      </c>
      <c r="AS213" s="477">
        <f t="shared" ca="1" si="73"/>
        <v>0</v>
      </c>
    </row>
    <row r="214" spans="1:45" ht="12" customHeight="1">
      <c r="A214" s="53">
        <v>189</v>
      </c>
      <c r="B214" s="249">
        <f ca="1">DATE(IF(MONTH(B213)=12,YEAR(B213)+1,YEAR(B213)),IF(MONTH(B213)=12,1,MONTH(B213)+1),MIN(DAY(Condições!$C$109),IF(IF(MONTH(B213)=12,1,MONTH(B213)+1)=2,IF(MOD(IF(MONTH(B213)=12,YEAR(B213)+1,YEAR(B213)),4)=0,29,28),IF(OR(IF(MONTH(B213)=12,1,MONTH(B213)+1)=4,IF(MONTH(B213)=12,1,MONTH(B213)+1)=6,IF(MONTH(B213)=12,1,MONTH(B213)+1)=9,IF(MONTH(B213)=12,1,MONTH(B213)+1)=11),30,DAY($B$25)))))</f>
        <v>51941</v>
      </c>
      <c r="C214" s="250" t="str">
        <f t="shared" si="56"/>
        <v/>
      </c>
      <c r="D214" s="251" t="e">
        <f t="shared" si="57"/>
        <v>#N/A</v>
      </c>
      <c r="E214" s="251">
        <f t="shared" si="58"/>
        <v>0</v>
      </c>
      <c r="F214" s="251">
        <f t="shared" si="59"/>
        <v>0</v>
      </c>
      <c r="G214" s="251">
        <f t="shared" si="60"/>
        <v>0</v>
      </c>
      <c r="H214" s="251" t="e">
        <f t="shared" si="61"/>
        <v>#VALUE!</v>
      </c>
      <c r="I214" s="251">
        <f t="shared" si="62"/>
        <v>0</v>
      </c>
      <c r="J214" s="251">
        <f t="shared" si="74"/>
        <v>0</v>
      </c>
      <c r="K214" s="251">
        <f t="shared" si="63"/>
        <v>0</v>
      </c>
      <c r="L214" s="174"/>
      <c r="M214" s="224"/>
      <c r="N214" s="225">
        <f t="shared" si="64"/>
        <v>0</v>
      </c>
      <c r="O214" s="251" t="e">
        <f t="shared" si="65"/>
        <v>#N/A</v>
      </c>
      <c r="P214" s="251">
        <f t="shared" si="75"/>
        <v>0</v>
      </c>
      <c r="Q214" s="251">
        <f t="shared" si="66"/>
        <v>0</v>
      </c>
      <c r="R214" s="251">
        <f t="shared" si="67"/>
        <v>0</v>
      </c>
      <c r="S214" s="251" t="e">
        <f t="shared" si="68"/>
        <v>#VALUE!</v>
      </c>
      <c r="T214" s="251">
        <f t="shared" si="55"/>
        <v>0</v>
      </c>
      <c r="U214" s="252">
        <f>TRUNC(T214*Condições!$C$102,2)</f>
        <v>0</v>
      </c>
      <c r="V214" s="199">
        <f t="shared" si="76"/>
        <v>0</v>
      </c>
      <c r="W214" s="161" t="e">
        <f t="shared" si="69"/>
        <v>#N/A</v>
      </c>
      <c r="X214" s="161" t="e">
        <f t="shared" si="70"/>
        <v>#N/A</v>
      </c>
      <c r="Y214" s="161">
        <f t="shared" si="77"/>
        <v>189</v>
      </c>
      <c r="Z214" s="161">
        <f t="shared" ca="1" si="78"/>
        <v>3</v>
      </c>
      <c r="AG214" s="114">
        <f t="shared" si="79"/>
        <v>0</v>
      </c>
      <c r="AH214" s="113"/>
      <c r="AI214" s="199">
        <f ca="1">IF(AL214=0,0,IF(AL214&gt;Preenchimento!$AA$88*12,0,IF($AC$53=AM214,0,1)))</f>
        <v>0</v>
      </c>
      <c r="AJ214" s="161" t="e">
        <f t="shared" ca="1" si="71"/>
        <v>#N/A</v>
      </c>
      <c r="AK214" s="161" t="e">
        <f t="shared" ca="1" si="72"/>
        <v>#N/A</v>
      </c>
      <c r="AL214" s="161">
        <f ca="1">IF(Y214&gt;(Preenchimento!$AA$90*12),0,Fixa!Y214)</f>
        <v>0</v>
      </c>
      <c r="AM214" s="161">
        <f t="shared" ca="1" si="80"/>
        <v>3</v>
      </c>
      <c r="AN214" s="199">
        <f ca="1">IF(AQ214&gt;Preenchimento!$AA$90*12,0,1)</f>
        <v>0</v>
      </c>
      <c r="AO214" s="161" t="e">
        <f ca="1">1/((1+SAC!$AD$29)^AL214)</f>
        <v>#N/A</v>
      </c>
      <c r="AP214" s="82" t="e">
        <f t="shared" ca="1" si="81"/>
        <v>#N/A</v>
      </c>
      <c r="AQ214" s="82">
        <v>189</v>
      </c>
      <c r="AS214" s="477">
        <f t="shared" ca="1" si="73"/>
        <v>0</v>
      </c>
    </row>
    <row r="215" spans="1:45" ht="12" customHeight="1">
      <c r="A215" s="53">
        <v>190</v>
      </c>
      <c r="B215" s="249">
        <f ca="1">DATE(IF(MONTH(B214)=12,YEAR(B214)+1,YEAR(B214)),IF(MONTH(B214)=12,1,MONTH(B214)+1),MIN(DAY(Condições!$C$109),IF(IF(MONTH(B214)=12,1,MONTH(B214)+1)=2,IF(MOD(IF(MONTH(B214)=12,YEAR(B214)+1,YEAR(B214)),4)=0,29,28),IF(OR(IF(MONTH(B214)=12,1,MONTH(B214)+1)=4,IF(MONTH(B214)=12,1,MONTH(B214)+1)=6,IF(MONTH(B214)=12,1,MONTH(B214)+1)=9,IF(MONTH(B214)=12,1,MONTH(B214)+1)=11),30,DAY($B$25)))))</f>
        <v>51972</v>
      </c>
      <c r="C215" s="250" t="str">
        <f t="shared" si="56"/>
        <v/>
      </c>
      <c r="D215" s="251" t="e">
        <f t="shared" si="57"/>
        <v>#N/A</v>
      </c>
      <c r="E215" s="251">
        <f t="shared" si="58"/>
        <v>0</v>
      </c>
      <c r="F215" s="251">
        <f t="shared" si="59"/>
        <v>0</v>
      </c>
      <c r="G215" s="251">
        <f t="shared" si="60"/>
        <v>0</v>
      </c>
      <c r="H215" s="251" t="e">
        <f t="shared" si="61"/>
        <v>#VALUE!</v>
      </c>
      <c r="I215" s="251">
        <f t="shared" si="62"/>
        <v>0</v>
      </c>
      <c r="J215" s="251">
        <f t="shared" si="74"/>
        <v>0</v>
      </c>
      <c r="K215" s="251">
        <f t="shared" si="63"/>
        <v>0</v>
      </c>
      <c r="L215" s="174"/>
      <c r="M215" s="224"/>
      <c r="N215" s="225">
        <f t="shared" si="64"/>
        <v>0</v>
      </c>
      <c r="O215" s="251" t="e">
        <f t="shared" si="65"/>
        <v>#N/A</v>
      </c>
      <c r="P215" s="251">
        <f t="shared" si="75"/>
        <v>0</v>
      </c>
      <c r="Q215" s="251">
        <f t="shared" si="66"/>
        <v>0</v>
      </c>
      <c r="R215" s="251">
        <f t="shared" si="67"/>
        <v>0</v>
      </c>
      <c r="S215" s="251" t="e">
        <f t="shared" si="68"/>
        <v>#VALUE!</v>
      </c>
      <c r="T215" s="251">
        <f t="shared" si="55"/>
        <v>0</v>
      </c>
      <c r="U215" s="252">
        <f>TRUNC(T215*Condições!$C$102,2)</f>
        <v>0</v>
      </c>
      <c r="V215" s="199">
        <f t="shared" si="76"/>
        <v>0</v>
      </c>
      <c r="W215" s="161" t="e">
        <f t="shared" si="69"/>
        <v>#N/A</v>
      </c>
      <c r="X215" s="161" t="e">
        <f t="shared" si="70"/>
        <v>#N/A</v>
      </c>
      <c r="Y215" s="161">
        <f t="shared" si="77"/>
        <v>190</v>
      </c>
      <c r="Z215" s="161">
        <f t="shared" ca="1" si="78"/>
        <v>4</v>
      </c>
      <c r="AG215" s="114">
        <f t="shared" si="79"/>
        <v>0</v>
      </c>
      <c r="AH215" s="113"/>
      <c r="AI215" s="199">
        <f ca="1">IF(AL215=0,0,IF(AL215&gt;Preenchimento!$AA$88*12,0,IF($AC$53=AM215,0,1)))</f>
        <v>0</v>
      </c>
      <c r="AJ215" s="161" t="e">
        <f t="shared" ca="1" si="71"/>
        <v>#N/A</v>
      </c>
      <c r="AK215" s="161" t="e">
        <f t="shared" ca="1" si="72"/>
        <v>#N/A</v>
      </c>
      <c r="AL215" s="161">
        <f ca="1">IF(Y215&gt;(Preenchimento!$AA$90*12),0,Fixa!Y215)</f>
        <v>0</v>
      </c>
      <c r="AM215" s="161">
        <f t="shared" ca="1" si="80"/>
        <v>4</v>
      </c>
      <c r="AN215" s="199">
        <f ca="1">IF(AQ215&gt;Preenchimento!$AA$90*12,0,1)</f>
        <v>0</v>
      </c>
      <c r="AO215" s="161" t="e">
        <f ca="1">1/((1+SAC!$AD$29)^AL215)</f>
        <v>#N/A</v>
      </c>
      <c r="AP215" s="82" t="e">
        <f t="shared" ca="1" si="81"/>
        <v>#N/A</v>
      </c>
      <c r="AQ215" s="82">
        <v>190</v>
      </c>
      <c r="AS215" s="477">
        <f t="shared" ca="1" si="73"/>
        <v>0</v>
      </c>
    </row>
    <row r="216" spans="1:45" ht="12" customHeight="1">
      <c r="A216" s="53">
        <v>191</v>
      </c>
      <c r="B216" s="249">
        <f ca="1">DATE(IF(MONTH(B215)=12,YEAR(B215)+1,YEAR(B215)),IF(MONTH(B215)=12,1,MONTH(B215)+1),MIN(DAY(Condições!$C$109),IF(IF(MONTH(B215)=12,1,MONTH(B215)+1)=2,IF(MOD(IF(MONTH(B215)=12,YEAR(B215)+1,YEAR(B215)),4)=0,29,28),IF(OR(IF(MONTH(B215)=12,1,MONTH(B215)+1)=4,IF(MONTH(B215)=12,1,MONTH(B215)+1)=6,IF(MONTH(B215)=12,1,MONTH(B215)+1)=9,IF(MONTH(B215)=12,1,MONTH(B215)+1)=11),30,DAY($B$25)))))</f>
        <v>52002</v>
      </c>
      <c r="C216" s="250" t="str">
        <f t="shared" si="56"/>
        <v/>
      </c>
      <c r="D216" s="251" t="e">
        <f t="shared" si="57"/>
        <v>#N/A</v>
      </c>
      <c r="E216" s="251">
        <f t="shared" si="58"/>
        <v>0</v>
      </c>
      <c r="F216" s="251">
        <f t="shared" si="59"/>
        <v>0</v>
      </c>
      <c r="G216" s="251">
        <f t="shared" si="60"/>
        <v>0</v>
      </c>
      <c r="H216" s="251" t="e">
        <f t="shared" si="61"/>
        <v>#VALUE!</v>
      </c>
      <c r="I216" s="251">
        <f t="shared" si="62"/>
        <v>0</v>
      </c>
      <c r="J216" s="251">
        <f t="shared" si="74"/>
        <v>0</v>
      </c>
      <c r="K216" s="251">
        <f t="shared" si="63"/>
        <v>0</v>
      </c>
      <c r="L216" s="174"/>
      <c r="M216" s="224"/>
      <c r="N216" s="225">
        <f t="shared" si="64"/>
        <v>0</v>
      </c>
      <c r="O216" s="251" t="e">
        <f t="shared" si="65"/>
        <v>#N/A</v>
      </c>
      <c r="P216" s="251">
        <f t="shared" si="75"/>
        <v>0</v>
      </c>
      <c r="Q216" s="251">
        <f t="shared" si="66"/>
        <v>0</v>
      </c>
      <c r="R216" s="251">
        <f t="shared" si="67"/>
        <v>0</v>
      </c>
      <c r="S216" s="251" t="e">
        <f t="shared" si="68"/>
        <v>#VALUE!</v>
      </c>
      <c r="T216" s="251">
        <f t="shared" si="55"/>
        <v>0</v>
      </c>
      <c r="U216" s="252">
        <f>TRUNC(T216*Condições!$C$102,2)</f>
        <v>0</v>
      </c>
      <c r="V216" s="199">
        <f t="shared" si="76"/>
        <v>0</v>
      </c>
      <c r="W216" s="161" t="e">
        <f t="shared" si="69"/>
        <v>#N/A</v>
      </c>
      <c r="X216" s="161" t="e">
        <f t="shared" si="70"/>
        <v>#N/A</v>
      </c>
      <c r="Y216" s="161">
        <f t="shared" si="77"/>
        <v>191</v>
      </c>
      <c r="Z216" s="161">
        <f t="shared" ca="1" si="78"/>
        <v>5</v>
      </c>
      <c r="AG216" s="114">
        <f t="shared" si="79"/>
        <v>0</v>
      </c>
      <c r="AH216" s="113"/>
      <c r="AI216" s="199">
        <f ca="1">IF(AL216=0,0,IF(AL216&gt;Preenchimento!$AA$88*12,0,IF($AC$53=AM216,0,1)))</f>
        <v>0</v>
      </c>
      <c r="AJ216" s="161" t="e">
        <f t="shared" ca="1" si="71"/>
        <v>#N/A</v>
      </c>
      <c r="AK216" s="161" t="e">
        <f t="shared" ca="1" si="72"/>
        <v>#N/A</v>
      </c>
      <c r="AL216" s="161">
        <f ca="1">IF(Y216&gt;(Preenchimento!$AA$90*12),0,Fixa!Y216)</f>
        <v>0</v>
      </c>
      <c r="AM216" s="161">
        <f t="shared" ca="1" si="80"/>
        <v>5</v>
      </c>
      <c r="AN216" s="199">
        <f ca="1">IF(AQ216&gt;Preenchimento!$AA$90*12,0,1)</f>
        <v>0</v>
      </c>
      <c r="AO216" s="161" t="e">
        <f ca="1">1/((1+SAC!$AD$29)^AL216)</f>
        <v>#N/A</v>
      </c>
      <c r="AP216" s="82" t="e">
        <f t="shared" ca="1" si="81"/>
        <v>#N/A</v>
      </c>
      <c r="AQ216" s="82">
        <v>191</v>
      </c>
      <c r="AS216" s="477">
        <f t="shared" ca="1" si="73"/>
        <v>0</v>
      </c>
    </row>
    <row r="217" spans="1:45" ht="12" customHeight="1">
      <c r="A217" s="53">
        <v>192</v>
      </c>
      <c r="B217" s="249">
        <f ca="1">DATE(IF(MONTH(B216)=12,YEAR(B216)+1,YEAR(B216)),IF(MONTH(B216)=12,1,MONTH(B216)+1),MIN(DAY(Condições!$C$109),IF(IF(MONTH(B216)=12,1,MONTH(B216)+1)=2,IF(MOD(IF(MONTH(B216)=12,YEAR(B216)+1,YEAR(B216)),4)=0,29,28),IF(OR(IF(MONTH(B216)=12,1,MONTH(B216)+1)=4,IF(MONTH(B216)=12,1,MONTH(B216)+1)=6,IF(MONTH(B216)=12,1,MONTH(B216)+1)=9,IF(MONTH(B216)=12,1,MONTH(B216)+1)=11),30,DAY($B$25)))))</f>
        <v>52033</v>
      </c>
      <c r="C217" s="250" t="str">
        <f t="shared" si="56"/>
        <v/>
      </c>
      <c r="D217" s="251" t="e">
        <f t="shared" si="57"/>
        <v>#N/A</v>
      </c>
      <c r="E217" s="251">
        <f t="shared" si="58"/>
        <v>0</v>
      </c>
      <c r="F217" s="251">
        <f t="shared" si="59"/>
        <v>0</v>
      </c>
      <c r="G217" s="251">
        <f t="shared" si="60"/>
        <v>0</v>
      </c>
      <c r="H217" s="251" t="e">
        <f t="shared" si="61"/>
        <v>#VALUE!</v>
      </c>
      <c r="I217" s="251">
        <f t="shared" si="62"/>
        <v>0</v>
      </c>
      <c r="J217" s="251">
        <f t="shared" si="74"/>
        <v>0</v>
      </c>
      <c r="K217" s="251">
        <f t="shared" si="63"/>
        <v>0</v>
      </c>
      <c r="L217" s="174"/>
      <c r="M217" s="224"/>
      <c r="N217" s="225">
        <f t="shared" si="64"/>
        <v>0</v>
      </c>
      <c r="O217" s="251" t="e">
        <f t="shared" si="65"/>
        <v>#N/A</v>
      </c>
      <c r="P217" s="251">
        <f t="shared" si="75"/>
        <v>0</v>
      </c>
      <c r="Q217" s="251">
        <f t="shared" si="66"/>
        <v>0</v>
      </c>
      <c r="R217" s="251">
        <f t="shared" si="67"/>
        <v>0</v>
      </c>
      <c r="S217" s="251" t="e">
        <f t="shared" si="68"/>
        <v>#VALUE!</v>
      </c>
      <c r="T217" s="251">
        <f t="shared" ref="T217:T280" si="82">IF(C217&gt;=$AC$46,0,ROUND(IF(Y217&gt;$AC$46,"",$AC$51*$AC$44),$P$18))</f>
        <v>0</v>
      </c>
      <c r="U217" s="252">
        <f>TRUNC(T217*Condições!$C$102,2)</f>
        <v>0</v>
      </c>
      <c r="V217" s="199">
        <f t="shared" si="76"/>
        <v>0</v>
      </c>
      <c r="W217" s="161" t="e">
        <f t="shared" si="69"/>
        <v>#N/A</v>
      </c>
      <c r="X217" s="161" t="e">
        <f t="shared" si="70"/>
        <v>#N/A</v>
      </c>
      <c r="Y217" s="161">
        <f t="shared" si="77"/>
        <v>192</v>
      </c>
      <c r="Z217" s="161">
        <f t="shared" ca="1" si="78"/>
        <v>6</v>
      </c>
      <c r="AG217" s="114">
        <f t="shared" si="79"/>
        <v>0</v>
      </c>
      <c r="AH217" s="113"/>
      <c r="AI217" s="199">
        <f ca="1">IF(AL217=0,0,IF(AL217&gt;Preenchimento!$AA$88*12,0,IF($AC$53=AM217,0,1)))</f>
        <v>0</v>
      </c>
      <c r="AJ217" s="161" t="e">
        <f t="shared" ca="1" si="71"/>
        <v>#N/A</v>
      </c>
      <c r="AK217" s="161" t="e">
        <f t="shared" ca="1" si="72"/>
        <v>#N/A</v>
      </c>
      <c r="AL217" s="161">
        <f ca="1">IF(Y217&gt;(Preenchimento!$AA$90*12),0,Fixa!Y217)</f>
        <v>0</v>
      </c>
      <c r="AM217" s="161">
        <f t="shared" ca="1" si="80"/>
        <v>6</v>
      </c>
      <c r="AN217" s="199">
        <f ca="1">IF(AQ217&gt;Preenchimento!$AA$90*12,0,1)</f>
        <v>0</v>
      </c>
      <c r="AO217" s="161" t="e">
        <f ca="1">1/((1+SAC!$AD$29)^AL217)</f>
        <v>#N/A</v>
      </c>
      <c r="AP217" s="82" t="e">
        <f t="shared" ca="1" si="81"/>
        <v>#N/A</v>
      </c>
      <c r="AQ217" s="82">
        <v>192</v>
      </c>
      <c r="AS217" s="477">
        <f t="shared" ca="1" si="73"/>
        <v>0</v>
      </c>
    </row>
    <row r="218" spans="1:45" ht="12" customHeight="1">
      <c r="A218" s="53">
        <v>193</v>
      </c>
      <c r="B218" s="249">
        <f ca="1">DATE(IF(MONTH(B217)=12,YEAR(B217)+1,YEAR(B217)),IF(MONTH(B217)=12,1,MONTH(B217)+1),MIN(DAY(Condições!$C$109),IF(IF(MONTH(B217)=12,1,MONTH(B217)+1)=2,IF(MOD(IF(MONTH(B217)=12,YEAR(B217)+1,YEAR(B217)),4)=0,29,28),IF(OR(IF(MONTH(B217)=12,1,MONTH(B217)+1)=4,IF(MONTH(B217)=12,1,MONTH(B217)+1)=6,IF(MONTH(B217)=12,1,MONTH(B217)+1)=9,IF(MONTH(B217)=12,1,MONTH(B217)+1)=11),30,DAY($B$25)))))</f>
        <v>52063</v>
      </c>
      <c r="C218" s="250" t="str">
        <f t="shared" ref="C218:C281" si="83">IF(Y218&gt;$AC$46,"",Y218)</f>
        <v/>
      </c>
      <c r="D218" s="251" t="e">
        <f t="shared" ref="D218:D281" si="84">ROUND(O218,2)</f>
        <v>#N/A</v>
      </c>
      <c r="E218" s="251">
        <f t="shared" ref="E218:E281" si="85">ROUND(P218,2)</f>
        <v>0</v>
      </c>
      <c r="F218" s="251">
        <f t="shared" ref="F218:F281" si="86">ROUND(Q218,2)</f>
        <v>0</v>
      </c>
      <c r="G218" s="251">
        <f t="shared" ref="G218:G281" si="87">F218+E218</f>
        <v>0</v>
      </c>
      <c r="H218" s="251" t="e">
        <f t="shared" ref="H218:H281" si="88">ROUND(S218,2)</f>
        <v>#VALUE!</v>
      </c>
      <c r="I218" s="251">
        <f t="shared" ref="I218:I281" si="89">ROUND(T218+U218,2)</f>
        <v>0</v>
      </c>
      <c r="J218" s="251">
        <f t="shared" si="74"/>
        <v>0</v>
      </c>
      <c r="K218" s="251">
        <f t="shared" ref="K218:K281" si="90">IF(C218&gt;$AC$46,0,SUM(G218:J218))</f>
        <v>0</v>
      </c>
      <c r="L218" s="174"/>
      <c r="M218" s="224"/>
      <c r="N218" s="225">
        <f t="shared" ref="N218:N281" si="91">IF(C218&gt;$AC$46,0,(H218+I218)/(1.008^((12*(B218-$B$25))/365)))</f>
        <v>0</v>
      </c>
      <c r="O218" s="251" t="e">
        <f t="shared" ref="O218:O281" si="92">ROUND(O217*(1+$AC$47)-R218,$P$18)</f>
        <v>#N/A</v>
      </c>
      <c r="P218" s="251">
        <f t="shared" si="75"/>
        <v>0</v>
      </c>
      <c r="Q218" s="251">
        <f t="shared" ref="Q218:Q281" si="93">ROUND(IF(V218=0,0,O217*$AC$47),$P$18)</f>
        <v>0</v>
      </c>
      <c r="R218" s="251">
        <f t="shared" ref="R218:R281" si="94">ROUND(IF(V218=0,0,$O$25/$X$18),$P$18)</f>
        <v>0</v>
      </c>
      <c r="S218" s="251" t="e">
        <f t="shared" ref="S218:S281" si="95">ROUND(IF(Y218&gt;$AC$46,"",$AC$52*O218),$P$18)</f>
        <v>#VALUE!</v>
      </c>
      <c r="T218" s="251">
        <f t="shared" si="82"/>
        <v>0</v>
      </c>
      <c r="U218" s="252">
        <f>TRUNC(T218*Condições!$C$102,2)</f>
        <v>0</v>
      </c>
      <c r="V218" s="199">
        <f t="shared" si="76"/>
        <v>0</v>
      </c>
      <c r="W218" s="161" t="e">
        <f t="shared" ref="W218:W265" si="96">1/(1+$AC$47)^Y218</f>
        <v>#N/A</v>
      </c>
      <c r="X218" s="161" t="e">
        <f t="shared" ref="X218:X265" si="97">W218*V218</f>
        <v>#N/A</v>
      </c>
      <c r="Y218" s="161">
        <f t="shared" si="77"/>
        <v>193</v>
      </c>
      <c r="Z218" s="161">
        <f t="shared" ca="1" si="78"/>
        <v>7</v>
      </c>
      <c r="AG218" s="114">
        <f t="shared" si="79"/>
        <v>0</v>
      </c>
      <c r="AH218" s="113"/>
      <c r="AI218" s="199">
        <f ca="1">IF(AL218=0,0,IF(AL218&gt;Preenchimento!$AA$88*12,0,IF($AC$53=AM218,0,1)))</f>
        <v>0</v>
      </c>
      <c r="AJ218" s="161" t="e">
        <f t="shared" ref="AJ218:AJ281" ca="1" si="98">1/(1+$AC$47)^AL218</f>
        <v>#N/A</v>
      </c>
      <c r="AK218" s="161" t="e">
        <f t="shared" ref="AK218:AK281" ca="1" si="99">AJ218*AI218</f>
        <v>#N/A</v>
      </c>
      <c r="AL218" s="161">
        <f ca="1">IF(Y218&gt;(Preenchimento!$AA$90*12),0,Fixa!Y218)</f>
        <v>0</v>
      </c>
      <c r="AM218" s="161">
        <f t="shared" ca="1" si="80"/>
        <v>7</v>
      </c>
      <c r="AN218" s="199">
        <f ca="1">IF(AQ218&gt;Preenchimento!$AA$90*12,0,1)</f>
        <v>0</v>
      </c>
      <c r="AO218" s="161" t="e">
        <f ca="1">1/((1+SAC!$AD$29)^AL218)</f>
        <v>#N/A</v>
      </c>
      <c r="AP218" s="82" t="e">
        <f t="shared" ca="1" si="81"/>
        <v>#N/A</v>
      </c>
      <c r="AQ218" s="82">
        <v>193</v>
      </c>
      <c r="AS218" s="477">
        <f t="shared" ref="AS218:AS281" ca="1" si="100">IFERROR(IF(Z217&gt;$AC$46,0,R218),0)</f>
        <v>0</v>
      </c>
    </row>
    <row r="219" spans="1:45" ht="12" customHeight="1">
      <c r="A219" s="53">
        <v>194</v>
      </c>
      <c r="B219" s="249">
        <f ca="1">DATE(IF(MONTH(B218)=12,YEAR(B218)+1,YEAR(B218)),IF(MONTH(B218)=12,1,MONTH(B218)+1),MIN(DAY(Condições!$C$109),IF(IF(MONTH(B218)=12,1,MONTH(B218)+1)=2,IF(MOD(IF(MONTH(B218)=12,YEAR(B218)+1,YEAR(B218)),4)=0,29,28),IF(OR(IF(MONTH(B218)=12,1,MONTH(B218)+1)=4,IF(MONTH(B218)=12,1,MONTH(B218)+1)=6,IF(MONTH(B218)=12,1,MONTH(B218)+1)=9,IF(MONTH(B218)=12,1,MONTH(B218)+1)=11),30,DAY($B$25)))))</f>
        <v>52094</v>
      </c>
      <c r="C219" s="250" t="str">
        <f t="shared" si="83"/>
        <v/>
      </c>
      <c r="D219" s="251" t="e">
        <f t="shared" si="84"/>
        <v>#N/A</v>
      </c>
      <c r="E219" s="251">
        <f t="shared" si="85"/>
        <v>0</v>
      </c>
      <c r="F219" s="251">
        <f t="shared" si="86"/>
        <v>0</v>
      </c>
      <c r="G219" s="251">
        <f t="shared" si="87"/>
        <v>0</v>
      </c>
      <c r="H219" s="251" t="e">
        <f t="shared" si="88"/>
        <v>#VALUE!</v>
      </c>
      <c r="I219" s="251">
        <f t="shared" si="89"/>
        <v>0</v>
      </c>
      <c r="J219" s="251">
        <f t="shared" ref="J219:J282" si="101">IF(V219=0,0,$AC$49)</f>
        <v>0</v>
      </c>
      <c r="K219" s="251">
        <f t="shared" si="90"/>
        <v>0</v>
      </c>
      <c r="L219" s="174"/>
      <c r="M219" s="224"/>
      <c r="N219" s="225">
        <f t="shared" si="91"/>
        <v>0</v>
      </c>
      <c r="O219" s="251" t="e">
        <f t="shared" si="92"/>
        <v>#N/A</v>
      </c>
      <c r="P219" s="251">
        <f t="shared" ref="P219:P282" si="102">ROUND(IF(V219=0,0,R219-Q219),$P$18)</f>
        <v>0</v>
      </c>
      <c r="Q219" s="251">
        <f t="shared" si="93"/>
        <v>0</v>
      </c>
      <c r="R219" s="251">
        <f t="shared" si="94"/>
        <v>0</v>
      </c>
      <c r="S219" s="251" t="e">
        <f t="shared" si="95"/>
        <v>#VALUE!</v>
      </c>
      <c r="T219" s="251">
        <f t="shared" si="82"/>
        <v>0</v>
      </c>
      <c r="U219" s="252">
        <f>TRUNC(T219*Condições!$C$102,2)</f>
        <v>0</v>
      </c>
      <c r="V219" s="199">
        <f t="shared" ref="V219:V282" si="103">IF(Y219&gt;$AC$46,0,IF($AC$53=Z219,0,1))</f>
        <v>0</v>
      </c>
      <c r="W219" s="161" t="e">
        <f t="shared" si="96"/>
        <v>#N/A</v>
      </c>
      <c r="X219" s="161" t="e">
        <f t="shared" si="97"/>
        <v>#N/A</v>
      </c>
      <c r="Y219" s="161">
        <f t="shared" ref="Y219:Y265" si="104">1+Y218</f>
        <v>194</v>
      </c>
      <c r="Z219" s="161">
        <f t="shared" ref="Z219:Z265" ca="1" si="105">IF(Z218=12,1,Z218+1)</f>
        <v>8</v>
      </c>
      <c r="AG219" s="114">
        <f t="shared" ref="AG219:AG282" si="106">IF(C219&gt;$AC$46,0,R219+S219+T219+U219+J219)</f>
        <v>0</v>
      </c>
      <c r="AH219" s="113"/>
      <c r="AI219" s="199">
        <f ca="1">IF(AL219=0,0,IF(AL219&gt;Preenchimento!$AA$88*12,0,IF($AC$53=AM219,0,1)))</f>
        <v>0</v>
      </c>
      <c r="AJ219" s="161" t="e">
        <f t="shared" ca="1" si="98"/>
        <v>#N/A</v>
      </c>
      <c r="AK219" s="161" t="e">
        <f t="shared" ca="1" si="99"/>
        <v>#N/A</v>
      </c>
      <c r="AL219" s="161">
        <f ca="1">IF(Y219&gt;(Preenchimento!$AA$90*12),0,Fixa!Y219)</f>
        <v>0</v>
      </c>
      <c r="AM219" s="161">
        <f t="shared" ref="AM219:AM282" ca="1" si="107">IF(AM218=12,1,AM218+1)</f>
        <v>8</v>
      </c>
      <c r="AN219" s="199">
        <f ca="1">IF(AQ219&gt;Preenchimento!$AA$90*12,0,1)</f>
        <v>0</v>
      </c>
      <c r="AO219" s="161" t="e">
        <f ca="1">1/((1+SAC!$AD$29)^AL219)</f>
        <v>#N/A</v>
      </c>
      <c r="AP219" s="82" t="e">
        <f t="shared" ref="AP219:AP282" ca="1" si="108">AO219*AN219</f>
        <v>#N/A</v>
      </c>
      <c r="AQ219" s="82">
        <v>194</v>
      </c>
      <c r="AS219" s="477">
        <f t="shared" ca="1" si="100"/>
        <v>0</v>
      </c>
    </row>
    <row r="220" spans="1:45" ht="12" customHeight="1">
      <c r="A220" s="53">
        <v>195</v>
      </c>
      <c r="B220" s="249">
        <f ca="1">DATE(IF(MONTH(B219)=12,YEAR(B219)+1,YEAR(B219)),IF(MONTH(B219)=12,1,MONTH(B219)+1),MIN(DAY(Condições!$C$109),IF(IF(MONTH(B219)=12,1,MONTH(B219)+1)=2,IF(MOD(IF(MONTH(B219)=12,YEAR(B219)+1,YEAR(B219)),4)=0,29,28),IF(OR(IF(MONTH(B219)=12,1,MONTH(B219)+1)=4,IF(MONTH(B219)=12,1,MONTH(B219)+1)=6,IF(MONTH(B219)=12,1,MONTH(B219)+1)=9,IF(MONTH(B219)=12,1,MONTH(B219)+1)=11),30,DAY($B$25)))))</f>
        <v>52125</v>
      </c>
      <c r="C220" s="250" t="str">
        <f t="shared" si="83"/>
        <v/>
      </c>
      <c r="D220" s="251" t="e">
        <f t="shared" si="84"/>
        <v>#N/A</v>
      </c>
      <c r="E220" s="251">
        <f t="shared" si="85"/>
        <v>0</v>
      </c>
      <c r="F220" s="251">
        <f t="shared" si="86"/>
        <v>0</v>
      </c>
      <c r="G220" s="251">
        <f t="shared" si="87"/>
        <v>0</v>
      </c>
      <c r="H220" s="251" t="e">
        <f t="shared" si="88"/>
        <v>#VALUE!</v>
      </c>
      <c r="I220" s="251">
        <f t="shared" si="89"/>
        <v>0</v>
      </c>
      <c r="J220" s="251">
        <f t="shared" si="101"/>
        <v>0</v>
      </c>
      <c r="K220" s="251">
        <f t="shared" si="90"/>
        <v>0</v>
      </c>
      <c r="L220" s="174"/>
      <c r="M220" s="224"/>
      <c r="N220" s="225">
        <f t="shared" si="91"/>
        <v>0</v>
      </c>
      <c r="O220" s="251" t="e">
        <f t="shared" si="92"/>
        <v>#N/A</v>
      </c>
      <c r="P220" s="251">
        <f t="shared" si="102"/>
        <v>0</v>
      </c>
      <c r="Q220" s="251">
        <f t="shared" si="93"/>
        <v>0</v>
      </c>
      <c r="R220" s="251">
        <f t="shared" si="94"/>
        <v>0</v>
      </c>
      <c r="S220" s="251" t="e">
        <f t="shared" si="95"/>
        <v>#VALUE!</v>
      </c>
      <c r="T220" s="251">
        <f t="shared" si="82"/>
        <v>0</v>
      </c>
      <c r="U220" s="252">
        <f>TRUNC(T220*Condições!$C$102,2)</f>
        <v>0</v>
      </c>
      <c r="V220" s="199">
        <f t="shared" si="103"/>
        <v>0</v>
      </c>
      <c r="W220" s="161" t="e">
        <f t="shared" si="96"/>
        <v>#N/A</v>
      </c>
      <c r="X220" s="161" t="e">
        <f t="shared" si="97"/>
        <v>#N/A</v>
      </c>
      <c r="Y220" s="161">
        <f t="shared" si="104"/>
        <v>195</v>
      </c>
      <c r="Z220" s="161">
        <f t="shared" ca="1" si="105"/>
        <v>9</v>
      </c>
      <c r="AG220" s="114">
        <f t="shared" si="106"/>
        <v>0</v>
      </c>
      <c r="AH220" s="113"/>
      <c r="AI220" s="199">
        <f ca="1">IF(AL220=0,0,IF(AL220&gt;Preenchimento!$AA$88*12,0,IF($AC$53=AM220,0,1)))</f>
        <v>0</v>
      </c>
      <c r="AJ220" s="161" t="e">
        <f t="shared" ca="1" si="98"/>
        <v>#N/A</v>
      </c>
      <c r="AK220" s="161" t="e">
        <f t="shared" ca="1" si="99"/>
        <v>#N/A</v>
      </c>
      <c r="AL220" s="161">
        <f ca="1">IF(Y220&gt;(Preenchimento!$AA$90*12),0,Fixa!Y220)</f>
        <v>0</v>
      </c>
      <c r="AM220" s="161">
        <f t="shared" ca="1" si="107"/>
        <v>9</v>
      </c>
      <c r="AN220" s="199">
        <f ca="1">IF(AQ220&gt;Preenchimento!$AA$90*12,0,1)</f>
        <v>0</v>
      </c>
      <c r="AO220" s="161" t="e">
        <f ca="1">1/((1+SAC!$AD$29)^AL220)</f>
        <v>#N/A</v>
      </c>
      <c r="AP220" s="82" t="e">
        <f t="shared" ca="1" si="108"/>
        <v>#N/A</v>
      </c>
      <c r="AQ220" s="82">
        <v>195</v>
      </c>
      <c r="AS220" s="477">
        <f t="shared" ca="1" si="100"/>
        <v>0</v>
      </c>
    </row>
    <row r="221" spans="1:45" ht="12" customHeight="1">
      <c r="A221" s="53">
        <v>196</v>
      </c>
      <c r="B221" s="249">
        <f ca="1">DATE(IF(MONTH(B220)=12,YEAR(B220)+1,YEAR(B220)),IF(MONTH(B220)=12,1,MONTH(B220)+1),MIN(DAY(Condições!$C$109),IF(IF(MONTH(B220)=12,1,MONTH(B220)+1)=2,IF(MOD(IF(MONTH(B220)=12,YEAR(B220)+1,YEAR(B220)),4)=0,29,28),IF(OR(IF(MONTH(B220)=12,1,MONTH(B220)+1)=4,IF(MONTH(B220)=12,1,MONTH(B220)+1)=6,IF(MONTH(B220)=12,1,MONTH(B220)+1)=9,IF(MONTH(B220)=12,1,MONTH(B220)+1)=11),30,DAY($B$25)))))</f>
        <v>52155</v>
      </c>
      <c r="C221" s="250" t="str">
        <f t="shared" si="83"/>
        <v/>
      </c>
      <c r="D221" s="251" t="e">
        <f t="shared" si="84"/>
        <v>#N/A</v>
      </c>
      <c r="E221" s="251">
        <f t="shared" si="85"/>
        <v>0</v>
      </c>
      <c r="F221" s="251">
        <f t="shared" si="86"/>
        <v>0</v>
      </c>
      <c r="G221" s="251">
        <f t="shared" si="87"/>
        <v>0</v>
      </c>
      <c r="H221" s="251" t="e">
        <f t="shared" si="88"/>
        <v>#VALUE!</v>
      </c>
      <c r="I221" s="251">
        <f t="shared" si="89"/>
        <v>0</v>
      </c>
      <c r="J221" s="251">
        <f t="shared" si="101"/>
        <v>0</v>
      </c>
      <c r="K221" s="251">
        <f t="shared" si="90"/>
        <v>0</v>
      </c>
      <c r="L221" s="174"/>
      <c r="M221" s="224"/>
      <c r="N221" s="225">
        <f t="shared" si="91"/>
        <v>0</v>
      </c>
      <c r="O221" s="251" t="e">
        <f t="shared" si="92"/>
        <v>#N/A</v>
      </c>
      <c r="P221" s="251">
        <f t="shared" si="102"/>
        <v>0</v>
      </c>
      <c r="Q221" s="251">
        <f t="shared" si="93"/>
        <v>0</v>
      </c>
      <c r="R221" s="251">
        <f t="shared" si="94"/>
        <v>0</v>
      </c>
      <c r="S221" s="251" t="e">
        <f t="shared" si="95"/>
        <v>#VALUE!</v>
      </c>
      <c r="T221" s="251">
        <f t="shared" si="82"/>
        <v>0</v>
      </c>
      <c r="U221" s="252">
        <f>TRUNC(T221*Condições!$C$102,2)</f>
        <v>0</v>
      </c>
      <c r="V221" s="199">
        <f t="shared" si="103"/>
        <v>0</v>
      </c>
      <c r="W221" s="161" t="e">
        <f t="shared" si="96"/>
        <v>#N/A</v>
      </c>
      <c r="X221" s="161" t="e">
        <f t="shared" si="97"/>
        <v>#N/A</v>
      </c>
      <c r="Y221" s="161">
        <f t="shared" si="104"/>
        <v>196</v>
      </c>
      <c r="Z221" s="161">
        <f t="shared" ca="1" si="105"/>
        <v>10</v>
      </c>
      <c r="AG221" s="114">
        <f t="shared" si="106"/>
        <v>0</v>
      </c>
      <c r="AH221" s="113"/>
      <c r="AI221" s="199">
        <f ca="1">IF(AL221=0,0,IF(AL221&gt;Preenchimento!$AA$88*12,0,IF($AC$53=AM221,0,1)))</f>
        <v>0</v>
      </c>
      <c r="AJ221" s="161" t="e">
        <f t="shared" ca="1" si="98"/>
        <v>#N/A</v>
      </c>
      <c r="AK221" s="161" t="e">
        <f t="shared" ca="1" si="99"/>
        <v>#N/A</v>
      </c>
      <c r="AL221" s="161">
        <f ca="1">IF(Y221&gt;(Preenchimento!$AA$90*12),0,Fixa!Y221)</f>
        <v>0</v>
      </c>
      <c r="AM221" s="161">
        <f t="shared" ca="1" si="107"/>
        <v>10</v>
      </c>
      <c r="AN221" s="199">
        <f ca="1">IF(AQ221&gt;Preenchimento!$AA$90*12,0,1)</f>
        <v>0</v>
      </c>
      <c r="AO221" s="161" t="e">
        <f ca="1">1/((1+SAC!$AD$29)^AL221)</f>
        <v>#N/A</v>
      </c>
      <c r="AP221" s="82" t="e">
        <f t="shared" ca="1" si="108"/>
        <v>#N/A</v>
      </c>
      <c r="AQ221" s="82">
        <v>196</v>
      </c>
      <c r="AS221" s="477">
        <f t="shared" ca="1" si="100"/>
        <v>0</v>
      </c>
    </row>
    <row r="222" spans="1:45" ht="12" customHeight="1">
      <c r="A222" s="53">
        <v>197</v>
      </c>
      <c r="B222" s="249">
        <f ca="1">DATE(IF(MONTH(B221)=12,YEAR(B221)+1,YEAR(B221)),IF(MONTH(B221)=12,1,MONTH(B221)+1),MIN(DAY(Condições!$C$109),IF(IF(MONTH(B221)=12,1,MONTH(B221)+1)=2,IF(MOD(IF(MONTH(B221)=12,YEAR(B221)+1,YEAR(B221)),4)=0,29,28),IF(OR(IF(MONTH(B221)=12,1,MONTH(B221)+1)=4,IF(MONTH(B221)=12,1,MONTH(B221)+1)=6,IF(MONTH(B221)=12,1,MONTH(B221)+1)=9,IF(MONTH(B221)=12,1,MONTH(B221)+1)=11),30,DAY($B$25)))))</f>
        <v>52186</v>
      </c>
      <c r="C222" s="250" t="str">
        <f t="shared" si="83"/>
        <v/>
      </c>
      <c r="D222" s="251" t="e">
        <f t="shared" si="84"/>
        <v>#N/A</v>
      </c>
      <c r="E222" s="251">
        <f t="shared" si="85"/>
        <v>0</v>
      </c>
      <c r="F222" s="251">
        <f t="shared" si="86"/>
        <v>0</v>
      </c>
      <c r="G222" s="251">
        <f t="shared" si="87"/>
        <v>0</v>
      </c>
      <c r="H222" s="251" t="e">
        <f t="shared" si="88"/>
        <v>#VALUE!</v>
      </c>
      <c r="I222" s="251">
        <f t="shared" si="89"/>
        <v>0</v>
      </c>
      <c r="J222" s="251">
        <f t="shared" si="101"/>
        <v>0</v>
      </c>
      <c r="K222" s="251">
        <f t="shared" si="90"/>
        <v>0</v>
      </c>
      <c r="L222" s="174"/>
      <c r="M222" s="224"/>
      <c r="N222" s="225">
        <f t="shared" si="91"/>
        <v>0</v>
      </c>
      <c r="O222" s="251" t="e">
        <f t="shared" si="92"/>
        <v>#N/A</v>
      </c>
      <c r="P222" s="251">
        <f t="shared" si="102"/>
        <v>0</v>
      </c>
      <c r="Q222" s="251">
        <f t="shared" si="93"/>
        <v>0</v>
      </c>
      <c r="R222" s="251">
        <f t="shared" si="94"/>
        <v>0</v>
      </c>
      <c r="S222" s="251" t="e">
        <f t="shared" si="95"/>
        <v>#VALUE!</v>
      </c>
      <c r="T222" s="251">
        <f t="shared" si="82"/>
        <v>0</v>
      </c>
      <c r="U222" s="252">
        <f>TRUNC(T222*Condições!$C$102,2)</f>
        <v>0</v>
      </c>
      <c r="V222" s="199">
        <f t="shared" si="103"/>
        <v>0</v>
      </c>
      <c r="W222" s="161" t="e">
        <f t="shared" si="96"/>
        <v>#N/A</v>
      </c>
      <c r="X222" s="161" t="e">
        <f t="shared" si="97"/>
        <v>#N/A</v>
      </c>
      <c r="Y222" s="161">
        <f t="shared" si="104"/>
        <v>197</v>
      </c>
      <c r="Z222" s="161">
        <f t="shared" ca="1" si="105"/>
        <v>11</v>
      </c>
      <c r="AG222" s="114">
        <f t="shared" si="106"/>
        <v>0</v>
      </c>
      <c r="AH222" s="113"/>
      <c r="AI222" s="199">
        <f ca="1">IF(AL222=0,0,IF(AL222&gt;Preenchimento!$AA$88*12,0,IF($AC$53=AM222,0,1)))</f>
        <v>0</v>
      </c>
      <c r="AJ222" s="161" t="e">
        <f t="shared" ca="1" si="98"/>
        <v>#N/A</v>
      </c>
      <c r="AK222" s="161" t="e">
        <f t="shared" ca="1" si="99"/>
        <v>#N/A</v>
      </c>
      <c r="AL222" s="161">
        <f ca="1">IF(Y222&gt;(Preenchimento!$AA$90*12),0,Fixa!Y222)</f>
        <v>0</v>
      </c>
      <c r="AM222" s="161">
        <f t="shared" ca="1" si="107"/>
        <v>11</v>
      </c>
      <c r="AN222" s="199">
        <f ca="1">IF(AQ222&gt;Preenchimento!$AA$90*12,0,1)</f>
        <v>0</v>
      </c>
      <c r="AO222" s="161" t="e">
        <f ca="1">1/((1+SAC!$AD$29)^AL222)</f>
        <v>#N/A</v>
      </c>
      <c r="AP222" s="82" t="e">
        <f t="shared" ca="1" si="108"/>
        <v>#N/A</v>
      </c>
      <c r="AQ222" s="82">
        <v>197</v>
      </c>
      <c r="AS222" s="477">
        <f t="shared" ca="1" si="100"/>
        <v>0</v>
      </c>
    </row>
    <row r="223" spans="1:45" ht="12" customHeight="1">
      <c r="A223" s="53">
        <v>198</v>
      </c>
      <c r="B223" s="249">
        <f ca="1">DATE(IF(MONTH(B222)=12,YEAR(B222)+1,YEAR(B222)),IF(MONTH(B222)=12,1,MONTH(B222)+1),MIN(DAY(Condições!$C$109),IF(IF(MONTH(B222)=12,1,MONTH(B222)+1)=2,IF(MOD(IF(MONTH(B222)=12,YEAR(B222)+1,YEAR(B222)),4)=0,29,28),IF(OR(IF(MONTH(B222)=12,1,MONTH(B222)+1)=4,IF(MONTH(B222)=12,1,MONTH(B222)+1)=6,IF(MONTH(B222)=12,1,MONTH(B222)+1)=9,IF(MONTH(B222)=12,1,MONTH(B222)+1)=11),30,DAY($B$25)))))</f>
        <v>52216</v>
      </c>
      <c r="C223" s="250" t="str">
        <f t="shared" si="83"/>
        <v/>
      </c>
      <c r="D223" s="251" t="e">
        <f t="shared" si="84"/>
        <v>#N/A</v>
      </c>
      <c r="E223" s="251">
        <f t="shared" si="85"/>
        <v>0</v>
      </c>
      <c r="F223" s="251">
        <f t="shared" si="86"/>
        <v>0</v>
      </c>
      <c r="G223" s="251">
        <f t="shared" si="87"/>
        <v>0</v>
      </c>
      <c r="H223" s="251" t="e">
        <f t="shared" si="88"/>
        <v>#VALUE!</v>
      </c>
      <c r="I223" s="251">
        <f t="shared" si="89"/>
        <v>0</v>
      </c>
      <c r="J223" s="251">
        <f t="shared" si="101"/>
        <v>0</v>
      </c>
      <c r="K223" s="251">
        <f t="shared" si="90"/>
        <v>0</v>
      </c>
      <c r="L223" s="174"/>
      <c r="M223" s="224"/>
      <c r="N223" s="225">
        <f t="shared" si="91"/>
        <v>0</v>
      </c>
      <c r="O223" s="251" t="e">
        <f t="shared" si="92"/>
        <v>#N/A</v>
      </c>
      <c r="P223" s="251">
        <f t="shared" si="102"/>
        <v>0</v>
      </c>
      <c r="Q223" s="251">
        <f t="shared" si="93"/>
        <v>0</v>
      </c>
      <c r="R223" s="251">
        <f t="shared" si="94"/>
        <v>0</v>
      </c>
      <c r="S223" s="251" t="e">
        <f t="shared" si="95"/>
        <v>#VALUE!</v>
      </c>
      <c r="T223" s="251">
        <f t="shared" si="82"/>
        <v>0</v>
      </c>
      <c r="U223" s="252">
        <f>TRUNC(T223*Condições!$C$102,2)</f>
        <v>0</v>
      </c>
      <c r="V223" s="199">
        <f t="shared" si="103"/>
        <v>0</v>
      </c>
      <c r="W223" s="161" t="e">
        <f t="shared" si="96"/>
        <v>#N/A</v>
      </c>
      <c r="X223" s="161" t="e">
        <f t="shared" si="97"/>
        <v>#N/A</v>
      </c>
      <c r="Y223" s="161">
        <f t="shared" si="104"/>
        <v>198</v>
      </c>
      <c r="Z223" s="161">
        <f t="shared" ca="1" si="105"/>
        <v>12</v>
      </c>
      <c r="AG223" s="114">
        <f t="shared" si="106"/>
        <v>0</v>
      </c>
      <c r="AH223" s="113"/>
      <c r="AI223" s="199">
        <f ca="1">IF(AL223=0,0,IF(AL223&gt;Preenchimento!$AA$88*12,0,IF($AC$53=AM223,0,1)))</f>
        <v>0</v>
      </c>
      <c r="AJ223" s="161" t="e">
        <f t="shared" ca="1" si="98"/>
        <v>#N/A</v>
      </c>
      <c r="AK223" s="161" t="e">
        <f t="shared" ca="1" si="99"/>
        <v>#N/A</v>
      </c>
      <c r="AL223" s="161">
        <f ca="1">IF(Y223&gt;(Preenchimento!$AA$90*12),0,Fixa!Y223)</f>
        <v>0</v>
      </c>
      <c r="AM223" s="161">
        <f t="shared" ca="1" si="107"/>
        <v>12</v>
      </c>
      <c r="AN223" s="199">
        <f ca="1">IF(AQ223&gt;Preenchimento!$AA$90*12,0,1)</f>
        <v>0</v>
      </c>
      <c r="AO223" s="161" t="e">
        <f ca="1">1/((1+SAC!$AD$29)^AL223)</f>
        <v>#N/A</v>
      </c>
      <c r="AP223" s="82" t="e">
        <f t="shared" ca="1" si="108"/>
        <v>#N/A</v>
      </c>
      <c r="AQ223" s="82">
        <v>198</v>
      </c>
      <c r="AS223" s="477">
        <f t="shared" ca="1" si="100"/>
        <v>0</v>
      </c>
    </row>
    <row r="224" spans="1:45" ht="12" customHeight="1">
      <c r="A224" s="53">
        <v>199</v>
      </c>
      <c r="B224" s="249">
        <f ca="1">DATE(IF(MONTH(B223)=12,YEAR(B223)+1,YEAR(B223)),IF(MONTH(B223)=12,1,MONTH(B223)+1),MIN(DAY(Condições!$C$109),IF(IF(MONTH(B223)=12,1,MONTH(B223)+1)=2,IF(MOD(IF(MONTH(B223)=12,YEAR(B223)+1,YEAR(B223)),4)=0,29,28),IF(OR(IF(MONTH(B223)=12,1,MONTH(B223)+1)=4,IF(MONTH(B223)=12,1,MONTH(B223)+1)=6,IF(MONTH(B223)=12,1,MONTH(B223)+1)=9,IF(MONTH(B223)=12,1,MONTH(B223)+1)=11),30,DAY($B$25)))))</f>
        <v>52247</v>
      </c>
      <c r="C224" s="250" t="str">
        <f t="shared" si="83"/>
        <v/>
      </c>
      <c r="D224" s="251" t="e">
        <f t="shared" si="84"/>
        <v>#N/A</v>
      </c>
      <c r="E224" s="251">
        <f t="shared" si="85"/>
        <v>0</v>
      </c>
      <c r="F224" s="251">
        <f t="shared" si="86"/>
        <v>0</v>
      </c>
      <c r="G224" s="251">
        <f t="shared" si="87"/>
        <v>0</v>
      </c>
      <c r="H224" s="251" t="e">
        <f t="shared" si="88"/>
        <v>#VALUE!</v>
      </c>
      <c r="I224" s="251">
        <f t="shared" si="89"/>
        <v>0</v>
      </c>
      <c r="J224" s="251">
        <f t="shared" si="101"/>
        <v>0</v>
      </c>
      <c r="K224" s="251">
        <f t="shared" si="90"/>
        <v>0</v>
      </c>
      <c r="L224" s="174"/>
      <c r="M224" s="224"/>
      <c r="N224" s="225">
        <f t="shared" si="91"/>
        <v>0</v>
      </c>
      <c r="O224" s="251" t="e">
        <f t="shared" si="92"/>
        <v>#N/A</v>
      </c>
      <c r="P224" s="251">
        <f t="shared" si="102"/>
        <v>0</v>
      </c>
      <c r="Q224" s="251">
        <f t="shared" si="93"/>
        <v>0</v>
      </c>
      <c r="R224" s="251">
        <f t="shared" si="94"/>
        <v>0</v>
      </c>
      <c r="S224" s="251" t="e">
        <f t="shared" si="95"/>
        <v>#VALUE!</v>
      </c>
      <c r="T224" s="251">
        <f t="shared" si="82"/>
        <v>0</v>
      </c>
      <c r="U224" s="252">
        <f>TRUNC(T224*Condições!$C$102,2)</f>
        <v>0</v>
      </c>
      <c r="V224" s="199">
        <f t="shared" si="103"/>
        <v>0</v>
      </c>
      <c r="W224" s="161" t="e">
        <f t="shared" si="96"/>
        <v>#N/A</v>
      </c>
      <c r="X224" s="161" t="e">
        <f t="shared" si="97"/>
        <v>#N/A</v>
      </c>
      <c r="Y224" s="161">
        <f t="shared" si="104"/>
        <v>199</v>
      </c>
      <c r="Z224" s="161">
        <f t="shared" ca="1" si="105"/>
        <v>1</v>
      </c>
      <c r="AG224" s="114">
        <f t="shared" si="106"/>
        <v>0</v>
      </c>
      <c r="AH224" s="113"/>
      <c r="AI224" s="199">
        <f ca="1">IF(AL224=0,0,IF(AL224&gt;Preenchimento!$AA$88*12,0,IF($AC$53=AM224,0,1)))</f>
        <v>0</v>
      </c>
      <c r="AJ224" s="161" t="e">
        <f t="shared" ca="1" si="98"/>
        <v>#N/A</v>
      </c>
      <c r="AK224" s="161" t="e">
        <f t="shared" ca="1" si="99"/>
        <v>#N/A</v>
      </c>
      <c r="AL224" s="161">
        <f ca="1">IF(Y224&gt;(Preenchimento!$AA$90*12),0,Fixa!Y224)</f>
        <v>0</v>
      </c>
      <c r="AM224" s="161">
        <f t="shared" ca="1" si="107"/>
        <v>1</v>
      </c>
      <c r="AN224" s="199">
        <f ca="1">IF(AQ224&gt;Preenchimento!$AA$90*12,0,1)</f>
        <v>0</v>
      </c>
      <c r="AO224" s="161" t="e">
        <f ca="1">1/((1+SAC!$AD$29)^AL224)</f>
        <v>#N/A</v>
      </c>
      <c r="AP224" s="82" t="e">
        <f t="shared" ca="1" si="108"/>
        <v>#N/A</v>
      </c>
      <c r="AQ224" s="82">
        <v>199</v>
      </c>
      <c r="AS224" s="477">
        <f t="shared" ca="1" si="100"/>
        <v>0</v>
      </c>
    </row>
    <row r="225" spans="1:45" ht="12" customHeight="1">
      <c r="A225" s="53">
        <v>200</v>
      </c>
      <c r="B225" s="249">
        <f ca="1">DATE(IF(MONTH(B224)=12,YEAR(B224)+1,YEAR(B224)),IF(MONTH(B224)=12,1,MONTH(B224)+1),MIN(DAY(Condições!$C$109),IF(IF(MONTH(B224)=12,1,MONTH(B224)+1)=2,IF(MOD(IF(MONTH(B224)=12,YEAR(B224)+1,YEAR(B224)),4)=0,29,28),IF(OR(IF(MONTH(B224)=12,1,MONTH(B224)+1)=4,IF(MONTH(B224)=12,1,MONTH(B224)+1)=6,IF(MONTH(B224)=12,1,MONTH(B224)+1)=9,IF(MONTH(B224)=12,1,MONTH(B224)+1)=11),30,DAY($B$25)))))</f>
        <v>52278</v>
      </c>
      <c r="C225" s="250" t="str">
        <f t="shared" si="83"/>
        <v/>
      </c>
      <c r="D225" s="251" t="e">
        <f t="shared" si="84"/>
        <v>#N/A</v>
      </c>
      <c r="E225" s="251">
        <f t="shared" si="85"/>
        <v>0</v>
      </c>
      <c r="F225" s="251">
        <f t="shared" si="86"/>
        <v>0</v>
      </c>
      <c r="G225" s="251">
        <f t="shared" si="87"/>
        <v>0</v>
      </c>
      <c r="H225" s="251" t="e">
        <f t="shared" si="88"/>
        <v>#VALUE!</v>
      </c>
      <c r="I225" s="251">
        <f t="shared" si="89"/>
        <v>0</v>
      </c>
      <c r="J225" s="251">
        <f t="shared" si="101"/>
        <v>0</v>
      </c>
      <c r="K225" s="251">
        <f t="shared" si="90"/>
        <v>0</v>
      </c>
      <c r="L225" s="174"/>
      <c r="M225" s="224"/>
      <c r="N225" s="225">
        <f t="shared" si="91"/>
        <v>0</v>
      </c>
      <c r="O225" s="251" t="e">
        <f t="shared" si="92"/>
        <v>#N/A</v>
      </c>
      <c r="P225" s="251">
        <f t="shared" si="102"/>
        <v>0</v>
      </c>
      <c r="Q225" s="251">
        <f t="shared" si="93"/>
        <v>0</v>
      </c>
      <c r="R225" s="251">
        <f t="shared" si="94"/>
        <v>0</v>
      </c>
      <c r="S225" s="251" t="e">
        <f t="shared" si="95"/>
        <v>#VALUE!</v>
      </c>
      <c r="T225" s="251">
        <f t="shared" si="82"/>
        <v>0</v>
      </c>
      <c r="U225" s="252">
        <f>TRUNC(T225*Condições!$C$102,2)</f>
        <v>0</v>
      </c>
      <c r="V225" s="199">
        <f t="shared" si="103"/>
        <v>0</v>
      </c>
      <c r="W225" s="161" t="e">
        <f t="shared" si="96"/>
        <v>#N/A</v>
      </c>
      <c r="X225" s="161" t="e">
        <f t="shared" si="97"/>
        <v>#N/A</v>
      </c>
      <c r="Y225" s="161">
        <f t="shared" si="104"/>
        <v>200</v>
      </c>
      <c r="Z225" s="161">
        <f t="shared" ca="1" si="105"/>
        <v>2</v>
      </c>
      <c r="AG225" s="114">
        <f t="shared" si="106"/>
        <v>0</v>
      </c>
      <c r="AH225" s="113"/>
      <c r="AI225" s="199">
        <f ca="1">IF(AL225=0,0,IF(AL225&gt;Preenchimento!$AA$88*12,0,IF($AC$53=AM225,0,1)))</f>
        <v>0</v>
      </c>
      <c r="AJ225" s="161" t="e">
        <f t="shared" ca="1" si="98"/>
        <v>#N/A</v>
      </c>
      <c r="AK225" s="161" t="e">
        <f t="shared" ca="1" si="99"/>
        <v>#N/A</v>
      </c>
      <c r="AL225" s="161">
        <f ca="1">IF(Y225&gt;(Preenchimento!$AA$90*12),0,Fixa!Y225)</f>
        <v>0</v>
      </c>
      <c r="AM225" s="161">
        <f t="shared" ca="1" si="107"/>
        <v>2</v>
      </c>
      <c r="AN225" s="199">
        <f ca="1">IF(AQ225&gt;Preenchimento!$AA$90*12,0,1)</f>
        <v>0</v>
      </c>
      <c r="AO225" s="161" t="e">
        <f ca="1">1/((1+SAC!$AD$29)^AL225)</f>
        <v>#N/A</v>
      </c>
      <c r="AP225" s="82" t="e">
        <f t="shared" ca="1" si="108"/>
        <v>#N/A</v>
      </c>
      <c r="AQ225" s="82">
        <v>200</v>
      </c>
      <c r="AS225" s="477">
        <f t="shared" ca="1" si="100"/>
        <v>0</v>
      </c>
    </row>
    <row r="226" spans="1:45" ht="12" customHeight="1">
      <c r="A226" s="53">
        <v>201</v>
      </c>
      <c r="B226" s="249">
        <f ca="1">DATE(IF(MONTH(B225)=12,YEAR(B225)+1,YEAR(B225)),IF(MONTH(B225)=12,1,MONTH(B225)+1),MIN(DAY(Condições!$C$109),IF(IF(MONTH(B225)=12,1,MONTH(B225)+1)=2,IF(MOD(IF(MONTH(B225)=12,YEAR(B225)+1,YEAR(B225)),4)=0,29,28),IF(OR(IF(MONTH(B225)=12,1,MONTH(B225)+1)=4,IF(MONTH(B225)=12,1,MONTH(B225)+1)=6,IF(MONTH(B225)=12,1,MONTH(B225)+1)=9,IF(MONTH(B225)=12,1,MONTH(B225)+1)=11),30,DAY($B$25)))))</f>
        <v>52306</v>
      </c>
      <c r="C226" s="250" t="str">
        <f t="shared" si="83"/>
        <v/>
      </c>
      <c r="D226" s="251" t="e">
        <f t="shared" si="84"/>
        <v>#N/A</v>
      </c>
      <c r="E226" s="251">
        <f t="shared" si="85"/>
        <v>0</v>
      </c>
      <c r="F226" s="251">
        <f t="shared" si="86"/>
        <v>0</v>
      </c>
      <c r="G226" s="251">
        <f t="shared" si="87"/>
        <v>0</v>
      </c>
      <c r="H226" s="251" t="e">
        <f t="shared" si="88"/>
        <v>#VALUE!</v>
      </c>
      <c r="I226" s="251">
        <f t="shared" si="89"/>
        <v>0</v>
      </c>
      <c r="J226" s="251">
        <f t="shared" si="101"/>
        <v>0</v>
      </c>
      <c r="K226" s="251">
        <f t="shared" si="90"/>
        <v>0</v>
      </c>
      <c r="L226" s="174"/>
      <c r="M226" s="224"/>
      <c r="N226" s="225">
        <f t="shared" si="91"/>
        <v>0</v>
      </c>
      <c r="O226" s="251" t="e">
        <f t="shared" si="92"/>
        <v>#N/A</v>
      </c>
      <c r="P226" s="251">
        <f t="shared" si="102"/>
        <v>0</v>
      </c>
      <c r="Q226" s="251">
        <f t="shared" si="93"/>
        <v>0</v>
      </c>
      <c r="R226" s="251">
        <f t="shared" si="94"/>
        <v>0</v>
      </c>
      <c r="S226" s="251" t="e">
        <f t="shared" si="95"/>
        <v>#VALUE!</v>
      </c>
      <c r="T226" s="251">
        <f t="shared" si="82"/>
        <v>0</v>
      </c>
      <c r="U226" s="252">
        <f>TRUNC(T226*Condições!$C$102,2)</f>
        <v>0</v>
      </c>
      <c r="V226" s="199">
        <f t="shared" si="103"/>
        <v>0</v>
      </c>
      <c r="W226" s="161" t="e">
        <f t="shared" si="96"/>
        <v>#N/A</v>
      </c>
      <c r="X226" s="161" t="e">
        <f t="shared" si="97"/>
        <v>#N/A</v>
      </c>
      <c r="Y226" s="161">
        <f t="shared" si="104"/>
        <v>201</v>
      </c>
      <c r="Z226" s="161">
        <f t="shared" ca="1" si="105"/>
        <v>3</v>
      </c>
      <c r="AG226" s="114">
        <f t="shared" si="106"/>
        <v>0</v>
      </c>
      <c r="AH226" s="113"/>
      <c r="AI226" s="199">
        <f ca="1">IF(AL226=0,0,IF(AL226&gt;Preenchimento!$AA$88*12,0,IF($AC$53=AM226,0,1)))</f>
        <v>0</v>
      </c>
      <c r="AJ226" s="161" t="e">
        <f t="shared" ca="1" si="98"/>
        <v>#N/A</v>
      </c>
      <c r="AK226" s="161" t="e">
        <f t="shared" ca="1" si="99"/>
        <v>#N/A</v>
      </c>
      <c r="AL226" s="161">
        <f ca="1">IF(Y226&gt;(Preenchimento!$AA$90*12),0,Fixa!Y226)</f>
        <v>0</v>
      </c>
      <c r="AM226" s="161">
        <f t="shared" ca="1" si="107"/>
        <v>3</v>
      </c>
      <c r="AN226" s="199">
        <f ca="1">IF(AQ226&gt;Preenchimento!$AA$90*12,0,1)</f>
        <v>0</v>
      </c>
      <c r="AO226" s="161" t="e">
        <f ca="1">1/((1+SAC!$AD$29)^AL226)</f>
        <v>#N/A</v>
      </c>
      <c r="AP226" s="82" t="e">
        <f t="shared" ca="1" si="108"/>
        <v>#N/A</v>
      </c>
      <c r="AQ226" s="82">
        <v>201</v>
      </c>
      <c r="AS226" s="477">
        <f t="shared" ca="1" si="100"/>
        <v>0</v>
      </c>
    </row>
    <row r="227" spans="1:45" ht="12" customHeight="1">
      <c r="A227" s="53">
        <v>202</v>
      </c>
      <c r="B227" s="249">
        <f ca="1">DATE(IF(MONTH(B226)=12,YEAR(B226)+1,YEAR(B226)),IF(MONTH(B226)=12,1,MONTH(B226)+1),MIN(DAY(Condições!$C$109),IF(IF(MONTH(B226)=12,1,MONTH(B226)+1)=2,IF(MOD(IF(MONTH(B226)=12,YEAR(B226)+1,YEAR(B226)),4)=0,29,28),IF(OR(IF(MONTH(B226)=12,1,MONTH(B226)+1)=4,IF(MONTH(B226)=12,1,MONTH(B226)+1)=6,IF(MONTH(B226)=12,1,MONTH(B226)+1)=9,IF(MONTH(B226)=12,1,MONTH(B226)+1)=11),30,DAY($B$25)))))</f>
        <v>52337</v>
      </c>
      <c r="C227" s="250" t="str">
        <f t="shared" si="83"/>
        <v/>
      </c>
      <c r="D227" s="251" t="e">
        <f t="shared" si="84"/>
        <v>#N/A</v>
      </c>
      <c r="E227" s="251">
        <f t="shared" si="85"/>
        <v>0</v>
      </c>
      <c r="F227" s="251">
        <f t="shared" si="86"/>
        <v>0</v>
      </c>
      <c r="G227" s="251">
        <f t="shared" si="87"/>
        <v>0</v>
      </c>
      <c r="H227" s="251" t="e">
        <f t="shared" si="88"/>
        <v>#VALUE!</v>
      </c>
      <c r="I227" s="251">
        <f t="shared" si="89"/>
        <v>0</v>
      </c>
      <c r="J227" s="251">
        <f t="shared" si="101"/>
        <v>0</v>
      </c>
      <c r="K227" s="251">
        <f t="shared" si="90"/>
        <v>0</v>
      </c>
      <c r="L227" s="174"/>
      <c r="M227" s="224"/>
      <c r="N227" s="225">
        <f t="shared" si="91"/>
        <v>0</v>
      </c>
      <c r="O227" s="251" t="e">
        <f t="shared" si="92"/>
        <v>#N/A</v>
      </c>
      <c r="P227" s="251">
        <f t="shared" si="102"/>
        <v>0</v>
      </c>
      <c r="Q227" s="251">
        <f t="shared" si="93"/>
        <v>0</v>
      </c>
      <c r="R227" s="251">
        <f t="shared" si="94"/>
        <v>0</v>
      </c>
      <c r="S227" s="251" t="e">
        <f t="shared" si="95"/>
        <v>#VALUE!</v>
      </c>
      <c r="T227" s="251">
        <f t="shared" si="82"/>
        <v>0</v>
      </c>
      <c r="U227" s="252">
        <f>TRUNC(T227*Condições!$C$102,2)</f>
        <v>0</v>
      </c>
      <c r="V227" s="199">
        <f t="shared" si="103"/>
        <v>0</v>
      </c>
      <c r="W227" s="161" t="e">
        <f t="shared" si="96"/>
        <v>#N/A</v>
      </c>
      <c r="X227" s="161" t="e">
        <f t="shared" si="97"/>
        <v>#N/A</v>
      </c>
      <c r="Y227" s="161">
        <f t="shared" si="104"/>
        <v>202</v>
      </c>
      <c r="Z227" s="161">
        <f t="shared" ca="1" si="105"/>
        <v>4</v>
      </c>
      <c r="AG227" s="114">
        <f t="shared" si="106"/>
        <v>0</v>
      </c>
      <c r="AH227" s="113"/>
      <c r="AI227" s="199">
        <f ca="1">IF(AL227=0,0,IF(AL227&gt;Preenchimento!$AA$88*12,0,IF($AC$53=AM227,0,1)))</f>
        <v>0</v>
      </c>
      <c r="AJ227" s="161" t="e">
        <f t="shared" ca="1" si="98"/>
        <v>#N/A</v>
      </c>
      <c r="AK227" s="161" t="e">
        <f t="shared" ca="1" si="99"/>
        <v>#N/A</v>
      </c>
      <c r="AL227" s="161">
        <f ca="1">IF(Y227&gt;(Preenchimento!$AA$90*12),0,Fixa!Y227)</f>
        <v>0</v>
      </c>
      <c r="AM227" s="161">
        <f t="shared" ca="1" si="107"/>
        <v>4</v>
      </c>
      <c r="AN227" s="199">
        <f ca="1">IF(AQ227&gt;Preenchimento!$AA$90*12,0,1)</f>
        <v>0</v>
      </c>
      <c r="AO227" s="161" t="e">
        <f ca="1">1/((1+SAC!$AD$29)^AL227)</f>
        <v>#N/A</v>
      </c>
      <c r="AP227" s="82" t="e">
        <f t="shared" ca="1" si="108"/>
        <v>#N/A</v>
      </c>
      <c r="AQ227" s="82">
        <v>202</v>
      </c>
      <c r="AS227" s="477">
        <f t="shared" ca="1" si="100"/>
        <v>0</v>
      </c>
    </row>
    <row r="228" spans="1:45" ht="12" customHeight="1">
      <c r="A228" s="53">
        <v>203</v>
      </c>
      <c r="B228" s="249">
        <f ca="1">DATE(IF(MONTH(B227)=12,YEAR(B227)+1,YEAR(B227)),IF(MONTH(B227)=12,1,MONTH(B227)+1),MIN(DAY(Condições!$C$109),IF(IF(MONTH(B227)=12,1,MONTH(B227)+1)=2,IF(MOD(IF(MONTH(B227)=12,YEAR(B227)+1,YEAR(B227)),4)=0,29,28),IF(OR(IF(MONTH(B227)=12,1,MONTH(B227)+1)=4,IF(MONTH(B227)=12,1,MONTH(B227)+1)=6,IF(MONTH(B227)=12,1,MONTH(B227)+1)=9,IF(MONTH(B227)=12,1,MONTH(B227)+1)=11),30,DAY($B$25)))))</f>
        <v>52367</v>
      </c>
      <c r="C228" s="250" t="str">
        <f t="shared" si="83"/>
        <v/>
      </c>
      <c r="D228" s="251" t="e">
        <f t="shared" si="84"/>
        <v>#N/A</v>
      </c>
      <c r="E228" s="251">
        <f t="shared" si="85"/>
        <v>0</v>
      </c>
      <c r="F228" s="251">
        <f t="shared" si="86"/>
        <v>0</v>
      </c>
      <c r="G228" s="251">
        <f t="shared" si="87"/>
        <v>0</v>
      </c>
      <c r="H228" s="251" t="e">
        <f t="shared" si="88"/>
        <v>#VALUE!</v>
      </c>
      <c r="I228" s="251">
        <f t="shared" si="89"/>
        <v>0</v>
      </c>
      <c r="J228" s="251">
        <f t="shared" si="101"/>
        <v>0</v>
      </c>
      <c r="K228" s="251">
        <f t="shared" si="90"/>
        <v>0</v>
      </c>
      <c r="L228" s="174"/>
      <c r="M228" s="224"/>
      <c r="N228" s="225">
        <f t="shared" si="91"/>
        <v>0</v>
      </c>
      <c r="O228" s="251" t="e">
        <f t="shared" si="92"/>
        <v>#N/A</v>
      </c>
      <c r="P228" s="251">
        <f t="shared" si="102"/>
        <v>0</v>
      </c>
      <c r="Q228" s="251">
        <f t="shared" si="93"/>
        <v>0</v>
      </c>
      <c r="R228" s="251">
        <f t="shared" si="94"/>
        <v>0</v>
      </c>
      <c r="S228" s="251" t="e">
        <f t="shared" si="95"/>
        <v>#VALUE!</v>
      </c>
      <c r="T228" s="251">
        <f t="shared" si="82"/>
        <v>0</v>
      </c>
      <c r="U228" s="252">
        <f>TRUNC(T228*Condições!$C$102,2)</f>
        <v>0</v>
      </c>
      <c r="V228" s="199">
        <f t="shared" si="103"/>
        <v>0</v>
      </c>
      <c r="W228" s="161" t="e">
        <f t="shared" si="96"/>
        <v>#N/A</v>
      </c>
      <c r="X228" s="161" t="e">
        <f t="shared" si="97"/>
        <v>#N/A</v>
      </c>
      <c r="Y228" s="161">
        <f t="shared" si="104"/>
        <v>203</v>
      </c>
      <c r="Z228" s="161">
        <f t="shared" ca="1" si="105"/>
        <v>5</v>
      </c>
      <c r="AG228" s="114">
        <f t="shared" si="106"/>
        <v>0</v>
      </c>
      <c r="AH228" s="113"/>
      <c r="AI228" s="199">
        <f ca="1">IF(AL228=0,0,IF(AL228&gt;Preenchimento!$AA$88*12,0,IF($AC$53=AM228,0,1)))</f>
        <v>0</v>
      </c>
      <c r="AJ228" s="161" t="e">
        <f t="shared" ca="1" si="98"/>
        <v>#N/A</v>
      </c>
      <c r="AK228" s="161" t="e">
        <f t="shared" ca="1" si="99"/>
        <v>#N/A</v>
      </c>
      <c r="AL228" s="161">
        <f ca="1">IF(Y228&gt;(Preenchimento!$AA$90*12),0,Fixa!Y228)</f>
        <v>0</v>
      </c>
      <c r="AM228" s="161">
        <f t="shared" ca="1" si="107"/>
        <v>5</v>
      </c>
      <c r="AN228" s="199">
        <f ca="1">IF(AQ228&gt;Preenchimento!$AA$90*12,0,1)</f>
        <v>0</v>
      </c>
      <c r="AO228" s="161" t="e">
        <f ca="1">1/((1+SAC!$AD$29)^AL228)</f>
        <v>#N/A</v>
      </c>
      <c r="AP228" s="82" t="e">
        <f t="shared" ca="1" si="108"/>
        <v>#N/A</v>
      </c>
      <c r="AQ228" s="82">
        <v>203</v>
      </c>
      <c r="AS228" s="477">
        <f t="shared" ca="1" si="100"/>
        <v>0</v>
      </c>
    </row>
    <row r="229" spans="1:45" ht="12" customHeight="1">
      <c r="A229" s="53">
        <v>204</v>
      </c>
      <c r="B229" s="249">
        <f ca="1">DATE(IF(MONTH(B228)=12,YEAR(B228)+1,YEAR(B228)),IF(MONTH(B228)=12,1,MONTH(B228)+1),MIN(DAY(Condições!$C$109),IF(IF(MONTH(B228)=12,1,MONTH(B228)+1)=2,IF(MOD(IF(MONTH(B228)=12,YEAR(B228)+1,YEAR(B228)),4)=0,29,28),IF(OR(IF(MONTH(B228)=12,1,MONTH(B228)+1)=4,IF(MONTH(B228)=12,1,MONTH(B228)+1)=6,IF(MONTH(B228)=12,1,MONTH(B228)+1)=9,IF(MONTH(B228)=12,1,MONTH(B228)+1)=11),30,DAY($B$25)))))</f>
        <v>52398</v>
      </c>
      <c r="C229" s="250" t="str">
        <f t="shared" si="83"/>
        <v/>
      </c>
      <c r="D229" s="251" t="e">
        <f t="shared" si="84"/>
        <v>#N/A</v>
      </c>
      <c r="E229" s="251">
        <f t="shared" si="85"/>
        <v>0</v>
      </c>
      <c r="F229" s="251">
        <f t="shared" si="86"/>
        <v>0</v>
      </c>
      <c r="G229" s="251">
        <f t="shared" si="87"/>
        <v>0</v>
      </c>
      <c r="H229" s="251" t="e">
        <f t="shared" si="88"/>
        <v>#VALUE!</v>
      </c>
      <c r="I229" s="251">
        <f t="shared" si="89"/>
        <v>0</v>
      </c>
      <c r="J229" s="251">
        <f t="shared" si="101"/>
        <v>0</v>
      </c>
      <c r="K229" s="251">
        <f t="shared" si="90"/>
        <v>0</v>
      </c>
      <c r="L229" s="174"/>
      <c r="M229" s="224"/>
      <c r="N229" s="225">
        <f t="shared" si="91"/>
        <v>0</v>
      </c>
      <c r="O229" s="251" t="e">
        <f t="shared" si="92"/>
        <v>#N/A</v>
      </c>
      <c r="P229" s="251">
        <f t="shared" si="102"/>
        <v>0</v>
      </c>
      <c r="Q229" s="251">
        <f t="shared" si="93"/>
        <v>0</v>
      </c>
      <c r="R229" s="251">
        <f t="shared" si="94"/>
        <v>0</v>
      </c>
      <c r="S229" s="251" t="e">
        <f t="shared" si="95"/>
        <v>#VALUE!</v>
      </c>
      <c r="T229" s="251">
        <f t="shared" si="82"/>
        <v>0</v>
      </c>
      <c r="U229" s="252">
        <f>TRUNC(T229*Condições!$C$102,2)</f>
        <v>0</v>
      </c>
      <c r="V229" s="199">
        <f t="shared" si="103"/>
        <v>0</v>
      </c>
      <c r="W229" s="161" t="e">
        <f t="shared" si="96"/>
        <v>#N/A</v>
      </c>
      <c r="X229" s="161" t="e">
        <f t="shared" si="97"/>
        <v>#N/A</v>
      </c>
      <c r="Y229" s="161">
        <f t="shared" si="104"/>
        <v>204</v>
      </c>
      <c r="Z229" s="161">
        <f t="shared" ca="1" si="105"/>
        <v>6</v>
      </c>
      <c r="AG229" s="114">
        <f t="shared" si="106"/>
        <v>0</v>
      </c>
      <c r="AH229" s="113"/>
      <c r="AI229" s="199">
        <f ca="1">IF(AL229=0,0,IF(AL229&gt;Preenchimento!$AA$88*12,0,IF($AC$53=AM229,0,1)))</f>
        <v>0</v>
      </c>
      <c r="AJ229" s="161" t="e">
        <f t="shared" ca="1" si="98"/>
        <v>#N/A</v>
      </c>
      <c r="AK229" s="161" t="e">
        <f t="shared" ca="1" si="99"/>
        <v>#N/A</v>
      </c>
      <c r="AL229" s="161">
        <f ca="1">IF(Y229&gt;(Preenchimento!$AA$90*12),0,Fixa!Y229)</f>
        <v>0</v>
      </c>
      <c r="AM229" s="161">
        <f t="shared" ca="1" si="107"/>
        <v>6</v>
      </c>
      <c r="AN229" s="199">
        <f ca="1">IF(AQ229&gt;Preenchimento!$AA$90*12,0,1)</f>
        <v>0</v>
      </c>
      <c r="AO229" s="161" t="e">
        <f ca="1">1/((1+SAC!$AD$29)^AL229)</f>
        <v>#N/A</v>
      </c>
      <c r="AP229" s="82" t="e">
        <f t="shared" ca="1" si="108"/>
        <v>#N/A</v>
      </c>
      <c r="AQ229" s="82">
        <v>204</v>
      </c>
      <c r="AS229" s="477">
        <f t="shared" ca="1" si="100"/>
        <v>0</v>
      </c>
    </row>
    <row r="230" spans="1:45" ht="12" customHeight="1">
      <c r="A230" s="53">
        <v>205</v>
      </c>
      <c r="B230" s="249">
        <f ca="1">DATE(IF(MONTH(B229)=12,YEAR(B229)+1,YEAR(B229)),IF(MONTH(B229)=12,1,MONTH(B229)+1),MIN(DAY(Condições!$C$109),IF(IF(MONTH(B229)=12,1,MONTH(B229)+1)=2,IF(MOD(IF(MONTH(B229)=12,YEAR(B229)+1,YEAR(B229)),4)=0,29,28),IF(OR(IF(MONTH(B229)=12,1,MONTH(B229)+1)=4,IF(MONTH(B229)=12,1,MONTH(B229)+1)=6,IF(MONTH(B229)=12,1,MONTH(B229)+1)=9,IF(MONTH(B229)=12,1,MONTH(B229)+1)=11),30,DAY($B$25)))))</f>
        <v>52428</v>
      </c>
      <c r="C230" s="250" t="str">
        <f t="shared" si="83"/>
        <v/>
      </c>
      <c r="D230" s="251" t="e">
        <f t="shared" si="84"/>
        <v>#N/A</v>
      </c>
      <c r="E230" s="251">
        <f t="shared" si="85"/>
        <v>0</v>
      </c>
      <c r="F230" s="251">
        <f t="shared" si="86"/>
        <v>0</v>
      </c>
      <c r="G230" s="251">
        <f t="shared" si="87"/>
        <v>0</v>
      </c>
      <c r="H230" s="251" t="e">
        <f t="shared" si="88"/>
        <v>#VALUE!</v>
      </c>
      <c r="I230" s="251">
        <f t="shared" si="89"/>
        <v>0</v>
      </c>
      <c r="J230" s="251">
        <f t="shared" si="101"/>
        <v>0</v>
      </c>
      <c r="K230" s="251">
        <f t="shared" si="90"/>
        <v>0</v>
      </c>
      <c r="L230" s="174"/>
      <c r="M230" s="224"/>
      <c r="N230" s="225">
        <f t="shared" si="91"/>
        <v>0</v>
      </c>
      <c r="O230" s="251" t="e">
        <f t="shared" si="92"/>
        <v>#N/A</v>
      </c>
      <c r="P230" s="251">
        <f t="shared" si="102"/>
        <v>0</v>
      </c>
      <c r="Q230" s="251">
        <f t="shared" si="93"/>
        <v>0</v>
      </c>
      <c r="R230" s="251">
        <f t="shared" si="94"/>
        <v>0</v>
      </c>
      <c r="S230" s="251" t="e">
        <f t="shared" si="95"/>
        <v>#VALUE!</v>
      </c>
      <c r="T230" s="251">
        <f t="shared" si="82"/>
        <v>0</v>
      </c>
      <c r="U230" s="252">
        <f>TRUNC(T230*Condições!$C$102,2)</f>
        <v>0</v>
      </c>
      <c r="V230" s="199">
        <f t="shared" si="103"/>
        <v>0</v>
      </c>
      <c r="W230" s="161" t="e">
        <f t="shared" si="96"/>
        <v>#N/A</v>
      </c>
      <c r="X230" s="161" t="e">
        <f t="shared" si="97"/>
        <v>#N/A</v>
      </c>
      <c r="Y230" s="161">
        <f t="shared" si="104"/>
        <v>205</v>
      </c>
      <c r="Z230" s="161">
        <f t="shared" ca="1" si="105"/>
        <v>7</v>
      </c>
      <c r="AG230" s="114">
        <f t="shared" si="106"/>
        <v>0</v>
      </c>
      <c r="AH230" s="113"/>
      <c r="AI230" s="199">
        <f ca="1">IF(AL230=0,0,IF(AL230&gt;Preenchimento!$AA$88*12,0,IF($AC$53=AM230,0,1)))</f>
        <v>0</v>
      </c>
      <c r="AJ230" s="161" t="e">
        <f t="shared" ca="1" si="98"/>
        <v>#N/A</v>
      </c>
      <c r="AK230" s="161" t="e">
        <f t="shared" ca="1" si="99"/>
        <v>#N/A</v>
      </c>
      <c r="AL230" s="161">
        <f ca="1">IF(Y230&gt;(Preenchimento!$AA$90*12),0,Fixa!Y230)</f>
        <v>0</v>
      </c>
      <c r="AM230" s="161">
        <f t="shared" ca="1" si="107"/>
        <v>7</v>
      </c>
      <c r="AN230" s="199">
        <f ca="1">IF(AQ230&gt;Preenchimento!$AA$90*12,0,1)</f>
        <v>0</v>
      </c>
      <c r="AO230" s="161" t="e">
        <f ca="1">1/((1+SAC!$AD$29)^AL230)</f>
        <v>#N/A</v>
      </c>
      <c r="AP230" s="82" t="e">
        <f t="shared" ca="1" si="108"/>
        <v>#N/A</v>
      </c>
      <c r="AQ230" s="82">
        <v>205</v>
      </c>
      <c r="AS230" s="477">
        <f t="shared" ca="1" si="100"/>
        <v>0</v>
      </c>
    </row>
    <row r="231" spans="1:45" ht="12" customHeight="1">
      <c r="A231" s="53">
        <v>206</v>
      </c>
      <c r="B231" s="249">
        <f ca="1">DATE(IF(MONTH(B230)=12,YEAR(B230)+1,YEAR(B230)),IF(MONTH(B230)=12,1,MONTH(B230)+1),MIN(DAY(Condições!$C$109),IF(IF(MONTH(B230)=12,1,MONTH(B230)+1)=2,IF(MOD(IF(MONTH(B230)=12,YEAR(B230)+1,YEAR(B230)),4)=0,29,28),IF(OR(IF(MONTH(B230)=12,1,MONTH(B230)+1)=4,IF(MONTH(B230)=12,1,MONTH(B230)+1)=6,IF(MONTH(B230)=12,1,MONTH(B230)+1)=9,IF(MONTH(B230)=12,1,MONTH(B230)+1)=11),30,DAY($B$25)))))</f>
        <v>52459</v>
      </c>
      <c r="C231" s="250" t="str">
        <f t="shared" si="83"/>
        <v/>
      </c>
      <c r="D231" s="251" t="e">
        <f t="shared" si="84"/>
        <v>#N/A</v>
      </c>
      <c r="E231" s="251">
        <f t="shared" si="85"/>
        <v>0</v>
      </c>
      <c r="F231" s="251">
        <f t="shared" si="86"/>
        <v>0</v>
      </c>
      <c r="G231" s="251">
        <f t="shared" si="87"/>
        <v>0</v>
      </c>
      <c r="H231" s="251" t="e">
        <f t="shared" si="88"/>
        <v>#VALUE!</v>
      </c>
      <c r="I231" s="251">
        <f t="shared" si="89"/>
        <v>0</v>
      </c>
      <c r="J231" s="251">
        <f t="shared" si="101"/>
        <v>0</v>
      </c>
      <c r="K231" s="251">
        <f t="shared" si="90"/>
        <v>0</v>
      </c>
      <c r="L231" s="174"/>
      <c r="M231" s="224"/>
      <c r="N231" s="225">
        <f t="shared" si="91"/>
        <v>0</v>
      </c>
      <c r="O231" s="251" t="e">
        <f t="shared" si="92"/>
        <v>#N/A</v>
      </c>
      <c r="P231" s="251">
        <f t="shared" si="102"/>
        <v>0</v>
      </c>
      <c r="Q231" s="251">
        <f t="shared" si="93"/>
        <v>0</v>
      </c>
      <c r="R231" s="251">
        <f t="shared" si="94"/>
        <v>0</v>
      </c>
      <c r="S231" s="251" t="e">
        <f t="shared" si="95"/>
        <v>#VALUE!</v>
      </c>
      <c r="T231" s="251">
        <f t="shared" si="82"/>
        <v>0</v>
      </c>
      <c r="U231" s="252">
        <f>TRUNC(T231*Condições!$C$102,2)</f>
        <v>0</v>
      </c>
      <c r="V231" s="199">
        <f t="shared" si="103"/>
        <v>0</v>
      </c>
      <c r="W231" s="161" t="e">
        <f t="shared" si="96"/>
        <v>#N/A</v>
      </c>
      <c r="X231" s="161" t="e">
        <f t="shared" si="97"/>
        <v>#N/A</v>
      </c>
      <c r="Y231" s="161">
        <f t="shared" si="104"/>
        <v>206</v>
      </c>
      <c r="Z231" s="161">
        <f t="shared" ca="1" si="105"/>
        <v>8</v>
      </c>
      <c r="AG231" s="114">
        <f t="shared" si="106"/>
        <v>0</v>
      </c>
      <c r="AH231" s="113"/>
      <c r="AI231" s="199">
        <f ca="1">IF(AL231=0,0,IF(AL231&gt;Preenchimento!$AA$88*12,0,IF($AC$53=AM231,0,1)))</f>
        <v>0</v>
      </c>
      <c r="AJ231" s="161" t="e">
        <f t="shared" ca="1" si="98"/>
        <v>#N/A</v>
      </c>
      <c r="AK231" s="161" t="e">
        <f t="shared" ca="1" si="99"/>
        <v>#N/A</v>
      </c>
      <c r="AL231" s="161">
        <f ca="1">IF(Y231&gt;(Preenchimento!$AA$90*12),0,Fixa!Y231)</f>
        <v>0</v>
      </c>
      <c r="AM231" s="161">
        <f t="shared" ca="1" si="107"/>
        <v>8</v>
      </c>
      <c r="AN231" s="199">
        <f ca="1">IF(AQ231&gt;Preenchimento!$AA$90*12,0,1)</f>
        <v>0</v>
      </c>
      <c r="AO231" s="161" t="e">
        <f ca="1">1/((1+SAC!$AD$29)^AL231)</f>
        <v>#N/A</v>
      </c>
      <c r="AP231" s="82" t="e">
        <f t="shared" ca="1" si="108"/>
        <v>#N/A</v>
      </c>
      <c r="AQ231" s="82">
        <v>206</v>
      </c>
      <c r="AS231" s="477">
        <f t="shared" ca="1" si="100"/>
        <v>0</v>
      </c>
    </row>
    <row r="232" spans="1:45" ht="12" customHeight="1">
      <c r="A232" s="53">
        <v>207</v>
      </c>
      <c r="B232" s="249">
        <f ca="1">DATE(IF(MONTH(B231)=12,YEAR(B231)+1,YEAR(B231)),IF(MONTH(B231)=12,1,MONTH(B231)+1),MIN(DAY(Condições!$C$109),IF(IF(MONTH(B231)=12,1,MONTH(B231)+1)=2,IF(MOD(IF(MONTH(B231)=12,YEAR(B231)+1,YEAR(B231)),4)=0,29,28),IF(OR(IF(MONTH(B231)=12,1,MONTH(B231)+1)=4,IF(MONTH(B231)=12,1,MONTH(B231)+1)=6,IF(MONTH(B231)=12,1,MONTH(B231)+1)=9,IF(MONTH(B231)=12,1,MONTH(B231)+1)=11),30,DAY($B$25)))))</f>
        <v>52490</v>
      </c>
      <c r="C232" s="250" t="str">
        <f t="shared" si="83"/>
        <v/>
      </c>
      <c r="D232" s="251" t="e">
        <f t="shared" si="84"/>
        <v>#N/A</v>
      </c>
      <c r="E232" s="251">
        <f t="shared" si="85"/>
        <v>0</v>
      </c>
      <c r="F232" s="251">
        <f t="shared" si="86"/>
        <v>0</v>
      </c>
      <c r="G232" s="251">
        <f t="shared" si="87"/>
        <v>0</v>
      </c>
      <c r="H232" s="251" t="e">
        <f t="shared" si="88"/>
        <v>#VALUE!</v>
      </c>
      <c r="I232" s="251">
        <f t="shared" si="89"/>
        <v>0</v>
      </c>
      <c r="J232" s="251">
        <f t="shared" si="101"/>
        <v>0</v>
      </c>
      <c r="K232" s="251">
        <f t="shared" si="90"/>
        <v>0</v>
      </c>
      <c r="L232" s="174"/>
      <c r="M232" s="224"/>
      <c r="N232" s="225">
        <f t="shared" si="91"/>
        <v>0</v>
      </c>
      <c r="O232" s="251" t="e">
        <f t="shared" si="92"/>
        <v>#N/A</v>
      </c>
      <c r="P232" s="251">
        <f t="shared" si="102"/>
        <v>0</v>
      </c>
      <c r="Q232" s="251">
        <f t="shared" si="93"/>
        <v>0</v>
      </c>
      <c r="R232" s="251">
        <f t="shared" si="94"/>
        <v>0</v>
      </c>
      <c r="S232" s="251" t="e">
        <f t="shared" si="95"/>
        <v>#VALUE!</v>
      </c>
      <c r="T232" s="251">
        <f t="shared" si="82"/>
        <v>0</v>
      </c>
      <c r="U232" s="252">
        <f>TRUNC(T232*Condições!$C$102,2)</f>
        <v>0</v>
      </c>
      <c r="V232" s="199">
        <f t="shared" si="103"/>
        <v>0</v>
      </c>
      <c r="W232" s="161" t="e">
        <f t="shared" si="96"/>
        <v>#N/A</v>
      </c>
      <c r="X232" s="161" t="e">
        <f t="shared" si="97"/>
        <v>#N/A</v>
      </c>
      <c r="Y232" s="161">
        <f t="shared" si="104"/>
        <v>207</v>
      </c>
      <c r="Z232" s="161">
        <f t="shared" ca="1" si="105"/>
        <v>9</v>
      </c>
      <c r="AG232" s="114">
        <f t="shared" si="106"/>
        <v>0</v>
      </c>
      <c r="AH232" s="113"/>
      <c r="AI232" s="199">
        <f ca="1">IF(AL232=0,0,IF(AL232&gt;Preenchimento!$AA$88*12,0,IF($AC$53=AM232,0,1)))</f>
        <v>0</v>
      </c>
      <c r="AJ232" s="161" t="e">
        <f t="shared" ca="1" si="98"/>
        <v>#N/A</v>
      </c>
      <c r="AK232" s="161" t="e">
        <f t="shared" ca="1" si="99"/>
        <v>#N/A</v>
      </c>
      <c r="AL232" s="161">
        <f ca="1">IF(Y232&gt;(Preenchimento!$AA$90*12),0,Fixa!Y232)</f>
        <v>0</v>
      </c>
      <c r="AM232" s="161">
        <f t="shared" ca="1" si="107"/>
        <v>9</v>
      </c>
      <c r="AN232" s="199">
        <f ca="1">IF(AQ232&gt;Preenchimento!$AA$90*12,0,1)</f>
        <v>0</v>
      </c>
      <c r="AO232" s="161" t="e">
        <f ca="1">1/((1+SAC!$AD$29)^AL232)</f>
        <v>#N/A</v>
      </c>
      <c r="AP232" s="82" t="e">
        <f t="shared" ca="1" si="108"/>
        <v>#N/A</v>
      </c>
      <c r="AQ232" s="82">
        <v>207</v>
      </c>
      <c r="AS232" s="477">
        <f t="shared" ca="1" si="100"/>
        <v>0</v>
      </c>
    </row>
    <row r="233" spans="1:45" ht="12" customHeight="1">
      <c r="A233" s="53">
        <v>208</v>
      </c>
      <c r="B233" s="249">
        <f ca="1">DATE(IF(MONTH(B232)=12,YEAR(B232)+1,YEAR(B232)),IF(MONTH(B232)=12,1,MONTH(B232)+1),MIN(DAY(Condições!$C$109),IF(IF(MONTH(B232)=12,1,MONTH(B232)+1)=2,IF(MOD(IF(MONTH(B232)=12,YEAR(B232)+1,YEAR(B232)),4)=0,29,28),IF(OR(IF(MONTH(B232)=12,1,MONTH(B232)+1)=4,IF(MONTH(B232)=12,1,MONTH(B232)+1)=6,IF(MONTH(B232)=12,1,MONTH(B232)+1)=9,IF(MONTH(B232)=12,1,MONTH(B232)+1)=11),30,DAY($B$25)))))</f>
        <v>52520</v>
      </c>
      <c r="C233" s="250" t="str">
        <f t="shared" si="83"/>
        <v/>
      </c>
      <c r="D233" s="251" t="e">
        <f t="shared" si="84"/>
        <v>#N/A</v>
      </c>
      <c r="E233" s="251">
        <f t="shared" si="85"/>
        <v>0</v>
      </c>
      <c r="F233" s="251">
        <f t="shared" si="86"/>
        <v>0</v>
      </c>
      <c r="G233" s="251">
        <f t="shared" si="87"/>
        <v>0</v>
      </c>
      <c r="H233" s="251" t="e">
        <f t="shared" si="88"/>
        <v>#VALUE!</v>
      </c>
      <c r="I233" s="251">
        <f t="shared" si="89"/>
        <v>0</v>
      </c>
      <c r="J233" s="251">
        <f t="shared" si="101"/>
        <v>0</v>
      </c>
      <c r="K233" s="251">
        <f t="shared" si="90"/>
        <v>0</v>
      </c>
      <c r="L233" s="174"/>
      <c r="M233" s="224"/>
      <c r="N233" s="225">
        <f t="shared" si="91"/>
        <v>0</v>
      </c>
      <c r="O233" s="251" t="e">
        <f t="shared" si="92"/>
        <v>#N/A</v>
      </c>
      <c r="P233" s="251">
        <f t="shared" si="102"/>
        <v>0</v>
      </c>
      <c r="Q233" s="251">
        <f t="shared" si="93"/>
        <v>0</v>
      </c>
      <c r="R233" s="251">
        <f t="shared" si="94"/>
        <v>0</v>
      </c>
      <c r="S233" s="251" t="e">
        <f t="shared" si="95"/>
        <v>#VALUE!</v>
      </c>
      <c r="T233" s="251">
        <f t="shared" si="82"/>
        <v>0</v>
      </c>
      <c r="U233" s="252">
        <f>TRUNC(T233*Condições!$C$102,2)</f>
        <v>0</v>
      </c>
      <c r="V233" s="199">
        <f t="shared" si="103"/>
        <v>0</v>
      </c>
      <c r="W233" s="161" t="e">
        <f t="shared" si="96"/>
        <v>#N/A</v>
      </c>
      <c r="X233" s="161" t="e">
        <f t="shared" si="97"/>
        <v>#N/A</v>
      </c>
      <c r="Y233" s="161">
        <f t="shared" si="104"/>
        <v>208</v>
      </c>
      <c r="Z233" s="161">
        <f t="shared" ca="1" si="105"/>
        <v>10</v>
      </c>
      <c r="AG233" s="114">
        <f t="shared" si="106"/>
        <v>0</v>
      </c>
      <c r="AH233" s="113"/>
      <c r="AI233" s="199">
        <f ca="1">IF(AL233=0,0,IF(AL233&gt;Preenchimento!$AA$88*12,0,IF($AC$53=AM233,0,1)))</f>
        <v>0</v>
      </c>
      <c r="AJ233" s="161" t="e">
        <f t="shared" ca="1" si="98"/>
        <v>#N/A</v>
      </c>
      <c r="AK233" s="161" t="e">
        <f t="shared" ca="1" si="99"/>
        <v>#N/A</v>
      </c>
      <c r="AL233" s="161">
        <f ca="1">IF(Y233&gt;(Preenchimento!$AA$90*12),0,Fixa!Y233)</f>
        <v>0</v>
      </c>
      <c r="AM233" s="161">
        <f t="shared" ca="1" si="107"/>
        <v>10</v>
      </c>
      <c r="AN233" s="199">
        <f ca="1">IF(AQ233&gt;Preenchimento!$AA$90*12,0,1)</f>
        <v>0</v>
      </c>
      <c r="AO233" s="161" t="e">
        <f ca="1">1/((1+SAC!$AD$29)^AL233)</f>
        <v>#N/A</v>
      </c>
      <c r="AP233" s="82" t="e">
        <f t="shared" ca="1" si="108"/>
        <v>#N/A</v>
      </c>
      <c r="AQ233" s="82">
        <v>208</v>
      </c>
      <c r="AS233" s="477">
        <f t="shared" ca="1" si="100"/>
        <v>0</v>
      </c>
    </row>
    <row r="234" spans="1:45" ht="12" customHeight="1">
      <c r="A234" s="53">
        <v>209</v>
      </c>
      <c r="B234" s="249">
        <f ca="1">DATE(IF(MONTH(B233)=12,YEAR(B233)+1,YEAR(B233)),IF(MONTH(B233)=12,1,MONTH(B233)+1),MIN(DAY(Condições!$C$109),IF(IF(MONTH(B233)=12,1,MONTH(B233)+1)=2,IF(MOD(IF(MONTH(B233)=12,YEAR(B233)+1,YEAR(B233)),4)=0,29,28),IF(OR(IF(MONTH(B233)=12,1,MONTH(B233)+1)=4,IF(MONTH(B233)=12,1,MONTH(B233)+1)=6,IF(MONTH(B233)=12,1,MONTH(B233)+1)=9,IF(MONTH(B233)=12,1,MONTH(B233)+1)=11),30,DAY($B$25)))))</f>
        <v>52551</v>
      </c>
      <c r="C234" s="250" t="str">
        <f t="shared" si="83"/>
        <v/>
      </c>
      <c r="D234" s="251" t="e">
        <f t="shared" si="84"/>
        <v>#N/A</v>
      </c>
      <c r="E234" s="251">
        <f t="shared" si="85"/>
        <v>0</v>
      </c>
      <c r="F234" s="251">
        <f t="shared" si="86"/>
        <v>0</v>
      </c>
      <c r="G234" s="251">
        <f t="shared" si="87"/>
        <v>0</v>
      </c>
      <c r="H234" s="251" t="e">
        <f t="shared" si="88"/>
        <v>#VALUE!</v>
      </c>
      <c r="I234" s="251">
        <f t="shared" si="89"/>
        <v>0</v>
      </c>
      <c r="J234" s="251">
        <f t="shared" si="101"/>
        <v>0</v>
      </c>
      <c r="K234" s="251">
        <f t="shared" si="90"/>
        <v>0</v>
      </c>
      <c r="L234" s="174"/>
      <c r="M234" s="224"/>
      <c r="N234" s="225">
        <f t="shared" si="91"/>
        <v>0</v>
      </c>
      <c r="O234" s="251" t="e">
        <f t="shared" si="92"/>
        <v>#N/A</v>
      </c>
      <c r="P234" s="251">
        <f t="shared" si="102"/>
        <v>0</v>
      </c>
      <c r="Q234" s="251">
        <f t="shared" si="93"/>
        <v>0</v>
      </c>
      <c r="R234" s="251">
        <f t="shared" si="94"/>
        <v>0</v>
      </c>
      <c r="S234" s="251" t="e">
        <f t="shared" si="95"/>
        <v>#VALUE!</v>
      </c>
      <c r="T234" s="251">
        <f t="shared" si="82"/>
        <v>0</v>
      </c>
      <c r="U234" s="252">
        <f>TRUNC(T234*Condições!$C$102,2)</f>
        <v>0</v>
      </c>
      <c r="V234" s="199">
        <f t="shared" si="103"/>
        <v>0</v>
      </c>
      <c r="W234" s="161" t="e">
        <f t="shared" si="96"/>
        <v>#N/A</v>
      </c>
      <c r="X234" s="161" t="e">
        <f t="shared" si="97"/>
        <v>#N/A</v>
      </c>
      <c r="Y234" s="161">
        <f t="shared" si="104"/>
        <v>209</v>
      </c>
      <c r="Z234" s="161">
        <f t="shared" ca="1" si="105"/>
        <v>11</v>
      </c>
      <c r="AG234" s="114">
        <f t="shared" si="106"/>
        <v>0</v>
      </c>
      <c r="AH234" s="113"/>
      <c r="AI234" s="199">
        <f ca="1">IF(AL234=0,0,IF(AL234&gt;Preenchimento!$AA$88*12,0,IF($AC$53=AM234,0,1)))</f>
        <v>0</v>
      </c>
      <c r="AJ234" s="161" t="e">
        <f t="shared" ca="1" si="98"/>
        <v>#N/A</v>
      </c>
      <c r="AK234" s="161" t="e">
        <f t="shared" ca="1" si="99"/>
        <v>#N/A</v>
      </c>
      <c r="AL234" s="161">
        <f ca="1">IF(Y234&gt;(Preenchimento!$AA$90*12),0,Fixa!Y234)</f>
        <v>0</v>
      </c>
      <c r="AM234" s="161">
        <f t="shared" ca="1" si="107"/>
        <v>11</v>
      </c>
      <c r="AN234" s="199">
        <f ca="1">IF(AQ234&gt;Preenchimento!$AA$90*12,0,1)</f>
        <v>0</v>
      </c>
      <c r="AO234" s="161" t="e">
        <f ca="1">1/((1+SAC!$AD$29)^AL234)</f>
        <v>#N/A</v>
      </c>
      <c r="AP234" s="82" t="e">
        <f t="shared" ca="1" si="108"/>
        <v>#N/A</v>
      </c>
      <c r="AQ234" s="82">
        <v>209</v>
      </c>
      <c r="AS234" s="477">
        <f t="shared" ca="1" si="100"/>
        <v>0</v>
      </c>
    </row>
    <row r="235" spans="1:45" ht="12" customHeight="1">
      <c r="A235" s="53">
        <v>210</v>
      </c>
      <c r="B235" s="249">
        <f ca="1">DATE(IF(MONTH(B234)=12,YEAR(B234)+1,YEAR(B234)),IF(MONTH(B234)=12,1,MONTH(B234)+1),MIN(DAY(Condições!$C$109),IF(IF(MONTH(B234)=12,1,MONTH(B234)+1)=2,IF(MOD(IF(MONTH(B234)=12,YEAR(B234)+1,YEAR(B234)),4)=0,29,28),IF(OR(IF(MONTH(B234)=12,1,MONTH(B234)+1)=4,IF(MONTH(B234)=12,1,MONTH(B234)+1)=6,IF(MONTH(B234)=12,1,MONTH(B234)+1)=9,IF(MONTH(B234)=12,1,MONTH(B234)+1)=11),30,DAY($B$25)))))</f>
        <v>52581</v>
      </c>
      <c r="C235" s="250" t="str">
        <f t="shared" si="83"/>
        <v/>
      </c>
      <c r="D235" s="251" t="e">
        <f t="shared" si="84"/>
        <v>#N/A</v>
      </c>
      <c r="E235" s="251">
        <f t="shared" si="85"/>
        <v>0</v>
      </c>
      <c r="F235" s="251">
        <f t="shared" si="86"/>
        <v>0</v>
      </c>
      <c r="G235" s="251">
        <f t="shared" si="87"/>
        <v>0</v>
      </c>
      <c r="H235" s="251" t="e">
        <f t="shared" si="88"/>
        <v>#VALUE!</v>
      </c>
      <c r="I235" s="251">
        <f t="shared" si="89"/>
        <v>0</v>
      </c>
      <c r="J235" s="251">
        <f t="shared" si="101"/>
        <v>0</v>
      </c>
      <c r="K235" s="251">
        <f t="shared" si="90"/>
        <v>0</v>
      </c>
      <c r="L235" s="174"/>
      <c r="M235" s="224"/>
      <c r="N235" s="225">
        <f t="shared" si="91"/>
        <v>0</v>
      </c>
      <c r="O235" s="251" t="e">
        <f t="shared" si="92"/>
        <v>#N/A</v>
      </c>
      <c r="P235" s="251">
        <f t="shared" si="102"/>
        <v>0</v>
      </c>
      <c r="Q235" s="251">
        <f t="shared" si="93"/>
        <v>0</v>
      </c>
      <c r="R235" s="251">
        <f t="shared" si="94"/>
        <v>0</v>
      </c>
      <c r="S235" s="251" t="e">
        <f t="shared" si="95"/>
        <v>#VALUE!</v>
      </c>
      <c r="T235" s="251">
        <f t="shared" si="82"/>
        <v>0</v>
      </c>
      <c r="U235" s="252">
        <f>TRUNC(T235*Condições!$C$102,2)</f>
        <v>0</v>
      </c>
      <c r="V235" s="199">
        <f t="shared" si="103"/>
        <v>0</v>
      </c>
      <c r="W235" s="161" t="e">
        <f t="shared" si="96"/>
        <v>#N/A</v>
      </c>
      <c r="X235" s="161" t="e">
        <f t="shared" si="97"/>
        <v>#N/A</v>
      </c>
      <c r="Y235" s="161">
        <f t="shared" si="104"/>
        <v>210</v>
      </c>
      <c r="Z235" s="161">
        <f t="shared" ca="1" si="105"/>
        <v>12</v>
      </c>
      <c r="AG235" s="114">
        <f t="shared" si="106"/>
        <v>0</v>
      </c>
      <c r="AH235" s="113"/>
      <c r="AI235" s="199">
        <f ca="1">IF(AL235=0,0,IF(AL235&gt;Preenchimento!$AA$88*12,0,IF($AC$53=AM235,0,1)))</f>
        <v>0</v>
      </c>
      <c r="AJ235" s="161" t="e">
        <f t="shared" ca="1" si="98"/>
        <v>#N/A</v>
      </c>
      <c r="AK235" s="161" t="e">
        <f t="shared" ca="1" si="99"/>
        <v>#N/A</v>
      </c>
      <c r="AL235" s="161">
        <f ca="1">IF(Y235&gt;(Preenchimento!$AA$90*12),0,Fixa!Y235)</f>
        <v>0</v>
      </c>
      <c r="AM235" s="161">
        <f t="shared" ca="1" si="107"/>
        <v>12</v>
      </c>
      <c r="AN235" s="199">
        <f ca="1">IF(AQ235&gt;Preenchimento!$AA$90*12,0,1)</f>
        <v>0</v>
      </c>
      <c r="AO235" s="161" t="e">
        <f ca="1">1/((1+SAC!$AD$29)^AL235)</f>
        <v>#N/A</v>
      </c>
      <c r="AP235" s="82" t="e">
        <f t="shared" ca="1" si="108"/>
        <v>#N/A</v>
      </c>
      <c r="AQ235" s="82">
        <v>210</v>
      </c>
      <c r="AS235" s="477">
        <f t="shared" ca="1" si="100"/>
        <v>0</v>
      </c>
    </row>
    <row r="236" spans="1:45" ht="12" customHeight="1">
      <c r="A236" s="53">
        <v>211</v>
      </c>
      <c r="B236" s="249">
        <f ca="1">DATE(IF(MONTH(B235)=12,YEAR(B235)+1,YEAR(B235)),IF(MONTH(B235)=12,1,MONTH(B235)+1),MIN(DAY(Condições!$C$109),IF(IF(MONTH(B235)=12,1,MONTH(B235)+1)=2,IF(MOD(IF(MONTH(B235)=12,YEAR(B235)+1,YEAR(B235)),4)=0,29,28),IF(OR(IF(MONTH(B235)=12,1,MONTH(B235)+1)=4,IF(MONTH(B235)=12,1,MONTH(B235)+1)=6,IF(MONTH(B235)=12,1,MONTH(B235)+1)=9,IF(MONTH(B235)=12,1,MONTH(B235)+1)=11),30,DAY($B$25)))))</f>
        <v>52612</v>
      </c>
      <c r="C236" s="250" t="str">
        <f t="shared" si="83"/>
        <v/>
      </c>
      <c r="D236" s="251" t="e">
        <f t="shared" si="84"/>
        <v>#N/A</v>
      </c>
      <c r="E236" s="251">
        <f t="shared" si="85"/>
        <v>0</v>
      </c>
      <c r="F236" s="251">
        <f t="shared" si="86"/>
        <v>0</v>
      </c>
      <c r="G236" s="251">
        <f t="shared" si="87"/>
        <v>0</v>
      </c>
      <c r="H236" s="251" t="e">
        <f t="shared" si="88"/>
        <v>#VALUE!</v>
      </c>
      <c r="I236" s="251">
        <f t="shared" si="89"/>
        <v>0</v>
      </c>
      <c r="J236" s="251">
        <f t="shared" si="101"/>
        <v>0</v>
      </c>
      <c r="K236" s="251">
        <f t="shared" si="90"/>
        <v>0</v>
      </c>
      <c r="L236" s="174"/>
      <c r="M236" s="224"/>
      <c r="N236" s="225">
        <f t="shared" si="91"/>
        <v>0</v>
      </c>
      <c r="O236" s="251" t="e">
        <f t="shared" si="92"/>
        <v>#N/A</v>
      </c>
      <c r="P236" s="251">
        <f t="shared" si="102"/>
        <v>0</v>
      </c>
      <c r="Q236" s="251">
        <f t="shared" si="93"/>
        <v>0</v>
      </c>
      <c r="R236" s="251">
        <f t="shared" si="94"/>
        <v>0</v>
      </c>
      <c r="S236" s="251" t="e">
        <f t="shared" si="95"/>
        <v>#VALUE!</v>
      </c>
      <c r="T236" s="251">
        <f t="shared" si="82"/>
        <v>0</v>
      </c>
      <c r="U236" s="252">
        <f>TRUNC(T236*Condições!$C$102,2)</f>
        <v>0</v>
      </c>
      <c r="V236" s="199">
        <f t="shared" si="103"/>
        <v>0</v>
      </c>
      <c r="W236" s="161" t="e">
        <f t="shared" si="96"/>
        <v>#N/A</v>
      </c>
      <c r="X236" s="161" t="e">
        <f t="shared" si="97"/>
        <v>#N/A</v>
      </c>
      <c r="Y236" s="161">
        <f t="shared" si="104"/>
        <v>211</v>
      </c>
      <c r="Z236" s="161">
        <f t="shared" ca="1" si="105"/>
        <v>1</v>
      </c>
      <c r="AG236" s="114">
        <f t="shared" si="106"/>
        <v>0</v>
      </c>
      <c r="AH236" s="113"/>
      <c r="AI236" s="199">
        <f ca="1">IF(AL236=0,0,IF(AL236&gt;Preenchimento!$AA$88*12,0,IF($AC$53=AM236,0,1)))</f>
        <v>0</v>
      </c>
      <c r="AJ236" s="161" t="e">
        <f t="shared" ca="1" si="98"/>
        <v>#N/A</v>
      </c>
      <c r="AK236" s="161" t="e">
        <f t="shared" ca="1" si="99"/>
        <v>#N/A</v>
      </c>
      <c r="AL236" s="161">
        <f ca="1">IF(Y236&gt;(Preenchimento!$AA$90*12),0,Fixa!Y236)</f>
        <v>0</v>
      </c>
      <c r="AM236" s="161">
        <f t="shared" ca="1" si="107"/>
        <v>1</v>
      </c>
      <c r="AN236" s="199">
        <f ca="1">IF(AQ236&gt;Preenchimento!$AA$90*12,0,1)</f>
        <v>0</v>
      </c>
      <c r="AO236" s="161" t="e">
        <f ca="1">1/((1+SAC!$AD$29)^AL236)</f>
        <v>#N/A</v>
      </c>
      <c r="AP236" s="82" t="e">
        <f t="shared" ca="1" si="108"/>
        <v>#N/A</v>
      </c>
      <c r="AQ236" s="82">
        <v>211</v>
      </c>
      <c r="AS236" s="477">
        <f t="shared" ca="1" si="100"/>
        <v>0</v>
      </c>
    </row>
    <row r="237" spans="1:45" ht="12" customHeight="1">
      <c r="A237" s="53">
        <v>212</v>
      </c>
      <c r="B237" s="249">
        <f ca="1">DATE(IF(MONTH(B236)=12,YEAR(B236)+1,YEAR(B236)),IF(MONTH(B236)=12,1,MONTH(B236)+1),MIN(DAY(Condições!$C$109),IF(IF(MONTH(B236)=12,1,MONTH(B236)+1)=2,IF(MOD(IF(MONTH(B236)=12,YEAR(B236)+1,YEAR(B236)),4)=0,29,28),IF(OR(IF(MONTH(B236)=12,1,MONTH(B236)+1)=4,IF(MONTH(B236)=12,1,MONTH(B236)+1)=6,IF(MONTH(B236)=12,1,MONTH(B236)+1)=9,IF(MONTH(B236)=12,1,MONTH(B236)+1)=11),30,DAY($B$25)))))</f>
        <v>52643</v>
      </c>
      <c r="C237" s="250" t="str">
        <f t="shared" si="83"/>
        <v/>
      </c>
      <c r="D237" s="251" t="e">
        <f t="shared" si="84"/>
        <v>#N/A</v>
      </c>
      <c r="E237" s="251">
        <f t="shared" si="85"/>
        <v>0</v>
      </c>
      <c r="F237" s="251">
        <f t="shared" si="86"/>
        <v>0</v>
      </c>
      <c r="G237" s="251">
        <f t="shared" si="87"/>
        <v>0</v>
      </c>
      <c r="H237" s="251" t="e">
        <f t="shared" si="88"/>
        <v>#VALUE!</v>
      </c>
      <c r="I237" s="251">
        <f t="shared" si="89"/>
        <v>0</v>
      </c>
      <c r="J237" s="251">
        <f t="shared" si="101"/>
        <v>0</v>
      </c>
      <c r="K237" s="251">
        <f t="shared" si="90"/>
        <v>0</v>
      </c>
      <c r="L237" s="174"/>
      <c r="M237" s="224"/>
      <c r="N237" s="225">
        <f t="shared" si="91"/>
        <v>0</v>
      </c>
      <c r="O237" s="251" t="e">
        <f t="shared" si="92"/>
        <v>#N/A</v>
      </c>
      <c r="P237" s="251">
        <f t="shared" si="102"/>
        <v>0</v>
      </c>
      <c r="Q237" s="251">
        <f t="shared" si="93"/>
        <v>0</v>
      </c>
      <c r="R237" s="251">
        <f t="shared" si="94"/>
        <v>0</v>
      </c>
      <c r="S237" s="251" t="e">
        <f t="shared" si="95"/>
        <v>#VALUE!</v>
      </c>
      <c r="T237" s="251">
        <f t="shared" si="82"/>
        <v>0</v>
      </c>
      <c r="U237" s="252">
        <f>TRUNC(T237*Condições!$C$102,2)</f>
        <v>0</v>
      </c>
      <c r="V237" s="199">
        <f t="shared" si="103"/>
        <v>0</v>
      </c>
      <c r="W237" s="161" t="e">
        <f t="shared" si="96"/>
        <v>#N/A</v>
      </c>
      <c r="X237" s="161" t="e">
        <f t="shared" si="97"/>
        <v>#N/A</v>
      </c>
      <c r="Y237" s="161">
        <f t="shared" si="104"/>
        <v>212</v>
      </c>
      <c r="Z237" s="161">
        <f t="shared" ca="1" si="105"/>
        <v>2</v>
      </c>
      <c r="AG237" s="114">
        <f t="shared" si="106"/>
        <v>0</v>
      </c>
      <c r="AH237" s="113"/>
      <c r="AI237" s="199">
        <f ca="1">IF(AL237=0,0,IF(AL237&gt;Preenchimento!$AA$88*12,0,IF($AC$53=AM237,0,1)))</f>
        <v>0</v>
      </c>
      <c r="AJ237" s="161" t="e">
        <f t="shared" ca="1" si="98"/>
        <v>#N/A</v>
      </c>
      <c r="AK237" s="161" t="e">
        <f t="shared" ca="1" si="99"/>
        <v>#N/A</v>
      </c>
      <c r="AL237" s="161">
        <f ca="1">IF(Y237&gt;(Preenchimento!$AA$90*12),0,Fixa!Y237)</f>
        <v>0</v>
      </c>
      <c r="AM237" s="161">
        <f t="shared" ca="1" si="107"/>
        <v>2</v>
      </c>
      <c r="AN237" s="199">
        <f ca="1">IF(AQ237&gt;Preenchimento!$AA$90*12,0,1)</f>
        <v>0</v>
      </c>
      <c r="AO237" s="161" t="e">
        <f ca="1">1/((1+SAC!$AD$29)^AL237)</f>
        <v>#N/A</v>
      </c>
      <c r="AP237" s="82" t="e">
        <f t="shared" ca="1" si="108"/>
        <v>#N/A</v>
      </c>
      <c r="AQ237" s="82">
        <v>212</v>
      </c>
      <c r="AS237" s="477">
        <f t="shared" ca="1" si="100"/>
        <v>0</v>
      </c>
    </row>
    <row r="238" spans="1:45" ht="12" customHeight="1">
      <c r="A238" s="53">
        <v>213</v>
      </c>
      <c r="B238" s="249">
        <f ca="1">DATE(IF(MONTH(B237)=12,YEAR(B237)+1,YEAR(B237)),IF(MONTH(B237)=12,1,MONTH(B237)+1),MIN(DAY(Condições!$C$109),IF(IF(MONTH(B237)=12,1,MONTH(B237)+1)=2,IF(MOD(IF(MONTH(B237)=12,YEAR(B237)+1,YEAR(B237)),4)=0,29,28),IF(OR(IF(MONTH(B237)=12,1,MONTH(B237)+1)=4,IF(MONTH(B237)=12,1,MONTH(B237)+1)=6,IF(MONTH(B237)=12,1,MONTH(B237)+1)=9,IF(MONTH(B237)=12,1,MONTH(B237)+1)=11),30,DAY($B$25)))))</f>
        <v>52672</v>
      </c>
      <c r="C238" s="250" t="str">
        <f t="shared" si="83"/>
        <v/>
      </c>
      <c r="D238" s="251" t="e">
        <f t="shared" si="84"/>
        <v>#N/A</v>
      </c>
      <c r="E238" s="251">
        <f t="shared" si="85"/>
        <v>0</v>
      </c>
      <c r="F238" s="251">
        <f t="shared" si="86"/>
        <v>0</v>
      </c>
      <c r="G238" s="251">
        <f t="shared" si="87"/>
        <v>0</v>
      </c>
      <c r="H238" s="251" t="e">
        <f t="shared" si="88"/>
        <v>#VALUE!</v>
      </c>
      <c r="I238" s="251">
        <f t="shared" si="89"/>
        <v>0</v>
      </c>
      <c r="J238" s="251">
        <f t="shared" si="101"/>
        <v>0</v>
      </c>
      <c r="K238" s="251">
        <f t="shared" si="90"/>
        <v>0</v>
      </c>
      <c r="L238" s="174"/>
      <c r="M238" s="224"/>
      <c r="N238" s="225">
        <f t="shared" si="91"/>
        <v>0</v>
      </c>
      <c r="O238" s="251" t="e">
        <f t="shared" si="92"/>
        <v>#N/A</v>
      </c>
      <c r="P238" s="251">
        <f t="shared" si="102"/>
        <v>0</v>
      </c>
      <c r="Q238" s="251">
        <f t="shared" si="93"/>
        <v>0</v>
      </c>
      <c r="R238" s="251">
        <f t="shared" si="94"/>
        <v>0</v>
      </c>
      <c r="S238" s="251" t="e">
        <f t="shared" si="95"/>
        <v>#VALUE!</v>
      </c>
      <c r="T238" s="251">
        <f t="shared" si="82"/>
        <v>0</v>
      </c>
      <c r="U238" s="252">
        <f>TRUNC(T238*Condições!$C$102,2)</f>
        <v>0</v>
      </c>
      <c r="V238" s="199">
        <f t="shared" si="103"/>
        <v>0</v>
      </c>
      <c r="W238" s="161" t="e">
        <f t="shared" si="96"/>
        <v>#N/A</v>
      </c>
      <c r="X238" s="161" t="e">
        <f t="shared" si="97"/>
        <v>#N/A</v>
      </c>
      <c r="Y238" s="161">
        <f t="shared" si="104"/>
        <v>213</v>
      </c>
      <c r="Z238" s="161">
        <f t="shared" ca="1" si="105"/>
        <v>3</v>
      </c>
      <c r="AG238" s="114">
        <f t="shared" si="106"/>
        <v>0</v>
      </c>
      <c r="AH238" s="113"/>
      <c r="AI238" s="199">
        <f ca="1">IF(AL238=0,0,IF(AL238&gt;Preenchimento!$AA$88*12,0,IF($AC$53=AM238,0,1)))</f>
        <v>0</v>
      </c>
      <c r="AJ238" s="161" t="e">
        <f t="shared" ca="1" si="98"/>
        <v>#N/A</v>
      </c>
      <c r="AK238" s="161" t="e">
        <f t="shared" ca="1" si="99"/>
        <v>#N/A</v>
      </c>
      <c r="AL238" s="161">
        <f ca="1">IF(Y238&gt;(Preenchimento!$AA$90*12),0,Fixa!Y238)</f>
        <v>0</v>
      </c>
      <c r="AM238" s="161">
        <f t="shared" ca="1" si="107"/>
        <v>3</v>
      </c>
      <c r="AN238" s="199">
        <f ca="1">IF(AQ238&gt;Preenchimento!$AA$90*12,0,1)</f>
        <v>0</v>
      </c>
      <c r="AO238" s="161" t="e">
        <f ca="1">1/((1+SAC!$AD$29)^AL238)</f>
        <v>#N/A</v>
      </c>
      <c r="AP238" s="82" t="e">
        <f t="shared" ca="1" si="108"/>
        <v>#N/A</v>
      </c>
      <c r="AQ238" s="82">
        <v>213</v>
      </c>
      <c r="AS238" s="477">
        <f t="shared" ca="1" si="100"/>
        <v>0</v>
      </c>
    </row>
    <row r="239" spans="1:45" ht="12" customHeight="1">
      <c r="A239" s="53">
        <v>214</v>
      </c>
      <c r="B239" s="249">
        <f ca="1">DATE(IF(MONTH(B238)=12,YEAR(B238)+1,YEAR(B238)),IF(MONTH(B238)=12,1,MONTH(B238)+1),MIN(DAY(Condições!$C$109),IF(IF(MONTH(B238)=12,1,MONTH(B238)+1)=2,IF(MOD(IF(MONTH(B238)=12,YEAR(B238)+1,YEAR(B238)),4)=0,29,28),IF(OR(IF(MONTH(B238)=12,1,MONTH(B238)+1)=4,IF(MONTH(B238)=12,1,MONTH(B238)+1)=6,IF(MONTH(B238)=12,1,MONTH(B238)+1)=9,IF(MONTH(B238)=12,1,MONTH(B238)+1)=11),30,DAY($B$25)))))</f>
        <v>52703</v>
      </c>
      <c r="C239" s="250" t="str">
        <f t="shared" si="83"/>
        <v/>
      </c>
      <c r="D239" s="251" t="e">
        <f t="shared" si="84"/>
        <v>#N/A</v>
      </c>
      <c r="E239" s="251">
        <f t="shared" si="85"/>
        <v>0</v>
      </c>
      <c r="F239" s="251">
        <f t="shared" si="86"/>
        <v>0</v>
      </c>
      <c r="G239" s="251">
        <f t="shared" si="87"/>
        <v>0</v>
      </c>
      <c r="H239" s="251" t="e">
        <f t="shared" si="88"/>
        <v>#VALUE!</v>
      </c>
      <c r="I239" s="251">
        <f t="shared" si="89"/>
        <v>0</v>
      </c>
      <c r="J239" s="251">
        <f t="shared" si="101"/>
        <v>0</v>
      </c>
      <c r="K239" s="251">
        <f t="shared" si="90"/>
        <v>0</v>
      </c>
      <c r="L239" s="174"/>
      <c r="M239" s="224"/>
      <c r="N239" s="225">
        <f t="shared" si="91"/>
        <v>0</v>
      </c>
      <c r="O239" s="251" t="e">
        <f t="shared" si="92"/>
        <v>#N/A</v>
      </c>
      <c r="P239" s="251">
        <f t="shared" si="102"/>
        <v>0</v>
      </c>
      <c r="Q239" s="251">
        <f t="shared" si="93"/>
        <v>0</v>
      </c>
      <c r="R239" s="251">
        <f t="shared" si="94"/>
        <v>0</v>
      </c>
      <c r="S239" s="251" t="e">
        <f t="shared" si="95"/>
        <v>#VALUE!</v>
      </c>
      <c r="T239" s="251">
        <f t="shared" si="82"/>
        <v>0</v>
      </c>
      <c r="U239" s="252">
        <f>TRUNC(T239*Condições!$C$102,2)</f>
        <v>0</v>
      </c>
      <c r="V239" s="199">
        <f t="shared" si="103"/>
        <v>0</v>
      </c>
      <c r="W239" s="161" t="e">
        <f t="shared" si="96"/>
        <v>#N/A</v>
      </c>
      <c r="X239" s="161" t="e">
        <f t="shared" si="97"/>
        <v>#N/A</v>
      </c>
      <c r="Y239" s="161">
        <f t="shared" si="104"/>
        <v>214</v>
      </c>
      <c r="Z239" s="161">
        <f t="shared" ca="1" si="105"/>
        <v>4</v>
      </c>
      <c r="AG239" s="114">
        <f t="shared" si="106"/>
        <v>0</v>
      </c>
      <c r="AH239" s="113"/>
      <c r="AI239" s="199">
        <f ca="1">IF(AL239=0,0,IF(AL239&gt;Preenchimento!$AA$88*12,0,IF($AC$53=AM239,0,1)))</f>
        <v>0</v>
      </c>
      <c r="AJ239" s="161" t="e">
        <f t="shared" ca="1" si="98"/>
        <v>#N/A</v>
      </c>
      <c r="AK239" s="161" t="e">
        <f t="shared" ca="1" si="99"/>
        <v>#N/A</v>
      </c>
      <c r="AL239" s="161">
        <f ca="1">IF(Y239&gt;(Preenchimento!$AA$90*12),0,Fixa!Y239)</f>
        <v>0</v>
      </c>
      <c r="AM239" s="161">
        <f t="shared" ca="1" si="107"/>
        <v>4</v>
      </c>
      <c r="AN239" s="199">
        <f ca="1">IF(AQ239&gt;Preenchimento!$AA$90*12,0,1)</f>
        <v>0</v>
      </c>
      <c r="AO239" s="161" t="e">
        <f ca="1">1/((1+SAC!$AD$29)^AL239)</f>
        <v>#N/A</v>
      </c>
      <c r="AP239" s="82" t="e">
        <f t="shared" ca="1" si="108"/>
        <v>#N/A</v>
      </c>
      <c r="AQ239" s="82">
        <v>214</v>
      </c>
      <c r="AS239" s="477">
        <f t="shared" ca="1" si="100"/>
        <v>0</v>
      </c>
    </row>
    <row r="240" spans="1:45" ht="12" customHeight="1">
      <c r="A240" s="53">
        <v>215</v>
      </c>
      <c r="B240" s="249">
        <f ca="1">DATE(IF(MONTH(B239)=12,YEAR(B239)+1,YEAR(B239)),IF(MONTH(B239)=12,1,MONTH(B239)+1),MIN(DAY(Condições!$C$109),IF(IF(MONTH(B239)=12,1,MONTH(B239)+1)=2,IF(MOD(IF(MONTH(B239)=12,YEAR(B239)+1,YEAR(B239)),4)=0,29,28),IF(OR(IF(MONTH(B239)=12,1,MONTH(B239)+1)=4,IF(MONTH(B239)=12,1,MONTH(B239)+1)=6,IF(MONTH(B239)=12,1,MONTH(B239)+1)=9,IF(MONTH(B239)=12,1,MONTH(B239)+1)=11),30,DAY($B$25)))))</f>
        <v>52733</v>
      </c>
      <c r="C240" s="250" t="str">
        <f t="shared" si="83"/>
        <v/>
      </c>
      <c r="D240" s="251" t="e">
        <f t="shared" si="84"/>
        <v>#N/A</v>
      </c>
      <c r="E240" s="251">
        <f t="shared" si="85"/>
        <v>0</v>
      </c>
      <c r="F240" s="251">
        <f t="shared" si="86"/>
        <v>0</v>
      </c>
      <c r="G240" s="251">
        <f t="shared" si="87"/>
        <v>0</v>
      </c>
      <c r="H240" s="251" t="e">
        <f t="shared" si="88"/>
        <v>#VALUE!</v>
      </c>
      <c r="I240" s="251">
        <f t="shared" si="89"/>
        <v>0</v>
      </c>
      <c r="J240" s="251">
        <f t="shared" si="101"/>
        <v>0</v>
      </c>
      <c r="K240" s="251">
        <f t="shared" si="90"/>
        <v>0</v>
      </c>
      <c r="L240" s="174"/>
      <c r="M240" s="224"/>
      <c r="N240" s="225">
        <f t="shared" si="91"/>
        <v>0</v>
      </c>
      <c r="O240" s="251" t="e">
        <f t="shared" si="92"/>
        <v>#N/A</v>
      </c>
      <c r="P240" s="251">
        <f t="shared" si="102"/>
        <v>0</v>
      </c>
      <c r="Q240" s="251">
        <f t="shared" si="93"/>
        <v>0</v>
      </c>
      <c r="R240" s="251">
        <f t="shared" si="94"/>
        <v>0</v>
      </c>
      <c r="S240" s="251" t="e">
        <f t="shared" si="95"/>
        <v>#VALUE!</v>
      </c>
      <c r="T240" s="251">
        <f t="shared" si="82"/>
        <v>0</v>
      </c>
      <c r="U240" s="252">
        <f>TRUNC(T240*Condições!$C$102,2)</f>
        <v>0</v>
      </c>
      <c r="V240" s="199">
        <f t="shared" si="103"/>
        <v>0</v>
      </c>
      <c r="W240" s="161" t="e">
        <f t="shared" si="96"/>
        <v>#N/A</v>
      </c>
      <c r="X240" s="161" t="e">
        <f t="shared" si="97"/>
        <v>#N/A</v>
      </c>
      <c r="Y240" s="161">
        <f t="shared" si="104"/>
        <v>215</v>
      </c>
      <c r="Z240" s="161">
        <f t="shared" ca="1" si="105"/>
        <v>5</v>
      </c>
      <c r="AG240" s="114">
        <f t="shared" si="106"/>
        <v>0</v>
      </c>
      <c r="AH240" s="113"/>
      <c r="AI240" s="199">
        <f ca="1">IF(AL240=0,0,IF(AL240&gt;Preenchimento!$AA$88*12,0,IF($AC$53=AM240,0,1)))</f>
        <v>0</v>
      </c>
      <c r="AJ240" s="161" t="e">
        <f t="shared" ca="1" si="98"/>
        <v>#N/A</v>
      </c>
      <c r="AK240" s="161" t="e">
        <f t="shared" ca="1" si="99"/>
        <v>#N/A</v>
      </c>
      <c r="AL240" s="161">
        <f ca="1">IF(Y240&gt;(Preenchimento!$AA$90*12),0,Fixa!Y240)</f>
        <v>0</v>
      </c>
      <c r="AM240" s="161">
        <f t="shared" ca="1" si="107"/>
        <v>5</v>
      </c>
      <c r="AN240" s="199">
        <f ca="1">IF(AQ240&gt;Preenchimento!$AA$90*12,0,1)</f>
        <v>0</v>
      </c>
      <c r="AO240" s="161" t="e">
        <f ca="1">1/((1+SAC!$AD$29)^AL240)</f>
        <v>#N/A</v>
      </c>
      <c r="AP240" s="82" t="e">
        <f t="shared" ca="1" si="108"/>
        <v>#N/A</v>
      </c>
      <c r="AQ240" s="82">
        <v>215</v>
      </c>
      <c r="AS240" s="477">
        <f t="shared" ca="1" si="100"/>
        <v>0</v>
      </c>
    </row>
    <row r="241" spans="1:45" ht="12" customHeight="1">
      <c r="A241" s="53">
        <v>216</v>
      </c>
      <c r="B241" s="249">
        <f ca="1">DATE(IF(MONTH(B240)=12,YEAR(B240)+1,YEAR(B240)),IF(MONTH(B240)=12,1,MONTH(B240)+1),MIN(DAY(Condições!$C$109),IF(IF(MONTH(B240)=12,1,MONTH(B240)+1)=2,IF(MOD(IF(MONTH(B240)=12,YEAR(B240)+1,YEAR(B240)),4)=0,29,28),IF(OR(IF(MONTH(B240)=12,1,MONTH(B240)+1)=4,IF(MONTH(B240)=12,1,MONTH(B240)+1)=6,IF(MONTH(B240)=12,1,MONTH(B240)+1)=9,IF(MONTH(B240)=12,1,MONTH(B240)+1)=11),30,DAY($B$25)))))</f>
        <v>52764</v>
      </c>
      <c r="C241" s="250" t="str">
        <f t="shared" si="83"/>
        <v/>
      </c>
      <c r="D241" s="251" t="e">
        <f t="shared" si="84"/>
        <v>#N/A</v>
      </c>
      <c r="E241" s="251">
        <f t="shared" si="85"/>
        <v>0</v>
      </c>
      <c r="F241" s="251">
        <f t="shared" si="86"/>
        <v>0</v>
      </c>
      <c r="G241" s="251">
        <f t="shared" si="87"/>
        <v>0</v>
      </c>
      <c r="H241" s="251" t="e">
        <f t="shared" si="88"/>
        <v>#VALUE!</v>
      </c>
      <c r="I241" s="251">
        <f t="shared" si="89"/>
        <v>0</v>
      </c>
      <c r="J241" s="251">
        <f t="shared" si="101"/>
        <v>0</v>
      </c>
      <c r="K241" s="251">
        <f t="shared" si="90"/>
        <v>0</v>
      </c>
      <c r="L241" s="174"/>
      <c r="M241" s="224"/>
      <c r="N241" s="225">
        <f t="shared" si="91"/>
        <v>0</v>
      </c>
      <c r="O241" s="251" t="e">
        <f t="shared" si="92"/>
        <v>#N/A</v>
      </c>
      <c r="P241" s="251">
        <f t="shared" si="102"/>
        <v>0</v>
      </c>
      <c r="Q241" s="251">
        <f t="shared" si="93"/>
        <v>0</v>
      </c>
      <c r="R241" s="251">
        <f t="shared" si="94"/>
        <v>0</v>
      </c>
      <c r="S241" s="251" t="e">
        <f t="shared" si="95"/>
        <v>#VALUE!</v>
      </c>
      <c r="T241" s="251">
        <f t="shared" si="82"/>
        <v>0</v>
      </c>
      <c r="U241" s="252">
        <f>TRUNC(T241*Condições!$C$102,2)</f>
        <v>0</v>
      </c>
      <c r="V241" s="199">
        <f t="shared" si="103"/>
        <v>0</v>
      </c>
      <c r="W241" s="161" t="e">
        <f t="shared" si="96"/>
        <v>#N/A</v>
      </c>
      <c r="X241" s="161" t="e">
        <f t="shared" si="97"/>
        <v>#N/A</v>
      </c>
      <c r="Y241" s="161">
        <f t="shared" si="104"/>
        <v>216</v>
      </c>
      <c r="Z241" s="161">
        <f t="shared" ca="1" si="105"/>
        <v>6</v>
      </c>
      <c r="AG241" s="114">
        <f t="shared" si="106"/>
        <v>0</v>
      </c>
      <c r="AH241" s="113"/>
      <c r="AI241" s="199">
        <f ca="1">IF(AL241=0,0,IF(AL241&gt;Preenchimento!$AA$88*12,0,IF($AC$53=AM241,0,1)))</f>
        <v>0</v>
      </c>
      <c r="AJ241" s="161" t="e">
        <f t="shared" ca="1" si="98"/>
        <v>#N/A</v>
      </c>
      <c r="AK241" s="161" t="e">
        <f t="shared" ca="1" si="99"/>
        <v>#N/A</v>
      </c>
      <c r="AL241" s="161">
        <f ca="1">IF(Y241&gt;(Preenchimento!$AA$90*12),0,Fixa!Y241)</f>
        <v>0</v>
      </c>
      <c r="AM241" s="161">
        <f t="shared" ca="1" si="107"/>
        <v>6</v>
      </c>
      <c r="AN241" s="199">
        <f ca="1">IF(AQ241&gt;Preenchimento!$AA$90*12,0,1)</f>
        <v>0</v>
      </c>
      <c r="AO241" s="161" t="e">
        <f ca="1">1/((1+SAC!$AD$29)^AL241)</f>
        <v>#N/A</v>
      </c>
      <c r="AP241" s="82" t="e">
        <f t="shared" ca="1" si="108"/>
        <v>#N/A</v>
      </c>
      <c r="AQ241" s="82">
        <v>216</v>
      </c>
      <c r="AS241" s="477">
        <f t="shared" ca="1" si="100"/>
        <v>0</v>
      </c>
    </row>
    <row r="242" spans="1:45" ht="12" customHeight="1">
      <c r="A242" s="53">
        <v>217</v>
      </c>
      <c r="B242" s="249">
        <f ca="1">DATE(IF(MONTH(B241)=12,YEAR(B241)+1,YEAR(B241)),IF(MONTH(B241)=12,1,MONTH(B241)+1),MIN(DAY(Condições!$C$109),IF(IF(MONTH(B241)=12,1,MONTH(B241)+1)=2,IF(MOD(IF(MONTH(B241)=12,YEAR(B241)+1,YEAR(B241)),4)=0,29,28),IF(OR(IF(MONTH(B241)=12,1,MONTH(B241)+1)=4,IF(MONTH(B241)=12,1,MONTH(B241)+1)=6,IF(MONTH(B241)=12,1,MONTH(B241)+1)=9,IF(MONTH(B241)=12,1,MONTH(B241)+1)=11),30,DAY($B$25)))))</f>
        <v>52794</v>
      </c>
      <c r="C242" s="250" t="str">
        <f t="shared" si="83"/>
        <v/>
      </c>
      <c r="D242" s="251" t="e">
        <f t="shared" si="84"/>
        <v>#N/A</v>
      </c>
      <c r="E242" s="251">
        <f t="shared" si="85"/>
        <v>0</v>
      </c>
      <c r="F242" s="251">
        <f t="shared" si="86"/>
        <v>0</v>
      </c>
      <c r="G242" s="251">
        <f t="shared" si="87"/>
        <v>0</v>
      </c>
      <c r="H242" s="251" t="e">
        <f t="shared" si="88"/>
        <v>#VALUE!</v>
      </c>
      <c r="I242" s="251">
        <f t="shared" si="89"/>
        <v>0</v>
      </c>
      <c r="J242" s="251">
        <f t="shared" si="101"/>
        <v>0</v>
      </c>
      <c r="K242" s="251">
        <f t="shared" si="90"/>
        <v>0</v>
      </c>
      <c r="L242" s="174"/>
      <c r="M242" s="224"/>
      <c r="N242" s="225">
        <f t="shared" si="91"/>
        <v>0</v>
      </c>
      <c r="O242" s="251" t="e">
        <f t="shared" si="92"/>
        <v>#N/A</v>
      </c>
      <c r="P242" s="251">
        <f t="shared" si="102"/>
        <v>0</v>
      </c>
      <c r="Q242" s="251">
        <f t="shared" si="93"/>
        <v>0</v>
      </c>
      <c r="R242" s="251">
        <f t="shared" si="94"/>
        <v>0</v>
      </c>
      <c r="S242" s="251" t="e">
        <f t="shared" si="95"/>
        <v>#VALUE!</v>
      </c>
      <c r="T242" s="251">
        <f t="shared" si="82"/>
        <v>0</v>
      </c>
      <c r="U242" s="252">
        <f>TRUNC(T242*Condições!$C$102,2)</f>
        <v>0</v>
      </c>
      <c r="V242" s="199">
        <f t="shared" si="103"/>
        <v>0</v>
      </c>
      <c r="W242" s="161" t="e">
        <f t="shared" si="96"/>
        <v>#N/A</v>
      </c>
      <c r="X242" s="161" t="e">
        <f t="shared" si="97"/>
        <v>#N/A</v>
      </c>
      <c r="Y242" s="161">
        <f t="shared" si="104"/>
        <v>217</v>
      </c>
      <c r="Z242" s="161">
        <f t="shared" ca="1" si="105"/>
        <v>7</v>
      </c>
      <c r="AG242" s="114">
        <f t="shared" si="106"/>
        <v>0</v>
      </c>
      <c r="AH242" s="113"/>
      <c r="AI242" s="199">
        <f ca="1">IF(AL242=0,0,IF(AL242&gt;Preenchimento!$AA$88*12,0,IF($AC$53=AM242,0,1)))</f>
        <v>0</v>
      </c>
      <c r="AJ242" s="161" t="e">
        <f t="shared" ca="1" si="98"/>
        <v>#N/A</v>
      </c>
      <c r="AK242" s="161" t="e">
        <f t="shared" ca="1" si="99"/>
        <v>#N/A</v>
      </c>
      <c r="AL242" s="161">
        <f ca="1">IF(Y242&gt;(Preenchimento!$AA$90*12),0,Fixa!Y242)</f>
        <v>0</v>
      </c>
      <c r="AM242" s="161">
        <f t="shared" ca="1" si="107"/>
        <v>7</v>
      </c>
      <c r="AN242" s="199">
        <f ca="1">IF(AQ242&gt;Preenchimento!$AA$90*12,0,1)</f>
        <v>0</v>
      </c>
      <c r="AO242" s="161" t="e">
        <f ca="1">1/((1+SAC!$AD$29)^AL242)</f>
        <v>#N/A</v>
      </c>
      <c r="AP242" s="82" t="e">
        <f t="shared" ca="1" si="108"/>
        <v>#N/A</v>
      </c>
      <c r="AQ242" s="82">
        <v>217</v>
      </c>
      <c r="AS242" s="477">
        <f t="shared" ca="1" si="100"/>
        <v>0</v>
      </c>
    </row>
    <row r="243" spans="1:45" ht="12" customHeight="1">
      <c r="A243" s="53">
        <v>218</v>
      </c>
      <c r="B243" s="249">
        <f ca="1">DATE(IF(MONTH(B242)=12,YEAR(B242)+1,YEAR(B242)),IF(MONTH(B242)=12,1,MONTH(B242)+1),MIN(DAY(Condições!$C$109),IF(IF(MONTH(B242)=12,1,MONTH(B242)+1)=2,IF(MOD(IF(MONTH(B242)=12,YEAR(B242)+1,YEAR(B242)),4)=0,29,28),IF(OR(IF(MONTH(B242)=12,1,MONTH(B242)+1)=4,IF(MONTH(B242)=12,1,MONTH(B242)+1)=6,IF(MONTH(B242)=12,1,MONTH(B242)+1)=9,IF(MONTH(B242)=12,1,MONTH(B242)+1)=11),30,DAY($B$25)))))</f>
        <v>52825</v>
      </c>
      <c r="C243" s="250" t="str">
        <f t="shared" si="83"/>
        <v/>
      </c>
      <c r="D243" s="251" t="e">
        <f t="shared" si="84"/>
        <v>#N/A</v>
      </c>
      <c r="E243" s="251">
        <f t="shared" si="85"/>
        <v>0</v>
      </c>
      <c r="F243" s="251">
        <f t="shared" si="86"/>
        <v>0</v>
      </c>
      <c r="G243" s="251">
        <f t="shared" si="87"/>
        <v>0</v>
      </c>
      <c r="H243" s="251" t="e">
        <f t="shared" si="88"/>
        <v>#VALUE!</v>
      </c>
      <c r="I243" s="251">
        <f t="shared" si="89"/>
        <v>0</v>
      </c>
      <c r="J243" s="251">
        <f t="shared" si="101"/>
        <v>0</v>
      </c>
      <c r="K243" s="251">
        <f t="shared" si="90"/>
        <v>0</v>
      </c>
      <c r="L243" s="174"/>
      <c r="M243" s="224"/>
      <c r="N243" s="225">
        <f t="shared" si="91"/>
        <v>0</v>
      </c>
      <c r="O243" s="251" t="e">
        <f t="shared" si="92"/>
        <v>#N/A</v>
      </c>
      <c r="P243" s="251">
        <f t="shared" si="102"/>
        <v>0</v>
      </c>
      <c r="Q243" s="251">
        <f t="shared" si="93"/>
        <v>0</v>
      </c>
      <c r="R243" s="251">
        <f t="shared" si="94"/>
        <v>0</v>
      </c>
      <c r="S243" s="251" t="e">
        <f t="shared" si="95"/>
        <v>#VALUE!</v>
      </c>
      <c r="T243" s="251">
        <f t="shared" si="82"/>
        <v>0</v>
      </c>
      <c r="U243" s="252">
        <f>TRUNC(T243*Condições!$C$102,2)</f>
        <v>0</v>
      </c>
      <c r="V243" s="199">
        <f t="shared" si="103"/>
        <v>0</v>
      </c>
      <c r="W243" s="161" t="e">
        <f t="shared" si="96"/>
        <v>#N/A</v>
      </c>
      <c r="X243" s="161" t="e">
        <f t="shared" si="97"/>
        <v>#N/A</v>
      </c>
      <c r="Y243" s="161">
        <f t="shared" si="104"/>
        <v>218</v>
      </c>
      <c r="Z243" s="161">
        <f t="shared" ca="1" si="105"/>
        <v>8</v>
      </c>
      <c r="AG243" s="114">
        <f t="shared" si="106"/>
        <v>0</v>
      </c>
      <c r="AH243" s="113"/>
      <c r="AI243" s="199">
        <f ca="1">IF(AL243=0,0,IF(AL243&gt;Preenchimento!$AA$88*12,0,IF($AC$53=AM243,0,1)))</f>
        <v>0</v>
      </c>
      <c r="AJ243" s="161" t="e">
        <f t="shared" ca="1" si="98"/>
        <v>#N/A</v>
      </c>
      <c r="AK243" s="161" t="e">
        <f t="shared" ca="1" si="99"/>
        <v>#N/A</v>
      </c>
      <c r="AL243" s="161">
        <f ca="1">IF(Y243&gt;(Preenchimento!$AA$90*12),0,Fixa!Y243)</f>
        <v>0</v>
      </c>
      <c r="AM243" s="161">
        <f t="shared" ca="1" si="107"/>
        <v>8</v>
      </c>
      <c r="AN243" s="199">
        <f ca="1">IF(AQ243&gt;Preenchimento!$AA$90*12,0,1)</f>
        <v>0</v>
      </c>
      <c r="AO243" s="161" t="e">
        <f ca="1">1/((1+SAC!$AD$29)^AL243)</f>
        <v>#N/A</v>
      </c>
      <c r="AP243" s="82" t="e">
        <f t="shared" ca="1" si="108"/>
        <v>#N/A</v>
      </c>
      <c r="AQ243" s="82">
        <v>218</v>
      </c>
      <c r="AS243" s="477">
        <f t="shared" ca="1" si="100"/>
        <v>0</v>
      </c>
    </row>
    <row r="244" spans="1:45" ht="12" customHeight="1">
      <c r="A244" s="53">
        <v>219</v>
      </c>
      <c r="B244" s="249">
        <f ca="1">DATE(IF(MONTH(B243)=12,YEAR(B243)+1,YEAR(B243)),IF(MONTH(B243)=12,1,MONTH(B243)+1),MIN(DAY(Condições!$C$109),IF(IF(MONTH(B243)=12,1,MONTH(B243)+1)=2,IF(MOD(IF(MONTH(B243)=12,YEAR(B243)+1,YEAR(B243)),4)=0,29,28),IF(OR(IF(MONTH(B243)=12,1,MONTH(B243)+1)=4,IF(MONTH(B243)=12,1,MONTH(B243)+1)=6,IF(MONTH(B243)=12,1,MONTH(B243)+1)=9,IF(MONTH(B243)=12,1,MONTH(B243)+1)=11),30,DAY($B$25)))))</f>
        <v>52856</v>
      </c>
      <c r="C244" s="250" t="str">
        <f t="shared" si="83"/>
        <v/>
      </c>
      <c r="D244" s="251" t="e">
        <f t="shared" si="84"/>
        <v>#N/A</v>
      </c>
      <c r="E244" s="251">
        <f t="shared" si="85"/>
        <v>0</v>
      </c>
      <c r="F244" s="251">
        <f t="shared" si="86"/>
        <v>0</v>
      </c>
      <c r="G244" s="251">
        <f t="shared" si="87"/>
        <v>0</v>
      </c>
      <c r="H244" s="251" t="e">
        <f t="shared" si="88"/>
        <v>#VALUE!</v>
      </c>
      <c r="I244" s="251">
        <f t="shared" si="89"/>
        <v>0</v>
      </c>
      <c r="J244" s="251">
        <f t="shared" si="101"/>
        <v>0</v>
      </c>
      <c r="K244" s="251">
        <f t="shared" si="90"/>
        <v>0</v>
      </c>
      <c r="L244" s="174"/>
      <c r="M244" s="224"/>
      <c r="N244" s="225">
        <f t="shared" si="91"/>
        <v>0</v>
      </c>
      <c r="O244" s="251" t="e">
        <f t="shared" si="92"/>
        <v>#N/A</v>
      </c>
      <c r="P244" s="251">
        <f t="shared" si="102"/>
        <v>0</v>
      </c>
      <c r="Q244" s="251">
        <f t="shared" si="93"/>
        <v>0</v>
      </c>
      <c r="R244" s="251">
        <f t="shared" si="94"/>
        <v>0</v>
      </c>
      <c r="S244" s="251" t="e">
        <f t="shared" si="95"/>
        <v>#VALUE!</v>
      </c>
      <c r="T244" s="251">
        <f t="shared" si="82"/>
        <v>0</v>
      </c>
      <c r="U244" s="252">
        <f>TRUNC(T244*Condições!$C$102,2)</f>
        <v>0</v>
      </c>
      <c r="V244" s="199">
        <f t="shared" si="103"/>
        <v>0</v>
      </c>
      <c r="W244" s="161" t="e">
        <f t="shared" si="96"/>
        <v>#N/A</v>
      </c>
      <c r="X244" s="161" t="e">
        <f t="shared" si="97"/>
        <v>#N/A</v>
      </c>
      <c r="Y244" s="161">
        <f t="shared" si="104"/>
        <v>219</v>
      </c>
      <c r="Z244" s="161">
        <f t="shared" ca="1" si="105"/>
        <v>9</v>
      </c>
      <c r="AG244" s="114">
        <f t="shared" si="106"/>
        <v>0</v>
      </c>
      <c r="AH244" s="113"/>
      <c r="AI244" s="199">
        <f ca="1">IF(AL244=0,0,IF(AL244&gt;Preenchimento!$AA$88*12,0,IF($AC$53=AM244,0,1)))</f>
        <v>0</v>
      </c>
      <c r="AJ244" s="161" t="e">
        <f t="shared" ca="1" si="98"/>
        <v>#N/A</v>
      </c>
      <c r="AK244" s="161" t="e">
        <f t="shared" ca="1" si="99"/>
        <v>#N/A</v>
      </c>
      <c r="AL244" s="161">
        <f ca="1">IF(Y244&gt;(Preenchimento!$AA$90*12),0,Fixa!Y244)</f>
        <v>0</v>
      </c>
      <c r="AM244" s="161">
        <f t="shared" ca="1" si="107"/>
        <v>9</v>
      </c>
      <c r="AN244" s="199">
        <f ca="1">IF(AQ244&gt;Preenchimento!$AA$90*12,0,1)</f>
        <v>0</v>
      </c>
      <c r="AO244" s="161" t="e">
        <f ca="1">1/((1+SAC!$AD$29)^AL244)</f>
        <v>#N/A</v>
      </c>
      <c r="AP244" s="82" t="e">
        <f t="shared" ca="1" si="108"/>
        <v>#N/A</v>
      </c>
      <c r="AQ244" s="82">
        <v>219</v>
      </c>
      <c r="AS244" s="477">
        <f t="shared" ca="1" si="100"/>
        <v>0</v>
      </c>
    </row>
    <row r="245" spans="1:45" ht="12" customHeight="1">
      <c r="A245" s="53">
        <v>220</v>
      </c>
      <c r="B245" s="249">
        <f ca="1">DATE(IF(MONTH(B244)=12,YEAR(B244)+1,YEAR(B244)),IF(MONTH(B244)=12,1,MONTH(B244)+1),MIN(DAY(Condições!$C$109),IF(IF(MONTH(B244)=12,1,MONTH(B244)+1)=2,IF(MOD(IF(MONTH(B244)=12,YEAR(B244)+1,YEAR(B244)),4)=0,29,28),IF(OR(IF(MONTH(B244)=12,1,MONTH(B244)+1)=4,IF(MONTH(B244)=12,1,MONTH(B244)+1)=6,IF(MONTH(B244)=12,1,MONTH(B244)+1)=9,IF(MONTH(B244)=12,1,MONTH(B244)+1)=11),30,DAY($B$25)))))</f>
        <v>52886</v>
      </c>
      <c r="C245" s="250" t="str">
        <f t="shared" si="83"/>
        <v/>
      </c>
      <c r="D245" s="251" t="e">
        <f t="shared" si="84"/>
        <v>#N/A</v>
      </c>
      <c r="E245" s="251">
        <f t="shared" si="85"/>
        <v>0</v>
      </c>
      <c r="F245" s="251">
        <f t="shared" si="86"/>
        <v>0</v>
      </c>
      <c r="G245" s="251">
        <f t="shared" si="87"/>
        <v>0</v>
      </c>
      <c r="H245" s="251" t="e">
        <f t="shared" si="88"/>
        <v>#VALUE!</v>
      </c>
      <c r="I245" s="251">
        <f t="shared" si="89"/>
        <v>0</v>
      </c>
      <c r="J245" s="251">
        <f t="shared" si="101"/>
        <v>0</v>
      </c>
      <c r="K245" s="251">
        <f t="shared" si="90"/>
        <v>0</v>
      </c>
      <c r="L245" s="174"/>
      <c r="M245" s="224"/>
      <c r="N245" s="225">
        <f t="shared" si="91"/>
        <v>0</v>
      </c>
      <c r="O245" s="251" t="e">
        <f t="shared" si="92"/>
        <v>#N/A</v>
      </c>
      <c r="P245" s="251">
        <f t="shared" si="102"/>
        <v>0</v>
      </c>
      <c r="Q245" s="251">
        <f t="shared" si="93"/>
        <v>0</v>
      </c>
      <c r="R245" s="251">
        <f t="shared" si="94"/>
        <v>0</v>
      </c>
      <c r="S245" s="251" t="e">
        <f t="shared" si="95"/>
        <v>#VALUE!</v>
      </c>
      <c r="T245" s="251">
        <f t="shared" si="82"/>
        <v>0</v>
      </c>
      <c r="U245" s="252">
        <f>TRUNC(T245*Condições!$C$102,2)</f>
        <v>0</v>
      </c>
      <c r="V245" s="199">
        <f t="shared" si="103"/>
        <v>0</v>
      </c>
      <c r="W245" s="161" t="e">
        <f t="shared" si="96"/>
        <v>#N/A</v>
      </c>
      <c r="X245" s="161" t="e">
        <f t="shared" si="97"/>
        <v>#N/A</v>
      </c>
      <c r="Y245" s="161">
        <f t="shared" si="104"/>
        <v>220</v>
      </c>
      <c r="Z245" s="161">
        <f t="shared" ca="1" si="105"/>
        <v>10</v>
      </c>
      <c r="AG245" s="114">
        <f t="shared" si="106"/>
        <v>0</v>
      </c>
      <c r="AH245" s="113"/>
      <c r="AI245" s="199">
        <f ca="1">IF(AL245=0,0,IF(AL245&gt;Preenchimento!$AA$88*12,0,IF($AC$53=AM245,0,1)))</f>
        <v>0</v>
      </c>
      <c r="AJ245" s="161" t="e">
        <f t="shared" ca="1" si="98"/>
        <v>#N/A</v>
      </c>
      <c r="AK245" s="161" t="e">
        <f t="shared" ca="1" si="99"/>
        <v>#N/A</v>
      </c>
      <c r="AL245" s="161">
        <f ca="1">IF(Y245&gt;(Preenchimento!$AA$90*12),0,Fixa!Y245)</f>
        <v>0</v>
      </c>
      <c r="AM245" s="161">
        <f t="shared" ca="1" si="107"/>
        <v>10</v>
      </c>
      <c r="AN245" s="199">
        <f ca="1">IF(AQ245&gt;Preenchimento!$AA$90*12,0,1)</f>
        <v>0</v>
      </c>
      <c r="AO245" s="161" t="e">
        <f ca="1">1/((1+SAC!$AD$29)^AL245)</f>
        <v>#N/A</v>
      </c>
      <c r="AP245" s="82" t="e">
        <f t="shared" ca="1" si="108"/>
        <v>#N/A</v>
      </c>
      <c r="AQ245" s="82">
        <v>220</v>
      </c>
      <c r="AS245" s="477">
        <f t="shared" ca="1" si="100"/>
        <v>0</v>
      </c>
    </row>
    <row r="246" spans="1:45" ht="12" customHeight="1">
      <c r="A246" s="53">
        <v>221</v>
      </c>
      <c r="B246" s="249">
        <f ca="1">DATE(IF(MONTH(B245)=12,YEAR(B245)+1,YEAR(B245)),IF(MONTH(B245)=12,1,MONTH(B245)+1),MIN(DAY(Condições!$C$109),IF(IF(MONTH(B245)=12,1,MONTH(B245)+1)=2,IF(MOD(IF(MONTH(B245)=12,YEAR(B245)+1,YEAR(B245)),4)=0,29,28),IF(OR(IF(MONTH(B245)=12,1,MONTH(B245)+1)=4,IF(MONTH(B245)=12,1,MONTH(B245)+1)=6,IF(MONTH(B245)=12,1,MONTH(B245)+1)=9,IF(MONTH(B245)=12,1,MONTH(B245)+1)=11),30,DAY($B$25)))))</f>
        <v>52917</v>
      </c>
      <c r="C246" s="250" t="str">
        <f t="shared" si="83"/>
        <v/>
      </c>
      <c r="D246" s="251" t="e">
        <f t="shared" si="84"/>
        <v>#N/A</v>
      </c>
      <c r="E246" s="251">
        <f t="shared" si="85"/>
        <v>0</v>
      </c>
      <c r="F246" s="251">
        <f t="shared" si="86"/>
        <v>0</v>
      </c>
      <c r="G246" s="251">
        <f t="shared" si="87"/>
        <v>0</v>
      </c>
      <c r="H246" s="251" t="e">
        <f t="shared" si="88"/>
        <v>#VALUE!</v>
      </c>
      <c r="I246" s="251">
        <f t="shared" si="89"/>
        <v>0</v>
      </c>
      <c r="J246" s="251">
        <f t="shared" si="101"/>
        <v>0</v>
      </c>
      <c r="K246" s="251">
        <f t="shared" si="90"/>
        <v>0</v>
      </c>
      <c r="L246" s="174"/>
      <c r="M246" s="224"/>
      <c r="N246" s="225">
        <f t="shared" si="91"/>
        <v>0</v>
      </c>
      <c r="O246" s="251" t="e">
        <f t="shared" si="92"/>
        <v>#N/A</v>
      </c>
      <c r="P246" s="251">
        <f t="shared" si="102"/>
        <v>0</v>
      </c>
      <c r="Q246" s="251">
        <f t="shared" si="93"/>
        <v>0</v>
      </c>
      <c r="R246" s="251">
        <f t="shared" si="94"/>
        <v>0</v>
      </c>
      <c r="S246" s="251" t="e">
        <f t="shared" si="95"/>
        <v>#VALUE!</v>
      </c>
      <c r="T246" s="251">
        <f t="shared" si="82"/>
        <v>0</v>
      </c>
      <c r="U246" s="252">
        <f>TRUNC(T246*Condições!$C$102,2)</f>
        <v>0</v>
      </c>
      <c r="V246" s="199">
        <f t="shared" si="103"/>
        <v>0</v>
      </c>
      <c r="W246" s="161" t="e">
        <f t="shared" si="96"/>
        <v>#N/A</v>
      </c>
      <c r="X246" s="161" t="e">
        <f t="shared" si="97"/>
        <v>#N/A</v>
      </c>
      <c r="Y246" s="161">
        <f t="shared" si="104"/>
        <v>221</v>
      </c>
      <c r="Z246" s="161">
        <f t="shared" ca="1" si="105"/>
        <v>11</v>
      </c>
      <c r="AG246" s="114">
        <f t="shared" si="106"/>
        <v>0</v>
      </c>
      <c r="AH246" s="113"/>
      <c r="AI246" s="199">
        <f ca="1">IF(AL246=0,0,IF(AL246&gt;Preenchimento!$AA$88*12,0,IF($AC$53=AM246,0,1)))</f>
        <v>0</v>
      </c>
      <c r="AJ246" s="161" t="e">
        <f t="shared" ca="1" si="98"/>
        <v>#N/A</v>
      </c>
      <c r="AK246" s="161" t="e">
        <f t="shared" ca="1" si="99"/>
        <v>#N/A</v>
      </c>
      <c r="AL246" s="161">
        <f ca="1">IF(Y246&gt;(Preenchimento!$AA$90*12),0,Fixa!Y246)</f>
        <v>0</v>
      </c>
      <c r="AM246" s="161">
        <f t="shared" ca="1" si="107"/>
        <v>11</v>
      </c>
      <c r="AN246" s="199">
        <f ca="1">IF(AQ246&gt;Preenchimento!$AA$90*12,0,1)</f>
        <v>0</v>
      </c>
      <c r="AO246" s="161" t="e">
        <f ca="1">1/((1+SAC!$AD$29)^AL246)</f>
        <v>#N/A</v>
      </c>
      <c r="AP246" s="82" t="e">
        <f t="shared" ca="1" si="108"/>
        <v>#N/A</v>
      </c>
      <c r="AQ246" s="82">
        <v>221</v>
      </c>
      <c r="AS246" s="477">
        <f t="shared" ca="1" si="100"/>
        <v>0</v>
      </c>
    </row>
    <row r="247" spans="1:45" ht="12" customHeight="1">
      <c r="A247" s="53">
        <v>222</v>
      </c>
      <c r="B247" s="249">
        <f ca="1">DATE(IF(MONTH(B246)=12,YEAR(B246)+1,YEAR(B246)),IF(MONTH(B246)=12,1,MONTH(B246)+1),MIN(DAY(Condições!$C$109),IF(IF(MONTH(B246)=12,1,MONTH(B246)+1)=2,IF(MOD(IF(MONTH(B246)=12,YEAR(B246)+1,YEAR(B246)),4)=0,29,28),IF(OR(IF(MONTH(B246)=12,1,MONTH(B246)+1)=4,IF(MONTH(B246)=12,1,MONTH(B246)+1)=6,IF(MONTH(B246)=12,1,MONTH(B246)+1)=9,IF(MONTH(B246)=12,1,MONTH(B246)+1)=11),30,DAY($B$25)))))</f>
        <v>52947</v>
      </c>
      <c r="C247" s="250" t="str">
        <f t="shared" si="83"/>
        <v/>
      </c>
      <c r="D247" s="251" t="e">
        <f t="shared" si="84"/>
        <v>#N/A</v>
      </c>
      <c r="E247" s="251">
        <f t="shared" si="85"/>
        <v>0</v>
      </c>
      <c r="F247" s="251">
        <f t="shared" si="86"/>
        <v>0</v>
      </c>
      <c r="G247" s="251">
        <f t="shared" si="87"/>
        <v>0</v>
      </c>
      <c r="H247" s="251" t="e">
        <f t="shared" si="88"/>
        <v>#VALUE!</v>
      </c>
      <c r="I247" s="251">
        <f t="shared" si="89"/>
        <v>0</v>
      </c>
      <c r="J247" s="251">
        <f t="shared" si="101"/>
        <v>0</v>
      </c>
      <c r="K247" s="251">
        <f t="shared" si="90"/>
        <v>0</v>
      </c>
      <c r="L247" s="174"/>
      <c r="M247" s="224"/>
      <c r="N247" s="225">
        <f t="shared" si="91"/>
        <v>0</v>
      </c>
      <c r="O247" s="251" t="e">
        <f t="shared" si="92"/>
        <v>#N/A</v>
      </c>
      <c r="P247" s="251">
        <f t="shared" si="102"/>
        <v>0</v>
      </c>
      <c r="Q247" s="251">
        <f t="shared" si="93"/>
        <v>0</v>
      </c>
      <c r="R247" s="251">
        <f t="shared" si="94"/>
        <v>0</v>
      </c>
      <c r="S247" s="251" t="e">
        <f t="shared" si="95"/>
        <v>#VALUE!</v>
      </c>
      <c r="T247" s="251">
        <f t="shared" si="82"/>
        <v>0</v>
      </c>
      <c r="U247" s="252">
        <f>TRUNC(T247*Condições!$C$102,2)</f>
        <v>0</v>
      </c>
      <c r="V247" s="199">
        <f t="shared" si="103"/>
        <v>0</v>
      </c>
      <c r="W247" s="161" t="e">
        <f t="shared" si="96"/>
        <v>#N/A</v>
      </c>
      <c r="X247" s="161" t="e">
        <f t="shared" si="97"/>
        <v>#N/A</v>
      </c>
      <c r="Y247" s="161">
        <f t="shared" si="104"/>
        <v>222</v>
      </c>
      <c r="Z247" s="161">
        <f t="shared" ca="1" si="105"/>
        <v>12</v>
      </c>
      <c r="AG247" s="114">
        <f t="shared" si="106"/>
        <v>0</v>
      </c>
      <c r="AH247" s="113"/>
      <c r="AI247" s="199">
        <f ca="1">IF(AL247=0,0,IF(AL247&gt;Preenchimento!$AA$88*12,0,IF($AC$53=AM247,0,1)))</f>
        <v>0</v>
      </c>
      <c r="AJ247" s="161" t="e">
        <f t="shared" ca="1" si="98"/>
        <v>#N/A</v>
      </c>
      <c r="AK247" s="161" t="e">
        <f t="shared" ca="1" si="99"/>
        <v>#N/A</v>
      </c>
      <c r="AL247" s="161">
        <f ca="1">IF(Y247&gt;(Preenchimento!$AA$90*12),0,Fixa!Y247)</f>
        <v>0</v>
      </c>
      <c r="AM247" s="161">
        <f t="shared" ca="1" si="107"/>
        <v>12</v>
      </c>
      <c r="AN247" s="199">
        <f ca="1">IF(AQ247&gt;Preenchimento!$AA$90*12,0,1)</f>
        <v>0</v>
      </c>
      <c r="AO247" s="161" t="e">
        <f ca="1">1/((1+SAC!$AD$29)^AL247)</f>
        <v>#N/A</v>
      </c>
      <c r="AP247" s="82" t="e">
        <f t="shared" ca="1" si="108"/>
        <v>#N/A</v>
      </c>
      <c r="AQ247" s="82">
        <v>222</v>
      </c>
      <c r="AS247" s="477">
        <f t="shared" ca="1" si="100"/>
        <v>0</v>
      </c>
    </row>
    <row r="248" spans="1:45" ht="12" customHeight="1">
      <c r="A248" s="53">
        <v>223</v>
      </c>
      <c r="B248" s="249">
        <f ca="1">DATE(IF(MONTH(B247)=12,YEAR(B247)+1,YEAR(B247)),IF(MONTH(B247)=12,1,MONTH(B247)+1),MIN(DAY(Condições!$C$109),IF(IF(MONTH(B247)=12,1,MONTH(B247)+1)=2,IF(MOD(IF(MONTH(B247)=12,YEAR(B247)+1,YEAR(B247)),4)=0,29,28),IF(OR(IF(MONTH(B247)=12,1,MONTH(B247)+1)=4,IF(MONTH(B247)=12,1,MONTH(B247)+1)=6,IF(MONTH(B247)=12,1,MONTH(B247)+1)=9,IF(MONTH(B247)=12,1,MONTH(B247)+1)=11),30,DAY($B$25)))))</f>
        <v>52978</v>
      </c>
      <c r="C248" s="250" t="str">
        <f t="shared" si="83"/>
        <v/>
      </c>
      <c r="D248" s="251" t="e">
        <f t="shared" si="84"/>
        <v>#N/A</v>
      </c>
      <c r="E248" s="251">
        <f t="shared" si="85"/>
        <v>0</v>
      </c>
      <c r="F248" s="251">
        <f t="shared" si="86"/>
        <v>0</v>
      </c>
      <c r="G248" s="251">
        <f t="shared" si="87"/>
        <v>0</v>
      </c>
      <c r="H248" s="251" t="e">
        <f t="shared" si="88"/>
        <v>#VALUE!</v>
      </c>
      <c r="I248" s="251">
        <f t="shared" si="89"/>
        <v>0</v>
      </c>
      <c r="J248" s="251">
        <f t="shared" si="101"/>
        <v>0</v>
      </c>
      <c r="K248" s="251">
        <f t="shared" si="90"/>
        <v>0</v>
      </c>
      <c r="L248" s="174"/>
      <c r="M248" s="224"/>
      <c r="N248" s="225">
        <f t="shared" si="91"/>
        <v>0</v>
      </c>
      <c r="O248" s="251" t="e">
        <f t="shared" si="92"/>
        <v>#N/A</v>
      </c>
      <c r="P248" s="251">
        <f t="shared" si="102"/>
        <v>0</v>
      </c>
      <c r="Q248" s="251">
        <f t="shared" si="93"/>
        <v>0</v>
      </c>
      <c r="R248" s="251">
        <f t="shared" si="94"/>
        <v>0</v>
      </c>
      <c r="S248" s="251" t="e">
        <f t="shared" si="95"/>
        <v>#VALUE!</v>
      </c>
      <c r="T248" s="251">
        <f t="shared" si="82"/>
        <v>0</v>
      </c>
      <c r="U248" s="252">
        <f>TRUNC(T248*Condições!$C$102,2)</f>
        <v>0</v>
      </c>
      <c r="V248" s="199">
        <f t="shared" si="103"/>
        <v>0</v>
      </c>
      <c r="W248" s="161" t="e">
        <f t="shared" si="96"/>
        <v>#N/A</v>
      </c>
      <c r="X248" s="161" t="e">
        <f t="shared" si="97"/>
        <v>#N/A</v>
      </c>
      <c r="Y248" s="161">
        <f t="shared" si="104"/>
        <v>223</v>
      </c>
      <c r="Z248" s="161">
        <f t="shared" ca="1" si="105"/>
        <v>1</v>
      </c>
      <c r="AG248" s="114">
        <f t="shared" si="106"/>
        <v>0</v>
      </c>
      <c r="AH248" s="113"/>
      <c r="AI248" s="199">
        <f ca="1">IF(AL248=0,0,IF(AL248&gt;Preenchimento!$AA$88*12,0,IF($AC$53=AM248,0,1)))</f>
        <v>0</v>
      </c>
      <c r="AJ248" s="161" t="e">
        <f t="shared" ca="1" si="98"/>
        <v>#N/A</v>
      </c>
      <c r="AK248" s="161" t="e">
        <f t="shared" ca="1" si="99"/>
        <v>#N/A</v>
      </c>
      <c r="AL248" s="161">
        <f ca="1">IF(Y248&gt;(Preenchimento!$AA$90*12),0,Fixa!Y248)</f>
        <v>0</v>
      </c>
      <c r="AM248" s="161">
        <f t="shared" ca="1" si="107"/>
        <v>1</v>
      </c>
      <c r="AN248" s="199">
        <f ca="1">IF(AQ248&gt;Preenchimento!$AA$90*12,0,1)</f>
        <v>0</v>
      </c>
      <c r="AO248" s="161" t="e">
        <f ca="1">1/((1+SAC!$AD$29)^AL248)</f>
        <v>#N/A</v>
      </c>
      <c r="AP248" s="82" t="e">
        <f t="shared" ca="1" si="108"/>
        <v>#N/A</v>
      </c>
      <c r="AQ248" s="82">
        <v>223</v>
      </c>
      <c r="AS248" s="477">
        <f t="shared" ca="1" si="100"/>
        <v>0</v>
      </c>
    </row>
    <row r="249" spans="1:45" ht="12" customHeight="1">
      <c r="A249" s="53">
        <v>224</v>
      </c>
      <c r="B249" s="249">
        <f ca="1">DATE(IF(MONTH(B248)=12,YEAR(B248)+1,YEAR(B248)),IF(MONTH(B248)=12,1,MONTH(B248)+1),MIN(DAY(Condições!$C$109),IF(IF(MONTH(B248)=12,1,MONTH(B248)+1)=2,IF(MOD(IF(MONTH(B248)=12,YEAR(B248)+1,YEAR(B248)),4)=0,29,28),IF(OR(IF(MONTH(B248)=12,1,MONTH(B248)+1)=4,IF(MONTH(B248)=12,1,MONTH(B248)+1)=6,IF(MONTH(B248)=12,1,MONTH(B248)+1)=9,IF(MONTH(B248)=12,1,MONTH(B248)+1)=11),30,DAY($B$25)))))</f>
        <v>53009</v>
      </c>
      <c r="C249" s="250" t="str">
        <f t="shared" si="83"/>
        <v/>
      </c>
      <c r="D249" s="251" t="e">
        <f t="shared" si="84"/>
        <v>#N/A</v>
      </c>
      <c r="E249" s="251">
        <f t="shared" si="85"/>
        <v>0</v>
      </c>
      <c r="F249" s="251">
        <f t="shared" si="86"/>
        <v>0</v>
      </c>
      <c r="G249" s="251">
        <f t="shared" si="87"/>
        <v>0</v>
      </c>
      <c r="H249" s="251" t="e">
        <f t="shared" si="88"/>
        <v>#VALUE!</v>
      </c>
      <c r="I249" s="251">
        <f t="shared" si="89"/>
        <v>0</v>
      </c>
      <c r="J249" s="251">
        <f t="shared" si="101"/>
        <v>0</v>
      </c>
      <c r="K249" s="251">
        <f t="shared" si="90"/>
        <v>0</v>
      </c>
      <c r="L249" s="174"/>
      <c r="M249" s="224"/>
      <c r="N249" s="225">
        <f t="shared" si="91"/>
        <v>0</v>
      </c>
      <c r="O249" s="251" t="e">
        <f t="shared" si="92"/>
        <v>#N/A</v>
      </c>
      <c r="P249" s="251">
        <f t="shared" si="102"/>
        <v>0</v>
      </c>
      <c r="Q249" s="251">
        <f t="shared" si="93"/>
        <v>0</v>
      </c>
      <c r="R249" s="251">
        <f t="shared" si="94"/>
        <v>0</v>
      </c>
      <c r="S249" s="251" t="e">
        <f t="shared" si="95"/>
        <v>#VALUE!</v>
      </c>
      <c r="T249" s="251">
        <f t="shared" si="82"/>
        <v>0</v>
      </c>
      <c r="U249" s="252">
        <f>TRUNC(T249*Condições!$C$102,2)</f>
        <v>0</v>
      </c>
      <c r="V249" s="199">
        <f t="shared" si="103"/>
        <v>0</v>
      </c>
      <c r="W249" s="161" t="e">
        <f t="shared" si="96"/>
        <v>#N/A</v>
      </c>
      <c r="X249" s="161" t="e">
        <f t="shared" si="97"/>
        <v>#N/A</v>
      </c>
      <c r="Y249" s="161">
        <f t="shared" si="104"/>
        <v>224</v>
      </c>
      <c r="Z249" s="161">
        <f t="shared" ca="1" si="105"/>
        <v>2</v>
      </c>
      <c r="AG249" s="114">
        <f t="shared" si="106"/>
        <v>0</v>
      </c>
      <c r="AH249" s="113"/>
      <c r="AI249" s="199">
        <f ca="1">IF(AL249=0,0,IF(AL249&gt;Preenchimento!$AA$88*12,0,IF($AC$53=AM249,0,1)))</f>
        <v>0</v>
      </c>
      <c r="AJ249" s="161" t="e">
        <f t="shared" ca="1" si="98"/>
        <v>#N/A</v>
      </c>
      <c r="AK249" s="161" t="e">
        <f t="shared" ca="1" si="99"/>
        <v>#N/A</v>
      </c>
      <c r="AL249" s="161">
        <f ca="1">IF(Y249&gt;(Preenchimento!$AA$90*12),0,Fixa!Y249)</f>
        <v>0</v>
      </c>
      <c r="AM249" s="161">
        <f t="shared" ca="1" si="107"/>
        <v>2</v>
      </c>
      <c r="AN249" s="199">
        <f ca="1">IF(AQ249&gt;Preenchimento!$AA$90*12,0,1)</f>
        <v>0</v>
      </c>
      <c r="AO249" s="161" t="e">
        <f ca="1">1/((1+SAC!$AD$29)^AL249)</f>
        <v>#N/A</v>
      </c>
      <c r="AP249" s="82" t="e">
        <f t="shared" ca="1" si="108"/>
        <v>#N/A</v>
      </c>
      <c r="AQ249" s="82">
        <v>224</v>
      </c>
      <c r="AS249" s="477">
        <f t="shared" ca="1" si="100"/>
        <v>0</v>
      </c>
    </row>
    <row r="250" spans="1:45" ht="12" customHeight="1">
      <c r="A250" s="53">
        <v>225</v>
      </c>
      <c r="B250" s="249">
        <f ca="1">DATE(IF(MONTH(B249)=12,YEAR(B249)+1,YEAR(B249)),IF(MONTH(B249)=12,1,MONTH(B249)+1),MIN(DAY(Condições!$C$109),IF(IF(MONTH(B249)=12,1,MONTH(B249)+1)=2,IF(MOD(IF(MONTH(B249)=12,YEAR(B249)+1,YEAR(B249)),4)=0,29,28),IF(OR(IF(MONTH(B249)=12,1,MONTH(B249)+1)=4,IF(MONTH(B249)=12,1,MONTH(B249)+1)=6,IF(MONTH(B249)=12,1,MONTH(B249)+1)=9,IF(MONTH(B249)=12,1,MONTH(B249)+1)=11),30,DAY($B$25)))))</f>
        <v>53037</v>
      </c>
      <c r="C250" s="250" t="str">
        <f t="shared" si="83"/>
        <v/>
      </c>
      <c r="D250" s="251" t="e">
        <f t="shared" si="84"/>
        <v>#N/A</v>
      </c>
      <c r="E250" s="251">
        <f t="shared" si="85"/>
        <v>0</v>
      </c>
      <c r="F250" s="251">
        <f t="shared" si="86"/>
        <v>0</v>
      </c>
      <c r="G250" s="251">
        <f t="shared" si="87"/>
        <v>0</v>
      </c>
      <c r="H250" s="251" t="e">
        <f t="shared" si="88"/>
        <v>#VALUE!</v>
      </c>
      <c r="I250" s="251">
        <f t="shared" si="89"/>
        <v>0</v>
      </c>
      <c r="J250" s="251">
        <f t="shared" si="101"/>
        <v>0</v>
      </c>
      <c r="K250" s="251">
        <f t="shared" si="90"/>
        <v>0</v>
      </c>
      <c r="L250" s="174"/>
      <c r="M250" s="224"/>
      <c r="N250" s="225">
        <f t="shared" si="91"/>
        <v>0</v>
      </c>
      <c r="O250" s="251" t="e">
        <f t="shared" si="92"/>
        <v>#N/A</v>
      </c>
      <c r="P250" s="251">
        <f t="shared" si="102"/>
        <v>0</v>
      </c>
      <c r="Q250" s="251">
        <f t="shared" si="93"/>
        <v>0</v>
      </c>
      <c r="R250" s="251">
        <f t="shared" si="94"/>
        <v>0</v>
      </c>
      <c r="S250" s="251" t="e">
        <f t="shared" si="95"/>
        <v>#VALUE!</v>
      </c>
      <c r="T250" s="251">
        <f t="shared" si="82"/>
        <v>0</v>
      </c>
      <c r="U250" s="252">
        <f>TRUNC(T250*Condições!$C$102,2)</f>
        <v>0</v>
      </c>
      <c r="V250" s="199">
        <f t="shared" si="103"/>
        <v>0</v>
      </c>
      <c r="W250" s="161" t="e">
        <f t="shared" si="96"/>
        <v>#N/A</v>
      </c>
      <c r="X250" s="161" t="e">
        <f t="shared" si="97"/>
        <v>#N/A</v>
      </c>
      <c r="Y250" s="161">
        <f t="shared" si="104"/>
        <v>225</v>
      </c>
      <c r="Z250" s="161">
        <f t="shared" ca="1" si="105"/>
        <v>3</v>
      </c>
      <c r="AG250" s="114">
        <f t="shared" si="106"/>
        <v>0</v>
      </c>
      <c r="AH250" s="113"/>
      <c r="AI250" s="199">
        <f ca="1">IF(AL250=0,0,IF(AL250&gt;Preenchimento!$AA$88*12,0,IF($AC$53=AM250,0,1)))</f>
        <v>0</v>
      </c>
      <c r="AJ250" s="161" t="e">
        <f t="shared" ca="1" si="98"/>
        <v>#N/A</v>
      </c>
      <c r="AK250" s="161" t="e">
        <f t="shared" ca="1" si="99"/>
        <v>#N/A</v>
      </c>
      <c r="AL250" s="161">
        <f ca="1">IF(Y250&gt;(Preenchimento!$AA$90*12),0,Fixa!Y250)</f>
        <v>0</v>
      </c>
      <c r="AM250" s="161">
        <f t="shared" ca="1" si="107"/>
        <v>3</v>
      </c>
      <c r="AN250" s="199">
        <f ca="1">IF(AQ250&gt;Preenchimento!$AA$90*12,0,1)</f>
        <v>0</v>
      </c>
      <c r="AO250" s="161" t="e">
        <f ca="1">1/((1+SAC!$AD$29)^AL250)</f>
        <v>#N/A</v>
      </c>
      <c r="AP250" s="82" t="e">
        <f t="shared" ca="1" si="108"/>
        <v>#N/A</v>
      </c>
      <c r="AQ250" s="82">
        <v>225</v>
      </c>
      <c r="AS250" s="477">
        <f t="shared" ca="1" si="100"/>
        <v>0</v>
      </c>
    </row>
    <row r="251" spans="1:45" ht="12" customHeight="1">
      <c r="A251" s="53">
        <v>226</v>
      </c>
      <c r="B251" s="249">
        <f ca="1">DATE(IF(MONTH(B250)=12,YEAR(B250)+1,YEAR(B250)),IF(MONTH(B250)=12,1,MONTH(B250)+1),MIN(DAY(Condições!$C$109),IF(IF(MONTH(B250)=12,1,MONTH(B250)+1)=2,IF(MOD(IF(MONTH(B250)=12,YEAR(B250)+1,YEAR(B250)),4)=0,29,28),IF(OR(IF(MONTH(B250)=12,1,MONTH(B250)+1)=4,IF(MONTH(B250)=12,1,MONTH(B250)+1)=6,IF(MONTH(B250)=12,1,MONTH(B250)+1)=9,IF(MONTH(B250)=12,1,MONTH(B250)+1)=11),30,DAY($B$25)))))</f>
        <v>53068</v>
      </c>
      <c r="C251" s="250" t="str">
        <f t="shared" si="83"/>
        <v/>
      </c>
      <c r="D251" s="251" t="e">
        <f t="shared" si="84"/>
        <v>#N/A</v>
      </c>
      <c r="E251" s="251">
        <f t="shared" si="85"/>
        <v>0</v>
      </c>
      <c r="F251" s="251">
        <f t="shared" si="86"/>
        <v>0</v>
      </c>
      <c r="G251" s="251">
        <f t="shared" si="87"/>
        <v>0</v>
      </c>
      <c r="H251" s="251" t="e">
        <f t="shared" si="88"/>
        <v>#VALUE!</v>
      </c>
      <c r="I251" s="251">
        <f t="shared" si="89"/>
        <v>0</v>
      </c>
      <c r="J251" s="251">
        <f t="shared" si="101"/>
        <v>0</v>
      </c>
      <c r="K251" s="251">
        <f t="shared" si="90"/>
        <v>0</v>
      </c>
      <c r="L251" s="174"/>
      <c r="M251" s="224"/>
      <c r="N251" s="225">
        <f t="shared" si="91"/>
        <v>0</v>
      </c>
      <c r="O251" s="251" t="e">
        <f t="shared" si="92"/>
        <v>#N/A</v>
      </c>
      <c r="P251" s="251">
        <f t="shared" si="102"/>
        <v>0</v>
      </c>
      <c r="Q251" s="251">
        <f t="shared" si="93"/>
        <v>0</v>
      </c>
      <c r="R251" s="251">
        <f t="shared" si="94"/>
        <v>0</v>
      </c>
      <c r="S251" s="251" t="e">
        <f t="shared" si="95"/>
        <v>#VALUE!</v>
      </c>
      <c r="T251" s="251">
        <f t="shared" si="82"/>
        <v>0</v>
      </c>
      <c r="U251" s="252">
        <f>TRUNC(T251*Condições!$C$102,2)</f>
        <v>0</v>
      </c>
      <c r="V251" s="199">
        <f t="shared" si="103"/>
        <v>0</v>
      </c>
      <c r="W251" s="161" t="e">
        <f t="shared" si="96"/>
        <v>#N/A</v>
      </c>
      <c r="X251" s="161" t="e">
        <f t="shared" si="97"/>
        <v>#N/A</v>
      </c>
      <c r="Y251" s="161">
        <f t="shared" si="104"/>
        <v>226</v>
      </c>
      <c r="Z251" s="161">
        <f t="shared" ca="1" si="105"/>
        <v>4</v>
      </c>
      <c r="AG251" s="114">
        <f t="shared" si="106"/>
        <v>0</v>
      </c>
      <c r="AH251" s="113"/>
      <c r="AI251" s="199">
        <f ca="1">IF(AL251=0,0,IF(AL251&gt;Preenchimento!$AA$88*12,0,IF($AC$53=AM251,0,1)))</f>
        <v>0</v>
      </c>
      <c r="AJ251" s="161" t="e">
        <f t="shared" ca="1" si="98"/>
        <v>#N/A</v>
      </c>
      <c r="AK251" s="161" t="e">
        <f t="shared" ca="1" si="99"/>
        <v>#N/A</v>
      </c>
      <c r="AL251" s="161">
        <f ca="1">IF(Y251&gt;(Preenchimento!$AA$90*12),0,Fixa!Y251)</f>
        <v>0</v>
      </c>
      <c r="AM251" s="161">
        <f t="shared" ca="1" si="107"/>
        <v>4</v>
      </c>
      <c r="AN251" s="199">
        <f ca="1">IF(AQ251&gt;Preenchimento!$AA$90*12,0,1)</f>
        <v>0</v>
      </c>
      <c r="AO251" s="161" t="e">
        <f ca="1">1/((1+SAC!$AD$29)^AL251)</f>
        <v>#N/A</v>
      </c>
      <c r="AP251" s="82" t="e">
        <f t="shared" ca="1" si="108"/>
        <v>#N/A</v>
      </c>
      <c r="AQ251" s="82">
        <v>226</v>
      </c>
      <c r="AS251" s="477">
        <f t="shared" ca="1" si="100"/>
        <v>0</v>
      </c>
    </row>
    <row r="252" spans="1:45" ht="12" customHeight="1">
      <c r="A252" s="53">
        <v>227</v>
      </c>
      <c r="B252" s="249">
        <f ca="1">DATE(IF(MONTH(B251)=12,YEAR(B251)+1,YEAR(B251)),IF(MONTH(B251)=12,1,MONTH(B251)+1),MIN(DAY(Condições!$C$109),IF(IF(MONTH(B251)=12,1,MONTH(B251)+1)=2,IF(MOD(IF(MONTH(B251)=12,YEAR(B251)+1,YEAR(B251)),4)=0,29,28),IF(OR(IF(MONTH(B251)=12,1,MONTH(B251)+1)=4,IF(MONTH(B251)=12,1,MONTH(B251)+1)=6,IF(MONTH(B251)=12,1,MONTH(B251)+1)=9,IF(MONTH(B251)=12,1,MONTH(B251)+1)=11),30,DAY($B$25)))))</f>
        <v>53098</v>
      </c>
      <c r="C252" s="250" t="str">
        <f t="shared" si="83"/>
        <v/>
      </c>
      <c r="D252" s="251" t="e">
        <f t="shared" si="84"/>
        <v>#N/A</v>
      </c>
      <c r="E252" s="251">
        <f t="shared" si="85"/>
        <v>0</v>
      </c>
      <c r="F252" s="251">
        <f t="shared" si="86"/>
        <v>0</v>
      </c>
      <c r="G252" s="251">
        <f t="shared" si="87"/>
        <v>0</v>
      </c>
      <c r="H252" s="251" t="e">
        <f t="shared" si="88"/>
        <v>#VALUE!</v>
      </c>
      <c r="I252" s="251">
        <f t="shared" si="89"/>
        <v>0</v>
      </c>
      <c r="J252" s="251">
        <f t="shared" si="101"/>
        <v>0</v>
      </c>
      <c r="K252" s="251">
        <f t="shared" si="90"/>
        <v>0</v>
      </c>
      <c r="L252" s="174"/>
      <c r="M252" s="224"/>
      <c r="N252" s="225">
        <f t="shared" si="91"/>
        <v>0</v>
      </c>
      <c r="O252" s="251" t="e">
        <f t="shared" si="92"/>
        <v>#N/A</v>
      </c>
      <c r="P252" s="251">
        <f t="shared" si="102"/>
        <v>0</v>
      </c>
      <c r="Q252" s="251">
        <f t="shared" si="93"/>
        <v>0</v>
      </c>
      <c r="R252" s="251">
        <f t="shared" si="94"/>
        <v>0</v>
      </c>
      <c r="S252" s="251" t="e">
        <f t="shared" si="95"/>
        <v>#VALUE!</v>
      </c>
      <c r="T252" s="251">
        <f t="shared" si="82"/>
        <v>0</v>
      </c>
      <c r="U252" s="252">
        <f>TRUNC(T252*Condições!$C$102,2)</f>
        <v>0</v>
      </c>
      <c r="V252" s="199">
        <f t="shared" si="103"/>
        <v>0</v>
      </c>
      <c r="W252" s="161" t="e">
        <f t="shared" si="96"/>
        <v>#N/A</v>
      </c>
      <c r="X252" s="161" t="e">
        <f t="shared" si="97"/>
        <v>#N/A</v>
      </c>
      <c r="Y252" s="161">
        <f t="shared" si="104"/>
        <v>227</v>
      </c>
      <c r="Z252" s="161">
        <f t="shared" ca="1" si="105"/>
        <v>5</v>
      </c>
      <c r="AG252" s="114">
        <f t="shared" si="106"/>
        <v>0</v>
      </c>
      <c r="AH252" s="113"/>
      <c r="AI252" s="199">
        <f ca="1">IF(AL252=0,0,IF(AL252&gt;Preenchimento!$AA$88*12,0,IF($AC$53=AM252,0,1)))</f>
        <v>0</v>
      </c>
      <c r="AJ252" s="161" t="e">
        <f t="shared" ca="1" si="98"/>
        <v>#N/A</v>
      </c>
      <c r="AK252" s="161" t="e">
        <f t="shared" ca="1" si="99"/>
        <v>#N/A</v>
      </c>
      <c r="AL252" s="161">
        <f ca="1">IF(Y252&gt;(Preenchimento!$AA$90*12),0,Fixa!Y252)</f>
        <v>0</v>
      </c>
      <c r="AM252" s="161">
        <f t="shared" ca="1" si="107"/>
        <v>5</v>
      </c>
      <c r="AN252" s="199">
        <f ca="1">IF(AQ252&gt;Preenchimento!$AA$90*12,0,1)</f>
        <v>0</v>
      </c>
      <c r="AO252" s="161" t="e">
        <f ca="1">1/((1+SAC!$AD$29)^AL252)</f>
        <v>#N/A</v>
      </c>
      <c r="AP252" s="82" t="e">
        <f t="shared" ca="1" si="108"/>
        <v>#N/A</v>
      </c>
      <c r="AQ252" s="82">
        <v>227</v>
      </c>
      <c r="AS252" s="477">
        <f t="shared" ca="1" si="100"/>
        <v>0</v>
      </c>
    </row>
    <row r="253" spans="1:45" ht="12" customHeight="1">
      <c r="A253" s="53">
        <v>228</v>
      </c>
      <c r="B253" s="249">
        <f ca="1">DATE(IF(MONTH(B252)=12,YEAR(B252)+1,YEAR(B252)),IF(MONTH(B252)=12,1,MONTH(B252)+1),MIN(DAY(Condições!$C$109),IF(IF(MONTH(B252)=12,1,MONTH(B252)+1)=2,IF(MOD(IF(MONTH(B252)=12,YEAR(B252)+1,YEAR(B252)),4)=0,29,28),IF(OR(IF(MONTH(B252)=12,1,MONTH(B252)+1)=4,IF(MONTH(B252)=12,1,MONTH(B252)+1)=6,IF(MONTH(B252)=12,1,MONTH(B252)+1)=9,IF(MONTH(B252)=12,1,MONTH(B252)+1)=11),30,DAY($B$25)))))</f>
        <v>53129</v>
      </c>
      <c r="C253" s="250" t="str">
        <f t="shared" si="83"/>
        <v/>
      </c>
      <c r="D253" s="251" t="e">
        <f t="shared" si="84"/>
        <v>#N/A</v>
      </c>
      <c r="E253" s="251">
        <f t="shared" si="85"/>
        <v>0</v>
      </c>
      <c r="F253" s="251">
        <f t="shared" si="86"/>
        <v>0</v>
      </c>
      <c r="G253" s="251">
        <f t="shared" si="87"/>
        <v>0</v>
      </c>
      <c r="H253" s="251" t="e">
        <f t="shared" si="88"/>
        <v>#VALUE!</v>
      </c>
      <c r="I253" s="251">
        <f t="shared" si="89"/>
        <v>0</v>
      </c>
      <c r="J253" s="251">
        <f t="shared" si="101"/>
        <v>0</v>
      </c>
      <c r="K253" s="251">
        <f t="shared" si="90"/>
        <v>0</v>
      </c>
      <c r="L253" s="174"/>
      <c r="M253" s="224"/>
      <c r="N253" s="225">
        <f t="shared" si="91"/>
        <v>0</v>
      </c>
      <c r="O253" s="251" t="e">
        <f t="shared" si="92"/>
        <v>#N/A</v>
      </c>
      <c r="P253" s="251">
        <f t="shared" si="102"/>
        <v>0</v>
      </c>
      <c r="Q253" s="251">
        <f t="shared" si="93"/>
        <v>0</v>
      </c>
      <c r="R253" s="251">
        <f t="shared" si="94"/>
        <v>0</v>
      </c>
      <c r="S253" s="251" t="e">
        <f t="shared" si="95"/>
        <v>#VALUE!</v>
      </c>
      <c r="T253" s="251">
        <f t="shared" si="82"/>
        <v>0</v>
      </c>
      <c r="U253" s="252">
        <f>TRUNC(T253*Condições!$C$102,2)</f>
        <v>0</v>
      </c>
      <c r="V253" s="199">
        <f t="shared" si="103"/>
        <v>0</v>
      </c>
      <c r="W253" s="161" t="e">
        <f t="shared" si="96"/>
        <v>#N/A</v>
      </c>
      <c r="X253" s="161" t="e">
        <f t="shared" si="97"/>
        <v>#N/A</v>
      </c>
      <c r="Y253" s="161">
        <f t="shared" si="104"/>
        <v>228</v>
      </c>
      <c r="Z253" s="161">
        <f t="shared" ca="1" si="105"/>
        <v>6</v>
      </c>
      <c r="AG253" s="114">
        <f t="shared" si="106"/>
        <v>0</v>
      </c>
      <c r="AH253" s="113"/>
      <c r="AI253" s="199">
        <f ca="1">IF(AL253=0,0,IF(AL253&gt;Preenchimento!$AA$88*12,0,IF($AC$53=AM253,0,1)))</f>
        <v>0</v>
      </c>
      <c r="AJ253" s="161" t="e">
        <f t="shared" ca="1" si="98"/>
        <v>#N/A</v>
      </c>
      <c r="AK253" s="161" t="e">
        <f t="shared" ca="1" si="99"/>
        <v>#N/A</v>
      </c>
      <c r="AL253" s="161">
        <f ca="1">IF(Y253&gt;(Preenchimento!$AA$90*12),0,Fixa!Y253)</f>
        <v>0</v>
      </c>
      <c r="AM253" s="161">
        <f t="shared" ca="1" si="107"/>
        <v>6</v>
      </c>
      <c r="AN253" s="199">
        <f ca="1">IF(AQ253&gt;Preenchimento!$AA$90*12,0,1)</f>
        <v>0</v>
      </c>
      <c r="AO253" s="161" t="e">
        <f ca="1">1/((1+SAC!$AD$29)^AL253)</f>
        <v>#N/A</v>
      </c>
      <c r="AP253" s="82" t="e">
        <f t="shared" ca="1" si="108"/>
        <v>#N/A</v>
      </c>
      <c r="AQ253" s="82">
        <v>228</v>
      </c>
      <c r="AS253" s="477">
        <f t="shared" ca="1" si="100"/>
        <v>0</v>
      </c>
    </row>
    <row r="254" spans="1:45" ht="12" customHeight="1">
      <c r="A254" s="53">
        <v>229</v>
      </c>
      <c r="B254" s="249">
        <f ca="1">DATE(IF(MONTH(B253)=12,YEAR(B253)+1,YEAR(B253)),IF(MONTH(B253)=12,1,MONTH(B253)+1),MIN(DAY(Condições!$C$109),IF(IF(MONTH(B253)=12,1,MONTH(B253)+1)=2,IF(MOD(IF(MONTH(B253)=12,YEAR(B253)+1,YEAR(B253)),4)=0,29,28),IF(OR(IF(MONTH(B253)=12,1,MONTH(B253)+1)=4,IF(MONTH(B253)=12,1,MONTH(B253)+1)=6,IF(MONTH(B253)=12,1,MONTH(B253)+1)=9,IF(MONTH(B253)=12,1,MONTH(B253)+1)=11),30,DAY($B$25)))))</f>
        <v>53159</v>
      </c>
      <c r="C254" s="250" t="str">
        <f t="shared" si="83"/>
        <v/>
      </c>
      <c r="D254" s="251" t="e">
        <f t="shared" si="84"/>
        <v>#N/A</v>
      </c>
      <c r="E254" s="251">
        <f t="shared" si="85"/>
        <v>0</v>
      </c>
      <c r="F254" s="251">
        <f t="shared" si="86"/>
        <v>0</v>
      </c>
      <c r="G254" s="251">
        <f t="shared" si="87"/>
        <v>0</v>
      </c>
      <c r="H254" s="251" t="e">
        <f t="shared" si="88"/>
        <v>#VALUE!</v>
      </c>
      <c r="I254" s="251">
        <f t="shared" si="89"/>
        <v>0</v>
      </c>
      <c r="J254" s="251">
        <f t="shared" si="101"/>
        <v>0</v>
      </c>
      <c r="K254" s="251">
        <f t="shared" si="90"/>
        <v>0</v>
      </c>
      <c r="L254" s="174"/>
      <c r="M254" s="224"/>
      <c r="N254" s="225">
        <f t="shared" si="91"/>
        <v>0</v>
      </c>
      <c r="O254" s="251" t="e">
        <f t="shared" si="92"/>
        <v>#N/A</v>
      </c>
      <c r="P254" s="251">
        <f t="shared" si="102"/>
        <v>0</v>
      </c>
      <c r="Q254" s="251">
        <f t="shared" si="93"/>
        <v>0</v>
      </c>
      <c r="R254" s="251">
        <f t="shared" si="94"/>
        <v>0</v>
      </c>
      <c r="S254" s="251" t="e">
        <f t="shared" si="95"/>
        <v>#VALUE!</v>
      </c>
      <c r="T254" s="251">
        <f t="shared" si="82"/>
        <v>0</v>
      </c>
      <c r="U254" s="252">
        <f>TRUNC(T254*Condições!$C$102,2)</f>
        <v>0</v>
      </c>
      <c r="V254" s="199">
        <f t="shared" si="103"/>
        <v>0</v>
      </c>
      <c r="W254" s="161" t="e">
        <f t="shared" si="96"/>
        <v>#N/A</v>
      </c>
      <c r="X254" s="161" t="e">
        <f t="shared" si="97"/>
        <v>#N/A</v>
      </c>
      <c r="Y254" s="161">
        <f t="shared" si="104"/>
        <v>229</v>
      </c>
      <c r="Z254" s="161">
        <f t="shared" ca="1" si="105"/>
        <v>7</v>
      </c>
      <c r="AG254" s="114">
        <f t="shared" si="106"/>
        <v>0</v>
      </c>
      <c r="AH254" s="113"/>
      <c r="AI254" s="199">
        <f ca="1">IF(AL254=0,0,IF(AL254&gt;Preenchimento!$AA$88*12,0,IF($AC$53=AM254,0,1)))</f>
        <v>0</v>
      </c>
      <c r="AJ254" s="161" t="e">
        <f t="shared" ca="1" si="98"/>
        <v>#N/A</v>
      </c>
      <c r="AK254" s="161" t="e">
        <f t="shared" ca="1" si="99"/>
        <v>#N/A</v>
      </c>
      <c r="AL254" s="161">
        <f ca="1">IF(Y254&gt;(Preenchimento!$AA$90*12),0,Fixa!Y254)</f>
        <v>0</v>
      </c>
      <c r="AM254" s="161">
        <f t="shared" ca="1" si="107"/>
        <v>7</v>
      </c>
      <c r="AN254" s="199">
        <f ca="1">IF(AQ254&gt;Preenchimento!$AA$90*12,0,1)</f>
        <v>0</v>
      </c>
      <c r="AO254" s="161" t="e">
        <f ca="1">1/((1+SAC!$AD$29)^AL254)</f>
        <v>#N/A</v>
      </c>
      <c r="AP254" s="82" t="e">
        <f t="shared" ca="1" si="108"/>
        <v>#N/A</v>
      </c>
      <c r="AQ254" s="82">
        <v>229</v>
      </c>
      <c r="AS254" s="477">
        <f t="shared" ca="1" si="100"/>
        <v>0</v>
      </c>
    </row>
    <row r="255" spans="1:45" ht="12" customHeight="1">
      <c r="A255" s="53">
        <v>230</v>
      </c>
      <c r="B255" s="249">
        <f ca="1">DATE(IF(MONTH(B254)=12,YEAR(B254)+1,YEAR(B254)),IF(MONTH(B254)=12,1,MONTH(B254)+1),MIN(DAY(Condições!$C$109),IF(IF(MONTH(B254)=12,1,MONTH(B254)+1)=2,IF(MOD(IF(MONTH(B254)=12,YEAR(B254)+1,YEAR(B254)),4)=0,29,28),IF(OR(IF(MONTH(B254)=12,1,MONTH(B254)+1)=4,IF(MONTH(B254)=12,1,MONTH(B254)+1)=6,IF(MONTH(B254)=12,1,MONTH(B254)+1)=9,IF(MONTH(B254)=12,1,MONTH(B254)+1)=11),30,DAY($B$25)))))</f>
        <v>53190</v>
      </c>
      <c r="C255" s="250" t="str">
        <f t="shared" si="83"/>
        <v/>
      </c>
      <c r="D255" s="251" t="e">
        <f t="shared" si="84"/>
        <v>#N/A</v>
      </c>
      <c r="E255" s="251">
        <f t="shared" si="85"/>
        <v>0</v>
      </c>
      <c r="F255" s="251">
        <f t="shared" si="86"/>
        <v>0</v>
      </c>
      <c r="G255" s="251">
        <f t="shared" si="87"/>
        <v>0</v>
      </c>
      <c r="H255" s="251" t="e">
        <f t="shared" si="88"/>
        <v>#VALUE!</v>
      </c>
      <c r="I255" s="251">
        <f t="shared" si="89"/>
        <v>0</v>
      </c>
      <c r="J255" s="251">
        <f t="shared" si="101"/>
        <v>0</v>
      </c>
      <c r="K255" s="251">
        <f t="shared" si="90"/>
        <v>0</v>
      </c>
      <c r="L255" s="174"/>
      <c r="M255" s="224"/>
      <c r="N255" s="225">
        <f t="shared" si="91"/>
        <v>0</v>
      </c>
      <c r="O255" s="251" t="e">
        <f t="shared" si="92"/>
        <v>#N/A</v>
      </c>
      <c r="P255" s="251">
        <f t="shared" si="102"/>
        <v>0</v>
      </c>
      <c r="Q255" s="251">
        <f t="shared" si="93"/>
        <v>0</v>
      </c>
      <c r="R255" s="251">
        <f t="shared" si="94"/>
        <v>0</v>
      </c>
      <c r="S255" s="251" t="e">
        <f t="shared" si="95"/>
        <v>#VALUE!</v>
      </c>
      <c r="T255" s="251">
        <f t="shared" si="82"/>
        <v>0</v>
      </c>
      <c r="U255" s="252">
        <f>TRUNC(T255*Condições!$C$102,2)</f>
        <v>0</v>
      </c>
      <c r="V255" s="199">
        <f t="shared" si="103"/>
        <v>0</v>
      </c>
      <c r="W255" s="161" t="e">
        <f t="shared" si="96"/>
        <v>#N/A</v>
      </c>
      <c r="X255" s="161" t="e">
        <f t="shared" si="97"/>
        <v>#N/A</v>
      </c>
      <c r="Y255" s="161">
        <f t="shared" si="104"/>
        <v>230</v>
      </c>
      <c r="Z255" s="161">
        <f t="shared" ca="1" si="105"/>
        <v>8</v>
      </c>
      <c r="AG255" s="114">
        <f t="shared" si="106"/>
        <v>0</v>
      </c>
      <c r="AH255" s="113"/>
      <c r="AI255" s="199">
        <f ca="1">IF(AL255=0,0,IF(AL255&gt;Preenchimento!$AA$88*12,0,IF($AC$53=AM255,0,1)))</f>
        <v>0</v>
      </c>
      <c r="AJ255" s="161" t="e">
        <f t="shared" ca="1" si="98"/>
        <v>#N/A</v>
      </c>
      <c r="AK255" s="161" t="e">
        <f t="shared" ca="1" si="99"/>
        <v>#N/A</v>
      </c>
      <c r="AL255" s="161">
        <f ca="1">IF(Y255&gt;(Preenchimento!$AA$90*12),0,Fixa!Y255)</f>
        <v>0</v>
      </c>
      <c r="AM255" s="161">
        <f t="shared" ca="1" si="107"/>
        <v>8</v>
      </c>
      <c r="AN255" s="199">
        <f ca="1">IF(AQ255&gt;Preenchimento!$AA$90*12,0,1)</f>
        <v>0</v>
      </c>
      <c r="AO255" s="161" t="e">
        <f ca="1">1/((1+SAC!$AD$29)^AL255)</f>
        <v>#N/A</v>
      </c>
      <c r="AP255" s="82" t="e">
        <f t="shared" ca="1" si="108"/>
        <v>#N/A</v>
      </c>
      <c r="AQ255" s="82">
        <v>230</v>
      </c>
      <c r="AS255" s="477">
        <f t="shared" ca="1" si="100"/>
        <v>0</v>
      </c>
    </row>
    <row r="256" spans="1:45" ht="12" customHeight="1">
      <c r="A256" s="53">
        <v>231</v>
      </c>
      <c r="B256" s="249">
        <f ca="1">DATE(IF(MONTH(B255)=12,YEAR(B255)+1,YEAR(B255)),IF(MONTH(B255)=12,1,MONTH(B255)+1),MIN(DAY(Condições!$C$109),IF(IF(MONTH(B255)=12,1,MONTH(B255)+1)=2,IF(MOD(IF(MONTH(B255)=12,YEAR(B255)+1,YEAR(B255)),4)=0,29,28),IF(OR(IF(MONTH(B255)=12,1,MONTH(B255)+1)=4,IF(MONTH(B255)=12,1,MONTH(B255)+1)=6,IF(MONTH(B255)=12,1,MONTH(B255)+1)=9,IF(MONTH(B255)=12,1,MONTH(B255)+1)=11),30,DAY($B$25)))))</f>
        <v>53221</v>
      </c>
      <c r="C256" s="250" t="str">
        <f t="shared" si="83"/>
        <v/>
      </c>
      <c r="D256" s="251" t="e">
        <f t="shared" si="84"/>
        <v>#N/A</v>
      </c>
      <c r="E256" s="251">
        <f t="shared" si="85"/>
        <v>0</v>
      </c>
      <c r="F256" s="251">
        <f t="shared" si="86"/>
        <v>0</v>
      </c>
      <c r="G256" s="251">
        <f t="shared" si="87"/>
        <v>0</v>
      </c>
      <c r="H256" s="251" t="e">
        <f t="shared" si="88"/>
        <v>#VALUE!</v>
      </c>
      <c r="I256" s="251">
        <f t="shared" si="89"/>
        <v>0</v>
      </c>
      <c r="J256" s="251">
        <f t="shared" si="101"/>
        <v>0</v>
      </c>
      <c r="K256" s="251">
        <f t="shared" si="90"/>
        <v>0</v>
      </c>
      <c r="L256" s="174"/>
      <c r="M256" s="224"/>
      <c r="N256" s="225">
        <f t="shared" si="91"/>
        <v>0</v>
      </c>
      <c r="O256" s="251" t="e">
        <f t="shared" si="92"/>
        <v>#N/A</v>
      </c>
      <c r="P256" s="251">
        <f t="shared" si="102"/>
        <v>0</v>
      </c>
      <c r="Q256" s="251">
        <f t="shared" si="93"/>
        <v>0</v>
      </c>
      <c r="R256" s="251">
        <f t="shared" si="94"/>
        <v>0</v>
      </c>
      <c r="S256" s="251" t="e">
        <f t="shared" si="95"/>
        <v>#VALUE!</v>
      </c>
      <c r="T256" s="251">
        <f t="shared" si="82"/>
        <v>0</v>
      </c>
      <c r="U256" s="252">
        <f>TRUNC(T256*Condições!$C$102,2)</f>
        <v>0</v>
      </c>
      <c r="V256" s="199">
        <f t="shared" si="103"/>
        <v>0</v>
      </c>
      <c r="W256" s="161" t="e">
        <f t="shared" si="96"/>
        <v>#N/A</v>
      </c>
      <c r="X256" s="161" t="e">
        <f t="shared" si="97"/>
        <v>#N/A</v>
      </c>
      <c r="Y256" s="161">
        <f t="shared" si="104"/>
        <v>231</v>
      </c>
      <c r="Z256" s="161">
        <f t="shared" ca="1" si="105"/>
        <v>9</v>
      </c>
      <c r="AG256" s="114">
        <f t="shared" si="106"/>
        <v>0</v>
      </c>
      <c r="AH256" s="113"/>
      <c r="AI256" s="199">
        <f ca="1">IF(AL256=0,0,IF(AL256&gt;Preenchimento!$AA$88*12,0,IF($AC$53=AM256,0,1)))</f>
        <v>0</v>
      </c>
      <c r="AJ256" s="161" t="e">
        <f t="shared" ca="1" si="98"/>
        <v>#N/A</v>
      </c>
      <c r="AK256" s="161" t="e">
        <f t="shared" ca="1" si="99"/>
        <v>#N/A</v>
      </c>
      <c r="AL256" s="161">
        <f ca="1">IF(Y256&gt;(Preenchimento!$AA$90*12),0,Fixa!Y256)</f>
        <v>0</v>
      </c>
      <c r="AM256" s="161">
        <f t="shared" ca="1" si="107"/>
        <v>9</v>
      </c>
      <c r="AN256" s="199">
        <f ca="1">IF(AQ256&gt;Preenchimento!$AA$90*12,0,1)</f>
        <v>0</v>
      </c>
      <c r="AO256" s="161" t="e">
        <f ca="1">1/((1+SAC!$AD$29)^AL256)</f>
        <v>#N/A</v>
      </c>
      <c r="AP256" s="82" t="e">
        <f t="shared" ca="1" si="108"/>
        <v>#N/A</v>
      </c>
      <c r="AQ256" s="82">
        <v>231</v>
      </c>
      <c r="AS256" s="477">
        <f t="shared" ca="1" si="100"/>
        <v>0</v>
      </c>
    </row>
    <row r="257" spans="1:45" ht="12" customHeight="1">
      <c r="A257" s="53">
        <v>232</v>
      </c>
      <c r="B257" s="249">
        <f ca="1">DATE(IF(MONTH(B256)=12,YEAR(B256)+1,YEAR(B256)),IF(MONTH(B256)=12,1,MONTH(B256)+1),MIN(DAY(Condições!$C$109),IF(IF(MONTH(B256)=12,1,MONTH(B256)+1)=2,IF(MOD(IF(MONTH(B256)=12,YEAR(B256)+1,YEAR(B256)),4)=0,29,28),IF(OR(IF(MONTH(B256)=12,1,MONTH(B256)+1)=4,IF(MONTH(B256)=12,1,MONTH(B256)+1)=6,IF(MONTH(B256)=12,1,MONTH(B256)+1)=9,IF(MONTH(B256)=12,1,MONTH(B256)+1)=11),30,DAY($B$25)))))</f>
        <v>53251</v>
      </c>
      <c r="C257" s="250" t="str">
        <f t="shared" si="83"/>
        <v/>
      </c>
      <c r="D257" s="251" t="e">
        <f t="shared" si="84"/>
        <v>#N/A</v>
      </c>
      <c r="E257" s="251">
        <f t="shared" si="85"/>
        <v>0</v>
      </c>
      <c r="F257" s="251">
        <f t="shared" si="86"/>
        <v>0</v>
      </c>
      <c r="G257" s="251">
        <f t="shared" si="87"/>
        <v>0</v>
      </c>
      <c r="H257" s="251" t="e">
        <f t="shared" si="88"/>
        <v>#VALUE!</v>
      </c>
      <c r="I257" s="251">
        <f t="shared" si="89"/>
        <v>0</v>
      </c>
      <c r="J257" s="251">
        <f t="shared" si="101"/>
        <v>0</v>
      </c>
      <c r="K257" s="251">
        <f t="shared" si="90"/>
        <v>0</v>
      </c>
      <c r="L257" s="174"/>
      <c r="M257" s="224"/>
      <c r="N257" s="225">
        <f t="shared" si="91"/>
        <v>0</v>
      </c>
      <c r="O257" s="251" t="e">
        <f t="shared" si="92"/>
        <v>#N/A</v>
      </c>
      <c r="P257" s="251">
        <f t="shared" si="102"/>
        <v>0</v>
      </c>
      <c r="Q257" s="251">
        <f t="shared" si="93"/>
        <v>0</v>
      </c>
      <c r="R257" s="251">
        <f t="shared" si="94"/>
        <v>0</v>
      </c>
      <c r="S257" s="251" t="e">
        <f t="shared" si="95"/>
        <v>#VALUE!</v>
      </c>
      <c r="T257" s="251">
        <f t="shared" si="82"/>
        <v>0</v>
      </c>
      <c r="U257" s="252">
        <f>TRUNC(T257*Condições!$C$102,2)</f>
        <v>0</v>
      </c>
      <c r="V257" s="199">
        <f t="shared" si="103"/>
        <v>0</v>
      </c>
      <c r="W257" s="161" t="e">
        <f t="shared" si="96"/>
        <v>#N/A</v>
      </c>
      <c r="X257" s="161" t="e">
        <f t="shared" si="97"/>
        <v>#N/A</v>
      </c>
      <c r="Y257" s="161">
        <f t="shared" si="104"/>
        <v>232</v>
      </c>
      <c r="Z257" s="161">
        <f t="shared" ca="1" si="105"/>
        <v>10</v>
      </c>
      <c r="AG257" s="114">
        <f t="shared" si="106"/>
        <v>0</v>
      </c>
      <c r="AH257" s="113"/>
      <c r="AI257" s="199">
        <f ca="1">IF(AL257=0,0,IF(AL257&gt;Preenchimento!$AA$88*12,0,IF($AC$53=AM257,0,1)))</f>
        <v>0</v>
      </c>
      <c r="AJ257" s="161" t="e">
        <f t="shared" ca="1" si="98"/>
        <v>#N/A</v>
      </c>
      <c r="AK257" s="161" t="e">
        <f t="shared" ca="1" si="99"/>
        <v>#N/A</v>
      </c>
      <c r="AL257" s="161">
        <f ca="1">IF(Y257&gt;(Preenchimento!$AA$90*12),0,Fixa!Y257)</f>
        <v>0</v>
      </c>
      <c r="AM257" s="161">
        <f t="shared" ca="1" si="107"/>
        <v>10</v>
      </c>
      <c r="AN257" s="199">
        <f ca="1">IF(AQ257&gt;Preenchimento!$AA$90*12,0,1)</f>
        <v>0</v>
      </c>
      <c r="AO257" s="161" t="e">
        <f ca="1">1/((1+SAC!$AD$29)^AL257)</f>
        <v>#N/A</v>
      </c>
      <c r="AP257" s="82" t="e">
        <f t="shared" ca="1" si="108"/>
        <v>#N/A</v>
      </c>
      <c r="AQ257" s="82">
        <v>232</v>
      </c>
      <c r="AS257" s="477">
        <f t="shared" ca="1" si="100"/>
        <v>0</v>
      </c>
    </row>
    <row r="258" spans="1:45" ht="12" customHeight="1">
      <c r="A258" s="53">
        <v>233</v>
      </c>
      <c r="B258" s="249">
        <f ca="1">DATE(IF(MONTH(B257)=12,YEAR(B257)+1,YEAR(B257)),IF(MONTH(B257)=12,1,MONTH(B257)+1),MIN(DAY(Condições!$C$109),IF(IF(MONTH(B257)=12,1,MONTH(B257)+1)=2,IF(MOD(IF(MONTH(B257)=12,YEAR(B257)+1,YEAR(B257)),4)=0,29,28),IF(OR(IF(MONTH(B257)=12,1,MONTH(B257)+1)=4,IF(MONTH(B257)=12,1,MONTH(B257)+1)=6,IF(MONTH(B257)=12,1,MONTH(B257)+1)=9,IF(MONTH(B257)=12,1,MONTH(B257)+1)=11),30,DAY($B$25)))))</f>
        <v>53282</v>
      </c>
      <c r="C258" s="250" t="str">
        <f t="shared" si="83"/>
        <v/>
      </c>
      <c r="D258" s="251" t="e">
        <f t="shared" si="84"/>
        <v>#N/A</v>
      </c>
      <c r="E258" s="251">
        <f t="shared" si="85"/>
        <v>0</v>
      </c>
      <c r="F258" s="251">
        <f t="shared" si="86"/>
        <v>0</v>
      </c>
      <c r="G258" s="251">
        <f t="shared" si="87"/>
        <v>0</v>
      </c>
      <c r="H258" s="251" t="e">
        <f t="shared" si="88"/>
        <v>#VALUE!</v>
      </c>
      <c r="I258" s="251">
        <f t="shared" si="89"/>
        <v>0</v>
      </c>
      <c r="J258" s="251">
        <f t="shared" si="101"/>
        <v>0</v>
      </c>
      <c r="K258" s="251">
        <f t="shared" si="90"/>
        <v>0</v>
      </c>
      <c r="L258" s="174"/>
      <c r="M258" s="224"/>
      <c r="N258" s="225">
        <f t="shared" si="91"/>
        <v>0</v>
      </c>
      <c r="O258" s="251" t="e">
        <f t="shared" si="92"/>
        <v>#N/A</v>
      </c>
      <c r="P258" s="251">
        <f t="shared" si="102"/>
        <v>0</v>
      </c>
      <c r="Q258" s="251">
        <f t="shared" si="93"/>
        <v>0</v>
      </c>
      <c r="R258" s="251">
        <f t="shared" si="94"/>
        <v>0</v>
      </c>
      <c r="S258" s="251" t="e">
        <f t="shared" si="95"/>
        <v>#VALUE!</v>
      </c>
      <c r="T258" s="251">
        <f t="shared" si="82"/>
        <v>0</v>
      </c>
      <c r="U258" s="252">
        <f>TRUNC(T258*Condições!$C$102,2)</f>
        <v>0</v>
      </c>
      <c r="V258" s="199">
        <f t="shared" si="103"/>
        <v>0</v>
      </c>
      <c r="W258" s="161" t="e">
        <f t="shared" si="96"/>
        <v>#N/A</v>
      </c>
      <c r="X258" s="161" t="e">
        <f t="shared" si="97"/>
        <v>#N/A</v>
      </c>
      <c r="Y258" s="161">
        <f t="shared" si="104"/>
        <v>233</v>
      </c>
      <c r="Z258" s="161">
        <f t="shared" ca="1" si="105"/>
        <v>11</v>
      </c>
      <c r="AG258" s="114">
        <f t="shared" si="106"/>
        <v>0</v>
      </c>
      <c r="AH258" s="113"/>
      <c r="AI258" s="199">
        <f ca="1">IF(AL258=0,0,IF(AL258&gt;Preenchimento!$AA$88*12,0,IF($AC$53=AM258,0,1)))</f>
        <v>0</v>
      </c>
      <c r="AJ258" s="161" t="e">
        <f t="shared" ca="1" si="98"/>
        <v>#N/A</v>
      </c>
      <c r="AK258" s="161" t="e">
        <f t="shared" ca="1" si="99"/>
        <v>#N/A</v>
      </c>
      <c r="AL258" s="161">
        <f ca="1">IF(Y258&gt;(Preenchimento!$AA$90*12),0,Fixa!Y258)</f>
        <v>0</v>
      </c>
      <c r="AM258" s="161">
        <f t="shared" ca="1" si="107"/>
        <v>11</v>
      </c>
      <c r="AN258" s="199">
        <f ca="1">IF(AQ258&gt;Preenchimento!$AA$90*12,0,1)</f>
        <v>0</v>
      </c>
      <c r="AO258" s="161" t="e">
        <f ca="1">1/((1+SAC!$AD$29)^AL258)</f>
        <v>#N/A</v>
      </c>
      <c r="AP258" s="82" t="e">
        <f t="shared" ca="1" si="108"/>
        <v>#N/A</v>
      </c>
      <c r="AQ258" s="82">
        <v>233</v>
      </c>
      <c r="AS258" s="477">
        <f t="shared" ca="1" si="100"/>
        <v>0</v>
      </c>
    </row>
    <row r="259" spans="1:45" ht="12" customHeight="1">
      <c r="A259" s="53">
        <v>234</v>
      </c>
      <c r="B259" s="249">
        <f ca="1">DATE(IF(MONTH(B258)=12,YEAR(B258)+1,YEAR(B258)),IF(MONTH(B258)=12,1,MONTH(B258)+1),MIN(DAY(Condições!$C$109),IF(IF(MONTH(B258)=12,1,MONTH(B258)+1)=2,IF(MOD(IF(MONTH(B258)=12,YEAR(B258)+1,YEAR(B258)),4)=0,29,28),IF(OR(IF(MONTH(B258)=12,1,MONTH(B258)+1)=4,IF(MONTH(B258)=12,1,MONTH(B258)+1)=6,IF(MONTH(B258)=12,1,MONTH(B258)+1)=9,IF(MONTH(B258)=12,1,MONTH(B258)+1)=11),30,DAY($B$25)))))</f>
        <v>53312</v>
      </c>
      <c r="C259" s="250" t="str">
        <f t="shared" si="83"/>
        <v/>
      </c>
      <c r="D259" s="251" t="e">
        <f t="shared" si="84"/>
        <v>#N/A</v>
      </c>
      <c r="E259" s="251">
        <f t="shared" si="85"/>
        <v>0</v>
      </c>
      <c r="F259" s="251">
        <f t="shared" si="86"/>
        <v>0</v>
      </c>
      <c r="G259" s="251">
        <f t="shared" si="87"/>
        <v>0</v>
      </c>
      <c r="H259" s="251" t="e">
        <f t="shared" si="88"/>
        <v>#VALUE!</v>
      </c>
      <c r="I259" s="251">
        <f t="shared" si="89"/>
        <v>0</v>
      </c>
      <c r="J259" s="251">
        <f t="shared" si="101"/>
        <v>0</v>
      </c>
      <c r="K259" s="251">
        <f t="shared" si="90"/>
        <v>0</v>
      </c>
      <c r="L259" s="174"/>
      <c r="M259" s="224"/>
      <c r="N259" s="225">
        <f t="shared" si="91"/>
        <v>0</v>
      </c>
      <c r="O259" s="251" t="e">
        <f t="shared" si="92"/>
        <v>#N/A</v>
      </c>
      <c r="P259" s="251">
        <f t="shared" si="102"/>
        <v>0</v>
      </c>
      <c r="Q259" s="251">
        <f t="shared" si="93"/>
        <v>0</v>
      </c>
      <c r="R259" s="251">
        <f t="shared" si="94"/>
        <v>0</v>
      </c>
      <c r="S259" s="251" t="e">
        <f t="shared" si="95"/>
        <v>#VALUE!</v>
      </c>
      <c r="T259" s="251">
        <f t="shared" si="82"/>
        <v>0</v>
      </c>
      <c r="U259" s="252">
        <f>TRUNC(T259*Condições!$C$102,2)</f>
        <v>0</v>
      </c>
      <c r="V259" s="199">
        <f t="shared" si="103"/>
        <v>0</v>
      </c>
      <c r="W259" s="161" t="e">
        <f t="shared" si="96"/>
        <v>#N/A</v>
      </c>
      <c r="X259" s="161" t="e">
        <f t="shared" si="97"/>
        <v>#N/A</v>
      </c>
      <c r="Y259" s="161">
        <f t="shared" si="104"/>
        <v>234</v>
      </c>
      <c r="Z259" s="161">
        <f t="shared" ca="1" si="105"/>
        <v>12</v>
      </c>
      <c r="AG259" s="114">
        <f t="shared" si="106"/>
        <v>0</v>
      </c>
      <c r="AH259" s="113"/>
      <c r="AI259" s="199">
        <f ca="1">IF(AL259=0,0,IF(AL259&gt;Preenchimento!$AA$88*12,0,IF($AC$53=AM259,0,1)))</f>
        <v>0</v>
      </c>
      <c r="AJ259" s="161" t="e">
        <f t="shared" ca="1" si="98"/>
        <v>#N/A</v>
      </c>
      <c r="AK259" s="161" t="e">
        <f t="shared" ca="1" si="99"/>
        <v>#N/A</v>
      </c>
      <c r="AL259" s="161">
        <f ca="1">IF(Y259&gt;(Preenchimento!$AA$90*12),0,Fixa!Y259)</f>
        <v>0</v>
      </c>
      <c r="AM259" s="161">
        <f t="shared" ca="1" si="107"/>
        <v>12</v>
      </c>
      <c r="AN259" s="199">
        <f ca="1">IF(AQ259&gt;Preenchimento!$AA$90*12,0,1)</f>
        <v>0</v>
      </c>
      <c r="AO259" s="161" t="e">
        <f ca="1">1/((1+SAC!$AD$29)^AL259)</f>
        <v>#N/A</v>
      </c>
      <c r="AP259" s="82" t="e">
        <f t="shared" ca="1" si="108"/>
        <v>#N/A</v>
      </c>
      <c r="AQ259" s="82">
        <v>234</v>
      </c>
      <c r="AS259" s="477">
        <f t="shared" ca="1" si="100"/>
        <v>0</v>
      </c>
    </row>
    <row r="260" spans="1:45" ht="12" customHeight="1">
      <c r="A260" s="53">
        <v>235</v>
      </c>
      <c r="B260" s="249">
        <f ca="1">DATE(IF(MONTH(B259)=12,YEAR(B259)+1,YEAR(B259)),IF(MONTH(B259)=12,1,MONTH(B259)+1),MIN(DAY(Condições!$C$109),IF(IF(MONTH(B259)=12,1,MONTH(B259)+1)=2,IF(MOD(IF(MONTH(B259)=12,YEAR(B259)+1,YEAR(B259)),4)=0,29,28),IF(OR(IF(MONTH(B259)=12,1,MONTH(B259)+1)=4,IF(MONTH(B259)=12,1,MONTH(B259)+1)=6,IF(MONTH(B259)=12,1,MONTH(B259)+1)=9,IF(MONTH(B259)=12,1,MONTH(B259)+1)=11),30,DAY($B$25)))))</f>
        <v>53343</v>
      </c>
      <c r="C260" s="250" t="str">
        <f t="shared" si="83"/>
        <v/>
      </c>
      <c r="D260" s="251" t="e">
        <f t="shared" si="84"/>
        <v>#N/A</v>
      </c>
      <c r="E260" s="251">
        <f t="shared" si="85"/>
        <v>0</v>
      </c>
      <c r="F260" s="251">
        <f t="shared" si="86"/>
        <v>0</v>
      </c>
      <c r="G260" s="251">
        <f t="shared" si="87"/>
        <v>0</v>
      </c>
      <c r="H260" s="251" t="e">
        <f t="shared" si="88"/>
        <v>#VALUE!</v>
      </c>
      <c r="I260" s="251">
        <f t="shared" si="89"/>
        <v>0</v>
      </c>
      <c r="J260" s="251">
        <f t="shared" si="101"/>
        <v>0</v>
      </c>
      <c r="K260" s="251">
        <f t="shared" si="90"/>
        <v>0</v>
      </c>
      <c r="L260" s="174"/>
      <c r="M260" s="224"/>
      <c r="N260" s="225">
        <f t="shared" si="91"/>
        <v>0</v>
      </c>
      <c r="O260" s="251" t="e">
        <f t="shared" si="92"/>
        <v>#N/A</v>
      </c>
      <c r="P260" s="251">
        <f t="shared" si="102"/>
        <v>0</v>
      </c>
      <c r="Q260" s="251">
        <f t="shared" si="93"/>
        <v>0</v>
      </c>
      <c r="R260" s="251">
        <f t="shared" si="94"/>
        <v>0</v>
      </c>
      <c r="S260" s="251" t="e">
        <f t="shared" si="95"/>
        <v>#VALUE!</v>
      </c>
      <c r="T260" s="251">
        <f t="shared" si="82"/>
        <v>0</v>
      </c>
      <c r="U260" s="252">
        <f>TRUNC(T260*Condições!$C$102,2)</f>
        <v>0</v>
      </c>
      <c r="V260" s="199">
        <f t="shared" si="103"/>
        <v>0</v>
      </c>
      <c r="W260" s="161" t="e">
        <f t="shared" si="96"/>
        <v>#N/A</v>
      </c>
      <c r="X260" s="161" t="e">
        <f t="shared" si="97"/>
        <v>#N/A</v>
      </c>
      <c r="Y260" s="161">
        <f t="shared" si="104"/>
        <v>235</v>
      </c>
      <c r="Z260" s="161">
        <f t="shared" ca="1" si="105"/>
        <v>1</v>
      </c>
      <c r="AG260" s="114">
        <f t="shared" si="106"/>
        <v>0</v>
      </c>
      <c r="AH260" s="113"/>
      <c r="AI260" s="199">
        <f ca="1">IF(AL260=0,0,IF(AL260&gt;Preenchimento!$AA$88*12,0,IF($AC$53=AM260,0,1)))</f>
        <v>0</v>
      </c>
      <c r="AJ260" s="161" t="e">
        <f t="shared" ca="1" si="98"/>
        <v>#N/A</v>
      </c>
      <c r="AK260" s="161" t="e">
        <f t="shared" ca="1" si="99"/>
        <v>#N/A</v>
      </c>
      <c r="AL260" s="161">
        <f ca="1">IF(Y260&gt;(Preenchimento!$AA$90*12),0,Fixa!Y260)</f>
        <v>0</v>
      </c>
      <c r="AM260" s="161">
        <f t="shared" ca="1" si="107"/>
        <v>1</v>
      </c>
      <c r="AN260" s="199">
        <f ca="1">IF(AQ260&gt;Preenchimento!$AA$90*12,0,1)</f>
        <v>0</v>
      </c>
      <c r="AO260" s="161" t="e">
        <f ca="1">1/((1+SAC!$AD$29)^AL260)</f>
        <v>#N/A</v>
      </c>
      <c r="AP260" s="82" t="e">
        <f t="shared" ca="1" si="108"/>
        <v>#N/A</v>
      </c>
      <c r="AQ260" s="82">
        <v>235</v>
      </c>
      <c r="AS260" s="477">
        <f t="shared" ca="1" si="100"/>
        <v>0</v>
      </c>
    </row>
    <row r="261" spans="1:45" ht="12" customHeight="1">
      <c r="A261" s="53">
        <v>236</v>
      </c>
      <c r="B261" s="249">
        <f ca="1">DATE(IF(MONTH(B260)=12,YEAR(B260)+1,YEAR(B260)),IF(MONTH(B260)=12,1,MONTH(B260)+1),MIN(DAY(Condições!$C$109),IF(IF(MONTH(B260)=12,1,MONTH(B260)+1)=2,IF(MOD(IF(MONTH(B260)=12,YEAR(B260)+1,YEAR(B260)),4)=0,29,28),IF(OR(IF(MONTH(B260)=12,1,MONTH(B260)+1)=4,IF(MONTH(B260)=12,1,MONTH(B260)+1)=6,IF(MONTH(B260)=12,1,MONTH(B260)+1)=9,IF(MONTH(B260)=12,1,MONTH(B260)+1)=11),30,DAY($B$25)))))</f>
        <v>53374</v>
      </c>
      <c r="C261" s="250" t="str">
        <f t="shared" si="83"/>
        <v/>
      </c>
      <c r="D261" s="251" t="e">
        <f t="shared" si="84"/>
        <v>#N/A</v>
      </c>
      <c r="E261" s="251">
        <f t="shared" si="85"/>
        <v>0</v>
      </c>
      <c r="F261" s="251">
        <f t="shared" si="86"/>
        <v>0</v>
      </c>
      <c r="G261" s="251">
        <f t="shared" si="87"/>
        <v>0</v>
      </c>
      <c r="H261" s="251" t="e">
        <f t="shared" si="88"/>
        <v>#VALUE!</v>
      </c>
      <c r="I261" s="251">
        <f t="shared" si="89"/>
        <v>0</v>
      </c>
      <c r="J261" s="251">
        <f t="shared" si="101"/>
        <v>0</v>
      </c>
      <c r="K261" s="251">
        <f t="shared" si="90"/>
        <v>0</v>
      </c>
      <c r="L261" s="174"/>
      <c r="M261" s="224"/>
      <c r="N261" s="225">
        <f t="shared" si="91"/>
        <v>0</v>
      </c>
      <c r="O261" s="251" t="e">
        <f t="shared" si="92"/>
        <v>#N/A</v>
      </c>
      <c r="P261" s="251">
        <f t="shared" si="102"/>
        <v>0</v>
      </c>
      <c r="Q261" s="251">
        <f t="shared" si="93"/>
        <v>0</v>
      </c>
      <c r="R261" s="251">
        <f t="shared" si="94"/>
        <v>0</v>
      </c>
      <c r="S261" s="251" t="e">
        <f t="shared" si="95"/>
        <v>#VALUE!</v>
      </c>
      <c r="T261" s="251">
        <f t="shared" si="82"/>
        <v>0</v>
      </c>
      <c r="U261" s="252">
        <f>TRUNC(T261*Condições!$C$102,2)</f>
        <v>0</v>
      </c>
      <c r="V261" s="199">
        <f t="shared" si="103"/>
        <v>0</v>
      </c>
      <c r="W261" s="161" t="e">
        <f t="shared" si="96"/>
        <v>#N/A</v>
      </c>
      <c r="X261" s="161" t="e">
        <f t="shared" si="97"/>
        <v>#N/A</v>
      </c>
      <c r="Y261" s="161">
        <f t="shared" si="104"/>
        <v>236</v>
      </c>
      <c r="Z261" s="161">
        <f t="shared" ca="1" si="105"/>
        <v>2</v>
      </c>
      <c r="AG261" s="114">
        <f t="shared" si="106"/>
        <v>0</v>
      </c>
      <c r="AH261" s="113"/>
      <c r="AI261" s="199">
        <f ca="1">IF(AL261=0,0,IF(AL261&gt;Preenchimento!$AA$88*12,0,IF($AC$53=AM261,0,1)))</f>
        <v>0</v>
      </c>
      <c r="AJ261" s="161" t="e">
        <f t="shared" ca="1" si="98"/>
        <v>#N/A</v>
      </c>
      <c r="AK261" s="161" t="e">
        <f t="shared" ca="1" si="99"/>
        <v>#N/A</v>
      </c>
      <c r="AL261" s="161">
        <f ca="1">IF(Y261&gt;(Preenchimento!$AA$90*12),0,Fixa!Y261)</f>
        <v>0</v>
      </c>
      <c r="AM261" s="161">
        <f t="shared" ca="1" si="107"/>
        <v>2</v>
      </c>
      <c r="AN261" s="199">
        <f ca="1">IF(AQ261&gt;Preenchimento!$AA$90*12,0,1)</f>
        <v>0</v>
      </c>
      <c r="AO261" s="161" t="e">
        <f ca="1">1/((1+SAC!$AD$29)^AL261)</f>
        <v>#N/A</v>
      </c>
      <c r="AP261" s="82" t="e">
        <f t="shared" ca="1" si="108"/>
        <v>#N/A</v>
      </c>
      <c r="AQ261" s="82">
        <v>236</v>
      </c>
      <c r="AS261" s="477">
        <f t="shared" ca="1" si="100"/>
        <v>0</v>
      </c>
    </row>
    <row r="262" spans="1:45" ht="12" customHeight="1">
      <c r="A262" s="53">
        <v>237</v>
      </c>
      <c r="B262" s="249">
        <f ca="1">DATE(IF(MONTH(B261)=12,YEAR(B261)+1,YEAR(B261)),IF(MONTH(B261)=12,1,MONTH(B261)+1),MIN(DAY(Condições!$C$109),IF(IF(MONTH(B261)=12,1,MONTH(B261)+1)=2,IF(MOD(IF(MONTH(B261)=12,YEAR(B261)+1,YEAR(B261)),4)=0,29,28),IF(OR(IF(MONTH(B261)=12,1,MONTH(B261)+1)=4,IF(MONTH(B261)=12,1,MONTH(B261)+1)=6,IF(MONTH(B261)=12,1,MONTH(B261)+1)=9,IF(MONTH(B261)=12,1,MONTH(B261)+1)=11),30,DAY($B$25)))))</f>
        <v>53402</v>
      </c>
      <c r="C262" s="250" t="str">
        <f t="shared" si="83"/>
        <v/>
      </c>
      <c r="D262" s="251" t="e">
        <f t="shared" si="84"/>
        <v>#N/A</v>
      </c>
      <c r="E262" s="251">
        <f t="shared" si="85"/>
        <v>0</v>
      </c>
      <c r="F262" s="251">
        <f t="shared" si="86"/>
        <v>0</v>
      </c>
      <c r="G262" s="251">
        <f t="shared" si="87"/>
        <v>0</v>
      </c>
      <c r="H262" s="251" t="e">
        <f t="shared" si="88"/>
        <v>#VALUE!</v>
      </c>
      <c r="I262" s="251">
        <f t="shared" si="89"/>
        <v>0</v>
      </c>
      <c r="J262" s="251">
        <f t="shared" si="101"/>
        <v>0</v>
      </c>
      <c r="K262" s="251">
        <f t="shared" si="90"/>
        <v>0</v>
      </c>
      <c r="L262" s="174"/>
      <c r="M262" s="224"/>
      <c r="N262" s="225">
        <f t="shared" si="91"/>
        <v>0</v>
      </c>
      <c r="O262" s="251" t="e">
        <f t="shared" si="92"/>
        <v>#N/A</v>
      </c>
      <c r="P262" s="251">
        <f t="shared" si="102"/>
        <v>0</v>
      </c>
      <c r="Q262" s="251">
        <f t="shared" si="93"/>
        <v>0</v>
      </c>
      <c r="R262" s="251">
        <f t="shared" si="94"/>
        <v>0</v>
      </c>
      <c r="S262" s="251" t="e">
        <f t="shared" si="95"/>
        <v>#VALUE!</v>
      </c>
      <c r="T262" s="251">
        <f t="shared" si="82"/>
        <v>0</v>
      </c>
      <c r="U262" s="252">
        <f>TRUNC(T262*Condições!$C$102,2)</f>
        <v>0</v>
      </c>
      <c r="V262" s="199">
        <f t="shared" si="103"/>
        <v>0</v>
      </c>
      <c r="W262" s="161" t="e">
        <f t="shared" si="96"/>
        <v>#N/A</v>
      </c>
      <c r="X262" s="161" t="e">
        <f t="shared" si="97"/>
        <v>#N/A</v>
      </c>
      <c r="Y262" s="161">
        <f t="shared" si="104"/>
        <v>237</v>
      </c>
      <c r="Z262" s="161">
        <f t="shared" ca="1" si="105"/>
        <v>3</v>
      </c>
      <c r="AG262" s="114">
        <f t="shared" si="106"/>
        <v>0</v>
      </c>
      <c r="AH262" s="113"/>
      <c r="AI262" s="199">
        <f ca="1">IF(AL262=0,0,IF(AL262&gt;Preenchimento!$AA$88*12,0,IF($AC$53=AM262,0,1)))</f>
        <v>0</v>
      </c>
      <c r="AJ262" s="161" t="e">
        <f t="shared" ca="1" si="98"/>
        <v>#N/A</v>
      </c>
      <c r="AK262" s="161" t="e">
        <f t="shared" ca="1" si="99"/>
        <v>#N/A</v>
      </c>
      <c r="AL262" s="161">
        <f ca="1">IF(Y262&gt;(Preenchimento!$AA$90*12),0,Fixa!Y262)</f>
        <v>0</v>
      </c>
      <c r="AM262" s="161">
        <f t="shared" ca="1" si="107"/>
        <v>3</v>
      </c>
      <c r="AN262" s="199">
        <f ca="1">IF(AQ262&gt;Preenchimento!$AA$90*12,0,1)</f>
        <v>0</v>
      </c>
      <c r="AO262" s="161" t="e">
        <f ca="1">1/((1+SAC!$AD$29)^AL262)</f>
        <v>#N/A</v>
      </c>
      <c r="AP262" s="82" t="e">
        <f t="shared" ca="1" si="108"/>
        <v>#N/A</v>
      </c>
      <c r="AQ262" s="82">
        <v>237</v>
      </c>
      <c r="AS262" s="477">
        <f t="shared" ca="1" si="100"/>
        <v>0</v>
      </c>
    </row>
    <row r="263" spans="1:45" ht="12" customHeight="1">
      <c r="A263" s="53">
        <v>238</v>
      </c>
      <c r="B263" s="249">
        <f ca="1">DATE(IF(MONTH(B262)=12,YEAR(B262)+1,YEAR(B262)),IF(MONTH(B262)=12,1,MONTH(B262)+1),MIN(DAY(Condições!$C$109),IF(IF(MONTH(B262)=12,1,MONTH(B262)+1)=2,IF(MOD(IF(MONTH(B262)=12,YEAR(B262)+1,YEAR(B262)),4)=0,29,28),IF(OR(IF(MONTH(B262)=12,1,MONTH(B262)+1)=4,IF(MONTH(B262)=12,1,MONTH(B262)+1)=6,IF(MONTH(B262)=12,1,MONTH(B262)+1)=9,IF(MONTH(B262)=12,1,MONTH(B262)+1)=11),30,DAY($B$25)))))</f>
        <v>53433</v>
      </c>
      <c r="C263" s="250" t="str">
        <f t="shared" si="83"/>
        <v/>
      </c>
      <c r="D263" s="251" t="e">
        <f t="shared" si="84"/>
        <v>#N/A</v>
      </c>
      <c r="E263" s="251">
        <f t="shared" si="85"/>
        <v>0</v>
      </c>
      <c r="F263" s="251">
        <f t="shared" si="86"/>
        <v>0</v>
      </c>
      <c r="G263" s="251">
        <f t="shared" si="87"/>
        <v>0</v>
      </c>
      <c r="H263" s="251" t="e">
        <f t="shared" si="88"/>
        <v>#VALUE!</v>
      </c>
      <c r="I263" s="251">
        <f t="shared" si="89"/>
        <v>0</v>
      </c>
      <c r="J263" s="251">
        <f t="shared" si="101"/>
        <v>0</v>
      </c>
      <c r="K263" s="251">
        <f t="shared" si="90"/>
        <v>0</v>
      </c>
      <c r="L263" s="174"/>
      <c r="M263" s="224"/>
      <c r="N263" s="225">
        <f t="shared" si="91"/>
        <v>0</v>
      </c>
      <c r="O263" s="251" t="e">
        <f t="shared" si="92"/>
        <v>#N/A</v>
      </c>
      <c r="P263" s="251">
        <f t="shared" si="102"/>
        <v>0</v>
      </c>
      <c r="Q263" s="251">
        <f t="shared" si="93"/>
        <v>0</v>
      </c>
      <c r="R263" s="251">
        <f t="shared" si="94"/>
        <v>0</v>
      </c>
      <c r="S263" s="251" t="e">
        <f t="shared" si="95"/>
        <v>#VALUE!</v>
      </c>
      <c r="T263" s="251">
        <f t="shared" si="82"/>
        <v>0</v>
      </c>
      <c r="U263" s="252">
        <f>TRUNC(T263*Condições!$C$102,2)</f>
        <v>0</v>
      </c>
      <c r="V263" s="199">
        <f t="shared" si="103"/>
        <v>0</v>
      </c>
      <c r="W263" s="161" t="e">
        <f t="shared" si="96"/>
        <v>#N/A</v>
      </c>
      <c r="X263" s="161" t="e">
        <f t="shared" si="97"/>
        <v>#N/A</v>
      </c>
      <c r="Y263" s="161">
        <f t="shared" si="104"/>
        <v>238</v>
      </c>
      <c r="Z263" s="161">
        <f t="shared" ca="1" si="105"/>
        <v>4</v>
      </c>
      <c r="AG263" s="114">
        <f t="shared" si="106"/>
        <v>0</v>
      </c>
      <c r="AH263" s="113"/>
      <c r="AI263" s="199">
        <f ca="1">IF(AL263=0,0,IF(AL263&gt;Preenchimento!$AA$88*12,0,IF($AC$53=AM263,0,1)))</f>
        <v>0</v>
      </c>
      <c r="AJ263" s="161" t="e">
        <f t="shared" ca="1" si="98"/>
        <v>#N/A</v>
      </c>
      <c r="AK263" s="161" t="e">
        <f t="shared" ca="1" si="99"/>
        <v>#N/A</v>
      </c>
      <c r="AL263" s="161">
        <f ca="1">IF(Y263&gt;(Preenchimento!$AA$90*12),0,Fixa!Y263)</f>
        <v>0</v>
      </c>
      <c r="AM263" s="161">
        <f t="shared" ca="1" si="107"/>
        <v>4</v>
      </c>
      <c r="AN263" s="199">
        <f ca="1">IF(AQ263&gt;Preenchimento!$AA$90*12,0,1)</f>
        <v>0</v>
      </c>
      <c r="AO263" s="161" t="e">
        <f ca="1">1/((1+SAC!$AD$29)^AL263)</f>
        <v>#N/A</v>
      </c>
      <c r="AP263" s="82" t="e">
        <f t="shared" ca="1" si="108"/>
        <v>#N/A</v>
      </c>
      <c r="AQ263" s="82">
        <v>238</v>
      </c>
      <c r="AS263" s="477">
        <f t="shared" ca="1" si="100"/>
        <v>0</v>
      </c>
    </row>
    <row r="264" spans="1:45" ht="12" customHeight="1">
      <c r="A264" s="53">
        <v>239</v>
      </c>
      <c r="B264" s="249">
        <f ca="1">DATE(IF(MONTH(B263)=12,YEAR(B263)+1,YEAR(B263)),IF(MONTH(B263)=12,1,MONTH(B263)+1),MIN(DAY(Condições!$C$109),IF(IF(MONTH(B263)=12,1,MONTH(B263)+1)=2,IF(MOD(IF(MONTH(B263)=12,YEAR(B263)+1,YEAR(B263)),4)=0,29,28),IF(OR(IF(MONTH(B263)=12,1,MONTH(B263)+1)=4,IF(MONTH(B263)=12,1,MONTH(B263)+1)=6,IF(MONTH(B263)=12,1,MONTH(B263)+1)=9,IF(MONTH(B263)=12,1,MONTH(B263)+1)=11),30,DAY($B$25)))))</f>
        <v>53463</v>
      </c>
      <c r="C264" s="250" t="str">
        <f t="shared" si="83"/>
        <v/>
      </c>
      <c r="D264" s="251" t="e">
        <f t="shared" si="84"/>
        <v>#N/A</v>
      </c>
      <c r="E264" s="251">
        <f t="shared" si="85"/>
        <v>0</v>
      </c>
      <c r="F264" s="251">
        <f t="shared" si="86"/>
        <v>0</v>
      </c>
      <c r="G264" s="251">
        <f t="shared" si="87"/>
        <v>0</v>
      </c>
      <c r="H264" s="251" t="e">
        <f t="shared" si="88"/>
        <v>#VALUE!</v>
      </c>
      <c r="I264" s="251">
        <f t="shared" si="89"/>
        <v>0</v>
      </c>
      <c r="J264" s="251">
        <f t="shared" si="101"/>
        <v>0</v>
      </c>
      <c r="K264" s="251">
        <f t="shared" si="90"/>
        <v>0</v>
      </c>
      <c r="L264" s="174"/>
      <c r="M264" s="224"/>
      <c r="N264" s="225">
        <f t="shared" si="91"/>
        <v>0</v>
      </c>
      <c r="O264" s="251" t="e">
        <f t="shared" si="92"/>
        <v>#N/A</v>
      </c>
      <c r="P264" s="251">
        <f t="shared" si="102"/>
        <v>0</v>
      </c>
      <c r="Q264" s="251">
        <f t="shared" si="93"/>
        <v>0</v>
      </c>
      <c r="R264" s="251">
        <f t="shared" si="94"/>
        <v>0</v>
      </c>
      <c r="S264" s="251" t="e">
        <f t="shared" si="95"/>
        <v>#VALUE!</v>
      </c>
      <c r="T264" s="251">
        <f t="shared" si="82"/>
        <v>0</v>
      </c>
      <c r="U264" s="252">
        <f>TRUNC(T264*Condições!$C$102,2)</f>
        <v>0</v>
      </c>
      <c r="V264" s="199">
        <f t="shared" si="103"/>
        <v>0</v>
      </c>
      <c r="W264" s="161" t="e">
        <f t="shared" si="96"/>
        <v>#N/A</v>
      </c>
      <c r="X264" s="161" t="e">
        <f t="shared" si="97"/>
        <v>#N/A</v>
      </c>
      <c r="Y264" s="161">
        <f t="shared" si="104"/>
        <v>239</v>
      </c>
      <c r="Z264" s="161">
        <f t="shared" ca="1" si="105"/>
        <v>5</v>
      </c>
      <c r="AG264" s="114">
        <f t="shared" si="106"/>
        <v>0</v>
      </c>
      <c r="AH264" s="113"/>
      <c r="AI264" s="199">
        <f ca="1">IF(AL264=0,0,IF(AL264&gt;Preenchimento!$AA$88*12,0,IF($AC$53=AM264,0,1)))</f>
        <v>0</v>
      </c>
      <c r="AJ264" s="161" t="e">
        <f t="shared" ca="1" si="98"/>
        <v>#N/A</v>
      </c>
      <c r="AK264" s="161" t="e">
        <f t="shared" ca="1" si="99"/>
        <v>#N/A</v>
      </c>
      <c r="AL264" s="161">
        <f ca="1">IF(Y264&gt;(Preenchimento!$AA$90*12),0,Fixa!Y264)</f>
        <v>0</v>
      </c>
      <c r="AM264" s="161">
        <f t="shared" ca="1" si="107"/>
        <v>5</v>
      </c>
      <c r="AN264" s="199">
        <f ca="1">IF(AQ264&gt;Preenchimento!$AA$90*12,0,1)</f>
        <v>0</v>
      </c>
      <c r="AO264" s="161" t="e">
        <f ca="1">1/((1+SAC!$AD$29)^AL264)</f>
        <v>#N/A</v>
      </c>
      <c r="AP264" s="82" t="e">
        <f t="shared" ca="1" si="108"/>
        <v>#N/A</v>
      </c>
      <c r="AQ264" s="82">
        <v>239</v>
      </c>
      <c r="AS264" s="477">
        <f t="shared" ca="1" si="100"/>
        <v>0</v>
      </c>
    </row>
    <row r="265" spans="1:45" ht="12" customHeight="1">
      <c r="A265" s="53">
        <v>240</v>
      </c>
      <c r="B265" s="249">
        <f ca="1">DATE(IF(MONTH(B264)=12,YEAR(B264)+1,YEAR(B264)),IF(MONTH(B264)=12,1,MONTH(B264)+1),MIN(DAY(Condições!$C$109),IF(IF(MONTH(B264)=12,1,MONTH(B264)+1)=2,IF(MOD(IF(MONTH(B264)=12,YEAR(B264)+1,YEAR(B264)),4)=0,29,28),IF(OR(IF(MONTH(B264)=12,1,MONTH(B264)+1)=4,IF(MONTH(B264)=12,1,MONTH(B264)+1)=6,IF(MONTH(B264)=12,1,MONTH(B264)+1)=9,IF(MONTH(B264)=12,1,MONTH(B264)+1)=11),30,DAY($B$25)))))</f>
        <v>53494</v>
      </c>
      <c r="C265" s="250" t="str">
        <f t="shared" si="83"/>
        <v/>
      </c>
      <c r="D265" s="251" t="e">
        <f t="shared" si="84"/>
        <v>#N/A</v>
      </c>
      <c r="E265" s="251">
        <f t="shared" si="85"/>
        <v>0</v>
      </c>
      <c r="F265" s="251">
        <f t="shared" si="86"/>
        <v>0</v>
      </c>
      <c r="G265" s="251">
        <f t="shared" si="87"/>
        <v>0</v>
      </c>
      <c r="H265" s="251" t="e">
        <f t="shared" si="88"/>
        <v>#VALUE!</v>
      </c>
      <c r="I265" s="251">
        <f t="shared" si="89"/>
        <v>0</v>
      </c>
      <c r="J265" s="251">
        <f t="shared" si="101"/>
        <v>0</v>
      </c>
      <c r="K265" s="251">
        <f t="shared" si="90"/>
        <v>0</v>
      </c>
      <c r="L265" s="174"/>
      <c r="M265" s="224"/>
      <c r="N265" s="225">
        <f t="shared" si="91"/>
        <v>0</v>
      </c>
      <c r="O265" s="251" t="e">
        <f t="shared" si="92"/>
        <v>#N/A</v>
      </c>
      <c r="P265" s="251">
        <f t="shared" si="102"/>
        <v>0</v>
      </c>
      <c r="Q265" s="251">
        <f t="shared" si="93"/>
        <v>0</v>
      </c>
      <c r="R265" s="251">
        <f t="shared" si="94"/>
        <v>0</v>
      </c>
      <c r="S265" s="251" t="e">
        <f t="shared" si="95"/>
        <v>#VALUE!</v>
      </c>
      <c r="T265" s="251">
        <f t="shared" si="82"/>
        <v>0</v>
      </c>
      <c r="U265" s="252">
        <f>TRUNC(T265*Condições!$C$102,2)</f>
        <v>0</v>
      </c>
      <c r="V265" s="199">
        <f t="shared" si="103"/>
        <v>0</v>
      </c>
      <c r="W265" s="161" t="e">
        <f t="shared" si="96"/>
        <v>#N/A</v>
      </c>
      <c r="X265" s="161" t="e">
        <f t="shared" si="97"/>
        <v>#N/A</v>
      </c>
      <c r="Y265" s="161">
        <f t="shared" si="104"/>
        <v>240</v>
      </c>
      <c r="Z265" s="161">
        <f t="shared" ca="1" si="105"/>
        <v>6</v>
      </c>
      <c r="AG265" s="114">
        <f t="shared" si="106"/>
        <v>0</v>
      </c>
      <c r="AH265" s="113"/>
      <c r="AI265" s="199">
        <f ca="1">IF(AL265=0,0,IF(AL265&gt;Preenchimento!$AA$88*12,0,IF($AC$53=AM265,0,1)))</f>
        <v>0</v>
      </c>
      <c r="AJ265" s="161" t="e">
        <f t="shared" ca="1" si="98"/>
        <v>#N/A</v>
      </c>
      <c r="AK265" s="161" t="e">
        <f t="shared" ca="1" si="99"/>
        <v>#N/A</v>
      </c>
      <c r="AL265" s="161">
        <f ca="1">IF(Y265&gt;(Preenchimento!$AA$90*12),0,Fixa!Y265)</f>
        <v>0</v>
      </c>
      <c r="AM265" s="161">
        <f t="shared" ca="1" si="107"/>
        <v>6</v>
      </c>
      <c r="AN265" s="199">
        <f ca="1">IF(AQ265&gt;Preenchimento!$AA$90*12,0,1)</f>
        <v>0</v>
      </c>
      <c r="AO265" s="161" t="e">
        <f ca="1">1/((1+SAC!$AD$29)^AL265)</f>
        <v>#N/A</v>
      </c>
      <c r="AP265" s="82" t="e">
        <f t="shared" ca="1" si="108"/>
        <v>#N/A</v>
      </c>
      <c r="AQ265" s="82">
        <v>240</v>
      </c>
      <c r="AS265" s="477">
        <f t="shared" ca="1" si="100"/>
        <v>0</v>
      </c>
    </row>
    <row r="266" spans="1:45">
      <c r="A266" s="53">
        <v>241</v>
      </c>
      <c r="B266" s="249">
        <f ca="1">DATE(IF(MONTH(B265)=12,YEAR(B265)+1,YEAR(B265)),IF(MONTH(B265)=12,1,MONTH(B265)+1),MIN(DAY(Condições!$C$109),IF(IF(MONTH(B265)=12,1,MONTH(B265)+1)=2,IF(MOD(IF(MONTH(B265)=12,YEAR(B265)+1,YEAR(B265)),4)=0,29,28),IF(OR(IF(MONTH(B265)=12,1,MONTH(B265)+1)=4,IF(MONTH(B265)=12,1,MONTH(B265)+1)=6,IF(MONTH(B265)=12,1,MONTH(B265)+1)=9,IF(MONTH(B265)=12,1,MONTH(B265)+1)=11),30,DAY($B$25)))))</f>
        <v>53524</v>
      </c>
      <c r="C266" s="250" t="str">
        <f t="shared" si="83"/>
        <v/>
      </c>
      <c r="D266" s="251" t="e">
        <f t="shared" si="84"/>
        <v>#N/A</v>
      </c>
      <c r="E266" s="251">
        <f t="shared" si="85"/>
        <v>0</v>
      </c>
      <c r="F266" s="251">
        <f t="shared" si="86"/>
        <v>0</v>
      </c>
      <c r="G266" s="251">
        <f t="shared" si="87"/>
        <v>0</v>
      </c>
      <c r="H266" s="251" t="e">
        <f t="shared" si="88"/>
        <v>#VALUE!</v>
      </c>
      <c r="I266" s="251">
        <f t="shared" si="89"/>
        <v>0</v>
      </c>
      <c r="J266" s="251">
        <f t="shared" si="101"/>
        <v>0</v>
      </c>
      <c r="K266" s="251">
        <f t="shared" si="90"/>
        <v>0</v>
      </c>
      <c r="L266" s="174"/>
      <c r="M266" s="224"/>
      <c r="N266" s="225">
        <f t="shared" si="91"/>
        <v>0</v>
      </c>
      <c r="O266" s="251" t="e">
        <f t="shared" si="92"/>
        <v>#N/A</v>
      </c>
      <c r="P266" s="251">
        <f t="shared" si="102"/>
        <v>0</v>
      </c>
      <c r="Q266" s="251">
        <f t="shared" si="93"/>
        <v>0</v>
      </c>
      <c r="R266" s="251">
        <f t="shared" si="94"/>
        <v>0</v>
      </c>
      <c r="S266" s="251" t="e">
        <f t="shared" si="95"/>
        <v>#VALUE!</v>
      </c>
      <c r="T266" s="251">
        <f t="shared" si="82"/>
        <v>0</v>
      </c>
      <c r="U266" s="252">
        <f>TRUNC(T266*Condições!$C$102,2)</f>
        <v>0</v>
      </c>
      <c r="V266" s="199">
        <f t="shared" si="103"/>
        <v>0</v>
      </c>
      <c r="W266" s="161" t="e">
        <f t="shared" ref="W266:W329" si="109">1/(1+$AC$47)^Y266</f>
        <v>#N/A</v>
      </c>
      <c r="X266" s="161" t="e">
        <f t="shared" ref="X266:X329" si="110">W266*V266</f>
        <v>#N/A</v>
      </c>
      <c r="Y266" s="161">
        <f t="shared" ref="Y266:Y329" si="111">1+Y265</f>
        <v>241</v>
      </c>
      <c r="Z266" s="161">
        <f t="shared" ref="Z266:Z329" ca="1" si="112">IF(Z265=12,1,Z265+1)</f>
        <v>7</v>
      </c>
      <c r="AG266" s="114">
        <f t="shared" si="106"/>
        <v>0</v>
      </c>
      <c r="AH266" s="113"/>
      <c r="AI266" s="199">
        <f ca="1">IF(AL266=0,0,IF(AL266&gt;Preenchimento!$AA$88*12,0,IF($AC$53=AM266,0,1)))</f>
        <v>0</v>
      </c>
      <c r="AJ266" s="161" t="e">
        <f t="shared" ca="1" si="98"/>
        <v>#N/A</v>
      </c>
      <c r="AK266" s="161" t="e">
        <f t="shared" ca="1" si="99"/>
        <v>#N/A</v>
      </c>
      <c r="AL266" s="161">
        <f ca="1">IF(Y266&gt;(Preenchimento!$AA$90*12),0,Fixa!Y266)</f>
        <v>0</v>
      </c>
      <c r="AM266" s="161">
        <f t="shared" ca="1" si="107"/>
        <v>7</v>
      </c>
      <c r="AN266" s="199">
        <f ca="1">IF(AQ266&gt;Preenchimento!$AA$90*12,0,1)</f>
        <v>0</v>
      </c>
      <c r="AO266" s="161" t="e">
        <f ca="1">1/((1+SAC!$AD$29)^AL266)</f>
        <v>#N/A</v>
      </c>
      <c r="AP266" s="82" t="e">
        <f t="shared" ca="1" si="108"/>
        <v>#N/A</v>
      </c>
      <c r="AQ266" s="82">
        <v>241</v>
      </c>
      <c r="AS266" s="477">
        <f t="shared" ca="1" si="100"/>
        <v>0</v>
      </c>
    </row>
    <row r="267" spans="1:45">
      <c r="A267" s="53">
        <v>242</v>
      </c>
      <c r="B267" s="249">
        <f ca="1">DATE(IF(MONTH(B266)=12,YEAR(B266)+1,YEAR(B266)),IF(MONTH(B266)=12,1,MONTH(B266)+1),MIN(DAY(Condições!$C$109),IF(IF(MONTH(B266)=12,1,MONTH(B266)+1)=2,IF(MOD(IF(MONTH(B266)=12,YEAR(B266)+1,YEAR(B266)),4)=0,29,28),IF(OR(IF(MONTH(B266)=12,1,MONTH(B266)+1)=4,IF(MONTH(B266)=12,1,MONTH(B266)+1)=6,IF(MONTH(B266)=12,1,MONTH(B266)+1)=9,IF(MONTH(B266)=12,1,MONTH(B266)+1)=11),30,DAY($B$25)))))</f>
        <v>53555</v>
      </c>
      <c r="C267" s="250" t="str">
        <f t="shared" si="83"/>
        <v/>
      </c>
      <c r="D267" s="251" t="e">
        <f t="shared" si="84"/>
        <v>#N/A</v>
      </c>
      <c r="E267" s="251">
        <f t="shared" si="85"/>
        <v>0</v>
      </c>
      <c r="F267" s="251">
        <f t="shared" si="86"/>
        <v>0</v>
      </c>
      <c r="G267" s="251">
        <f t="shared" si="87"/>
        <v>0</v>
      </c>
      <c r="H267" s="251" t="e">
        <f t="shared" si="88"/>
        <v>#VALUE!</v>
      </c>
      <c r="I267" s="251">
        <f t="shared" si="89"/>
        <v>0</v>
      </c>
      <c r="J267" s="251">
        <f t="shared" si="101"/>
        <v>0</v>
      </c>
      <c r="K267" s="251">
        <f t="shared" si="90"/>
        <v>0</v>
      </c>
      <c r="L267" s="174"/>
      <c r="M267" s="224"/>
      <c r="N267" s="225">
        <f t="shared" si="91"/>
        <v>0</v>
      </c>
      <c r="O267" s="251" t="e">
        <f t="shared" si="92"/>
        <v>#N/A</v>
      </c>
      <c r="P267" s="251">
        <f t="shared" si="102"/>
        <v>0</v>
      </c>
      <c r="Q267" s="251">
        <f t="shared" si="93"/>
        <v>0</v>
      </c>
      <c r="R267" s="251">
        <f t="shared" si="94"/>
        <v>0</v>
      </c>
      <c r="S267" s="251" t="e">
        <f t="shared" si="95"/>
        <v>#VALUE!</v>
      </c>
      <c r="T267" s="251">
        <f t="shared" si="82"/>
        <v>0</v>
      </c>
      <c r="U267" s="252">
        <f>TRUNC(T267*Condições!$C$102,2)</f>
        <v>0</v>
      </c>
      <c r="V267" s="199">
        <f t="shared" si="103"/>
        <v>0</v>
      </c>
      <c r="W267" s="161" t="e">
        <f t="shared" si="109"/>
        <v>#N/A</v>
      </c>
      <c r="X267" s="161" t="e">
        <f t="shared" si="110"/>
        <v>#N/A</v>
      </c>
      <c r="Y267" s="161">
        <f t="shared" si="111"/>
        <v>242</v>
      </c>
      <c r="Z267" s="161">
        <f t="shared" ca="1" si="112"/>
        <v>8</v>
      </c>
      <c r="AG267" s="114">
        <f t="shared" si="106"/>
        <v>0</v>
      </c>
      <c r="AH267" s="113"/>
      <c r="AI267" s="199">
        <f ca="1">IF(AL267=0,0,IF(AL267&gt;Preenchimento!$AA$88*12,0,IF($AC$53=AM267,0,1)))</f>
        <v>0</v>
      </c>
      <c r="AJ267" s="161" t="e">
        <f t="shared" ca="1" si="98"/>
        <v>#N/A</v>
      </c>
      <c r="AK267" s="161" t="e">
        <f t="shared" ca="1" si="99"/>
        <v>#N/A</v>
      </c>
      <c r="AL267" s="161">
        <f ca="1">IF(Y267&gt;(Preenchimento!$AA$90*12),0,Fixa!Y267)</f>
        <v>0</v>
      </c>
      <c r="AM267" s="161">
        <f t="shared" ca="1" si="107"/>
        <v>8</v>
      </c>
      <c r="AN267" s="199">
        <f ca="1">IF(AQ267&gt;Preenchimento!$AA$90*12,0,1)</f>
        <v>0</v>
      </c>
      <c r="AO267" s="161" t="e">
        <f ca="1">1/((1+SAC!$AD$29)^AL267)</f>
        <v>#N/A</v>
      </c>
      <c r="AP267" s="82" t="e">
        <f t="shared" ca="1" si="108"/>
        <v>#N/A</v>
      </c>
      <c r="AQ267" s="82">
        <v>242</v>
      </c>
      <c r="AS267" s="477">
        <f t="shared" ca="1" si="100"/>
        <v>0</v>
      </c>
    </row>
    <row r="268" spans="1:45">
      <c r="A268" s="53">
        <v>243</v>
      </c>
      <c r="B268" s="249">
        <f ca="1">DATE(IF(MONTH(B267)=12,YEAR(B267)+1,YEAR(B267)),IF(MONTH(B267)=12,1,MONTH(B267)+1),MIN(DAY(Condições!$C$109),IF(IF(MONTH(B267)=12,1,MONTH(B267)+1)=2,IF(MOD(IF(MONTH(B267)=12,YEAR(B267)+1,YEAR(B267)),4)=0,29,28),IF(OR(IF(MONTH(B267)=12,1,MONTH(B267)+1)=4,IF(MONTH(B267)=12,1,MONTH(B267)+1)=6,IF(MONTH(B267)=12,1,MONTH(B267)+1)=9,IF(MONTH(B267)=12,1,MONTH(B267)+1)=11),30,DAY($B$25)))))</f>
        <v>53586</v>
      </c>
      <c r="C268" s="250" t="str">
        <f t="shared" si="83"/>
        <v/>
      </c>
      <c r="D268" s="251" t="e">
        <f t="shared" si="84"/>
        <v>#N/A</v>
      </c>
      <c r="E268" s="251">
        <f t="shared" si="85"/>
        <v>0</v>
      </c>
      <c r="F268" s="251">
        <f t="shared" si="86"/>
        <v>0</v>
      </c>
      <c r="G268" s="251">
        <f t="shared" si="87"/>
        <v>0</v>
      </c>
      <c r="H268" s="251" t="e">
        <f t="shared" si="88"/>
        <v>#VALUE!</v>
      </c>
      <c r="I268" s="251">
        <f t="shared" si="89"/>
        <v>0</v>
      </c>
      <c r="J268" s="251">
        <f t="shared" si="101"/>
        <v>0</v>
      </c>
      <c r="K268" s="251">
        <f t="shared" si="90"/>
        <v>0</v>
      </c>
      <c r="L268" s="174"/>
      <c r="M268" s="224"/>
      <c r="N268" s="225">
        <f t="shared" si="91"/>
        <v>0</v>
      </c>
      <c r="O268" s="251" t="e">
        <f t="shared" si="92"/>
        <v>#N/A</v>
      </c>
      <c r="P268" s="251">
        <f t="shared" si="102"/>
        <v>0</v>
      </c>
      <c r="Q268" s="251">
        <f t="shared" si="93"/>
        <v>0</v>
      </c>
      <c r="R268" s="251">
        <f t="shared" si="94"/>
        <v>0</v>
      </c>
      <c r="S268" s="251" t="e">
        <f t="shared" si="95"/>
        <v>#VALUE!</v>
      </c>
      <c r="T268" s="251">
        <f t="shared" si="82"/>
        <v>0</v>
      </c>
      <c r="U268" s="252">
        <f>TRUNC(T268*Condições!$C$102,2)</f>
        <v>0</v>
      </c>
      <c r="V268" s="199">
        <f t="shared" si="103"/>
        <v>0</v>
      </c>
      <c r="W268" s="161" t="e">
        <f t="shared" si="109"/>
        <v>#N/A</v>
      </c>
      <c r="X268" s="161" t="e">
        <f t="shared" si="110"/>
        <v>#N/A</v>
      </c>
      <c r="Y268" s="161">
        <f t="shared" si="111"/>
        <v>243</v>
      </c>
      <c r="Z268" s="161">
        <f t="shared" ca="1" si="112"/>
        <v>9</v>
      </c>
      <c r="AG268" s="114">
        <f t="shared" si="106"/>
        <v>0</v>
      </c>
      <c r="AH268" s="113"/>
      <c r="AI268" s="199">
        <f ca="1">IF(AL268=0,0,IF(AL268&gt;Preenchimento!$AA$88*12,0,IF($AC$53=AM268,0,1)))</f>
        <v>0</v>
      </c>
      <c r="AJ268" s="161" t="e">
        <f t="shared" ca="1" si="98"/>
        <v>#N/A</v>
      </c>
      <c r="AK268" s="161" t="e">
        <f t="shared" ca="1" si="99"/>
        <v>#N/A</v>
      </c>
      <c r="AL268" s="161">
        <f ca="1">IF(Y268&gt;(Preenchimento!$AA$90*12),0,Fixa!Y268)</f>
        <v>0</v>
      </c>
      <c r="AM268" s="161">
        <f t="shared" ca="1" si="107"/>
        <v>9</v>
      </c>
      <c r="AN268" s="199">
        <f ca="1">IF(AQ268&gt;Preenchimento!$AA$90*12,0,1)</f>
        <v>0</v>
      </c>
      <c r="AO268" s="161" t="e">
        <f ca="1">1/((1+SAC!$AD$29)^AL268)</f>
        <v>#N/A</v>
      </c>
      <c r="AP268" s="82" t="e">
        <f t="shared" ca="1" si="108"/>
        <v>#N/A</v>
      </c>
      <c r="AQ268" s="82">
        <v>243</v>
      </c>
      <c r="AS268" s="477">
        <f t="shared" ca="1" si="100"/>
        <v>0</v>
      </c>
    </row>
    <row r="269" spans="1:45">
      <c r="A269" s="53">
        <v>244</v>
      </c>
      <c r="B269" s="249">
        <f ca="1">DATE(IF(MONTH(B268)=12,YEAR(B268)+1,YEAR(B268)),IF(MONTH(B268)=12,1,MONTH(B268)+1),MIN(DAY(Condições!$C$109),IF(IF(MONTH(B268)=12,1,MONTH(B268)+1)=2,IF(MOD(IF(MONTH(B268)=12,YEAR(B268)+1,YEAR(B268)),4)=0,29,28),IF(OR(IF(MONTH(B268)=12,1,MONTH(B268)+1)=4,IF(MONTH(B268)=12,1,MONTH(B268)+1)=6,IF(MONTH(B268)=12,1,MONTH(B268)+1)=9,IF(MONTH(B268)=12,1,MONTH(B268)+1)=11),30,DAY($B$25)))))</f>
        <v>53616</v>
      </c>
      <c r="C269" s="250" t="str">
        <f t="shared" si="83"/>
        <v/>
      </c>
      <c r="D269" s="251" t="e">
        <f t="shared" si="84"/>
        <v>#N/A</v>
      </c>
      <c r="E269" s="251">
        <f t="shared" si="85"/>
        <v>0</v>
      </c>
      <c r="F269" s="251">
        <f t="shared" si="86"/>
        <v>0</v>
      </c>
      <c r="G269" s="251">
        <f t="shared" si="87"/>
        <v>0</v>
      </c>
      <c r="H269" s="251" t="e">
        <f t="shared" si="88"/>
        <v>#VALUE!</v>
      </c>
      <c r="I269" s="251">
        <f t="shared" si="89"/>
        <v>0</v>
      </c>
      <c r="J269" s="251">
        <f t="shared" si="101"/>
        <v>0</v>
      </c>
      <c r="K269" s="251">
        <f t="shared" si="90"/>
        <v>0</v>
      </c>
      <c r="L269" s="174"/>
      <c r="M269" s="224"/>
      <c r="N269" s="225">
        <f t="shared" si="91"/>
        <v>0</v>
      </c>
      <c r="O269" s="251" t="e">
        <f t="shared" si="92"/>
        <v>#N/A</v>
      </c>
      <c r="P269" s="251">
        <f t="shared" si="102"/>
        <v>0</v>
      </c>
      <c r="Q269" s="251">
        <f t="shared" si="93"/>
        <v>0</v>
      </c>
      <c r="R269" s="251">
        <f t="shared" si="94"/>
        <v>0</v>
      </c>
      <c r="S269" s="251" t="e">
        <f t="shared" si="95"/>
        <v>#VALUE!</v>
      </c>
      <c r="T269" s="251">
        <f t="shared" si="82"/>
        <v>0</v>
      </c>
      <c r="U269" s="252">
        <f>TRUNC(T269*Condições!$C$102,2)</f>
        <v>0</v>
      </c>
      <c r="V269" s="199">
        <f t="shared" si="103"/>
        <v>0</v>
      </c>
      <c r="W269" s="161" t="e">
        <f t="shared" si="109"/>
        <v>#N/A</v>
      </c>
      <c r="X269" s="161" t="e">
        <f t="shared" si="110"/>
        <v>#N/A</v>
      </c>
      <c r="Y269" s="161">
        <f t="shared" si="111"/>
        <v>244</v>
      </c>
      <c r="Z269" s="161">
        <f t="shared" ca="1" si="112"/>
        <v>10</v>
      </c>
      <c r="AG269" s="114">
        <f t="shared" si="106"/>
        <v>0</v>
      </c>
      <c r="AH269" s="113"/>
      <c r="AI269" s="199">
        <f ca="1">IF(AL269=0,0,IF(AL269&gt;Preenchimento!$AA$88*12,0,IF($AC$53=AM269,0,1)))</f>
        <v>0</v>
      </c>
      <c r="AJ269" s="161" t="e">
        <f t="shared" ca="1" si="98"/>
        <v>#N/A</v>
      </c>
      <c r="AK269" s="161" t="e">
        <f t="shared" ca="1" si="99"/>
        <v>#N/A</v>
      </c>
      <c r="AL269" s="161">
        <f ca="1">IF(Y269&gt;(Preenchimento!$AA$90*12),0,Fixa!Y269)</f>
        <v>0</v>
      </c>
      <c r="AM269" s="161">
        <f t="shared" ca="1" si="107"/>
        <v>10</v>
      </c>
      <c r="AN269" s="199">
        <f ca="1">IF(AQ269&gt;Preenchimento!$AA$90*12,0,1)</f>
        <v>0</v>
      </c>
      <c r="AO269" s="161" t="e">
        <f ca="1">1/((1+SAC!$AD$29)^AL269)</f>
        <v>#N/A</v>
      </c>
      <c r="AP269" s="82" t="e">
        <f t="shared" ca="1" si="108"/>
        <v>#N/A</v>
      </c>
      <c r="AQ269" s="82">
        <v>244</v>
      </c>
      <c r="AS269" s="477">
        <f t="shared" ca="1" si="100"/>
        <v>0</v>
      </c>
    </row>
    <row r="270" spans="1:45">
      <c r="A270" s="53">
        <v>245</v>
      </c>
      <c r="B270" s="249">
        <f ca="1">DATE(IF(MONTH(B269)=12,YEAR(B269)+1,YEAR(B269)),IF(MONTH(B269)=12,1,MONTH(B269)+1),MIN(DAY(Condições!$C$109),IF(IF(MONTH(B269)=12,1,MONTH(B269)+1)=2,IF(MOD(IF(MONTH(B269)=12,YEAR(B269)+1,YEAR(B269)),4)=0,29,28),IF(OR(IF(MONTH(B269)=12,1,MONTH(B269)+1)=4,IF(MONTH(B269)=12,1,MONTH(B269)+1)=6,IF(MONTH(B269)=12,1,MONTH(B269)+1)=9,IF(MONTH(B269)=12,1,MONTH(B269)+1)=11),30,DAY($B$25)))))</f>
        <v>53647</v>
      </c>
      <c r="C270" s="250" t="str">
        <f t="shared" si="83"/>
        <v/>
      </c>
      <c r="D270" s="251" t="e">
        <f t="shared" si="84"/>
        <v>#N/A</v>
      </c>
      <c r="E270" s="251">
        <f t="shared" si="85"/>
        <v>0</v>
      </c>
      <c r="F270" s="251">
        <f t="shared" si="86"/>
        <v>0</v>
      </c>
      <c r="G270" s="251">
        <f t="shared" si="87"/>
        <v>0</v>
      </c>
      <c r="H270" s="251" t="e">
        <f t="shared" si="88"/>
        <v>#VALUE!</v>
      </c>
      <c r="I270" s="251">
        <f t="shared" si="89"/>
        <v>0</v>
      </c>
      <c r="J270" s="251">
        <f t="shared" si="101"/>
        <v>0</v>
      </c>
      <c r="K270" s="251">
        <f t="shared" si="90"/>
        <v>0</v>
      </c>
      <c r="L270" s="174"/>
      <c r="M270" s="224"/>
      <c r="N270" s="225">
        <f t="shared" si="91"/>
        <v>0</v>
      </c>
      <c r="O270" s="251" t="e">
        <f t="shared" si="92"/>
        <v>#N/A</v>
      </c>
      <c r="P270" s="251">
        <f t="shared" si="102"/>
        <v>0</v>
      </c>
      <c r="Q270" s="251">
        <f t="shared" si="93"/>
        <v>0</v>
      </c>
      <c r="R270" s="251">
        <f t="shared" si="94"/>
        <v>0</v>
      </c>
      <c r="S270" s="251" t="e">
        <f t="shared" si="95"/>
        <v>#VALUE!</v>
      </c>
      <c r="T270" s="251">
        <f t="shared" si="82"/>
        <v>0</v>
      </c>
      <c r="U270" s="252">
        <f>TRUNC(T270*Condições!$C$102,2)</f>
        <v>0</v>
      </c>
      <c r="V270" s="199">
        <f t="shared" si="103"/>
        <v>0</v>
      </c>
      <c r="W270" s="161" t="e">
        <f t="shared" si="109"/>
        <v>#N/A</v>
      </c>
      <c r="X270" s="161" t="e">
        <f t="shared" si="110"/>
        <v>#N/A</v>
      </c>
      <c r="Y270" s="161">
        <f t="shared" si="111"/>
        <v>245</v>
      </c>
      <c r="Z270" s="161">
        <f t="shared" ca="1" si="112"/>
        <v>11</v>
      </c>
      <c r="AG270" s="114">
        <f t="shared" si="106"/>
        <v>0</v>
      </c>
      <c r="AH270" s="113"/>
      <c r="AI270" s="199">
        <f ca="1">IF(AL270=0,0,IF(AL270&gt;Preenchimento!$AA$88*12,0,IF($AC$53=AM270,0,1)))</f>
        <v>0</v>
      </c>
      <c r="AJ270" s="161" t="e">
        <f t="shared" ca="1" si="98"/>
        <v>#N/A</v>
      </c>
      <c r="AK270" s="161" t="e">
        <f t="shared" ca="1" si="99"/>
        <v>#N/A</v>
      </c>
      <c r="AL270" s="161">
        <f ca="1">IF(Y270&gt;(Preenchimento!$AA$90*12),0,Fixa!Y270)</f>
        <v>0</v>
      </c>
      <c r="AM270" s="161">
        <f t="shared" ca="1" si="107"/>
        <v>11</v>
      </c>
      <c r="AN270" s="199">
        <f ca="1">IF(AQ270&gt;Preenchimento!$AA$90*12,0,1)</f>
        <v>0</v>
      </c>
      <c r="AO270" s="161" t="e">
        <f ca="1">1/((1+SAC!$AD$29)^AL270)</f>
        <v>#N/A</v>
      </c>
      <c r="AP270" s="82" t="e">
        <f t="shared" ca="1" si="108"/>
        <v>#N/A</v>
      </c>
      <c r="AQ270" s="82">
        <v>245</v>
      </c>
      <c r="AS270" s="477">
        <f t="shared" ca="1" si="100"/>
        <v>0</v>
      </c>
    </row>
    <row r="271" spans="1:45">
      <c r="A271" s="53">
        <v>246</v>
      </c>
      <c r="B271" s="249">
        <f ca="1">DATE(IF(MONTH(B270)=12,YEAR(B270)+1,YEAR(B270)),IF(MONTH(B270)=12,1,MONTH(B270)+1),MIN(DAY(Condições!$C$109),IF(IF(MONTH(B270)=12,1,MONTH(B270)+1)=2,IF(MOD(IF(MONTH(B270)=12,YEAR(B270)+1,YEAR(B270)),4)=0,29,28),IF(OR(IF(MONTH(B270)=12,1,MONTH(B270)+1)=4,IF(MONTH(B270)=12,1,MONTH(B270)+1)=6,IF(MONTH(B270)=12,1,MONTH(B270)+1)=9,IF(MONTH(B270)=12,1,MONTH(B270)+1)=11),30,DAY($B$25)))))</f>
        <v>53677</v>
      </c>
      <c r="C271" s="250" t="str">
        <f t="shared" si="83"/>
        <v/>
      </c>
      <c r="D271" s="251" t="e">
        <f t="shared" si="84"/>
        <v>#N/A</v>
      </c>
      <c r="E271" s="251">
        <f t="shared" si="85"/>
        <v>0</v>
      </c>
      <c r="F271" s="251">
        <f t="shared" si="86"/>
        <v>0</v>
      </c>
      <c r="G271" s="251">
        <f t="shared" si="87"/>
        <v>0</v>
      </c>
      <c r="H271" s="251" t="e">
        <f t="shared" si="88"/>
        <v>#VALUE!</v>
      </c>
      <c r="I271" s="251">
        <f t="shared" si="89"/>
        <v>0</v>
      </c>
      <c r="J271" s="251">
        <f t="shared" si="101"/>
        <v>0</v>
      </c>
      <c r="K271" s="251">
        <f t="shared" si="90"/>
        <v>0</v>
      </c>
      <c r="L271" s="174"/>
      <c r="M271" s="224"/>
      <c r="N271" s="225">
        <f t="shared" si="91"/>
        <v>0</v>
      </c>
      <c r="O271" s="251" t="e">
        <f t="shared" si="92"/>
        <v>#N/A</v>
      </c>
      <c r="P271" s="251">
        <f t="shared" si="102"/>
        <v>0</v>
      </c>
      <c r="Q271" s="251">
        <f t="shared" si="93"/>
        <v>0</v>
      </c>
      <c r="R271" s="251">
        <f t="shared" si="94"/>
        <v>0</v>
      </c>
      <c r="S271" s="251" t="e">
        <f t="shared" si="95"/>
        <v>#VALUE!</v>
      </c>
      <c r="T271" s="251">
        <f t="shared" si="82"/>
        <v>0</v>
      </c>
      <c r="U271" s="252">
        <f>TRUNC(T271*Condições!$C$102,2)</f>
        <v>0</v>
      </c>
      <c r="V271" s="199">
        <f t="shared" si="103"/>
        <v>0</v>
      </c>
      <c r="W271" s="161" t="e">
        <f t="shared" si="109"/>
        <v>#N/A</v>
      </c>
      <c r="X271" s="161" t="e">
        <f t="shared" si="110"/>
        <v>#N/A</v>
      </c>
      <c r="Y271" s="161">
        <f t="shared" si="111"/>
        <v>246</v>
      </c>
      <c r="Z271" s="161">
        <f t="shared" ca="1" si="112"/>
        <v>12</v>
      </c>
      <c r="AG271" s="114">
        <f t="shared" si="106"/>
        <v>0</v>
      </c>
      <c r="AH271" s="113"/>
      <c r="AI271" s="199">
        <f ca="1">IF(AL271=0,0,IF(AL271&gt;Preenchimento!$AA$88*12,0,IF($AC$53=AM271,0,1)))</f>
        <v>0</v>
      </c>
      <c r="AJ271" s="161" t="e">
        <f t="shared" ca="1" si="98"/>
        <v>#N/A</v>
      </c>
      <c r="AK271" s="161" t="e">
        <f t="shared" ca="1" si="99"/>
        <v>#N/A</v>
      </c>
      <c r="AL271" s="161">
        <f ca="1">IF(Y271&gt;(Preenchimento!$AA$90*12),0,Fixa!Y271)</f>
        <v>0</v>
      </c>
      <c r="AM271" s="161">
        <f t="shared" ca="1" si="107"/>
        <v>12</v>
      </c>
      <c r="AN271" s="199">
        <f ca="1">IF(AQ271&gt;Preenchimento!$AA$90*12,0,1)</f>
        <v>0</v>
      </c>
      <c r="AO271" s="161" t="e">
        <f ca="1">1/((1+SAC!$AD$29)^AL271)</f>
        <v>#N/A</v>
      </c>
      <c r="AP271" s="82" t="e">
        <f t="shared" ca="1" si="108"/>
        <v>#N/A</v>
      </c>
      <c r="AQ271" s="82">
        <v>246</v>
      </c>
      <c r="AS271" s="477">
        <f t="shared" ca="1" si="100"/>
        <v>0</v>
      </c>
    </row>
    <row r="272" spans="1:45" ht="12.75" customHeight="1">
      <c r="A272" s="53">
        <v>247</v>
      </c>
      <c r="B272" s="249">
        <f ca="1">DATE(IF(MONTH(B271)=12,YEAR(B271)+1,YEAR(B271)),IF(MONTH(B271)=12,1,MONTH(B271)+1),MIN(DAY(Condições!$C$109),IF(IF(MONTH(B271)=12,1,MONTH(B271)+1)=2,IF(MOD(IF(MONTH(B271)=12,YEAR(B271)+1,YEAR(B271)),4)=0,29,28),IF(OR(IF(MONTH(B271)=12,1,MONTH(B271)+1)=4,IF(MONTH(B271)=12,1,MONTH(B271)+1)=6,IF(MONTH(B271)=12,1,MONTH(B271)+1)=9,IF(MONTH(B271)=12,1,MONTH(B271)+1)=11),30,DAY($B$25)))))</f>
        <v>53708</v>
      </c>
      <c r="C272" s="250" t="str">
        <f t="shared" si="83"/>
        <v/>
      </c>
      <c r="D272" s="251" t="e">
        <f t="shared" si="84"/>
        <v>#N/A</v>
      </c>
      <c r="E272" s="251">
        <f t="shared" si="85"/>
        <v>0</v>
      </c>
      <c r="F272" s="251">
        <f t="shared" si="86"/>
        <v>0</v>
      </c>
      <c r="G272" s="251">
        <f t="shared" si="87"/>
        <v>0</v>
      </c>
      <c r="H272" s="251" t="e">
        <f t="shared" si="88"/>
        <v>#VALUE!</v>
      </c>
      <c r="I272" s="251">
        <f t="shared" si="89"/>
        <v>0</v>
      </c>
      <c r="J272" s="251">
        <f t="shared" si="101"/>
        <v>0</v>
      </c>
      <c r="K272" s="251">
        <f t="shared" si="90"/>
        <v>0</v>
      </c>
      <c r="M272" s="224"/>
      <c r="N272" s="225">
        <f t="shared" si="91"/>
        <v>0</v>
      </c>
      <c r="O272" s="251" t="e">
        <f t="shared" si="92"/>
        <v>#N/A</v>
      </c>
      <c r="P272" s="251">
        <f t="shared" si="102"/>
        <v>0</v>
      </c>
      <c r="Q272" s="251">
        <f t="shared" si="93"/>
        <v>0</v>
      </c>
      <c r="R272" s="251">
        <f t="shared" si="94"/>
        <v>0</v>
      </c>
      <c r="S272" s="251" t="e">
        <f t="shared" si="95"/>
        <v>#VALUE!</v>
      </c>
      <c r="T272" s="251">
        <f t="shared" si="82"/>
        <v>0</v>
      </c>
      <c r="U272" s="252">
        <f>TRUNC(T272*Condições!$C$102,2)</f>
        <v>0</v>
      </c>
      <c r="V272" s="199">
        <f t="shared" si="103"/>
        <v>0</v>
      </c>
      <c r="W272" s="161" t="e">
        <f t="shared" si="109"/>
        <v>#N/A</v>
      </c>
      <c r="X272" s="161" t="e">
        <f t="shared" si="110"/>
        <v>#N/A</v>
      </c>
      <c r="Y272" s="161">
        <f t="shared" si="111"/>
        <v>247</v>
      </c>
      <c r="Z272" s="161">
        <f t="shared" ca="1" si="112"/>
        <v>1</v>
      </c>
      <c r="AG272" s="114">
        <f t="shared" si="106"/>
        <v>0</v>
      </c>
      <c r="AH272" s="113"/>
      <c r="AI272" s="199">
        <f ca="1">IF(AL272=0,0,IF(AL272&gt;Preenchimento!$AA$88*12,0,IF($AC$53=AM272,0,1)))</f>
        <v>0</v>
      </c>
      <c r="AJ272" s="161" t="e">
        <f t="shared" ca="1" si="98"/>
        <v>#N/A</v>
      </c>
      <c r="AK272" s="161" t="e">
        <f t="shared" ca="1" si="99"/>
        <v>#N/A</v>
      </c>
      <c r="AL272" s="161">
        <f ca="1">IF(Y272&gt;(Preenchimento!$AA$90*12),0,Fixa!Y272)</f>
        <v>0</v>
      </c>
      <c r="AM272" s="161">
        <f t="shared" ca="1" si="107"/>
        <v>1</v>
      </c>
      <c r="AN272" s="199">
        <f ca="1">IF(AQ272&gt;Preenchimento!$AA$90*12,0,1)</f>
        <v>0</v>
      </c>
      <c r="AO272" s="161" t="e">
        <f ca="1">1/((1+SAC!$AD$29)^AL272)</f>
        <v>#N/A</v>
      </c>
      <c r="AP272" s="82" t="e">
        <f t="shared" ca="1" si="108"/>
        <v>#N/A</v>
      </c>
      <c r="AQ272" s="82">
        <v>247</v>
      </c>
      <c r="AS272" s="477">
        <f t="shared" ca="1" si="100"/>
        <v>0</v>
      </c>
    </row>
    <row r="273" spans="1:45">
      <c r="A273" s="53">
        <v>248</v>
      </c>
      <c r="B273" s="249">
        <f ca="1">DATE(IF(MONTH(B272)=12,YEAR(B272)+1,YEAR(B272)),IF(MONTH(B272)=12,1,MONTH(B272)+1),MIN(DAY(Condições!$C$109),IF(IF(MONTH(B272)=12,1,MONTH(B272)+1)=2,IF(MOD(IF(MONTH(B272)=12,YEAR(B272)+1,YEAR(B272)),4)=0,29,28),IF(OR(IF(MONTH(B272)=12,1,MONTH(B272)+1)=4,IF(MONTH(B272)=12,1,MONTH(B272)+1)=6,IF(MONTH(B272)=12,1,MONTH(B272)+1)=9,IF(MONTH(B272)=12,1,MONTH(B272)+1)=11),30,DAY($B$25)))))</f>
        <v>53739</v>
      </c>
      <c r="C273" s="250" t="str">
        <f t="shared" si="83"/>
        <v/>
      </c>
      <c r="D273" s="251" t="e">
        <f t="shared" si="84"/>
        <v>#N/A</v>
      </c>
      <c r="E273" s="251">
        <f t="shared" si="85"/>
        <v>0</v>
      </c>
      <c r="F273" s="251">
        <f t="shared" si="86"/>
        <v>0</v>
      </c>
      <c r="G273" s="251">
        <f t="shared" si="87"/>
        <v>0</v>
      </c>
      <c r="H273" s="251" t="e">
        <f t="shared" si="88"/>
        <v>#VALUE!</v>
      </c>
      <c r="I273" s="251">
        <f t="shared" si="89"/>
        <v>0</v>
      </c>
      <c r="J273" s="251">
        <f t="shared" si="101"/>
        <v>0</v>
      </c>
      <c r="K273" s="251">
        <f t="shared" si="90"/>
        <v>0</v>
      </c>
      <c r="M273" s="224"/>
      <c r="N273" s="225">
        <f t="shared" si="91"/>
        <v>0</v>
      </c>
      <c r="O273" s="251" t="e">
        <f t="shared" si="92"/>
        <v>#N/A</v>
      </c>
      <c r="P273" s="251">
        <f t="shared" si="102"/>
        <v>0</v>
      </c>
      <c r="Q273" s="251">
        <f t="shared" si="93"/>
        <v>0</v>
      </c>
      <c r="R273" s="251">
        <f t="shared" si="94"/>
        <v>0</v>
      </c>
      <c r="S273" s="251" t="e">
        <f t="shared" si="95"/>
        <v>#VALUE!</v>
      </c>
      <c r="T273" s="251">
        <f t="shared" si="82"/>
        <v>0</v>
      </c>
      <c r="U273" s="252">
        <f>TRUNC(T273*Condições!$C$102,2)</f>
        <v>0</v>
      </c>
      <c r="V273" s="199">
        <f t="shared" si="103"/>
        <v>0</v>
      </c>
      <c r="W273" s="161" t="e">
        <f t="shared" si="109"/>
        <v>#N/A</v>
      </c>
      <c r="X273" s="161" t="e">
        <f t="shared" si="110"/>
        <v>#N/A</v>
      </c>
      <c r="Y273" s="161">
        <f t="shared" si="111"/>
        <v>248</v>
      </c>
      <c r="Z273" s="161">
        <f t="shared" ca="1" si="112"/>
        <v>2</v>
      </c>
      <c r="AG273" s="114">
        <f t="shared" si="106"/>
        <v>0</v>
      </c>
      <c r="AH273" s="113"/>
      <c r="AI273" s="199">
        <f ca="1">IF(AL273=0,0,IF(AL273&gt;Preenchimento!$AA$88*12,0,IF($AC$53=AM273,0,1)))</f>
        <v>0</v>
      </c>
      <c r="AJ273" s="161" t="e">
        <f t="shared" ca="1" si="98"/>
        <v>#N/A</v>
      </c>
      <c r="AK273" s="161" t="e">
        <f t="shared" ca="1" si="99"/>
        <v>#N/A</v>
      </c>
      <c r="AL273" s="161">
        <f ca="1">IF(Y273&gt;(Preenchimento!$AA$90*12),0,Fixa!Y273)</f>
        <v>0</v>
      </c>
      <c r="AM273" s="161">
        <f t="shared" ca="1" si="107"/>
        <v>2</v>
      </c>
      <c r="AN273" s="199">
        <f ca="1">IF(AQ273&gt;Preenchimento!$AA$90*12,0,1)</f>
        <v>0</v>
      </c>
      <c r="AO273" s="161" t="e">
        <f ca="1">1/((1+SAC!$AD$29)^AL273)</f>
        <v>#N/A</v>
      </c>
      <c r="AP273" s="82" t="e">
        <f t="shared" ca="1" si="108"/>
        <v>#N/A</v>
      </c>
      <c r="AQ273" s="82">
        <v>248</v>
      </c>
      <c r="AS273" s="477">
        <f t="shared" ca="1" si="100"/>
        <v>0</v>
      </c>
    </row>
    <row r="274" spans="1:45">
      <c r="A274" s="53">
        <v>249</v>
      </c>
      <c r="B274" s="249">
        <f ca="1">DATE(IF(MONTH(B273)=12,YEAR(B273)+1,YEAR(B273)),IF(MONTH(B273)=12,1,MONTH(B273)+1),MIN(DAY(Condições!$C$109),IF(IF(MONTH(B273)=12,1,MONTH(B273)+1)=2,IF(MOD(IF(MONTH(B273)=12,YEAR(B273)+1,YEAR(B273)),4)=0,29,28),IF(OR(IF(MONTH(B273)=12,1,MONTH(B273)+1)=4,IF(MONTH(B273)=12,1,MONTH(B273)+1)=6,IF(MONTH(B273)=12,1,MONTH(B273)+1)=9,IF(MONTH(B273)=12,1,MONTH(B273)+1)=11),30,DAY($B$25)))))</f>
        <v>53767</v>
      </c>
      <c r="C274" s="250" t="str">
        <f t="shared" si="83"/>
        <v/>
      </c>
      <c r="D274" s="251" t="e">
        <f t="shared" si="84"/>
        <v>#N/A</v>
      </c>
      <c r="E274" s="251">
        <f t="shared" si="85"/>
        <v>0</v>
      </c>
      <c r="F274" s="251">
        <f t="shared" si="86"/>
        <v>0</v>
      </c>
      <c r="G274" s="251">
        <f t="shared" si="87"/>
        <v>0</v>
      </c>
      <c r="H274" s="251" t="e">
        <f t="shared" si="88"/>
        <v>#VALUE!</v>
      </c>
      <c r="I274" s="251">
        <f t="shared" si="89"/>
        <v>0</v>
      </c>
      <c r="J274" s="251">
        <f t="shared" si="101"/>
        <v>0</v>
      </c>
      <c r="K274" s="251">
        <f t="shared" si="90"/>
        <v>0</v>
      </c>
      <c r="M274" s="224"/>
      <c r="N274" s="225">
        <f t="shared" si="91"/>
        <v>0</v>
      </c>
      <c r="O274" s="251" t="e">
        <f t="shared" si="92"/>
        <v>#N/A</v>
      </c>
      <c r="P274" s="251">
        <f t="shared" si="102"/>
        <v>0</v>
      </c>
      <c r="Q274" s="251">
        <f t="shared" si="93"/>
        <v>0</v>
      </c>
      <c r="R274" s="251">
        <f t="shared" si="94"/>
        <v>0</v>
      </c>
      <c r="S274" s="251" t="e">
        <f t="shared" si="95"/>
        <v>#VALUE!</v>
      </c>
      <c r="T274" s="251">
        <f t="shared" si="82"/>
        <v>0</v>
      </c>
      <c r="U274" s="252">
        <f>TRUNC(T274*Condições!$C$102,2)</f>
        <v>0</v>
      </c>
      <c r="V274" s="199">
        <f t="shared" si="103"/>
        <v>0</v>
      </c>
      <c r="W274" s="161" t="e">
        <f t="shared" si="109"/>
        <v>#N/A</v>
      </c>
      <c r="X274" s="161" t="e">
        <f t="shared" si="110"/>
        <v>#N/A</v>
      </c>
      <c r="Y274" s="161">
        <f t="shared" si="111"/>
        <v>249</v>
      </c>
      <c r="Z274" s="161">
        <f t="shared" ca="1" si="112"/>
        <v>3</v>
      </c>
      <c r="AG274" s="114">
        <f t="shared" si="106"/>
        <v>0</v>
      </c>
      <c r="AH274" s="113"/>
      <c r="AI274" s="199">
        <f ca="1">IF(AL274=0,0,IF(AL274&gt;Preenchimento!$AA$88*12,0,IF($AC$53=AM274,0,1)))</f>
        <v>0</v>
      </c>
      <c r="AJ274" s="161" t="e">
        <f t="shared" ca="1" si="98"/>
        <v>#N/A</v>
      </c>
      <c r="AK274" s="161" t="e">
        <f t="shared" ca="1" si="99"/>
        <v>#N/A</v>
      </c>
      <c r="AL274" s="161">
        <f ca="1">IF(Y274&gt;(Preenchimento!$AA$90*12),0,Fixa!Y274)</f>
        <v>0</v>
      </c>
      <c r="AM274" s="161">
        <f t="shared" ca="1" si="107"/>
        <v>3</v>
      </c>
      <c r="AN274" s="199">
        <f ca="1">IF(AQ274&gt;Preenchimento!$AA$90*12,0,1)</f>
        <v>0</v>
      </c>
      <c r="AO274" s="161" t="e">
        <f ca="1">1/((1+SAC!$AD$29)^AL274)</f>
        <v>#N/A</v>
      </c>
      <c r="AP274" s="82" t="e">
        <f t="shared" ca="1" si="108"/>
        <v>#N/A</v>
      </c>
      <c r="AQ274" s="82">
        <v>249</v>
      </c>
      <c r="AS274" s="477">
        <f t="shared" ca="1" si="100"/>
        <v>0</v>
      </c>
    </row>
    <row r="275" spans="1:45">
      <c r="A275" s="53">
        <v>250</v>
      </c>
      <c r="B275" s="249">
        <f ca="1">DATE(IF(MONTH(B274)=12,YEAR(B274)+1,YEAR(B274)),IF(MONTH(B274)=12,1,MONTH(B274)+1),MIN(DAY(Condições!$C$109),IF(IF(MONTH(B274)=12,1,MONTH(B274)+1)=2,IF(MOD(IF(MONTH(B274)=12,YEAR(B274)+1,YEAR(B274)),4)=0,29,28),IF(OR(IF(MONTH(B274)=12,1,MONTH(B274)+1)=4,IF(MONTH(B274)=12,1,MONTH(B274)+1)=6,IF(MONTH(B274)=12,1,MONTH(B274)+1)=9,IF(MONTH(B274)=12,1,MONTH(B274)+1)=11),30,DAY($B$25)))))</f>
        <v>53798</v>
      </c>
      <c r="C275" s="250" t="str">
        <f t="shared" si="83"/>
        <v/>
      </c>
      <c r="D275" s="251" t="e">
        <f t="shared" si="84"/>
        <v>#N/A</v>
      </c>
      <c r="E275" s="251">
        <f t="shared" si="85"/>
        <v>0</v>
      </c>
      <c r="F275" s="251">
        <f t="shared" si="86"/>
        <v>0</v>
      </c>
      <c r="G275" s="251">
        <f t="shared" si="87"/>
        <v>0</v>
      </c>
      <c r="H275" s="251" t="e">
        <f t="shared" si="88"/>
        <v>#VALUE!</v>
      </c>
      <c r="I275" s="251">
        <f t="shared" si="89"/>
        <v>0</v>
      </c>
      <c r="J275" s="251">
        <f t="shared" si="101"/>
        <v>0</v>
      </c>
      <c r="K275" s="251">
        <f t="shared" si="90"/>
        <v>0</v>
      </c>
      <c r="M275" s="224"/>
      <c r="N275" s="225">
        <f t="shared" si="91"/>
        <v>0</v>
      </c>
      <c r="O275" s="251" t="e">
        <f t="shared" si="92"/>
        <v>#N/A</v>
      </c>
      <c r="P275" s="251">
        <f t="shared" si="102"/>
        <v>0</v>
      </c>
      <c r="Q275" s="251">
        <f t="shared" si="93"/>
        <v>0</v>
      </c>
      <c r="R275" s="251">
        <f t="shared" si="94"/>
        <v>0</v>
      </c>
      <c r="S275" s="251" t="e">
        <f t="shared" si="95"/>
        <v>#VALUE!</v>
      </c>
      <c r="T275" s="251">
        <f t="shared" si="82"/>
        <v>0</v>
      </c>
      <c r="U275" s="252">
        <f>TRUNC(T275*Condições!$C$102,2)</f>
        <v>0</v>
      </c>
      <c r="V275" s="199">
        <f t="shared" si="103"/>
        <v>0</v>
      </c>
      <c r="W275" s="161" t="e">
        <f t="shared" si="109"/>
        <v>#N/A</v>
      </c>
      <c r="X275" s="161" t="e">
        <f t="shared" si="110"/>
        <v>#N/A</v>
      </c>
      <c r="Y275" s="161">
        <f t="shared" si="111"/>
        <v>250</v>
      </c>
      <c r="Z275" s="161">
        <f t="shared" ca="1" si="112"/>
        <v>4</v>
      </c>
      <c r="AG275" s="114">
        <f t="shared" si="106"/>
        <v>0</v>
      </c>
      <c r="AH275" s="113"/>
      <c r="AI275" s="199">
        <f ca="1">IF(AL275=0,0,IF(AL275&gt;Preenchimento!$AA$88*12,0,IF($AC$53=AM275,0,1)))</f>
        <v>0</v>
      </c>
      <c r="AJ275" s="161" t="e">
        <f t="shared" ca="1" si="98"/>
        <v>#N/A</v>
      </c>
      <c r="AK275" s="161" t="e">
        <f t="shared" ca="1" si="99"/>
        <v>#N/A</v>
      </c>
      <c r="AL275" s="161">
        <f ca="1">IF(Y275&gt;(Preenchimento!$AA$90*12),0,Fixa!Y275)</f>
        <v>0</v>
      </c>
      <c r="AM275" s="161">
        <f t="shared" ca="1" si="107"/>
        <v>4</v>
      </c>
      <c r="AN275" s="199">
        <f ca="1">IF(AQ275&gt;Preenchimento!$AA$90*12,0,1)</f>
        <v>0</v>
      </c>
      <c r="AO275" s="161" t="e">
        <f ca="1">1/((1+SAC!$AD$29)^AL275)</f>
        <v>#N/A</v>
      </c>
      <c r="AP275" s="82" t="e">
        <f t="shared" ca="1" si="108"/>
        <v>#N/A</v>
      </c>
      <c r="AQ275" s="82">
        <v>250</v>
      </c>
      <c r="AS275" s="477">
        <f t="shared" ca="1" si="100"/>
        <v>0</v>
      </c>
    </row>
    <row r="276" spans="1:45">
      <c r="A276" s="53">
        <v>251</v>
      </c>
      <c r="B276" s="249">
        <f ca="1">DATE(IF(MONTH(B275)=12,YEAR(B275)+1,YEAR(B275)),IF(MONTH(B275)=12,1,MONTH(B275)+1),MIN(DAY(Condições!$C$109),IF(IF(MONTH(B275)=12,1,MONTH(B275)+1)=2,IF(MOD(IF(MONTH(B275)=12,YEAR(B275)+1,YEAR(B275)),4)=0,29,28),IF(OR(IF(MONTH(B275)=12,1,MONTH(B275)+1)=4,IF(MONTH(B275)=12,1,MONTH(B275)+1)=6,IF(MONTH(B275)=12,1,MONTH(B275)+1)=9,IF(MONTH(B275)=12,1,MONTH(B275)+1)=11),30,DAY($B$25)))))</f>
        <v>53828</v>
      </c>
      <c r="C276" s="250" t="str">
        <f t="shared" si="83"/>
        <v/>
      </c>
      <c r="D276" s="251" t="e">
        <f t="shared" si="84"/>
        <v>#N/A</v>
      </c>
      <c r="E276" s="251">
        <f t="shared" si="85"/>
        <v>0</v>
      </c>
      <c r="F276" s="251">
        <f t="shared" si="86"/>
        <v>0</v>
      </c>
      <c r="G276" s="251">
        <f t="shared" si="87"/>
        <v>0</v>
      </c>
      <c r="H276" s="251" t="e">
        <f t="shared" si="88"/>
        <v>#VALUE!</v>
      </c>
      <c r="I276" s="251">
        <f t="shared" si="89"/>
        <v>0</v>
      </c>
      <c r="J276" s="251">
        <f t="shared" si="101"/>
        <v>0</v>
      </c>
      <c r="K276" s="251">
        <f t="shared" si="90"/>
        <v>0</v>
      </c>
      <c r="M276" s="224"/>
      <c r="N276" s="225">
        <f t="shared" si="91"/>
        <v>0</v>
      </c>
      <c r="O276" s="251" t="e">
        <f t="shared" si="92"/>
        <v>#N/A</v>
      </c>
      <c r="P276" s="251">
        <f t="shared" si="102"/>
        <v>0</v>
      </c>
      <c r="Q276" s="251">
        <f t="shared" si="93"/>
        <v>0</v>
      </c>
      <c r="R276" s="251">
        <f t="shared" si="94"/>
        <v>0</v>
      </c>
      <c r="S276" s="251" t="e">
        <f t="shared" si="95"/>
        <v>#VALUE!</v>
      </c>
      <c r="T276" s="251">
        <f t="shared" si="82"/>
        <v>0</v>
      </c>
      <c r="U276" s="252">
        <f>TRUNC(T276*Condições!$C$102,2)</f>
        <v>0</v>
      </c>
      <c r="V276" s="199">
        <f t="shared" si="103"/>
        <v>0</v>
      </c>
      <c r="W276" s="161" t="e">
        <f t="shared" si="109"/>
        <v>#N/A</v>
      </c>
      <c r="X276" s="161" t="e">
        <f t="shared" si="110"/>
        <v>#N/A</v>
      </c>
      <c r="Y276" s="161">
        <f t="shared" si="111"/>
        <v>251</v>
      </c>
      <c r="Z276" s="161">
        <f t="shared" ca="1" si="112"/>
        <v>5</v>
      </c>
      <c r="AG276" s="114">
        <f t="shared" si="106"/>
        <v>0</v>
      </c>
      <c r="AH276" s="113"/>
      <c r="AI276" s="199">
        <f ca="1">IF(AL276=0,0,IF(AL276&gt;Preenchimento!$AA$88*12,0,IF($AC$53=AM276,0,1)))</f>
        <v>0</v>
      </c>
      <c r="AJ276" s="161" t="e">
        <f t="shared" ca="1" si="98"/>
        <v>#N/A</v>
      </c>
      <c r="AK276" s="161" t="e">
        <f t="shared" ca="1" si="99"/>
        <v>#N/A</v>
      </c>
      <c r="AL276" s="161">
        <f ca="1">IF(Y276&gt;(Preenchimento!$AA$90*12),0,Fixa!Y276)</f>
        <v>0</v>
      </c>
      <c r="AM276" s="161">
        <f t="shared" ca="1" si="107"/>
        <v>5</v>
      </c>
      <c r="AN276" s="199">
        <f ca="1">IF(AQ276&gt;Preenchimento!$AA$90*12,0,1)</f>
        <v>0</v>
      </c>
      <c r="AO276" s="161" t="e">
        <f ca="1">1/((1+SAC!$AD$29)^AL276)</f>
        <v>#N/A</v>
      </c>
      <c r="AP276" s="82" t="e">
        <f t="shared" ca="1" si="108"/>
        <v>#N/A</v>
      </c>
      <c r="AQ276" s="82">
        <v>251</v>
      </c>
      <c r="AS276" s="477">
        <f t="shared" ca="1" si="100"/>
        <v>0</v>
      </c>
    </row>
    <row r="277" spans="1:45">
      <c r="A277" s="53">
        <v>252</v>
      </c>
      <c r="B277" s="249">
        <f ca="1">DATE(IF(MONTH(B276)=12,YEAR(B276)+1,YEAR(B276)),IF(MONTH(B276)=12,1,MONTH(B276)+1),MIN(DAY(Condições!$C$109),IF(IF(MONTH(B276)=12,1,MONTH(B276)+1)=2,IF(MOD(IF(MONTH(B276)=12,YEAR(B276)+1,YEAR(B276)),4)=0,29,28),IF(OR(IF(MONTH(B276)=12,1,MONTH(B276)+1)=4,IF(MONTH(B276)=12,1,MONTH(B276)+1)=6,IF(MONTH(B276)=12,1,MONTH(B276)+1)=9,IF(MONTH(B276)=12,1,MONTH(B276)+1)=11),30,DAY($B$25)))))</f>
        <v>53859</v>
      </c>
      <c r="C277" s="250" t="str">
        <f t="shared" si="83"/>
        <v/>
      </c>
      <c r="D277" s="251" t="e">
        <f t="shared" si="84"/>
        <v>#N/A</v>
      </c>
      <c r="E277" s="251">
        <f t="shared" si="85"/>
        <v>0</v>
      </c>
      <c r="F277" s="251">
        <f t="shared" si="86"/>
        <v>0</v>
      </c>
      <c r="G277" s="251">
        <f t="shared" si="87"/>
        <v>0</v>
      </c>
      <c r="H277" s="251" t="e">
        <f t="shared" si="88"/>
        <v>#VALUE!</v>
      </c>
      <c r="I277" s="251">
        <f t="shared" si="89"/>
        <v>0</v>
      </c>
      <c r="J277" s="251">
        <f t="shared" si="101"/>
        <v>0</v>
      </c>
      <c r="K277" s="251">
        <f t="shared" si="90"/>
        <v>0</v>
      </c>
      <c r="M277" s="224"/>
      <c r="N277" s="225">
        <f t="shared" si="91"/>
        <v>0</v>
      </c>
      <c r="O277" s="251" t="e">
        <f t="shared" si="92"/>
        <v>#N/A</v>
      </c>
      <c r="P277" s="251">
        <f t="shared" si="102"/>
        <v>0</v>
      </c>
      <c r="Q277" s="251">
        <f t="shared" si="93"/>
        <v>0</v>
      </c>
      <c r="R277" s="251">
        <f t="shared" si="94"/>
        <v>0</v>
      </c>
      <c r="S277" s="251" t="e">
        <f t="shared" si="95"/>
        <v>#VALUE!</v>
      </c>
      <c r="T277" s="251">
        <f t="shared" si="82"/>
        <v>0</v>
      </c>
      <c r="U277" s="252">
        <f>TRUNC(T277*Condições!$C$102,2)</f>
        <v>0</v>
      </c>
      <c r="V277" s="199">
        <f t="shared" si="103"/>
        <v>0</v>
      </c>
      <c r="W277" s="161" t="e">
        <f t="shared" si="109"/>
        <v>#N/A</v>
      </c>
      <c r="X277" s="161" t="e">
        <f t="shared" si="110"/>
        <v>#N/A</v>
      </c>
      <c r="Y277" s="161">
        <f t="shared" si="111"/>
        <v>252</v>
      </c>
      <c r="Z277" s="161">
        <f t="shared" ca="1" si="112"/>
        <v>6</v>
      </c>
      <c r="AG277" s="114">
        <f t="shared" si="106"/>
        <v>0</v>
      </c>
      <c r="AH277" s="113"/>
      <c r="AI277" s="199">
        <f ca="1">IF(AL277=0,0,IF(AL277&gt;Preenchimento!$AA$88*12,0,IF($AC$53=AM277,0,1)))</f>
        <v>0</v>
      </c>
      <c r="AJ277" s="161" t="e">
        <f t="shared" ca="1" si="98"/>
        <v>#N/A</v>
      </c>
      <c r="AK277" s="161" t="e">
        <f t="shared" ca="1" si="99"/>
        <v>#N/A</v>
      </c>
      <c r="AL277" s="161">
        <f ca="1">IF(Y277&gt;(Preenchimento!$AA$90*12),0,Fixa!Y277)</f>
        <v>0</v>
      </c>
      <c r="AM277" s="161">
        <f t="shared" ca="1" si="107"/>
        <v>6</v>
      </c>
      <c r="AN277" s="199">
        <f ca="1">IF(AQ277&gt;Preenchimento!$AA$90*12,0,1)</f>
        <v>0</v>
      </c>
      <c r="AO277" s="161" t="e">
        <f ca="1">1/((1+SAC!$AD$29)^AL277)</f>
        <v>#N/A</v>
      </c>
      <c r="AP277" s="82" t="e">
        <f t="shared" ca="1" si="108"/>
        <v>#N/A</v>
      </c>
      <c r="AQ277" s="82">
        <v>252</v>
      </c>
      <c r="AS277" s="477">
        <f t="shared" ca="1" si="100"/>
        <v>0</v>
      </c>
    </row>
    <row r="278" spans="1:45">
      <c r="A278" s="53">
        <v>253</v>
      </c>
      <c r="B278" s="249">
        <f ca="1">DATE(IF(MONTH(B277)=12,YEAR(B277)+1,YEAR(B277)),IF(MONTH(B277)=12,1,MONTH(B277)+1),MIN(DAY(Condições!$C$109),IF(IF(MONTH(B277)=12,1,MONTH(B277)+1)=2,IF(MOD(IF(MONTH(B277)=12,YEAR(B277)+1,YEAR(B277)),4)=0,29,28),IF(OR(IF(MONTH(B277)=12,1,MONTH(B277)+1)=4,IF(MONTH(B277)=12,1,MONTH(B277)+1)=6,IF(MONTH(B277)=12,1,MONTH(B277)+1)=9,IF(MONTH(B277)=12,1,MONTH(B277)+1)=11),30,DAY($B$25)))))</f>
        <v>53889</v>
      </c>
      <c r="C278" s="250" t="str">
        <f t="shared" si="83"/>
        <v/>
      </c>
      <c r="D278" s="251" t="e">
        <f t="shared" si="84"/>
        <v>#N/A</v>
      </c>
      <c r="E278" s="251">
        <f t="shared" si="85"/>
        <v>0</v>
      </c>
      <c r="F278" s="251">
        <f t="shared" si="86"/>
        <v>0</v>
      </c>
      <c r="G278" s="251">
        <f t="shared" si="87"/>
        <v>0</v>
      </c>
      <c r="H278" s="251" t="e">
        <f t="shared" si="88"/>
        <v>#VALUE!</v>
      </c>
      <c r="I278" s="251">
        <f t="shared" si="89"/>
        <v>0</v>
      </c>
      <c r="J278" s="251">
        <f t="shared" si="101"/>
        <v>0</v>
      </c>
      <c r="K278" s="251">
        <f t="shared" si="90"/>
        <v>0</v>
      </c>
      <c r="M278" s="224"/>
      <c r="N278" s="225">
        <f t="shared" si="91"/>
        <v>0</v>
      </c>
      <c r="O278" s="251" t="e">
        <f t="shared" si="92"/>
        <v>#N/A</v>
      </c>
      <c r="P278" s="251">
        <f t="shared" si="102"/>
        <v>0</v>
      </c>
      <c r="Q278" s="251">
        <f t="shared" si="93"/>
        <v>0</v>
      </c>
      <c r="R278" s="251">
        <f t="shared" si="94"/>
        <v>0</v>
      </c>
      <c r="S278" s="251" t="e">
        <f t="shared" si="95"/>
        <v>#VALUE!</v>
      </c>
      <c r="T278" s="251">
        <f t="shared" si="82"/>
        <v>0</v>
      </c>
      <c r="U278" s="252">
        <f>TRUNC(T278*Condições!$C$102,2)</f>
        <v>0</v>
      </c>
      <c r="V278" s="199">
        <f t="shared" si="103"/>
        <v>0</v>
      </c>
      <c r="W278" s="161" t="e">
        <f t="shared" si="109"/>
        <v>#N/A</v>
      </c>
      <c r="X278" s="161" t="e">
        <f t="shared" si="110"/>
        <v>#N/A</v>
      </c>
      <c r="Y278" s="161">
        <f t="shared" si="111"/>
        <v>253</v>
      </c>
      <c r="Z278" s="161">
        <f t="shared" ca="1" si="112"/>
        <v>7</v>
      </c>
      <c r="AG278" s="114">
        <f t="shared" si="106"/>
        <v>0</v>
      </c>
      <c r="AH278" s="113"/>
      <c r="AI278" s="199">
        <f ca="1">IF(AL278=0,0,IF(AL278&gt;Preenchimento!$AA$88*12,0,IF($AC$53=AM278,0,1)))</f>
        <v>0</v>
      </c>
      <c r="AJ278" s="161" t="e">
        <f t="shared" ca="1" si="98"/>
        <v>#N/A</v>
      </c>
      <c r="AK278" s="161" t="e">
        <f t="shared" ca="1" si="99"/>
        <v>#N/A</v>
      </c>
      <c r="AL278" s="161">
        <f ca="1">IF(Y278&gt;(Preenchimento!$AA$90*12),0,Fixa!Y278)</f>
        <v>0</v>
      </c>
      <c r="AM278" s="161">
        <f t="shared" ca="1" si="107"/>
        <v>7</v>
      </c>
      <c r="AN278" s="199">
        <f ca="1">IF(AQ278&gt;Preenchimento!$AA$90*12,0,1)</f>
        <v>0</v>
      </c>
      <c r="AO278" s="161" t="e">
        <f ca="1">1/((1+SAC!$AD$29)^AL278)</f>
        <v>#N/A</v>
      </c>
      <c r="AP278" s="82" t="e">
        <f t="shared" ca="1" si="108"/>
        <v>#N/A</v>
      </c>
      <c r="AQ278" s="82">
        <v>253</v>
      </c>
      <c r="AS278" s="477">
        <f t="shared" ca="1" si="100"/>
        <v>0</v>
      </c>
    </row>
    <row r="279" spans="1:45">
      <c r="A279" s="53">
        <v>254</v>
      </c>
      <c r="B279" s="249">
        <f ca="1">DATE(IF(MONTH(B278)=12,YEAR(B278)+1,YEAR(B278)),IF(MONTH(B278)=12,1,MONTH(B278)+1),MIN(DAY(Condições!$C$109),IF(IF(MONTH(B278)=12,1,MONTH(B278)+1)=2,IF(MOD(IF(MONTH(B278)=12,YEAR(B278)+1,YEAR(B278)),4)=0,29,28),IF(OR(IF(MONTH(B278)=12,1,MONTH(B278)+1)=4,IF(MONTH(B278)=12,1,MONTH(B278)+1)=6,IF(MONTH(B278)=12,1,MONTH(B278)+1)=9,IF(MONTH(B278)=12,1,MONTH(B278)+1)=11),30,DAY($B$25)))))</f>
        <v>53920</v>
      </c>
      <c r="C279" s="250" t="str">
        <f t="shared" si="83"/>
        <v/>
      </c>
      <c r="D279" s="251" t="e">
        <f t="shared" si="84"/>
        <v>#N/A</v>
      </c>
      <c r="E279" s="251">
        <f t="shared" si="85"/>
        <v>0</v>
      </c>
      <c r="F279" s="251">
        <f t="shared" si="86"/>
        <v>0</v>
      </c>
      <c r="G279" s="251">
        <f t="shared" si="87"/>
        <v>0</v>
      </c>
      <c r="H279" s="251" t="e">
        <f t="shared" si="88"/>
        <v>#VALUE!</v>
      </c>
      <c r="I279" s="251">
        <f t="shared" si="89"/>
        <v>0</v>
      </c>
      <c r="J279" s="251">
        <f t="shared" si="101"/>
        <v>0</v>
      </c>
      <c r="K279" s="251">
        <f t="shared" si="90"/>
        <v>0</v>
      </c>
      <c r="M279" s="224"/>
      <c r="N279" s="225">
        <f t="shared" si="91"/>
        <v>0</v>
      </c>
      <c r="O279" s="251" t="e">
        <f t="shared" si="92"/>
        <v>#N/A</v>
      </c>
      <c r="P279" s="251">
        <f t="shared" si="102"/>
        <v>0</v>
      </c>
      <c r="Q279" s="251">
        <f t="shared" si="93"/>
        <v>0</v>
      </c>
      <c r="R279" s="251">
        <f t="shared" si="94"/>
        <v>0</v>
      </c>
      <c r="S279" s="251" t="e">
        <f t="shared" si="95"/>
        <v>#VALUE!</v>
      </c>
      <c r="T279" s="251">
        <f t="shared" si="82"/>
        <v>0</v>
      </c>
      <c r="U279" s="252">
        <f>TRUNC(T279*Condições!$C$102,2)</f>
        <v>0</v>
      </c>
      <c r="V279" s="199">
        <f t="shared" si="103"/>
        <v>0</v>
      </c>
      <c r="W279" s="161" t="e">
        <f t="shared" si="109"/>
        <v>#N/A</v>
      </c>
      <c r="X279" s="161" t="e">
        <f t="shared" si="110"/>
        <v>#N/A</v>
      </c>
      <c r="Y279" s="161">
        <f t="shared" si="111"/>
        <v>254</v>
      </c>
      <c r="Z279" s="161">
        <f t="shared" ca="1" si="112"/>
        <v>8</v>
      </c>
      <c r="AG279" s="114">
        <f t="shared" si="106"/>
        <v>0</v>
      </c>
      <c r="AH279" s="113"/>
      <c r="AI279" s="199">
        <f ca="1">IF(AL279=0,0,IF(AL279&gt;Preenchimento!$AA$88*12,0,IF($AC$53=AM279,0,1)))</f>
        <v>0</v>
      </c>
      <c r="AJ279" s="161" t="e">
        <f t="shared" ca="1" si="98"/>
        <v>#N/A</v>
      </c>
      <c r="AK279" s="161" t="e">
        <f t="shared" ca="1" si="99"/>
        <v>#N/A</v>
      </c>
      <c r="AL279" s="161">
        <f ca="1">IF(Y279&gt;(Preenchimento!$AA$90*12),0,Fixa!Y279)</f>
        <v>0</v>
      </c>
      <c r="AM279" s="161">
        <f t="shared" ca="1" si="107"/>
        <v>8</v>
      </c>
      <c r="AN279" s="199">
        <f ca="1">IF(AQ279&gt;Preenchimento!$AA$90*12,0,1)</f>
        <v>0</v>
      </c>
      <c r="AO279" s="161" t="e">
        <f ca="1">1/((1+SAC!$AD$29)^AL279)</f>
        <v>#N/A</v>
      </c>
      <c r="AP279" s="82" t="e">
        <f t="shared" ca="1" si="108"/>
        <v>#N/A</v>
      </c>
      <c r="AQ279" s="82">
        <v>254</v>
      </c>
      <c r="AS279" s="477">
        <f t="shared" ca="1" si="100"/>
        <v>0</v>
      </c>
    </row>
    <row r="280" spans="1:45">
      <c r="A280" s="53">
        <v>255</v>
      </c>
      <c r="B280" s="249">
        <f ca="1">DATE(IF(MONTH(B279)=12,YEAR(B279)+1,YEAR(B279)),IF(MONTH(B279)=12,1,MONTH(B279)+1),MIN(DAY(Condições!$C$109),IF(IF(MONTH(B279)=12,1,MONTH(B279)+1)=2,IF(MOD(IF(MONTH(B279)=12,YEAR(B279)+1,YEAR(B279)),4)=0,29,28),IF(OR(IF(MONTH(B279)=12,1,MONTH(B279)+1)=4,IF(MONTH(B279)=12,1,MONTH(B279)+1)=6,IF(MONTH(B279)=12,1,MONTH(B279)+1)=9,IF(MONTH(B279)=12,1,MONTH(B279)+1)=11),30,DAY($B$25)))))</f>
        <v>53951</v>
      </c>
      <c r="C280" s="250" t="str">
        <f t="shared" si="83"/>
        <v/>
      </c>
      <c r="D280" s="251" t="e">
        <f t="shared" si="84"/>
        <v>#N/A</v>
      </c>
      <c r="E280" s="251">
        <f t="shared" si="85"/>
        <v>0</v>
      </c>
      <c r="F280" s="251">
        <f t="shared" si="86"/>
        <v>0</v>
      </c>
      <c r="G280" s="251">
        <f t="shared" si="87"/>
        <v>0</v>
      </c>
      <c r="H280" s="251" t="e">
        <f t="shared" si="88"/>
        <v>#VALUE!</v>
      </c>
      <c r="I280" s="251">
        <f t="shared" si="89"/>
        <v>0</v>
      </c>
      <c r="J280" s="251">
        <f t="shared" si="101"/>
        <v>0</v>
      </c>
      <c r="K280" s="251">
        <f t="shared" si="90"/>
        <v>0</v>
      </c>
      <c r="M280" s="224"/>
      <c r="N280" s="225">
        <f t="shared" si="91"/>
        <v>0</v>
      </c>
      <c r="O280" s="251" t="e">
        <f t="shared" si="92"/>
        <v>#N/A</v>
      </c>
      <c r="P280" s="251">
        <f t="shared" si="102"/>
        <v>0</v>
      </c>
      <c r="Q280" s="251">
        <f t="shared" si="93"/>
        <v>0</v>
      </c>
      <c r="R280" s="251">
        <f t="shared" si="94"/>
        <v>0</v>
      </c>
      <c r="S280" s="251" t="e">
        <f t="shared" si="95"/>
        <v>#VALUE!</v>
      </c>
      <c r="T280" s="251">
        <f t="shared" si="82"/>
        <v>0</v>
      </c>
      <c r="U280" s="252">
        <f>TRUNC(T280*Condições!$C$102,2)</f>
        <v>0</v>
      </c>
      <c r="V280" s="199">
        <f t="shared" si="103"/>
        <v>0</v>
      </c>
      <c r="W280" s="161" t="e">
        <f t="shared" si="109"/>
        <v>#N/A</v>
      </c>
      <c r="X280" s="161" t="e">
        <f t="shared" si="110"/>
        <v>#N/A</v>
      </c>
      <c r="Y280" s="161">
        <f t="shared" si="111"/>
        <v>255</v>
      </c>
      <c r="Z280" s="161">
        <f t="shared" ca="1" si="112"/>
        <v>9</v>
      </c>
      <c r="AG280" s="114">
        <f t="shared" si="106"/>
        <v>0</v>
      </c>
      <c r="AH280" s="113"/>
      <c r="AI280" s="199">
        <f ca="1">IF(AL280=0,0,IF(AL280&gt;Preenchimento!$AA$88*12,0,IF($AC$53=AM280,0,1)))</f>
        <v>0</v>
      </c>
      <c r="AJ280" s="161" t="e">
        <f t="shared" ca="1" si="98"/>
        <v>#N/A</v>
      </c>
      <c r="AK280" s="161" t="e">
        <f t="shared" ca="1" si="99"/>
        <v>#N/A</v>
      </c>
      <c r="AL280" s="161">
        <f ca="1">IF(Y280&gt;(Preenchimento!$AA$90*12),0,Fixa!Y280)</f>
        <v>0</v>
      </c>
      <c r="AM280" s="161">
        <f t="shared" ca="1" si="107"/>
        <v>9</v>
      </c>
      <c r="AN280" s="199">
        <f ca="1">IF(AQ280&gt;Preenchimento!$AA$90*12,0,1)</f>
        <v>0</v>
      </c>
      <c r="AO280" s="161" t="e">
        <f ca="1">1/((1+SAC!$AD$29)^AL280)</f>
        <v>#N/A</v>
      </c>
      <c r="AP280" s="82" t="e">
        <f t="shared" ca="1" si="108"/>
        <v>#N/A</v>
      </c>
      <c r="AQ280" s="82">
        <v>255</v>
      </c>
      <c r="AS280" s="477">
        <f t="shared" ca="1" si="100"/>
        <v>0</v>
      </c>
    </row>
    <row r="281" spans="1:45">
      <c r="A281" s="53">
        <v>256</v>
      </c>
      <c r="B281" s="249">
        <f ca="1">DATE(IF(MONTH(B280)=12,YEAR(B280)+1,YEAR(B280)),IF(MONTH(B280)=12,1,MONTH(B280)+1),MIN(DAY(Condições!$C$109),IF(IF(MONTH(B280)=12,1,MONTH(B280)+1)=2,IF(MOD(IF(MONTH(B280)=12,YEAR(B280)+1,YEAR(B280)),4)=0,29,28),IF(OR(IF(MONTH(B280)=12,1,MONTH(B280)+1)=4,IF(MONTH(B280)=12,1,MONTH(B280)+1)=6,IF(MONTH(B280)=12,1,MONTH(B280)+1)=9,IF(MONTH(B280)=12,1,MONTH(B280)+1)=11),30,DAY($B$25)))))</f>
        <v>53981</v>
      </c>
      <c r="C281" s="250" t="str">
        <f t="shared" si="83"/>
        <v/>
      </c>
      <c r="D281" s="251" t="e">
        <f t="shared" si="84"/>
        <v>#N/A</v>
      </c>
      <c r="E281" s="251">
        <f t="shared" si="85"/>
        <v>0</v>
      </c>
      <c r="F281" s="251">
        <f t="shared" si="86"/>
        <v>0</v>
      </c>
      <c r="G281" s="251">
        <f t="shared" si="87"/>
        <v>0</v>
      </c>
      <c r="H281" s="251" t="e">
        <f t="shared" si="88"/>
        <v>#VALUE!</v>
      </c>
      <c r="I281" s="251">
        <f t="shared" si="89"/>
        <v>0</v>
      </c>
      <c r="J281" s="251">
        <f t="shared" si="101"/>
        <v>0</v>
      </c>
      <c r="K281" s="251">
        <f t="shared" si="90"/>
        <v>0</v>
      </c>
      <c r="M281" s="224"/>
      <c r="N281" s="225">
        <f t="shared" si="91"/>
        <v>0</v>
      </c>
      <c r="O281" s="251" t="e">
        <f t="shared" si="92"/>
        <v>#N/A</v>
      </c>
      <c r="P281" s="251">
        <f t="shared" si="102"/>
        <v>0</v>
      </c>
      <c r="Q281" s="251">
        <f t="shared" si="93"/>
        <v>0</v>
      </c>
      <c r="R281" s="251">
        <f t="shared" si="94"/>
        <v>0</v>
      </c>
      <c r="S281" s="251" t="e">
        <f t="shared" si="95"/>
        <v>#VALUE!</v>
      </c>
      <c r="T281" s="251">
        <f t="shared" ref="T281:T344" si="113">IF(C281&gt;=$AC$46,0,ROUND(IF(Y281&gt;$AC$46,"",$AC$51*$AC$44),$P$18))</f>
        <v>0</v>
      </c>
      <c r="U281" s="252">
        <f>TRUNC(T281*Condições!$C$102,2)</f>
        <v>0</v>
      </c>
      <c r="V281" s="199">
        <f t="shared" si="103"/>
        <v>0</v>
      </c>
      <c r="W281" s="161" t="e">
        <f t="shared" si="109"/>
        <v>#N/A</v>
      </c>
      <c r="X281" s="161" t="e">
        <f t="shared" si="110"/>
        <v>#N/A</v>
      </c>
      <c r="Y281" s="161">
        <f t="shared" si="111"/>
        <v>256</v>
      </c>
      <c r="Z281" s="161">
        <f t="shared" ca="1" si="112"/>
        <v>10</v>
      </c>
      <c r="AG281" s="114">
        <f t="shared" si="106"/>
        <v>0</v>
      </c>
      <c r="AH281" s="113"/>
      <c r="AI281" s="199">
        <f ca="1">IF(AL281=0,0,IF(AL281&gt;Preenchimento!$AA$88*12,0,IF($AC$53=AM281,0,1)))</f>
        <v>0</v>
      </c>
      <c r="AJ281" s="161" t="e">
        <f t="shared" ca="1" si="98"/>
        <v>#N/A</v>
      </c>
      <c r="AK281" s="161" t="e">
        <f t="shared" ca="1" si="99"/>
        <v>#N/A</v>
      </c>
      <c r="AL281" s="161">
        <f ca="1">IF(Y281&gt;(Preenchimento!$AA$90*12),0,Fixa!Y281)</f>
        <v>0</v>
      </c>
      <c r="AM281" s="161">
        <f t="shared" ca="1" si="107"/>
        <v>10</v>
      </c>
      <c r="AN281" s="199">
        <f ca="1">IF(AQ281&gt;Preenchimento!$AA$90*12,0,1)</f>
        <v>0</v>
      </c>
      <c r="AO281" s="161" t="e">
        <f ca="1">1/((1+SAC!$AD$29)^AL281)</f>
        <v>#N/A</v>
      </c>
      <c r="AP281" s="82" t="e">
        <f t="shared" ca="1" si="108"/>
        <v>#N/A</v>
      </c>
      <c r="AQ281" s="82">
        <v>256</v>
      </c>
      <c r="AS281" s="477">
        <f t="shared" ca="1" si="100"/>
        <v>0</v>
      </c>
    </row>
    <row r="282" spans="1:45">
      <c r="A282" s="53">
        <v>257</v>
      </c>
      <c r="B282" s="249">
        <f ca="1">DATE(IF(MONTH(B281)=12,YEAR(B281)+1,YEAR(B281)),IF(MONTH(B281)=12,1,MONTH(B281)+1),MIN(DAY(Condições!$C$109),IF(IF(MONTH(B281)=12,1,MONTH(B281)+1)=2,IF(MOD(IF(MONTH(B281)=12,YEAR(B281)+1,YEAR(B281)),4)=0,29,28),IF(OR(IF(MONTH(B281)=12,1,MONTH(B281)+1)=4,IF(MONTH(B281)=12,1,MONTH(B281)+1)=6,IF(MONTH(B281)=12,1,MONTH(B281)+1)=9,IF(MONTH(B281)=12,1,MONTH(B281)+1)=11),30,DAY($B$25)))))</f>
        <v>54012</v>
      </c>
      <c r="C282" s="250" t="str">
        <f t="shared" ref="C282:C345" si="114">IF(Y282&gt;$AC$46,"",Y282)</f>
        <v/>
      </c>
      <c r="D282" s="251" t="e">
        <f t="shared" ref="D282:D345" si="115">ROUND(O282,2)</f>
        <v>#N/A</v>
      </c>
      <c r="E282" s="251">
        <f t="shared" ref="E282:E345" si="116">ROUND(P282,2)</f>
        <v>0</v>
      </c>
      <c r="F282" s="251">
        <f t="shared" ref="F282:F345" si="117">ROUND(Q282,2)</f>
        <v>0</v>
      </c>
      <c r="G282" s="251">
        <f t="shared" ref="G282:G345" si="118">F282+E282</f>
        <v>0</v>
      </c>
      <c r="H282" s="251" t="e">
        <f t="shared" ref="H282:H345" si="119">ROUND(S282,2)</f>
        <v>#VALUE!</v>
      </c>
      <c r="I282" s="251">
        <f t="shared" ref="I282:I345" si="120">ROUND(T282+U282,2)</f>
        <v>0</v>
      </c>
      <c r="J282" s="251">
        <f t="shared" si="101"/>
        <v>0</v>
      </c>
      <c r="K282" s="251">
        <f t="shared" ref="K282:K345" si="121">IF(C282&gt;$AC$46,0,SUM(G282:J282))</f>
        <v>0</v>
      </c>
      <c r="M282" s="224"/>
      <c r="N282" s="225">
        <f t="shared" ref="N282:N345" si="122">IF(C282&gt;$AC$46,0,(H282+I282)/(1.008^((12*(B282-$B$25))/365)))</f>
        <v>0</v>
      </c>
      <c r="O282" s="251" t="e">
        <f t="shared" ref="O282:O345" si="123">ROUND(O281*(1+$AC$47)-R282,$P$18)</f>
        <v>#N/A</v>
      </c>
      <c r="P282" s="251">
        <f t="shared" si="102"/>
        <v>0</v>
      </c>
      <c r="Q282" s="251">
        <f t="shared" ref="Q282:Q345" si="124">ROUND(IF(V282=0,0,O281*$AC$47),$P$18)</f>
        <v>0</v>
      </c>
      <c r="R282" s="251">
        <f t="shared" ref="R282:R345" si="125">ROUND(IF(V282=0,0,$O$25/$X$18),$P$18)</f>
        <v>0</v>
      </c>
      <c r="S282" s="251" t="e">
        <f t="shared" ref="S282:S345" si="126">ROUND(IF(Y282&gt;$AC$46,"",$AC$52*O282),$P$18)</f>
        <v>#VALUE!</v>
      </c>
      <c r="T282" s="251">
        <f t="shared" si="113"/>
        <v>0</v>
      </c>
      <c r="U282" s="252">
        <f>TRUNC(T282*Condições!$C$102,2)</f>
        <v>0</v>
      </c>
      <c r="V282" s="199">
        <f t="shared" si="103"/>
        <v>0</v>
      </c>
      <c r="W282" s="161" t="e">
        <f t="shared" si="109"/>
        <v>#N/A</v>
      </c>
      <c r="X282" s="161" t="e">
        <f t="shared" si="110"/>
        <v>#N/A</v>
      </c>
      <c r="Y282" s="161">
        <f t="shared" si="111"/>
        <v>257</v>
      </c>
      <c r="Z282" s="161">
        <f t="shared" ca="1" si="112"/>
        <v>11</v>
      </c>
      <c r="AG282" s="114">
        <f t="shared" si="106"/>
        <v>0</v>
      </c>
      <c r="AH282" s="113"/>
      <c r="AI282" s="199">
        <f ca="1">IF(AL282=0,0,IF(AL282&gt;Preenchimento!$AA$88*12,0,IF($AC$53=AM282,0,1)))</f>
        <v>0</v>
      </c>
      <c r="AJ282" s="161" t="e">
        <f t="shared" ref="AJ282:AJ345" ca="1" si="127">1/(1+$AC$47)^AL282</f>
        <v>#N/A</v>
      </c>
      <c r="AK282" s="161" t="e">
        <f t="shared" ref="AK282:AK345" ca="1" si="128">AJ282*AI282</f>
        <v>#N/A</v>
      </c>
      <c r="AL282" s="161">
        <f ca="1">IF(Y282&gt;(Preenchimento!$AA$90*12),0,Fixa!Y282)</f>
        <v>0</v>
      </c>
      <c r="AM282" s="161">
        <f t="shared" ca="1" si="107"/>
        <v>11</v>
      </c>
      <c r="AN282" s="199">
        <f ca="1">IF(AQ282&gt;Preenchimento!$AA$90*12,0,1)</f>
        <v>0</v>
      </c>
      <c r="AO282" s="161" t="e">
        <f ca="1">1/((1+SAC!$AD$29)^AL282)</f>
        <v>#N/A</v>
      </c>
      <c r="AP282" s="82" t="e">
        <f t="shared" ca="1" si="108"/>
        <v>#N/A</v>
      </c>
      <c r="AQ282" s="82">
        <v>257</v>
      </c>
      <c r="AS282" s="477">
        <f t="shared" ref="AS282:AS345" ca="1" si="129">IFERROR(IF(Z281&gt;$AC$46,0,R282),0)</f>
        <v>0</v>
      </c>
    </row>
    <row r="283" spans="1:45">
      <c r="A283" s="53">
        <v>258</v>
      </c>
      <c r="B283" s="249">
        <f ca="1">DATE(IF(MONTH(B282)=12,YEAR(B282)+1,YEAR(B282)),IF(MONTH(B282)=12,1,MONTH(B282)+1),MIN(DAY(Condições!$C$109),IF(IF(MONTH(B282)=12,1,MONTH(B282)+1)=2,IF(MOD(IF(MONTH(B282)=12,YEAR(B282)+1,YEAR(B282)),4)=0,29,28),IF(OR(IF(MONTH(B282)=12,1,MONTH(B282)+1)=4,IF(MONTH(B282)=12,1,MONTH(B282)+1)=6,IF(MONTH(B282)=12,1,MONTH(B282)+1)=9,IF(MONTH(B282)=12,1,MONTH(B282)+1)=11),30,DAY($B$25)))))</f>
        <v>54042</v>
      </c>
      <c r="C283" s="250" t="str">
        <f t="shared" si="114"/>
        <v/>
      </c>
      <c r="D283" s="251" t="e">
        <f t="shared" si="115"/>
        <v>#N/A</v>
      </c>
      <c r="E283" s="251">
        <f t="shared" si="116"/>
        <v>0</v>
      </c>
      <c r="F283" s="251">
        <f t="shared" si="117"/>
        <v>0</v>
      </c>
      <c r="G283" s="251">
        <f t="shared" si="118"/>
        <v>0</v>
      </c>
      <c r="H283" s="251" t="e">
        <f t="shared" si="119"/>
        <v>#VALUE!</v>
      </c>
      <c r="I283" s="251">
        <f t="shared" si="120"/>
        <v>0</v>
      </c>
      <c r="J283" s="251">
        <f t="shared" ref="J283:J346" si="130">IF(V283=0,0,$AC$49)</f>
        <v>0</v>
      </c>
      <c r="K283" s="251">
        <f t="shared" si="121"/>
        <v>0</v>
      </c>
      <c r="M283" s="224"/>
      <c r="N283" s="225">
        <f t="shared" si="122"/>
        <v>0</v>
      </c>
      <c r="O283" s="251" t="e">
        <f t="shared" si="123"/>
        <v>#N/A</v>
      </c>
      <c r="P283" s="251">
        <f t="shared" ref="P283:P346" si="131">ROUND(IF(V283=0,0,R283-Q283),$P$18)</f>
        <v>0</v>
      </c>
      <c r="Q283" s="251">
        <f t="shared" si="124"/>
        <v>0</v>
      </c>
      <c r="R283" s="251">
        <f t="shared" si="125"/>
        <v>0</v>
      </c>
      <c r="S283" s="251" t="e">
        <f t="shared" si="126"/>
        <v>#VALUE!</v>
      </c>
      <c r="T283" s="251">
        <f t="shared" si="113"/>
        <v>0</v>
      </c>
      <c r="U283" s="252">
        <f>TRUNC(T283*Condições!$C$102,2)</f>
        <v>0</v>
      </c>
      <c r="V283" s="199">
        <f t="shared" ref="V283:V346" si="132">IF(Y283&gt;$AC$46,0,IF($AC$53=Z283,0,1))</f>
        <v>0</v>
      </c>
      <c r="W283" s="161" t="e">
        <f t="shared" si="109"/>
        <v>#N/A</v>
      </c>
      <c r="X283" s="161" t="e">
        <f t="shared" si="110"/>
        <v>#N/A</v>
      </c>
      <c r="Y283" s="161">
        <f t="shared" si="111"/>
        <v>258</v>
      </c>
      <c r="Z283" s="161">
        <f t="shared" ca="1" si="112"/>
        <v>12</v>
      </c>
      <c r="AG283" s="114">
        <f t="shared" ref="AG283:AG346" si="133">IF(C283&gt;$AC$46,0,R283+S283+T283+U283+J283)</f>
        <v>0</v>
      </c>
      <c r="AH283" s="113"/>
      <c r="AI283" s="199">
        <f ca="1">IF(AL283=0,0,IF(AL283&gt;Preenchimento!$AA$88*12,0,IF($AC$53=AM283,0,1)))</f>
        <v>0</v>
      </c>
      <c r="AJ283" s="161" t="e">
        <f t="shared" ca="1" si="127"/>
        <v>#N/A</v>
      </c>
      <c r="AK283" s="161" t="e">
        <f t="shared" ca="1" si="128"/>
        <v>#N/A</v>
      </c>
      <c r="AL283" s="161">
        <f ca="1">IF(Y283&gt;(Preenchimento!$AA$90*12),0,Fixa!Y283)</f>
        <v>0</v>
      </c>
      <c r="AM283" s="161">
        <f t="shared" ref="AM283:AM346" ca="1" si="134">IF(AM282=12,1,AM282+1)</f>
        <v>12</v>
      </c>
      <c r="AN283" s="199">
        <f ca="1">IF(AQ283&gt;Preenchimento!$AA$90*12,0,1)</f>
        <v>0</v>
      </c>
      <c r="AO283" s="161" t="e">
        <f ca="1">1/((1+SAC!$AD$29)^AL283)</f>
        <v>#N/A</v>
      </c>
      <c r="AP283" s="82" t="e">
        <f t="shared" ref="AP283:AP346" ca="1" si="135">AO283*AN283</f>
        <v>#N/A</v>
      </c>
      <c r="AQ283" s="82">
        <v>258</v>
      </c>
      <c r="AS283" s="477">
        <f t="shared" ca="1" si="129"/>
        <v>0</v>
      </c>
    </row>
    <row r="284" spans="1:45">
      <c r="A284" s="53">
        <v>259</v>
      </c>
      <c r="B284" s="249">
        <f ca="1">DATE(IF(MONTH(B283)=12,YEAR(B283)+1,YEAR(B283)),IF(MONTH(B283)=12,1,MONTH(B283)+1),MIN(DAY(Condições!$C$109),IF(IF(MONTH(B283)=12,1,MONTH(B283)+1)=2,IF(MOD(IF(MONTH(B283)=12,YEAR(B283)+1,YEAR(B283)),4)=0,29,28),IF(OR(IF(MONTH(B283)=12,1,MONTH(B283)+1)=4,IF(MONTH(B283)=12,1,MONTH(B283)+1)=6,IF(MONTH(B283)=12,1,MONTH(B283)+1)=9,IF(MONTH(B283)=12,1,MONTH(B283)+1)=11),30,DAY($B$25)))))</f>
        <v>54073</v>
      </c>
      <c r="C284" s="250" t="str">
        <f t="shared" si="114"/>
        <v/>
      </c>
      <c r="D284" s="251" t="e">
        <f t="shared" si="115"/>
        <v>#N/A</v>
      </c>
      <c r="E284" s="251">
        <f t="shared" si="116"/>
        <v>0</v>
      </c>
      <c r="F284" s="251">
        <f t="shared" si="117"/>
        <v>0</v>
      </c>
      <c r="G284" s="251">
        <f t="shared" si="118"/>
        <v>0</v>
      </c>
      <c r="H284" s="251" t="e">
        <f t="shared" si="119"/>
        <v>#VALUE!</v>
      </c>
      <c r="I284" s="251">
        <f t="shared" si="120"/>
        <v>0</v>
      </c>
      <c r="J284" s="251">
        <f t="shared" si="130"/>
        <v>0</v>
      </c>
      <c r="K284" s="251">
        <f t="shared" si="121"/>
        <v>0</v>
      </c>
      <c r="M284" s="224"/>
      <c r="N284" s="225">
        <f t="shared" si="122"/>
        <v>0</v>
      </c>
      <c r="O284" s="251" t="e">
        <f t="shared" si="123"/>
        <v>#N/A</v>
      </c>
      <c r="P284" s="251">
        <f t="shared" si="131"/>
        <v>0</v>
      </c>
      <c r="Q284" s="251">
        <f t="shared" si="124"/>
        <v>0</v>
      </c>
      <c r="R284" s="251">
        <f t="shared" si="125"/>
        <v>0</v>
      </c>
      <c r="S284" s="251" t="e">
        <f t="shared" si="126"/>
        <v>#VALUE!</v>
      </c>
      <c r="T284" s="251">
        <f t="shared" si="113"/>
        <v>0</v>
      </c>
      <c r="U284" s="252">
        <f>TRUNC(T284*Condições!$C$102,2)</f>
        <v>0</v>
      </c>
      <c r="V284" s="199">
        <f t="shared" si="132"/>
        <v>0</v>
      </c>
      <c r="W284" s="161" t="e">
        <f t="shared" si="109"/>
        <v>#N/A</v>
      </c>
      <c r="X284" s="161" t="e">
        <f t="shared" si="110"/>
        <v>#N/A</v>
      </c>
      <c r="Y284" s="161">
        <f t="shared" si="111"/>
        <v>259</v>
      </c>
      <c r="Z284" s="161">
        <f t="shared" ca="1" si="112"/>
        <v>1</v>
      </c>
      <c r="AG284" s="114">
        <f t="shared" si="133"/>
        <v>0</v>
      </c>
      <c r="AH284" s="113"/>
      <c r="AI284" s="199">
        <f ca="1">IF(AL284=0,0,IF(AL284&gt;Preenchimento!$AA$88*12,0,IF($AC$53=AM284,0,1)))</f>
        <v>0</v>
      </c>
      <c r="AJ284" s="161" t="e">
        <f t="shared" ca="1" si="127"/>
        <v>#N/A</v>
      </c>
      <c r="AK284" s="161" t="e">
        <f t="shared" ca="1" si="128"/>
        <v>#N/A</v>
      </c>
      <c r="AL284" s="161">
        <f ca="1">IF(Y284&gt;(Preenchimento!$AA$90*12),0,Fixa!Y284)</f>
        <v>0</v>
      </c>
      <c r="AM284" s="161">
        <f t="shared" ca="1" si="134"/>
        <v>1</v>
      </c>
      <c r="AN284" s="199">
        <f ca="1">IF(AQ284&gt;Preenchimento!$AA$90*12,0,1)</f>
        <v>0</v>
      </c>
      <c r="AO284" s="161" t="e">
        <f ca="1">1/((1+SAC!$AD$29)^AL284)</f>
        <v>#N/A</v>
      </c>
      <c r="AP284" s="82" t="e">
        <f t="shared" ca="1" si="135"/>
        <v>#N/A</v>
      </c>
      <c r="AQ284" s="82">
        <v>259</v>
      </c>
      <c r="AS284" s="477">
        <f t="shared" ca="1" si="129"/>
        <v>0</v>
      </c>
    </row>
    <row r="285" spans="1:45">
      <c r="A285" s="53">
        <v>260</v>
      </c>
      <c r="B285" s="249">
        <f ca="1">DATE(IF(MONTH(B284)=12,YEAR(B284)+1,YEAR(B284)),IF(MONTH(B284)=12,1,MONTH(B284)+1),MIN(DAY(Condições!$C$109),IF(IF(MONTH(B284)=12,1,MONTH(B284)+1)=2,IF(MOD(IF(MONTH(B284)=12,YEAR(B284)+1,YEAR(B284)),4)=0,29,28),IF(OR(IF(MONTH(B284)=12,1,MONTH(B284)+1)=4,IF(MONTH(B284)=12,1,MONTH(B284)+1)=6,IF(MONTH(B284)=12,1,MONTH(B284)+1)=9,IF(MONTH(B284)=12,1,MONTH(B284)+1)=11),30,DAY($B$25)))))</f>
        <v>54104</v>
      </c>
      <c r="C285" s="250" t="str">
        <f t="shared" si="114"/>
        <v/>
      </c>
      <c r="D285" s="251" t="e">
        <f t="shared" si="115"/>
        <v>#N/A</v>
      </c>
      <c r="E285" s="251">
        <f t="shared" si="116"/>
        <v>0</v>
      </c>
      <c r="F285" s="251">
        <f t="shared" si="117"/>
        <v>0</v>
      </c>
      <c r="G285" s="251">
        <f t="shared" si="118"/>
        <v>0</v>
      </c>
      <c r="H285" s="251" t="e">
        <f t="shared" si="119"/>
        <v>#VALUE!</v>
      </c>
      <c r="I285" s="251">
        <f t="shared" si="120"/>
        <v>0</v>
      </c>
      <c r="J285" s="251">
        <f t="shared" si="130"/>
        <v>0</v>
      </c>
      <c r="K285" s="251">
        <f t="shared" si="121"/>
        <v>0</v>
      </c>
      <c r="M285" s="224"/>
      <c r="N285" s="225">
        <f t="shared" si="122"/>
        <v>0</v>
      </c>
      <c r="O285" s="251" t="e">
        <f t="shared" si="123"/>
        <v>#N/A</v>
      </c>
      <c r="P285" s="251">
        <f t="shared" si="131"/>
        <v>0</v>
      </c>
      <c r="Q285" s="251">
        <f t="shared" si="124"/>
        <v>0</v>
      </c>
      <c r="R285" s="251">
        <f t="shared" si="125"/>
        <v>0</v>
      </c>
      <c r="S285" s="251" t="e">
        <f t="shared" si="126"/>
        <v>#VALUE!</v>
      </c>
      <c r="T285" s="251">
        <f t="shared" si="113"/>
        <v>0</v>
      </c>
      <c r="U285" s="252">
        <f>TRUNC(T285*Condições!$C$102,2)</f>
        <v>0</v>
      </c>
      <c r="V285" s="199">
        <f t="shared" si="132"/>
        <v>0</v>
      </c>
      <c r="W285" s="161" t="e">
        <f t="shared" si="109"/>
        <v>#N/A</v>
      </c>
      <c r="X285" s="161" t="e">
        <f t="shared" si="110"/>
        <v>#N/A</v>
      </c>
      <c r="Y285" s="161">
        <f t="shared" si="111"/>
        <v>260</v>
      </c>
      <c r="Z285" s="161">
        <f t="shared" ca="1" si="112"/>
        <v>2</v>
      </c>
      <c r="AG285" s="114">
        <f t="shared" si="133"/>
        <v>0</v>
      </c>
      <c r="AH285" s="113"/>
      <c r="AI285" s="199">
        <f ca="1">IF(AL285=0,0,IF(AL285&gt;Preenchimento!$AA$88*12,0,IF($AC$53=AM285,0,1)))</f>
        <v>0</v>
      </c>
      <c r="AJ285" s="161" t="e">
        <f t="shared" ca="1" si="127"/>
        <v>#N/A</v>
      </c>
      <c r="AK285" s="161" t="e">
        <f t="shared" ca="1" si="128"/>
        <v>#N/A</v>
      </c>
      <c r="AL285" s="161">
        <f ca="1">IF(Y285&gt;(Preenchimento!$AA$90*12),0,Fixa!Y285)</f>
        <v>0</v>
      </c>
      <c r="AM285" s="161">
        <f t="shared" ca="1" si="134"/>
        <v>2</v>
      </c>
      <c r="AN285" s="199">
        <f ca="1">IF(AQ285&gt;Preenchimento!$AA$90*12,0,1)</f>
        <v>0</v>
      </c>
      <c r="AO285" s="161" t="e">
        <f ca="1">1/((1+SAC!$AD$29)^AL285)</f>
        <v>#N/A</v>
      </c>
      <c r="AP285" s="82" t="e">
        <f t="shared" ca="1" si="135"/>
        <v>#N/A</v>
      </c>
      <c r="AQ285" s="82">
        <v>260</v>
      </c>
      <c r="AS285" s="477">
        <f t="shared" ca="1" si="129"/>
        <v>0</v>
      </c>
    </row>
    <row r="286" spans="1:45">
      <c r="A286" s="53">
        <v>261</v>
      </c>
      <c r="B286" s="249">
        <f ca="1">DATE(IF(MONTH(B285)=12,YEAR(B285)+1,YEAR(B285)),IF(MONTH(B285)=12,1,MONTH(B285)+1),MIN(DAY(Condições!$C$109),IF(IF(MONTH(B285)=12,1,MONTH(B285)+1)=2,IF(MOD(IF(MONTH(B285)=12,YEAR(B285)+1,YEAR(B285)),4)=0,29,28),IF(OR(IF(MONTH(B285)=12,1,MONTH(B285)+1)=4,IF(MONTH(B285)=12,1,MONTH(B285)+1)=6,IF(MONTH(B285)=12,1,MONTH(B285)+1)=9,IF(MONTH(B285)=12,1,MONTH(B285)+1)=11),30,DAY($B$25)))))</f>
        <v>54133</v>
      </c>
      <c r="C286" s="250" t="str">
        <f t="shared" si="114"/>
        <v/>
      </c>
      <c r="D286" s="251" t="e">
        <f t="shared" si="115"/>
        <v>#N/A</v>
      </c>
      <c r="E286" s="251">
        <f t="shared" si="116"/>
        <v>0</v>
      </c>
      <c r="F286" s="251">
        <f t="shared" si="117"/>
        <v>0</v>
      </c>
      <c r="G286" s="251">
        <f t="shared" si="118"/>
        <v>0</v>
      </c>
      <c r="H286" s="251" t="e">
        <f t="shared" si="119"/>
        <v>#VALUE!</v>
      </c>
      <c r="I286" s="251">
        <f t="shared" si="120"/>
        <v>0</v>
      </c>
      <c r="J286" s="251">
        <f t="shared" si="130"/>
        <v>0</v>
      </c>
      <c r="K286" s="251">
        <f t="shared" si="121"/>
        <v>0</v>
      </c>
      <c r="M286" s="224"/>
      <c r="N286" s="225">
        <f t="shared" si="122"/>
        <v>0</v>
      </c>
      <c r="O286" s="251" t="e">
        <f t="shared" si="123"/>
        <v>#N/A</v>
      </c>
      <c r="P286" s="251">
        <f t="shared" si="131"/>
        <v>0</v>
      </c>
      <c r="Q286" s="251">
        <f t="shared" si="124"/>
        <v>0</v>
      </c>
      <c r="R286" s="251">
        <f t="shared" si="125"/>
        <v>0</v>
      </c>
      <c r="S286" s="251" t="e">
        <f t="shared" si="126"/>
        <v>#VALUE!</v>
      </c>
      <c r="T286" s="251">
        <f t="shared" si="113"/>
        <v>0</v>
      </c>
      <c r="U286" s="252">
        <f>TRUNC(T286*Condições!$C$102,2)</f>
        <v>0</v>
      </c>
      <c r="V286" s="199">
        <f t="shared" si="132"/>
        <v>0</v>
      </c>
      <c r="W286" s="161" t="e">
        <f t="shared" si="109"/>
        <v>#N/A</v>
      </c>
      <c r="X286" s="161" t="e">
        <f t="shared" si="110"/>
        <v>#N/A</v>
      </c>
      <c r="Y286" s="161">
        <f t="shared" si="111"/>
        <v>261</v>
      </c>
      <c r="Z286" s="161">
        <f t="shared" ca="1" si="112"/>
        <v>3</v>
      </c>
      <c r="AG286" s="114">
        <f t="shared" si="133"/>
        <v>0</v>
      </c>
      <c r="AH286" s="113"/>
      <c r="AI286" s="199">
        <f ca="1">IF(AL286=0,0,IF(AL286&gt;Preenchimento!$AA$88*12,0,IF($AC$53=AM286,0,1)))</f>
        <v>0</v>
      </c>
      <c r="AJ286" s="161" t="e">
        <f t="shared" ca="1" si="127"/>
        <v>#N/A</v>
      </c>
      <c r="AK286" s="161" t="e">
        <f t="shared" ca="1" si="128"/>
        <v>#N/A</v>
      </c>
      <c r="AL286" s="161">
        <f ca="1">IF(Y286&gt;(Preenchimento!$AA$90*12),0,Fixa!Y286)</f>
        <v>0</v>
      </c>
      <c r="AM286" s="161">
        <f t="shared" ca="1" si="134"/>
        <v>3</v>
      </c>
      <c r="AN286" s="199">
        <f ca="1">IF(AQ286&gt;Preenchimento!$AA$90*12,0,1)</f>
        <v>0</v>
      </c>
      <c r="AO286" s="161" t="e">
        <f ca="1">1/((1+SAC!$AD$29)^AL286)</f>
        <v>#N/A</v>
      </c>
      <c r="AP286" s="82" t="e">
        <f t="shared" ca="1" si="135"/>
        <v>#N/A</v>
      </c>
      <c r="AQ286" s="82">
        <v>261</v>
      </c>
      <c r="AS286" s="477">
        <f t="shared" ca="1" si="129"/>
        <v>0</v>
      </c>
    </row>
    <row r="287" spans="1:45">
      <c r="A287" s="53">
        <v>262</v>
      </c>
      <c r="B287" s="249">
        <f ca="1">DATE(IF(MONTH(B286)=12,YEAR(B286)+1,YEAR(B286)),IF(MONTH(B286)=12,1,MONTH(B286)+1),MIN(DAY(Condições!$C$109),IF(IF(MONTH(B286)=12,1,MONTH(B286)+1)=2,IF(MOD(IF(MONTH(B286)=12,YEAR(B286)+1,YEAR(B286)),4)=0,29,28),IF(OR(IF(MONTH(B286)=12,1,MONTH(B286)+1)=4,IF(MONTH(B286)=12,1,MONTH(B286)+1)=6,IF(MONTH(B286)=12,1,MONTH(B286)+1)=9,IF(MONTH(B286)=12,1,MONTH(B286)+1)=11),30,DAY($B$25)))))</f>
        <v>54164</v>
      </c>
      <c r="C287" s="250" t="str">
        <f t="shared" si="114"/>
        <v/>
      </c>
      <c r="D287" s="251" t="e">
        <f t="shared" si="115"/>
        <v>#N/A</v>
      </c>
      <c r="E287" s="251">
        <f t="shared" si="116"/>
        <v>0</v>
      </c>
      <c r="F287" s="251">
        <f t="shared" si="117"/>
        <v>0</v>
      </c>
      <c r="G287" s="251">
        <f t="shared" si="118"/>
        <v>0</v>
      </c>
      <c r="H287" s="251" t="e">
        <f t="shared" si="119"/>
        <v>#VALUE!</v>
      </c>
      <c r="I287" s="251">
        <f t="shared" si="120"/>
        <v>0</v>
      </c>
      <c r="J287" s="251">
        <f t="shared" si="130"/>
        <v>0</v>
      </c>
      <c r="K287" s="251">
        <f t="shared" si="121"/>
        <v>0</v>
      </c>
      <c r="M287" s="224"/>
      <c r="N287" s="225">
        <f t="shared" si="122"/>
        <v>0</v>
      </c>
      <c r="O287" s="251" t="e">
        <f t="shared" si="123"/>
        <v>#N/A</v>
      </c>
      <c r="P287" s="251">
        <f t="shared" si="131"/>
        <v>0</v>
      </c>
      <c r="Q287" s="251">
        <f t="shared" si="124"/>
        <v>0</v>
      </c>
      <c r="R287" s="251">
        <f t="shared" si="125"/>
        <v>0</v>
      </c>
      <c r="S287" s="251" t="e">
        <f t="shared" si="126"/>
        <v>#VALUE!</v>
      </c>
      <c r="T287" s="251">
        <f t="shared" si="113"/>
        <v>0</v>
      </c>
      <c r="U287" s="252">
        <f>TRUNC(T287*Condições!$C$102,2)</f>
        <v>0</v>
      </c>
      <c r="V287" s="199">
        <f t="shared" si="132"/>
        <v>0</v>
      </c>
      <c r="W287" s="161" t="e">
        <f t="shared" si="109"/>
        <v>#N/A</v>
      </c>
      <c r="X287" s="161" t="e">
        <f t="shared" si="110"/>
        <v>#N/A</v>
      </c>
      <c r="Y287" s="161">
        <f t="shared" si="111"/>
        <v>262</v>
      </c>
      <c r="Z287" s="161">
        <f t="shared" ca="1" si="112"/>
        <v>4</v>
      </c>
      <c r="AG287" s="114">
        <f t="shared" si="133"/>
        <v>0</v>
      </c>
      <c r="AH287" s="113"/>
      <c r="AI287" s="199">
        <f ca="1">IF(AL287=0,0,IF(AL287&gt;Preenchimento!$AA$88*12,0,IF($AC$53=AM287,0,1)))</f>
        <v>0</v>
      </c>
      <c r="AJ287" s="161" t="e">
        <f t="shared" ca="1" si="127"/>
        <v>#N/A</v>
      </c>
      <c r="AK287" s="161" t="e">
        <f t="shared" ca="1" si="128"/>
        <v>#N/A</v>
      </c>
      <c r="AL287" s="161">
        <f ca="1">IF(Y287&gt;(Preenchimento!$AA$90*12),0,Fixa!Y287)</f>
        <v>0</v>
      </c>
      <c r="AM287" s="161">
        <f t="shared" ca="1" si="134"/>
        <v>4</v>
      </c>
      <c r="AN287" s="199">
        <f ca="1">IF(AQ287&gt;Preenchimento!$AA$90*12,0,1)</f>
        <v>0</v>
      </c>
      <c r="AO287" s="161" t="e">
        <f ca="1">1/((1+SAC!$AD$29)^AL287)</f>
        <v>#N/A</v>
      </c>
      <c r="AP287" s="82" t="e">
        <f t="shared" ca="1" si="135"/>
        <v>#N/A</v>
      </c>
      <c r="AQ287" s="82">
        <v>262</v>
      </c>
      <c r="AS287" s="477">
        <f t="shared" ca="1" si="129"/>
        <v>0</v>
      </c>
    </row>
    <row r="288" spans="1:45">
      <c r="A288" s="53">
        <v>263</v>
      </c>
      <c r="B288" s="249">
        <f ca="1">DATE(IF(MONTH(B287)=12,YEAR(B287)+1,YEAR(B287)),IF(MONTH(B287)=12,1,MONTH(B287)+1),MIN(DAY(Condições!$C$109),IF(IF(MONTH(B287)=12,1,MONTH(B287)+1)=2,IF(MOD(IF(MONTH(B287)=12,YEAR(B287)+1,YEAR(B287)),4)=0,29,28),IF(OR(IF(MONTH(B287)=12,1,MONTH(B287)+1)=4,IF(MONTH(B287)=12,1,MONTH(B287)+1)=6,IF(MONTH(B287)=12,1,MONTH(B287)+1)=9,IF(MONTH(B287)=12,1,MONTH(B287)+1)=11),30,DAY($B$25)))))</f>
        <v>54194</v>
      </c>
      <c r="C288" s="250" t="str">
        <f t="shared" si="114"/>
        <v/>
      </c>
      <c r="D288" s="251" t="e">
        <f t="shared" si="115"/>
        <v>#N/A</v>
      </c>
      <c r="E288" s="251">
        <f t="shared" si="116"/>
        <v>0</v>
      </c>
      <c r="F288" s="251">
        <f t="shared" si="117"/>
        <v>0</v>
      </c>
      <c r="G288" s="251">
        <f t="shared" si="118"/>
        <v>0</v>
      </c>
      <c r="H288" s="251" t="e">
        <f t="shared" si="119"/>
        <v>#VALUE!</v>
      </c>
      <c r="I288" s="251">
        <f t="shared" si="120"/>
        <v>0</v>
      </c>
      <c r="J288" s="251">
        <f t="shared" si="130"/>
        <v>0</v>
      </c>
      <c r="K288" s="251">
        <f t="shared" si="121"/>
        <v>0</v>
      </c>
      <c r="M288" s="224"/>
      <c r="N288" s="225">
        <f t="shared" si="122"/>
        <v>0</v>
      </c>
      <c r="O288" s="251" t="e">
        <f t="shared" si="123"/>
        <v>#N/A</v>
      </c>
      <c r="P288" s="251">
        <f t="shared" si="131"/>
        <v>0</v>
      </c>
      <c r="Q288" s="251">
        <f t="shared" si="124"/>
        <v>0</v>
      </c>
      <c r="R288" s="251">
        <f t="shared" si="125"/>
        <v>0</v>
      </c>
      <c r="S288" s="251" t="e">
        <f t="shared" si="126"/>
        <v>#VALUE!</v>
      </c>
      <c r="T288" s="251">
        <f t="shared" si="113"/>
        <v>0</v>
      </c>
      <c r="U288" s="252">
        <f>TRUNC(T288*Condições!$C$102,2)</f>
        <v>0</v>
      </c>
      <c r="V288" s="199">
        <f t="shared" si="132"/>
        <v>0</v>
      </c>
      <c r="W288" s="161" t="e">
        <f t="shared" si="109"/>
        <v>#N/A</v>
      </c>
      <c r="X288" s="161" t="e">
        <f t="shared" si="110"/>
        <v>#N/A</v>
      </c>
      <c r="Y288" s="161">
        <f t="shared" si="111"/>
        <v>263</v>
      </c>
      <c r="Z288" s="161">
        <f t="shared" ca="1" si="112"/>
        <v>5</v>
      </c>
      <c r="AG288" s="114">
        <f t="shared" si="133"/>
        <v>0</v>
      </c>
      <c r="AH288" s="113"/>
      <c r="AI288" s="199">
        <f ca="1">IF(AL288=0,0,IF(AL288&gt;Preenchimento!$AA$88*12,0,IF($AC$53=AM288,0,1)))</f>
        <v>0</v>
      </c>
      <c r="AJ288" s="161" t="e">
        <f t="shared" ca="1" si="127"/>
        <v>#N/A</v>
      </c>
      <c r="AK288" s="161" t="e">
        <f t="shared" ca="1" si="128"/>
        <v>#N/A</v>
      </c>
      <c r="AL288" s="161">
        <f ca="1">IF(Y288&gt;(Preenchimento!$AA$90*12),0,Fixa!Y288)</f>
        <v>0</v>
      </c>
      <c r="AM288" s="161">
        <f t="shared" ca="1" si="134"/>
        <v>5</v>
      </c>
      <c r="AN288" s="199">
        <f ca="1">IF(AQ288&gt;Preenchimento!$AA$90*12,0,1)</f>
        <v>0</v>
      </c>
      <c r="AO288" s="161" t="e">
        <f ca="1">1/((1+SAC!$AD$29)^AL288)</f>
        <v>#N/A</v>
      </c>
      <c r="AP288" s="82" t="e">
        <f t="shared" ca="1" si="135"/>
        <v>#N/A</v>
      </c>
      <c r="AQ288" s="82">
        <v>263</v>
      </c>
      <c r="AS288" s="477">
        <f t="shared" ca="1" si="129"/>
        <v>0</v>
      </c>
    </row>
    <row r="289" spans="1:45">
      <c r="A289" s="53">
        <v>264</v>
      </c>
      <c r="B289" s="249">
        <f ca="1">DATE(IF(MONTH(B288)=12,YEAR(B288)+1,YEAR(B288)),IF(MONTH(B288)=12,1,MONTH(B288)+1),MIN(DAY(Condições!$C$109),IF(IF(MONTH(B288)=12,1,MONTH(B288)+1)=2,IF(MOD(IF(MONTH(B288)=12,YEAR(B288)+1,YEAR(B288)),4)=0,29,28),IF(OR(IF(MONTH(B288)=12,1,MONTH(B288)+1)=4,IF(MONTH(B288)=12,1,MONTH(B288)+1)=6,IF(MONTH(B288)=12,1,MONTH(B288)+1)=9,IF(MONTH(B288)=12,1,MONTH(B288)+1)=11),30,DAY($B$25)))))</f>
        <v>54225</v>
      </c>
      <c r="C289" s="250" t="str">
        <f t="shared" si="114"/>
        <v/>
      </c>
      <c r="D289" s="251" t="e">
        <f t="shared" si="115"/>
        <v>#N/A</v>
      </c>
      <c r="E289" s="251">
        <f t="shared" si="116"/>
        <v>0</v>
      </c>
      <c r="F289" s="251">
        <f t="shared" si="117"/>
        <v>0</v>
      </c>
      <c r="G289" s="251">
        <f t="shared" si="118"/>
        <v>0</v>
      </c>
      <c r="H289" s="251" t="e">
        <f t="shared" si="119"/>
        <v>#VALUE!</v>
      </c>
      <c r="I289" s="251">
        <f t="shared" si="120"/>
        <v>0</v>
      </c>
      <c r="J289" s="251">
        <f t="shared" si="130"/>
        <v>0</v>
      </c>
      <c r="K289" s="251">
        <f t="shared" si="121"/>
        <v>0</v>
      </c>
      <c r="M289" s="224"/>
      <c r="N289" s="225">
        <f t="shared" si="122"/>
        <v>0</v>
      </c>
      <c r="O289" s="251" t="e">
        <f t="shared" si="123"/>
        <v>#N/A</v>
      </c>
      <c r="P289" s="251">
        <f t="shared" si="131"/>
        <v>0</v>
      </c>
      <c r="Q289" s="251">
        <f t="shared" si="124"/>
        <v>0</v>
      </c>
      <c r="R289" s="251">
        <f t="shared" si="125"/>
        <v>0</v>
      </c>
      <c r="S289" s="251" t="e">
        <f t="shared" si="126"/>
        <v>#VALUE!</v>
      </c>
      <c r="T289" s="251">
        <f t="shared" si="113"/>
        <v>0</v>
      </c>
      <c r="U289" s="252">
        <f>TRUNC(T289*Condições!$C$102,2)</f>
        <v>0</v>
      </c>
      <c r="V289" s="199">
        <f t="shared" si="132"/>
        <v>0</v>
      </c>
      <c r="W289" s="161" t="e">
        <f t="shared" si="109"/>
        <v>#N/A</v>
      </c>
      <c r="X289" s="161" t="e">
        <f t="shared" si="110"/>
        <v>#N/A</v>
      </c>
      <c r="Y289" s="161">
        <f t="shared" si="111"/>
        <v>264</v>
      </c>
      <c r="Z289" s="161">
        <f t="shared" ca="1" si="112"/>
        <v>6</v>
      </c>
      <c r="AG289" s="114">
        <f t="shared" si="133"/>
        <v>0</v>
      </c>
      <c r="AH289" s="113"/>
      <c r="AI289" s="199">
        <f ca="1">IF(AL289=0,0,IF(AL289&gt;Preenchimento!$AA$88*12,0,IF($AC$53=AM289,0,1)))</f>
        <v>0</v>
      </c>
      <c r="AJ289" s="161" t="e">
        <f t="shared" ca="1" si="127"/>
        <v>#N/A</v>
      </c>
      <c r="AK289" s="161" t="e">
        <f t="shared" ca="1" si="128"/>
        <v>#N/A</v>
      </c>
      <c r="AL289" s="161">
        <f ca="1">IF(Y289&gt;(Preenchimento!$AA$90*12),0,Fixa!Y289)</f>
        <v>0</v>
      </c>
      <c r="AM289" s="161">
        <f t="shared" ca="1" si="134"/>
        <v>6</v>
      </c>
      <c r="AN289" s="199">
        <f ca="1">IF(AQ289&gt;Preenchimento!$AA$90*12,0,1)</f>
        <v>0</v>
      </c>
      <c r="AO289" s="161" t="e">
        <f ca="1">1/((1+SAC!$AD$29)^AL289)</f>
        <v>#N/A</v>
      </c>
      <c r="AP289" s="82" t="e">
        <f t="shared" ca="1" si="135"/>
        <v>#N/A</v>
      </c>
      <c r="AQ289" s="82">
        <v>264</v>
      </c>
      <c r="AS289" s="477">
        <f t="shared" ca="1" si="129"/>
        <v>0</v>
      </c>
    </row>
    <row r="290" spans="1:45">
      <c r="A290" s="53">
        <v>265</v>
      </c>
      <c r="B290" s="249">
        <f ca="1">DATE(IF(MONTH(B289)=12,YEAR(B289)+1,YEAR(B289)),IF(MONTH(B289)=12,1,MONTH(B289)+1),MIN(DAY(Condições!$C$109),IF(IF(MONTH(B289)=12,1,MONTH(B289)+1)=2,IF(MOD(IF(MONTH(B289)=12,YEAR(B289)+1,YEAR(B289)),4)=0,29,28),IF(OR(IF(MONTH(B289)=12,1,MONTH(B289)+1)=4,IF(MONTH(B289)=12,1,MONTH(B289)+1)=6,IF(MONTH(B289)=12,1,MONTH(B289)+1)=9,IF(MONTH(B289)=12,1,MONTH(B289)+1)=11),30,DAY($B$25)))))</f>
        <v>54255</v>
      </c>
      <c r="C290" s="250" t="str">
        <f t="shared" si="114"/>
        <v/>
      </c>
      <c r="D290" s="251" t="e">
        <f t="shared" si="115"/>
        <v>#N/A</v>
      </c>
      <c r="E290" s="251">
        <f t="shared" si="116"/>
        <v>0</v>
      </c>
      <c r="F290" s="251">
        <f t="shared" si="117"/>
        <v>0</v>
      </c>
      <c r="G290" s="251">
        <f t="shared" si="118"/>
        <v>0</v>
      </c>
      <c r="H290" s="251" t="e">
        <f t="shared" si="119"/>
        <v>#VALUE!</v>
      </c>
      <c r="I290" s="251">
        <f t="shared" si="120"/>
        <v>0</v>
      </c>
      <c r="J290" s="251">
        <f t="shared" si="130"/>
        <v>0</v>
      </c>
      <c r="K290" s="251">
        <f t="shared" si="121"/>
        <v>0</v>
      </c>
      <c r="M290" s="224"/>
      <c r="N290" s="225">
        <f t="shared" si="122"/>
        <v>0</v>
      </c>
      <c r="O290" s="251" t="e">
        <f t="shared" si="123"/>
        <v>#N/A</v>
      </c>
      <c r="P290" s="251">
        <f t="shared" si="131"/>
        <v>0</v>
      </c>
      <c r="Q290" s="251">
        <f t="shared" si="124"/>
        <v>0</v>
      </c>
      <c r="R290" s="251">
        <f t="shared" si="125"/>
        <v>0</v>
      </c>
      <c r="S290" s="251" t="e">
        <f t="shared" si="126"/>
        <v>#VALUE!</v>
      </c>
      <c r="T290" s="251">
        <f t="shared" si="113"/>
        <v>0</v>
      </c>
      <c r="U290" s="252">
        <f>TRUNC(T290*Condições!$C$102,2)</f>
        <v>0</v>
      </c>
      <c r="V290" s="199">
        <f t="shared" si="132"/>
        <v>0</v>
      </c>
      <c r="W290" s="161" t="e">
        <f t="shared" si="109"/>
        <v>#N/A</v>
      </c>
      <c r="X290" s="161" t="e">
        <f t="shared" si="110"/>
        <v>#N/A</v>
      </c>
      <c r="Y290" s="161">
        <f t="shared" si="111"/>
        <v>265</v>
      </c>
      <c r="Z290" s="161">
        <f t="shared" ca="1" si="112"/>
        <v>7</v>
      </c>
      <c r="AG290" s="114">
        <f t="shared" si="133"/>
        <v>0</v>
      </c>
      <c r="AH290" s="113"/>
      <c r="AI290" s="199">
        <f ca="1">IF(AL290=0,0,IF(AL290&gt;Preenchimento!$AA$88*12,0,IF($AC$53=AM290,0,1)))</f>
        <v>0</v>
      </c>
      <c r="AJ290" s="161" t="e">
        <f t="shared" ca="1" si="127"/>
        <v>#N/A</v>
      </c>
      <c r="AK290" s="161" t="e">
        <f t="shared" ca="1" si="128"/>
        <v>#N/A</v>
      </c>
      <c r="AL290" s="161">
        <f ca="1">IF(Y290&gt;(Preenchimento!$AA$90*12),0,Fixa!Y290)</f>
        <v>0</v>
      </c>
      <c r="AM290" s="161">
        <f t="shared" ca="1" si="134"/>
        <v>7</v>
      </c>
      <c r="AN290" s="199">
        <f ca="1">IF(AQ290&gt;Preenchimento!$AA$90*12,0,1)</f>
        <v>0</v>
      </c>
      <c r="AO290" s="161" t="e">
        <f ca="1">1/((1+SAC!$AD$29)^AL290)</f>
        <v>#N/A</v>
      </c>
      <c r="AP290" s="82" t="e">
        <f t="shared" ca="1" si="135"/>
        <v>#N/A</v>
      </c>
      <c r="AQ290" s="82">
        <v>265</v>
      </c>
      <c r="AS290" s="477">
        <f t="shared" ca="1" si="129"/>
        <v>0</v>
      </c>
    </row>
    <row r="291" spans="1:45">
      <c r="A291" s="53">
        <v>266</v>
      </c>
      <c r="B291" s="249">
        <f ca="1">DATE(IF(MONTH(B290)=12,YEAR(B290)+1,YEAR(B290)),IF(MONTH(B290)=12,1,MONTH(B290)+1),MIN(DAY(Condições!$C$109),IF(IF(MONTH(B290)=12,1,MONTH(B290)+1)=2,IF(MOD(IF(MONTH(B290)=12,YEAR(B290)+1,YEAR(B290)),4)=0,29,28),IF(OR(IF(MONTH(B290)=12,1,MONTH(B290)+1)=4,IF(MONTH(B290)=12,1,MONTH(B290)+1)=6,IF(MONTH(B290)=12,1,MONTH(B290)+1)=9,IF(MONTH(B290)=12,1,MONTH(B290)+1)=11),30,DAY($B$25)))))</f>
        <v>54286</v>
      </c>
      <c r="C291" s="250" t="str">
        <f t="shared" si="114"/>
        <v/>
      </c>
      <c r="D291" s="251" t="e">
        <f t="shared" si="115"/>
        <v>#N/A</v>
      </c>
      <c r="E291" s="251">
        <f t="shared" si="116"/>
        <v>0</v>
      </c>
      <c r="F291" s="251">
        <f t="shared" si="117"/>
        <v>0</v>
      </c>
      <c r="G291" s="251">
        <f t="shared" si="118"/>
        <v>0</v>
      </c>
      <c r="H291" s="251" t="e">
        <f t="shared" si="119"/>
        <v>#VALUE!</v>
      </c>
      <c r="I291" s="251">
        <f t="shared" si="120"/>
        <v>0</v>
      </c>
      <c r="J291" s="251">
        <f t="shared" si="130"/>
        <v>0</v>
      </c>
      <c r="K291" s="251">
        <f t="shared" si="121"/>
        <v>0</v>
      </c>
      <c r="M291" s="224"/>
      <c r="N291" s="225">
        <f t="shared" si="122"/>
        <v>0</v>
      </c>
      <c r="O291" s="251" t="e">
        <f t="shared" si="123"/>
        <v>#N/A</v>
      </c>
      <c r="P291" s="251">
        <f t="shared" si="131"/>
        <v>0</v>
      </c>
      <c r="Q291" s="251">
        <f t="shared" si="124"/>
        <v>0</v>
      </c>
      <c r="R291" s="251">
        <f t="shared" si="125"/>
        <v>0</v>
      </c>
      <c r="S291" s="251" t="e">
        <f t="shared" si="126"/>
        <v>#VALUE!</v>
      </c>
      <c r="T291" s="251">
        <f t="shared" si="113"/>
        <v>0</v>
      </c>
      <c r="U291" s="252">
        <f>TRUNC(T291*Condições!$C$102,2)</f>
        <v>0</v>
      </c>
      <c r="V291" s="199">
        <f t="shared" si="132"/>
        <v>0</v>
      </c>
      <c r="W291" s="161" t="e">
        <f t="shared" si="109"/>
        <v>#N/A</v>
      </c>
      <c r="X291" s="161" t="e">
        <f t="shared" si="110"/>
        <v>#N/A</v>
      </c>
      <c r="Y291" s="161">
        <f t="shared" si="111"/>
        <v>266</v>
      </c>
      <c r="Z291" s="161">
        <f t="shared" ca="1" si="112"/>
        <v>8</v>
      </c>
      <c r="AG291" s="114">
        <f t="shared" si="133"/>
        <v>0</v>
      </c>
      <c r="AH291" s="113"/>
      <c r="AI291" s="199">
        <f ca="1">IF(AL291=0,0,IF(AL291&gt;Preenchimento!$AA$88*12,0,IF($AC$53=AM291,0,1)))</f>
        <v>0</v>
      </c>
      <c r="AJ291" s="161" t="e">
        <f t="shared" ca="1" si="127"/>
        <v>#N/A</v>
      </c>
      <c r="AK291" s="161" t="e">
        <f t="shared" ca="1" si="128"/>
        <v>#N/A</v>
      </c>
      <c r="AL291" s="161">
        <f ca="1">IF(Y291&gt;(Preenchimento!$AA$90*12),0,Fixa!Y291)</f>
        <v>0</v>
      </c>
      <c r="AM291" s="161">
        <f t="shared" ca="1" si="134"/>
        <v>8</v>
      </c>
      <c r="AN291" s="199">
        <f ca="1">IF(AQ291&gt;Preenchimento!$AA$90*12,0,1)</f>
        <v>0</v>
      </c>
      <c r="AO291" s="161" t="e">
        <f ca="1">1/((1+SAC!$AD$29)^AL291)</f>
        <v>#N/A</v>
      </c>
      <c r="AP291" s="82" t="e">
        <f t="shared" ca="1" si="135"/>
        <v>#N/A</v>
      </c>
      <c r="AQ291" s="82">
        <v>266</v>
      </c>
      <c r="AS291" s="477">
        <f t="shared" ca="1" si="129"/>
        <v>0</v>
      </c>
    </row>
    <row r="292" spans="1:45">
      <c r="A292" s="53">
        <v>267</v>
      </c>
      <c r="B292" s="249">
        <f ca="1">DATE(IF(MONTH(B291)=12,YEAR(B291)+1,YEAR(B291)),IF(MONTH(B291)=12,1,MONTH(B291)+1),MIN(DAY(Condições!$C$109),IF(IF(MONTH(B291)=12,1,MONTH(B291)+1)=2,IF(MOD(IF(MONTH(B291)=12,YEAR(B291)+1,YEAR(B291)),4)=0,29,28),IF(OR(IF(MONTH(B291)=12,1,MONTH(B291)+1)=4,IF(MONTH(B291)=12,1,MONTH(B291)+1)=6,IF(MONTH(B291)=12,1,MONTH(B291)+1)=9,IF(MONTH(B291)=12,1,MONTH(B291)+1)=11),30,DAY($B$25)))))</f>
        <v>54317</v>
      </c>
      <c r="C292" s="250" t="str">
        <f t="shared" si="114"/>
        <v/>
      </c>
      <c r="D292" s="251" t="e">
        <f t="shared" si="115"/>
        <v>#N/A</v>
      </c>
      <c r="E292" s="251">
        <f t="shared" si="116"/>
        <v>0</v>
      </c>
      <c r="F292" s="251">
        <f t="shared" si="117"/>
        <v>0</v>
      </c>
      <c r="G292" s="251">
        <f t="shared" si="118"/>
        <v>0</v>
      </c>
      <c r="H292" s="251" t="e">
        <f t="shared" si="119"/>
        <v>#VALUE!</v>
      </c>
      <c r="I292" s="251">
        <f t="shared" si="120"/>
        <v>0</v>
      </c>
      <c r="J292" s="251">
        <f t="shared" si="130"/>
        <v>0</v>
      </c>
      <c r="K292" s="251">
        <f t="shared" si="121"/>
        <v>0</v>
      </c>
      <c r="M292" s="224"/>
      <c r="N292" s="225">
        <f t="shared" si="122"/>
        <v>0</v>
      </c>
      <c r="O292" s="251" t="e">
        <f t="shared" si="123"/>
        <v>#N/A</v>
      </c>
      <c r="P292" s="251">
        <f t="shared" si="131"/>
        <v>0</v>
      </c>
      <c r="Q292" s="251">
        <f t="shared" si="124"/>
        <v>0</v>
      </c>
      <c r="R292" s="251">
        <f t="shared" si="125"/>
        <v>0</v>
      </c>
      <c r="S292" s="251" t="e">
        <f t="shared" si="126"/>
        <v>#VALUE!</v>
      </c>
      <c r="T292" s="251">
        <f t="shared" si="113"/>
        <v>0</v>
      </c>
      <c r="U292" s="252">
        <f>TRUNC(T292*Condições!$C$102,2)</f>
        <v>0</v>
      </c>
      <c r="V292" s="199">
        <f t="shared" si="132"/>
        <v>0</v>
      </c>
      <c r="W292" s="161" t="e">
        <f t="shared" si="109"/>
        <v>#N/A</v>
      </c>
      <c r="X292" s="161" t="e">
        <f t="shared" si="110"/>
        <v>#N/A</v>
      </c>
      <c r="Y292" s="161">
        <f t="shared" si="111"/>
        <v>267</v>
      </c>
      <c r="Z292" s="161">
        <f t="shared" ca="1" si="112"/>
        <v>9</v>
      </c>
      <c r="AG292" s="114">
        <f t="shared" si="133"/>
        <v>0</v>
      </c>
      <c r="AH292" s="113"/>
      <c r="AI292" s="199">
        <f ca="1">IF(AL292=0,0,IF(AL292&gt;Preenchimento!$AA$88*12,0,IF($AC$53=AM292,0,1)))</f>
        <v>0</v>
      </c>
      <c r="AJ292" s="161" t="e">
        <f t="shared" ca="1" si="127"/>
        <v>#N/A</v>
      </c>
      <c r="AK292" s="161" t="e">
        <f t="shared" ca="1" si="128"/>
        <v>#N/A</v>
      </c>
      <c r="AL292" s="161">
        <f ca="1">IF(Y292&gt;(Preenchimento!$AA$90*12),0,Fixa!Y292)</f>
        <v>0</v>
      </c>
      <c r="AM292" s="161">
        <f t="shared" ca="1" si="134"/>
        <v>9</v>
      </c>
      <c r="AN292" s="199">
        <f ca="1">IF(AQ292&gt;Preenchimento!$AA$90*12,0,1)</f>
        <v>0</v>
      </c>
      <c r="AO292" s="161" t="e">
        <f ca="1">1/((1+SAC!$AD$29)^AL292)</f>
        <v>#N/A</v>
      </c>
      <c r="AP292" s="82" t="e">
        <f t="shared" ca="1" si="135"/>
        <v>#N/A</v>
      </c>
      <c r="AQ292" s="82">
        <v>267</v>
      </c>
      <c r="AS292" s="477">
        <f t="shared" ca="1" si="129"/>
        <v>0</v>
      </c>
    </row>
    <row r="293" spans="1:45">
      <c r="A293" s="53">
        <v>268</v>
      </c>
      <c r="B293" s="249">
        <f ca="1">DATE(IF(MONTH(B292)=12,YEAR(B292)+1,YEAR(B292)),IF(MONTH(B292)=12,1,MONTH(B292)+1),MIN(DAY(Condições!$C$109),IF(IF(MONTH(B292)=12,1,MONTH(B292)+1)=2,IF(MOD(IF(MONTH(B292)=12,YEAR(B292)+1,YEAR(B292)),4)=0,29,28),IF(OR(IF(MONTH(B292)=12,1,MONTH(B292)+1)=4,IF(MONTH(B292)=12,1,MONTH(B292)+1)=6,IF(MONTH(B292)=12,1,MONTH(B292)+1)=9,IF(MONTH(B292)=12,1,MONTH(B292)+1)=11),30,DAY($B$25)))))</f>
        <v>54347</v>
      </c>
      <c r="C293" s="250" t="str">
        <f t="shared" si="114"/>
        <v/>
      </c>
      <c r="D293" s="251" t="e">
        <f t="shared" si="115"/>
        <v>#N/A</v>
      </c>
      <c r="E293" s="251">
        <f t="shared" si="116"/>
        <v>0</v>
      </c>
      <c r="F293" s="251">
        <f t="shared" si="117"/>
        <v>0</v>
      </c>
      <c r="G293" s="251">
        <f t="shared" si="118"/>
        <v>0</v>
      </c>
      <c r="H293" s="251" t="e">
        <f t="shared" si="119"/>
        <v>#VALUE!</v>
      </c>
      <c r="I293" s="251">
        <f t="shared" si="120"/>
        <v>0</v>
      </c>
      <c r="J293" s="251">
        <f t="shared" si="130"/>
        <v>0</v>
      </c>
      <c r="K293" s="251">
        <f t="shared" si="121"/>
        <v>0</v>
      </c>
      <c r="M293" s="224"/>
      <c r="N293" s="225">
        <f t="shared" si="122"/>
        <v>0</v>
      </c>
      <c r="O293" s="251" t="e">
        <f t="shared" si="123"/>
        <v>#N/A</v>
      </c>
      <c r="P293" s="251">
        <f t="shared" si="131"/>
        <v>0</v>
      </c>
      <c r="Q293" s="251">
        <f t="shared" si="124"/>
        <v>0</v>
      </c>
      <c r="R293" s="251">
        <f t="shared" si="125"/>
        <v>0</v>
      </c>
      <c r="S293" s="251" t="e">
        <f t="shared" si="126"/>
        <v>#VALUE!</v>
      </c>
      <c r="T293" s="251">
        <f t="shared" si="113"/>
        <v>0</v>
      </c>
      <c r="U293" s="252">
        <f>TRUNC(T293*Condições!$C$102,2)</f>
        <v>0</v>
      </c>
      <c r="V293" s="199">
        <f t="shared" si="132"/>
        <v>0</v>
      </c>
      <c r="W293" s="161" t="e">
        <f t="shared" si="109"/>
        <v>#N/A</v>
      </c>
      <c r="X293" s="161" t="e">
        <f t="shared" si="110"/>
        <v>#N/A</v>
      </c>
      <c r="Y293" s="161">
        <f t="shared" si="111"/>
        <v>268</v>
      </c>
      <c r="Z293" s="161">
        <f t="shared" ca="1" si="112"/>
        <v>10</v>
      </c>
      <c r="AG293" s="114">
        <f t="shared" si="133"/>
        <v>0</v>
      </c>
      <c r="AH293" s="113"/>
      <c r="AI293" s="199">
        <f ca="1">IF(AL293=0,0,IF(AL293&gt;Preenchimento!$AA$88*12,0,IF($AC$53=AM293,0,1)))</f>
        <v>0</v>
      </c>
      <c r="AJ293" s="161" t="e">
        <f t="shared" ca="1" si="127"/>
        <v>#N/A</v>
      </c>
      <c r="AK293" s="161" t="e">
        <f t="shared" ca="1" si="128"/>
        <v>#N/A</v>
      </c>
      <c r="AL293" s="161">
        <f ca="1">IF(Y293&gt;(Preenchimento!$AA$90*12),0,Fixa!Y293)</f>
        <v>0</v>
      </c>
      <c r="AM293" s="161">
        <f t="shared" ca="1" si="134"/>
        <v>10</v>
      </c>
      <c r="AN293" s="199">
        <f ca="1">IF(AQ293&gt;Preenchimento!$AA$90*12,0,1)</f>
        <v>0</v>
      </c>
      <c r="AO293" s="161" t="e">
        <f ca="1">1/((1+SAC!$AD$29)^AL293)</f>
        <v>#N/A</v>
      </c>
      <c r="AP293" s="82" t="e">
        <f t="shared" ca="1" si="135"/>
        <v>#N/A</v>
      </c>
      <c r="AQ293" s="82">
        <v>268</v>
      </c>
      <c r="AS293" s="477">
        <f t="shared" ca="1" si="129"/>
        <v>0</v>
      </c>
    </row>
    <row r="294" spans="1:45">
      <c r="A294" s="53">
        <v>269</v>
      </c>
      <c r="B294" s="249">
        <f ca="1">DATE(IF(MONTH(B293)=12,YEAR(B293)+1,YEAR(B293)),IF(MONTH(B293)=12,1,MONTH(B293)+1),MIN(DAY(Condições!$C$109),IF(IF(MONTH(B293)=12,1,MONTH(B293)+1)=2,IF(MOD(IF(MONTH(B293)=12,YEAR(B293)+1,YEAR(B293)),4)=0,29,28),IF(OR(IF(MONTH(B293)=12,1,MONTH(B293)+1)=4,IF(MONTH(B293)=12,1,MONTH(B293)+1)=6,IF(MONTH(B293)=12,1,MONTH(B293)+1)=9,IF(MONTH(B293)=12,1,MONTH(B293)+1)=11),30,DAY($B$25)))))</f>
        <v>54378</v>
      </c>
      <c r="C294" s="250" t="str">
        <f t="shared" si="114"/>
        <v/>
      </c>
      <c r="D294" s="251" t="e">
        <f t="shared" si="115"/>
        <v>#N/A</v>
      </c>
      <c r="E294" s="251">
        <f t="shared" si="116"/>
        <v>0</v>
      </c>
      <c r="F294" s="251">
        <f t="shared" si="117"/>
        <v>0</v>
      </c>
      <c r="G294" s="251">
        <f t="shared" si="118"/>
        <v>0</v>
      </c>
      <c r="H294" s="251" t="e">
        <f t="shared" si="119"/>
        <v>#VALUE!</v>
      </c>
      <c r="I294" s="251">
        <f t="shared" si="120"/>
        <v>0</v>
      </c>
      <c r="J294" s="251">
        <f t="shared" si="130"/>
        <v>0</v>
      </c>
      <c r="K294" s="251">
        <f t="shared" si="121"/>
        <v>0</v>
      </c>
      <c r="M294" s="224"/>
      <c r="N294" s="225">
        <f t="shared" si="122"/>
        <v>0</v>
      </c>
      <c r="O294" s="251" t="e">
        <f t="shared" si="123"/>
        <v>#N/A</v>
      </c>
      <c r="P294" s="251">
        <f t="shared" si="131"/>
        <v>0</v>
      </c>
      <c r="Q294" s="251">
        <f t="shared" si="124"/>
        <v>0</v>
      </c>
      <c r="R294" s="251">
        <f t="shared" si="125"/>
        <v>0</v>
      </c>
      <c r="S294" s="251" t="e">
        <f t="shared" si="126"/>
        <v>#VALUE!</v>
      </c>
      <c r="T294" s="251">
        <f t="shared" si="113"/>
        <v>0</v>
      </c>
      <c r="U294" s="252">
        <f>TRUNC(T294*Condições!$C$102,2)</f>
        <v>0</v>
      </c>
      <c r="V294" s="199">
        <f t="shared" si="132"/>
        <v>0</v>
      </c>
      <c r="W294" s="161" t="e">
        <f t="shared" si="109"/>
        <v>#N/A</v>
      </c>
      <c r="X294" s="161" t="e">
        <f t="shared" si="110"/>
        <v>#N/A</v>
      </c>
      <c r="Y294" s="161">
        <f t="shared" si="111"/>
        <v>269</v>
      </c>
      <c r="Z294" s="161">
        <f t="shared" ca="1" si="112"/>
        <v>11</v>
      </c>
      <c r="AG294" s="114">
        <f t="shared" si="133"/>
        <v>0</v>
      </c>
      <c r="AH294" s="113"/>
      <c r="AI294" s="199">
        <f ca="1">IF(AL294=0,0,IF(AL294&gt;Preenchimento!$AA$88*12,0,IF($AC$53=AM294,0,1)))</f>
        <v>0</v>
      </c>
      <c r="AJ294" s="161" t="e">
        <f t="shared" ca="1" si="127"/>
        <v>#N/A</v>
      </c>
      <c r="AK294" s="161" t="e">
        <f t="shared" ca="1" si="128"/>
        <v>#N/A</v>
      </c>
      <c r="AL294" s="161">
        <f ca="1">IF(Y294&gt;(Preenchimento!$AA$90*12),0,Fixa!Y294)</f>
        <v>0</v>
      </c>
      <c r="AM294" s="161">
        <f t="shared" ca="1" si="134"/>
        <v>11</v>
      </c>
      <c r="AN294" s="199">
        <f ca="1">IF(AQ294&gt;Preenchimento!$AA$90*12,0,1)</f>
        <v>0</v>
      </c>
      <c r="AO294" s="161" t="e">
        <f ca="1">1/((1+SAC!$AD$29)^AL294)</f>
        <v>#N/A</v>
      </c>
      <c r="AP294" s="82" t="e">
        <f t="shared" ca="1" si="135"/>
        <v>#N/A</v>
      </c>
      <c r="AQ294" s="82">
        <v>269</v>
      </c>
      <c r="AS294" s="477">
        <f t="shared" ca="1" si="129"/>
        <v>0</v>
      </c>
    </row>
    <row r="295" spans="1:45">
      <c r="A295" s="53">
        <v>270</v>
      </c>
      <c r="B295" s="249">
        <f ca="1">DATE(IF(MONTH(B294)=12,YEAR(B294)+1,YEAR(B294)),IF(MONTH(B294)=12,1,MONTH(B294)+1),MIN(DAY(Condições!$C$109),IF(IF(MONTH(B294)=12,1,MONTH(B294)+1)=2,IF(MOD(IF(MONTH(B294)=12,YEAR(B294)+1,YEAR(B294)),4)=0,29,28),IF(OR(IF(MONTH(B294)=12,1,MONTH(B294)+1)=4,IF(MONTH(B294)=12,1,MONTH(B294)+1)=6,IF(MONTH(B294)=12,1,MONTH(B294)+1)=9,IF(MONTH(B294)=12,1,MONTH(B294)+1)=11),30,DAY($B$25)))))</f>
        <v>54408</v>
      </c>
      <c r="C295" s="250" t="str">
        <f t="shared" si="114"/>
        <v/>
      </c>
      <c r="D295" s="251" t="e">
        <f t="shared" si="115"/>
        <v>#N/A</v>
      </c>
      <c r="E295" s="251">
        <f t="shared" si="116"/>
        <v>0</v>
      </c>
      <c r="F295" s="251">
        <f t="shared" si="117"/>
        <v>0</v>
      </c>
      <c r="G295" s="251">
        <f t="shared" si="118"/>
        <v>0</v>
      </c>
      <c r="H295" s="251" t="e">
        <f t="shared" si="119"/>
        <v>#VALUE!</v>
      </c>
      <c r="I295" s="251">
        <f t="shared" si="120"/>
        <v>0</v>
      </c>
      <c r="J295" s="251">
        <f t="shared" si="130"/>
        <v>0</v>
      </c>
      <c r="K295" s="251">
        <f t="shared" si="121"/>
        <v>0</v>
      </c>
      <c r="M295" s="224"/>
      <c r="N295" s="225">
        <f t="shared" si="122"/>
        <v>0</v>
      </c>
      <c r="O295" s="251" t="e">
        <f t="shared" si="123"/>
        <v>#N/A</v>
      </c>
      <c r="P295" s="251">
        <f t="shared" si="131"/>
        <v>0</v>
      </c>
      <c r="Q295" s="251">
        <f t="shared" si="124"/>
        <v>0</v>
      </c>
      <c r="R295" s="251">
        <f t="shared" si="125"/>
        <v>0</v>
      </c>
      <c r="S295" s="251" t="e">
        <f t="shared" si="126"/>
        <v>#VALUE!</v>
      </c>
      <c r="T295" s="251">
        <f t="shared" si="113"/>
        <v>0</v>
      </c>
      <c r="U295" s="252">
        <f>TRUNC(T295*Condições!$C$102,2)</f>
        <v>0</v>
      </c>
      <c r="V295" s="199">
        <f t="shared" si="132"/>
        <v>0</v>
      </c>
      <c r="W295" s="161" t="e">
        <f t="shared" si="109"/>
        <v>#N/A</v>
      </c>
      <c r="X295" s="161" t="e">
        <f t="shared" si="110"/>
        <v>#N/A</v>
      </c>
      <c r="Y295" s="161">
        <f t="shared" si="111"/>
        <v>270</v>
      </c>
      <c r="Z295" s="161">
        <f t="shared" ca="1" si="112"/>
        <v>12</v>
      </c>
      <c r="AG295" s="114">
        <f t="shared" si="133"/>
        <v>0</v>
      </c>
      <c r="AH295" s="113"/>
      <c r="AI295" s="199">
        <f ca="1">IF(AL295=0,0,IF(AL295&gt;Preenchimento!$AA$88*12,0,IF($AC$53=AM295,0,1)))</f>
        <v>0</v>
      </c>
      <c r="AJ295" s="161" t="e">
        <f t="shared" ca="1" si="127"/>
        <v>#N/A</v>
      </c>
      <c r="AK295" s="161" t="e">
        <f t="shared" ca="1" si="128"/>
        <v>#N/A</v>
      </c>
      <c r="AL295" s="161">
        <f ca="1">IF(Y295&gt;(Preenchimento!$AA$90*12),0,Fixa!Y295)</f>
        <v>0</v>
      </c>
      <c r="AM295" s="161">
        <f t="shared" ca="1" si="134"/>
        <v>12</v>
      </c>
      <c r="AN295" s="199">
        <f ca="1">IF(AQ295&gt;Preenchimento!$AA$90*12,0,1)</f>
        <v>0</v>
      </c>
      <c r="AO295" s="161" t="e">
        <f ca="1">1/((1+SAC!$AD$29)^AL295)</f>
        <v>#N/A</v>
      </c>
      <c r="AP295" s="82" t="e">
        <f t="shared" ca="1" si="135"/>
        <v>#N/A</v>
      </c>
      <c r="AQ295" s="82">
        <v>270</v>
      </c>
      <c r="AS295" s="477">
        <f t="shared" ca="1" si="129"/>
        <v>0</v>
      </c>
    </row>
    <row r="296" spans="1:45">
      <c r="A296" s="53">
        <v>271</v>
      </c>
      <c r="B296" s="249">
        <f ca="1">DATE(IF(MONTH(B295)=12,YEAR(B295)+1,YEAR(B295)),IF(MONTH(B295)=12,1,MONTH(B295)+1),MIN(DAY(Condições!$C$109),IF(IF(MONTH(B295)=12,1,MONTH(B295)+1)=2,IF(MOD(IF(MONTH(B295)=12,YEAR(B295)+1,YEAR(B295)),4)=0,29,28),IF(OR(IF(MONTH(B295)=12,1,MONTH(B295)+1)=4,IF(MONTH(B295)=12,1,MONTH(B295)+1)=6,IF(MONTH(B295)=12,1,MONTH(B295)+1)=9,IF(MONTH(B295)=12,1,MONTH(B295)+1)=11),30,DAY($B$25)))))</f>
        <v>54439</v>
      </c>
      <c r="C296" s="250" t="str">
        <f t="shared" si="114"/>
        <v/>
      </c>
      <c r="D296" s="251" t="e">
        <f t="shared" si="115"/>
        <v>#N/A</v>
      </c>
      <c r="E296" s="251">
        <f t="shared" si="116"/>
        <v>0</v>
      </c>
      <c r="F296" s="251">
        <f t="shared" si="117"/>
        <v>0</v>
      </c>
      <c r="G296" s="251">
        <f t="shared" si="118"/>
        <v>0</v>
      </c>
      <c r="H296" s="251" t="e">
        <f t="shared" si="119"/>
        <v>#VALUE!</v>
      </c>
      <c r="I296" s="251">
        <f t="shared" si="120"/>
        <v>0</v>
      </c>
      <c r="J296" s="251">
        <f t="shared" si="130"/>
        <v>0</v>
      </c>
      <c r="K296" s="251">
        <f t="shared" si="121"/>
        <v>0</v>
      </c>
      <c r="M296" s="224"/>
      <c r="N296" s="225">
        <f t="shared" si="122"/>
        <v>0</v>
      </c>
      <c r="O296" s="251" t="e">
        <f t="shared" si="123"/>
        <v>#N/A</v>
      </c>
      <c r="P296" s="251">
        <f t="shared" si="131"/>
        <v>0</v>
      </c>
      <c r="Q296" s="251">
        <f t="shared" si="124"/>
        <v>0</v>
      </c>
      <c r="R296" s="251">
        <f t="shared" si="125"/>
        <v>0</v>
      </c>
      <c r="S296" s="251" t="e">
        <f t="shared" si="126"/>
        <v>#VALUE!</v>
      </c>
      <c r="T296" s="251">
        <f t="shared" si="113"/>
        <v>0</v>
      </c>
      <c r="U296" s="252">
        <f>TRUNC(T296*Condições!$C$102,2)</f>
        <v>0</v>
      </c>
      <c r="V296" s="199">
        <f t="shared" si="132"/>
        <v>0</v>
      </c>
      <c r="W296" s="161" t="e">
        <f t="shared" si="109"/>
        <v>#N/A</v>
      </c>
      <c r="X296" s="161" t="e">
        <f t="shared" si="110"/>
        <v>#N/A</v>
      </c>
      <c r="Y296" s="161">
        <f t="shared" si="111"/>
        <v>271</v>
      </c>
      <c r="Z296" s="161">
        <f t="shared" ca="1" si="112"/>
        <v>1</v>
      </c>
      <c r="AG296" s="114">
        <f t="shared" si="133"/>
        <v>0</v>
      </c>
      <c r="AH296" s="113"/>
      <c r="AI296" s="199">
        <f ca="1">IF(AL296=0,0,IF(AL296&gt;Preenchimento!$AA$88*12,0,IF($AC$53=AM296,0,1)))</f>
        <v>0</v>
      </c>
      <c r="AJ296" s="161" t="e">
        <f t="shared" ca="1" si="127"/>
        <v>#N/A</v>
      </c>
      <c r="AK296" s="161" t="e">
        <f t="shared" ca="1" si="128"/>
        <v>#N/A</v>
      </c>
      <c r="AL296" s="161">
        <f ca="1">IF(Y296&gt;(Preenchimento!$AA$90*12),0,Fixa!Y296)</f>
        <v>0</v>
      </c>
      <c r="AM296" s="161">
        <f t="shared" ca="1" si="134"/>
        <v>1</v>
      </c>
      <c r="AN296" s="199">
        <f ca="1">IF(AQ296&gt;Preenchimento!$AA$90*12,0,1)</f>
        <v>0</v>
      </c>
      <c r="AO296" s="161" t="e">
        <f ca="1">1/((1+SAC!$AD$29)^AL296)</f>
        <v>#N/A</v>
      </c>
      <c r="AP296" s="82" t="e">
        <f t="shared" ca="1" si="135"/>
        <v>#N/A</v>
      </c>
      <c r="AQ296" s="82">
        <v>271</v>
      </c>
      <c r="AS296" s="477">
        <f t="shared" ca="1" si="129"/>
        <v>0</v>
      </c>
    </row>
    <row r="297" spans="1:45">
      <c r="A297" s="53">
        <v>272</v>
      </c>
      <c r="B297" s="249">
        <f ca="1">DATE(IF(MONTH(B296)=12,YEAR(B296)+1,YEAR(B296)),IF(MONTH(B296)=12,1,MONTH(B296)+1),MIN(DAY(Condições!$C$109),IF(IF(MONTH(B296)=12,1,MONTH(B296)+1)=2,IF(MOD(IF(MONTH(B296)=12,YEAR(B296)+1,YEAR(B296)),4)=0,29,28),IF(OR(IF(MONTH(B296)=12,1,MONTH(B296)+1)=4,IF(MONTH(B296)=12,1,MONTH(B296)+1)=6,IF(MONTH(B296)=12,1,MONTH(B296)+1)=9,IF(MONTH(B296)=12,1,MONTH(B296)+1)=11),30,DAY($B$25)))))</f>
        <v>54470</v>
      </c>
      <c r="C297" s="250" t="str">
        <f t="shared" si="114"/>
        <v/>
      </c>
      <c r="D297" s="251" t="e">
        <f t="shared" si="115"/>
        <v>#N/A</v>
      </c>
      <c r="E297" s="251">
        <f t="shared" si="116"/>
        <v>0</v>
      </c>
      <c r="F297" s="251">
        <f t="shared" si="117"/>
        <v>0</v>
      </c>
      <c r="G297" s="251">
        <f t="shared" si="118"/>
        <v>0</v>
      </c>
      <c r="H297" s="251" t="e">
        <f t="shared" si="119"/>
        <v>#VALUE!</v>
      </c>
      <c r="I297" s="251">
        <f t="shared" si="120"/>
        <v>0</v>
      </c>
      <c r="J297" s="251">
        <f t="shared" si="130"/>
        <v>0</v>
      </c>
      <c r="K297" s="251">
        <f t="shared" si="121"/>
        <v>0</v>
      </c>
      <c r="M297" s="224"/>
      <c r="N297" s="225">
        <f t="shared" si="122"/>
        <v>0</v>
      </c>
      <c r="O297" s="251" t="e">
        <f t="shared" si="123"/>
        <v>#N/A</v>
      </c>
      <c r="P297" s="251">
        <f t="shared" si="131"/>
        <v>0</v>
      </c>
      <c r="Q297" s="251">
        <f t="shared" si="124"/>
        <v>0</v>
      </c>
      <c r="R297" s="251">
        <f t="shared" si="125"/>
        <v>0</v>
      </c>
      <c r="S297" s="251" t="e">
        <f t="shared" si="126"/>
        <v>#VALUE!</v>
      </c>
      <c r="T297" s="251">
        <f t="shared" si="113"/>
        <v>0</v>
      </c>
      <c r="U297" s="252">
        <f>TRUNC(T297*Condições!$C$102,2)</f>
        <v>0</v>
      </c>
      <c r="V297" s="199">
        <f t="shared" si="132"/>
        <v>0</v>
      </c>
      <c r="W297" s="161" t="e">
        <f t="shared" si="109"/>
        <v>#N/A</v>
      </c>
      <c r="X297" s="161" t="e">
        <f t="shared" si="110"/>
        <v>#N/A</v>
      </c>
      <c r="Y297" s="161">
        <f t="shared" si="111"/>
        <v>272</v>
      </c>
      <c r="Z297" s="161">
        <f t="shared" ca="1" si="112"/>
        <v>2</v>
      </c>
      <c r="AG297" s="114">
        <f t="shared" si="133"/>
        <v>0</v>
      </c>
      <c r="AH297" s="113"/>
      <c r="AI297" s="199">
        <f ca="1">IF(AL297=0,0,IF(AL297&gt;Preenchimento!$AA$88*12,0,IF($AC$53=AM297,0,1)))</f>
        <v>0</v>
      </c>
      <c r="AJ297" s="161" t="e">
        <f t="shared" ca="1" si="127"/>
        <v>#N/A</v>
      </c>
      <c r="AK297" s="161" t="e">
        <f t="shared" ca="1" si="128"/>
        <v>#N/A</v>
      </c>
      <c r="AL297" s="161">
        <f ca="1">IF(Y297&gt;(Preenchimento!$AA$90*12),0,Fixa!Y297)</f>
        <v>0</v>
      </c>
      <c r="AM297" s="161">
        <f t="shared" ca="1" si="134"/>
        <v>2</v>
      </c>
      <c r="AN297" s="199">
        <f ca="1">IF(AQ297&gt;Preenchimento!$AA$90*12,0,1)</f>
        <v>0</v>
      </c>
      <c r="AO297" s="161" t="e">
        <f ca="1">1/((1+SAC!$AD$29)^AL297)</f>
        <v>#N/A</v>
      </c>
      <c r="AP297" s="82" t="e">
        <f t="shared" ca="1" si="135"/>
        <v>#N/A</v>
      </c>
      <c r="AQ297" s="82">
        <v>272</v>
      </c>
      <c r="AS297" s="477">
        <f t="shared" ca="1" si="129"/>
        <v>0</v>
      </c>
    </row>
    <row r="298" spans="1:45">
      <c r="A298" s="53">
        <v>273</v>
      </c>
      <c r="B298" s="249">
        <f ca="1">DATE(IF(MONTH(B297)=12,YEAR(B297)+1,YEAR(B297)),IF(MONTH(B297)=12,1,MONTH(B297)+1),MIN(DAY(Condições!$C$109),IF(IF(MONTH(B297)=12,1,MONTH(B297)+1)=2,IF(MOD(IF(MONTH(B297)=12,YEAR(B297)+1,YEAR(B297)),4)=0,29,28),IF(OR(IF(MONTH(B297)=12,1,MONTH(B297)+1)=4,IF(MONTH(B297)=12,1,MONTH(B297)+1)=6,IF(MONTH(B297)=12,1,MONTH(B297)+1)=9,IF(MONTH(B297)=12,1,MONTH(B297)+1)=11),30,DAY($B$25)))))</f>
        <v>54498</v>
      </c>
      <c r="C298" s="250" t="str">
        <f t="shared" si="114"/>
        <v/>
      </c>
      <c r="D298" s="251" t="e">
        <f t="shared" si="115"/>
        <v>#N/A</v>
      </c>
      <c r="E298" s="251">
        <f t="shared" si="116"/>
        <v>0</v>
      </c>
      <c r="F298" s="251">
        <f t="shared" si="117"/>
        <v>0</v>
      </c>
      <c r="G298" s="251">
        <f t="shared" si="118"/>
        <v>0</v>
      </c>
      <c r="H298" s="251" t="e">
        <f t="shared" si="119"/>
        <v>#VALUE!</v>
      </c>
      <c r="I298" s="251">
        <f t="shared" si="120"/>
        <v>0</v>
      </c>
      <c r="J298" s="251">
        <f t="shared" si="130"/>
        <v>0</v>
      </c>
      <c r="K298" s="251">
        <f t="shared" si="121"/>
        <v>0</v>
      </c>
      <c r="M298" s="224"/>
      <c r="N298" s="225">
        <f t="shared" si="122"/>
        <v>0</v>
      </c>
      <c r="O298" s="251" t="e">
        <f t="shared" si="123"/>
        <v>#N/A</v>
      </c>
      <c r="P298" s="251">
        <f t="shared" si="131"/>
        <v>0</v>
      </c>
      <c r="Q298" s="251">
        <f t="shared" si="124"/>
        <v>0</v>
      </c>
      <c r="R298" s="251">
        <f t="shared" si="125"/>
        <v>0</v>
      </c>
      <c r="S298" s="251" t="e">
        <f t="shared" si="126"/>
        <v>#VALUE!</v>
      </c>
      <c r="T298" s="251">
        <f t="shared" si="113"/>
        <v>0</v>
      </c>
      <c r="U298" s="252">
        <f>TRUNC(T298*Condições!$C$102,2)</f>
        <v>0</v>
      </c>
      <c r="V298" s="199">
        <f t="shared" si="132"/>
        <v>0</v>
      </c>
      <c r="W298" s="161" t="e">
        <f t="shared" si="109"/>
        <v>#N/A</v>
      </c>
      <c r="X298" s="161" t="e">
        <f t="shared" si="110"/>
        <v>#N/A</v>
      </c>
      <c r="Y298" s="161">
        <f t="shared" si="111"/>
        <v>273</v>
      </c>
      <c r="Z298" s="161">
        <f t="shared" ca="1" si="112"/>
        <v>3</v>
      </c>
      <c r="AG298" s="114">
        <f t="shared" si="133"/>
        <v>0</v>
      </c>
      <c r="AH298" s="113"/>
      <c r="AI298" s="199">
        <f ca="1">IF(AL298=0,0,IF(AL298&gt;Preenchimento!$AA$88*12,0,IF($AC$53=AM298,0,1)))</f>
        <v>0</v>
      </c>
      <c r="AJ298" s="161" t="e">
        <f t="shared" ca="1" si="127"/>
        <v>#N/A</v>
      </c>
      <c r="AK298" s="161" t="e">
        <f t="shared" ca="1" si="128"/>
        <v>#N/A</v>
      </c>
      <c r="AL298" s="161">
        <f ca="1">IF(Y298&gt;(Preenchimento!$AA$90*12),0,Fixa!Y298)</f>
        <v>0</v>
      </c>
      <c r="AM298" s="161">
        <f t="shared" ca="1" si="134"/>
        <v>3</v>
      </c>
      <c r="AN298" s="199">
        <f ca="1">IF(AQ298&gt;Preenchimento!$AA$90*12,0,1)</f>
        <v>0</v>
      </c>
      <c r="AO298" s="161" t="e">
        <f ca="1">1/((1+SAC!$AD$29)^AL298)</f>
        <v>#N/A</v>
      </c>
      <c r="AP298" s="82" t="e">
        <f t="shared" ca="1" si="135"/>
        <v>#N/A</v>
      </c>
      <c r="AQ298" s="82">
        <v>273</v>
      </c>
      <c r="AS298" s="477">
        <f t="shared" ca="1" si="129"/>
        <v>0</v>
      </c>
    </row>
    <row r="299" spans="1:45">
      <c r="A299" s="53">
        <v>274</v>
      </c>
      <c r="B299" s="249">
        <f ca="1">DATE(IF(MONTH(B298)=12,YEAR(B298)+1,YEAR(B298)),IF(MONTH(B298)=12,1,MONTH(B298)+1),MIN(DAY(Condições!$C$109),IF(IF(MONTH(B298)=12,1,MONTH(B298)+1)=2,IF(MOD(IF(MONTH(B298)=12,YEAR(B298)+1,YEAR(B298)),4)=0,29,28),IF(OR(IF(MONTH(B298)=12,1,MONTH(B298)+1)=4,IF(MONTH(B298)=12,1,MONTH(B298)+1)=6,IF(MONTH(B298)=12,1,MONTH(B298)+1)=9,IF(MONTH(B298)=12,1,MONTH(B298)+1)=11),30,DAY($B$25)))))</f>
        <v>54529</v>
      </c>
      <c r="C299" s="250" t="str">
        <f t="shared" si="114"/>
        <v/>
      </c>
      <c r="D299" s="251" t="e">
        <f t="shared" si="115"/>
        <v>#N/A</v>
      </c>
      <c r="E299" s="251">
        <f t="shared" si="116"/>
        <v>0</v>
      </c>
      <c r="F299" s="251">
        <f t="shared" si="117"/>
        <v>0</v>
      </c>
      <c r="G299" s="251">
        <f t="shared" si="118"/>
        <v>0</v>
      </c>
      <c r="H299" s="251" t="e">
        <f t="shared" si="119"/>
        <v>#VALUE!</v>
      </c>
      <c r="I299" s="251">
        <f t="shared" si="120"/>
        <v>0</v>
      </c>
      <c r="J299" s="251">
        <f t="shared" si="130"/>
        <v>0</v>
      </c>
      <c r="K299" s="251">
        <f t="shared" si="121"/>
        <v>0</v>
      </c>
      <c r="M299" s="224"/>
      <c r="N299" s="225">
        <f t="shared" si="122"/>
        <v>0</v>
      </c>
      <c r="O299" s="251" t="e">
        <f t="shared" si="123"/>
        <v>#N/A</v>
      </c>
      <c r="P299" s="251">
        <f t="shared" si="131"/>
        <v>0</v>
      </c>
      <c r="Q299" s="251">
        <f t="shared" si="124"/>
        <v>0</v>
      </c>
      <c r="R299" s="251">
        <f t="shared" si="125"/>
        <v>0</v>
      </c>
      <c r="S299" s="251" t="e">
        <f t="shared" si="126"/>
        <v>#VALUE!</v>
      </c>
      <c r="T299" s="251">
        <f t="shared" si="113"/>
        <v>0</v>
      </c>
      <c r="U299" s="252">
        <f>TRUNC(T299*Condições!$C$102,2)</f>
        <v>0</v>
      </c>
      <c r="V299" s="199">
        <f t="shared" si="132"/>
        <v>0</v>
      </c>
      <c r="W299" s="161" t="e">
        <f t="shared" si="109"/>
        <v>#N/A</v>
      </c>
      <c r="X299" s="161" t="e">
        <f t="shared" si="110"/>
        <v>#N/A</v>
      </c>
      <c r="Y299" s="161">
        <f t="shared" si="111"/>
        <v>274</v>
      </c>
      <c r="Z299" s="161">
        <f t="shared" ca="1" si="112"/>
        <v>4</v>
      </c>
      <c r="AG299" s="114">
        <f t="shared" si="133"/>
        <v>0</v>
      </c>
      <c r="AH299" s="113"/>
      <c r="AI299" s="199">
        <f ca="1">IF(AL299=0,0,IF(AL299&gt;Preenchimento!$AA$88*12,0,IF($AC$53=AM299,0,1)))</f>
        <v>0</v>
      </c>
      <c r="AJ299" s="161" t="e">
        <f t="shared" ca="1" si="127"/>
        <v>#N/A</v>
      </c>
      <c r="AK299" s="161" t="e">
        <f t="shared" ca="1" si="128"/>
        <v>#N/A</v>
      </c>
      <c r="AL299" s="161">
        <f ca="1">IF(Y299&gt;(Preenchimento!$AA$90*12),0,Fixa!Y299)</f>
        <v>0</v>
      </c>
      <c r="AM299" s="161">
        <f t="shared" ca="1" si="134"/>
        <v>4</v>
      </c>
      <c r="AN299" s="199">
        <f ca="1">IF(AQ299&gt;Preenchimento!$AA$90*12,0,1)</f>
        <v>0</v>
      </c>
      <c r="AO299" s="161" t="e">
        <f ca="1">1/((1+SAC!$AD$29)^AL299)</f>
        <v>#N/A</v>
      </c>
      <c r="AP299" s="82" t="e">
        <f t="shared" ca="1" si="135"/>
        <v>#N/A</v>
      </c>
      <c r="AQ299" s="82">
        <v>274</v>
      </c>
      <c r="AS299" s="477">
        <f t="shared" ca="1" si="129"/>
        <v>0</v>
      </c>
    </row>
    <row r="300" spans="1:45">
      <c r="A300" s="53">
        <v>275</v>
      </c>
      <c r="B300" s="249">
        <f ca="1">DATE(IF(MONTH(B299)=12,YEAR(B299)+1,YEAR(B299)),IF(MONTH(B299)=12,1,MONTH(B299)+1),MIN(DAY(Condições!$C$109),IF(IF(MONTH(B299)=12,1,MONTH(B299)+1)=2,IF(MOD(IF(MONTH(B299)=12,YEAR(B299)+1,YEAR(B299)),4)=0,29,28),IF(OR(IF(MONTH(B299)=12,1,MONTH(B299)+1)=4,IF(MONTH(B299)=12,1,MONTH(B299)+1)=6,IF(MONTH(B299)=12,1,MONTH(B299)+1)=9,IF(MONTH(B299)=12,1,MONTH(B299)+1)=11),30,DAY($B$25)))))</f>
        <v>54559</v>
      </c>
      <c r="C300" s="250" t="str">
        <f t="shared" si="114"/>
        <v/>
      </c>
      <c r="D300" s="251" t="e">
        <f t="shared" si="115"/>
        <v>#N/A</v>
      </c>
      <c r="E300" s="251">
        <f t="shared" si="116"/>
        <v>0</v>
      </c>
      <c r="F300" s="251">
        <f t="shared" si="117"/>
        <v>0</v>
      </c>
      <c r="G300" s="251">
        <f t="shared" si="118"/>
        <v>0</v>
      </c>
      <c r="H300" s="251" t="e">
        <f t="shared" si="119"/>
        <v>#VALUE!</v>
      </c>
      <c r="I300" s="251">
        <f t="shared" si="120"/>
        <v>0</v>
      </c>
      <c r="J300" s="251">
        <f t="shared" si="130"/>
        <v>0</v>
      </c>
      <c r="K300" s="251">
        <f t="shared" si="121"/>
        <v>0</v>
      </c>
      <c r="M300" s="224"/>
      <c r="N300" s="225">
        <f t="shared" si="122"/>
        <v>0</v>
      </c>
      <c r="O300" s="251" t="e">
        <f t="shared" si="123"/>
        <v>#N/A</v>
      </c>
      <c r="P300" s="251">
        <f t="shared" si="131"/>
        <v>0</v>
      </c>
      <c r="Q300" s="251">
        <f t="shared" si="124"/>
        <v>0</v>
      </c>
      <c r="R300" s="251">
        <f t="shared" si="125"/>
        <v>0</v>
      </c>
      <c r="S300" s="251" t="e">
        <f t="shared" si="126"/>
        <v>#VALUE!</v>
      </c>
      <c r="T300" s="251">
        <f t="shared" si="113"/>
        <v>0</v>
      </c>
      <c r="U300" s="252">
        <f>TRUNC(T300*Condições!$C$102,2)</f>
        <v>0</v>
      </c>
      <c r="V300" s="199">
        <f t="shared" si="132"/>
        <v>0</v>
      </c>
      <c r="W300" s="161" t="e">
        <f t="shared" si="109"/>
        <v>#N/A</v>
      </c>
      <c r="X300" s="161" t="e">
        <f t="shared" si="110"/>
        <v>#N/A</v>
      </c>
      <c r="Y300" s="161">
        <f t="shared" si="111"/>
        <v>275</v>
      </c>
      <c r="Z300" s="161">
        <f t="shared" ca="1" si="112"/>
        <v>5</v>
      </c>
      <c r="AG300" s="114">
        <f t="shared" si="133"/>
        <v>0</v>
      </c>
      <c r="AH300" s="113"/>
      <c r="AI300" s="199">
        <f ca="1">IF(AL300=0,0,IF(AL300&gt;Preenchimento!$AA$88*12,0,IF($AC$53=AM300,0,1)))</f>
        <v>0</v>
      </c>
      <c r="AJ300" s="161" t="e">
        <f t="shared" ca="1" si="127"/>
        <v>#N/A</v>
      </c>
      <c r="AK300" s="161" t="e">
        <f t="shared" ca="1" si="128"/>
        <v>#N/A</v>
      </c>
      <c r="AL300" s="161">
        <f ca="1">IF(Y300&gt;(Preenchimento!$AA$90*12),0,Fixa!Y300)</f>
        <v>0</v>
      </c>
      <c r="AM300" s="161">
        <f t="shared" ca="1" si="134"/>
        <v>5</v>
      </c>
      <c r="AN300" s="199">
        <f ca="1">IF(AQ300&gt;Preenchimento!$AA$90*12,0,1)</f>
        <v>0</v>
      </c>
      <c r="AO300" s="161" t="e">
        <f ca="1">1/((1+SAC!$AD$29)^AL300)</f>
        <v>#N/A</v>
      </c>
      <c r="AP300" s="82" t="e">
        <f t="shared" ca="1" si="135"/>
        <v>#N/A</v>
      </c>
      <c r="AQ300" s="82">
        <v>275</v>
      </c>
      <c r="AS300" s="477">
        <f t="shared" ca="1" si="129"/>
        <v>0</v>
      </c>
    </row>
    <row r="301" spans="1:45">
      <c r="A301" s="53">
        <v>276</v>
      </c>
      <c r="B301" s="249">
        <f ca="1">DATE(IF(MONTH(B300)=12,YEAR(B300)+1,YEAR(B300)),IF(MONTH(B300)=12,1,MONTH(B300)+1),MIN(DAY(Condições!$C$109),IF(IF(MONTH(B300)=12,1,MONTH(B300)+1)=2,IF(MOD(IF(MONTH(B300)=12,YEAR(B300)+1,YEAR(B300)),4)=0,29,28),IF(OR(IF(MONTH(B300)=12,1,MONTH(B300)+1)=4,IF(MONTH(B300)=12,1,MONTH(B300)+1)=6,IF(MONTH(B300)=12,1,MONTH(B300)+1)=9,IF(MONTH(B300)=12,1,MONTH(B300)+1)=11),30,DAY($B$25)))))</f>
        <v>54590</v>
      </c>
      <c r="C301" s="250" t="str">
        <f t="shared" si="114"/>
        <v/>
      </c>
      <c r="D301" s="251" t="e">
        <f t="shared" si="115"/>
        <v>#N/A</v>
      </c>
      <c r="E301" s="251">
        <f t="shared" si="116"/>
        <v>0</v>
      </c>
      <c r="F301" s="251">
        <f t="shared" si="117"/>
        <v>0</v>
      </c>
      <c r="G301" s="251">
        <f t="shared" si="118"/>
        <v>0</v>
      </c>
      <c r="H301" s="251" t="e">
        <f t="shared" si="119"/>
        <v>#VALUE!</v>
      </c>
      <c r="I301" s="251">
        <f t="shared" si="120"/>
        <v>0</v>
      </c>
      <c r="J301" s="251">
        <f t="shared" si="130"/>
        <v>0</v>
      </c>
      <c r="K301" s="251">
        <f t="shared" si="121"/>
        <v>0</v>
      </c>
      <c r="M301" s="224"/>
      <c r="N301" s="225">
        <f t="shared" si="122"/>
        <v>0</v>
      </c>
      <c r="O301" s="251" t="e">
        <f t="shared" si="123"/>
        <v>#N/A</v>
      </c>
      <c r="P301" s="251">
        <f t="shared" si="131"/>
        <v>0</v>
      </c>
      <c r="Q301" s="251">
        <f t="shared" si="124"/>
        <v>0</v>
      </c>
      <c r="R301" s="251">
        <f t="shared" si="125"/>
        <v>0</v>
      </c>
      <c r="S301" s="251" t="e">
        <f t="shared" si="126"/>
        <v>#VALUE!</v>
      </c>
      <c r="T301" s="251">
        <f t="shared" si="113"/>
        <v>0</v>
      </c>
      <c r="U301" s="252">
        <f>TRUNC(T301*Condições!$C$102,2)</f>
        <v>0</v>
      </c>
      <c r="V301" s="199">
        <f t="shared" si="132"/>
        <v>0</v>
      </c>
      <c r="W301" s="161" t="e">
        <f t="shared" si="109"/>
        <v>#N/A</v>
      </c>
      <c r="X301" s="161" t="e">
        <f t="shared" si="110"/>
        <v>#N/A</v>
      </c>
      <c r="Y301" s="161">
        <f t="shared" si="111"/>
        <v>276</v>
      </c>
      <c r="Z301" s="161">
        <f t="shared" ca="1" si="112"/>
        <v>6</v>
      </c>
      <c r="AG301" s="114">
        <f t="shared" si="133"/>
        <v>0</v>
      </c>
      <c r="AH301" s="113"/>
      <c r="AI301" s="199">
        <f ca="1">IF(AL301=0,0,IF(AL301&gt;Preenchimento!$AA$88*12,0,IF($AC$53=AM301,0,1)))</f>
        <v>0</v>
      </c>
      <c r="AJ301" s="161" t="e">
        <f t="shared" ca="1" si="127"/>
        <v>#N/A</v>
      </c>
      <c r="AK301" s="161" t="e">
        <f t="shared" ca="1" si="128"/>
        <v>#N/A</v>
      </c>
      <c r="AL301" s="161">
        <f ca="1">IF(Y301&gt;(Preenchimento!$AA$90*12),0,Fixa!Y301)</f>
        <v>0</v>
      </c>
      <c r="AM301" s="161">
        <f t="shared" ca="1" si="134"/>
        <v>6</v>
      </c>
      <c r="AN301" s="199">
        <f ca="1">IF(AQ301&gt;Preenchimento!$AA$90*12,0,1)</f>
        <v>0</v>
      </c>
      <c r="AO301" s="161" t="e">
        <f ca="1">1/((1+SAC!$AD$29)^AL301)</f>
        <v>#N/A</v>
      </c>
      <c r="AP301" s="82" t="e">
        <f t="shared" ca="1" si="135"/>
        <v>#N/A</v>
      </c>
      <c r="AQ301" s="82">
        <v>276</v>
      </c>
      <c r="AS301" s="477">
        <f t="shared" ca="1" si="129"/>
        <v>0</v>
      </c>
    </row>
    <row r="302" spans="1:45">
      <c r="A302" s="53">
        <v>277</v>
      </c>
      <c r="B302" s="249">
        <f ca="1">DATE(IF(MONTH(B301)=12,YEAR(B301)+1,YEAR(B301)),IF(MONTH(B301)=12,1,MONTH(B301)+1),MIN(DAY(Condições!$C$109),IF(IF(MONTH(B301)=12,1,MONTH(B301)+1)=2,IF(MOD(IF(MONTH(B301)=12,YEAR(B301)+1,YEAR(B301)),4)=0,29,28),IF(OR(IF(MONTH(B301)=12,1,MONTH(B301)+1)=4,IF(MONTH(B301)=12,1,MONTH(B301)+1)=6,IF(MONTH(B301)=12,1,MONTH(B301)+1)=9,IF(MONTH(B301)=12,1,MONTH(B301)+1)=11),30,DAY($B$25)))))</f>
        <v>54620</v>
      </c>
      <c r="C302" s="250" t="str">
        <f t="shared" si="114"/>
        <v/>
      </c>
      <c r="D302" s="251" t="e">
        <f t="shared" si="115"/>
        <v>#N/A</v>
      </c>
      <c r="E302" s="251">
        <f t="shared" si="116"/>
        <v>0</v>
      </c>
      <c r="F302" s="251">
        <f t="shared" si="117"/>
        <v>0</v>
      </c>
      <c r="G302" s="251">
        <f t="shared" si="118"/>
        <v>0</v>
      </c>
      <c r="H302" s="251" t="e">
        <f t="shared" si="119"/>
        <v>#VALUE!</v>
      </c>
      <c r="I302" s="251">
        <f t="shared" si="120"/>
        <v>0</v>
      </c>
      <c r="J302" s="251">
        <f t="shared" si="130"/>
        <v>0</v>
      </c>
      <c r="K302" s="251">
        <f t="shared" si="121"/>
        <v>0</v>
      </c>
      <c r="M302" s="224"/>
      <c r="N302" s="225">
        <f t="shared" si="122"/>
        <v>0</v>
      </c>
      <c r="O302" s="251" t="e">
        <f t="shared" si="123"/>
        <v>#N/A</v>
      </c>
      <c r="P302" s="251">
        <f t="shared" si="131"/>
        <v>0</v>
      </c>
      <c r="Q302" s="251">
        <f t="shared" si="124"/>
        <v>0</v>
      </c>
      <c r="R302" s="251">
        <f t="shared" si="125"/>
        <v>0</v>
      </c>
      <c r="S302" s="251" t="e">
        <f t="shared" si="126"/>
        <v>#VALUE!</v>
      </c>
      <c r="T302" s="251">
        <f t="shared" si="113"/>
        <v>0</v>
      </c>
      <c r="U302" s="252">
        <f>TRUNC(T302*Condições!$C$102,2)</f>
        <v>0</v>
      </c>
      <c r="V302" s="199">
        <f t="shared" si="132"/>
        <v>0</v>
      </c>
      <c r="W302" s="161" t="e">
        <f t="shared" si="109"/>
        <v>#N/A</v>
      </c>
      <c r="X302" s="161" t="e">
        <f t="shared" si="110"/>
        <v>#N/A</v>
      </c>
      <c r="Y302" s="161">
        <f t="shared" si="111"/>
        <v>277</v>
      </c>
      <c r="Z302" s="161">
        <f t="shared" ca="1" si="112"/>
        <v>7</v>
      </c>
      <c r="AG302" s="114">
        <f t="shared" si="133"/>
        <v>0</v>
      </c>
      <c r="AH302" s="113"/>
      <c r="AI302" s="199">
        <f ca="1">IF(AL302=0,0,IF(AL302&gt;Preenchimento!$AA$88*12,0,IF($AC$53=AM302,0,1)))</f>
        <v>0</v>
      </c>
      <c r="AJ302" s="161" t="e">
        <f t="shared" ca="1" si="127"/>
        <v>#N/A</v>
      </c>
      <c r="AK302" s="161" t="e">
        <f t="shared" ca="1" si="128"/>
        <v>#N/A</v>
      </c>
      <c r="AL302" s="161">
        <f ca="1">IF(Y302&gt;(Preenchimento!$AA$90*12),0,Fixa!Y302)</f>
        <v>0</v>
      </c>
      <c r="AM302" s="161">
        <f t="shared" ca="1" si="134"/>
        <v>7</v>
      </c>
      <c r="AN302" s="199">
        <f ca="1">IF(AQ302&gt;Preenchimento!$AA$90*12,0,1)</f>
        <v>0</v>
      </c>
      <c r="AO302" s="161" t="e">
        <f ca="1">1/((1+SAC!$AD$29)^AL302)</f>
        <v>#N/A</v>
      </c>
      <c r="AP302" s="82" t="e">
        <f t="shared" ca="1" si="135"/>
        <v>#N/A</v>
      </c>
      <c r="AQ302" s="82">
        <v>277</v>
      </c>
      <c r="AS302" s="477">
        <f t="shared" ca="1" si="129"/>
        <v>0</v>
      </c>
    </row>
    <row r="303" spans="1:45">
      <c r="A303" s="53">
        <v>278</v>
      </c>
      <c r="B303" s="249">
        <f ca="1">DATE(IF(MONTH(B302)=12,YEAR(B302)+1,YEAR(B302)),IF(MONTH(B302)=12,1,MONTH(B302)+1),MIN(DAY(Condições!$C$109),IF(IF(MONTH(B302)=12,1,MONTH(B302)+1)=2,IF(MOD(IF(MONTH(B302)=12,YEAR(B302)+1,YEAR(B302)),4)=0,29,28),IF(OR(IF(MONTH(B302)=12,1,MONTH(B302)+1)=4,IF(MONTH(B302)=12,1,MONTH(B302)+1)=6,IF(MONTH(B302)=12,1,MONTH(B302)+1)=9,IF(MONTH(B302)=12,1,MONTH(B302)+1)=11),30,DAY($B$25)))))</f>
        <v>54651</v>
      </c>
      <c r="C303" s="250" t="str">
        <f t="shared" si="114"/>
        <v/>
      </c>
      <c r="D303" s="251" t="e">
        <f t="shared" si="115"/>
        <v>#N/A</v>
      </c>
      <c r="E303" s="251">
        <f t="shared" si="116"/>
        <v>0</v>
      </c>
      <c r="F303" s="251">
        <f t="shared" si="117"/>
        <v>0</v>
      </c>
      <c r="G303" s="251">
        <f t="shared" si="118"/>
        <v>0</v>
      </c>
      <c r="H303" s="251" t="e">
        <f t="shared" si="119"/>
        <v>#VALUE!</v>
      </c>
      <c r="I303" s="251">
        <f t="shared" si="120"/>
        <v>0</v>
      </c>
      <c r="J303" s="251">
        <f t="shared" si="130"/>
        <v>0</v>
      </c>
      <c r="K303" s="251">
        <f t="shared" si="121"/>
        <v>0</v>
      </c>
      <c r="M303" s="224"/>
      <c r="N303" s="225">
        <f t="shared" si="122"/>
        <v>0</v>
      </c>
      <c r="O303" s="251" t="e">
        <f t="shared" si="123"/>
        <v>#N/A</v>
      </c>
      <c r="P303" s="251">
        <f t="shared" si="131"/>
        <v>0</v>
      </c>
      <c r="Q303" s="251">
        <f t="shared" si="124"/>
        <v>0</v>
      </c>
      <c r="R303" s="251">
        <f t="shared" si="125"/>
        <v>0</v>
      </c>
      <c r="S303" s="251" t="e">
        <f t="shared" si="126"/>
        <v>#VALUE!</v>
      </c>
      <c r="T303" s="251">
        <f t="shared" si="113"/>
        <v>0</v>
      </c>
      <c r="U303" s="252">
        <f>TRUNC(T303*Condições!$C$102,2)</f>
        <v>0</v>
      </c>
      <c r="V303" s="199">
        <f t="shared" si="132"/>
        <v>0</v>
      </c>
      <c r="W303" s="161" t="e">
        <f t="shared" si="109"/>
        <v>#N/A</v>
      </c>
      <c r="X303" s="161" t="e">
        <f t="shared" si="110"/>
        <v>#N/A</v>
      </c>
      <c r="Y303" s="161">
        <f t="shared" si="111"/>
        <v>278</v>
      </c>
      <c r="Z303" s="161">
        <f t="shared" ca="1" si="112"/>
        <v>8</v>
      </c>
      <c r="AG303" s="114">
        <f t="shared" si="133"/>
        <v>0</v>
      </c>
      <c r="AH303" s="113"/>
      <c r="AI303" s="199">
        <f ca="1">IF(AL303=0,0,IF(AL303&gt;Preenchimento!$AA$88*12,0,IF($AC$53=AM303,0,1)))</f>
        <v>0</v>
      </c>
      <c r="AJ303" s="161" t="e">
        <f t="shared" ca="1" si="127"/>
        <v>#N/A</v>
      </c>
      <c r="AK303" s="161" t="e">
        <f t="shared" ca="1" si="128"/>
        <v>#N/A</v>
      </c>
      <c r="AL303" s="161">
        <f ca="1">IF(Y303&gt;(Preenchimento!$AA$90*12),0,Fixa!Y303)</f>
        <v>0</v>
      </c>
      <c r="AM303" s="161">
        <f t="shared" ca="1" si="134"/>
        <v>8</v>
      </c>
      <c r="AN303" s="199">
        <f ca="1">IF(AQ303&gt;Preenchimento!$AA$90*12,0,1)</f>
        <v>0</v>
      </c>
      <c r="AO303" s="161" t="e">
        <f ca="1">1/((1+SAC!$AD$29)^AL303)</f>
        <v>#N/A</v>
      </c>
      <c r="AP303" s="82" t="e">
        <f t="shared" ca="1" si="135"/>
        <v>#N/A</v>
      </c>
      <c r="AQ303" s="82">
        <v>278</v>
      </c>
      <c r="AS303" s="477">
        <f t="shared" ca="1" si="129"/>
        <v>0</v>
      </c>
    </row>
    <row r="304" spans="1:45">
      <c r="A304" s="53">
        <v>279</v>
      </c>
      <c r="B304" s="249">
        <f ca="1">DATE(IF(MONTH(B303)=12,YEAR(B303)+1,YEAR(B303)),IF(MONTH(B303)=12,1,MONTH(B303)+1),MIN(DAY(Condições!$C$109),IF(IF(MONTH(B303)=12,1,MONTH(B303)+1)=2,IF(MOD(IF(MONTH(B303)=12,YEAR(B303)+1,YEAR(B303)),4)=0,29,28),IF(OR(IF(MONTH(B303)=12,1,MONTH(B303)+1)=4,IF(MONTH(B303)=12,1,MONTH(B303)+1)=6,IF(MONTH(B303)=12,1,MONTH(B303)+1)=9,IF(MONTH(B303)=12,1,MONTH(B303)+1)=11),30,DAY($B$25)))))</f>
        <v>54682</v>
      </c>
      <c r="C304" s="250" t="str">
        <f t="shared" si="114"/>
        <v/>
      </c>
      <c r="D304" s="251" t="e">
        <f t="shared" si="115"/>
        <v>#N/A</v>
      </c>
      <c r="E304" s="251">
        <f t="shared" si="116"/>
        <v>0</v>
      </c>
      <c r="F304" s="251">
        <f t="shared" si="117"/>
        <v>0</v>
      </c>
      <c r="G304" s="251">
        <f t="shared" si="118"/>
        <v>0</v>
      </c>
      <c r="H304" s="251" t="e">
        <f t="shared" si="119"/>
        <v>#VALUE!</v>
      </c>
      <c r="I304" s="251">
        <f t="shared" si="120"/>
        <v>0</v>
      </c>
      <c r="J304" s="251">
        <f t="shared" si="130"/>
        <v>0</v>
      </c>
      <c r="K304" s="251">
        <f t="shared" si="121"/>
        <v>0</v>
      </c>
      <c r="M304" s="224"/>
      <c r="N304" s="225">
        <f t="shared" si="122"/>
        <v>0</v>
      </c>
      <c r="O304" s="251" t="e">
        <f t="shared" si="123"/>
        <v>#N/A</v>
      </c>
      <c r="P304" s="251">
        <f t="shared" si="131"/>
        <v>0</v>
      </c>
      <c r="Q304" s="251">
        <f t="shared" si="124"/>
        <v>0</v>
      </c>
      <c r="R304" s="251">
        <f t="shared" si="125"/>
        <v>0</v>
      </c>
      <c r="S304" s="251" t="e">
        <f t="shared" si="126"/>
        <v>#VALUE!</v>
      </c>
      <c r="T304" s="251">
        <f t="shared" si="113"/>
        <v>0</v>
      </c>
      <c r="U304" s="252">
        <f>TRUNC(T304*Condições!$C$102,2)</f>
        <v>0</v>
      </c>
      <c r="V304" s="199">
        <f t="shared" si="132"/>
        <v>0</v>
      </c>
      <c r="W304" s="161" t="e">
        <f t="shared" si="109"/>
        <v>#N/A</v>
      </c>
      <c r="X304" s="161" t="e">
        <f t="shared" si="110"/>
        <v>#N/A</v>
      </c>
      <c r="Y304" s="161">
        <f t="shared" si="111"/>
        <v>279</v>
      </c>
      <c r="Z304" s="161">
        <f t="shared" ca="1" si="112"/>
        <v>9</v>
      </c>
      <c r="AG304" s="114">
        <f t="shared" si="133"/>
        <v>0</v>
      </c>
      <c r="AH304" s="113"/>
      <c r="AI304" s="199">
        <f ca="1">IF(AL304=0,0,IF(AL304&gt;Preenchimento!$AA$88*12,0,IF($AC$53=AM304,0,1)))</f>
        <v>0</v>
      </c>
      <c r="AJ304" s="161" t="e">
        <f t="shared" ca="1" si="127"/>
        <v>#N/A</v>
      </c>
      <c r="AK304" s="161" t="e">
        <f t="shared" ca="1" si="128"/>
        <v>#N/A</v>
      </c>
      <c r="AL304" s="161">
        <f ca="1">IF(Y304&gt;(Preenchimento!$AA$90*12),0,Fixa!Y304)</f>
        <v>0</v>
      </c>
      <c r="AM304" s="161">
        <f t="shared" ca="1" si="134"/>
        <v>9</v>
      </c>
      <c r="AN304" s="199">
        <f ca="1">IF(AQ304&gt;Preenchimento!$AA$90*12,0,1)</f>
        <v>0</v>
      </c>
      <c r="AO304" s="161" t="e">
        <f ca="1">1/((1+SAC!$AD$29)^AL304)</f>
        <v>#N/A</v>
      </c>
      <c r="AP304" s="82" t="e">
        <f t="shared" ca="1" si="135"/>
        <v>#N/A</v>
      </c>
      <c r="AQ304" s="82">
        <v>279</v>
      </c>
      <c r="AS304" s="477">
        <f t="shared" ca="1" si="129"/>
        <v>0</v>
      </c>
    </row>
    <row r="305" spans="1:45">
      <c r="A305" s="53">
        <v>280</v>
      </c>
      <c r="B305" s="249">
        <f ca="1">DATE(IF(MONTH(B304)=12,YEAR(B304)+1,YEAR(B304)),IF(MONTH(B304)=12,1,MONTH(B304)+1),MIN(DAY(Condições!$C$109),IF(IF(MONTH(B304)=12,1,MONTH(B304)+1)=2,IF(MOD(IF(MONTH(B304)=12,YEAR(B304)+1,YEAR(B304)),4)=0,29,28),IF(OR(IF(MONTH(B304)=12,1,MONTH(B304)+1)=4,IF(MONTH(B304)=12,1,MONTH(B304)+1)=6,IF(MONTH(B304)=12,1,MONTH(B304)+1)=9,IF(MONTH(B304)=12,1,MONTH(B304)+1)=11),30,DAY($B$25)))))</f>
        <v>54712</v>
      </c>
      <c r="C305" s="250" t="str">
        <f t="shared" si="114"/>
        <v/>
      </c>
      <c r="D305" s="251" t="e">
        <f t="shared" si="115"/>
        <v>#N/A</v>
      </c>
      <c r="E305" s="251">
        <f t="shared" si="116"/>
        <v>0</v>
      </c>
      <c r="F305" s="251">
        <f t="shared" si="117"/>
        <v>0</v>
      </c>
      <c r="G305" s="251">
        <f t="shared" si="118"/>
        <v>0</v>
      </c>
      <c r="H305" s="251" t="e">
        <f t="shared" si="119"/>
        <v>#VALUE!</v>
      </c>
      <c r="I305" s="251">
        <f t="shared" si="120"/>
        <v>0</v>
      </c>
      <c r="J305" s="251">
        <f t="shared" si="130"/>
        <v>0</v>
      </c>
      <c r="K305" s="251">
        <f t="shared" si="121"/>
        <v>0</v>
      </c>
      <c r="M305" s="224"/>
      <c r="N305" s="225">
        <f t="shared" si="122"/>
        <v>0</v>
      </c>
      <c r="O305" s="251" t="e">
        <f t="shared" si="123"/>
        <v>#N/A</v>
      </c>
      <c r="P305" s="251">
        <f t="shared" si="131"/>
        <v>0</v>
      </c>
      <c r="Q305" s="251">
        <f t="shared" si="124"/>
        <v>0</v>
      </c>
      <c r="R305" s="251">
        <f t="shared" si="125"/>
        <v>0</v>
      </c>
      <c r="S305" s="251" t="e">
        <f t="shared" si="126"/>
        <v>#VALUE!</v>
      </c>
      <c r="T305" s="251">
        <f t="shared" si="113"/>
        <v>0</v>
      </c>
      <c r="U305" s="252">
        <f>TRUNC(T305*Condições!$C$102,2)</f>
        <v>0</v>
      </c>
      <c r="V305" s="199">
        <f t="shared" si="132"/>
        <v>0</v>
      </c>
      <c r="W305" s="161" t="e">
        <f t="shared" si="109"/>
        <v>#N/A</v>
      </c>
      <c r="X305" s="161" t="e">
        <f t="shared" si="110"/>
        <v>#N/A</v>
      </c>
      <c r="Y305" s="161">
        <f t="shared" si="111"/>
        <v>280</v>
      </c>
      <c r="Z305" s="161">
        <f t="shared" ca="1" si="112"/>
        <v>10</v>
      </c>
      <c r="AG305" s="114">
        <f t="shared" si="133"/>
        <v>0</v>
      </c>
      <c r="AH305" s="113"/>
      <c r="AI305" s="199">
        <f ca="1">IF(AL305=0,0,IF(AL305&gt;Preenchimento!$AA$88*12,0,IF($AC$53=AM305,0,1)))</f>
        <v>0</v>
      </c>
      <c r="AJ305" s="161" t="e">
        <f t="shared" ca="1" si="127"/>
        <v>#N/A</v>
      </c>
      <c r="AK305" s="161" t="e">
        <f t="shared" ca="1" si="128"/>
        <v>#N/A</v>
      </c>
      <c r="AL305" s="161">
        <f ca="1">IF(Y305&gt;(Preenchimento!$AA$90*12),0,Fixa!Y305)</f>
        <v>0</v>
      </c>
      <c r="AM305" s="161">
        <f t="shared" ca="1" si="134"/>
        <v>10</v>
      </c>
      <c r="AN305" s="199">
        <f ca="1">IF(AQ305&gt;Preenchimento!$AA$90*12,0,1)</f>
        <v>0</v>
      </c>
      <c r="AO305" s="161" t="e">
        <f ca="1">1/((1+SAC!$AD$29)^AL305)</f>
        <v>#N/A</v>
      </c>
      <c r="AP305" s="82" t="e">
        <f t="shared" ca="1" si="135"/>
        <v>#N/A</v>
      </c>
      <c r="AQ305" s="82">
        <v>280</v>
      </c>
      <c r="AS305" s="477">
        <f t="shared" ca="1" si="129"/>
        <v>0</v>
      </c>
    </row>
    <row r="306" spans="1:45">
      <c r="A306" s="53">
        <v>281</v>
      </c>
      <c r="B306" s="249">
        <f ca="1">DATE(IF(MONTH(B305)=12,YEAR(B305)+1,YEAR(B305)),IF(MONTH(B305)=12,1,MONTH(B305)+1),MIN(DAY(Condições!$C$109),IF(IF(MONTH(B305)=12,1,MONTH(B305)+1)=2,IF(MOD(IF(MONTH(B305)=12,YEAR(B305)+1,YEAR(B305)),4)=0,29,28),IF(OR(IF(MONTH(B305)=12,1,MONTH(B305)+1)=4,IF(MONTH(B305)=12,1,MONTH(B305)+1)=6,IF(MONTH(B305)=12,1,MONTH(B305)+1)=9,IF(MONTH(B305)=12,1,MONTH(B305)+1)=11),30,DAY($B$25)))))</f>
        <v>54743</v>
      </c>
      <c r="C306" s="250" t="str">
        <f t="shared" si="114"/>
        <v/>
      </c>
      <c r="D306" s="251" t="e">
        <f t="shared" si="115"/>
        <v>#N/A</v>
      </c>
      <c r="E306" s="251">
        <f t="shared" si="116"/>
        <v>0</v>
      </c>
      <c r="F306" s="251">
        <f t="shared" si="117"/>
        <v>0</v>
      </c>
      <c r="G306" s="251">
        <f t="shared" si="118"/>
        <v>0</v>
      </c>
      <c r="H306" s="251" t="e">
        <f t="shared" si="119"/>
        <v>#VALUE!</v>
      </c>
      <c r="I306" s="251">
        <f t="shared" si="120"/>
        <v>0</v>
      </c>
      <c r="J306" s="251">
        <f t="shared" si="130"/>
        <v>0</v>
      </c>
      <c r="K306" s="251">
        <f t="shared" si="121"/>
        <v>0</v>
      </c>
      <c r="M306" s="224"/>
      <c r="N306" s="225">
        <f t="shared" si="122"/>
        <v>0</v>
      </c>
      <c r="O306" s="251" t="e">
        <f t="shared" si="123"/>
        <v>#N/A</v>
      </c>
      <c r="P306" s="251">
        <f t="shared" si="131"/>
        <v>0</v>
      </c>
      <c r="Q306" s="251">
        <f t="shared" si="124"/>
        <v>0</v>
      </c>
      <c r="R306" s="251">
        <f t="shared" si="125"/>
        <v>0</v>
      </c>
      <c r="S306" s="251" t="e">
        <f t="shared" si="126"/>
        <v>#VALUE!</v>
      </c>
      <c r="T306" s="251">
        <f t="shared" si="113"/>
        <v>0</v>
      </c>
      <c r="U306" s="252">
        <f>TRUNC(T306*Condições!$C$102,2)</f>
        <v>0</v>
      </c>
      <c r="V306" s="199">
        <f t="shared" si="132"/>
        <v>0</v>
      </c>
      <c r="W306" s="161" t="e">
        <f t="shared" si="109"/>
        <v>#N/A</v>
      </c>
      <c r="X306" s="161" t="e">
        <f t="shared" si="110"/>
        <v>#N/A</v>
      </c>
      <c r="Y306" s="161">
        <f t="shared" si="111"/>
        <v>281</v>
      </c>
      <c r="Z306" s="161">
        <f t="shared" ca="1" si="112"/>
        <v>11</v>
      </c>
      <c r="AG306" s="114">
        <f t="shared" si="133"/>
        <v>0</v>
      </c>
      <c r="AH306" s="113"/>
      <c r="AI306" s="199">
        <f ca="1">IF(AL306=0,0,IF(AL306&gt;Preenchimento!$AA$88*12,0,IF($AC$53=AM306,0,1)))</f>
        <v>0</v>
      </c>
      <c r="AJ306" s="161" t="e">
        <f t="shared" ca="1" si="127"/>
        <v>#N/A</v>
      </c>
      <c r="AK306" s="161" t="e">
        <f t="shared" ca="1" si="128"/>
        <v>#N/A</v>
      </c>
      <c r="AL306" s="161">
        <f ca="1">IF(Y306&gt;(Preenchimento!$AA$90*12),0,Fixa!Y306)</f>
        <v>0</v>
      </c>
      <c r="AM306" s="161">
        <f t="shared" ca="1" si="134"/>
        <v>11</v>
      </c>
      <c r="AN306" s="199">
        <f ca="1">IF(AQ306&gt;Preenchimento!$AA$90*12,0,1)</f>
        <v>0</v>
      </c>
      <c r="AO306" s="161" t="e">
        <f ca="1">1/((1+SAC!$AD$29)^AL306)</f>
        <v>#N/A</v>
      </c>
      <c r="AP306" s="82" t="e">
        <f t="shared" ca="1" si="135"/>
        <v>#N/A</v>
      </c>
      <c r="AQ306" s="82">
        <v>281</v>
      </c>
      <c r="AS306" s="477">
        <f t="shared" ca="1" si="129"/>
        <v>0</v>
      </c>
    </row>
    <row r="307" spans="1:45">
      <c r="A307" s="53">
        <v>282</v>
      </c>
      <c r="B307" s="249">
        <f ca="1">DATE(IF(MONTH(B306)=12,YEAR(B306)+1,YEAR(B306)),IF(MONTH(B306)=12,1,MONTH(B306)+1),MIN(DAY(Condições!$C$109),IF(IF(MONTH(B306)=12,1,MONTH(B306)+1)=2,IF(MOD(IF(MONTH(B306)=12,YEAR(B306)+1,YEAR(B306)),4)=0,29,28),IF(OR(IF(MONTH(B306)=12,1,MONTH(B306)+1)=4,IF(MONTH(B306)=12,1,MONTH(B306)+1)=6,IF(MONTH(B306)=12,1,MONTH(B306)+1)=9,IF(MONTH(B306)=12,1,MONTH(B306)+1)=11),30,DAY($B$25)))))</f>
        <v>54773</v>
      </c>
      <c r="C307" s="250" t="str">
        <f t="shared" si="114"/>
        <v/>
      </c>
      <c r="D307" s="251" t="e">
        <f t="shared" si="115"/>
        <v>#N/A</v>
      </c>
      <c r="E307" s="251">
        <f t="shared" si="116"/>
        <v>0</v>
      </c>
      <c r="F307" s="251">
        <f t="shared" si="117"/>
        <v>0</v>
      </c>
      <c r="G307" s="251">
        <f t="shared" si="118"/>
        <v>0</v>
      </c>
      <c r="H307" s="251" t="e">
        <f t="shared" si="119"/>
        <v>#VALUE!</v>
      </c>
      <c r="I307" s="251">
        <f t="shared" si="120"/>
        <v>0</v>
      </c>
      <c r="J307" s="251">
        <f t="shared" si="130"/>
        <v>0</v>
      </c>
      <c r="K307" s="251">
        <f t="shared" si="121"/>
        <v>0</v>
      </c>
      <c r="M307" s="224"/>
      <c r="N307" s="225">
        <f t="shared" si="122"/>
        <v>0</v>
      </c>
      <c r="O307" s="251" t="e">
        <f t="shared" si="123"/>
        <v>#N/A</v>
      </c>
      <c r="P307" s="251">
        <f t="shared" si="131"/>
        <v>0</v>
      </c>
      <c r="Q307" s="251">
        <f t="shared" si="124"/>
        <v>0</v>
      </c>
      <c r="R307" s="251">
        <f t="shared" si="125"/>
        <v>0</v>
      </c>
      <c r="S307" s="251" t="e">
        <f t="shared" si="126"/>
        <v>#VALUE!</v>
      </c>
      <c r="T307" s="251">
        <f t="shared" si="113"/>
        <v>0</v>
      </c>
      <c r="U307" s="252">
        <f>TRUNC(T307*Condições!$C$102,2)</f>
        <v>0</v>
      </c>
      <c r="V307" s="199">
        <f t="shared" si="132"/>
        <v>0</v>
      </c>
      <c r="W307" s="161" t="e">
        <f t="shared" si="109"/>
        <v>#N/A</v>
      </c>
      <c r="X307" s="161" t="e">
        <f t="shared" si="110"/>
        <v>#N/A</v>
      </c>
      <c r="Y307" s="161">
        <f t="shared" si="111"/>
        <v>282</v>
      </c>
      <c r="Z307" s="161">
        <f t="shared" ca="1" si="112"/>
        <v>12</v>
      </c>
      <c r="AG307" s="114">
        <f t="shared" si="133"/>
        <v>0</v>
      </c>
      <c r="AH307" s="113"/>
      <c r="AI307" s="199">
        <f ca="1">IF(AL307=0,0,IF(AL307&gt;Preenchimento!$AA$88*12,0,IF($AC$53=AM307,0,1)))</f>
        <v>0</v>
      </c>
      <c r="AJ307" s="161" t="e">
        <f t="shared" ca="1" si="127"/>
        <v>#N/A</v>
      </c>
      <c r="AK307" s="161" t="e">
        <f t="shared" ca="1" si="128"/>
        <v>#N/A</v>
      </c>
      <c r="AL307" s="161">
        <f ca="1">IF(Y307&gt;(Preenchimento!$AA$90*12),0,Fixa!Y307)</f>
        <v>0</v>
      </c>
      <c r="AM307" s="161">
        <f t="shared" ca="1" si="134"/>
        <v>12</v>
      </c>
      <c r="AN307" s="199">
        <f ca="1">IF(AQ307&gt;Preenchimento!$AA$90*12,0,1)</f>
        <v>0</v>
      </c>
      <c r="AO307" s="161" t="e">
        <f ca="1">1/((1+SAC!$AD$29)^AL307)</f>
        <v>#N/A</v>
      </c>
      <c r="AP307" s="82" t="e">
        <f t="shared" ca="1" si="135"/>
        <v>#N/A</v>
      </c>
      <c r="AQ307" s="82">
        <v>282</v>
      </c>
      <c r="AS307" s="477">
        <f t="shared" ca="1" si="129"/>
        <v>0</v>
      </c>
    </row>
    <row r="308" spans="1:45">
      <c r="A308" s="53">
        <v>283</v>
      </c>
      <c r="B308" s="249">
        <f ca="1">DATE(IF(MONTH(B307)=12,YEAR(B307)+1,YEAR(B307)),IF(MONTH(B307)=12,1,MONTH(B307)+1),MIN(DAY(Condições!$C$109),IF(IF(MONTH(B307)=12,1,MONTH(B307)+1)=2,IF(MOD(IF(MONTH(B307)=12,YEAR(B307)+1,YEAR(B307)),4)=0,29,28),IF(OR(IF(MONTH(B307)=12,1,MONTH(B307)+1)=4,IF(MONTH(B307)=12,1,MONTH(B307)+1)=6,IF(MONTH(B307)=12,1,MONTH(B307)+1)=9,IF(MONTH(B307)=12,1,MONTH(B307)+1)=11),30,DAY($B$25)))))</f>
        <v>54804</v>
      </c>
      <c r="C308" s="250" t="str">
        <f t="shared" si="114"/>
        <v/>
      </c>
      <c r="D308" s="251" t="e">
        <f t="shared" si="115"/>
        <v>#N/A</v>
      </c>
      <c r="E308" s="251">
        <f t="shared" si="116"/>
        <v>0</v>
      </c>
      <c r="F308" s="251">
        <f t="shared" si="117"/>
        <v>0</v>
      </c>
      <c r="G308" s="251">
        <f t="shared" si="118"/>
        <v>0</v>
      </c>
      <c r="H308" s="251" t="e">
        <f t="shared" si="119"/>
        <v>#VALUE!</v>
      </c>
      <c r="I308" s="251">
        <f t="shared" si="120"/>
        <v>0</v>
      </c>
      <c r="J308" s="251">
        <f t="shared" si="130"/>
        <v>0</v>
      </c>
      <c r="K308" s="251">
        <f t="shared" si="121"/>
        <v>0</v>
      </c>
      <c r="M308" s="224"/>
      <c r="N308" s="225">
        <f t="shared" si="122"/>
        <v>0</v>
      </c>
      <c r="O308" s="251" t="e">
        <f t="shared" si="123"/>
        <v>#N/A</v>
      </c>
      <c r="P308" s="251">
        <f t="shared" si="131"/>
        <v>0</v>
      </c>
      <c r="Q308" s="251">
        <f t="shared" si="124"/>
        <v>0</v>
      </c>
      <c r="R308" s="251">
        <f t="shared" si="125"/>
        <v>0</v>
      </c>
      <c r="S308" s="251" t="e">
        <f t="shared" si="126"/>
        <v>#VALUE!</v>
      </c>
      <c r="T308" s="251">
        <f t="shared" si="113"/>
        <v>0</v>
      </c>
      <c r="U308" s="252">
        <f>TRUNC(T308*Condições!$C$102,2)</f>
        <v>0</v>
      </c>
      <c r="V308" s="199">
        <f t="shared" si="132"/>
        <v>0</v>
      </c>
      <c r="W308" s="161" t="e">
        <f t="shared" si="109"/>
        <v>#N/A</v>
      </c>
      <c r="X308" s="161" t="e">
        <f t="shared" si="110"/>
        <v>#N/A</v>
      </c>
      <c r="Y308" s="161">
        <f t="shared" si="111"/>
        <v>283</v>
      </c>
      <c r="Z308" s="161">
        <f t="shared" ca="1" si="112"/>
        <v>1</v>
      </c>
      <c r="AG308" s="114">
        <f t="shared" si="133"/>
        <v>0</v>
      </c>
      <c r="AH308" s="113"/>
      <c r="AI308" s="199">
        <f ca="1">IF(AL308=0,0,IF(AL308&gt;Preenchimento!$AA$88*12,0,IF($AC$53=AM308,0,1)))</f>
        <v>0</v>
      </c>
      <c r="AJ308" s="161" t="e">
        <f t="shared" ca="1" si="127"/>
        <v>#N/A</v>
      </c>
      <c r="AK308" s="161" t="e">
        <f t="shared" ca="1" si="128"/>
        <v>#N/A</v>
      </c>
      <c r="AL308" s="161">
        <f ca="1">IF(Y308&gt;(Preenchimento!$AA$90*12),0,Fixa!Y308)</f>
        <v>0</v>
      </c>
      <c r="AM308" s="161">
        <f t="shared" ca="1" si="134"/>
        <v>1</v>
      </c>
      <c r="AN308" s="199">
        <f ca="1">IF(AQ308&gt;Preenchimento!$AA$90*12,0,1)</f>
        <v>0</v>
      </c>
      <c r="AO308" s="161" t="e">
        <f ca="1">1/((1+SAC!$AD$29)^AL308)</f>
        <v>#N/A</v>
      </c>
      <c r="AP308" s="82" t="e">
        <f t="shared" ca="1" si="135"/>
        <v>#N/A</v>
      </c>
      <c r="AQ308" s="82">
        <v>283</v>
      </c>
      <c r="AS308" s="477">
        <f t="shared" ca="1" si="129"/>
        <v>0</v>
      </c>
    </row>
    <row r="309" spans="1:45">
      <c r="A309" s="53">
        <v>284</v>
      </c>
      <c r="B309" s="249">
        <f ca="1">DATE(IF(MONTH(B308)=12,YEAR(B308)+1,YEAR(B308)),IF(MONTH(B308)=12,1,MONTH(B308)+1),MIN(DAY(Condições!$C$109),IF(IF(MONTH(B308)=12,1,MONTH(B308)+1)=2,IF(MOD(IF(MONTH(B308)=12,YEAR(B308)+1,YEAR(B308)),4)=0,29,28),IF(OR(IF(MONTH(B308)=12,1,MONTH(B308)+1)=4,IF(MONTH(B308)=12,1,MONTH(B308)+1)=6,IF(MONTH(B308)=12,1,MONTH(B308)+1)=9,IF(MONTH(B308)=12,1,MONTH(B308)+1)=11),30,DAY($B$25)))))</f>
        <v>54835</v>
      </c>
      <c r="C309" s="250" t="str">
        <f t="shared" si="114"/>
        <v/>
      </c>
      <c r="D309" s="251" t="e">
        <f t="shared" si="115"/>
        <v>#N/A</v>
      </c>
      <c r="E309" s="251">
        <f t="shared" si="116"/>
        <v>0</v>
      </c>
      <c r="F309" s="251">
        <f t="shared" si="117"/>
        <v>0</v>
      </c>
      <c r="G309" s="251">
        <f t="shared" si="118"/>
        <v>0</v>
      </c>
      <c r="H309" s="251" t="e">
        <f t="shared" si="119"/>
        <v>#VALUE!</v>
      </c>
      <c r="I309" s="251">
        <f t="shared" si="120"/>
        <v>0</v>
      </c>
      <c r="J309" s="251">
        <f t="shared" si="130"/>
        <v>0</v>
      </c>
      <c r="K309" s="251">
        <f t="shared" si="121"/>
        <v>0</v>
      </c>
      <c r="M309" s="224"/>
      <c r="N309" s="225">
        <f t="shared" si="122"/>
        <v>0</v>
      </c>
      <c r="O309" s="251" t="e">
        <f t="shared" si="123"/>
        <v>#N/A</v>
      </c>
      <c r="P309" s="251">
        <f t="shared" si="131"/>
        <v>0</v>
      </c>
      <c r="Q309" s="251">
        <f t="shared" si="124"/>
        <v>0</v>
      </c>
      <c r="R309" s="251">
        <f t="shared" si="125"/>
        <v>0</v>
      </c>
      <c r="S309" s="251" t="e">
        <f t="shared" si="126"/>
        <v>#VALUE!</v>
      </c>
      <c r="T309" s="251">
        <f t="shared" si="113"/>
        <v>0</v>
      </c>
      <c r="U309" s="252">
        <f>TRUNC(T309*Condições!$C$102,2)</f>
        <v>0</v>
      </c>
      <c r="V309" s="199">
        <f t="shared" si="132"/>
        <v>0</v>
      </c>
      <c r="W309" s="161" t="e">
        <f t="shared" si="109"/>
        <v>#N/A</v>
      </c>
      <c r="X309" s="161" t="e">
        <f t="shared" si="110"/>
        <v>#N/A</v>
      </c>
      <c r="Y309" s="161">
        <f t="shared" si="111"/>
        <v>284</v>
      </c>
      <c r="Z309" s="161">
        <f t="shared" ca="1" si="112"/>
        <v>2</v>
      </c>
      <c r="AG309" s="114">
        <f t="shared" si="133"/>
        <v>0</v>
      </c>
      <c r="AH309" s="113"/>
      <c r="AI309" s="199">
        <f ca="1">IF(AL309=0,0,IF(AL309&gt;Preenchimento!$AA$88*12,0,IF($AC$53=AM309,0,1)))</f>
        <v>0</v>
      </c>
      <c r="AJ309" s="161" t="e">
        <f t="shared" ca="1" si="127"/>
        <v>#N/A</v>
      </c>
      <c r="AK309" s="161" t="e">
        <f t="shared" ca="1" si="128"/>
        <v>#N/A</v>
      </c>
      <c r="AL309" s="161">
        <f ca="1">IF(Y309&gt;(Preenchimento!$AA$90*12),0,Fixa!Y309)</f>
        <v>0</v>
      </c>
      <c r="AM309" s="161">
        <f t="shared" ca="1" si="134"/>
        <v>2</v>
      </c>
      <c r="AN309" s="199">
        <f ca="1">IF(AQ309&gt;Preenchimento!$AA$90*12,0,1)</f>
        <v>0</v>
      </c>
      <c r="AO309" s="161" t="e">
        <f ca="1">1/((1+SAC!$AD$29)^AL309)</f>
        <v>#N/A</v>
      </c>
      <c r="AP309" s="82" t="e">
        <f t="shared" ca="1" si="135"/>
        <v>#N/A</v>
      </c>
      <c r="AQ309" s="82">
        <v>284</v>
      </c>
      <c r="AS309" s="477">
        <f t="shared" ca="1" si="129"/>
        <v>0</v>
      </c>
    </row>
    <row r="310" spans="1:45">
      <c r="A310" s="53">
        <v>285</v>
      </c>
      <c r="B310" s="249">
        <f ca="1">DATE(IF(MONTH(B309)=12,YEAR(B309)+1,YEAR(B309)),IF(MONTH(B309)=12,1,MONTH(B309)+1),MIN(DAY(Condições!$C$109),IF(IF(MONTH(B309)=12,1,MONTH(B309)+1)=2,IF(MOD(IF(MONTH(B309)=12,YEAR(B309)+1,YEAR(B309)),4)=0,29,28),IF(OR(IF(MONTH(B309)=12,1,MONTH(B309)+1)=4,IF(MONTH(B309)=12,1,MONTH(B309)+1)=6,IF(MONTH(B309)=12,1,MONTH(B309)+1)=9,IF(MONTH(B309)=12,1,MONTH(B309)+1)=11),30,DAY($B$25)))))</f>
        <v>54863</v>
      </c>
      <c r="C310" s="250" t="str">
        <f t="shared" si="114"/>
        <v/>
      </c>
      <c r="D310" s="251" t="e">
        <f t="shared" si="115"/>
        <v>#N/A</v>
      </c>
      <c r="E310" s="251">
        <f t="shared" si="116"/>
        <v>0</v>
      </c>
      <c r="F310" s="251">
        <f t="shared" si="117"/>
        <v>0</v>
      </c>
      <c r="G310" s="251">
        <f t="shared" si="118"/>
        <v>0</v>
      </c>
      <c r="H310" s="251" t="e">
        <f t="shared" si="119"/>
        <v>#VALUE!</v>
      </c>
      <c r="I310" s="251">
        <f t="shared" si="120"/>
        <v>0</v>
      </c>
      <c r="J310" s="251">
        <f t="shared" si="130"/>
        <v>0</v>
      </c>
      <c r="K310" s="251">
        <f t="shared" si="121"/>
        <v>0</v>
      </c>
      <c r="M310" s="224"/>
      <c r="N310" s="225">
        <f t="shared" si="122"/>
        <v>0</v>
      </c>
      <c r="O310" s="251" t="e">
        <f t="shared" si="123"/>
        <v>#N/A</v>
      </c>
      <c r="P310" s="251">
        <f t="shared" si="131"/>
        <v>0</v>
      </c>
      <c r="Q310" s="251">
        <f t="shared" si="124"/>
        <v>0</v>
      </c>
      <c r="R310" s="251">
        <f t="shared" si="125"/>
        <v>0</v>
      </c>
      <c r="S310" s="251" t="e">
        <f t="shared" si="126"/>
        <v>#VALUE!</v>
      </c>
      <c r="T310" s="251">
        <f t="shared" si="113"/>
        <v>0</v>
      </c>
      <c r="U310" s="252">
        <f>TRUNC(T310*Condições!$C$102,2)</f>
        <v>0</v>
      </c>
      <c r="V310" s="199">
        <f t="shared" si="132"/>
        <v>0</v>
      </c>
      <c r="W310" s="161" t="e">
        <f t="shared" si="109"/>
        <v>#N/A</v>
      </c>
      <c r="X310" s="161" t="e">
        <f t="shared" si="110"/>
        <v>#N/A</v>
      </c>
      <c r="Y310" s="161">
        <f t="shared" si="111"/>
        <v>285</v>
      </c>
      <c r="Z310" s="161">
        <f t="shared" ca="1" si="112"/>
        <v>3</v>
      </c>
      <c r="AG310" s="114">
        <f t="shared" si="133"/>
        <v>0</v>
      </c>
      <c r="AH310" s="113"/>
      <c r="AI310" s="199">
        <f ca="1">IF(AL310=0,0,IF(AL310&gt;Preenchimento!$AA$88*12,0,IF($AC$53=AM310,0,1)))</f>
        <v>0</v>
      </c>
      <c r="AJ310" s="161" t="e">
        <f t="shared" ca="1" si="127"/>
        <v>#N/A</v>
      </c>
      <c r="AK310" s="161" t="e">
        <f t="shared" ca="1" si="128"/>
        <v>#N/A</v>
      </c>
      <c r="AL310" s="161">
        <f ca="1">IF(Y310&gt;(Preenchimento!$AA$90*12),0,Fixa!Y310)</f>
        <v>0</v>
      </c>
      <c r="AM310" s="161">
        <f t="shared" ca="1" si="134"/>
        <v>3</v>
      </c>
      <c r="AN310" s="199">
        <f ca="1">IF(AQ310&gt;Preenchimento!$AA$90*12,0,1)</f>
        <v>0</v>
      </c>
      <c r="AO310" s="161" t="e">
        <f ca="1">1/((1+SAC!$AD$29)^AL310)</f>
        <v>#N/A</v>
      </c>
      <c r="AP310" s="82" t="e">
        <f t="shared" ca="1" si="135"/>
        <v>#N/A</v>
      </c>
      <c r="AQ310" s="82">
        <v>285</v>
      </c>
      <c r="AS310" s="477">
        <f t="shared" ca="1" si="129"/>
        <v>0</v>
      </c>
    </row>
    <row r="311" spans="1:45">
      <c r="A311" s="53">
        <v>286</v>
      </c>
      <c r="B311" s="249">
        <f ca="1">DATE(IF(MONTH(B310)=12,YEAR(B310)+1,YEAR(B310)),IF(MONTH(B310)=12,1,MONTH(B310)+1),MIN(DAY(Condições!$C$109),IF(IF(MONTH(B310)=12,1,MONTH(B310)+1)=2,IF(MOD(IF(MONTH(B310)=12,YEAR(B310)+1,YEAR(B310)),4)=0,29,28),IF(OR(IF(MONTH(B310)=12,1,MONTH(B310)+1)=4,IF(MONTH(B310)=12,1,MONTH(B310)+1)=6,IF(MONTH(B310)=12,1,MONTH(B310)+1)=9,IF(MONTH(B310)=12,1,MONTH(B310)+1)=11),30,DAY($B$25)))))</f>
        <v>54894</v>
      </c>
      <c r="C311" s="250" t="str">
        <f t="shared" si="114"/>
        <v/>
      </c>
      <c r="D311" s="251" t="e">
        <f t="shared" si="115"/>
        <v>#N/A</v>
      </c>
      <c r="E311" s="251">
        <f t="shared" si="116"/>
        <v>0</v>
      </c>
      <c r="F311" s="251">
        <f t="shared" si="117"/>
        <v>0</v>
      </c>
      <c r="G311" s="251">
        <f t="shared" si="118"/>
        <v>0</v>
      </c>
      <c r="H311" s="251" t="e">
        <f t="shared" si="119"/>
        <v>#VALUE!</v>
      </c>
      <c r="I311" s="251">
        <f t="shared" si="120"/>
        <v>0</v>
      </c>
      <c r="J311" s="251">
        <f t="shared" si="130"/>
        <v>0</v>
      </c>
      <c r="K311" s="251">
        <f t="shared" si="121"/>
        <v>0</v>
      </c>
      <c r="M311" s="224"/>
      <c r="N311" s="225">
        <f t="shared" si="122"/>
        <v>0</v>
      </c>
      <c r="O311" s="251" t="e">
        <f t="shared" si="123"/>
        <v>#N/A</v>
      </c>
      <c r="P311" s="251">
        <f t="shared" si="131"/>
        <v>0</v>
      </c>
      <c r="Q311" s="251">
        <f t="shared" si="124"/>
        <v>0</v>
      </c>
      <c r="R311" s="251">
        <f t="shared" si="125"/>
        <v>0</v>
      </c>
      <c r="S311" s="251" t="e">
        <f t="shared" si="126"/>
        <v>#VALUE!</v>
      </c>
      <c r="T311" s="251">
        <f t="shared" si="113"/>
        <v>0</v>
      </c>
      <c r="U311" s="252">
        <f>TRUNC(T311*Condições!$C$102,2)</f>
        <v>0</v>
      </c>
      <c r="V311" s="199">
        <f t="shared" si="132"/>
        <v>0</v>
      </c>
      <c r="W311" s="161" t="e">
        <f t="shared" si="109"/>
        <v>#N/A</v>
      </c>
      <c r="X311" s="161" t="e">
        <f t="shared" si="110"/>
        <v>#N/A</v>
      </c>
      <c r="Y311" s="161">
        <f t="shared" si="111"/>
        <v>286</v>
      </c>
      <c r="Z311" s="161">
        <f t="shared" ca="1" si="112"/>
        <v>4</v>
      </c>
      <c r="AG311" s="114">
        <f t="shared" si="133"/>
        <v>0</v>
      </c>
      <c r="AH311" s="113"/>
      <c r="AI311" s="199">
        <f ca="1">IF(AL311=0,0,IF(AL311&gt;Preenchimento!$AA$88*12,0,IF($AC$53=AM311,0,1)))</f>
        <v>0</v>
      </c>
      <c r="AJ311" s="161" t="e">
        <f t="shared" ca="1" si="127"/>
        <v>#N/A</v>
      </c>
      <c r="AK311" s="161" t="e">
        <f t="shared" ca="1" si="128"/>
        <v>#N/A</v>
      </c>
      <c r="AL311" s="161">
        <f ca="1">IF(Y311&gt;(Preenchimento!$AA$90*12),0,Fixa!Y311)</f>
        <v>0</v>
      </c>
      <c r="AM311" s="161">
        <f t="shared" ca="1" si="134"/>
        <v>4</v>
      </c>
      <c r="AN311" s="199">
        <f ca="1">IF(AQ311&gt;Preenchimento!$AA$90*12,0,1)</f>
        <v>0</v>
      </c>
      <c r="AO311" s="161" t="e">
        <f ca="1">1/((1+SAC!$AD$29)^AL311)</f>
        <v>#N/A</v>
      </c>
      <c r="AP311" s="82" t="e">
        <f t="shared" ca="1" si="135"/>
        <v>#N/A</v>
      </c>
      <c r="AQ311" s="82">
        <v>286</v>
      </c>
      <c r="AS311" s="477">
        <f t="shared" ca="1" si="129"/>
        <v>0</v>
      </c>
    </row>
    <row r="312" spans="1:45">
      <c r="A312" s="53">
        <v>287</v>
      </c>
      <c r="B312" s="249">
        <f ca="1">DATE(IF(MONTH(B311)=12,YEAR(B311)+1,YEAR(B311)),IF(MONTH(B311)=12,1,MONTH(B311)+1),MIN(DAY(Condições!$C$109),IF(IF(MONTH(B311)=12,1,MONTH(B311)+1)=2,IF(MOD(IF(MONTH(B311)=12,YEAR(B311)+1,YEAR(B311)),4)=0,29,28),IF(OR(IF(MONTH(B311)=12,1,MONTH(B311)+1)=4,IF(MONTH(B311)=12,1,MONTH(B311)+1)=6,IF(MONTH(B311)=12,1,MONTH(B311)+1)=9,IF(MONTH(B311)=12,1,MONTH(B311)+1)=11),30,DAY($B$25)))))</f>
        <v>54924</v>
      </c>
      <c r="C312" s="250" t="str">
        <f t="shared" si="114"/>
        <v/>
      </c>
      <c r="D312" s="251" t="e">
        <f t="shared" si="115"/>
        <v>#N/A</v>
      </c>
      <c r="E312" s="251">
        <f t="shared" si="116"/>
        <v>0</v>
      </c>
      <c r="F312" s="251">
        <f t="shared" si="117"/>
        <v>0</v>
      </c>
      <c r="G312" s="251">
        <f t="shared" si="118"/>
        <v>0</v>
      </c>
      <c r="H312" s="251" t="e">
        <f t="shared" si="119"/>
        <v>#VALUE!</v>
      </c>
      <c r="I312" s="251">
        <f t="shared" si="120"/>
        <v>0</v>
      </c>
      <c r="J312" s="251">
        <f t="shared" si="130"/>
        <v>0</v>
      </c>
      <c r="K312" s="251">
        <f t="shared" si="121"/>
        <v>0</v>
      </c>
      <c r="M312" s="224"/>
      <c r="N312" s="225">
        <f t="shared" si="122"/>
        <v>0</v>
      </c>
      <c r="O312" s="251" t="e">
        <f t="shared" si="123"/>
        <v>#N/A</v>
      </c>
      <c r="P312" s="251">
        <f t="shared" si="131"/>
        <v>0</v>
      </c>
      <c r="Q312" s="251">
        <f t="shared" si="124"/>
        <v>0</v>
      </c>
      <c r="R312" s="251">
        <f t="shared" si="125"/>
        <v>0</v>
      </c>
      <c r="S312" s="251" t="e">
        <f t="shared" si="126"/>
        <v>#VALUE!</v>
      </c>
      <c r="T312" s="251">
        <f t="shared" si="113"/>
        <v>0</v>
      </c>
      <c r="U312" s="252">
        <f>TRUNC(T312*Condições!$C$102,2)</f>
        <v>0</v>
      </c>
      <c r="V312" s="199">
        <f t="shared" si="132"/>
        <v>0</v>
      </c>
      <c r="W312" s="161" t="e">
        <f t="shared" si="109"/>
        <v>#N/A</v>
      </c>
      <c r="X312" s="161" t="e">
        <f t="shared" si="110"/>
        <v>#N/A</v>
      </c>
      <c r="Y312" s="161">
        <f t="shared" si="111"/>
        <v>287</v>
      </c>
      <c r="Z312" s="161">
        <f t="shared" ca="1" si="112"/>
        <v>5</v>
      </c>
      <c r="AG312" s="114">
        <f t="shared" si="133"/>
        <v>0</v>
      </c>
      <c r="AH312" s="113"/>
      <c r="AI312" s="199">
        <f ca="1">IF(AL312=0,0,IF(AL312&gt;Preenchimento!$AA$88*12,0,IF($AC$53=AM312,0,1)))</f>
        <v>0</v>
      </c>
      <c r="AJ312" s="161" t="e">
        <f t="shared" ca="1" si="127"/>
        <v>#N/A</v>
      </c>
      <c r="AK312" s="161" t="e">
        <f t="shared" ca="1" si="128"/>
        <v>#N/A</v>
      </c>
      <c r="AL312" s="161">
        <f ca="1">IF(Y312&gt;(Preenchimento!$AA$90*12),0,Fixa!Y312)</f>
        <v>0</v>
      </c>
      <c r="AM312" s="161">
        <f t="shared" ca="1" si="134"/>
        <v>5</v>
      </c>
      <c r="AN312" s="199">
        <f ca="1">IF(AQ312&gt;Preenchimento!$AA$90*12,0,1)</f>
        <v>0</v>
      </c>
      <c r="AO312" s="161" t="e">
        <f ca="1">1/((1+SAC!$AD$29)^AL312)</f>
        <v>#N/A</v>
      </c>
      <c r="AP312" s="82" t="e">
        <f t="shared" ca="1" si="135"/>
        <v>#N/A</v>
      </c>
      <c r="AQ312" s="82">
        <v>287</v>
      </c>
      <c r="AS312" s="477">
        <f t="shared" ca="1" si="129"/>
        <v>0</v>
      </c>
    </row>
    <row r="313" spans="1:45">
      <c r="A313" s="53">
        <v>288</v>
      </c>
      <c r="B313" s="249">
        <f ca="1">DATE(IF(MONTH(B312)=12,YEAR(B312)+1,YEAR(B312)),IF(MONTH(B312)=12,1,MONTH(B312)+1),MIN(DAY(Condições!$C$109),IF(IF(MONTH(B312)=12,1,MONTH(B312)+1)=2,IF(MOD(IF(MONTH(B312)=12,YEAR(B312)+1,YEAR(B312)),4)=0,29,28),IF(OR(IF(MONTH(B312)=12,1,MONTH(B312)+1)=4,IF(MONTH(B312)=12,1,MONTH(B312)+1)=6,IF(MONTH(B312)=12,1,MONTH(B312)+1)=9,IF(MONTH(B312)=12,1,MONTH(B312)+1)=11),30,DAY($B$25)))))</f>
        <v>54955</v>
      </c>
      <c r="C313" s="250" t="str">
        <f t="shared" si="114"/>
        <v/>
      </c>
      <c r="D313" s="251" t="e">
        <f t="shared" si="115"/>
        <v>#N/A</v>
      </c>
      <c r="E313" s="251">
        <f t="shared" si="116"/>
        <v>0</v>
      </c>
      <c r="F313" s="251">
        <f t="shared" si="117"/>
        <v>0</v>
      </c>
      <c r="G313" s="251">
        <f t="shared" si="118"/>
        <v>0</v>
      </c>
      <c r="H313" s="251" t="e">
        <f t="shared" si="119"/>
        <v>#VALUE!</v>
      </c>
      <c r="I313" s="251">
        <f t="shared" si="120"/>
        <v>0</v>
      </c>
      <c r="J313" s="251">
        <f t="shared" si="130"/>
        <v>0</v>
      </c>
      <c r="K313" s="251">
        <f t="shared" si="121"/>
        <v>0</v>
      </c>
      <c r="M313" s="224"/>
      <c r="N313" s="225">
        <f t="shared" si="122"/>
        <v>0</v>
      </c>
      <c r="O313" s="251" t="e">
        <f t="shared" si="123"/>
        <v>#N/A</v>
      </c>
      <c r="P313" s="251">
        <f t="shared" si="131"/>
        <v>0</v>
      </c>
      <c r="Q313" s="251">
        <f t="shared" si="124"/>
        <v>0</v>
      </c>
      <c r="R313" s="251">
        <f t="shared" si="125"/>
        <v>0</v>
      </c>
      <c r="S313" s="251" t="e">
        <f t="shared" si="126"/>
        <v>#VALUE!</v>
      </c>
      <c r="T313" s="251">
        <f t="shared" si="113"/>
        <v>0</v>
      </c>
      <c r="U313" s="252">
        <f>TRUNC(T313*Condições!$C$102,2)</f>
        <v>0</v>
      </c>
      <c r="V313" s="199">
        <f t="shared" si="132"/>
        <v>0</v>
      </c>
      <c r="W313" s="161" t="e">
        <f t="shared" si="109"/>
        <v>#N/A</v>
      </c>
      <c r="X313" s="161" t="e">
        <f t="shared" si="110"/>
        <v>#N/A</v>
      </c>
      <c r="Y313" s="161">
        <f t="shared" si="111"/>
        <v>288</v>
      </c>
      <c r="Z313" s="161">
        <f t="shared" ca="1" si="112"/>
        <v>6</v>
      </c>
      <c r="AG313" s="114">
        <f t="shared" si="133"/>
        <v>0</v>
      </c>
      <c r="AH313" s="113"/>
      <c r="AI313" s="199">
        <f ca="1">IF(AL313=0,0,IF(AL313&gt;Preenchimento!$AA$88*12,0,IF($AC$53=AM313,0,1)))</f>
        <v>0</v>
      </c>
      <c r="AJ313" s="161" t="e">
        <f t="shared" ca="1" si="127"/>
        <v>#N/A</v>
      </c>
      <c r="AK313" s="161" t="e">
        <f t="shared" ca="1" si="128"/>
        <v>#N/A</v>
      </c>
      <c r="AL313" s="161">
        <f ca="1">IF(Y313&gt;(Preenchimento!$AA$90*12),0,Fixa!Y313)</f>
        <v>0</v>
      </c>
      <c r="AM313" s="161">
        <f t="shared" ca="1" si="134"/>
        <v>6</v>
      </c>
      <c r="AN313" s="199">
        <f ca="1">IF(AQ313&gt;Preenchimento!$AA$90*12,0,1)</f>
        <v>0</v>
      </c>
      <c r="AO313" s="161" t="e">
        <f ca="1">1/((1+SAC!$AD$29)^AL313)</f>
        <v>#N/A</v>
      </c>
      <c r="AP313" s="82" t="e">
        <f t="shared" ca="1" si="135"/>
        <v>#N/A</v>
      </c>
      <c r="AQ313" s="82">
        <v>288</v>
      </c>
      <c r="AS313" s="477">
        <f t="shared" ca="1" si="129"/>
        <v>0</v>
      </c>
    </row>
    <row r="314" spans="1:45">
      <c r="A314" s="53">
        <v>289</v>
      </c>
      <c r="B314" s="249">
        <f ca="1">DATE(IF(MONTH(B313)=12,YEAR(B313)+1,YEAR(B313)),IF(MONTH(B313)=12,1,MONTH(B313)+1),MIN(DAY(Condições!$C$109),IF(IF(MONTH(B313)=12,1,MONTH(B313)+1)=2,IF(MOD(IF(MONTH(B313)=12,YEAR(B313)+1,YEAR(B313)),4)=0,29,28),IF(OR(IF(MONTH(B313)=12,1,MONTH(B313)+1)=4,IF(MONTH(B313)=12,1,MONTH(B313)+1)=6,IF(MONTH(B313)=12,1,MONTH(B313)+1)=9,IF(MONTH(B313)=12,1,MONTH(B313)+1)=11),30,DAY($B$25)))))</f>
        <v>54985</v>
      </c>
      <c r="C314" s="250" t="str">
        <f t="shared" si="114"/>
        <v/>
      </c>
      <c r="D314" s="251" t="e">
        <f t="shared" si="115"/>
        <v>#N/A</v>
      </c>
      <c r="E314" s="251">
        <f t="shared" si="116"/>
        <v>0</v>
      </c>
      <c r="F314" s="251">
        <f t="shared" si="117"/>
        <v>0</v>
      </c>
      <c r="G314" s="251">
        <f t="shared" si="118"/>
        <v>0</v>
      </c>
      <c r="H314" s="251" t="e">
        <f t="shared" si="119"/>
        <v>#VALUE!</v>
      </c>
      <c r="I314" s="251">
        <f t="shared" si="120"/>
        <v>0</v>
      </c>
      <c r="J314" s="251">
        <f t="shared" si="130"/>
        <v>0</v>
      </c>
      <c r="K314" s="251">
        <f t="shared" si="121"/>
        <v>0</v>
      </c>
      <c r="M314" s="224"/>
      <c r="N314" s="225">
        <f t="shared" si="122"/>
        <v>0</v>
      </c>
      <c r="O314" s="251" t="e">
        <f t="shared" si="123"/>
        <v>#N/A</v>
      </c>
      <c r="P314" s="251">
        <f t="shared" si="131"/>
        <v>0</v>
      </c>
      <c r="Q314" s="251">
        <f t="shared" si="124"/>
        <v>0</v>
      </c>
      <c r="R314" s="251">
        <f t="shared" si="125"/>
        <v>0</v>
      </c>
      <c r="S314" s="251" t="e">
        <f t="shared" si="126"/>
        <v>#VALUE!</v>
      </c>
      <c r="T314" s="251">
        <f t="shared" si="113"/>
        <v>0</v>
      </c>
      <c r="U314" s="252">
        <f>TRUNC(T314*Condições!$C$102,2)</f>
        <v>0</v>
      </c>
      <c r="V314" s="199">
        <f t="shared" si="132"/>
        <v>0</v>
      </c>
      <c r="W314" s="161" t="e">
        <f t="shared" si="109"/>
        <v>#N/A</v>
      </c>
      <c r="X314" s="161" t="e">
        <f t="shared" si="110"/>
        <v>#N/A</v>
      </c>
      <c r="Y314" s="161">
        <f t="shared" si="111"/>
        <v>289</v>
      </c>
      <c r="Z314" s="161">
        <f t="shared" ca="1" si="112"/>
        <v>7</v>
      </c>
      <c r="AG314" s="114">
        <f t="shared" si="133"/>
        <v>0</v>
      </c>
      <c r="AH314" s="113"/>
      <c r="AI314" s="199">
        <f ca="1">IF(AL314=0,0,IF(AL314&gt;Preenchimento!$AA$88*12,0,IF($AC$53=AM314,0,1)))</f>
        <v>0</v>
      </c>
      <c r="AJ314" s="161" t="e">
        <f t="shared" ca="1" si="127"/>
        <v>#N/A</v>
      </c>
      <c r="AK314" s="161" t="e">
        <f t="shared" ca="1" si="128"/>
        <v>#N/A</v>
      </c>
      <c r="AL314" s="161">
        <f ca="1">IF(Y314&gt;(Preenchimento!$AA$90*12),0,Fixa!Y314)</f>
        <v>0</v>
      </c>
      <c r="AM314" s="161">
        <f t="shared" ca="1" si="134"/>
        <v>7</v>
      </c>
      <c r="AN314" s="199">
        <f ca="1">IF(AQ314&gt;Preenchimento!$AA$90*12,0,1)</f>
        <v>0</v>
      </c>
      <c r="AO314" s="161" t="e">
        <f ca="1">1/((1+SAC!$AD$29)^AL314)</f>
        <v>#N/A</v>
      </c>
      <c r="AP314" s="82" t="e">
        <f t="shared" ca="1" si="135"/>
        <v>#N/A</v>
      </c>
      <c r="AQ314" s="82">
        <v>289</v>
      </c>
      <c r="AS314" s="477">
        <f t="shared" ca="1" si="129"/>
        <v>0</v>
      </c>
    </row>
    <row r="315" spans="1:45">
      <c r="A315" s="53">
        <v>290</v>
      </c>
      <c r="B315" s="249">
        <f ca="1">DATE(IF(MONTH(B314)=12,YEAR(B314)+1,YEAR(B314)),IF(MONTH(B314)=12,1,MONTH(B314)+1),MIN(DAY(Condições!$C$109),IF(IF(MONTH(B314)=12,1,MONTH(B314)+1)=2,IF(MOD(IF(MONTH(B314)=12,YEAR(B314)+1,YEAR(B314)),4)=0,29,28),IF(OR(IF(MONTH(B314)=12,1,MONTH(B314)+1)=4,IF(MONTH(B314)=12,1,MONTH(B314)+1)=6,IF(MONTH(B314)=12,1,MONTH(B314)+1)=9,IF(MONTH(B314)=12,1,MONTH(B314)+1)=11),30,DAY($B$25)))))</f>
        <v>55016</v>
      </c>
      <c r="C315" s="250" t="str">
        <f t="shared" si="114"/>
        <v/>
      </c>
      <c r="D315" s="251" t="e">
        <f t="shared" si="115"/>
        <v>#N/A</v>
      </c>
      <c r="E315" s="251">
        <f t="shared" si="116"/>
        <v>0</v>
      </c>
      <c r="F315" s="251">
        <f t="shared" si="117"/>
        <v>0</v>
      </c>
      <c r="G315" s="251">
        <f t="shared" si="118"/>
        <v>0</v>
      </c>
      <c r="H315" s="251" t="e">
        <f t="shared" si="119"/>
        <v>#VALUE!</v>
      </c>
      <c r="I315" s="251">
        <f t="shared" si="120"/>
        <v>0</v>
      </c>
      <c r="J315" s="251">
        <f t="shared" si="130"/>
        <v>0</v>
      </c>
      <c r="K315" s="251">
        <f t="shared" si="121"/>
        <v>0</v>
      </c>
      <c r="M315" s="224"/>
      <c r="N315" s="225">
        <f t="shared" si="122"/>
        <v>0</v>
      </c>
      <c r="O315" s="251" t="e">
        <f t="shared" si="123"/>
        <v>#N/A</v>
      </c>
      <c r="P315" s="251">
        <f t="shared" si="131"/>
        <v>0</v>
      </c>
      <c r="Q315" s="251">
        <f t="shared" si="124"/>
        <v>0</v>
      </c>
      <c r="R315" s="251">
        <f t="shared" si="125"/>
        <v>0</v>
      </c>
      <c r="S315" s="251" t="e">
        <f t="shared" si="126"/>
        <v>#VALUE!</v>
      </c>
      <c r="T315" s="251">
        <f t="shared" si="113"/>
        <v>0</v>
      </c>
      <c r="U315" s="252">
        <f>TRUNC(T315*Condições!$C$102,2)</f>
        <v>0</v>
      </c>
      <c r="V315" s="199">
        <f t="shared" si="132"/>
        <v>0</v>
      </c>
      <c r="W315" s="161" t="e">
        <f t="shared" si="109"/>
        <v>#N/A</v>
      </c>
      <c r="X315" s="161" t="e">
        <f t="shared" si="110"/>
        <v>#N/A</v>
      </c>
      <c r="Y315" s="161">
        <f t="shared" si="111"/>
        <v>290</v>
      </c>
      <c r="Z315" s="161">
        <f t="shared" ca="1" si="112"/>
        <v>8</v>
      </c>
      <c r="AG315" s="114">
        <f t="shared" si="133"/>
        <v>0</v>
      </c>
      <c r="AH315" s="113"/>
      <c r="AI315" s="199">
        <f ca="1">IF(AL315=0,0,IF(AL315&gt;Preenchimento!$AA$88*12,0,IF($AC$53=AM315,0,1)))</f>
        <v>0</v>
      </c>
      <c r="AJ315" s="161" t="e">
        <f t="shared" ca="1" si="127"/>
        <v>#N/A</v>
      </c>
      <c r="AK315" s="161" t="e">
        <f t="shared" ca="1" si="128"/>
        <v>#N/A</v>
      </c>
      <c r="AL315" s="161">
        <f ca="1">IF(Y315&gt;(Preenchimento!$AA$90*12),0,Fixa!Y315)</f>
        <v>0</v>
      </c>
      <c r="AM315" s="161">
        <f t="shared" ca="1" si="134"/>
        <v>8</v>
      </c>
      <c r="AN315" s="199">
        <f ca="1">IF(AQ315&gt;Preenchimento!$AA$90*12,0,1)</f>
        <v>0</v>
      </c>
      <c r="AO315" s="161" t="e">
        <f ca="1">1/((1+SAC!$AD$29)^AL315)</f>
        <v>#N/A</v>
      </c>
      <c r="AP315" s="82" t="e">
        <f t="shared" ca="1" si="135"/>
        <v>#N/A</v>
      </c>
      <c r="AQ315" s="82">
        <v>290</v>
      </c>
      <c r="AS315" s="477">
        <f t="shared" ca="1" si="129"/>
        <v>0</v>
      </c>
    </row>
    <row r="316" spans="1:45">
      <c r="A316" s="53">
        <v>291</v>
      </c>
      <c r="B316" s="249">
        <f ca="1">DATE(IF(MONTH(B315)=12,YEAR(B315)+1,YEAR(B315)),IF(MONTH(B315)=12,1,MONTH(B315)+1),MIN(DAY(Condições!$C$109),IF(IF(MONTH(B315)=12,1,MONTH(B315)+1)=2,IF(MOD(IF(MONTH(B315)=12,YEAR(B315)+1,YEAR(B315)),4)=0,29,28),IF(OR(IF(MONTH(B315)=12,1,MONTH(B315)+1)=4,IF(MONTH(B315)=12,1,MONTH(B315)+1)=6,IF(MONTH(B315)=12,1,MONTH(B315)+1)=9,IF(MONTH(B315)=12,1,MONTH(B315)+1)=11),30,DAY($B$25)))))</f>
        <v>55047</v>
      </c>
      <c r="C316" s="250" t="str">
        <f t="shared" si="114"/>
        <v/>
      </c>
      <c r="D316" s="251" t="e">
        <f t="shared" si="115"/>
        <v>#N/A</v>
      </c>
      <c r="E316" s="251">
        <f t="shared" si="116"/>
        <v>0</v>
      </c>
      <c r="F316" s="251">
        <f t="shared" si="117"/>
        <v>0</v>
      </c>
      <c r="G316" s="251">
        <f t="shared" si="118"/>
        <v>0</v>
      </c>
      <c r="H316" s="251" t="e">
        <f t="shared" si="119"/>
        <v>#VALUE!</v>
      </c>
      <c r="I316" s="251">
        <f t="shared" si="120"/>
        <v>0</v>
      </c>
      <c r="J316" s="251">
        <f t="shared" si="130"/>
        <v>0</v>
      </c>
      <c r="K316" s="251">
        <f t="shared" si="121"/>
        <v>0</v>
      </c>
      <c r="M316" s="224"/>
      <c r="N316" s="225">
        <f t="shared" si="122"/>
        <v>0</v>
      </c>
      <c r="O316" s="251" t="e">
        <f t="shared" si="123"/>
        <v>#N/A</v>
      </c>
      <c r="P316" s="251">
        <f t="shared" si="131"/>
        <v>0</v>
      </c>
      <c r="Q316" s="251">
        <f t="shared" si="124"/>
        <v>0</v>
      </c>
      <c r="R316" s="251">
        <f t="shared" si="125"/>
        <v>0</v>
      </c>
      <c r="S316" s="251" t="e">
        <f t="shared" si="126"/>
        <v>#VALUE!</v>
      </c>
      <c r="T316" s="251">
        <f t="shared" si="113"/>
        <v>0</v>
      </c>
      <c r="U316" s="252">
        <f>TRUNC(T316*Condições!$C$102,2)</f>
        <v>0</v>
      </c>
      <c r="V316" s="199">
        <f t="shared" si="132"/>
        <v>0</v>
      </c>
      <c r="W316" s="161" t="e">
        <f t="shared" si="109"/>
        <v>#N/A</v>
      </c>
      <c r="X316" s="161" t="e">
        <f t="shared" si="110"/>
        <v>#N/A</v>
      </c>
      <c r="Y316" s="161">
        <f t="shared" si="111"/>
        <v>291</v>
      </c>
      <c r="Z316" s="161">
        <f t="shared" ca="1" si="112"/>
        <v>9</v>
      </c>
      <c r="AG316" s="114">
        <f t="shared" si="133"/>
        <v>0</v>
      </c>
      <c r="AH316" s="113"/>
      <c r="AI316" s="199">
        <f ca="1">IF(AL316=0,0,IF(AL316&gt;Preenchimento!$AA$88*12,0,IF($AC$53=AM316,0,1)))</f>
        <v>0</v>
      </c>
      <c r="AJ316" s="161" t="e">
        <f t="shared" ca="1" si="127"/>
        <v>#N/A</v>
      </c>
      <c r="AK316" s="161" t="e">
        <f t="shared" ca="1" si="128"/>
        <v>#N/A</v>
      </c>
      <c r="AL316" s="161">
        <f ca="1">IF(Y316&gt;(Preenchimento!$AA$90*12),0,Fixa!Y316)</f>
        <v>0</v>
      </c>
      <c r="AM316" s="161">
        <f t="shared" ca="1" si="134"/>
        <v>9</v>
      </c>
      <c r="AN316" s="199">
        <f ca="1">IF(AQ316&gt;Preenchimento!$AA$90*12,0,1)</f>
        <v>0</v>
      </c>
      <c r="AO316" s="161" t="e">
        <f ca="1">1/((1+SAC!$AD$29)^AL316)</f>
        <v>#N/A</v>
      </c>
      <c r="AP316" s="82" t="e">
        <f t="shared" ca="1" si="135"/>
        <v>#N/A</v>
      </c>
      <c r="AQ316" s="82">
        <v>291</v>
      </c>
      <c r="AS316" s="477">
        <f t="shared" ca="1" si="129"/>
        <v>0</v>
      </c>
    </row>
    <row r="317" spans="1:45">
      <c r="A317" s="53">
        <v>292</v>
      </c>
      <c r="B317" s="249">
        <f ca="1">DATE(IF(MONTH(B316)=12,YEAR(B316)+1,YEAR(B316)),IF(MONTH(B316)=12,1,MONTH(B316)+1),MIN(DAY(Condições!$C$109),IF(IF(MONTH(B316)=12,1,MONTH(B316)+1)=2,IF(MOD(IF(MONTH(B316)=12,YEAR(B316)+1,YEAR(B316)),4)=0,29,28),IF(OR(IF(MONTH(B316)=12,1,MONTH(B316)+1)=4,IF(MONTH(B316)=12,1,MONTH(B316)+1)=6,IF(MONTH(B316)=12,1,MONTH(B316)+1)=9,IF(MONTH(B316)=12,1,MONTH(B316)+1)=11),30,DAY($B$25)))))</f>
        <v>55077</v>
      </c>
      <c r="C317" s="250" t="str">
        <f t="shared" si="114"/>
        <v/>
      </c>
      <c r="D317" s="251" t="e">
        <f t="shared" si="115"/>
        <v>#N/A</v>
      </c>
      <c r="E317" s="251">
        <f t="shared" si="116"/>
        <v>0</v>
      </c>
      <c r="F317" s="251">
        <f t="shared" si="117"/>
        <v>0</v>
      </c>
      <c r="G317" s="251">
        <f t="shared" si="118"/>
        <v>0</v>
      </c>
      <c r="H317" s="251" t="e">
        <f t="shared" si="119"/>
        <v>#VALUE!</v>
      </c>
      <c r="I317" s="251">
        <f t="shared" si="120"/>
        <v>0</v>
      </c>
      <c r="J317" s="251">
        <f t="shared" si="130"/>
        <v>0</v>
      </c>
      <c r="K317" s="251">
        <f t="shared" si="121"/>
        <v>0</v>
      </c>
      <c r="M317" s="224"/>
      <c r="N317" s="225">
        <f t="shared" si="122"/>
        <v>0</v>
      </c>
      <c r="O317" s="251" t="e">
        <f t="shared" si="123"/>
        <v>#N/A</v>
      </c>
      <c r="P317" s="251">
        <f t="shared" si="131"/>
        <v>0</v>
      </c>
      <c r="Q317" s="251">
        <f t="shared" si="124"/>
        <v>0</v>
      </c>
      <c r="R317" s="251">
        <f t="shared" si="125"/>
        <v>0</v>
      </c>
      <c r="S317" s="251" t="e">
        <f t="shared" si="126"/>
        <v>#VALUE!</v>
      </c>
      <c r="T317" s="251">
        <f t="shared" si="113"/>
        <v>0</v>
      </c>
      <c r="U317" s="252">
        <f>TRUNC(T317*Condições!$C$102,2)</f>
        <v>0</v>
      </c>
      <c r="V317" s="199">
        <f t="shared" si="132"/>
        <v>0</v>
      </c>
      <c r="W317" s="161" t="e">
        <f t="shared" si="109"/>
        <v>#N/A</v>
      </c>
      <c r="X317" s="161" t="e">
        <f t="shared" si="110"/>
        <v>#N/A</v>
      </c>
      <c r="Y317" s="161">
        <f t="shared" si="111"/>
        <v>292</v>
      </c>
      <c r="Z317" s="161">
        <f t="shared" ca="1" si="112"/>
        <v>10</v>
      </c>
      <c r="AG317" s="114">
        <f t="shared" si="133"/>
        <v>0</v>
      </c>
      <c r="AH317" s="113"/>
      <c r="AI317" s="199">
        <f ca="1">IF(AL317=0,0,IF(AL317&gt;Preenchimento!$AA$88*12,0,IF($AC$53=AM317,0,1)))</f>
        <v>0</v>
      </c>
      <c r="AJ317" s="161" t="e">
        <f t="shared" ca="1" si="127"/>
        <v>#N/A</v>
      </c>
      <c r="AK317" s="161" t="e">
        <f t="shared" ca="1" si="128"/>
        <v>#N/A</v>
      </c>
      <c r="AL317" s="161">
        <f ca="1">IF(Y317&gt;(Preenchimento!$AA$90*12),0,Fixa!Y317)</f>
        <v>0</v>
      </c>
      <c r="AM317" s="161">
        <f t="shared" ca="1" si="134"/>
        <v>10</v>
      </c>
      <c r="AN317" s="199">
        <f ca="1">IF(AQ317&gt;Preenchimento!$AA$90*12,0,1)</f>
        <v>0</v>
      </c>
      <c r="AO317" s="161" t="e">
        <f ca="1">1/((1+SAC!$AD$29)^AL317)</f>
        <v>#N/A</v>
      </c>
      <c r="AP317" s="82" t="e">
        <f t="shared" ca="1" si="135"/>
        <v>#N/A</v>
      </c>
      <c r="AQ317" s="82">
        <v>292</v>
      </c>
      <c r="AS317" s="477">
        <f t="shared" ca="1" si="129"/>
        <v>0</v>
      </c>
    </row>
    <row r="318" spans="1:45">
      <c r="A318" s="53">
        <v>293</v>
      </c>
      <c r="B318" s="249">
        <f ca="1">DATE(IF(MONTH(B317)=12,YEAR(B317)+1,YEAR(B317)),IF(MONTH(B317)=12,1,MONTH(B317)+1),MIN(DAY(Condições!$C$109),IF(IF(MONTH(B317)=12,1,MONTH(B317)+1)=2,IF(MOD(IF(MONTH(B317)=12,YEAR(B317)+1,YEAR(B317)),4)=0,29,28),IF(OR(IF(MONTH(B317)=12,1,MONTH(B317)+1)=4,IF(MONTH(B317)=12,1,MONTH(B317)+1)=6,IF(MONTH(B317)=12,1,MONTH(B317)+1)=9,IF(MONTH(B317)=12,1,MONTH(B317)+1)=11),30,DAY($B$25)))))</f>
        <v>55108</v>
      </c>
      <c r="C318" s="250" t="str">
        <f t="shared" si="114"/>
        <v/>
      </c>
      <c r="D318" s="251" t="e">
        <f t="shared" si="115"/>
        <v>#N/A</v>
      </c>
      <c r="E318" s="251">
        <f t="shared" si="116"/>
        <v>0</v>
      </c>
      <c r="F318" s="251">
        <f t="shared" si="117"/>
        <v>0</v>
      </c>
      <c r="G318" s="251">
        <f t="shared" si="118"/>
        <v>0</v>
      </c>
      <c r="H318" s="251" t="e">
        <f t="shared" si="119"/>
        <v>#VALUE!</v>
      </c>
      <c r="I318" s="251">
        <f t="shared" si="120"/>
        <v>0</v>
      </c>
      <c r="J318" s="251">
        <f t="shared" si="130"/>
        <v>0</v>
      </c>
      <c r="K318" s="251">
        <f t="shared" si="121"/>
        <v>0</v>
      </c>
      <c r="M318" s="224"/>
      <c r="N318" s="225">
        <f t="shared" si="122"/>
        <v>0</v>
      </c>
      <c r="O318" s="251" t="e">
        <f t="shared" si="123"/>
        <v>#N/A</v>
      </c>
      <c r="P318" s="251">
        <f t="shared" si="131"/>
        <v>0</v>
      </c>
      <c r="Q318" s="251">
        <f t="shared" si="124"/>
        <v>0</v>
      </c>
      <c r="R318" s="251">
        <f t="shared" si="125"/>
        <v>0</v>
      </c>
      <c r="S318" s="251" t="e">
        <f t="shared" si="126"/>
        <v>#VALUE!</v>
      </c>
      <c r="T318" s="251">
        <f t="shared" si="113"/>
        <v>0</v>
      </c>
      <c r="U318" s="252">
        <f>TRUNC(T318*Condições!$C$102,2)</f>
        <v>0</v>
      </c>
      <c r="V318" s="199">
        <f t="shared" si="132"/>
        <v>0</v>
      </c>
      <c r="W318" s="161" t="e">
        <f t="shared" si="109"/>
        <v>#N/A</v>
      </c>
      <c r="X318" s="161" t="e">
        <f t="shared" si="110"/>
        <v>#N/A</v>
      </c>
      <c r="Y318" s="161">
        <f t="shared" si="111"/>
        <v>293</v>
      </c>
      <c r="Z318" s="161">
        <f t="shared" ca="1" si="112"/>
        <v>11</v>
      </c>
      <c r="AG318" s="114">
        <f t="shared" si="133"/>
        <v>0</v>
      </c>
      <c r="AH318" s="113"/>
      <c r="AI318" s="199">
        <f ca="1">IF(AL318=0,0,IF(AL318&gt;Preenchimento!$AA$88*12,0,IF($AC$53=AM318,0,1)))</f>
        <v>0</v>
      </c>
      <c r="AJ318" s="161" t="e">
        <f t="shared" ca="1" si="127"/>
        <v>#N/A</v>
      </c>
      <c r="AK318" s="161" t="e">
        <f t="shared" ca="1" si="128"/>
        <v>#N/A</v>
      </c>
      <c r="AL318" s="161">
        <f ca="1">IF(Y318&gt;(Preenchimento!$AA$90*12),0,Fixa!Y318)</f>
        <v>0</v>
      </c>
      <c r="AM318" s="161">
        <f t="shared" ca="1" si="134"/>
        <v>11</v>
      </c>
      <c r="AN318" s="199">
        <f ca="1">IF(AQ318&gt;Preenchimento!$AA$90*12,0,1)</f>
        <v>0</v>
      </c>
      <c r="AO318" s="161" t="e">
        <f ca="1">1/((1+SAC!$AD$29)^AL318)</f>
        <v>#N/A</v>
      </c>
      <c r="AP318" s="82" t="e">
        <f t="shared" ca="1" si="135"/>
        <v>#N/A</v>
      </c>
      <c r="AQ318" s="82">
        <v>293</v>
      </c>
      <c r="AS318" s="477">
        <f t="shared" ca="1" si="129"/>
        <v>0</v>
      </c>
    </row>
    <row r="319" spans="1:45">
      <c r="A319" s="53">
        <v>294</v>
      </c>
      <c r="B319" s="249">
        <f ca="1">DATE(IF(MONTH(B318)=12,YEAR(B318)+1,YEAR(B318)),IF(MONTH(B318)=12,1,MONTH(B318)+1),MIN(DAY(Condições!$C$109),IF(IF(MONTH(B318)=12,1,MONTH(B318)+1)=2,IF(MOD(IF(MONTH(B318)=12,YEAR(B318)+1,YEAR(B318)),4)=0,29,28),IF(OR(IF(MONTH(B318)=12,1,MONTH(B318)+1)=4,IF(MONTH(B318)=12,1,MONTH(B318)+1)=6,IF(MONTH(B318)=12,1,MONTH(B318)+1)=9,IF(MONTH(B318)=12,1,MONTH(B318)+1)=11),30,DAY($B$25)))))</f>
        <v>55138</v>
      </c>
      <c r="C319" s="250" t="str">
        <f t="shared" si="114"/>
        <v/>
      </c>
      <c r="D319" s="251" t="e">
        <f t="shared" si="115"/>
        <v>#N/A</v>
      </c>
      <c r="E319" s="251">
        <f t="shared" si="116"/>
        <v>0</v>
      </c>
      <c r="F319" s="251">
        <f t="shared" si="117"/>
        <v>0</v>
      </c>
      <c r="G319" s="251">
        <f t="shared" si="118"/>
        <v>0</v>
      </c>
      <c r="H319" s="251" t="e">
        <f t="shared" si="119"/>
        <v>#VALUE!</v>
      </c>
      <c r="I319" s="251">
        <f t="shared" si="120"/>
        <v>0</v>
      </c>
      <c r="J319" s="251">
        <f t="shared" si="130"/>
        <v>0</v>
      </c>
      <c r="K319" s="251">
        <f t="shared" si="121"/>
        <v>0</v>
      </c>
      <c r="M319" s="224"/>
      <c r="N319" s="225">
        <f t="shared" si="122"/>
        <v>0</v>
      </c>
      <c r="O319" s="251" t="e">
        <f t="shared" si="123"/>
        <v>#N/A</v>
      </c>
      <c r="P319" s="251">
        <f t="shared" si="131"/>
        <v>0</v>
      </c>
      <c r="Q319" s="251">
        <f t="shared" si="124"/>
        <v>0</v>
      </c>
      <c r="R319" s="251">
        <f t="shared" si="125"/>
        <v>0</v>
      </c>
      <c r="S319" s="251" t="e">
        <f t="shared" si="126"/>
        <v>#VALUE!</v>
      </c>
      <c r="T319" s="251">
        <f t="shared" si="113"/>
        <v>0</v>
      </c>
      <c r="U319" s="252">
        <f>TRUNC(T319*Condições!$C$102,2)</f>
        <v>0</v>
      </c>
      <c r="V319" s="199">
        <f t="shared" si="132"/>
        <v>0</v>
      </c>
      <c r="W319" s="161" t="e">
        <f t="shared" si="109"/>
        <v>#N/A</v>
      </c>
      <c r="X319" s="161" t="e">
        <f t="shared" si="110"/>
        <v>#N/A</v>
      </c>
      <c r="Y319" s="161">
        <f t="shared" si="111"/>
        <v>294</v>
      </c>
      <c r="Z319" s="161">
        <f t="shared" ca="1" si="112"/>
        <v>12</v>
      </c>
      <c r="AG319" s="114">
        <f t="shared" si="133"/>
        <v>0</v>
      </c>
      <c r="AH319" s="113"/>
      <c r="AI319" s="199">
        <f ca="1">IF(AL319=0,0,IF(AL319&gt;Preenchimento!$AA$88*12,0,IF($AC$53=AM319,0,1)))</f>
        <v>0</v>
      </c>
      <c r="AJ319" s="161" t="e">
        <f t="shared" ca="1" si="127"/>
        <v>#N/A</v>
      </c>
      <c r="AK319" s="161" t="e">
        <f t="shared" ca="1" si="128"/>
        <v>#N/A</v>
      </c>
      <c r="AL319" s="161">
        <f ca="1">IF(Y319&gt;(Preenchimento!$AA$90*12),0,Fixa!Y319)</f>
        <v>0</v>
      </c>
      <c r="AM319" s="161">
        <f t="shared" ca="1" si="134"/>
        <v>12</v>
      </c>
      <c r="AN319" s="199">
        <f ca="1">IF(AQ319&gt;Preenchimento!$AA$90*12,0,1)</f>
        <v>0</v>
      </c>
      <c r="AO319" s="161" t="e">
        <f ca="1">1/((1+SAC!$AD$29)^AL319)</f>
        <v>#N/A</v>
      </c>
      <c r="AP319" s="82" t="e">
        <f t="shared" ca="1" si="135"/>
        <v>#N/A</v>
      </c>
      <c r="AQ319" s="82">
        <v>294</v>
      </c>
      <c r="AS319" s="477">
        <f t="shared" ca="1" si="129"/>
        <v>0</v>
      </c>
    </row>
    <row r="320" spans="1:45">
      <c r="A320" s="53">
        <v>295</v>
      </c>
      <c r="B320" s="249">
        <f ca="1">DATE(IF(MONTH(B319)=12,YEAR(B319)+1,YEAR(B319)),IF(MONTH(B319)=12,1,MONTH(B319)+1),MIN(DAY(Condições!$C$109),IF(IF(MONTH(B319)=12,1,MONTH(B319)+1)=2,IF(MOD(IF(MONTH(B319)=12,YEAR(B319)+1,YEAR(B319)),4)=0,29,28),IF(OR(IF(MONTH(B319)=12,1,MONTH(B319)+1)=4,IF(MONTH(B319)=12,1,MONTH(B319)+1)=6,IF(MONTH(B319)=12,1,MONTH(B319)+1)=9,IF(MONTH(B319)=12,1,MONTH(B319)+1)=11),30,DAY($B$25)))))</f>
        <v>55169</v>
      </c>
      <c r="C320" s="250" t="str">
        <f t="shared" si="114"/>
        <v/>
      </c>
      <c r="D320" s="251" t="e">
        <f t="shared" si="115"/>
        <v>#N/A</v>
      </c>
      <c r="E320" s="251">
        <f t="shared" si="116"/>
        <v>0</v>
      </c>
      <c r="F320" s="251">
        <f t="shared" si="117"/>
        <v>0</v>
      </c>
      <c r="G320" s="251">
        <f t="shared" si="118"/>
        <v>0</v>
      </c>
      <c r="H320" s="251" t="e">
        <f t="shared" si="119"/>
        <v>#VALUE!</v>
      </c>
      <c r="I320" s="251">
        <f t="shared" si="120"/>
        <v>0</v>
      </c>
      <c r="J320" s="251">
        <f t="shared" si="130"/>
        <v>0</v>
      </c>
      <c r="K320" s="251">
        <f t="shared" si="121"/>
        <v>0</v>
      </c>
      <c r="M320" s="224"/>
      <c r="N320" s="225">
        <f t="shared" si="122"/>
        <v>0</v>
      </c>
      <c r="O320" s="251" t="e">
        <f t="shared" si="123"/>
        <v>#N/A</v>
      </c>
      <c r="P320" s="251">
        <f t="shared" si="131"/>
        <v>0</v>
      </c>
      <c r="Q320" s="251">
        <f t="shared" si="124"/>
        <v>0</v>
      </c>
      <c r="R320" s="251">
        <f t="shared" si="125"/>
        <v>0</v>
      </c>
      <c r="S320" s="251" t="e">
        <f t="shared" si="126"/>
        <v>#VALUE!</v>
      </c>
      <c r="T320" s="251">
        <f t="shared" si="113"/>
        <v>0</v>
      </c>
      <c r="U320" s="252">
        <f>TRUNC(T320*Condições!$C$102,2)</f>
        <v>0</v>
      </c>
      <c r="V320" s="199">
        <f t="shared" si="132"/>
        <v>0</v>
      </c>
      <c r="W320" s="161" t="e">
        <f t="shared" si="109"/>
        <v>#N/A</v>
      </c>
      <c r="X320" s="161" t="e">
        <f t="shared" si="110"/>
        <v>#N/A</v>
      </c>
      <c r="Y320" s="161">
        <f t="shared" si="111"/>
        <v>295</v>
      </c>
      <c r="Z320" s="161">
        <f t="shared" ca="1" si="112"/>
        <v>1</v>
      </c>
      <c r="AG320" s="114">
        <f t="shared" si="133"/>
        <v>0</v>
      </c>
      <c r="AH320" s="113"/>
      <c r="AI320" s="199">
        <f ca="1">IF(AL320=0,0,IF(AL320&gt;Preenchimento!$AA$88*12,0,IF($AC$53=AM320,0,1)))</f>
        <v>0</v>
      </c>
      <c r="AJ320" s="161" t="e">
        <f t="shared" ca="1" si="127"/>
        <v>#N/A</v>
      </c>
      <c r="AK320" s="161" t="e">
        <f t="shared" ca="1" si="128"/>
        <v>#N/A</v>
      </c>
      <c r="AL320" s="161">
        <f ca="1">IF(Y320&gt;(Preenchimento!$AA$90*12),0,Fixa!Y320)</f>
        <v>0</v>
      </c>
      <c r="AM320" s="161">
        <f t="shared" ca="1" si="134"/>
        <v>1</v>
      </c>
      <c r="AN320" s="199">
        <f ca="1">IF(AQ320&gt;Preenchimento!$AA$90*12,0,1)</f>
        <v>0</v>
      </c>
      <c r="AO320" s="161" t="e">
        <f ca="1">1/((1+SAC!$AD$29)^AL320)</f>
        <v>#N/A</v>
      </c>
      <c r="AP320" s="82" t="e">
        <f t="shared" ca="1" si="135"/>
        <v>#N/A</v>
      </c>
      <c r="AQ320" s="82">
        <v>295</v>
      </c>
      <c r="AS320" s="477">
        <f t="shared" ca="1" si="129"/>
        <v>0</v>
      </c>
    </row>
    <row r="321" spans="1:45">
      <c r="A321" s="53">
        <v>296</v>
      </c>
      <c r="B321" s="249">
        <f ca="1">DATE(IF(MONTH(B320)=12,YEAR(B320)+1,YEAR(B320)),IF(MONTH(B320)=12,1,MONTH(B320)+1),MIN(DAY(Condições!$C$109),IF(IF(MONTH(B320)=12,1,MONTH(B320)+1)=2,IF(MOD(IF(MONTH(B320)=12,YEAR(B320)+1,YEAR(B320)),4)=0,29,28),IF(OR(IF(MONTH(B320)=12,1,MONTH(B320)+1)=4,IF(MONTH(B320)=12,1,MONTH(B320)+1)=6,IF(MONTH(B320)=12,1,MONTH(B320)+1)=9,IF(MONTH(B320)=12,1,MONTH(B320)+1)=11),30,DAY($B$25)))))</f>
        <v>55200</v>
      </c>
      <c r="C321" s="250" t="str">
        <f t="shared" si="114"/>
        <v/>
      </c>
      <c r="D321" s="251" t="e">
        <f t="shared" si="115"/>
        <v>#N/A</v>
      </c>
      <c r="E321" s="251">
        <f t="shared" si="116"/>
        <v>0</v>
      </c>
      <c r="F321" s="251">
        <f t="shared" si="117"/>
        <v>0</v>
      </c>
      <c r="G321" s="251">
        <f t="shared" si="118"/>
        <v>0</v>
      </c>
      <c r="H321" s="251" t="e">
        <f t="shared" si="119"/>
        <v>#VALUE!</v>
      </c>
      <c r="I321" s="251">
        <f t="shared" si="120"/>
        <v>0</v>
      </c>
      <c r="J321" s="251">
        <f t="shared" si="130"/>
        <v>0</v>
      </c>
      <c r="K321" s="251">
        <f t="shared" si="121"/>
        <v>0</v>
      </c>
      <c r="M321" s="224"/>
      <c r="N321" s="225">
        <f t="shared" si="122"/>
        <v>0</v>
      </c>
      <c r="O321" s="251" t="e">
        <f t="shared" si="123"/>
        <v>#N/A</v>
      </c>
      <c r="P321" s="251">
        <f t="shared" si="131"/>
        <v>0</v>
      </c>
      <c r="Q321" s="251">
        <f t="shared" si="124"/>
        <v>0</v>
      </c>
      <c r="R321" s="251">
        <f t="shared" si="125"/>
        <v>0</v>
      </c>
      <c r="S321" s="251" t="e">
        <f t="shared" si="126"/>
        <v>#VALUE!</v>
      </c>
      <c r="T321" s="251">
        <f t="shared" si="113"/>
        <v>0</v>
      </c>
      <c r="U321" s="252">
        <f>TRUNC(T321*Condições!$C$102,2)</f>
        <v>0</v>
      </c>
      <c r="V321" s="199">
        <f t="shared" si="132"/>
        <v>0</v>
      </c>
      <c r="W321" s="161" t="e">
        <f t="shared" si="109"/>
        <v>#N/A</v>
      </c>
      <c r="X321" s="161" t="e">
        <f t="shared" si="110"/>
        <v>#N/A</v>
      </c>
      <c r="Y321" s="161">
        <f t="shared" si="111"/>
        <v>296</v>
      </c>
      <c r="Z321" s="161">
        <f t="shared" ca="1" si="112"/>
        <v>2</v>
      </c>
      <c r="AG321" s="114">
        <f t="shared" si="133"/>
        <v>0</v>
      </c>
      <c r="AH321" s="113"/>
      <c r="AI321" s="199">
        <f ca="1">IF(AL321=0,0,IF(AL321&gt;Preenchimento!$AA$88*12,0,IF($AC$53=AM321,0,1)))</f>
        <v>0</v>
      </c>
      <c r="AJ321" s="161" t="e">
        <f t="shared" ca="1" si="127"/>
        <v>#N/A</v>
      </c>
      <c r="AK321" s="161" t="e">
        <f t="shared" ca="1" si="128"/>
        <v>#N/A</v>
      </c>
      <c r="AL321" s="161">
        <f ca="1">IF(Y321&gt;(Preenchimento!$AA$90*12),0,Fixa!Y321)</f>
        <v>0</v>
      </c>
      <c r="AM321" s="161">
        <f t="shared" ca="1" si="134"/>
        <v>2</v>
      </c>
      <c r="AN321" s="199">
        <f ca="1">IF(AQ321&gt;Preenchimento!$AA$90*12,0,1)</f>
        <v>0</v>
      </c>
      <c r="AO321" s="161" t="e">
        <f ca="1">1/((1+SAC!$AD$29)^AL321)</f>
        <v>#N/A</v>
      </c>
      <c r="AP321" s="82" t="e">
        <f t="shared" ca="1" si="135"/>
        <v>#N/A</v>
      </c>
      <c r="AQ321" s="82">
        <v>296</v>
      </c>
      <c r="AS321" s="477">
        <f t="shared" ca="1" si="129"/>
        <v>0</v>
      </c>
    </row>
    <row r="322" spans="1:45">
      <c r="A322" s="53">
        <v>297</v>
      </c>
      <c r="B322" s="249">
        <f ca="1">DATE(IF(MONTH(B321)=12,YEAR(B321)+1,YEAR(B321)),IF(MONTH(B321)=12,1,MONTH(B321)+1),MIN(DAY(Condições!$C$109),IF(IF(MONTH(B321)=12,1,MONTH(B321)+1)=2,IF(MOD(IF(MONTH(B321)=12,YEAR(B321)+1,YEAR(B321)),4)=0,29,28),IF(OR(IF(MONTH(B321)=12,1,MONTH(B321)+1)=4,IF(MONTH(B321)=12,1,MONTH(B321)+1)=6,IF(MONTH(B321)=12,1,MONTH(B321)+1)=9,IF(MONTH(B321)=12,1,MONTH(B321)+1)=11),30,DAY($B$25)))))</f>
        <v>55228</v>
      </c>
      <c r="C322" s="250" t="str">
        <f t="shared" si="114"/>
        <v/>
      </c>
      <c r="D322" s="251" t="e">
        <f t="shared" si="115"/>
        <v>#N/A</v>
      </c>
      <c r="E322" s="251">
        <f t="shared" si="116"/>
        <v>0</v>
      </c>
      <c r="F322" s="251">
        <f t="shared" si="117"/>
        <v>0</v>
      </c>
      <c r="G322" s="251">
        <f t="shared" si="118"/>
        <v>0</v>
      </c>
      <c r="H322" s="251" t="e">
        <f t="shared" si="119"/>
        <v>#VALUE!</v>
      </c>
      <c r="I322" s="251">
        <f t="shared" si="120"/>
        <v>0</v>
      </c>
      <c r="J322" s="251">
        <f t="shared" si="130"/>
        <v>0</v>
      </c>
      <c r="K322" s="251">
        <f t="shared" si="121"/>
        <v>0</v>
      </c>
      <c r="M322" s="224"/>
      <c r="N322" s="225">
        <f t="shared" si="122"/>
        <v>0</v>
      </c>
      <c r="O322" s="251" t="e">
        <f t="shared" si="123"/>
        <v>#N/A</v>
      </c>
      <c r="P322" s="251">
        <f t="shared" si="131"/>
        <v>0</v>
      </c>
      <c r="Q322" s="251">
        <f t="shared" si="124"/>
        <v>0</v>
      </c>
      <c r="R322" s="251">
        <f t="shared" si="125"/>
        <v>0</v>
      </c>
      <c r="S322" s="251" t="e">
        <f t="shared" si="126"/>
        <v>#VALUE!</v>
      </c>
      <c r="T322" s="251">
        <f t="shared" si="113"/>
        <v>0</v>
      </c>
      <c r="U322" s="252">
        <f>TRUNC(T322*Condições!$C$102,2)</f>
        <v>0</v>
      </c>
      <c r="V322" s="199">
        <f t="shared" si="132"/>
        <v>0</v>
      </c>
      <c r="W322" s="161" t="e">
        <f t="shared" si="109"/>
        <v>#N/A</v>
      </c>
      <c r="X322" s="161" t="e">
        <f t="shared" si="110"/>
        <v>#N/A</v>
      </c>
      <c r="Y322" s="161">
        <f t="shared" si="111"/>
        <v>297</v>
      </c>
      <c r="Z322" s="161">
        <f t="shared" ca="1" si="112"/>
        <v>3</v>
      </c>
      <c r="AG322" s="114">
        <f t="shared" si="133"/>
        <v>0</v>
      </c>
      <c r="AH322" s="113"/>
      <c r="AI322" s="199">
        <f ca="1">IF(AL322=0,0,IF(AL322&gt;Preenchimento!$AA$88*12,0,IF($AC$53=AM322,0,1)))</f>
        <v>0</v>
      </c>
      <c r="AJ322" s="161" t="e">
        <f t="shared" ca="1" si="127"/>
        <v>#N/A</v>
      </c>
      <c r="AK322" s="161" t="e">
        <f t="shared" ca="1" si="128"/>
        <v>#N/A</v>
      </c>
      <c r="AL322" s="161">
        <f ca="1">IF(Y322&gt;(Preenchimento!$AA$90*12),0,Fixa!Y322)</f>
        <v>0</v>
      </c>
      <c r="AM322" s="161">
        <f t="shared" ca="1" si="134"/>
        <v>3</v>
      </c>
      <c r="AN322" s="199">
        <f ca="1">IF(AQ322&gt;Preenchimento!$AA$90*12,0,1)</f>
        <v>0</v>
      </c>
      <c r="AO322" s="161" t="e">
        <f ca="1">1/((1+SAC!$AD$29)^AL322)</f>
        <v>#N/A</v>
      </c>
      <c r="AP322" s="82" t="e">
        <f t="shared" ca="1" si="135"/>
        <v>#N/A</v>
      </c>
      <c r="AQ322" s="82">
        <v>297</v>
      </c>
      <c r="AS322" s="477">
        <f t="shared" ca="1" si="129"/>
        <v>0</v>
      </c>
    </row>
    <row r="323" spans="1:45">
      <c r="A323" s="53">
        <v>298</v>
      </c>
      <c r="B323" s="249">
        <f ca="1">DATE(IF(MONTH(B322)=12,YEAR(B322)+1,YEAR(B322)),IF(MONTH(B322)=12,1,MONTH(B322)+1),MIN(DAY(Condições!$C$109),IF(IF(MONTH(B322)=12,1,MONTH(B322)+1)=2,IF(MOD(IF(MONTH(B322)=12,YEAR(B322)+1,YEAR(B322)),4)=0,29,28),IF(OR(IF(MONTH(B322)=12,1,MONTH(B322)+1)=4,IF(MONTH(B322)=12,1,MONTH(B322)+1)=6,IF(MONTH(B322)=12,1,MONTH(B322)+1)=9,IF(MONTH(B322)=12,1,MONTH(B322)+1)=11),30,DAY($B$25)))))</f>
        <v>55259</v>
      </c>
      <c r="C323" s="250" t="str">
        <f t="shared" si="114"/>
        <v/>
      </c>
      <c r="D323" s="251" t="e">
        <f t="shared" si="115"/>
        <v>#N/A</v>
      </c>
      <c r="E323" s="251">
        <f t="shared" si="116"/>
        <v>0</v>
      </c>
      <c r="F323" s="251">
        <f t="shared" si="117"/>
        <v>0</v>
      </c>
      <c r="G323" s="251">
        <f t="shared" si="118"/>
        <v>0</v>
      </c>
      <c r="H323" s="251" t="e">
        <f t="shared" si="119"/>
        <v>#VALUE!</v>
      </c>
      <c r="I323" s="251">
        <f t="shared" si="120"/>
        <v>0</v>
      </c>
      <c r="J323" s="251">
        <f t="shared" si="130"/>
        <v>0</v>
      </c>
      <c r="K323" s="251">
        <f t="shared" si="121"/>
        <v>0</v>
      </c>
      <c r="M323" s="224"/>
      <c r="N323" s="225">
        <f t="shared" si="122"/>
        <v>0</v>
      </c>
      <c r="O323" s="251" t="e">
        <f t="shared" si="123"/>
        <v>#N/A</v>
      </c>
      <c r="P323" s="251">
        <f t="shared" si="131"/>
        <v>0</v>
      </c>
      <c r="Q323" s="251">
        <f t="shared" si="124"/>
        <v>0</v>
      </c>
      <c r="R323" s="251">
        <f t="shared" si="125"/>
        <v>0</v>
      </c>
      <c r="S323" s="251" t="e">
        <f t="shared" si="126"/>
        <v>#VALUE!</v>
      </c>
      <c r="T323" s="251">
        <f t="shared" si="113"/>
        <v>0</v>
      </c>
      <c r="U323" s="252">
        <f>TRUNC(T323*Condições!$C$102,2)</f>
        <v>0</v>
      </c>
      <c r="V323" s="199">
        <f t="shared" si="132"/>
        <v>0</v>
      </c>
      <c r="W323" s="161" t="e">
        <f t="shared" si="109"/>
        <v>#N/A</v>
      </c>
      <c r="X323" s="161" t="e">
        <f t="shared" si="110"/>
        <v>#N/A</v>
      </c>
      <c r="Y323" s="161">
        <f t="shared" si="111"/>
        <v>298</v>
      </c>
      <c r="Z323" s="161">
        <f t="shared" ca="1" si="112"/>
        <v>4</v>
      </c>
      <c r="AG323" s="114">
        <f t="shared" si="133"/>
        <v>0</v>
      </c>
      <c r="AH323" s="113"/>
      <c r="AI323" s="199">
        <f ca="1">IF(AL323=0,0,IF(AL323&gt;Preenchimento!$AA$88*12,0,IF($AC$53=AM323,0,1)))</f>
        <v>0</v>
      </c>
      <c r="AJ323" s="161" t="e">
        <f t="shared" ca="1" si="127"/>
        <v>#N/A</v>
      </c>
      <c r="AK323" s="161" t="e">
        <f t="shared" ca="1" si="128"/>
        <v>#N/A</v>
      </c>
      <c r="AL323" s="161">
        <f ca="1">IF(Y323&gt;(Preenchimento!$AA$90*12),0,Fixa!Y323)</f>
        <v>0</v>
      </c>
      <c r="AM323" s="161">
        <f t="shared" ca="1" si="134"/>
        <v>4</v>
      </c>
      <c r="AN323" s="199">
        <f ca="1">IF(AQ323&gt;Preenchimento!$AA$90*12,0,1)</f>
        <v>0</v>
      </c>
      <c r="AO323" s="161" t="e">
        <f ca="1">1/((1+SAC!$AD$29)^AL323)</f>
        <v>#N/A</v>
      </c>
      <c r="AP323" s="82" t="e">
        <f t="shared" ca="1" si="135"/>
        <v>#N/A</v>
      </c>
      <c r="AQ323" s="82">
        <v>298</v>
      </c>
      <c r="AS323" s="477">
        <f t="shared" ca="1" si="129"/>
        <v>0</v>
      </c>
    </row>
    <row r="324" spans="1:45">
      <c r="A324" s="53">
        <v>299</v>
      </c>
      <c r="B324" s="249">
        <f ca="1">DATE(IF(MONTH(B323)=12,YEAR(B323)+1,YEAR(B323)),IF(MONTH(B323)=12,1,MONTH(B323)+1),MIN(DAY(Condições!$C$109),IF(IF(MONTH(B323)=12,1,MONTH(B323)+1)=2,IF(MOD(IF(MONTH(B323)=12,YEAR(B323)+1,YEAR(B323)),4)=0,29,28),IF(OR(IF(MONTH(B323)=12,1,MONTH(B323)+1)=4,IF(MONTH(B323)=12,1,MONTH(B323)+1)=6,IF(MONTH(B323)=12,1,MONTH(B323)+1)=9,IF(MONTH(B323)=12,1,MONTH(B323)+1)=11),30,DAY($B$25)))))</f>
        <v>55289</v>
      </c>
      <c r="C324" s="250" t="str">
        <f t="shared" si="114"/>
        <v/>
      </c>
      <c r="D324" s="251" t="e">
        <f t="shared" si="115"/>
        <v>#N/A</v>
      </c>
      <c r="E324" s="251">
        <f t="shared" si="116"/>
        <v>0</v>
      </c>
      <c r="F324" s="251">
        <f t="shared" si="117"/>
        <v>0</v>
      </c>
      <c r="G324" s="251">
        <f t="shared" si="118"/>
        <v>0</v>
      </c>
      <c r="H324" s="251" t="e">
        <f t="shared" si="119"/>
        <v>#VALUE!</v>
      </c>
      <c r="I324" s="251">
        <f t="shared" si="120"/>
        <v>0</v>
      </c>
      <c r="J324" s="251">
        <f t="shared" si="130"/>
        <v>0</v>
      </c>
      <c r="K324" s="251">
        <f t="shared" si="121"/>
        <v>0</v>
      </c>
      <c r="M324" s="224"/>
      <c r="N324" s="225">
        <f t="shared" si="122"/>
        <v>0</v>
      </c>
      <c r="O324" s="251" t="e">
        <f t="shared" si="123"/>
        <v>#N/A</v>
      </c>
      <c r="P324" s="251">
        <f t="shared" si="131"/>
        <v>0</v>
      </c>
      <c r="Q324" s="251">
        <f t="shared" si="124"/>
        <v>0</v>
      </c>
      <c r="R324" s="251">
        <f t="shared" si="125"/>
        <v>0</v>
      </c>
      <c r="S324" s="251" t="e">
        <f t="shared" si="126"/>
        <v>#VALUE!</v>
      </c>
      <c r="T324" s="251">
        <f t="shared" si="113"/>
        <v>0</v>
      </c>
      <c r="U324" s="252">
        <f>TRUNC(T324*Condições!$C$102,2)</f>
        <v>0</v>
      </c>
      <c r="V324" s="199">
        <f t="shared" si="132"/>
        <v>0</v>
      </c>
      <c r="W324" s="161" t="e">
        <f t="shared" si="109"/>
        <v>#N/A</v>
      </c>
      <c r="X324" s="161" t="e">
        <f t="shared" si="110"/>
        <v>#N/A</v>
      </c>
      <c r="Y324" s="161">
        <f t="shared" si="111"/>
        <v>299</v>
      </c>
      <c r="Z324" s="161">
        <f t="shared" ca="1" si="112"/>
        <v>5</v>
      </c>
      <c r="AG324" s="114">
        <f t="shared" si="133"/>
        <v>0</v>
      </c>
      <c r="AH324" s="113"/>
      <c r="AI324" s="199">
        <f ca="1">IF(AL324=0,0,IF(AL324&gt;Preenchimento!$AA$88*12,0,IF($AC$53=AM324,0,1)))</f>
        <v>0</v>
      </c>
      <c r="AJ324" s="161" t="e">
        <f t="shared" ca="1" si="127"/>
        <v>#N/A</v>
      </c>
      <c r="AK324" s="161" t="e">
        <f t="shared" ca="1" si="128"/>
        <v>#N/A</v>
      </c>
      <c r="AL324" s="161">
        <f ca="1">IF(Y324&gt;(Preenchimento!$AA$90*12),0,Fixa!Y324)</f>
        <v>0</v>
      </c>
      <c r="AM324" s="161">
        <f t="shared" ca="1" si="134"/>
        <v>5</v>
      </c>
      <c r="AN324" s="199">
        <f ca="1">IF(AQ324&gt;Preenchimento!$AA$90*12,0,1)</f>
        <v>0</v>
      </c>
      <c r="AO324" s="161" t="e">
        <f ca="1">1/((1+SAC!$AD$29)^AL324)</f>
        <v>#N/A</v>
      </c>
      <c r="AP324" s="82" t="e">
        <f t="shared" ca="1" si="135"/>
        <v>#N/A</v>
      </c>
      <c r="AQ324" s="82">
        <v>299</v>
      </c>
      <c r="AS324" s="477">
        <f t="shared" ca="1" si="129"/>
        <v>0</v>
      </c>
    </row>
    <row r="325" spans="1:45">
      <c r="A325" s="53">
        <v>300</v>
      </c>
      <c r="B325" s="249">
        <f ca="1">DATE(IF(MONTH(B324)=12,YEAR(B324)+1,YEAR(B324)),IF(MONTH(B324)=12,1,MONTH(B324)+1),MIN(DAY(Condições!$C$109),IF(IF(MONTH(B324)=12,1,MONTH(B324)+1)=2,IF(MOD(IF(MONTH(B324)=12,YEAR(B324)+1,YEAR(B324)),4)=0,29,28),IF(OR(IF(MONTH(B324)=12,1,MONTH(B324)+1)=4,IF(MONTH(B324)=12,1,MONTH(B324)+1)=6,IF(MONTH(B324)=12,1,MONTH(B324)+1)=9,IF(MONTH(B324)=12,1,MONTH(B324)+1)=11),30,DAY($B$25)))))</f>
        <v>55320</v>
      </c>
      <c r="C325" s="250" t="str">
        <f t="shared" si="114"/>
        <v/>
      </c>
      <c r="D325" s="251" t="e">
        <f t="shared" si="115"/>
        <v>#N/A</v>
      </c>
      <c r="E325" s="251">
        <f t="shared" si="116"/>
        <v>0</v>
      </c>
      <c r="F325" s="251">
        <f t="shared" si="117"/>
        <v>0</v>
      </c>
      <c r="G325" s="251">
        <f t="shared" si="118"/>
        <v>0</v>
      </c>
      <c r="H325" s="251" t="e">
        <f t="shared" si="119"/>
        <v>#VALUE!</v>
      </c>
      <c r="I325" s="251">
        <f t="shared" si="120"/>
        <v>0</v>
      </c>
      <c r="J325" s="251">
        <f t="shared" si="130"/>
        <v>0</v>
      </c>
      <c r="K325" s="251">
        <f t="shared" si="121"/>
        <v>0</v>
      </c>
      <c r="M325" s="224"/>
      <c r="N325" s="225">
        <f t="shared" si="122"/>
        <v>0</v>
      </c>
      <c r="O325" s="251" t="e">
        <f t="shared" si="123"/>
        <v>#N/A</v>
      </c>
      <c r="P325" s="251">
        <f t="shared" si="131"/>
        <v>0</v>
      </c>
      <c r="Q325" s="251">
        <f t="shared" si="124"/>
        <v>0</v>
      </c>
      <c r="R325" s="251">
        <f t="shared" si="125"/>
        <v>0</v>
      </c>
      <c r="S325" s="251" t="e">
        <f t="shared" si="126"/>
        <v>#VALUE!</v>
      </c>
      <c r="T325" s="251">
        <f t="shared" si="113"/>
        <v>0</v>
      </c>
      <c r="U325" s="252">
        <f>TRUNC(T325*Condições!$C$102,2)</f>
        <v>0</v>
      </c>
      <c r="V325" s="199">
        <f t="shared" si="132"/>
        <v>0</v>
      </c>
      <c r="W325" s="161" t="e">
        <f t="shared" si="109"/>
        <v>#N/A</v>
      </c>
      <c r="X325" s="161" t="e">
        <f t="shared" si="110"/>
        <v>#N/A</v>
      </c>
      <c r="Y325" s="161">
        <f t="shared" si="111"/>
        <v>300</v>
      </c>
      <c r="Z325" s="161">
        <f t="shared" ca="1" si="112"/>
        <v>6</v>
      </c>
      <c r="AG325" s="114">
        <f t="shared" si="133"/>
        <v>0</v>
      </c>
      <c r="AH325" s="113"/>
      <c r="AI325" s="199">
        <f ca="1">IF(AL325=0,0,IF(AL325&gt;Preenchimento!$AA$88*12,0,IF($AC$53=AM325,0,1)))</f>
        <v>0</v>
      </c>
      <c r="AJ325" s="161" t="e">
        <f t="shared" ca="1" si="127"/>
        <v>#N/A</v>
      </c>
      <c r="AK325" s="161" t="e">
        <f t="shared" ca="1" si="128"/>
        <v>#N/A</v>
      </c>
      <c r="AL325" s="161">
        <f ca="1">IF(Y325&gt;(Preenchimento!$AA$90*12),0,Fixa!Y325)</f>
        <v>0</v>
      </c>
      <c r="AM325" s="161">
        <f t="shared" ca="1" si="134"/>
        <v>6</v>
      </c>
      <c r="AN325" s="199">
        <f ca="1">IF(AQ325&gt;Preenchimento!$AA$90*12,0,1)</f>
        <v>0</v>
      </c>
      <c r="AO325" s="161" t="e">
        <f ca="1">1/((1+SAC!$AD$29)^AL325)</f>
        <v>#N/A</v>
      </c>
      <c r="AP325" s="82" t="e">
        <f t="shared" ca="1" si="135"/>
        <v>#N/A</v>
      </c>
      <c r="AQ325" s="82">
        <v>300</v>
      </c>
      <c r="AS325" s="477">
        <f t="shared" ca="1" si="129"/>
        <v>0</v>
      </c>
    </row>
    <row r="326" spans="1:45">
      <c r="A326" s="53">
        <v>301</v>
      </c>
      <c r="B326" s="249">
        <f ca="1">DATE(IF(MONTH(B325)=12,YEAR(B325)+1,YEAR(B325)),IF(MONTH(B325)=12,1,MONTH(B325)+1),MIN(DAY(Condições!$C$109),IF(IF(MONTH(B325)=12,1,MONTH(B325)+1)=2,IF(MOD(IF(MONTH(B325)=12,YEAR(B325)+1,YEAR(B325)),4)=0,29,28),IF(OR(IF(MONTH(B325)=12,1,MONTH(B325)+1)=4,IF(MONTH(B325)=12,1,MONTH(B325)+1)=6,IF(MONTH(B325)=12,1,MONTH(B325)+1)=9,IF(MONTH(B325)=12,1,MONTH(B325)+1)=11),30,DAY($B$25)))))</f>
        <v>55350</v>
      </c>
      <c r="C326" s="250" t="str">
        <f t="shared" si="114"/>
        <v/>
      </c>
      <c r="D326" s="251" t="e">
        <f t="shared" si="115"/>
        <v>#N/A</v>
      </c>
      <c r="E326" s="251">
        <f t="shared" si="116"/>
        <v>0</v>
      </c>
      <c r="F326" s="251">
        <f t="shared" si="117"/>
        <v>0</v>
      </c>
      <c r="G326" s="251">
        <f t="shared" si="118"/>
        <v>0</v>
      </c>
      <c r="H326" s="251" t="e">
        <f t="shared" si="119"/>
        <v>#VALUE!</v>
      </c>
      <c r="I326" s="251">
        <f t="shared" si="120"/>
        <v>0</v>
      </c>
      <c r="J326" s="251">
        <f t="shared" si="130"/>
        <v>0</v>
      </c>
      <c r="K326" s="251">
        <f t="shared" si="121"/>
        <v>0</v>
      </c>
      <c r="M326" s="224"/>
      <c r="N326" s="225">
        <f t="shared" si="122"/>
        <v>0</v>
      </c>
      <c r="O326" s="251" t="e">
        <f t="shared" si="123"/>
        <v>#N/A</v>
      </c>
      <c r="P326" s="251">
        <f t="shared" si="131"/>
        <v>0</v>
      </c>
      <c r="Q326" s="251">
        <f t="shared" si="124"/>
        <v>0</v>
      </c>
      <c r="R326" s="251">
        <f t="shared" si="125"/>
        <v>0</v>
      </c>
      <c r="S326" s="251" t="e">
        <f t="shared" si="126"/>
        <v>#VALUE!</v>
      </c>
      <c r="T326" s="251">
        <f t="shared" si="113"/>
        <v>0</v>
      </c>
      <c r="U326" s="252">
        <f>TRUNC(T326*Condições!$C$102,2)</f>
        <v>0</v>
      </c>
      <c r="V326" s="199">
        <f t="shared" si="132"/>
        <v>0</v>
      </c>
      <c r="W326" s="161" t="e">
        <f t="shared" si="109"/>
        <v>#N/A</v>
      </c>
      <c r="X326" s="161" t="e">
        <f t="shared" si="110"/>
        <v>#N/A</v>
      </c>
      <c r="Y326" s="161">
        <f t="shared" si="111"/>
        <v>301</v>
      </c>
      <c r="Z326" s="161">
        <f t="shared" ca="1" si="112"/>
        <v>7</v>
      </c>
      <c r="AG326" s="114">
        <f t="shared" si="133"/>
        <v>0</v>
      </c>
      <c r="AH326" s="113"/>
      <c r="AI326" s="199">
        <f ca="1">IF(AL326=0,0,IF(AL326&gt;Preenchimento!$AA$88*12,0,IF($AC$53=AM326,0,1)))</f>
        <v>0</v>
      </c>
      <c r="AJ326" s="161" t="e">
        <f t="shared" ca="1" si="127"/>
        <v>#N/A</v>
      </c>
      <c r="AK326" s="161" t="e">
        <f t="shared" ca="1" si="128"/>
        <v>#N/A</v>
      </c>
      <c r="AL326" s="161">
        <f ca="1">IF(Y326&gt;(Preenchimento!$AA$90*12),0,Fixa!Y326)</f>
        <v>0</v>
      </c>
      <c r="AM326" s="161">
        <f t="shared" ca="1" si="134"/>
        <v>7</v>
      </c>
      <c r="AN326" s="199">
        <f ca="1">IF(AQ326&gt;Preenchimento!$AA$90*12,0,1)</f>
        <v>0</v>
      </c>
      <c r="AO326" s="161" t="e">
        <f ca="1">1/((1+SAC!$AD$29)^AL326)</f>
        <v>#N/A</v>
      </c>
      <c r="AP326" s="82" t="e">
        <f t="shared" ca="1" si="135"/>
        <v>#N/A</v>
      </c>
      <c r="AQ326" s="82">
        <v>301</v>
      </c>
      <c r="AS326" s="477">
        <f t="shared" ca="1" si="129"/>
        <v>0</v>
      </c>
    </row>
    <row r="327" spans="1:45">
      <c r="A327" s="53">
        <v>302</v>
      </c>
      <c r="B327" s="249">
        <f ca="1">DATE(IF(MONTH(B326)=12,YEAR(B326)+1,YEAR(B326)),IF(MONTH(B326)=12,1,MONTH(B326)+1),MIN(DAY(Condições!$C$109),IF(IF(MONTH(B326)=12,1,MONTH(B326)+1)=2,IF(MOD(IF(MONTH(B326)=12,YEAR(B326)+1,YEAR(B326)),4)=0,29,28),IF(OR(IF(MONTH(B326)=12,1,MONTH(B326)+1)=4,IF(MONTH(B326)=12,1,MONTH(B326)+1)=6,IF(MONTH(B326)=12,1,MONTH(B326)+1)=9,IF(MONTH(B326)=12,1,MONTH(B326)+1)=11),30,DAY($B$25)))))</f>
        <v>55381</v>
      </c>
      <c r="C327" s="250" t="str">
        <f t="shared" si="114"/>
        <v/>
      </c>
      <c r="D327" s="251" t="e">
        <f t="shared" si="115"/>
        <v>#N/A</v>
      </c>
      <c r="E327" s="251">
        <f t="shared" si="116"/>
        <v>0</v>
      </c>
      <c r="F327" s="251">
        <f t="shared" si="117"/>
        <v>0</v>
      </c>
      <c r="G327" s="251">
        <f t="shared" si="118"/>
        <v>0</v>
      </c>
      <c r="H327" s="251" t="e">
        <f t="shared" si="119"/>
        <v>#VALUE!</v>
      </c>
      <c r="I327" s="251">
        <f t="shared" si="120"/>
        <v>0</v>
      </c>
      <c r="J327" s="251">
        <f t="shared" si="130"/>
        <v>0</v>
      </c>
      <c r="K327" s="251">
        <f t="shared" si="121"/>
        <v>0</v>
      </c>
      <c r="M327" s="224"/>
      <c r="N327" s="225">
        <f t="shared" si="122"/>
        <v>0</v>
      </c>
      <c r="O327" s="251" t="e">
        <f t="shared" si="123"/>
        <v>#N/A</v>
      </c>
      <c r="P327" s="251">
        <f t="shared" si="131"/>
        <v>0</v>
      </c>
      <c r="Q327" s="251">
        <f t="shared" si="124"/>
        <v>0</v>
      </c>
      <c r="R327" s="251">
        <f t="shared" si="125"/>
        <v>0</v>
      </c>
      <c r="S327" s="251" t="e">
        <f t="shared" si="126"/>
        <v>#VALUE!</v>
      </c>
      <c r="T327" s="251">
        <f t="shared" si="113"/>
        <v>0</v>
      </c>
      <c r="U327" s="252">
        <f>TRUNC(T327*Condições!$C$102,2)</f>
        <v>0</v>
      </c>
      <c r="V327" s="199">
        <f t="shared" si="132"/>
        <v>0</v>
      </c>
      <c r="W327" s="161" t="e">
        <f t="shared" si="109"/>
        <v>#N/A</v>
      </c>
      <c r="X327" s="161" t="e">
        <f t="shared" si="110"/>
        <v>#N/A</v>
      </c>
      <c r="Y327" s="161">
        <f t="shared" si="111"/>
        <v>302</v>
      </c>
      <c r="Z327" s="161">
        <f t="shared" ca="1" si="112"/>
        <v>8</v>
      </c>
      <c r="AG327" s="114">
        <f t="shared" si="133"/>
        <v>0</v>
      </c>
      <c r="AH327" s="113"/>
      <c r="AI327" s="199">
        <f ca="1">IF(AL327=0,0,IF(AL327&gt;Preenchimento!$AA$88*12,0,IF($AC$53=AM327,0,1)))</f>
        <v>0</v>
      </c>
      <c r="AJ327" s="161" t="e">
        <f t="shared" ca="1" si="127"/>
        <v>#N/A</v>
      </c>
      <c r="AK327" s="161" t="e">
        <f t="shared" ca="1" si="128"/>
        <v>#N/A</v>
      </c>
      <c r="AL327" s="161">
        <f ca="1">IF(Y327&gt;(Preenchimento!$AA$90*12),0,Fixa!Y327)</f>
        <v>0</v>
      </c>
      <c r="AM327" s="161">
        <f t="shared" ca="1" si="134"/>
        <v>8</v>
      </c>
      <c r="AN327" s="199">
        <f ca="1">IF(AQ327&gt;Preenchimento!$AA$90*12,0,1)</f>
        <v>0</v>
      </c>
      <c r="AO327" s="161" t="e">
        <f ca="1">1/((1+SAC!$AD$29)^AL327)</f>
        <v>#N/A</v>
      </c>
      <c r="AP327" s="82" t="e">
        <f t="shared" ca="1" si="135"/>
        <v>#N/A</v>
      </c>
      <c r="AQ327" s="82">
        <v>302</v>
      </c>
      <c r="AS327" s="477">
        <f t="shared" ca="1" si="129"/>
        <v>0</v>
      </c>
    </row>
    <row r="328" spans="1:45">
      <c r="A328" s="53">
        <v>303</v>
      </c>
      <c r="B328" s="249">
        <f ca="1">DATE(IF(MONTH(B327)=12,YEAR(B327)+1,YEAR(B327)),IF(MONTH(B327)=12,1,MONTH(B327)+1),MIN(DAY(Condições!$C$109),IF(IF(MONTH(B327)=12,1,MONTH(B327)+1)=2,IF(MOD(IF(MONTH(B327)=12,YEAR(B327)+1,YEAR(B327)),4)=0,29,28),IF(OR(IF(MONTH(B327)=12,1,MONTH(B327)+1)=4,IF(MONTH(B327)=12,1,MONTH(B327)+1)=6,IF(MONTH(B327)=12,1,MONTH(B327)+1)=9,IF(MONTH(B327)=12,1,MONTH(B327)+1)=11),30,DAY($B$25)))))</f>
        <v>55412</v>
      </c>
      <c r="C328" s="250" t="str">
        <f t="shared" si="114"/>
        <v/>
      </c>
      <c r="D328" s="251" t="e">
        <f t="shared" si="115"/>
        <v>#N/A</v>
      </c>
      <c r="E328" s="251">
        <f t="shared" si="116"/>
        <v>0</v>
      </c>
      <c r="F328" s="251">
        <f t="shared" si="117"/>
        <v>0</v>
      </c>
      <c r="G328" s="251">
        <f t="shared" si="118"/>
        <v>0</v>
      </c>
      <c r="H328" s="251" t="e">
        <f t="shared" si="119"/>
        <v>#VALUE!</v>
      </c>
      <c r="I328" s="251">
        <f t="shared" si="120"/>
        <v>0</v>
      </c>
      <c r="J328" s="251">
        <f t="shared" si="130"/>
        <v>0</v>
      </c>
      <c r="K328" s="251">
        <f t="shared" si="121"/>
        <v>0</v>
      </c>
      <c r="M328" s="224"/>
      <c r="N328" s="225">
        <f t="shared" si="122"/>
        <v>0</v>
      </c>
      <c r="O328" s="251" t="e">
        <f t="shared" si="123"/>
        <v>#N/A</v>
      </c>
      <c r="P328" s="251">
        <f t="shared" si="131"/>
        <v>0</v>
      </c>
      <c r="Q328" s="251">
        <f t="shared" si="124"/>
        <v>0</v>
      </c>
      <c r="R328" s="251">
        <f t="shared" si="125"/>
        <v>0</v>
      </c>
      <c r="S328" s="251" t="e">
        <f t="shared" si="126"/>
        <v>#VALUE!</v>
      </c>
      <c r="T328" s="251">
        <f t="shared" si="113"/>
        <v>0</v>
      </c>
      <c r="U328" s="252">
        <f>TRUNC(T328*Condições!$C$102,2)</f>
        <v>0</v>
      </c>
      <c r="V328" s="199">
        <f t="shared" si="132"/>
        <v>0</v>
      </c>
      <c r="W328" s="161" t="e">
        <f t="shared" si="109"/>
        <v>#N/A</v>
      </c>
      <c r="X328" s="161" t="e">
        <f t="shared" si="110"/>
        <v>#N/A</v>
      </c>
      <c r="Y328" s="161">
        <f t="shared" si="111"/>
        <v>303</v>
      </c>
      <c r="Z328" s="161">
        <f t="shared" ca="1" si="112"/>
        <v>9</v>
      </c>
      <c r="AG328" s="114">
        <f t="shared" si="133"/>
        <v>0</v>
      </c>
      <c r="AH328" s="113"/>
      <c r="AI328" s="199">
        <f ca="1">IF(AL328=0,0,IF(AL328&gt;Preenchimento!$AA$88*12,0,IF($AC$53=AM328,0,1)))</f>
        <v>0</v>
      </c>
      <c r="AJ328" s="161" t="e">
        <f t="shared" ca="1" si="127"/>
        <v>#N/A</v>
      </c>
      <c r="AK328" s="161" t="e">
        <f t="shared" ca="1" si="128"/>
        <v>#N/A</v>
      </c>
      <c r="AL328" s="161">
        <f ca="1">IF(Y328&gt;(Preenchimento!$AA$90*12),0,Fixa!Y328)</f>
        <v>0</v>
      </c>
      <c r="AM328" s="161">
        <f t="shared" ca="1" si="134"/>
        <v>9</v>
      </c>
      <c r="AN328" s="199">
        <f ca="1">IF(AQ328&gt;Preenchimento!$AA$90*12,0,1)</f>
        <v>0</v>
      </c>
      <c r="AO328" s="161" t="e">
        <f ca="1">1/((1+SAC!$AD$29)^AL328)</f>
        <v>#N/A</v>
      </c>
      <c r="AP328" s="82" t="e">
        <f t="shared" ca="1" si="135"/>
        <v>#N/A</v>
      </c>
      <c r="AQ328" s="82">
        <v>303</v>
      </c>
      <c r="AS328" s="477">
        <f t="shared" ca="1" si="129"/>
        <v>0</v>
      </c>
    </row>
    <row r="329" spans="1:45">
      <c r="A329" s="53">
        <v>304</v>
      </c>
      <c r="B329" s="249">
        <f ca="1">DATE(IF(MONTH(B328)=12,YEAR(B328)+1,YEAR(B328)),IF(MONTH(B328)=12,1,MONTH(B328)+1),MIN(DAY(Condições!$C$109),IF(IF(MONTH(B328)=12,1,MONTH(B328)+1)=2,IF(MOD(IF(MONTH(B328)=12,YEAR(B328)+1,YEAR(B328)),4)=0,29,28),IF(OR(IF(MONTH(B328)=12,1,MONTH(B328)+1)=4,IF(MONTH(B328)=12,1,MONTH(B328)+1)=6,IF(MONTH(B328)=12,1,MONTH(B328)+1)=9,IF(MONTH(B328)=12,1,MONTH(B328)+1)=11),30,DAY($B$25)))))</f>
        <v>55442</v>
      </c>
      <c r="C329" s="250" t="str">
        <f t="shared" si="114"/>
        <v/>
      </c>
      <c r="D329" s="251" t="e">
        <f t="shared" si="115"/>
        <v>#N/A</v>
      </c>
      <c r="E329" s="251">
        <f t="shared" si="116"/>
        <v>0</v>
      </c>
      <c r="F329" s="251">
        <f t="shared" si="117"/>
        <v>0</v>
      </c>
      <c r="G329" s="251">
        <f t="shared" si="118"/>
        <v>0</v>
      </c>
      <c r="H329" s="251" t="e">
        <f t="shared" si="119"/>
        <v>#VALUE!</v>
      </c>
      <c r="I329" s="251">
        <f t="shared" si="120"/>
        <v>0</v>
      </c>
      <c r="J329" s="251">
        <f t="shared" si="130"/>
        <v>0</v>
      </c>
      <c r="K329" s="251">
        <f t="shared" si="121"/>
        <v>0</v>
      </c>
      <c r="M329" s="224"/>
      <c r="N329" s="225">
        <f t="shared" si="122"/>
        <v>0</v>
      </c>
      <c r="O329" s="251" t="e">
        <f t="shared" si="123"/>
        <v>#N/A</v>
      </c>
      <c r="P329" s="251">
        <f t="shared" si="131"/>
        <v>0</v>
      </c>
      <c r="Q329" s="251">
        <f t="shared" si="124"/>
        <v>0</v>
      </c>
      <c r="R329" s="251">
        <f t="shared" si="125"/>
        <v>0</v>
      </c>
      <c r="S329" s="251" t="e">
        <f t="shared" si="126"/>
        <v>#VALUE!</v>
      </c>
      <c r="T329" s="251">
        <f t="shared" si="113"/>
        <v>0</v>
      </c>
      <c r="U329" s="252">
        <f>TRUNC(T329*Condições!$C$102,2)</f>
        <v>0</v>
      </c>
      <c r="V329" s="199">
        <f t="shared" si="132"/>
        <v>0</v>
      </c>
      <c r="W329" s="161" t="e">
        <f t="shared" si="109"/>
        <v>#N/A</v>
      </c>
      <c r="X329" s="161" t="e">
        <f t="shared" si="110"/>
        <v>#N/A</v>
      </c>
      <c r="Y329" s="161">
        <f t="shared" si="111"/>
        <v>304</v>
      </c>
      <c r="Z329" s="161">
        <f t="shared" ca="1" si="112"/>
        <v>10</v>
      </c>
      <c r="AG329" s="114">
        <f t="shared" si="133"/>
        <v>0</v>
      </c>
      <c r="AH329" s="113"/>
      <c r="AI329" s="199">
        <f ca="1">IF(AL329=0,0,IF(AL329&gt;Preenchimento!$AA$88*12,0,IF($AC$53=AM329,0,1)))</f>
        <v>0</v>
      </c>
      <c r="AJ329" s="161" t="e">
        <f t="shared" ca="1" si="127"/>
        <v>#N/A</v>
      </c>
      <c r="AK329" s="161" t="e">
        <f t="shared" ca="1" si="128"/>
        <v>#N/A</v>
      </c>
      <c r="AL329" s="161">
        <f ca="1">IF(Y329&gt;(Preenchimento!$AA$90*12),0,Fixa!Y329)</f>
        <v>0</v>
      </c>
      <c r="AM329" s="161">
        <f t="shared" ca="1" si="134"/>
        <v>10</v>
      </c>
      <c r="AN329" s="199">
        <f ca="1">IF(AQ329&gt;Preenchimento!$AA$90*12,0,1)</f>
        <v>0</v>
      </c>
      <c r="AO329" s="161" t="e">
        <f ca="1">1/((1+SAC!$AD$29)^AL329)</f>
        <v>#N/A</v>
      </c>
      <c r="AP329" s="82" t="e">
        <f t="shared" ca="1" si="135"/>
        <v>#N/A</v>
      </c>
      <c r="AQ329" s="82">
        <v>304</v>
      </c>
      <c r="AS329" s="477">
        <f t="shared" ca="1" si="129"/>
        <v>0</v>
      </c>
    </row>
    <row r="330" spans="1:45">
      <c r="A330" s="53">
        <v>305</v>
      </c>
      <c r="B330" s="249">
        <f ca="1">DATE(IF(MONTH(B329)=12,YEAR(B329)+1,YEAR(B329)),IF(MONTH(B329)=12,1,MONTH(B329)+1),MIN(DAY(Condições!$C$109),IF(IF(MONTH(B329)=12,1,MONTH(B329)+1)=2,IF(MOD(IF(MONTH(B329)=12,YEAR(B329)+1,YEAR(B329)),4)=0,29,28),IF(OR(IF(MONTH(B329)=12,1,MONTH(B329)+1)=4,IF(MONTH(B329)=12,1,MONTH(B329)+1)=6,IF(MONTH(B329)=12,1,MONTH(B329)+1)=9,IF(MONTH(B329)=12,1,MONTH(B329)+1)=11),30,DAY($B$25)))))</f>
        <v>55473</v>
      </c>
      <c r="C330" s="250" t="str">
        <f t="shared" si="114"/>
        <v/>
      </c>
      <c r="D330" s="251" t="e">
        <f t="shared" si="115"/>
        <v>#N/A</v>
      </c>
      <c r="E330" s="251">
        <f t="shared" si="116"/>
        <v>0</v>
      </c>
      <c r="F330" s="251">
        <f t="shared" si="117"/>
        <v>0</v>
      </c>
      <c r="G330" s="251">
        <f t="shared" si="118"/>
        <v>0</v>
      </c>
      <c r="H330" s="251" t="e">
        <f t="shared" si="119"/>
        <v>#VALUE!</v>
      </c>
      <c r="I330" s="251">
        <f t="shared" si="120"/>
        <v>0</v>
      </c>
      <c r="J330" s="251">
        <f t="shared" si="130"/>
        <v>0</v>
      </c>
      <c r="K330" s="251">
        <f t="shared" si="121"/>
        <v>0</v>
      </c>
      <c r="M330" s="224"/>
      <c r="N330" s="225">
        <f t="shared" si="122"/>
        <v>0</v>
      </c>
      <c r="O330" s="251" t="e">
        <f t="shared" si="123"/>
        <v>#N/A</v>
      </c>
      <c r="P330" s="251">
        <f t="shared" si="131"/>
        <v>0</v>
      </c>
      <c r="Q330" s="251">
        <f t="shared" si="124"/>
        <v>0</v>
      </c>
      <c r="R330" s="251">
        <f t="shared" si="125"/>
        <v>0</v>
      </c>
      <c r="S330" s="251" t="e">
        <f t="shared" si="126"/>
        <v>#VALUE!</v>
      </c>
      <c r="T330" s="251">
        <f t="shared" si="113"/>
        <v>0</v>
      </c>
      <c r="U330" s="252">
        <f>TRUNC(T330*Condições!$C$102,2)</f>
        <v>0</v>
      </c>
      <c r="V330" s="199">
        <f t="shared" si="132"/>
        <v>0</v>
      </c>
      <c r="W330" s="161" t="e">
        <f t="shared" ref="W330:W385" si="136">1/(1+$AC$47)^Y330</f>
        <v>#N/A</v>
      </c>
      <c r="X330" s="161" t="e">
        <f t="shared" ref="X330:X385" si="137">W330*V330</f>
        <v>#N/A</v>
      </c>
      <c r="Y330" s="161">
        <f t="shared" ref="Y330:Y393" si="138">1+Y329</f>
        <v>305</v>
      </c>
      <c r="Z330" s="161">
        <f t="shared" ref="Z330:Z393" ca="1" si="139">IF(Z329=12,1,Z329+1)</f>
        <v>11</v>
      </c>
      <c r="AG330" s="114">
        <f t="shared" si="133"/>
        <v>0</v>
      </c>
      <c r="AH330" s="113"/>
      <c r="AI330" s="199">
        <f ca="1">IF(AL330=0,0,IF(AL330&gt;Preenchimento!$AA$88*12,0,IF($AC$53=AM330,0,1)))</f>
        <v>0</v>
      </c>
      <c r="AJ330" s="161" t="e">
        <f t="shared" ca="1" si="127"/>
        <v>#N/A</v>
      </c>
      <c r="AK330" s="161" t="e">
        <f t="shared" ca="1" si="128"/>
        <v>#N/A</v>
      </c>
      <c r="AL330" s="161">
        <f ca="1">IF(Y330&gt;(Preenchimento!$AA$90*12),0,Fixa!Y330)</f>
        <v>0</v>
      </c>
      <c r="AM330" s="161">
        <f t="shared" ca="1" si="134"/>
        <v>11</v>
      </c>
      <c r="AN330" s="199">
        <f ca="1">IF(AQ330&gt;Preenchimento!$AA$90*12,0,1)</f>
        <v>0</v>
      </c>
      <c r="AO330" s="161" t="e">
        <f ca="1">1/((1+SAC!$AD$29)^AL330)</f>
        <v>#N/A</v>
      </c>
      <c r="AP330" s="82" t="e">
        <f t="shared" ca="1" si="135"/>
        <v>#N/A</v>
      </c>
      <c r="AQ330" s="82">
        <v>305</v>
      </c>
      <c r="AS330" s="477">
        <f t="shared" ca="1" si="129"/>
        <v>0</v>
      </c>
    </row>
    <row r="331" spans="1:45">
      <c r="A331" s="53">
        <v>306</v>
      </c>
      <c r="B331" s="249">
        <f ca="1">DATE(IF(MONTH(B330)=12,YEAR(B330)+1,YEAR(B330)),IF(MONTH(B330)=12,1,MONTH(B330)+1),MIN(DAY(Condições!$C$109),IF(IF(MONTH(B330)=12,1,MONTH(B330)+1)=2,IF(MOD(IF(MONTH(B330)=12,YEAR(B330)+1,YEAR(B330)),4)=0,29,28),IF(OR(IF(MONTH(B330)=12,1,MONTH(B330)+1)=4,IF(MONTH(B330)=12,1,MONTH(B330)+1)=6,IF(MONTH(B330)=12,1,MONTH(B330)+1)=9,IF(MONTH(B330)=12,1,MONTH(B330)+1)=11),30,DAY($B$25)))))</f>
        <v>55503</v>
      </c>
      <c r="C331" s="250" t="str">
        <f t="shared" si="114"/>
        <v/>
      </c>
      <c r="D331" s="251" t="e">
        <f t="shared" si="115"/>
        <v>#N/A</v>
      </c>
      <c r="E331" s="251">
        <f t="shared" si="116"/>
        <v>0</v>
      </c>
      <c r="F331" s="251">
        <f t="shared" si="117"/>
        <v>0</v>
      </c>
      <c r="G331" s="251">
        <f t="shared" si="118"/>
        <v>0</v>
      </c>
      <c r="H331" s="251" t="e">
        <f t="shared" si="119"/>
        <v>#VALUE!</v>
      </c>
      <c r="I331" s="251">
        <f t="shared" si="120"/>
        <v>0</v>
      </c>
      <c r="J331" s="251">
        <f t="shared" si="130"/>
        <v>0</v>
      </c>
      <c r="K331" s="251">
        <f t="shared" si="121"/>
        <v>0</v>
      </c>
      <c r="M331" s="224"/>
      <c r="N331" s="225">
        <f t="shared" si="122"/>
        <v>0</v>
      </c>
      <c r="O331" s="251" t="e">
        <f t="shared" si="123"/>
        <v>#N/A</v>
      </c>
      <c r="P331" s="251">
        <f t="shared" si="131"/>
        <v>0</v>
      </c>
      <c r="Q331" s="251">
        <f t="shared" si="124"/>
        <v>0</v>
      </c>
      <c r="R331" s="251">
        <f t="shared" si="125"/>
        <v>0</v>
      </c>
      <c r="S331" s="251" t="e">
        <f t="shared" si="126"/>
        <v>#VALUE!</v>
      </c>
      <c r="T331" s="251">
        <f t="shared" si="113"/>
        <v>0</v>
      </c>
      <c r="U331" s="252">
        <f>TRUNC(T331*Condições!$C$102,2)</f>
        <v>0</v>
      </c>
      <c r="V331" s="199">
        <f t="shared" si="132"/>
        <v>0</v>
      </c>
      <c r="W331" s="161" t="e">
        <f t="shared" si="136"/>
        <v>#N/A</v>
      </c>
      <c r="X331" s="161" t="e">
        <f t="shared" si="137"/>
        <v>#N/A</v>
      </c>
      <c r="Y331" s="161">
        <f t="shared" si="138"/>
        <v>306</v>
      </c>
      <c r="Z331" s="161">
        <f t="shared" ca="1" si="139"/>
        <v>12</v>
      </c>
      <c r="AG331" s="114">
        <f t="shared" si="133"/>
        <v>0</v>
      </c>
      <c r="AH331" s="113"/>
      <c r="AI331" s="199">
        <f ca="1">IF(AL331=0,0,IF(AL331&gt;Preenchimento!$AA$88*12,0,IF($AC$53=AM331,0,1)))</f>
        <v>0</v>
      </c>
      <c r="AJ331" s="161" t="e">
        <f t="shared" ca="1" si="127"/>
        <v>#N/A</v>
      </c>
      <c r="AK331" s="161" t="e">
        <f t="shared" ca="1" si="128"/>
        <v>#N/A</v>
      </c>
      <c r="AL331" s="161">
        <f ca="1">IF(Y331&gt;(Preenchimento!$AA$90*12),0,Fixa!Y331)</f>
        <v>0</v>
      </c>
      <c r="AM331" s="161">
        <f t="shared" ca="1" si="134"/>
        <v>12</v>
      </c>
      <c r="AN331" s="199">
        <f ca="1">IF(AQ331&gt;Preenchimento!$AA$90*12,0,1)</f>
        <v>0</v>
      </c>
      <c r="AO331" s="161" t="e">
        <f ca="1">1/((1+SAC!$AD$29)^AL331)</f>
        <v>#N/A</v>
      </c>
      <c r="AP331" s="82" t="e">
        <f t="shared" ca="1" si="135"/>
        <v>#N/A</v>
      </c>
      <c r="AQ331" s="82">
        <v>306</v>
      </c>
      <c r="AS331" s="477">
        <f t="shared" ca="1" si="129"/>
        <v>0</v>
      </c>
    </row>
    <row r="332" spans="1:45">
      <c r="A332" s="53">
        <v>307</v>
      </c>
      <c r="B332" s="249">
        <f ca="1">DATE(IF(MONTH(B331)=12,YEAR(B331)+1,YEAR(B331)),IF(MONTH(B331)=12,1,MONTH(B331)+1),MIN(DAY(Condições!$C$109),IF(IF(MONTH(B331)=12,1,MONTH(B331)+1)=2,IF(MOD(IF(MONTH(B331)=12,YEAR(B331)+1,YEAR(B331)),4)=0,29,28),IF(OR(IF(MONTH(B331)=12,1,MONTH(B331)+1)=4,IF(MONTH(B331)=12,1,MONTH(B331)+1)=6,IF(MONTH(B331)=12,1,MONTH(B331)+1)=9,IF(MONTH(B331)=12,1,MONTH(B331)+1)=11),30,DAY($B$25)))))</f>
        <v>55534</v>
      </c>
      <c r="C332" s="250" t="str">
        <f t="shared" si="114"/>
        <v/>
      </c>
      <c r="D332" s="251" t="e">
        <f t="shared" si="115"/>
        <v>#N/A</v>
      </c>
      <c r="E332" s="251">
        <f t="shared" si="116"/>
        <v>0</v>
      </c>
      <c r="F332" s="251">
        <f t="shared" si="117"/>
        <v>0</v>
      </c>
      <c r="G332" s="251">
        <f t="shared" si="118"/>
        <v>0</v>
      </c>
      <c r="H332" s="251" t="e">
        <f t="shared" si="119"/>
        <v>#VALUE!</v>
      </c>
      <c r="I332" s="251">
        <f t="shared" si="120"/>
        <v>0</v>
      </c>
      <c r="J332" s="251">
        <f t="shared" si="130"/>
        <v>0</v>
      </c>
      <c r="K332" s="251">
        <f t="shared" si="121"/>
        <v>0</v>
      </c>
      <c r="M332" s="224"/>
      <c r="N332" s="225">
        <f t="shared" si="122"/>
        <v>0</v>
      </c>
      <c r="O332" s="251" t="e">
        <f t="shared" si="123"/>
        <v>#N/A</v>
      </c>
      <c r="P332" s="251">
        <f t="shared" si="131"/>
        <v>0</v>
      </c>
      <c r="Q332" s="251">
        <f t="shared" si="124"/>
        <v>0</v>
      </c>
      <c r="R332" s="251">
        <f t="shared" si="125"/>
        <v>0</v>
      </c>
      <c r="S332" s="251" t="e">
        <f t="shared" si="126"/>
        <v>#VALUE!</v>
      </c>
      <c r="T332" s="251">
        <f t="shared" si="113"/>
        <v>0</v>
      </c>
      <c r="U332" s="252">
        <f>TRUNC(T332*Condições!$C$102,2)</f>
        <v>0</v>
      </c>
      <c r="V332" s="199">
        <f t="shared" si="132"/>
        <v>0</v>
      </c>
      <c r="W332" s="161" t="e">
        <f t="shared" si="136"/>
        <v>#N/A</v>
      </c>
      <c r="X332" s="161" t="e">
        <f t="shared" si="137"/>
        <v>#N/A</v>
      </c>
      <c r="Y332" s="161">
        <f t="shared" si="138"/>
        <v>307</v>
      </c>
      <c r="Z332" s="161">
        <f t="shared" ca="1" si="139"/>
        <v>1</v>
      </c>
      <c r="AG332" s="114">
        <f t="shared" si="133"/>
        <v>0</v>
      </c>
      <c r="AH332" s="113"/>
      <c r="AI332" s="199">
        <f ca="1">IF(AL332=0,0,IF(AL332&gt;Preenchimento!$AA$88*12,0,IF($AC$53=AM332,0,1)))</f>
        <v>0</v>
      </c>
      <c r="AJ332" s="161" t="e">
        <f t="shared" ca="1" si="127"/>
        <v>#N/A</v>
      </c>
      <c r="AK332" s="161" t="e">
        <f t="shared" ca="1" si="128"/>
        <v>#N/A</v>
      </c>
      <c r="AL332" s="161">
        <f ca="1">IF(Y332&gt;(Preenchimento!$AA$90*12),0,Fixa!Y332)</f>
        <v>0</v>
      </c>
      <c r="AM332" s="161">
        <f t="shared" ca="1" si="134"/>
        <v>1</v>
      </c>
      <c r="AN332" s="199">
        <f ca="1">IF(AQ332&gt;Preenchimento!$AA$90*12,0,1)</f>
        <v>0</v>
      </c>
      <c r="AO332" s="161" t="e">
        <f ca="1">1/((1+SAC!$AD$29)^AL332)</f>
        <v>#N/A</v>
      </c>
      <c r="AP332" s="82" t="e">
        <f t="shared" ca="1" si="135"/>
        <v>#N/A</v>
      </c>
      <c r="AQ332" s="82">
        <v>307</v>
      </c>
      <c r="AS332" s="477">
        <f t="shared" ca="1" si="129"/>
        <v>0</v>
      </c>
    </row>
    <row r="333" spans="1:45">
      <c r="A333" s="53">
        <v>308</v>
      </c>
      <c r="B333" s="249">
        <f ca="1">DATE(IF(MONTH(B332)=12,YEAR(B332)+1,YEAR(B332)),IF(MONTH(B332)=12,1,MONTH(B332)+1),MIN(DAY(Condições!$C$109),IF(IF(MONTH(B332)=12,1,MONTH(B332)+1)=2,IF(MOD(IF(MONTH(B332)=12,YEAR(B332)+1,YEAR(B332)),4)=0,29,28),IF(OR(IF(MONTH(B332)=12,1,MONTH(B332)+1)=4,IF(MONTH(B332)=12,1,MONTH(B332)+1)=6,IF(MONTH(B332)=12,1,MONTH(B332)+1)=9,IF(MONTH(B332)=12,1,MONTH(B332)+1)=11),30,DAY($B$25)))))</f>
        <v>55565</v>
      </c>
      <c r="C333" s="250" t="str">
        <f t="shared" si="114"/>
        <v/>
      </c>
      <c r="D333" s="251" t="e">
        <f t="shared" si="115"/>
        <v>#N/A</v>
      </c>
      <c r="E333" s="251">
        <f t="shared" si="116"/>
        <v>0</v>
      </c>
      <c r="F333" s="251">
        <f t="shared" si="117"/>
        <v>0</v>
      </c>
      <c r="G333" s="251">
        <f t="shared" si="118"/>
        <v>0</v>
      </c>
      <c r="H333" s="251" t="e">
        <f t="shared" si="119"/>
        <v>#VALUE!</v>
      </c>
      <c r="I333" s="251">
        <f t="shared" si="120"/>
        <v>0</v>
      </c>
      <c r="J333" s="251">
        <f t="shared" si="130"/>
        <v>0</v>
      </c>
      <c r="K333" s="251">
        <f t="shared" si="121"/>
        <v>0</v>
      </c>
      <c r="M333" s="224"/>
      <c r="N333" s="225">
        <f t="shared" si="122"/>
        <v>0</v>
      </c>
      <c r="O333" s="251" t="e">
        <f t="shared" si="123"/>
        <v>#N/A</v>
      </c>
      <c r="P333" s="251">
        <f t="shared" si="131"/>
        <v>0</v>
      </c>
      <c r="Q333" s="251">
        <f t="shared" si="124"/>
        <v>0</v>
      </c>
      <c r="R333" s="251">
        <f t="shared" si="125"/>
        <v>0</v>
      </c>
      <c r="S333" s="251" t="e">
        <f t="shared" si="126"/>
        <v>#VALUE!</v>
      </c>
      <c r="T333" s="251">
        <f t="shared" si="113"/>
        <v>0</v>
      </c>
      <c r="U333" s="252">
        <f>TRUNC(T333*Condições!$C$102,2)</f>
        <v>0</v>
      </c>
      <c r="V333" s="199">
        <f t="shared" si="132"/>
        <v>0</v>
      </c>
      <c r="W333" s="161" t="e">
        <f t="shared" si="136"/>
        <v>#N/A</v>
      </c>
      <c r="X333" s="161" t="e">
        <f t="shared" si="137"/>
        <v>#N/A</v>
      </c>
      <c r="Y333" s="161">
        <f t="shared" si="138"/>
        <v>308</v>
      </c>
      <c r="Z333" s="161">
        <f t="shared" ca="1" si="139"/>
        <v>2</v>
      </c>
      <c r="AG333" s="114">
        <f t="shared" si="133"/>
        <v>0</v>
      </c>
      <c r="AH333" s="113"/>
      <c r="AI333" s="199">
        <f ca="1">IF(AL333=0,0,IF(AL333&gt;Preenchimento!$AA$88*12,0,IF($AC$53=AM333,0,1)))</f>
        <v>0</v>
      </c>
      <c r="AJ333" s="161" t="e">
        <f t="shared" ca="1" si="127"/>
        <v>#N/A</v>
      </c>
      <c r="AK333" s="161" t="e">
        <f t="shared" ca="1" si="128"/>
        <v>#N/A</v>
      </c>
      <c r="AL333" s="161">
        <f ca="1">IF(Y333&gt;(Preenchimento!$AA$90*12),0,Fixa!Y333)</f>
        <v>0</v>
      </c>
      <c r="AM333" s="161">
        <f t="shared" ca="1" si="134"/>
        <v>2</v>
      </c>
      <c r="AN333" s="199">
        <f ca="1">IF(AQ333&gt;Preenchimento!$AA$90*12,0,1)</f>
        <v>0</v>
      </c>
      <c r="AO333" s="161" t="e">
        <f ca="1">1/((1+SAC!$AD$29)^AL333)</f>
        <v>#N/A</v>
      </c>
      <c r="AP333" s="82" t="e">
        <f t="shared" ca="1" si="135"/>
        <v>#N/A</v>
      </c>
      <c r="AQ333" s="82">
        <v>308</v>
      </c>
      <c r="AS333" s="477">
        <f t="shared" ca="1" si="129"/>
        <v>0</v>
      </c>
    </row>
    <row r="334" spans="1:45">
      <c r="A334" s="53">
        <v>309</v>
      </c>
      <c r="B334" s="249">
        <f ca="1">DATE(IF(MONTH(B333)=12,YEAR(B333)+1,YEAR(B333)),IF(MONTH(B333)=12,1,MONTH(B333)+1),MIN(DAY(Condições!$C$109),IF(IF(MONTH(B333)=12,1,MONTH(B333)+1)=2,IF(MOD(IF(MONTH(B333)=12,YEAR(B333)+1,YEAR(B333)),4)=0,29,28),IF(OR(IF(MONTH(B333)=12,1,MONTH(B333)+1)=4,IF(MONTH(B333)=12,1,MONTH(B333)+1)=6,IF(MONTH(B333)=12,1,MONTH(B333)+1)=9,IF(MONTH(B333)=12,1,MONTH(B333)+1)=11),30,DAY($B$25)))))</f>
        <v>55594</v>
      </c>
      <c r="C334" s="250" t="str">
        <f t="shared" si="114"/>
        <v/>
      </c>
      <c r="D334" s="251" t="e">
        <f t="shared" si="115"/>
        <v>#N/A</v>
      </c>
      <c r="E334" s="251">
        <f t="shared" si="116"/>
        <v>0</v>
      </c>
      <c r="F334" s="251">
        <f t="shared" si="117"/>
        <v>0</v>
      </c>
      <c r="G334" s="251">
        <f t="shared" si="118"/>
        <v>0</v>
      </c>
      <c r="H334" s="251" t="e">
        <f t="shared" si="119"/>
        <v>#VALUE!</v>
      </c>
      <c r="I334" s="251">
        <f t="shared" si="120"/>
        <v>0</v>
      </c>
      <c r="J334" s="251">
        <f t="shared" si="130"/>
        <v>0</v>
      </c>
      <c r="K334" s="251">
        <f t="shared" si="121"/>
        <v>0</v>
      </c>
      <c r="M334" s="224"/>
      <c r="N334" s="225">
        <f t="shared" si="122"/>
        <v>0</v>
      </c>
      <c r="O334" s="251" t="e">
        <f t="shared" si="123"/>
        <v>#N/A</v>
      </c>
      <c r="P334" s="251">
        <f t="shared" si="131"/>
        <v>0</v>
      </c>
      <c r="Q334" s="251">
        <f t="shared" si="124"/>
        <v>0</v>
      </c>
      <c r="R334" s="251">
        <f t="shared" si="125"/>
        <v>0</v>
      </c>
      <c r="S334" s="251" t="e">
        <f t="shared" si="126"/>
        <v>#VALUE!</v>
      </c>
      <c r="T334" s="251">
        <f t="shared" si="113"/>
        <v>0</v>
      </c>
      <c r="U334" s="252">
        <f>TRUNC(T334*Condições!$C$102,2)</f>
        <v>0</v>
      </c>
      <c r="V334" s="199">
        <f t="shared" si="132"/>
        <v>0</v>
      </c>
      <c r="W334" s="161" t="e">
        <f t="shared" si="136"/>
        <v>#N/A</v>
      </c>
      <c r="X334" s="161" t="e">
        <f t="shared" si="137"/>
        <v>#N/A</v>
      </c>
      <c r="Y334" s="161">
        <f t="shared" si="138"/>
        <v>309</v>
      </c>
      <c r="Z334" s="161">
        <f t="shared" ca="1" si="139"/>
        <v>3</v>
      </c>
      <c r="AG334" s="114">
        <f t="shared" si="133"/>
        <v>0</v>
      </c>
      <c r="AH334" s="113"/>
      <c r="AI334" s="199">
        <f ca="1">IF(AL334=0,0,IF(AL334&gt;Preenchimento!$AA$88*12,0,IF($AC$53=AM334,0,1)))</f>
        <v>0</v>
      </c>
      <c r="AJ334" s="161" t="e">
        <f t="shared" ca="1" si="127"/>
        <v>#N/A</v>
      </c>
      <c r="AK334" s="161" t="e">
        <f t="shared" ca="1" si="128"/>
        <v>#N/A</v>
      </c>
      <c r="AL334" s="161">
        <f ca="1">IF(Y334&gt;(Preenchimento!$AA$90*12),0,Fixa!Y334)</f>
        <v>0</v>
      </c>
      <c r="AM334" s="161">
        <f t="shared" ca="1" si="134"/>
        <v>3</v>
      </c>
      <c r="AN334" s="199">
        <f ca="1">IF(AQ334&gt;Preenchimento!$AA$90*12,0,1)</f>
        <v>0</v>
      </c>
      <c r="AO334" s="161" t="e">
        <f ca="1">1/((1+SAC!$AD$29)^AL334)</f>
        <v>#N/A</v>
      </c>
      <c r="AP334" s="82" t="e">
        <f t="shared" ca="1" si="135"/>
        <v>#N/A</v>
      </c>
      <c r="AQ334" s="82">
        <v>309</v>
      </c>
      <c r="AS334" s="477">
        <f t="shared" ca="1" si="129"/>
        <v>0</v>
      </c>
    </row>
    <row r="335" spans="1:45">
      <c r="A335" s="53">
        <v>310</v>
      </c>
      <c r="B335" s="249">
        <f ca="1">DATE(IF(MONTH(B334)=12,YEAR(B334)+1,YEAR(B334)),IF(MONTH(B334)=12,1,MONTH(B334)+1),MIN(DAY(Condições!$C$109),IF(IF(MONTH(B334)=12,1,MONTH(B334)+1)=2,IF(MOD(IF(MONTH(B334)=12,YEAR(B334)+1,YEAR(B334)),4)=0,29,28),IF(OR(IF(MONTH(B334)=12,1,MONTH(B334)+1)=4,IF(MONTH(B334)=12,1,MONTH(B334)+1)=6,IF(MONTH(B334)=12,1,MONTH(B334)+1)=9,IF(MONTH(B334)=12,1,MONTH(B334)+1)=11),30,DAY($B$25)))))</f>
        <v>55625</v>
      </c>
      <c r="C335" s="250" t="str">
        <f t="shared" si="114"/>
        <v/>
      </c>
      <c r="D335" s="251" t="e">
        <f t="shared" si="115"/>
        <v>#N/A</v>
      </c>
      <c r="E335" s="251">
        <f t="shared" si="116"/>
        <v>0</v>
      </c>
      <c r="F335" s="251">
        <f t="shared" si="117"/>
        <v>0</v>
      </c>
      <c r="G335" s="251">
        <f t="shared" si="118"/>
        <v>0</v>
      </c>
      <c r="H335" s="251" t="e">
        <f t="shared" si="119"/>
        <v>#VALUE!</v>
      </c>
      <c r="I335" s="251">
        <f t="shared" si="120"/>
        <v>0</v>
      </c>
      <c r="J335" s="251">
        <f t="shared" si="130"/>
        <v>0</v>
      </c>
      <c r="K335" s="251">
        <f t="shared" si="121"/>
        <v>0</v>
      </c>
      <c r="M335" s="224"/>
      <c r="N335" s="225">
        <f t="shared" si="122"/>
        <v>0</v>
      </c>
      <c r="O335" s="251" t="e">
        <f t="shared" si="123"/>
        <v>#N/A</v>
      </c>
      <c r="P335" s="251">
        <f t="shared" si="131"/>
        <v>0</v>
      </c>
      <c r="Q335" s="251">
        <f t="shared" si="124"/>
        <v>0</v>
      </c>
      <c r="R335" s="251">
        <f t="shared" si="125"/>
        <v>0</v>
      </c>
      <c r="S335" s="251" t="e">
        <f t="shared" si="126"/>
        <v>#VALUE!</v>
      </c>
      <c r="T335" s="251">
        <f t="shared" si="113"/>
        <v>0</v>
      </c>
      <c r="U335" s="252">
        <f>TRUNC(T335*Condições!$C$102,2)</f>
        <v>0</v>
      </c>
      <c r="V335" s="199">
        <f t="shared" si="132"/>
        <v>0</v>
      </c>
      <c r="W335" s="161" t="e">
        <f t="shared" si="136"/>
        <v>#N/A</v>
      </c>
      <c r="X335" s="161" t="e">
        <f t="shared" si="137"/>
        <v>#N/A</v>
      </c>
      <c r="Y335" s="161">
        <f t="shared" si="138"/>
        <v>310</v>
      </c>
      <c r="Z335" s="161">
        <f t="shared" ca="1" si="139"/>
        <v>4</v>
      </c>
      <c r="AG335" s="114">
        <f t="shared" si="133"/>
        <v>0</v>
      </c>
      <c r="AH335" s="113"/>
      <c r="AI335" s="199">
        <f ca="1">IF(AL335=0,0,IF(AL335&gt;Preenchimento!$AA$88*12,0,IF($AC$53=AM335,0,1)))</f>
        <v>0</v>
      </c>
      <c r="AJ335" s="161" t="e">
        <f t="shared" ca="1" si="127"/>
        <v>#N/A</v>
      </c>
      <c r="AK335" s="161" t="e">
        <f t="shared" ca="1" si="128"/>
        <v>#N/A</v>
      </c>
      <c r="AL335" s="161">
        <f ca="1">IF(Y335&gt;(Preenchimento!$AA$90*12),0,Fixa!Y335)</f>
        <v>0</v>
      </c>
      <c r="AM335" s="161">
        <f t="shared" ca="1" si="134"/>
        <v>4</v>
      </c>
      <c r="AN335" s="199">
        <f ca="1">IF(AQ335&gt;Preenchimento!$AA$90*12,0,1)</f>
        <v>0</v>
      </c>
      <c r="AO335" s="161" t="e">
        <f ca="1">1/((1+SAC!$AD$29)^AL335)</f>
        <v>#N/A</v>
      </c>
      <c r="AP335" s="82" t="e">
        <f t="shared" ca="1" si="135"/>
        <v>#N/A</v>
      </c>
      <c r="AQ335" s="82">
        <v>310</v>
      </c>
      <c r="AS335" s="477">
        <f t="shared" ca="1" si="129"/>
        <v>0</v>
      </c>
    </row>
    <row r="336" spans="1:45">
      <c r="A336" s="53">
        <v>311</v>
      </c>
      <c r="B336" s="249">
        <f ca="1">DATE(IF(MONTH(B335)=12,YEAR(B335)+1,YEAR(B335)),IF(MONTH(B335)=12,1,MONTH(B335)+1),MIN(DAY(Condições!$C$109),IF(IF(MONTH(B335)=12,1,MONTH(B335)+1)=2,IF(MOD(IF(MONTH(B335)=12,YEAR(B335)+1,YEAR(B335)),4)=0,29,28),IF(OR(IF(MONTH(B335)=12,1,MONTH(B335)+1)=4,IF(MONTH(B335)=12,1,MONTH(B335)+1)=6,IF(MONTH(B335)=12,1,MONTH(B335)+1)=9,IF(MONTH(B335)=12,1,MONTH(B335)+1)=11),30,DAY($B$25)))))</f>
        <v>55655</v>
      </c>
      <c r="C336" s="250" t="str">
        <f t="shared" si="114"/>
        <v/>
      </c>
      <c r="D336" s="251" t="e">
        <f t="shared" si="115"/>
        <v>#N/A</v>
      </c>
      <c r="E336" s="251">
        <f t="shared" si="116"/>
        <v>0</v>
      </c>
      <c r="F336" s="251">
        <f t="shared" si="117"/>
        <v>0</v>
      </c>
      <c r="G336" s="251">
        <f t="shared" si="118"/>
        <v>0</v>
      </c>
      <c r="H336" s="251" t="e">
        <f t="shared" si="119"/>
        <v>#VALUE!</v>
      </c>
      <c r="I336" s="251">
        <f t="shared" si="120"/>
        <v>0</v>
      </c>
      <c r="J336" s="251">
        <f t="shared" si="130"/>
        <v>0</v>
      </c>
      <c r="K336" s="251">
        <f t="shared" si="121"/>
        <v>0</v>
      </c>
      <c r="M336" s="224"/>
      <c r="N336" s="225">
        <f t="shared" si="122"/>
        <v>0</v>
      </c>
      <c r="O336" s="251" t="e">
        <f t="shared" si="123"/>
        <v>#N/A</v>
      </c>
      <c r="P336" s="251">
        <f t="shared" si="131"/>
        <v>0</v>
      </c>
      <c r="Q336" s="251">
        <f t="shared" si="124"/>
        <v>0</v>
      </c>
      <c r="R336" s="251">
        <f t="shared" si="125"/>
        <v>0</v>
      </c>
      <c r="S336" s="251" t="e">
        <f t="shared" si="126"/>
        <v>#VALUE!</v>
      </c>
      <c r="T336" s="251">
        <f t="shared" si="113"/>
        <v>0</v>
      </c>
      <c r="U336" s="252">
        <f>TRUNC(T336*Condições!$C$102,2)</f>
        <v>0</v>
      </c>
      <c r="V336" s="199">
        <f t="shared" si="132"/>
        <v>0</v>
      </c>
      <c r="W336" s="161" t="e">
        <f t="shared" si="136"/>
        <v>#N/A</v>
      </c>
      <c r="X336" s="161" t="e">
        <f t="shared" si="137"/>
        <v>#N/A</v>
      </c>
      <c r="Y336" s="161">
        <f t="shared" si="138"/>
        <v>311</v>
      </c>
      <c r="Z336" s="161">
        <f t="shared" ca="1" si="139"/>
        <v>5</v>
      </c>
      <c r="AG336" s="114">
        <f t="shared" si="133"/>
        <v>0</v>
      </c>
      <c r="AH336" s="113"/>
      <c r="AI336" s="199">
        <f ca="1">IF(AL336=0,0,IF(AL336&gt;Preenchimento!$AA$88*12,0,IF($AC$53=AM336,0,1)))</f>
        <v>0</v>
      </c>
      <c r="AJ336" s="161" t="e">
        <f t="shared" ca="1" si="127"/>
        <v>#N/A</v>
      </c>
      <c r="AK336" s="161" t="e">
        <f t="shared" ca="1" si="128"/>
        <v>#N/A</v>
      </c>
      <c r="AL336" s="161">
        <f ca="1">IF(Y336&gt;(Preenchimento!$AA$90*12),0,Fixa!Y336)</f>
        <v>0</v>
      </c>
      <c r="AM336" s="161">
        <f t="shared" ca="1" si="134"/>
        <v>5</v>
      </c>
      <c r="AN336" s="199">
        <f ca="1">IF(AQ336&gt;Preenchimento!$AA$90*12,0,1)</f>
        <v>0</v>
      </c>
      <c r="AO336" s="161" t="e">
        <f ca="1">1/((1+SAC!$AD$29)^AL336)</f>
        <v>#N/A</v>
      </c>
      <c r="AP336" s="82" t="e">
        <f t="shared" ca="1" si="135"/>
        <v>#N/A</v>
      </c>
      <c r="AQ336" s="82">
        <v>311</v>
      </c>
      <c r="AS336" s="477">
        <f t="shared" ca="1" si="129"/>
        <v>0</v>
      </c>
    </row>
    <row r="337" spans="1:45">
      <c r="A337" s="53">
        <v>312</v>
      </c>
      <c r="B337" s="249">
        <f ca="1">DATE(IF(MONTH(B336)=12,YEAR(B336)+1,YEAR(B336)),IF(MONTH(B336)=12,1,MONTH(B336)+1),MIN(DAY(Condições!$C$109),IF(IF(MONTH(B336)=12,1,MONTH(B336)+1)=2,IF(MOD(IF(MONTH(B336)=12,YEAR(B336)+1,YEAR(B336)),4)=0,29,28),IF(OR(IF(MONTH(B336)=12,1,MONTH(B336)+1)=4,IF(MONTH(B336)=12,1,MONTH(B336)+1)=6,IF(MONTH(B336)=12,1,MONTH(B336)+1)=9,IF(MONTH(B336)=12,1,MONTH(B336)+1)=11),30,DAY($B$25)))))</f>
        <v>55686</v>
      </c>
      <c r="C337" s="250" t="str">
        <f t="shared" si="114"/>
        <v/>
      </c>
      <c r="D337" s="251" t="e">
        <f t="shared" si="115"/>
        <v>#N/A</v>
      </c>
      <c r="E337" s="251">
        <f t="shared" si="116"/>
        <v>0</v>
      </c>
      <c r="F337" s="251">
        <f t="shared" si="117"/>
        <v>0</v>
      </c>
      <c r="G337" s="251">
        <f t="shared" si="118"/>
        <v>0</v>
      </c>
      <c r="H337" s="251" t="e">
        <f t="shared" si="119"/>
        <v>#VALUE!</v>
      </c>
      <c r="I337" s="251">
        <f t="shared" si="120"/>
        <v>0</v>
      </c>
      <c r="J337" s="251">
        <f t="shared" si="130"/>
        <v>0</v>
      </c>
      <c r="K337" s="251">
        <f t="shared" si="121"/>
        <v>0</v>
      </c>
      <c r="M337" s="224"/>
      <c r="N337" s="225">
        <f t="shared" si="122"/>
        <v>0</v>
      </c>
      <c r="O337" s="251" t="e">
        <f t="shared" si="123"/>
        <v>#N/A</v>
      </c>
      <c r="P337" s="251">
        <f t="shared" si="131"/>
        <v>0</v>
      </c>
      <c r="Q337" s="251">
        <f t="shared" si="124"/>
        <v>0</v>
      </c>
      <c r="R337" s="251">
        <f t="shared" si="125"/>
        <v>0</v>
      </c>
      <c r="S337" s="251" t="e">
        <f t="shared" si="126"/>
        <v>#VALUE!</v>
      </c>
      <c r="T337" s="251">
        <f t="shared" si="113"/>
        <v>0</v>
      </c>
      <c r="U337" s="252">
        <f>TRUNC(T337*Condições!$C$102,2)</f>
        <v>0</v>
      </c>
      <c r="V337" s="199">
        <f t="shared" si="132"/>
        <v>0</v>
      </c>
      <c r="W337" s="161" t="e">
        <f t="shared" si="136"/>
        <v>#N/A</v>
      </c>
      <c r="X337" s="161" t="e">
        <f t="shared" si="137"/>
        <v>#N/A</v>
      </c>
      <c r="Y337" s="161">
        <f t="shared" si="138"/>
        <v>312</v>
      </c>
      <c r="Z337" s="161">
        <f t="shared" ca="1" si="139"/>
        <v>6</v>
      </c>
      <c r="AG337" s="114">
        <f t="shared" si="133"/>
        <v>0</v>
      </c>
      <c r="AH337" s="113"/>
      <c r="AI337" s="199">
        <f ca="1">IF(AL337=0,0,IF(AL337&gt;Preenchimento!$AA$88*12,0,IF($AC$53=AM337,0,1)))</f>
        <v>0</v>
      </c>
      <c r="AJ337" s="161" t="e">
        <f t="shared" ca="1" si="127"/>
        <v>#N/A</v>
      </c>
      <c r="AK337" s="161" t="e">
        <f t="shared" ca="1" si="128"/>
        <v>#N/A</v>
      </c>
      <c r="AL337" s="161">
        <f ca="1">IF(Y337&gt;(Preenchimento!$AA$90*12),0,Fixa!Y337)</f>
        <v>0</v>
      </c>
      <c r="AM337" s="161">
        <f t="shared" ca="1" si="134"/>
        <v>6</v>
      </c>
      <c r="AN337" s="199">
        <f ca="1">IF(AQ337&gt;Preenchimento!$AA$90*12,0,1)</f>
        <v>0</v>
      </c>
      <c r="AO337" s="161" t="e">
        <f ca="1">1/((1+SAC!$AD$29)^AL337)</f>
        <v>#N/A</v>
      </c>
      <c r="AP337" s="82" t="e">
        <f t="shared" ca="1" si="135"/>
        <v>#N/A</v>
      </c>
      <c r="AQ337" s="82">
        <v>312</v>
      </c>
      <c r="AS337" s="477">
        <f t="shared" ca="1" si="129"/>
        <v>0</v>
      </c>
    </row>
    <row r="338" spans="1:45">
      <c r="A338" s="53">
        <v>313</v>
      </c>
      <c r="B338" s="249">
        <f ca="1">DATE(IF(MONTH(B337)=12,YEAR(B337)+1,YEAR(B337)),IF(MONTH(B337)=12,1,MONTH(B337)+1),MIN(DAY(Condições!$C$109),IF(IF(MONTH(B337)=12,1,MONTH(B337)+1)=2,IF(MOD(IF(MONTH(B337)=12,YEAR(B337)+1,YEAR(B337)),4)=0,29,28),IF(OR(IF(MONTH(B337)=12,1,MONTH(B337)+1)=4,IF(MONTH(B337)=12,1,MONTH(B337)+1)=6,IF(MONTH(B337)=12,1,MONTH(B337)+1)=9,IF(MONTH(B337)=12,1,MONTH(B337)+1)=11),30,DAY($B$25)))))</f>
        <v>55716</v>
      </c>
      <c r="C338" s="250" t="str">
        <f t="shared" si="114"/>
        <v/>
      </c>
      <c r="D338" s="251" t="e">
        <f t="shared" si="115"/>
        <v>#N/A</v>
      </c>
      <c r="E338" s="251">
        <f t="shared" si="116"/>
        <v>0</v>
      </c>
      <c r="F338" s="251">
        <f t="shared" si="117"/>
        <v>0</v>
      </c>
      <c r="G338" s="251">
        <f t="shared" si="118"/>
        <v>0</v>
      </c>
      <c r="H338" s="251" t="e">
        <f t="shared" si="119"/>
        <v>#VALUE!</v>
      </c>
      <c r="I338" s="251">
        <f t="shared" si="120"/>
        <v>0</v>
      </c>
      <c r="J338" s="251">
        <f t="shared" si="130"/>
        <v>0</v>
      </c>
      <c r="K338" s="251">
        <f t="shared" si="121"/>
        <v>0</v>
      </c>
      <c r="M338" s="224"/>
      <c r="N338" s="225">
        <f t="shared" si="122"/>
        <v>0</v>
      </c>
      <c r="O338" s="251" t="e">
        <f t="shared" si="123"/>
        <v>#N/A</v>
      </c>
      <c r="P338" s="251">
        <f t="shared" si="131"/>
        <v>0</v>
      </c>
      <c r="Q338" s="251">
        <f t="shared" si="124"/>
        <v>0</v>
      </c>
      <c r="R338" s="251">
        <f t="shared" si="125"/>
        <v>0</v>
      </c>
      <c r="S338" s="251" t="e">
        <f t="shared" si="126"/>
        <v>#VALUE!</v>
      </c>
      <c r="T338" s="251">
        <f t="shared" si="113"/>
        <v>0</v>
      </c>
      <c r="U338" s="252">
        <f>TRUNC(T338*Condições!$C$102,2)</f>
        <v>0</v>
      </c>
      <c r="V338" s="199">
        <f t="shared" si="132"/>
        <v>0</v>
      </c>
      <c r="W338" s="161" t="e">
        <f t="shared" si="136"/>
        <v>#N/A</v>
      </c>
      <c r="X338" s="161" t="e">
        <f t="shared" si="137"/>
        <v>#N/A</v>
      </c>
      <c r="Y338" s="161">
        <f t="shared" si="138"/>
        <v>313</v>
      </c>
      <c r="Z338" s="161">
        <f t="shared" ca="1" si="139"/>
        <v>7</v>
      </c>
      <c r="AG338" s="114">
        <f t="shared" si="133"/>
        <v>0</v>
      </c>
      <c r="AH338" s="113"/>
      <c r="AI338" s="199">
        <f ca="1">IF(AL338=0,0,IF(AL338&gt;Preenchimento!$AA$88*12,0,IF($AC$53=AM338,0,1)))</f>
        <v>0</v>
      </c>
      <c r="AJ338" s="161" t="e">
        <f t="shared" ca="1" si="127"/>
        <v>#N/A</v>
      </c>
      <c r="AK338" s="161" t="e">
        <f t="shared" ca="1" si="128"/>
        <v>#N/A</v>
      </c>
      <c r="AL338" s="161">
        <f ca="1">IF(Y338&gt;(Preenchimento!$AA$90*12),0,Fixa!Y338)</f>
        <v>0</v>
      </c>
      <c r="AM338" s="161">
        <f t="shared" ca="1" si="134"/>
        <v>7</v>
      </c>
      <c r="AN338" s="199">
        <f ca="1">IF(AQ338&gt;Preenchimento!$AA$90*12,0,1)</f>
        <v>0</v>
      </c>
      <c r="AO338" s="161" t="e">
        <f ca="1">1/((1+SAC!$AD$29)^AL338)</f>
        <v>#N/A</v>
      </c>
      <c r="AP338" s="82" t="e">
        <f t="shared" ca="1" si="135"/>
        <v>#N/A</v>
      </c>
      <c r="AQ338" s="82">
        <v>313</v>
      </c>
      <c r="AS338" s="477">
        <f t="shared" ca="1" si="129"/>
        <v>0</v>
      </c>
    </row>
    <row r="339" spans="1:45">
      <c r="A339" s="53">
        <v>314</v>
      </c>
      <c r="B339" s="249">
        <f ca="1">DATE(IF(MONTH(B338)=12,YEAR(B338)+1,YEAR(B338)),IF(MONTH(B338)=12,1,MONTH(B338)+1),MIN(DAY(Condições!$C$109),IF(IF(MONTH(B338)=12,1,MONTH(B338)+1)=2,IF(MOD(IF(MONTH(B338)=12,YEAR(B338)+1,YEAR(B338)),4)=0,29,28),IF(OR(IF(MONTH(B338)=12,1,MONTH(B338)+1)=4,IF(MONTH(B338)=12,1,MONTH(B338)+1)=6,IF(MONTH(B338)=12,1,MONTH(B338)+1)=9,IF(MONTH(B338)=12,1,MONTH(B338)+1)=11),30,DAY($B$25)))))</f>
        <v>55747</v>
      </c>
      <c r="C339" s="250" t="str">
        <f t="shared" si="114"/>
        <v/>
      </c>
      <c r="D339" s="251" t="e">
        <f t="shared" si="115"/>
        <v>#N/A</v>
      </c>
      <c r="E339" s="251">
        <f t="shared" si="116"/>
        <v>0</v>
      </c>
      <c r="F339" s="251">
        <f t="shared" si="117"/>
        <v>0</v>
      </c>
      <c r="G339" s="251">
        <f t="shared" si="118"/>
        <v>0</v>
      </c>
      <c r="H339" s="251" t="e">
        <f t="shared" si="119"/>
        <v>#VALUE!</v>
      </c>
      <c r="I339" s="251">
        <f t="shared" si="120"/>
        <v>0</v>
      </c>
      <c r="J339" s="251">
        <f t="shared" si="130"/>
        <v>0</v>
      </c>
      <c r="K339" s="251">
        <f t="shared" si="121"/>
        <v>0</v>
      </c>
      <c r="M339" s="224"/>
      <c r="N339" s="225">
        <f t="shared" si="122"/>
        <v>0</v>
      </c>
      <c r="O339" s="251" t="e">
        <f t="shared" si="123"/>
        <v>#N/A</v>
      </c>
      <c r="P339" s="251">
        <f t="shared" si="131"/>
        <v>0</v>
      </c>
      <c r="Q339" s="251">
        <f t="shared" si="124"/>
        <v>0</v>
      </c>
      <c r="R339" s="251">
        <f t="shared" si="125"/>
        <v>0</v>
      </c>
      <c r="S339" s="251" t="e">
        <f t="shared" si="126"/>
        <v>#VALUE!</v>
      </c>
      <c r="T339" s="251">
        <f t="shared" si="113"/>
        <v>0</v>
      </c>
      <c r="U339" s="252">
        <f>TRUNC(T339*Condições!$C$102,2)</f>
        <v>0</v>
      </c>
      <c r="V339" s="199">
        <f t="shared" si="132"/>
        <v>0</v>
      </c>
      <c r="W339" s="161" t="e">
        <f t="shared" si="136"/>
        <v>#N/A</v>
      </c>
      <c r="X339" s="161" t="e">
        <f t="shared" si="137"/>
        <v>#N/A</v>
      </c>
      <c r="Y339" s="161">
        <f t="shared" si="138"/>
        <v>314</v>
      </c>
      <c r="Z339" s="161">
        <f t="shared" ca="1" si="139"/>
        <v>8</v>
      </c>
      <c r="AG339" s="114">
        <f t="shared" si="133"/>
        <v>0</v>
      </c>
      <c r="AH339" s="113"/>
      <c r="AI339" s="199">
        <f ca="1">IF(AL339=0,0,IF(AL339&gt;Preenchimento!$AA$88*12,0,IF($AC$53=AM339,0,1)))</f>
        <v>0</v>
      </c>
      <c r="AJ339" s="161" t="e">
        <f t="shared" ca="1" si="127"/>
        <v>#N/A</v>
      </c>
      <c r="AK339" s="161" t="e">
        <f t="shared" ca="1" si="128"/>
        <v>#N/A</v>
      </c>
      <c r="AL339" s="161">
        <f ca="1">IF(Y339&gt;(Preenchimento!$AA$90*12),0,Fixa!Y339)</f>
        <v>0</v>
      </c>
      <c r="AM339" s="161">
        <f t="shared" ca="1" si="134"/>
        <v>8</v>
      </c>
      <c r="AN339" s="199">
        <f ca="1">IF(AQ339&gt;Preenchimento!$AA$90*12,0,1)</f>
        <v>0</v>
      </c>
      <c r="AO339" s="161" t="e">
        <f ca="1">1/((1+SAC!$AD$29)^AL339)</f>
        <v>#N/A</v>
      </c>
      <c r="AP339" s="82" t="e">
        <f t="shared" ca="1" si="135"/>
        <v>#N/A</v>
      </c>
      <c r="AQ339" s="82">
        <v>314</v>
      </c>
      <c r="AS339" s="477">
        <f t="shared" ca="1" si="129"/>
        <v>0</v>
      </c>
    </row>
    <row r="340" spans="1:45">
      <c r="A340" s="53">
        <v>315</v>
      </c>
      <c r="B340" s="249">
        <f ca="1">DATE(IF(MONTH(B339)=12,YEAR(B339)+1,YEAR(B339)),IF(MONTH(B339)=12,1,MONTH(B339)+1),MIN(DAY(Condições!$C$109),IF(IF(MONTH(B339)=12,1,MONTH(B339)+1)=2,IF(MOD(IF(MONTH(B339)=12,YEAR(B339)+1,YEAR(B339)),4)=0,29,28),IF(OR(IF(MONTH(B339)=12,1,MONTH(B339)+1)=4,IF(MONTH(B339)=12,1,MONTH(B339)+1)=6,IF(MONTH(B339)=12,1,MONTH(B339)+1)=9,IF(MONTH(B339)=12,1,MONTH(B339)+1)=11),30,DAY($B$25)))))</f>
        <v>55778</v>
      </c>
      <c r="C340" s="250" t="str">
        <f t="shared" si="114"/>
        <v/>
      </c>
      <c r="D340" s="251" t="e">
        <f t="shared" si="115"/>
        <v>#N/A</v>
      </c>
      <c r="E340" s="251">
        <f t="shared" si="116"/>
        <v>0</v>
      </c>
      <c r="F340" s="251">
        <f t="shared" si="117"/>
        <v>0</v>
      </c>
      <c r="G340" s="251">
        <f t="shared" si="118"/>
        <v>0</v>
      </c>
      <c r="H340" s="251" t="e">
        <f t="shared" si="119"/>
        <v>#VALUE!</v>
      </c>
      <c r="I340" s="251">
        <f t="shared" si="120"/>
        <v>0</v>
      </c>
      <c r="J340" s="251">
        <f t="shared" si="130"/>
        <v>0</v>
      </c>
      <c r="K340" s="251">
        <f t="shared" si="121"/>
        <v>0</v>
      </c>
      <c r="M340" s="224"/>
      <c r="N340" s="225">
        <f t="shared" si="122"/>
        <v>0</v>
      </c>
      <c r="O340" s="251" t="e">
        <f t="shared" si="123"/>
        <v>#N/A</v>
      </c>
      <c r="P340" s="251">
        <f t="shared" si="131"/>
        <v>0</v>
      </c>
      <c r="Q340" s="251">
        <f t="shared" si="124"/>
        <v>0</v>
      </c>
      <c r="R340" s="251">
        <f t="shared" si="125"/>
        <v>0</v>
      </c>
      <c r="S340" s="251" t="e">
        <f t="shared" si="126"/>
        <v>#VALUE!</v>
      </c>
      <c r="T340" s="251">
        <f t="shared" si="113"/>
        <v>0</v>
      </c>
      <c r="U340" s="252">
        <f>TRUNC(T340*Condições!$C$102,2)</f>
        <v>0</v>
      </c>
      <c r="V340" s="199">
        <f t="shared" si="132"/>
        <v>0</v>
      </c>
      <c r="W340" s="161" t="e">
        <f t="shared" si="136"/>
        <v>#N/A</v>
      </c>
      <c r="X340" s="161" t="e">
        <f t="shared" si="137"/>
        <v>#N/A</v>
      </c>
      <c r="Y340" s="161">
        <f t="shared" si="138"/>
        <v>315</v>
      </c>
      <c r="Z340" s="161">
        <f t="shared" ca="1" si="139"/>
        <v>9</v>
      </c>
      <c r="AG340" s="114">
        <f t="shared" si="133"/>
        <v>0</v>
      </c>
      <c r="AH340" s="113"/>
      <c r="AI340" s="199">
        <f ca="1">IF(AL340=0,0,IF(AL340&gt;Preenchimento!$AA$88*12,0,IF($AC$53=AM340,0,1)))</f>
        <v>0</v>
      </c>
      <c r="AJ340" s="161" t="e">
        <f t="shared" ca="1" si="127"/>
        <v>#N/A</v>
      </c>
      <c r="AK340" s="161" t="e">
        <f t="shared" ca="1" si="128"/>
        <v>#N/A</v>
      </c>
      <c r="AL340" s="161">
        <f ca="1">IF(Y340&gt;(Preenchimento!$AA$90*12),0,Fixa!Y340)</f>
        <v>0</v>
      </c>
      <c r="AM340" s="161">
        <f t="shared" ca="1" si="134"/>
        <v>9</v>
      </c>
      <c r="AN340" s="199">
        <f ca="1">IF(AQ340&gt;Preenchimento!$AA$90*12,0,1)</f>
        <v>0</v>
      </c>
      <c r="AO340" s="161" t="e">
        <f ca="1">1/((1+SAC!$AD$29)^AL340)</f>
        <v>#N/A</v>
      </c>
      <c r="AP340" s="82" t="e">
        <f t="shared" ca="1" si="135"/>
        <v>#N/A</v>
      </c>
      <c r="AQ340" s="82">
        <v>315</v>
      </c>
      <c r="AS340" s="477">
        <f t="shared" ca="1" si="129"/>
        <v>0</v>
      </c>
    </row>
    <row r="341" spans="1:45">
      <c r="A341" s="53">
        <v>316</v>
      </c>
      <c r="B341" s="249">
        <f ca="1">DATE(IF(MONTH(B340)=12,YEAR(B340)+1,YEAR(B340)),IF(MONTH(B340)=12,1,MONTH(B340)+1),MIN(DAY(Condições!$C$109),IF(IF(MONTH(B340)=12,1,MONTH(B340)+1)=2,IF(MOD(IF(MONTH(B340)=12,YEAR(B340)+1,YEAR(B340)),4)=0,29,28),IF(OR(IF(MONTH(B340)=12,1,MONTH(B340)+1)=4,IF(MONTH(B340)=12,1,MONTH(B340)+1)=6,IF(MONTH(B340)=12,1,MONTH(B340)+1)=9,IF(MONTH(B340)=12,1,MONTH(B340)+1)=11),30,DAY($B$25)))))</f>
        <v>55808</v>
      </c>
      <c r="C341" s="250" t="str">
        <f t="shared" si="114"/>
        <v/>
      </c>
      <c r="D341" s="251" t="e">
        <f t="shared" si="115"/>
        <v>#N/A</v>
      </c>
      <c r="E341" s="251">
        <f t="shared" si="116"/>
        <v>0</v>
      </c>
      <c r="F341" s="251">
        <f t="shared" si="117"/>
        <v>0</v>
      </c>
      <c r="G341" s="251">
        <f t="shared" si="118"/>
        <v>0</v>
      </c>
      <c r="H341" s="251" t="e">
        <f t="shared" si="119"/>
        <v>#VALUE!</v>
      </c>
      <c r="I341" s="251">
        <f t="shared" si="120"/>
        <v>0</v>
      </c>
      <c r="J341" s="251">
        <f t="shared" si="130"/>
        <v>0</v>
      </c>
      <c r="K341" s="251">
        <f t="shared" si="121"/>
        <v>0</v>
      </c>
      <c r="M341" s="224"/>
      <c r="N341" s="225">
        <f t="shared" si="122"/>
        <v>0</v>
      </c>
      <c r="O341" s="251" t="e">
        <f t="shared" si="123"/>
        <v>#N/A</v>
      </c>
      <c r="P341" s="251">
        <f t="shared" si="131"/>
        <v>0</v>
      </c>
      <c r="Q341" s="251">
        <f t="shared" si="124"/>
        <v>0</v>
      </c>
      <c r="R341" s="251">
        <f t="shared" si="125"/>
        <v>0</v>
      </c>
      <c r="S341" s="251" t="e">
        <f t="shared" si="126"/>
        <v>#VALUE!</v>
      </c>
      <c r="T341" s="251">
        <f t="shared" si="113"/>
        <v>0</v>
      </c>
      <c r="U341" s="252">
        <f>TRUNC(T341*Condições!$C$102,2)</f>
        <v>0</v>
      </c>
      <c r="V341" s="199">
        <f t="shared" si="132"/>
        <v>0</v>
      </c>
      <c r="W341" s="161" t="e">
        <f t="shared" si="136"/>
        <v>#N/A</v>
      </c>
      <c r="X341" s="161" t="e">
        <f t="shared" si="137"/>
        <v>#N/A</v>
      </c>
      <c r="Y341" s="161">
        <f t="shared" si="138"/>
        <v>316</v>
      </c>
      <c r="Z341" s="161">
        <f t="shared" ca="1" si="139"/>
        <v>10</v>
      </c>
      <c r="AG341" s="114">
        <f t="shared" si="133"/>
        <v>0</v>
      </c>
      <c r="AH341" s="113"/>
      <c r="AI341" s="199">
        <f ca="1">IF(AL341=0,0,IF(AL341&gt;Preenchimento!$AA$88*12,0,IF($AC$53=AM341,0,1)))</f>
        <v>0</v>
      </c>
      <c r="AJ341" s="161" t="e">
        <f t="shared" ca="1" si="127"/>
        <v>#N/A</v>
      </c>
      <c r="AK341" s="161" t="e">
        <f t="shared" ca="1" si="128"/>
        <v>#N/A</v>
      </c>
      <c r="AL341" s="161">
        <f ca="1">IF(Y341&gt;(Preenchimento!$AA$90*12),0,Fixa!Y341)</f>
        <v>0</v>
      </c>
      <c r="AM341" s="161">
        <f t="shared" ca="1" si="134"/>
        <v>10</v>
      </c>
      <c r="AN341" s="199">
        <f ca="1">IF(AQ341&gt;Preenchimento!$AA$90*12,0,1)</f>
        <v>0</v>
      </c>
      <c r="AO341" s="161" t="e">
        <f ca="1">1/((1+SAC!$AD$29)^AL341)</f>
        <v>#N/A</v>
      </c>
      <c r="AP341" s="82" t="e">
        <f t="shared" ca="1" si="135"/>
        <v>#N/A</v>
      </c>
      <c r="AQ341" s="82">
        <v>316</v>
      </c>
      <c r="AS341" s="477">
        <f t="shared" ca="1" si="129"/>
        <v>0</v>
      </c>
    </row>
    <row r="342" spans="1:45">
      <c r="A342" s="53">
        <v>317</v>
      </c>
      <c r="B342" s="249">
        <f ca="1">DATE(IF(MONTH(B341)=12,YEAR(B341)+1,YEAR(B341)),IF(MONTH(B341)=12,1,MONTH(B341)+1),MIN(DAY(Condições!$C$109),IF(IF(MONTH(B341)=12,1,MONTH(B341)+1)=2,IF(MOD(IF(MONTH(B341)=12,YEAR(B341)+1,YEAR(B341)),4)=0,29,28),IF(OR(IF(MONTH(B341)=12,1,MONTH(B341)+1)=4,IF(MONTH(B341)=12,1,MONTH(B341)+1)=6,IF(MONTH(B341)=12,1,MONTH(B341)+1)=9,IF(MONTH(B341)=12,1,MONTH(B341)+1)=11),30,DAY($B$25)))))</f>
        <v>55839</v>
      </c>
      <c r="C342" s="250" t="str">
        <f t="shared" si="114"/>
        <v/>
      </c>
      <c r="D342" s="251" t="e">
        <f t="shared" si="115"/>
        <v>#N/A</v>
      </c>
      <c r="E342" s="251">
        <f t="shared" si="116"/>
        <v>0</v>
      </c>
      <c r="F342" s="251">
        <f t="shared" si="117"/>
        <v>0</v>
      </c>
      <c r="G342" s="251">
        <f t="shared" si="118"/>
        <v>0</v>
      </c>
      <c r="H342" s="251" t="e">
        <f t="shared" si="119"/>
        <v>#VALUE!</v>
      </c>
      <c r="I342" s="251">
        <f t="shared" si="120"/>
        <v>0</v>
      </c>
      <c r="J342" s="251">
        <f t="shared" si="130"/>
        <v>0</v>
      </c>
      <c r="K342" s="251">
        <f t="shared" si="121"/>
        <v>0</v>
      </c>
      <c r="M342" s="224"/>
      <c r="N342" s="225">
        <f t="shared" si="122"/>
        <v>0</v>
      </c>
      <c r="O342" s="251" t="e">
        <f t="shared" si="123"/>
        <v>#N/A</v>
      </c>
      <c r="P342" s="251">
        <f t="shared" si="131"/>
        <v>0</v>
      </c>
      <c r="Q342" s="251">
        <f t="shared" si="124"/>
        <v>0</v>
      </c>
      <c r="R342" s="251">
        <f t="shared" si="125"/>
        <v>0</v>
      </c>
      <c r="S342" s="251" t="e">
        <f t="shared" si="126"/>
        <v>#VALUE!</v>
      </c>
      <c r="T342" s="251">
        <f t="shared" si="113"/>
        <v>0</v>
      </c>
      <c r="U342" s="252">
        <f>TRUNC(T342*Condições!$C$102,2)</f>
        <v>0</v>
      </c>
      <c r="V342" s="199">
        <f t="shared" si="132"/>
        <v>0</v>
      </c>
      <c r="W342" s="161" t="e">
        <f t="shared" si="136"/>
        <v>#N/A</v>
      </c>
      <c r="X342" s="161" t="e">
        <f t="shared" si="137"/>
        <v>#N/A</v>
      </c>
      <c r="Y342" s="161">
        <f t="shared" si="138"/>
        <v>317</v>
      </c>
      <c r="Z342" s="161">
        <f t="shared" ca="1" si="139"/>
        <v>11</v>
      </c>
      <c r="AG342" s="114">
        <f t="shared" si="133"/>
        <v>0</v>
      </c>
      <c r="AH342" s="113"/>
      <c r="AI342" s="199">
        <f ca="1">IF(AL342=0,0,IF(AL342&gt;Preenchimento!$AA$88*12,0,IF($AC$53=AM342,0,1)))</f>
        <v>0</v>
      </c>
      <c r="AJ342" s="161" t="e">
        <f t="shared" ca="1" si="127"/>
        <v>#N/A</v>
      </c>
      <c r="AK342" s="161" t="e">
        <f t="shared" ca="1" si="128"/>
        <v>#N/A</v>
      </c>
      <c r="AL342" s="161">
        <f ca="1">IF(Y342&gt;(Preenchimento!$AA$90*12),0,Fixa!Y342)</f>
        <v>0</v>
      </c>
      <c r="AM342" s="161">
        <f t="shared" ca="1" si="134"/>
        <v>11</v>
      </c>
      <c r="AN342" s="199">
        <f ca="1">IF(AQ342&gt;Preenchimento!$AA$90*12,0,1)</f>
        <v>0</v>
      </c>
      <c r="AO342" s="161" t="e">
        <f ca="1">1/((1+SAC!$AD$29)^AL342)</f>
        <v>#N/A</v>
      </c>
      <c r="AP342" s="82" t="e">
        <f t="shared" ca="1" si="135"/>
        <v>#N/A</v>
      </c>
      <c r="AQ342" s="82">
        <v>317</v>
      </c>
      <c r="AS342" s="477">
        <f t="shared" ca="1" si="129"/>
        <v>0</v>
      </c>
    </row>
    <row r="343" spans="1:45">
      <c r="A343" s="53">
        <v>318</v>
      </c>
      <c r="B343" s="249">
        <f ca="1">DATE(IF(MONTH(B342)=12,YEAR(B342)+1,YEAR(B342)),IF(MONTH(B342)=12,1,MONTH(B342)+1),MIN(DAY(Condições!$C$109),IF(IF(MONTH(B342)=12,1,MONTH(B342)+1)=2,IF(MOD(IF(MONTH(B342)=12,YEAR(B342)+1,YEAR(B342)),4)=0,29,28),IF(OR(IF(MONTH(B342)=12,1,MONTH(B342)+1)=4,IF(MONTH(B342)=12,1,MONTH(B342)+1)=6,IF(MONTH(B342)=12,1,MONTH(B342)+1)=9,IF(MONTH(B342)=12,1,MONTH(B342)+1)=11),30,DAY($B$25)))))</f>
        <v>55869</v>
      </c>
      <c r="C343" s="250" t="str">
        <f t="shared" si="114"/>
        <v/>
      </c>
      <c r="D343" s="251" t="e">
        <f t="shared" si="115"/>
        <v>#N/A</v>
      </c>
      <c r="E343" s="251">
        <f t="shared" si="116"/>
        <v>0</v>
      </c>
      <c r="F343" s="251">
        <f t="shared" si="117"/>
        <v>0</v>
      </c>
      <c r="G343" s="251">
        <f t="shared" si="118"/>
        <v>0</v>
      </c>
      <c r="H343" s="251" t="e">
        <f t="shared" si="119"/>
        <v>#VALUE!</v>
      </c>
      <c r="I343" s="251">
        <f t="shared" si="120"/>
        <v>0</v>
      </c>
      <c r="J343" s="251">
        <f t="shared" si="130"/>
        <v>0</v>
      </c>
      <c r="K343" s="251">
        <f t="shared" si="121"/>
        <v>0</v>
      </c>
      <c r="M343" s="224"/>
      <c r="N343" s="225">
        <f t="shared" si="122"/>
        <v>0</v>
      </c>
      <c r="O343" s="251" t="e">
        <f t="shared" si="123"/>
        <v>#N/A</v>
      </c>
      <c r="P343" s="251">
        <f t="shared" si="131"/>
        <v>0</v>
      </c>
      <c r="Q343" s="251">
        <f t="shared" si="124"/>
        <v>0</v>
      </c>
      <c r="R343" s="251">
        <f t="shared" si="125"/>
        <v>0</v>
      </c>
      <c r="S343" s="251" t="e">
        <f t="shared" si="126"/>
        <v>#VALUE!</v>
      </c>
      <c r="T343" s="251">
        <f t="shared" si="113"/>
        <v>0</v>
      </c>
      <c r="U343" s="252">
        <f>TRUNC(T343*Condições!$C$102,2)</f>
        <v>0</v>
      </c>
      <c r="V343" s="199">
        <f t="shared" si="132"/>
        <v>0</v>
      </c>
      <c r="W343" s="161" t="e">
        <f t="shared" si="136"/>
        <v>#N/A</v>
      </c>
      <c r="X343" s="161" t="e">
        <f t="shared" si="137"/>
        <v>#N/A</v>
      </c>
      <c r="Y343" s="161">
        <f t="shared" si="138"/>
        <v>318</v>
      </c>
      <c r="Z343" s="161">
        <f t="shared" ca="1" si="139"/>
        <v>12</v>
      </c>
      <c r="AG343" s="114">
        <f t="shared" si="133"/>
        <v>0</v>
      </c>
      <c r="AH343" s="113"/>
      <c r="AI343" s="199">
        <f ca="1">IF(AL343=0,0,IF(AL343&gt;Preenchimento!$AA$88*12,0,IF($AC$53=AM343,0,1)))</f>
        <v>0</v>
      </c>
      <c r="AJ343" s="161" t="e">
        <f t="shared" ca="1" si="127"/>
        <v>#N/A</v>
      </c>
      <c r="AK343" s="161" t="e">
        <f t="shared" ca="1" si="128"/>
        <v>#N/A</v>
      </c>
      <c r="AL343" s="161">
        <f ca="1">IF(Y343&gt;(Preenchimento!$AA$90*12),0,Fixa!Y343)</f>
        <v>0</v>
      </c>
      <c r="AM343" s="161">
        <f t="shared" ca="1" si="134"/>
        <v>12</v>
      </c>
      <c r="AN343" s="199">
        <f ca="1">IF(AQ343&gt;Preenchimento!$AA$90*12,0,1)</f>
        <v>0</v>
      </c>
      <c r="AO343" s="161" t="e">
        <f ca="1">1/((1+SAC!$AD$29)^AL343)</f>
        <v>#N/A</v>
      </c>
      <c r="AP343" s="82" t="e">
        <f t="shared" ca="1" si="135"/>
        <v>#N/A</v>
      </c>
      <c r="AQ343" s="82">
        <v>318</v>
      </c>
      <c r="AS343" s="477">
        <f t="shared" ca="1" si="129"/>
        <v>0</v>
      </c>
    </row>
    <row r="344" spans="1:45">
      <c r="A344" s="53">
        <v>319</v>
      </c>
      <c r="B344" s="249">
        <f ca="1">DATE(IF(MONTH(B343)=12,YEAR(B343)+1,YEAR(B343)),IF(MONTH(B343)=12,1,MONTH(B343)+1),MIN(DAY(Condições!$C$109),IF(IF(MONTH(B343)=12,1,MONTH(B343)+1)=2,IF(MOD(IF(MONTH(B343)=12,YEAR(B343)+1,YEAR(B343)),4)=0,29,28),IF(OR(IF(MONTH(B343)=12,1,MONTH(B343)+1)=4,IF(MONTH(B343)=12,1,MONTH(B343)+1)=6,IF(MONTH(B343)=12,1,MONTH(B343)+1)=9,IF(MONTH(B343)=12,1,MONTH(B343)+1)=11),30,DAY($B$25)))))</f>
        <v>55900</v>
      </c>
      <c r="C344" s="250" t="str">
        <f t="shared" si="114"/>
        <v/>
      </c>
      <c r="D344" s="251" t="e">
        <f t="shared" si="115"/>
        <v>#N/A</v>
      </c>
      <c r="E344" s="251">
        <f t="shared" si="116"/>
        <v>0</v>
      </c>
      <c r="F344" s="251">
        <f t="shared" si="117"/>
        <v>0</v>
      </c>
      <c r="G344" s="251">
        <f t="shared" si="118"/>
        <v>0</v>
      </c>
      <c r="H344" s="251" t="e">
        <f t="shared" si="119"/>
        <v>#VALUE!</v>
      </c>
      <c r="I344" s="251">
        <f t="shared" si="120"/>
        <v>0</v>
      </c>
      <c r="J344" s="251">
        <f t="shared" si="130"/>
        <v>0</v>
      </c>
      <c r="K344" s="251">
        <f t="shared" si="121"/>
        <v>0</v>
      </c>
      <c r="M344" s="224"/>
      <c r="N344" s="225">
        <f t="shared" si="122"/>
        <v>0</v>
      </c>
      <c r="O344" s="251" t="e">
        <f t="shared" si="123"/>
        <v>#N/A</v>
      </c>
      <c r="P344" s="251">
        <f t="shared" si="131"/>
        <v>0</v>
      </c>
      <c r="Q344" s="251">
        <f t="shared" si="124"/>
        <v>0</v>
      </c>
      <c r="R344" s="251">
        <f t="shared" si="125"/>
        <v>0</v>
      </c>
      <c r="S344" s="251" t="e">
        <f t="shared" si="126"/>
        <v>#VALUE!</v>
      </c>
      <c r="T344" s="251">
        <f t="shared" si="113"/>
        <v>0</v>
      </c>
      <c r="U344" s="252">
        <f>TRUNC(T344*Condições!$C$102,2)</f>
        <v>0</v>
      </c>
      <c r="V344" s="199">
        <f t="shared" si="132"/>
        <v>0</v>
      </c>
      <c r="W344" s="161" t="e">
        <f t="shared" si="136"/>
        <v>#N/A</v>
      </c>
      <c r="X344" s="161" t="e">
        <f t="shared" si="137"/>
        <v>#N/A</v>
      </c>
      <c r="Y344" s="161">
        <f t="shared" si="138"/>
        <v>319</v>
      </c>
      <c r="Z344" s="161">
        <f t="shared" ca="1" si="139"/>
        <v>1</v>
      </c>
      <c r="AG344" s="114">
        <f t="shared" si="133"/>
        <v>0</v>
      </c>
      <c r="AH344" s="113"/>
      <c r="AI344" s="199">
        <f ca="1">IF(AL344=0,0,IF(AL344&gt;Preenchimento!$AA$88*12,0,IF($AC$53=AM344,0,1)))</f>
        <v>0</v>
      </c>
      <c r="AJ344" s="161" t="e">
        <f t="shared" ca="1" si="127"/>
        <v>#N/A</v>
      </c>
      <c r="AK344" s="161" t="e">
        <f t="shared" ca="1" si="128"/>
        <v>#N/A</v>
      </c>
      <c r="AL344" s="161">
        <f ca="1">IF(Y344&gt;(Preenchimento!$AA$90*12),0,Fixa!Y344)</f>
        <v>0</v>
      </c>
      <c r="AM344" s="161">
        <f t="shared" ca="1" si="134"/>
        <v>1</v>
      </c>
      <c r="AN344" s="199">
        <f ca="1">IF(AQ344&gt;Preenchimento!$AA$90*12,0,1)</f>
        <v>0</v>
      </c>
      <c r="AO344" s="161" t="e">
        <f ca="1">1/((1+SAC!$AD$29)^AL344)</f>
        <v>#N/A</v>
      </c>
      <c r="AP344" s="82" t="e">
        <f t="shared" ca="1" si="135"/>
        <v>#N/A</v>
      </c>
      <c r="AQ344" s="82">
        <v>319</v>
      </c>
      <c r="AS344" s="477">
        <f t="shared" ca="1" si="129"/>
        <v>0</v>
      </c>
    </row>
    <row r="345" spans="1:45">
      <c r="A345" s="53">
        <v>320</v>
      </c>
      <c r="B345" s="249">
        <f ca="1">DATE(IF(MONTH(B344)=12,YEAR(B344)+1,YEAR(B344)),IF(MONTH(B344)=12,1,MONTH(B344)+1),MIN(DAY(Condições!$C$109),IF(IF(MONTH(B344)=12,1,MONTH(B344)+1)=2,IF(MOD(IF(MONTH(B344)=12,YEAR(B344)+1,YEAR(B344)),4)=0,29,28),IF(OR(IF(MONTH(B344)=12,1,MONTH(B344)+1)=4,IF(MONTH(B344)=12,1,MONTH(B344)+1)=6,IF(MONTH(B344)=12,1,MONTH(B344)+1)=9,IF(MONTH(B344)=12,1,MONTH(B344)+1)=11),30,DAY($B$25)))))</f>
        <v>55931</v>
      </c>
      <c r="C345" s="250" t="str">
        <f t="shared" si="114"/>
        <v/>
      </c>
      <c r="D345" s="251" t="e">
        <f t="shared" si="115"/>
        <v>#N/A</v>
      </c>
      <c r="E345" s="251">
        <f t="shared" si="116"/>
        <v>0</v>
      </c>
      <c r="F345" s="251">
        <f t="shared" si="117"/>
        <v>0</v>
      </c>
      <c r="G345" s="251">
        <f t="shared" si="118"/>
        <v>0</v>
      </c>
      <c r="H345" s="251" t="e">
        <f t="shared" si="119"/>
        <v>#VALUE!</v>
      </c>
      <c r="I345" s="251">
        <f t="shared" si="120"/>
        <v>0</v>
      </c>
      <c r="J345" s="251">
        <f t="shared" si="130"/>
        <v>0</v>
      </c>
      <c r="K345" s="251">
        <f t="shared" si="121"/>
        <v>0</v>
      </c>
      <c r="M345" s="224"/>
      <c r="N345" s="225">
        <f t="shared" si="122"/>
        <v>0</v>
      </c>
      <c r="O345" s="251" t="e">
        <f t="shared" si="123"/>
        <v>#N/A</v>
      </c>
      <c r="P345" s="251">
        <f t="shared" si="131"/>
        <v>0</v>
      </c>
      <c r="Q345" s="251">
        <f t="shared" si="124"/>
        <v>0</v>
      </c>
      <c r="R345" s="251">
        <f t="shared" si="125"/>
        <v>0</v>
      </c>
      <c r="S345" s="251" t="e">
        <f t="shared" si="126"/>
        <v>#VALUE!</v>
      </c>
      <c r="T345" s="251">
        <f t="shared" ref="T345:T408" si="140">IF(C345&gt;=$AC$46,0,ROUND(IF(Y345&gt;$AC$46,"",$AC$51*$AC$44),$P$18))</f>
        <v>0</v>
      </c>
      <c r="U345" s="252">
        <f>TRUNC(T345*Condições!$C$102,2)</f>
        <v>0</v>
      </c>
      <c r="V345" s="199">
        <f t="shared" si="132"/>
        <v>0</v>
      </c>
      <c r="W345" s="161" t="e">
        <f t="shared" si="136"/>
        <v>#N/A</v>
      </c>
      <c r="X345" s="161" t="e">
        <f t="shared" si="137"/>
        <v>#N/A</v>
      </c>
      <c r="Y345" s="161">
        <f t="shared" si="138"/>
        <v>320</v>
      </c>
      <c r="Z345" s="161">
        <f t="shared" ca="1" si="139"/>
        <v>2</v>
      </c>
      <c r="AG345" s="114">
        <f t="shared" si="133"/>
        <v>0</v>
      </c>
      <c r="AH345" s="113"/>
      <c r="AI345" s="199">
        <f ca="1">IF(AL345=0,0,IF(AL345&gt;Preenchimento!$AA$88*12,0,IF($AC$53=AM345,0,1)))</f>
        <v>0</v>
      </c>
      <c r="AJ345" s="161" t="e">
        <f t="shared" ca="1" si="127"/>
        <v>#N/A</v>
      </c>
      <c r="AK345" s="161" t="e">
        <f t="shared" ca="1" si="128"/>
        <v>#N/A</v>
      </c>
      <c r="AL345" s="161">
        <f ca="1">IF(Y345&gt;(Preenchimento!$AA$90*12),0,Fixa!Y345)</f>
        <v>0</v>
      </c>
      <c r="AM345" s="161">
        <f t="shared" ca="1" si="134"/>
        <v>2</v>
      </c>
      <c r="AN345" s="199">
        <f ca="1">IF(AQ345&gt;Preenchimento!$AA$90*12,0,1)</f>
        <v>0</v>
      </c>
      <c r="AO345" s="161" t="e">
        <f ca="1">1/((1+SAC!$AD$29)^AL345)</f>
        <v>#N/A</v>
      </c>
      <c r="AP345" s="82" t="e">
        <f t="shared" ca="1" si="135"/>
        <v>#N/A</v>
      </c>
      <c r="AQ345" s="82">
        <v>320</v>
      </c>
      <c r="AS345" s="477">
        <f t="shared" ca="1" si="129"/>
        <v>0</v>
      </c>
    </row>
    <row r="346" spans="1:45">
      <c r="A346" s="53">
        <v>321</v>
      </c>
      <c r="B346" s="249">
        <f ca="1">DATE(IF(MONTH(B345)=12,YEAR(B345)+1,YEAR(B345)),IF(MONTH(B345)=12,1,MONTH(B345)+1),MIN(DAY(Condições!$C$109),IF(IF(MONTH(B345)=12,1,MONTH(B345)+1)=2,IF(MOD(IF(MONTH(B345)=12,YEAR(B345)+1,YEAR(B345)),4)=0,29,28),IF(OR(IF(MONTH(B345)=12,1,MONTH(B345)+1)=4,IF(MONTH(B345)=12,1,MONTH(B345)+1)=6,IF(MONTH(B345)=12,1,MONTH(B345)+1)=9,IF(MONTH(B345)=12,1,MONTH(B345)+1)=11),30,DAY($B$25)))))</f>
        <v>55959</v>
      </c>
      <c r="C346" s="250" t="str">
        <f t="shared" ref="C346:C385" si="141">IF(Y346&gt;$AC$46,"",Y346)</f>
        <v/>
      </c>
      <c r="D346" s="251" t="e">
        <f t="shared" ref="D346:D385" si="142">ROUND(O346,2)</f>
        <v>#N/A</v>
      </c>
      <c r="E346" s="251">
        <f t="shared" ref="E346:E385" si="143">ROUND(P346,2)</f>
        <v>0</v>
      </c>
      <c r="F346" s="251">
        <f t="shared" ref="F346:F385" si="144">ROUND(Q346,2)</f>
        <v>0</v>
      </c>
      <c r="G346" s="251">
        <f t="shared" ref="G346:G385" si="145">F346+E346</f>
        <v>0</v>
      </c>
      <c r="H346" s="251" t="e">
        <f t="shared" ref="H346:H385" si="146">ROUND(S346,2)</f>
        <v>#VALUE!</v>
      </c>
      <c r="I346" s="251">
        <f t="shared" ref="I346:I385" si="147">ROUND(T346+U346,2)</f>
        <v>0</v>
      </c>
      <c r="J346" s="251">
        <f t="shared" si="130"/>
        <v>0</v>
      </c>
      <c r="K346" s="251">
        <f t="shared" ref="K346:K385" si="148">IF(C346&gt;$AC$46,0,SUM(G346:J346))</f>
        <v>0</v>
      </c>
      <c r="M346" s="224"/>
      <c r="N346" s="225">
        <f t="shared" ref="N346:N385" si="149">IF(C346&gt;$AC$46,0,(H346+I346)/(1.008^((12*(B346-$B$25))/365)))</f>
        <v>0</v>
      </c>
      <c r="O346" s="251" t="e">
        <f t="shared" ref="O346:O409" si="150">ROUND(O345*(1+$AC$47)-R346,$P$18)</f>
        <v>#N/A</v>
      </c>
      <c r="P346" s="251">
        <f t="shared" si="131"/>
        <v>0</v>
      </c>
      <c r="Q346" s="251">
        <f t="shared" ref="Q346:Q409" si="151">ROUND(IF(V346=0,0,O345*$AC$47),$P$18)</f>
        <v>0</v>
      </c>
      <c r="R346" s="251">
        <f t="shared" ref="R346:R409" si="152">ROUND(IF(V346=0,0,$O$25/$X$18),$P$18)</f>
        <v>0</v>
      </c>
      <c r="S346" s="251" t="e">
        <f t="shared" ref="S346:S409" si="153">ROUND(IF(Y346&gt;$AC$46,"",$AC$52*O346),$P$18)</f>
        <v>#VALUE!</v>
      </c>
      <c r="T346" s="251">
        <f t="shared" si="140"/>
        <v>0</v>
      </c>
      <c r="U346" s="252">
        <f>TRUNC(T346*Condições!$C$102,2)</f>
        <v>0</v>
      </c>
      <c r="V346" s="199">
        <f t="shared" si="132"/>
        <v>0</v>
      </c>
      <c r="W346" s="161" t="e">
        <f t="shared" si="136"/>
        <v>#N/A</v>
      </c>
      <c r="X346" s="161" t="e">
        <f t="shared" si="137"/>
        <v>#N/A</v>
      </c>
      <c r="Y346" s="161">
        <f t="shared" si="138"/>
        <v>321</v>
      </c>
      <c r="Z346" s="161">
        <f t="shared" ca="1" si="139"/>
        <v>3</v>
      </c>
      <c r="AG346" s="114">
        <f t="shared" si="133"/>
        <v>0</v>
      </c>
      <c r="AH346" s="113"/>
      <c r="AI346" s="199">
        <f ca="1">IF(AL346=0,0,IF(AL346&gt;Preenchimento!$AA$88*12,0,IF($AC$53=AM346,0,1)))</f>
        <v>0</v>
      </c>
      <c r="AJ346" s="161" t="e">
        <f t="shared" ref="AJ346:AJ385" ca="1" si="154">1/(1+$AC$47)^AL346</f>
        <v>#N/A</v>
      </c>
      <c r="AK346" s="161" t="e">
        <f t="shared" ref="AK346:AK385" ca="1" si="155">AJ346*AI346</f>
        <v>#N/A</v>
      </c>
      <c r="AL346" s="161">
        <f ca="1">IF(Y346&gt;(Preenchimento!$AA$90*12),0,Fixa!Y346)</f>
        <v>0</v>
      </c>
      <c r="AM346" s="161">
        <f t="shared" ca="1" si="134"/>
        <v>3</v>
      </c>
      <c r="AN346" s="199">
        <f ca="1">IF(AQ346&gt;Preenchimento!$AA$90*12,0,1)</f>
        <v>0</v>
      </c>
      <c r="AO346" s="161" t="e">
        <f ca="1">1/((1+SAC!$AD$29)^AL346)</f>
        <v>#N/A</v>
      </c>
      <c r="AP346" s="82" t="e">
        <f t="shared" ca="1" si="135"/>
        <v>#N/A</v>
      </c>
      <c r="AQ346" s="82">
        <v>321</v>
      </c>
      <c r="AS346" s="477">
        <f t="shared" ref="AS346:AS409" ca="1" si="156">IFERROR(IF(Z345&gt;$AC$46,0,R346),0)</f>
        <v>0</v>
      </c>
    </row>
    <row r="347" spans="1:45">
      <c r="A347" s="53">
        <v>322</v>
      </c>
      <c r="B347" s="249">
        <f ca="1">DATE(IF(MONTH(B346)=12,YEAR(B346)+1,YEAR(B346)),IF(MONTH(B346)=12,1,MONTH(B346)+1),MIN(DAY(Condições!$C$109),IF(IF(MONTH(B346)=12,1,MONTH(B346)+1)=2,IF(MOD(IF(MONTH(B346)=12,YEAR(B346)+1,YEAR(B346)),4)=0,29,28),IF(OR(IF(MONTH(B346)=12,1,MONTH(B346)+1)=4,IF(MONTH(B346)=12,1,MONTH(B346)+1)=6,IF(MONTH(B346)=12,1,MONTH(B346)+1)=9,IF(MONTH(B346)=12,1,MONTH(B346)+1)=11),30,DAY($B$25)))))</f>
        <v>55990</v>
      </c>
      <c r="C347" s="250" t="str">
        <f t="shared" si="141"/>
        <v/>
      </c>
      <c r="D347" s="251" t="e">
        <f t="shared" si="142"/>
        <v>#N/A</v>
      </c>
      <c r="E347" s="251">
        <f t="shared" si="143"/>
        <v>0</v>
      </c>
      <c r="F347" s="251">
        <f t="shared" si="144"/>
        <v>0</v>
      </c>
      <c r="G347" s="251">
        <f t="shared" si="145"/>
        <v>0</v>
      </c>
      <c r="H347" s="251" t="e">
        <f t="shared" si="146"/>
        <v>#VALUE!</v>
      </c>
      <c r="I347" s="251">
        <f t="shared" si="147"/>
        <v>0</v>
      </c>
      <c r="J347" s="251">
        <f t="shared" ref="J347:J385" si="157">IF(V347=0,0,$AC$49)</f>
        <v>0</v>
      </c>
      <c r="K347" s="251">
        <f t="shared" si="148"/>
        <v>0</v>
      </c>
      <c r="M347" s="224"/>
      <c r="N347" s="225">
        <f t="shared" si="149"/>
        <v>0</v>
      </c>
      <c r="O347" s="251" t="e">
        <f t="shared" si="150"/>
        <v>#N/A</v>
      </c>
      <c r="P347" s="251">
        <f t="shared" ref="P347:P385" si="158">ROUND(IF(V347=0,0,R347-Q347),$P$18)</f>
        <v>0</v>
      </c>
      <c r="Q347" s="251">
        <f t="shared" si="151"/>
        <v>0</v>
      </c>
      <c r="R347" s="251">
        <f t="shared" si="152"/>
        <v>0</v>
      </c>
      <c r="S347" s="251" t="e">
        <f t="shared" si="153"/>
        <v>#VALUE!</v>
      </c>
      <c r="T347" s="251">
        <f t="shared" si="140"/>
        <v>0</v>
      </c>
      <c r="U347" s="252">
        <f>TRUNC(T347*Condições!$C$102,2)</f>
        <v>0</v>
      </c>
      <c r="V347" s="199">
        <f t="shared" ref="V347:V385" si="159">IF(Y347&gt;$AC$46,0,IF($AC$53=Z347,0,1))</f>
        <v>0</v>
      </c>
      <c r="W347" s="161" t="e">
        <f t="shared" si="136"/>
        <v>#N/A</v>
      </c>
      <c r="X347" s="161" t="e">
        <f t="shared" si="137"/>
        <v>#N/A</v>
      </c>
      <c r="Y347" s="161">
        <f t="shared" si="138"/>
        <v>322</v>
      </c>
      <c r="Z347" s="161">
        <f t="shared" ca="1" si="139"/>
        <v>4</v>
      </c>
      <c r="AG347" s="114">
        <f t="shared" ref="AG347:AG385" si="160">IF(C347&gt;$AC$46,0,R347+S347+T347+U347+J347)</f>
        <v>0</v>
      </c>
      <c r="AH347" s="113"/>
      <c r="AI347" s="199">
        <f ca="1">IF(AL347=0,0,IF(AL347&gt;Preenchimento!$AA$88*12,0,IF($AC$53=AM347,0,1)))</f>
        <v>0</v>
      </c>
      <c r="AJ347" s="161" t="e">
        <f t="shared" ca="1" si="154"/>
        <v>#N/A</v>
      </c>
      <c r="AK347" s="161" t="e">
        <f t="shared" ca="1" si="155"/>
        <v>#N/A</v>
      </c>
      <c r="AL347" s="161">
        <f ca="1">IF(Y347&gt;(Preenchimento!$AA$90*12),0,Fixa!Y347)</f>
        <v>0</v>
      </c>
      <c r="AM347" s="161">
        <f t="shared" ref="AM347:AM410" ca="1" si="161">IF(AM346=12,1,AM346+1)</f>
        <v>4</v>
      </c>
      <c r="AN347" s="199">
        <f ca="1">IF(AQ347&gt;Preenchimento!$AA$90*12,0,1)</f>
        <v>0</v>
      </c>
      <c r="AO347" s="161" t="e">
        <f ca="1">1/((1+SAC!$AD$29)^AL347)</f>
        <v>#N/A</v>
      </c>
      <c r="AP347" s="82" t="e">
        <f t="shared" ref="AP347:AP385" ca="1" si="162">AO347*AN347</f>
        <v>#N/A</v>
      </c>
      <c r="AQ347" s="82">
        <v>322</v>
      </c>
      <c r="AS347" s="477">
        <f t="shared" ca="1" si="156"/>
        <v>0</v>
      </c>
    </row>
    <row r="348" spans="1:45">
      <c r="A348" s="53">
        <v>323</v>
      </c>
      <c r="B348" s="249">
        <f ca="1">DATE(IF(MONTH(B347)=12,YEAR(B347)+1,YEAR(B347)),IF(MONTH(B347)=12,1,MONTH(B347)+1),MIN(DAY(Condições!$C$109),IF(IF(MONTH(B347)=12,1,MONTH(B347)+1)=2,IF(MOD(IF(MONTH(B347)=12,YEAR(B347)+1,YEAR(B347)),4)=0,29,28),IF(OR(IF(MONTH(B347)=12,1,MONTH(B347)+1)=4,IF(MONTH(B347)=12,1,MONTH(B347)+1)=6,IF(MONTH(B347)=12,1,MONTH(B347)+1)=9,IF(MONTH(B347)=12,1,MONTH(B347)+1)=11),30,DAY($B$25)))))</f>
        <v>56020</v>
      </c>
      <c r="C348" s="250" t="str">
        <f t="shared" si="141"/>
        <v/>
      </c>
      <c r="D348" s="251" t="e">
        <f t="shared" si="142"/>
        <v>#N/A</v>
      </c>
      <c r="E348" s="251">
        <f t="shared" si="143"/>
        <v>0</v>
      </c>
      <c r="F348" s="251">
        <f t="shared" si="144"/>
        <v>0</v>
      </c>
      <c r="G348" s="251">
        <f t="shared" si="145"/>
        <v>0</v>
      </c>
      <c r="H348" s="251" t="e">
        <f t="shared" si="146"/>
        <v>#VALUE!</v>
      </c>
      <c r="I348" s="251">
        <f t="shared" si="147"/>
        <v>0</v>
      </c>
      <c r="J348" s="251">
        <f t="shared" si="157"/>
        <v>0</v>
      </c>
      <c r="K348" s="251">
        <f t="shared" si="148"/>
        <v>0</v>
      </c>
      <c r="M348" s="224"/>
      <c r="N348" s="225">
        <f t="shared" si="149"/>
        <v>0</v>
      </c>
      <c r="O348" s="251" t="e">
        <f t="shared" si="150"/>
        <v>#N/A</v>
      </c>
      <c r="P348" s="251">
        <f t="shared" si="158"/>
        <v>0</v>
      </c>
      <c r="Q348" s="251">
        <f t="shared" si="151"/>
        <v>0</v>
      </c>
      <c r="R348" s="251">
        <f t="shared" si="152"/>
        <v>0</v>
      </c>
      <c r="S348" s="251" t="e">
        <f t="shared" si="153"/>
        <v>#VALUE!</v>
      </c>
      <c r="T348" s="251">
        <f t="shared" si="140"/>
        <v>0</v>
      </c>
      <c r="U348" s="252">
        <f>TRUNC(T348*Condições!$C$102,2)</f>
        <v>0</v>
      </c>
      <c r="V348" s="199">
        <f t="shared" si="159"/>
        <v>0</v>
      </c>
      <c r="W348" s="161" t="e">
        <f t="shared" si="136"/>
        <v>#N/A</v>
      </c>
      <c r="X348" s="161" t="e">
        <f t="shared" si="137"/>
        <v>#N/A</v>
      </c>
      <c r="Y348" s="161">
        <f t="shared" si="138"/>
        <v>323</v>
      </c>
      <c r="Z348" s="161">
        <f t="shared" ca="1" si="139"/>
        <v>5</v>
      </c>
      <c r="AG348" s="114">
        <f t="shared" si="160"/>
        <v>0</v>
      </c>
      <c r="AH348" s="113"/>
      <c r="AI348" s="199">
        <f ca="1">IF(AL348=0,0,IF(AL348&gt;Preenchimento!$AA$88*12,0,IF($AC$53=AM348,0,1)))</f>
        <v>0</v>
      </c>
      <c r="AJ348" s="161" t="e">
        <f t="shared" ca="1" si="154"/>
        <v>#N/A</v>
      </c>
      <c r="AK348" s="161" t="e">
        <f t="shared" ca="1" si="155"/>
        <v>#N/A</v>
      </c>
      <c r="AL348" s="161">
        <f ca="1">IF(Y348&gt;(Preenchimento!$AA$90*12),0,Fixa!Y348)</f>
        <v>0</v>
      </c>
      <c r="AM348" s="161">
        <f t="shared" ca="1" si="161"/>
        <v>5</v>
      </c>
      <c r="AN348" s="199">
        <f ca="1">IF(AQ348&gt;Preenchimento!$AA$90*12,0,1)</f>
        <v>0</v>
      </c>
      <c r="AO348" s="161" t="e">
        <f ca="1">1/((1+SAC!$AD$29)^AL348)</f>
        <v>#N/A</v>
      </c>
      <c r="AP348" s="82" t="e">
        <f t="shared" ca="1" si="162"/>
        <v>#N/A</v>
      </c>
      <c r="AQ348" s="82">
        <v>323</v>
      </c>
      <c r="AS348" s="477">
        <f t="shared" ca="1" si="156"/>
        <v>0</v>
      </c>
    </row>
    <row r="349" spans="1:45">
      <c r="A349" s="53">
        <v>324</v>
      </c>
      <c r="B349" s="249">
        <f ca="1">DATE(IF(MONTH(B348)=12,YEAR(B348)+1,YEAR(B348)),IF(MONTH(B348)=12,1,MONTH(B348)+1),MIN(DAY(Condições!$C$109),IF(IF(MONTH(B348)=12,1,MONTH(B348)+1)=2,IF(MOD(IF(MONTH(B348)=12,YEAR(B348)+1,YEAR(B348)),4)=0,29,28),IF(OR(IF(MONTH(B348)=12,1,MONTH(B348)+1)=4,IF(MONTH(B348)=12,1,MONTH(B348)+1)=6,IF(MONTH(B348)=12,1,MONTH(B348)+1)=9,IF(MONTH(B348)=12,1,MONTH(B348)+1)=11),30,DAY($B$25)))))</f>
        <v>56051</v>
      </c>
      <c r="C349" s="250" t="str">
        <f t="shared" si="141"/>
        <v/>
      </c>
      <c r="D349" s="251" t="e">
        <f t="shared" si="142"/>
        <v>#N/A</v>
      </c>
      <c r="E349" s="251">
        <f t="shared" si="143"/>
        <v>0</v>
      </c>
      <c r="F349" s="251">
        <f t="shared" si="144"/>
        <v>0</v>
      </c>
      <c r="G349" s="251">
        <f t="shared" si="145"/>
        <v>0</v>
      </c>
      <c r="H349" s="251" t="e">
        <f t="shared" si="146"/>
        <v>#VALUE!</v>
      </c>
      <c r="I349" s="251">
        <f t="shared" si="147"/>
        <v>0</v>
      </c>
      <c r="J349" s="251">
        <f t="shared" si="157"/>
        <v>0</v>
      </c>
      <c r="K349" s="251">
        <f t="shared" si="148"/>
        <v>0</v>
      </c>
      <c r="M349" s="224"/>
      <c r="N349" s="225">
        <f t="shared" si="149"/>
        <v>0</v>
      </c>
      <c r="O349" s="251" t="e">
        <f t="shared" si="150"/>
        <v>#N/A</v>
      </c>
      <c r="P349" s="251">
        <f t="shared" si="158"/>
        <v>0</v>
      </c>
      <c r="Q349" s="251">
        <f t="shared" si="151"/>
        <v>0</v>
      </c>
      <c r="R349" s="251">
        <f t="shared" si="152"/>
        <v>0</v>
      </c>
      <c r="S349" s="251" t="e">
        <f t="shared" si="153"/>
        <v>#VALUE!</v>
      </c>
      <c r="T349" s="251">
        <f t="shared" si="140"/>
        <v>0</v>
      </c>
      <c r="U349" s="252">
        <f>TRUNC(T349*Condições!$C$102,2)</f>
        <v>0</v>
      </c>
      <c r="V349" s="199">
        <f t="shared" si="159"/>
        <v>0</v>
      </c>
      <c r="W349" s="161" t="e">
        <f t="shared" si="136"/>
        <v>#N/A</v>
      </c>
      <c r="X349" s="161" t="e">
        <f t="shared" si="137"/>
        <v>#N/A</v>
      </c>
      <c r="Y349" s="161">
        <f t="shared" si="138"/>
        <v>324</v>
      </c>
      <c r="Z349" s="161">
        <f t="shared" ca="1" si="139"/>
        <v>6</v>
      </c>
      <c r="AG349" s="114">
        <f t="shared" si="160"/>
        <v>0</v>
      </c>
      <c r="AH349" s="113"/>
      <c r="AI349" s="199">
        <f ca="1">IF(AL349=0,0,IF(AL349&gt;Preenchimento!$AA$88*12,0,IF($AC$53=AM349,0,1)))</f>
        <v>0</v>
      </c>
      <c r="AJ349" s="161" t="e">
        <f t="shared" ca="1" si="154"/>
        <v>#N/A</v>
      </c>
      <c r="AK349" s="161" t="e">
        <f t="shared" ca="1" si="155"/>
        <v>#N/A</v>
      </c>
      <c r="AL349" s="161">
        <f ca="1">IF(Y349&gt;(Preenchimento!$AA$90*12),0,Fixa!Y349)</f>
        <v>0</v>
      </c>
      <c r="AM349" s="161">
        <f t="shared" ca="1" si="161"/>
        <v>6</v>
      </c>
      <c r="AN349" s="199">
        <f ca="1">IF(AQ349&gt;Preenchimento!$AA$90*12,0,1)</f>
        <v>0</v>
      </c>
      <c r="AO349" s="161" t="e">
        <f ca="1">1/((1+SAC!$AD$29)^AL349)</f>
        <v>#N/A</v>
      </c>
      <c r="AP349" s="82" t="e">
        <f t="shared" ca="1" si="162"/>
        <v>#N/A</v>
      </c>
      <c r="AQ349" s="82">
        <v>324</v>
      </c>
      <c r="AS349" s="477">
        <f t="shared" ca="1" si="156"/>
        <v>0</v>
      </c>
    </row>
    <row r="350" spans="1:45">
      <c r="A350" s="53">
        <v>325</v>
      </c>
      <c r="B350" s="249">
        <f ca="1">DATE(IF(MONTH(B349)=12,YEAR(B349)+1,YEAR(B349)),IF(MONTH(B349)=12,1,MONTH(B349)+1),MIN(DAY(Condições!$C$109),IF(IF(MONTH(B349)=12,1,MONTH(B349)+1)=2,IF(MOD(IF(MONTH(B349)=12,YEAR(B349)+1,YEAR(B349)),4)=0,29,28),IF(OR(IF(MONTH(B349)=12,1,MONTH(B349)+1)=4,IF(MONTH(B349)=12,1,MONTH(B349)+1)=6,IF(MONTH(B349)=12,1,MONTH(B349)+1)=9,IF(MONTH(B349)=12,1,MONTH(B349)+1)=11),30,DAY($B$25)))))</f>
        <v>56081</v>
      </c>
      <c r="C350" s="250" t="str">
        <f t="shared" si="141"/>
        <v/>
      </c>
      <c r="D350" s="251" t="e">
        <f t="shared" si="142"/>
        <v>#N/A</v>
      </c>
      <c r="E350" s="251">
        <f t="shared" si="143"/>
        <v>0</v>
      </c>
      <c r="F350" s="251">
        <f t="shared" si="144"/>
        <v>0</v>
      </c>
      <c r="G350" s="251">
        <f t="shared" si="145"/>
        <v>0</v>
      </c>
      <c r="H350" s="251" t="e">
        <f t="shared" si="146"/>
        <v>#VALUE!</v>
      </c>
      <c r="I350" s="251">
        <f t="shared" si="147"/>
        <v>0</v>
      </c>
      <c r="J350" s="251">
        <f t="shared" si="157"/>
        <v>0</v>
      </c>
      <c r="K350" s="251">
        <f t="shared" si="148"/>
        <v>0</v>
      </c>
      <c r="M350" s="224"/>
      <c r="N350" s="225">
        <f t="shared" si="149"/>
        <v>0</v>
      </c>
      <c r="O350" s="251" t="e">
        <f t="shared" si="150"/>
        <v>#N/A</v>
      </c>
      <c r="P350" s="251">
        <f t="shared" si="158"/>
        <v>0</v>
      </c>
      <c r="Q350" s="251">
        <f t="shared" si="151"/>
        <v>0</v>
      </c>
      <c r="R350" s="251">
        <f t="shared" si="152"/>
        <v>0</v>
      </c>
      <c r="S350" s="251" t="e">
        <f t="shared" si="153"/>
        <v>#VALUE!</v>
      </c>
      <c r="T350" s="251">
        <f t="shared" si="140"/>
        <v>0</v>
      </c>
      <c r="U350" s="252">
        <f>TRUNC(T350*Condições!$C$102,2)</f>
        <v>0</v>
      </c>
      <c r="V350" s="199">
        <f t="shared" si="159"/>
        <v>0</v>
      </c>
      <c r="W350" s="161" t="e">
        <f t="shared" si="136"/>
        <v>#N/A</v>
      </c>
      <c r="X350" s="161" t="e">
        <f t="shared" si="137"/>
        <v>#N/A</v>
      </c>
      <c r="Y350" s="161">
        <f t="shared" si="138"/>
        <v>325</v>
      </c>
      <c r="Z350" s="161">
        <f t="shared" ca="1" si="139"/>
        <v>7</v>
      </c>
      <c r="AG350" s="114">
        <f t="shared" si="160"/>
        <v>0</v>
      </c>
      <c r="AH350" s="113"/>
      <c r="AI350" s="199">
        <f ca="1">IF(AL350=0,0,IF(AL350&gt;Preenchimento!$AA$88*12,0,IF($AC$53=AM350,0,1)))</f>
        <v>0</v>
      </c>
      <c r="AJ350" s="161" t="e">
        <f t="shared" ca="1" si="154"/>
        <v>#N/A</v>
      </c>
      <c r="AK350" s="161" t="e">
        <f t="shared" ca="1" si="155"/>
        <v>#N/A</v>
      </c>
      <c r="AL350" s="161">
        <f ca="1">IF(Y350&gt;(Preenchimento!$AA$90*12),0,Fixa!Y350)</f>
        <v>0</v>
      </c>
      <c r="AM350" s="161">
        <f t="shared" ca="1" si="161"/>
        <v>7</v>
      </c>
      <c r="AN350" s="199">
        <f ca="1">IF(AQ350&gt;Preenchimento!$AA$90*12,0,1)</f>
        <v>0</v>
      </c>
      <c r="AO350" s="161" t="e">
        <f ca="1">1/((1+SAC!$AD$29)^AL350)</f>
        <v>#N/A</v>
      </c>
      <c r="AP350" s="82" t="e">
        <f t="shared" ca="1" si="162"/>
        <v>#N/A</v>
      </c>
      <c r="AQ350" s="82">
        <v>325</v>
      </c>
      <c r="AS350" s="477">
        <f t="shared" ca="1" si="156"/>
        <v>0</v>
      </c>
    </row>
    <row r="351" spans="1:45">
      <c r="A351" s="53">
        <v>326</v>
      </c>
      <c r="B351" s="249">
        <f ca="1">DATE(IF(MONTH(B350)=12,YEAR(B350)+1,YEAR(B350)),IF(MONTH(B350)=12,1,MONTH(B350)+1),MIN(DAY(Condições!$C$109),IF(IF(MONTH(B350)=12,1,MONTH(B350)+1)=2,IF(MOD(IF(MONTH(B350)=12,YEAR(B350)+1,YEAR(B350)),4)=0,29,28),IF(OR(IF(MONTH(B350)=12,1,MONTH(B350)+1)=4,IF(MONTH(B350)=12,1,MONTH(B350)+1)=6,IF(MONTH(B350)=12,1,MONTH(B350)+1)=9,IF(MONTH(B350)=12,1,MONTH(B350)+1)=11),30,DAY($B$25)))))</f>
        <v>56112</v>
      </c>
      <c r="C351" s="250" t="str">
        <f t="shared" si="141"/>
        <v/>
      </c>
      <c r="D351" s="251" t="e">
        <f t="shared" si="142"/>
        <v>#N/A</v>
      </c>
      <c r="E351" s="251">
        <f t="shared" si="143"/>
        <v>0</v>
      </c>
      <c r="F351" s="251">
        <f t="shared" si="144"/>
        <v>0</v>
      </c>
      <c r="G351" s="251">
        <f t="shared" si="145"/>
        <v>0</v>
      </c>
      <c r="H351" s="251" t="e">
        <f t="shared" si="146"/>
        <v>#VALUE!</v>
      </c>
      <c r="I351" s="251">
        <f t="shared" si="147"/>
        <v>0</v>
      </c>
      <c r="J351" s="251">
        <f t="shared" si="157"/>
        <v>0</v>
      </c>
      <c r="K351" s="251">
        <f t="shared" si="148"/>
        <v>0</v>
      </c>
      <c r="M351" s="224"/>
      <c r="N351" s="225">
        <f t="shared" si="149"/>
        <v>0</v>
      </c>
      <c r="O351" s="251" t="e">
        <f t="shared" si="150"/>
        <v>#N/A</v>
      </c>
      <c r="P351" s="251">
        <f t="shared" si="158"/>
        <v>0</v>
      </c>
      <c r="Q351" s="251">
        <f t="shared" si="151"/>
        <v>0</v>
      </c>
      <c r="R351" s="251">
        <f t="shared" si="152"/>
        <v>0</v>
      </c>
      <c r="S351" s="251" t="e">
        <f t="shared" si="153"/>
        <v>#VALUE!</v>
      </c>
      <c r="T351" s="251">
        <f t="shared" si="140"/>
        <v>0</v>
      </c>
      <c r="U351" s="252">
        <f>TRUNC(T351*Condições!$C$102,2)</f>
        <v>0</v>
      </c>
      <c r="V351" s="199">
        <f t="shared" si="159"/>
        <v>0</v>
      </c>
      <c r="W351" s="161" t="e">
        <f t="shared" si="136"/>
        <v>#N/A</v>
      </c>
      <c r="X351" s="161" t="e">
        <f t="shared" si="137"/>
        <v>#N/A</v>
      </c>
      <c r="Y351" s="161">
        <f t="shared" si="138"/>
        <v>326</v>
      </c>
      <c r="Z351" s="161">
        <f t="shared" ca="1" si="139"/>
        <v>8</v>
      </c>
      <c r="AG351" s="114">
        <f t="shared" si="160"/>
        <v>0</v>
      </c>
      <c r="AH351" s="113"/>
      <c r="AI351" s="199">
        <f ca="1">IF(AL351=0,0,IF(AL351&gt;Preenchimento!$AA$88*12,0,IF($AC$53=AM351,0,1)))</f>
        <v>0</v>
      </c>
      <c r="AJ351" s="161" t="e">
        <f t="shared" ca="1" si="154"/>
        <v>#N/A</v>
      </c>
      <c r="AK351" s="161" t="e">
        <f t="shared" ca="1" si="155"/>
        <v>#N/A</v>
      </c>
      <c r="AL351" s="161">
        <f ca="1">IF(Y351&gt;(Preenchimento!$AA$90*12),0,Fixa!Y351)</f>
        <v>0</v>
      </c>
      <c r="AM351" s="161">
        <f t="shared" ca="1" si="161"/>
        <v>8</v>
      </c>
      <c r="AN351" s="199">
        <f ca="1">IF(AQ351&gt;Preenchimento!$AA$90*12,0,1)</f>
        <v>0</v>
      </c>
      <c r="AO351" s="161" t="e">
        <f ca="1">1/((1+SAC!$AD$29)^AL351)</f>
        <v>#N/A</v>
      </c>
      <c r="AP351" s="82" t="e">
        <f t="shared" ca="1" si="162"/>
        <v>#N/A</v>
      </c>
      <c r="AQ351" s="82">
        <v>326</v>
      </c>
      <c r="AS351" s="477">
        <f t="shared" ca="1" si="156"/>
        <v>0</v>
      </c>
    </row>
    <row r="352" spans="1:45">
      <c r="A352" s="53">
        <v>327</v>
      </c>
      <c r="B352" s="249">
        <f ca="1">DATE(IF(MONTH(B351)=12,YEAR(B351)+1,YEAR(B351)),IF(MONTH(B351)=12,1,MONTH(B351)+1),MIN(DAY(Condições!$C$109),IF(IF(MONTH(B351)=12,1,MONTH(B351)+1)=2,IF(MOD(IF(MONTH(B351)=12,YEAR(B351)+1,YEAR(B351)),4)=0,29,28),IF(OR(IF(MONTH(B351)=12,1,MONTH(B351)+1)=4,IF(MONTH(B351)=12,1,MONTH(B351)+1)=6,IF(MONTH(B351)=12,1,MONTH(B351)+1)=9,IF(MONTH(B351)=12,1,MONTH(B351)+1)=11),30,DAY($B$25)))))</f>
        <v>56143</v>
      </c>
      <c r="C352" s="250" t="str">
        <f t="shared" si="141"/>
        <v/>
      </c>
      <c r="D352" s="251" t="e">
        <f t="shared" si="142"/>
        <v>#N/A</v>
      </c>
      <c r="E352" s="251">
        <f t="shared" si="143"/>
        <v>0</v>
      </c>
      <c r="F352" s="251">
        <f t="shared" si="144"/>
        <v>0</v>
      </c>
      <c r="G352" s="251">
        <f t="shared" si="145"/>
        <v>0</v>
      </c>
      <c r="H352" s="251" t="e">
        <f t="shared" si="146"/>
        <v>#VALUE!</v>
      </c>
      <c r="I352" s="251">
        <f t="shared" si="147"/>
        <v>0</v>
      </c>
      <c r="J352" s="251">
        <f t="shared" si="157"/>
        <v>0</v>
      </c>
      <c r="K352" s="251">
        <f t="shared" si="148"/>
        <v>0</v>
      </c>
      <c r="M352" s="224"/>
      <c r="N352" s="225">
        <f t="shared" si="149"/>
        <v>0</v>
      </c>
      <c r="O352" s="251" t="e">
        <f t="shared" si="150"/>
        <v>#N/A</v>
      </c>
      <c r="P352" s="251">
        <f t="shared" si="158"/>
        <v>0</v>
      </c>
      <c r="Q352" s="251">
        <f t="shared" si="151"/>
        <v>0</v>
      </c>
      <c r="R352" s="251">
        <f t="shared" si="152"/>
        <v>0</v>
      </c>
      <c r="S352" s="251" t="e">
        <f t="shared" si="153"/>
        <v>#VALUE!</v>
      </c>
      <c r="T352" s="251">
        <f t="shared" si="140"/>
        <v>0</v>
      </c>
      <c r="U352" s="252">
        <f>TRUNC(T352*Condições!$C$102,2)</f>
        <v>0</v>
      </c>
      <c r="V352" s="199">
        <f t="shared" si="159"/>
        <v>0</v>
      </c>
      <c r="W352" s="161" t="e">
        <f t="shared" si="136"/>
        <v>#N/A</v>
      </c>
      <c r="X352" s="161" t="e">
        <f t="shared" si="137"/>
        <v>#N/A</v>
      </c>
      <c r="Y352" s="161">
        <f t="shared" si="138"/>
        <v>327</v>
      </c>
      <c r="Z352" s="161">
        <f t="shared" ca="1" si="139"/>
        <v>9</v>
      </c>
      <c r="AG352" s="114">
        <f t="shared" si="160"/>
        <v>0</v>
      </c>
      <c r="AH352" s="113"/>
      <c r="AI352" s="199">
        <f ca="1">IF(AL352=0,0,IF(AL352&gt;Preenchimento!$AA$88*12,0,IF($AC$53=AM352,0,1)))</f>
        <v>0</v>
      </c>
      <c r="AJ352" s="161" t="e">
        <f t="shared" ca="1" si="154"/>
        <v>#N/A</v>
      </c>
      <c r="AK352" s="161" t="e">
        <f t="shared" ca="1" si="155"/>
        <v>#N/A</v>
      </c>
      <c r="AL352" s="161">
        <f ca="1">IF(Y352&gt;(Preenchimento!$AA$90*12),0,Fixa!Y352)</f>
        <v>0</v>
      </c>
      <c r="AM352" s="161">
        <f t="shared" ca="1" si="161"/>
        <v>9</v>
      </c>
      <c r="AN352" s="199">
        <f ca="1">IF(AQ352&gt;Preenchimento!$AA$90*12,0,1)</f>
        <v>0</v>
      </c>
      <c r="AO352" s="161" t="e">
        <f ca="1">1/((1+SAC!$AD$29)^AL352)</f>
        <v>#N/A</v>
      </c>
      <c r="AP352" s="82" t="e">
        <f t="shared" ca="1" si="162"/>
        <v>#N/A</v>
      </c>
      <c r="AQ352" s="82">
        <v>327</v>
      </c>
      <c r="AS352" s="477">
        <f t="shared" ca="1" si="156"/>
        <v>0</v>
      </c>
    </row>
    <row r="353" spans="1:45">
      <c r="A353" s="53">
        <v>328</v>
      </c>
      <c r="B353" s="249">
        <f ca="1">DATE(IF(MONTH(B352)=12,YEAR(B352)+1,YEAR(B352)),IF(MONTH(B352)=12,1,MONTH(B352)+1),MIN(DAY(Condições!$C$109),IF(IF(MONTH(B352)=12,1,MONTH(B352)+1)=2,IF(MOD(IF(MONTH(B352)=12,YEAR(B352)+1,YEAR(B352)),4)=0,29,28),IF(OR(IF(MONTH(B352)=12,1,MONTH(B352)+1)=4,IF(MONTH(B352)=12,1,MONTH(B352)+1)=6,IF(MONTH(B352)=12,1,MONTH(B352)+1)=9,IF(MONTH(B352)=12,1,MONTH(B352)+1)=11),30,DAY($B$25)))))</f>
        <v>56173</v>
      </c>
      <c r="C353" s="250" t="str">
        <f t="shared" si="141"/>
        <v/>
      </c>
      <c r="D353" s="251" t="e">
        <f t="shared" si="142"/>
        <v>#N/A</v>
      </c>
      <c r="E353" s="251">
        <f t="shared" si="143"/>
        <v>0</v>
      </c>
      <c r="F353" s="251">
        <f t="shared" si="144"/>
        <v>0</v>
      </c>
      <c r="G353" s="251">
        <f t="shared" si="145"/>
        <v>0</v>
      </c>
      <c r="H353" s="251" t="e">
        <f t="shared" si="146"/>
        <v>#VALUE!</v>
      </c>
      <c r="I353" s="251">
        <f t="shared" si="147"/>
        <v>0</v>
      </c>
      <c r="J353" s="251">
        <f t="shared" si="157"/>
        <v>0</v>
      </c>
      <c r="K353" s="251">
        <f t="shared" si="148"/>
        <v>0</v>
      </c>
      <c r="M353" s="224"/>
      <c r="N353" s="225">
        <f t="shared" si="149"/>
        <v>0</v>
      </c>
      <c r="O353" s="251" t="e">
        <f t="shared" si="150"/>
        <v>#N/A</v>
      </c>
      <c r="P353" s="251">
        <f t="shared" si="158"/>
        <v>0</v>
      </c>
      <c r="Q353" s="251">
        <f t="shared" si="151"/>
        <v>0</v>
      </c>
      <c r="R353" s="251">
        <f t="shared" si="152"/>
        <v>0</v>
      </c>
      <c r="S353" s="251" t="e">
        <f t="shared" si="153"/>
        <v>#VALUE!</v>
      </c>
      <c r="T353" s="251">
        <f t="shared" si="140"/>
        <v>0</v>
      </c>
      <c r="U353" s="252">
        <f>TRUNC(T353*Condições!$C$102,2)</f>
        <v>0</v>
      </c>
      <c r="V353" s="199">
        <f t="shared" si="159"/>
        <v>0</v>
      </c>
      <c r="W353" s="161" t="e">
        <f t="shared" si="136"/>
        <v>#N/A</v>
      </c>
      <c r="X353" s="161" t="e">
        <f t="shared" si="137"/>
        <v>#N/A</v>
      </c>
      <c r="Y353" s="161">
        <f t="shared" si="138"/>
        <v>328</v>
      </c>
      <c r="Z353" s="161">
        <f t="shared" ca="1" si="139"/>
        <v>10</v>
      </c>
      <c r="AG353" s="114">
        <f t="shared" si="160"/>
        <v>0</v>
      </c>
      <c r="AH353" s="113"/>
      <c r="AI353" s="199">
        <f ca="1">IF(AL353=0,0,IF(AL353&gt;Preenchimento!$AA$88*12,0,IF($AC$53=AM353,0,1)))</f>
        <v>0</v>
      </c>
      <c r="AJ353" s="161" t="e">
        <f t="shared" ca="1" si="154"/>
        <v>#N/A</v>
      </c>
      <c r="AK353" s="161" t="e">
        <f t="shared" ca="1" si="155"/>
        <v>#N/A</v>
      </c>
      <c r="AL353" s="161">
        <f ca="1">IF(Y353&gt;(Preenchimento!$AA$90*12),0,Fixa!Y353)</f>
        <v>0</v>
      </c>
      <c r="AM353" s="161">
        <f t="shared" ca="1" si="161"/>
        <v>10</v>
      </c>
      <c r="AN353" s="199">
        <f ca="1">IF(AQ353&gt;Preenchimento!$AA$90*12,0,1)</f>
        <v>0</v>
      </c>
      <c r="AO353" s="161" t="e">
        <f ca="1">1/((1+SAC!$AD$29)^AL353)</f>
        <v>#N/A</v>
      </c>
      <c r="AP353" s="82" t="e">
        <f t="shared" ca="1" si="162"/>
        <v>#N/A</v>
      </c>
      <c r="AQ353" s="82">
        <v>328</v>
      </c>
      <c r="AS353" s="477">
        <f t="shared" ca="1" si="156"/>
        <v>0</v>
      </c>
    </row>
    <row r="354" spans="1:45">
      <c r="A354" s="53">
        <v>329</v>
      </c>
      <c r="B354" s="249">
        <f ca="1">DATE(IF(MONTH(B353)=12,YEAR(B353)+1,YEAR(B353)),IF(MONTH(B353)=12,1,MONTH(B353)+1),MIN(DAY(Condições!$C$109),IF(IF(MONTH(B353)=12,1,MONTH(B353)+1)=2,IF(MOD(IF(MONTH(B353)=12,YEAR(B353)+1,YEAR(B353)),4)=0,29,28),IF(OR(IF(MONTH(B353)=12,1,MONTH(B353)+1)=4,IF(MONTH(B353)=12,1,MONTH(B353)+1)=6,IF(MONTH(B353)=12,1,MONTH(B353)+1)=9,IF(MONTH(B353)=12,1,MONTH(B353)+1)=11),30,DAY($B$25)))))</f>
        <v>56204</v>
      </c>
      <c r="C354" s="250" t="str">
        <f t="shared" si="141"/>
        <v/>
      </c>
      <c r="D354" s="251" t="e">
        <f t="shared" si="142"/>
        <v>#N/A</v>
      </c>
      <c r="E354" s="251">
        <f t="shared" si="143"/>
        <v>0</v>
      </c>
      <c r="F354" s="251">
        <f t="shared" si="144"/>
        <v>0</v>
      </c>
      <c r="G354" s="251">
        <f t="shared" si="145"/>
        <v>0</v>
      </c>
      <c r="H354" s="251" t="e">
        <f t="shared" si="146"/>
        <v>#VALUE!</v>
      </c>
      <c r="I354" s="251">
        <f t="shared" si="147"/>
        <v>0</v>
      </c>
      <c r="J354" s="251">
        <f t="shared" si="157"/>
        <v>0</v>
      </c>
      <c r="K354" s="251">
        <f t="shared" si="148"/>
        <v>0</v>
      </c>
      <c r="M354" s="224"/>
      <c r="N354" s="225">
        <f t="shared" si="149"/>
        <v>0</v>
      </c>
      <c r="O354" s="251" t="e">
        <f t="shared" si="150"/>
        <v>#N/A</v>
      </c>
      <c r="P354" s="251">
        <f t="shared" si="158"/>
        <v>0</v>
      </c>
      <c r="Q354" s="251">
        <f t="shared" si="151"/>
        <v>0</v>
      </c>
      <c r="R354" s="251">
        <f t="shared" si="152"/>
        <v>0</v>
      </c>
      <c r="S354" s="251" t="e">
        <f t="shared" si="153"/>
        <v>#VALUE!</v>
      </c>
      <c r="T354" s="251">
        <f t="shared" si="140"/>
        <v>0</v>
      </c>
      <c r="U354" s="252">
        <f>TRUNC(T354*Condições!$C$102,2)</f>
        <v>0</v>
      </c>
      <c r="V354" s="199">
        <f t="shared" si="159"/>
        <v>0</v>
      </c>
      <c r="W354" s="161" t="e">
        <f t="shared" si="136"/>
        <v>#N/A</v>
      </c>
      <c r="X354" s="161" t="e">
        <f t="shared" si="137"/>
        <v>#N/A</v>
      </c>
      <c r="Y354" s="161">
        <f t="shared" si="138"/>
        <v>329</v>
      </c>
      <c r="Z354" s="161">
        <f t="shared" ca="1" si="139"/>
        <v>11</v>
      </c>
      <c r="AG354" s="114">
        <f t="shared" si="160"/>
        <v>0</v>
      </c>
      <c r="AH354" s="113"/>
      <c r="AI354" s="199">
        <f ca="1">IF(AL354=0,0,IF(AL354&gt;Preenchimento!$AA$88*12,0,IF($AC$53=AM354,0,1)))</f>
        <v>0</v>
      </c>
      <c r="AJ354" s="161" t="e">
        <f t="shared" ca="1" si="154"/>
        <v>#N/A</v>
      </c>
      <c r="AK354" s="161" t="e">
        <f t="shared" ca="1" si="155"/>
        <v>#N/A</v>
      </c>
      <c r="AL354" s="161">
        <f ca="1">IF(Y354&gt;(Preenchimento!$AA$90*12),0,Fixa!Y354)</f>
        <v>0</v>
      </c>
      <c r="AM354" s="161">
        <f t="shared" ca="1" si="161"/>
        <v>11</v>
      </c>
      <c r="AN354" s="199">
        <f ca="1">IF(AQ354&gt;Preenchimento!$AA$90*12,0,1)</f>
        <v>0</v>
      </c>
      <c r="AO354" s="161" t="e">
        <f ca="1">1/((1+SAC!$AD$29)^AL354)</f>
        <v>#N/A</v>
      </c>
      <c r="AP354" s="82" t="e">
        <f t="shared" ca="1" si="162"/>
        <v>#N/A</v>
      </c>
      <c r="AQ354" s="82">
        <v>329</v>
      </c>
      <c r="AS354" s="477">
        <f t="shared" ca="1" si="156"/>
        <v>0</v>
      </c>
    </row>
    <row r="355" spans="1:45">
      <c r="A355" s="53">
        <v>330</v>
      </c>
      <c r="B355" s="249">
        <f ca="1">DATE(IF(MONTH(B354)=12,YEAR(B354)+1,YEAR(B354)),IF(MONTH(B354)=12,1,MONTH(B354)+1),MIN(DAY(Condições!$C$109),IF(IF(MONTH(B354)=12,1,MONTH(B354)+1)=2,IF(MOD(IF(MONTH(B354)=12,YEAR(B354)+1,YEAR(B354)),4)=0,29,28),IF(OR(IF(MONTH(B354)=12,1,MONTH(B354)+1)=4,IF(MONTH(B354)=12,1,MONTH(B354)+1)=6,IF(MONTH(B354)=12,1,MONTH(B354)+1)=9,IF(MONTH(B354)=12,1,MONTH(B354)+1)=11),30,DAY($B$25)))))</f>
        <v>56234</v>
      </c>
      <c r="C355" s="250" t="str">
        <f t="shared" si="141"/>
        <v/>
      </c>
      <c r="D355" s="251" t="e">
        <f t="shared" si="142"/>
        <v>#N/A</v>
      </c>
      <c r="E355" s="251">
        <f t="shared" si="143"/>
        <v>0</v>
      </c>
      <c r="F355" s="251">
        <f t="shared" si="144"/>
        <v>0</v>
      </c>
      <c r="G355" s="251">
        <f t="shared" si="145"/>
        <v>0</v>
      </c>
      <c r="H355" s="251" t="e">
        <f t="shared" si="146"/>
        <v>#VALUE!</v>
      </c>
      <c r="I355" s="251">
        <f t="shared" si="147"/>
        <v>0</v>
      </c>
      <c r="J355" s="251">
        <f t="shared" si="157"/>
        <v>0</v>
      </c>
      <c r="K355" s="251">
        <f t="shared" si="148"/>
        <v>0</v>
      </c>
      <c r="M355" s="224"/>
      <c r="N355" s="225">
        <f t="shared" si="149"/>
        <v>0</v>
      </c>
      <c r="O355" s="251" t="e">
        <f t="shared" si="150"/>
        <v>#N/A</v>
      </c>
      <c r="P355" s="251">
        <f t="shared" si="158"/>
        <v>0</v>
      </c>
      <c r="Q355" s="251">
        <f t="shared" si="151"/>
        <v>0</v>
      </c>
      <c r="R355" s="251">
        <f t="shared" si="152"/>
        <v>0</v>
      </c>
      <c r="S355" s="251" t="e">
        <f t="shared" si="153"/>
        <v>#VALUE!</v>
      </c>
      <c r="T355" s="251">
        <f t="shared" si="140"/>
        <v>0</v>
      </c>
      <c r="U355" s="252">
        <f>TRUNC(T355*Condições!$C$102,2)</f>
        <v>0</v>
      </c>
      <c r="V355" s="199">
        <f t="shared" si="159"/>
        <v>0</v>
      </c>
      <c r="W355" s="161" t="e">
        <f t="shared" si="136"/>
        <v>#N/A</v>
      </c>
      <c r="X355" s="161" t="e">
        <f t="shared" si="137"/>
        <v>#N/A</v>
      </c>
      <c r="Y355" s="161">
        <f t="shared" si="138"/>
        <v>330</v>
      </c>
      <c r="Z355" s="161">
        <f t="shared" ca="1" si="139"/>
        <v>12</v>
      </c>
      <c r="AG355" s="114">
        <f t="shared" si="160"/>
        <v>0</v>
      </c>
      <c r="AH355" s="113"/>
      <c r="AI355" s="199">
        <f ca="1">IF(AL355=0,0,IF(AL355&gt;Preenchimento!$AA$88*12,0,IF($AC$53=AM355,0,1)))</f>
        <v>0</v>
      </c>
      <c r="AJ355" s="161" t="e">
        <f t="shared" ca="1" si="154"/>
        <v>#N/A</v>
      </c>
      <c r="AK355" s="161" t="e">
        <f t="shared" ca="1" si="155"/>
        <v>#N/A</v>
      </c>
      <c r="AL355" s="161">
        <f ca="1">IF(Y355&gt;(Preenchimento!$AA$90*12),0,Fixa!Y355)</f>
        <v>0</v>
      </c>
      <c r="AM355" s="161">
        <f t="shared" ca="1" si="161"/>
        <v>12</v>
      </c>
      <c r="AN355" s="199">
        <f ca="1">IF(AQ355&gt;Preenchimento!$AA$90*12,0,1)</f>
        <v>0</v>
      </c>
      <c r="AO355" s="161" t="e">
        <f ca="1">1/((1+SAC!$AD$29)^AL355)</f>
        <v>#N/A</v>
      </c>
      <c r="AP355" s="82" t="e">
        <f t="shared" ca="1" si="162"/>
        <v>#N/A</v>
      </c>
      <c r="AQ355" s="82">
        <v>330</v>
      </c>
      <c r="AS355" s="477">
        <f t="shared" ca="1" si="156"/>
        <v>0</v>
      </c>
    </row>
    <row r="356" spans="1:45">
      <c r="A356" s="53">
        <v>331</v>
      </c>
      <c r="B356" s="249">
        <f ca="1">DATE(IF(MONTH(B355)=12,YEAR(B355)+1,YEAR(B355)),IF(MONTH(B355)=12,1,MONTH(B355)+1),MIN(DAY(Condições!$C$109),IF(IF(MONTH(B355)=12,1,MONTH(B355)+1)=2,IF(MOD(IF(MONTH(B355)=12,YEAR(B355)+1,YEAR(B355)),4)=0,29,28),IF(OR(IF(MONTH(B355)=12,1,MONTH(B355)+1)=4,IF(MONTH(B355)=12,1,MONTH(B355)+1)=6,IF(MONTH(B355)=12,1,MONTH(B355)+1)=9,IF(MONTH(B355)=12,1,MONTH(B355)+1)=11),30,DAY($B$25)))))</f>
        <v>56265</v>
      </c>
      <c r="C356" s="250" t="str">
        <f t="shared" si="141"/>
        <v/>
      </c>
      <c r="D356" s="251" t="e">
        <f t="shared" si="142"/>
        <v>#N/A</v>
      </c>
      <c r="E356" s="251">
        <f t="shared" si="143"/>
        <v>0</v>
      </c>
      <c r="F356" s="251">
        <f t="shared" si="144"/>
        <v>0</v>
      </c>
      <c r="G356" s="251">
        <f t="shared" si="145"/>
        <v>0</v>
      </c>
      <c r="H356" s="251" t="e">
        <f t="shared" si="146"/>
        <v>#VALUE!</v>
      </c>
      <c r="I356" s="251">
        <f t="shared" si="147"/>
        <v>0</v>
      </c>
      <c r="J356" s="251">
        <f t="shared" si="157"/>
        <v>0</v>
      </c>
      <c r="K356" s="251">
        <f t="shared" si="148"/>
        <v>0</v>
      </c>
      <c r="M356" s="224"/>
      <c r="N356" s="225">
        <f t="shared" si="149"/>
        <v>0</v>
      </c>
      <c r="O356" s="251" t="e">
        <f t="shared" si="150"/>
        <v>#N/A</v>
      </c>
      <c r="P356" s="251">
        <f t="shared" si="158"/>
        <v>0</v>
      </c>
      <c r="Q356" s="251">
        <f t="shared" si="151"/>
        <v>0</v>
      </c>
      <c r="R356" s="251">
        <f t="shared" si="152"/>
        <v>0</v>
      </c>
      <c r="S356" s="251" t="e">
        <f t="shared" si="153"/>
        <v>#VALUE!</v>
      </c>
      <c r="T356" s="251">
        <f t="shared" si="140"/>
        <v>0</v>
      </c>
      <c r="U356" s="252">
        <f>TRUNC(T356*Condições!$C$102,2)</f>
        <v>0</v>
      </c>
      <c r="V356" s="199">
        <f t="shared" si="159"/>
        <v>0</v>
      </c>
      <c r="W356" s="161" t="e">
        <f t="shared" si="136"/>
        <v>#N/A</v>
      </c>
      <c r="X356" s="161" t="e">
        <f t="shared" si="137"/>
        <v>#N/A</v>
      </c>
      <c r="Y356" s="161">
        <f t="shared" si="138"/>
        <v>331</v>
      </c>
      <c r="Z356" s="161">
        <f t="shared" ca="1" si="139"/>
        <v>1</v>
      </c>
      <c r="AG356" s="114">
        <f t="shared" si="160"/>
        <v>0</v>
      </c>
      <c r="AH356" s="113"/>
      <c r="AI356" s="199">
        <f ca="1">IF(AL356=0,0,IF(AL356&gt;Preenchimento!$AA$88*12,0,IF($AC$53=AM356,0,1)))</f>
        <v>0</v>
      </c>
      <c r="AJ356" s="161" t="e">
        <f t="shared" ca="1" si="154"/>
        <v>#N/A</v>
      </c>
      <c r="AK356" s="161" t="e">
        <f t="shared" ca="1" si="155"/>
        <v>#N/A</v>
      </c>
      <c r="AL356" s="161">
        <f ca="1">IF(Y356&gt;(Preenchimento!$AA$90*12),0,Fixa!Y356)</f>
        <v>0</v>
      </c>
      <c r="AM356" s="161">
        <f t="shared" ca="1" si="161"/>
        <v>1</v>
      </c>
      <c r="AN356" s="199">
        <f ca="1">IF(AQ356&gt;Preenchimento!$AA$90*12,0,1)</f>
        <v>0</v>
      </c>
      <c r="AO356" s="161" t="e">
        <f ca="1">1/((1+SAC!$AD$29)^AL356)</f>
        <v>#N/A</v>
      </c>
      <c r="AP356" s="82" t="e">
        <f t="shared" ca="1" si="162"/>
        <v>#N/A</v>
      </c>
      <c r="AQ356" s="82">
        <v>331</v>
      </c>
      <c r="AS356" s="477">
        <f t="shared" ca="1" si="156"/>
        <v>0</v>
      </c>
    </row>
    <row r="357" spans="1:45">
      <c r="A357" s="53">
        <v>332</v>
      </c>
      <c r="B357" s="249">
        <f ca="1">DATE(IF(MONTH(B356)=12,YEAR(B356)+1,YEAR(B356)),IF(MONTH(B356)=12,1,MONTH(B356)+1),MIN(DAY(Condições!$C$109),IF(IF(MONTH(B356)=12,1,MONTH(B356)+1)=2,IF(MOD(IF(MONTH(B356)=12,YEAR(B356)+1,YEAR(B356)),4)=0,29,28),IF(OR(IF(MONTH(B356)=12,1,MONTH(B356)+1)=4,IF(MONTH(B356)=12,1,MONTH(B356)+1)=6,IF(MONTH(B356)=12,1,MONTH(B356)+1)=9,IF(MONTH(B356)=12,1,MONTH(B356)+1)=11),30,DAY($B$25)))))</f>
        <v>56296</v>
      </c>
      <c r="C357" s="250" t="str">
        <f t="shared" si="141"/>
        <v/>
      </c>
      <c r="D357" s="251" t="e">
        <f t="shared" si="142"/>
        <v>#N/A</v>
      </c>
      <c r="E357" s="251">
        <f t="shared" si="143"/>
        <v>0</v>
      </c>
      <c r="F357" s="251">
        <f t="shared" si="144"/>
        <v>0</v>
      </c>
      <c r="G357" s="251">
        <f t="shared" si="145"/>
        <v>0</v>
      </c>
      <c r="H357" s="251" t="e">
        <f t="shared" si="146"/>
        <v>#VALUE!</v>
      </c>
      <c r="I357" s="251">
        <f t="shared" si="147"/>
        <v>0</v>
      </c>
      <c r="J357" s="251">
        <f t="shared" si="157"/>
        <v>0</v>
      </c>
      <c r="K357" s="251">
        <f t="shared" si="148"/>
        <v>0</v>
      </c>
      <c r="M357" s="224"/>
      <c r="N357" s="225">
        <f t="shared" si="149"/>
        <v>0</v>
      </c>
      <c r="O357" s="251" t="e">
        <f t="shared" si="150"/>
        <v>#N/A</v>
      </c>
      <c r="P357" s="251">
        <f t="shared" si="158"/>
        <v>0</v>
      </c>
      <c r="Q357" s="251">
        <f t="shared" si="151"/>
        <v>0</v>
      </c>
      <c r="R357" s="251">
        <f t="shared" si="152"/>
        <v>0</v>
      </c>
      <c r="S357" s="251" t="e">
        <f t="shared" si="153"/>
        <v>#VALUE!</v>
      </c>
      <c r="T357" s="251">
        <f t="shared" si="140"/>
        <v>0</v>
      </c>
      <c r="U357" s="252">
        <f>TRUNC(T357*Condições!$C$102,2)</f>
        <v>0</v>
      </c>
      <c r="V357" s="199">
        <f t="shared" si="159"/>
        <v>0</v>
      </c>
      <c r="W357" s="161" t="e">
        <f t="shared" si="136"/>
        <v>#N/A</v>
      </c>
      <c r="X357" s="161" t="e">
        <f t="shared" si="137"/>
        <v>#N/A</v>
      </c>
      <c r="Y357" s="161">
        <f t="shared" si="138"/>
        <v>332</v>
      </c>
      <c r="Z357" s="161">
        <f t="shared" ca="1" si="139"/>
        <v>2</v>
      </c>
      <c r="AG357" s="114">
        <f t="shared" si="160"/>
        <v>0</v>
      </c>
      <c r="AH357" s="113"/>
      <c r="AI357" s="199">
        <f ca="1">IF(AL357=0,0,IF(AL357&gt;Preenchimento!$AA$88*12,0,IF($AC$53=AM357,0,1)))</f>
        <v>0</v>
      </c>
      <c r="AJ357" s="161" t="e">
        <f t="shared" ca="1" si="154"/>
        <v>#N/A</v>
      </c>
      <c r="AK357" s="161" t="e">
        <f t="shared" ca="1" si="155"/>
        <v>#N/A</v>
      </c>
      <c r="AL357" s="161">
        <f ca="1">IF(Y357&gt;(Preenchimento!$AA$90*12),0,Fixa!Y357)</f>
        <v>0</v>
      </c>
      <c r="AM357" s="161">
        <f t="shared" ca="1" si="161"/>
        <v>2</v>
      </c>
      <c r="AN357" s="199">
        <f ca="1">IF(AQ357&gt;Preenchimento!$AA$90*12,0,1)</f>
        <v>0</v>
      </c>
      <c r="AO357" s="161" t="e">
        <f ca="1">1/((1+SAC!$AD$29)^AL357)</f>
        <v>#N/A</v>
      </c>
      <c r="AP357" s="82" t="e">
        <f t="shared" ca="1" si="162"/>
        <v>#N/A</v>
      </c>
      <c r="AQ357" s="82">
        <v>332</v>
      </c>
      <c r="AS357" s="477">
        <f t="shared" ca="1" si="156"/>
        <v>0</v>
      </c>
    </row>
    <row r="358" spans="1:45">
      <c r="A358" s="53">
        <v>333</v>
      </c>
      <c r="B358" s="249">
        <f ca="1">DATE(IF(MONTH(B357)=12,YEAR(B357)+1,YEAR(B357)),IF(MONTH(B357)=12,1,MONTH(B357)+1),MIN(DAY(Condições!$C$109),IF(IF(MONTH(B357)=12,1,MONTH(B357)+1)=2,IF(MOD(IF(MONTH(B357)=12,YEAR(B357)+1,YEAR(B357)),4)=0,29,28),IF(OR(IF(MONTH(B357)=12,1,MONTH(B357)+1)=4,IF(MONTH(B357)=12,1,MONTH(B357)+1)=6,IF(MONTH(B357)=12,1,MONTH(B357)+1)=9,IF(MONTH(B357)=12,1,MONTH(B357)+1)=11),30,DAY($B$25)))))</f>
        <v>56324</v>
      </c>
      <c r="C358" s="250" t="str">
        <f t="shared" si="141"/>
        <v/>
      </c>
      <c r="D358" s="251" t="e">
        <f t="shared" si="142"/>
        <v>#N/A</v>
      </c>
      <c r="E358" s="251">
        <f t="shared" si="143"/>
        <v>0</v>
      </c>
      <c r="F358" s="251">
        <f t="shared" si="144"/>
        <v>0</v>
      </c>
      <c r="G358" s="251">
        <f t="shared" si="145"/>
        <v>0</v>
      </c>
      <c r="H358" s="251" t="e">
        <f t="shared" si="146"/>
        <v>#VALUE!</v>
      </c>
      <c r="I358" s="251">
        <f t="shared" si="147"/>
        <v>0</v>
      </c>
      <c r="J358" s="251">
        <f t="shared" si="157"/>
        <v>0</v>
      </c>
      <c r="K358" s="251">
        <f t="shared" si="148"/>
        <v>0</v>
      </c>
      <c r="M358" s="224"/>
      <c r="N358" s="225">
        <f t="shared" si="149"/>
        <v>0</v>
      </c>
      <c r="O358" s="251" t="e">
        <f t="shared" si="150"/>
        <v>#N/A</v>
      </c>
      <c r="P358" s="251">
        <f t="shared" si="158"/>
        <v>0</v>
      </c>
      <c r="Q358" s="251">
        <f t="shared" si="151"/>
        <v>0</v>
      </c>
      <c r="R358" s="251">
        <f t="shared" si="152"/>
        <v>0</v>
      </c>
      <c r="S358" s="251" t="e">
        <f t="shared" si="153"/>
        <v>#VALUE!</v>
      </c>
      <c r="T358" s="251">
        <f t="shared" si="140"/>
        <v>0</v>
      </c>
      <c r="U358" s="252">
        <f>TRUNC(T358*Condições!$C$102,2)</f>
        <v>0</v>
      </c>
      <c r="V358" s="199">
        <f t="shared" si="159"/>
        <v>0</v>
      </c>
      <c r="W358" s="161" t="e">
        <f t="shared" si="136"/>
        <v>#N/A</v>
      </c>
      <c r="X358" s="161" t="e">
        <f t="shared" si="137"/>
        <v>#N/A</v>
      </c>
      <c r="Y358" s="161">
        <f t="shared" si="138"/>
        <v>333</v>
      </c>
      <c r="Z358" s="161">
        <f t="shared" ca="1" si="139"/>
        <v>3</v>
      </c>
      <c r="AG358" s="114">
        <f t="shared" si="160"/>
        <v>0</v>
      </c>
      <c r="AH358" s="113"/>
      <c r="AI358" s="199">
        <f ca="1">IF(AL358=0,0,IF(AL358&gt;Preenchimento!$AA$88*12,0,IF($AC$53=AM358,0,1)))</f>
        <v>0</v>
      </c>
      <c r="AJ358" s="161" t="e">
        <f t="shared" ca="1" si="154"/>
        <v>#N/A</v>
      </c>
      <c r="AK358" s="161" t="e">
        <f t="shared" ca="1" si="155"/>
        <v>#N/A</v>
      </c>
      <c r="AL358" s="161">
        <f ca="1">IF(Y358&gt;(Preenchimento!$AA$90*12),0,Fixa!Y358)</f>
        <v>0</v>
      </c>
      <c r="AM358" s="161">
        <f t="shared" ca="1" si="161"/>
        <v>3</v>
      </c>
      <c r="AN358" s="199">
        <f ca="1">IF(AQ358&gt;Preenchimento!$AA$90*12,0,1)</f>
        <v>0</v>
      </c>
      <c r="AO358" s="161" t="e">
        <f ca="1">1/((1+SAC!$AD$29)^AL358)</f>
        <v>#N/A</v>
      </c>
      <c r="AP358" s="82" t="e">
        <f t="shared" ca="1" si="162"/>
        <v>#N/A</v>
      </c>
      <c r="AQ358" s="82">
        <v>333</v>
      </c>
      <c r="AS358" s="477">
        <f t="shared" ca="1" si="156"/>
        <v>0</v>
      </c>
    </row>
    <row r="359" spans="1:45">
      <c r="A359" s="53">
        <v>334</v>
      </c>
      <c r="B359" s="249">
        <f ca="1">DATE(IF(MONTH(B358)=12,YEAR(B358)+1,YEAR(B358)),IF(MONTH(B358)=12,1,MONTH(B358)+1),MIN(DAY(Condições!$C$109),IF(IF(MONTH(B358)=12,1,MONTH(B358)+1)=2,IF(MOD(IF(MONTH(B358)=12,YEAR(B358)+1,YEAR(B358)),4)=0,29,28),IF(OR(IF(MONTH(B358)=12,1,MONTH(B358)+1)=4,IF(MONTH(B358)=12,1,MONTH(B358)+1)=6,IF(MONTH(B358)=12,1,MONTH(B358)+1)=9,IF(MONTH(B358)=12,1,MONTH(B358)+1)=11),30,DAY($B$25)))))</f>
        <v>56355</v>
      </c>
      <c r="C359" s="250" t="str">
        <f t="shared" si="141"/>
        <v/>
      </c>
      <c r="D359" s="251" t="e">
        <f t="shared" si="142"/>
        <v>#N/A</v>
      </c>
      <c r="E359" s="251">
        <f t="shared" si="143"/>
        <v>0</v>
      </c>
      <c r="F359" s="251">
        <f t="shared" si="144"/>
        <v>0</v>
      </c>
      <c r="G359" s="251">
        <f t="shared" si="145"/>
        <v>0</v>
      </c>
      <c r="H359" s="251" t="e">
        <f t="shared" si="146"/>
        <v>#VALUE!</v>
      </c>
      <c r="I359" s="251">
        <f t="shared" si="147"/>
        <v>0</v>
      </c>
      <c r="J359" s="251">
        <f t="shared" si="157"/>
        <v>0</v>
      </c>
      <c r="K359" s="251">
        <f t="shared" si="148"/>
        <v>0</v>
      </c>
      <c r="M359" s="224"/>
      <c r="N359" s="225">
        <f t="shared" si="149"/>
        <v>0</v>
      </c>
      <c r="O359" s="251" t="e">
        <f t="shared" si="150"/>
        <v>#N/A</v>
      </c>
      <c r="P359" s="251">
        <f t="shared" si="158"/>
        <v>0</v>
      </c>
      <c r="Q359" s="251">
        <f t="shared" si="151"/>
        <v>0</v>
      </c>
      <c r="R359" s="251">
        <f t="shared" si="152"/>
        <v>0</v>
      </c>
      <c r="S359" s="251" t="e">
        <f t="shared" si="153"/>
        <v>#VALUE!</v>
      </c>
      <c r="T359" s="251">
        <f t="shared" si="140"/>
        <v>0</v>
      </c>
      <c r="U359" s="252">
        <f>TRUNC(T359*Condições!$C$102,2)</f>
        <v>0</v>
      </c>
      <c r="V359" s="199">
        <f t="shared" si="159"/>
        <v>0</v>
      </c>
      <c r="W359" s="161" t="e">
        <f t="shared" si="136"/>
        <v>#N/A</v>
      </c>
      <c r="X359" s="161" t="e">
        <f t="shared" si="137"/>
        <v>#N/A</v>
      </c>
      <c r="Y359" s="161">
        <f t="shared" si="138"/>
        <v>334</v>
      </c>
      <c r="Z359" s="161">
        <f t="shared" ca="1" si="139"/>
        <v>4</v>
      </c>
      <c r="AG359" s="114">
        <f t="shared" si="160"/>
        <v>0</v>
      </c>
      <c r="AH359" s="113"/>
      <c r="AI359" s="199">
        <f ca="1">IF(AL359=0,0,IF(AL359&gt;Preenchimento!$AA$88*12,0,IF($AC$53=AM359,0,1)))</f>
        <v>0</v>
      </c>
      <c r="AJ359" s="161" t="e">
        <f t="shared" ca="1" si="154"/>
        <v>#N/A</v>
      </c>
      <c r="AK359" s="161" t="e">
        <f t="shared" ca="1" si="155"/>
        <v>#N/A</v>
      </c>
      <c r="AL359" s="161">
        <f ca="1">IF(Y359&gt;(Preenchimento!$AA$90*12),0,Fixa!Y359)</f>
        <v>0</v>
      </c>
      <c r="AM359" s="161">
        <f t="shared" ca="1" si="161"/>
        <v>4</v>
      </c>
      <c r="AN359" s="199">
        <f ca="1">IF(AQ359&gt;Preenchimento!$AA$90*12,0,1)</f>
        <v>0</v>
      </c>
      <c r="AO359" s="161" t="e">
        <f ca="1">1/((1+SAC!$AD$29)^AL359)</f>
        <v>#N/A</v>
      </c>
      <c r="AP359" s="82" t="e">
        <f t="shared" ca="1" si="162"/>
        <v>#N/A</v>
      </c>
      <c r="AQ359" s="82">
        <v>334</v>
      </c>
      <c r="AS359" s="477">
        <f t="shared" ca="1" si="156"/>
        <v>0</v>
      </c>
    </row>
    <row r="360" spans="1:45">
      <c r="A360" s="53">
        <v>335</v>
      </c>
      <c r="B360" s="249">
        <f ca="1">DATE(IF(MONTH(B359)=12,YEAR(B359)+1,YEAR(B359)),IF(MONTH(B359)=12,1,MONTH(B359)+1),MIN(DAY(Condições!$C$109),IF(IF(MONTH(B359)=12,1,MONTH(B359)+1)=2,IF(MOD(IF(MONTH(B359)=12,YEAR(B359)+1,YEAR(B359)),4)=0,29,28),IF(OR(IF(MONTH(B359)=12,1,MONTH(B359)+1)=4,IF(MONTH(B359)=12,1,MONTH(B359)+1)=6,IF(MONTH(B359)=12,1,MONTH(B359)+1)=9,IF(MONTH(B359)=12,1,MONTH(B359)+1)=11),30,DAY($B$25)))))</f>
        <v>56385</v>
      </c>
      <c r="C360" s="250" t="str">
        <f t="shared" si="141"/>
        <v/>
      </c>
      <c r="D360" s="251" t="e">
        <f t="shared" si="142"/>
        <v>#N/A</v>
      </c>
      <c r="E360" s="251">
        <f t="shared" si="143"/>
        <v>0</v>
      </c>
      <c r="F360" s="251">
        <f t="shared" si="144"/>
        <v>0</v>
      </c>
      <c r="G360" s="251">
        <f t="shared" si="145"/>
        <v>0</v>
      </c>
      <c r="H360" s="251" t="e">
        <f t="shared" si="146"/>
        <v>#VALUE!</v>
      </c>
      <c r="I360" s="251">
        <f t="shared" si="147"/>
        <v>0</v>
      </c>
      <c r="J360" s="251">
        <f t="shared" si="157"/>
        <v>0</v>
      </c>
      <c r="K360" s="251">
        <f t="shared" si="148"/>
        <v>0</v>
      </c>
      <c r="M360" s="224"/>
      <c r="N360" s="225">
        <f t="shared" si="149"/>
        <v>0</v>
      </c>
      <c r="O360" s="251" t="e">
        <f t="shared" si="150"/>
        <v>#N/A</v>
      </c>
      <c r="P360" s="251">
        <f t="shared" si="158"/>
        <v>0</v>
      </c>
      <c r="Q360" s="251">
        <f t="shared" si="151"/>
        <v>0</v>
      </c>
      <c r="R360" s="251">
        <f t="shared" si="152"/>
        <v>0</v>
      </c>
      <c r="S360" s="251" t="e">
        <f t="shared" si="153"/>
        <v>#VALUE!</v>
      </c>
      <c r="T360" s="251">
        <f t="shared" si="140"/>
        <v>0</v>
      </c>
      <c r="U360" s="252">
        <f>TRUNC(T360*Condições!$C$102,2)</f>
        <v>0</v>
      </c>
      <c r="V360" s="199">
        <f t="shared" si="159"/>
        <v>0</v>
      </c>
      <c r="W360" s="161" t="e">
        <f t="shared" si="136"/>
        <v>#N/A</v>
      </c>
      <c r="X360" s="161" t="e">
        <f t="shared" si="137"/>
        <v>#N/A</v>
      </c>
      <c r="Y360" s="161">
        <f t="shared" si="138"/>
        <v>335</v>
      </c>
      <c r="Z360" s="161">
        <f t="shared" ca="1" si="139"/>
        <v>5</v>
      </c>
      <c r="AG360" s="114">
        <f t="shared" si="160"/>
        <v>0</v>
      </c>
      <c r="AH360" s="113"/>
      <c r="AI360" s="199">
        <f ca="1">IF(AL360=0,0,IF(AL360&gt;Preenchimento!$AA$88*12,0,IF($AC$53=AM360,0,1)))</f>
        <v>0</v>
      </c>
      <c r="AJ360" s="161" t="e">
        <f t="shared" ca="1" si="154"/>
        <v>#N/A</v>
      </c>
      <c r="AK360" s="161" t="e">
        <f t="shared" ca="1" si="155"/>
        <v>#N/A</v>
      </c>
      <c r="AL360" s="161">
        <f ca="1">IF(Y360&gt;(Preenchimento!$AA$90*12),0,Fixa!Y360)</f>
        <v>0</v>
      </c>
      <c r="AM360" s="161">
        <f t="shared" ca="1" si="161"/>
        <v>5</v>
      </c>
      <c r="AN360" s="199">
        <f ca="1">IF(AQ360&gt;Preenchimento!$AA$90*12,0,1)</f>
        <v>0</v>
      </c>
      <c r="AO360" s="161" t="e">
        <f ca="1">1/((1+SAC!$AD$29)^AL360)</f>
        <v>#N/A</v>
      </c>
      <c r="AP360" s="82" t="e">
        <f t="shared" ca="1" si="162"/>
        <v>#N/A</v>
      </c>
      <c r="AQ360" s="82">
        <v>335</v>
      </c>
      <c r="AS360" s="477">
        <f t="shared" ca="1" si="156"/>
        <v>0</v>
      </c>
    </row>
    <row r="361" spans="1:45">
      <c r="A361" s="53">
        <v>336</v>
      </c>
      <c r="B361" s="249">
        <f ca="1">DATE(IF(MONTH(B360)=12,YEAR(B360)+1,YEAR(B360)),IF(MONTH(B360)=12,1,MONTH(B360)+1),MIN(DAY(Condições!$C$109),IF(IF(MONTH(B360)=12,1,MONTH(B360)+1)=2,IF(MOD(IF(MONTH(B360)=12,YEAR(B360)+1,YEAR(B360)),4)=0,29,28),IF(OR(IF(MONTH(B360)=12,1,MONTH(B360)+1)=4,IF(MONTH(B360)=12,1,MONTH(B360)+1)=6,IF(MONTH(B360)=12,1,MONTH(B360)+1)=9,IF(MONTH(B360)=12,1,MONTH(B360)+1)=11),30,DAY($B$25)))))</f>
        <v>56416</v>
      </c>
      <c r="C361" s="250" t="str">
        <f t="shared" si="141"/>
        <v/>
      </c>
      <c r="D361" s="251" t="e">
        <f t="shared" si="142"/>
        <v>#N/A</v>
      </c>
      <c r="E361" s="251">
        <f t="shared" si="143"/>
        <v>0</v>
      </c>
      <c r="F361" s="251">
        <f t="shared" si="144"/>
        <v>0</v>
      </c>
      <c r="G361" s="251">
        <f t="shared" si="145"/>
        <v>0</v>
      </c>
      <c r="H361" s="251" t="e">
        <f t="shared" si="146"/>
        <v>#VALUE!</v>
      </c>
      <c r="I361" s="251">
        <f t="shared" si="147"/>
        <v>0</v>
      </c>
      <c r="J361" s="251">
        <f t="shared" si="157"/>
        <v>0</v>
      </c>
      <c r="K361" s="251">
        <f t="shared" si="148"/>
        <v>0</v>
      </c>
      <c r="M361" s="224"/>
      <c r="N361" s="225">
        <f t="shared" si="149"/>
        <v>0</v>
      </c>
      <c r="O361" s="251" t="e">
        <f t="shared" si="150"/>
        <v>#N/A</v>
      </c>
      <c r="P361" s="251">
        <f t="shared" si="158"/>
        <v>0</v>
      </c>
      <c r="Q361" s="251">
        <f t="shared" si="151"/>
        <v>0</v>
      </c>
      <c r="R361" s="251">
        <f t="shared" si="152"/>
        <v>0</v>
      </c>
      <c r="S361" s="251" t="e">
        <f t="shared" si="153"/>
        <v>#VALUE!</v>
      </c>
      <c r="T361" s="251">
        <f t="shared" si="140"/>
        <v>0</v>
      </c>
      <c r="U361" s="252">
        <f>TRUNC(T361*Condições!$C$102,2)</f>
        <v>0</v>
      </c>
      <c r="V361" s="199">
        <f t="shared" si="159"/>
        <v>0</v>
      </c>
      <c r="W361" s="161" t="e">
        <f t="shared" si="136"/>
        <v>#N/A</v>
      </c>
      <c r="X361" s="161" t="e">
        <f t="shared" si="137"/>
        <v>#N/A</v>
      </c>
      <c r="Y361" s="161">
        <f t="shared" si="138"/>
        <v>336</v>
      </c>
      <c r="Z361" s="161">
        <f t="shared" ca="1" si="139"/>
        <v>6</v>
      </c>
      <c r="AG361" s="114">
        <f t="shared" si="160"/>
        <v>0</v>
      </c>
      <c r="AH361" s="113"/>
      <c r="AI361" s="199">
        <f ca="1">IF(AL361=0,0,IF(AL361&gt;Preenchimento!$AA$88*12,0,IF($AC$53=AM361,0,1)))</f>
        <v>0</v>
      </c>
      <c r="AJ361" s="161" t="e">
        <f t="shared" ca="1" si="154"/>
        <v>#N/A</v>
      </c>
      <c r="AK361" s="161" t="e">
        <f t="shared" ca="1" si="155"/>
        <v>#N/A</v>
      </c>
      <c r="AL361" s="161">
        <f ca="1">IF(Y361&gt;(Preenchimento!$AA$90*12),0,Fixa!Y361)</f>
        <v>0</v>
      </c>
      <c r="AM361" s="161">
        <f t="shared" ca="1" si="161"/>
        <v>6</v>
      </c>
      <c r="AN361" s="199">
        <f ca="1">IF(AQ361&gt;Preenchimento!$AA$90*12,0,1)</f>
        <v>0</v>
      </c>
      <c r="AO361" s="161" t="e">
        <f ca="1">1/((1+SAC!$AD$29)^AL361)</f>
        <v>#N/A</v>
      </c>
      <c r="AP361" s="82" t="e">
        <f t="shared" ca="1" si="162"/>
        <v>#N/A</v>
      </c>
      <c r="AQ361" s="82">
        <v>336</v>
      </c>
      <c r="AS361" s="477">
        <f t="shared" ca="1" si="156"/>
        <v>0</v>
      </c>
    </row>
    <row r="362" spans="1:45">
      <c r="A362" s="53">
        <v>337</v>
      </c>
      <c r="B362" s="249">
        <f ca="1">DATE(IF(MONTH(B361)=12,YEAR(B361)+1,YEAR(B361)),IF(MONTH(B361)=12,1,MONTH(B361)+1),MIN(DAY(Condições!$C$109),IF(IF(MONTH(B361)=12,1,MONTH(B361)+1)=2,IF(MOD(IF(MONTH(B361)=12,YEAR(B361)+1,YEAR(B361)),4)=0,29,28),IF(OR(IF(MONTH(B361)=12,1,MONTH(B361)+1)=4,IF(MONTH(B361)=12,1,MONTH(B361)+1)=6,IF(MONTH(B361)=12,1,MONTH(B361)+1)=9,IF(MONTH(B361)=12,1,MONTH(B361)+1)=11),30,DAY($B$25)))))</f>
        <v>56446</v>
      </c>
      <c r="C362" s="250" t="str">
        <f t="shared" si="141"/>
        <v/>
      </c>
      <c r="D362" s="251" t="e">
        <f t="shared" si="142"/>
        <v>#N/A</v>
      </c>
      <c r="E362" s="251">
        <f t="shared" si="143"/>
        <v>0</v>
      </c>
      <c r="F362" s="251">
        <f t="shared" si="144"/>
        <v>0</v>
      </c>
      <c r="G362" s="251">
        <f t="shared" si="145"/>
        <v>0</v>
      </c>
      <c r="H362" s="251" t="e">
        <f t="shared" si="146"/>
        <v>#VALUE!</v>
      </c>
      <c r="I362" s="251">
        <f t="shared" si="147"/>
        <v>0</v>
      </c>
      <c r="J362" s="251">
        <f t="shared" si="157"/>
        <v>0</v>
      </c>
      <c r="K362" s="251">
        <f t="shared" si="148"/>
        <v>0</v>
      </c>
      <c r="M362" s="224"/>
      <c r="N362" s="225">
        <f t="shared" si="149"/>
        <v>0</v>
      </c>
      <c r="O362" s="251" t="e">
        <f t="shared" si="150"/>
        <v>#N/A</v>
      </c>
      <c r="P362" s="251">
        <f t="shared" si="158"/>
        <v>0</v>
      </c>
      <c r="Q362" s="251">
        <f t="shared" si="151"/>
        <v>0</v>
      </c>
      <c r="R362" s="251">
        <f t="shared" si="152"/>
        <v>0</v>
      </c>
      <c r="S362" s="251" t="e">
        <f t="shared" si="153"/>
        <v>#VALUE!</v>
      </c>
      <c r="T362" s="251">
        <f t="shared" si="140"/>
        <v>0</v>
      </c>
      <c r="U362" s="252">
        <f>TRUNC(T362*Condições!$C$102,2)</f>
        <v>0</v>
      </c>
      <c r="V362" s="199">
        <f t="shared" si="159"/>
        <v>0</v>
      </c>
      <c r="W362" s="161" t="e">
        <f t="shared" si="136"/>
        <v>#N/A</v>
      </c>
      <c r="X362" s="161" t="e">
        <f t="shared" si="137"/>
        <v>#N/A</v>
      </c>
      <c r="Y362" s="161">
        <f t="shared" si="138"/>
        <v>337</v>
      </c>
      <c r="Z362" s="161">
        <f t="shared" ca="1" si="139"/>
        <v>7</v>
      </c>
      <c r="AG362" s="114">
        <f t="shared" si="160"/>
        <v>0</v>
      </c>
      <c r="AH362" s="113"/>
      <c r="AI362" s="199">
        <f ca="1">IF(AL362=0,0,IF(AL362&gt;Preenchimento!$AA$88*12,0,IF($AC$53=AM362,0,1)))</f>
        <v>0</v>
      </c>
      <c r="AJ362" s="161" t="e">
        <f t="shared" ca="1" si="154"/>
        <v>#N/A</v>
      </c>
      <c r="AK362" s="161" t="e">
        <f t="shared" ca="1" si="155"/>
        <v>#N/A</v>
      </c>
      <c r="AL362" s="161">
        <f ca="1">IF(Y362&gt;(Preenchimento!$AA$90*12),0,Fixa!Y362)</f>
        <v>0</v>
      </c>
      <c r="AM362" s="161">
        <f t="shared" ca="1" si="161"/>
        <v>7</v>
      </c>
      <c r="AN362" s="199">
        <f ca="1">IF(AQ362&gt;Preenchimento!$AA$90*12,0,1)</f>
        <v>0</v>
      </c>
      <c r="AO362" s="161" t="e">
        <f ca="1">1/((1+SAC!$AD$29)^AL362)</f>
        <v>#N/A</v>
      </c>
      <c r="AP362" s="82" t="e">
        <f t="shared" ca="1" si="162"/>
        <v>#N/A</v>
      </c>
      <c r="AQ362" s="82">
        <v>337</v>
      </c>
      <c r="AS362" s="477">
        <f t="shared" ca="1" si="156"/>
        <v>0</v>
      </c>
    </row>
    <row r="363" spans="1:45">
      <c r="A363" s="53">
        <v>338</v>
      </c>
      <c r="B363" s="249">
        <f ca="1">DATE(IF(MONTH(B362)=12,YEAR(B362)+1,YEAR(B362)),IF(MONTH(B362)=12,1,MONTH(B362)+1),MIN(DAY(Condições!$C$109),IF(IF(MONTH(B362)=12,1,MONTH(B362)+1)=2,IF(MOD(IF(MONTH(B362)=12,YEAR(B362)+1,YEAR(B362)),4)=0,29,28),IF(OR(IF(MONTH(B362)=12,1,MONTH(B362)+1)=4,IF(MONTH(B362)=12,1,MONTH(B362)+1)=6,IF(MONTH(B362)=12,1,MONTH(B362)+1)=9,IF(MONTH(B362)=12,1,MONTH(B362)+1)=11),30,DAY($B$25)))))</f>
        <v>56477</v>
      </c>
      <c r="C363" s="250" t="str">
        <f t="shared" si="141"/>
        <v/>
      </c>
      <c r="D363" s="251" t="e">
        <f t="shared" si="142"/>
        <v>#N/A</v>
      </c>
      <c r="E363" s="251">
        <f t="shared" si="143"/>
        <v>0</v>
      </c>
      <c r="F363" s="251">
        <f t="shared" si="144"/>
        <v>0</v>
      </c>
      <c r="G363" s="251">
        <f t="shared" si="145"/>
        <v>0</v>
      </c>
      <c r="H363" s="251" t="e">
        <f t="shared" si="146"/>
        <v>#VALUE!</v>
      </c>
      <c r="I363" s="251">
        <f t="shared" si="147"/>
        <v>0</v>
      </c>
      <c r="J363" s="251">
        <f t="shared" si="157"/>
        <v>0</v>
      </c>
      <c r="K363" s="251">
        <f t="shared" si="148"/>
        <v>0</v>
      </c>
      <c r="M363" s="224"/>
      <c r="N363" s="225">
        <f t="shared" si="149"/>
        <v>0</v>
      </c>
      <c r="O363" s="251" t="e">
        <f t="shared" si="150"/>
        <v>#N/A</v>
      </c>
      <c r="P363" s="251">
        <f t="shared" si="158"/>
        <v>0</v>
      </c>
      <c r="Q363" s="251">
        <f t="shared" si="151"/>
        <v>0</v>
      </c>
      <c r="R363" s="251">
        <f t="shared" si="152"/>
        <v>0</v>
      </c>
      <c r="S363" s="251" t="e">
        <f t="shared" si="153"/>
        <v>#VALUE!</v>
      </c>
      <c r="T363" s="251">
        <f t="shared" si="140"/>
        <v>0</v>
      </c>
      <c r="U363" s="252">
        <f>TRUNC(T363*Condições!$C$102,2)</f>
        <v>0</v>
      </c>
      <c r="V363" s="199">
        <f t="shared" si="159"/>
        <v>0</v>
      </c>
      <c r="W363" s="161" t="e">
        <f t="shared" si="136"/>
        <v>#N/A</v>
      </c>
      <c r="X363" s="161" t="e">
        <f t="shared" si="137"/>
        <v>#N/A</v>
      </c>
      <c r="Y363" s="161">
        <f t="shared" si="138"/>
        <v>338</v>
      </c>
      <c r="Z363" s="161">
        <f t="shared" ca="1" si="139"/>
        <v>8</v>
      </c>
      <c r="AG363" s="114">
        <f t="shared" si="160"/>
        <v>0</v>
      </c>
      <c r="AH363" s="113"/>
      <c r="AI363" s="199">
        <f ca="1">IF(AL363=0,0,IF(AL363&gt;Preenchimento!$AA$88*12,0,IF($AC$53=AM363,0,1)))</f>
        <v>0</v>
      </c>
      <c r="AJ363" s="161" t="e">
        <f t="shared" ca="1" si="154"/>
        <v>#N/A</v>
      </c>
      <c r="AK363" s="161" t="e">
        <f t="shared" ca="1" si="155"/>
        <v>#N/A</v>
      </c>
      <c r="AL363" s="161">
        <f ca="1">IF(Y363&gt;(Preenchimento!$AA$90*12),0,Fixa!Y363)</f>
        <v>0</v>
      </c>
      <c r="AM363" s="161">
        <f t="shared" ca="1" si="161"/>
        <v>8</v>
      </c>
      <c r="AN363" s="199">
        <f ca="1">IF(AQ363&gt;Preenchimento!$AA$90*12,0,1)</f>
        <v>0</v>
      </c>
      <c r="AO363" s="161" t="e">
        <f ca="1">1/((1+SAC!$AD$29)^AL363)</f>
        <v>#N/A</v>
      </c>
      <c r="AP363" s="82" t="e">
        <f t="shared" ca="1" si="162"/>
        <v>#N/A</v>
      </c>
      <c r="AQ363" s="82">
        <v>338</v>
      </c>
      <c r="AS363" s="477">
        <f t="shared" ca="1" si="156"/>
        <v>0</v>
      </c>
    </row>
    <row r="364" spans="1:45">
      <c r="A364" s="53">
        <v>339</v>
      </c>
      <c r="B364" s="249">
        <f ca="1">DATE(IF(MONTH(B363)=12,YEAR(B363)+1,YEAR(B363)),IF(MONTH(B363)=12,1,MONTH(B363)+1),MIN(DAY(Condições!$C$109),IF(IF(MONTH(B363)=12,1,MONTH(B363)+1)=2,IF(MOD(IF(MONTH(B363)=12,YEAR(B363)+1,YEAR(B363)),4)=0,29,28),IF(OR(IF(MONTH(B363)=12,1,MONTH(B363)+1)=4,IF(MONTH(B363)=12,1,MONTH(B363)+1)=6,IF(MONTH(B363)=12,1,MONTH(B363)+1)=9,IF(MONTH(B363)=12,1,MONTH(B363)+1)=11),30,DAY($B$25)))))</f>
        <v>56508</v>
      </c>
      <c r="C364" s="250" t="str">
        <f t="shared" si="141"/>
        <v/>
      </c>
      <c r="D364" s="251" t="e">
        <f t="shared" si="142"/>
        <v>#N/A</v>
      </c>
      <c r="E364" s="251">
        <f t="shared" si="143"/>
        <v>0</v>
      </c>
      <c r="F364" s="251">
        <f t="shared" si="144"/>
        <v>0</v>
      </c>
      <c r="G364" s="251">
        <f t="shared" si="145"/>
        <v>0</v>
      </c>
      <c r="H364" s="251" t="e">
        <f t="shared" si="146"/>
        <v>#VALUE!</v>
      </c>
      <c r="I364" s="251">
        <f t="shared" si="147"/>
        <v>0</v>
      </c>
      <c r="J364" s="251">
        <f t="shared" si="157"/>
        <v>0</v>
      </c>
      <c r="K364" s="251">
        <f t="shared" si="148"/>
        <v>0</v>
      </c>
      <c r="M364" s="224"/>
      <c r="N364" s="225">
        <f t="shared" si="149"/>
        <v>0</v>
      </c>
      <c r="O364" s="251" t="e">
        <f t="shared" si="150"/>
        <v>#N/A</v>
      </c>
      <c r="P364" s="251">
        <f t="shared" si="158"/>
        <v>0</v>
      </c>
      <c r="Q364" s="251">
        <f t="shared" si="151"/>
        <v>0</v>
      </c>
      <c r="R364" s="251">
        <f t="shared" si="152"/>
        <v>0</v>
      </c>
      <c r="S364" s="251" t="e">
        <f t="shared" si="153"/>
        <v>#VALUE!</v>
      </c>
      <c r="T364" s="251">
        <f t="shared" si="140"/>
        <v>0</v>
      </c>
      <c r="U364" s="252">
        <f>TRUNC(T364*Condições!$C$102,2)</f>
        <v>0</v>
      </c>
      <c r="V364" s="199">
        <f t="shared" si="159"/>
        <v>0</v>
      </c>
      <c r="W364" s="161" t="e">
        <f t="shared" si="136"/>
        <v>#N/A</v>
      </c>
      <c r="X364" s="161" t="e">
        <f t="shared" si="137"/>
        <v>#N/A</v>
      </c>
      <c r="Y364" s="161">
        <f t="shared" si="138"/>
        <v>339</v>
      </c>
      <c r="Z364" s="161">
        <f t="shared" ca="1" si="139"/>
        <v>9</v>
      </c>
      <c r="AG364" s="114">
        <f t="shared" si="160"/>
        <v>0</v>
      </c>
      <c r="AH364" s="113"/>
      <c r="AI364" s="199">
        <f ca="1">IF(AL364=0,0,IF(AL364&gt;Preenchimento!$AA$88*12,0,IF($AC$53=AM364,0,1)))</f>
        <v>0</v>
      </c>
      <c r="AJ364" s="161" t="e">
        <f t="shared" ca="1" si="154"/>
        <v>#N/A</v>
      </c>
      <c r="AK364" s="161" t="e">
        <f t="shared" ca="1" si="155"/>
        <v>#N/A</v>
      </c>
      <c r="AL364" s="161">
        <f ca="1">IF(Y364&gt;(Preenchimento!$AA$90*12),0,Fixa!Y364)</f>
        <v>0</v>
      </c>
      <c r="AM364" s="161">
        <f t="shared" ca="1" si="161"/>
        <v>9</v>
      </c>
      <c r="AN364" s="199">
        <f ca="1">IF(AQ364&gt;Preenchimento!$AA$90*12,0,1)</f>
        <v>0</v>
      </c>
      <c r="AO364" s="161" t="e">
        <f ca="1">1/((1+SAC!$AD$29)^AL364)</f>
        <v>#N/A</v>
      </c>
      <c r="AP364" s="82" t="e">
        <f t="shared" ca="1" si="162"/>
        <v>#N/A</v>
      </c>
      <c r="AQ364" s="82">
        <v>339</v>
      </c>
      <c r="AS364" s="477">
        <f t="shared" ca="1" si="156"/>
        <v>0</v>
      </c>
    </row>
    <row r="365" spans="1:45">
      <c r="A365" s="53">
        <v>340</v>
      </c>
      <c r="B365" s="249">
        <f ca="1">DATE(IF(MONTH(B364)=12,YEAR(B364)+1,YEAR(B364)),IF(MONTH(B364)=12,1,MONTH(B364)+1),MIN(DAY(Condições!$C$109),IF(IF(MONTH(B364)=12,1,MONTH(B364)+1)=2,IF(MOD(IF(MONTH(B364)=12,YEAR(B364)+1,YEAR(B364)),4)=0,29,28),IF(OR(IF(MONTH(B364)=12,1,MONTH(B364)+1)=4,IF(MONTH(B364)=12,1,MONTH(B364)+1)=6,IF(MONTH(B364)=12,1,MONTH(B364)+1)=9,IF(MONTH(B364)=12,1,MONTH(B364)+1)=11),30,DAY($B$25)))))</f>
        <v>56538</v>
      </c>
      <c r="C365" s="250" t="str">
        <f t="shared" si="141"/>
        <v/>
      </c>
      <c r="D365" s="251" t="e">
        <f t="shared" si="142"/>
        <v>#N/A</v>
      </c>
      <c r="E365" s="251">
        <f t="shared" si="143"/>
        <v>0</v>
      </c>
      <c r="F365" s="251">
        <f t="shared" si="144"/>
        <v>0</v>
      </c>
      <c r="G365" s="251">
        <f t="shared" si="145"/>
        <v>0</v>
      </c>
      <c r="H365" s="251" t="e">
        <f t="shared" si="146"/>
        <v>#VALUE!</v>
      </c>
      <c r="I365" s="251">
        <f t="shared" si="147"/>
        <v>0</v>
      </c>
      <c r="J365" s="251">
        <f t="shared" si="157"/>
        <v>0</v>
      </c>
      <c r="K365" s="251">
        <f t="shared" si="148"/>
        <v>0</v>
      </c>
      <c r="M365" s="224"/>
      <c r="N365" s="225">
        <f t="shared" si="149"/>
        <v>0</v>
      </c>
      <c r="O365" s="251" t="e">
        <f t="shared" si="150"/>
        <v>#N/A</v>
      </c>
      <c r="P365" s="251">
        <f t="shared" si="158"/>
        <v>0</v>
      </c>
      <c r="Q365" s="251">
        <f t="shared" si="151"/>
        <v>0</v>
      </c>
      <c r="R365" s="251">
        <f t="shared" si="152"/>
        <v>0</v>
      </c>
      <c r="S365" s="251" t="e">
        <f t="shared" si="153"/>
        <v>#VALUE!</v>
      </c>
      <c r="T365" s="251">
        <f t="shared" si="140"/>
        <v>0</v>
      </c>
      <c r="U365" s="252">
        <f>TRUNC(T365*Condições!$C$102,2)</f>
        <v>0</v>
      </c>
      <c r="V365" s="199">
        <f t="shared" si="159"/>
        <v>0</v>
      </c>
      <c r="W365" s="161" t="e">
        <f t="shared" si="136"/>
        <v>#N/A</v>
      </c>
      <c r="X365" s="161" t="e">
        <f t="shared" si="137"/>
        <v>#N/A</v>
      </c>
      <c r="Y365" s="161">
        <f t="shared" si="138"/>
        <v>340</v>
      </c>
      <c r="Z365" s="161">
        <f t="shared" ca="1" si="139"/>
        <v>10</v>
      </c>
      <c r="AG365" s="114">
        <f t="shared" si="160"/>
        <v>0</v>
      </c>
      <c r="AH365" s="113"/>
      <c r="AI365" s="199">
        <f ca="1">IF(AL365=0,0,IF(AL365&gt;Preenchimento!$AA$88*12,0,IF($AC$53=AM365,0,1)))</f>
        <v>0</v>
      </c>
      <c r="AJ365" s="161" t="e">
        <f t="shared" ca="1" si="154"/>
        <v>#N/A</v>
      </c>
      <c r="AK365" s="161" t="e">
        <f t="shared" ca="1" si="155"/>
        <v>#N/A</v>
      </c>
      <c r="AL365" s="161">
        <f ca="1">IF(Y365&gt;(Preenchimento!$AA$90*12),0,Fixa!Y365)</f>
        <v>0</v>
      </c>
      <c r="AM365" s="161">
        <f t="shared" ca="1" si="161"/>
        <v>10</v>
      </c>
      <c r="AN365" s="199">
        <f ca="1">IF(AQ365&gt;Preenchimento!$AA$90*12,0,1)</f>
        <v>0</v>
      </c>
      <c r="AO365" s="161" t="e">
        <f ca="1">1/((1+SAC!$AD$29)^AL365)</f>
        <v>#N/A</v>
      </c>
      <c r="AP365" s="82" t="e">
        <f t="shared" ca="1" si="162"/>
        <v>#N/A</v>
      </c>
      <c r="AQ365" s="82">
        <v>340</v>
      </c>
      <c r="AS365" s="477">
        <f t="shared" ca="1" si="156"/>
        <v>0</v>
      </c>
    </row>
    <row r="366" spans="1:45">
      <c r="A366" s="53">
        <v>341</v>
      </c>
      <c r="B366" s="249">
        <f ca="1">DATE(IF(MONTH(B365)=12,YEAR(B365)+1,YEAR(B365)),IF(MONTH(B365)=12,1,MONTH(B365)+1),MIN(DAY(Condições!$C$109),IF(IF(MONTH(B365)=12,1,MONTH(B365)+1)=2,IF(MOD(IF(MONTH(B365)=12,YEAR(B365)+1,YEAR(B365)),4)=0,29,28),IF(OR(IF(MONTH(B365)=12,1,MONTH(B365)+1)=4,IF(MONTH(B365)=12,1,MONTH(B365)+1)=6,IF(MONTH(B365)=12,1,MONTH(B365)+1)=9,IF(MONTH(B365)=12,1,MONTH(B365)+1)=11),30,DAY($B$25)))))</f>
        <v>56569</v>
      </c>
      <c r="C366" s="250" t="str">
        <f t="shared" si="141"/>
        <v/>
      </c>
      <c r="D366" s="251" t="e">
        <f t="shared" si="142"/>
        <v>#N/A</v>
      </c>
      <c r="E366" s="251">
        <f t="shared" si="143"/>
        <v>0</v>
      </c>
      <c r="F366" s="251">
        <f t="shared" si="144"/>
        <v>0</v>
      </c>
      <c r="G366" s="251">
        <f t="shared" si="145"/>
        <v>0</v>
      </c>
      <c r="H366" s="251" t="e">
        <f t="shared" si="146"/>
        <v>#VALUE!</v>
      </c>
      <c r="I366" s="251">
        <f t="shared" si="147"/>
        <v>0</v>
      </c>
      <c r="J366" s="251">
        <f t="shared" si="157"/>
        <v>0</v>
      </c>
      <c r="K366" s="251">
        <f t="shared" si="148"/>
        <v>0</v>
      </c>
      <c r="M366" s="224"/>
      <c r="N366" s="225">
        <f t="shared" si="149"/>
        <v>0</v>
      </c>
      <c r="O366" s="251" t="e">
        <f t="shared" si="150"/>
        <v>#N/A</v>
      </c>
      <c r="P366" s="251">
        <f t="shared" si="158"/>
        <v>0</v>
      </c>
      <c r="Q366" s="251">
        <f t="shared" si="151"/>
        <v>0</v>
      </c>
      <c r="R366" s="251">
        <f t="shared" si="152"/>
        <v>0</v>
      </c>
      <c r="S366" s="251" t="e">
        <f t="shared" si="153"/>
        <v>#VALUE!</v>
      </c>
      <c r="T366" s="251">
        <f t="shared" si="140"/>
        <v>0</v>
      </c>
      <c r="U366" s="252">
        <f>TRUNC(T366*Condições!$C$102,2)</f>
        <v>0</v>
      </c>
      <c r="V366" s="199">
        <f t="shared" si="159"/>
        <v>0</v>
      </c>
      <c r="W366" s="161" t="e">
        <f t="shared" si="136"/>
        <v>#N/A</v>
      </c>
      <c r="X366" s="161" t="e">
        <f t="shared" si="137"/>
        <v>#N/A</v>
      </c>
      <c r="Y366" s="161">
        <f t="shared" si="138"/>
        <v>341</v>
      </c>
      <c r="Z366" s="161">
        <f t="shared" ca="1" si="139"/>
        <v>11</v>
      </c>
      <c r="AG366" s="114">
        <f t="shared" si="160"/>
        <v>0</v>
      </c>
      <c r="AH366" s="113"/>
      <c r="AI366" s="199">
        <f ca="1">IF(AL366=0,0,IF(AL366&gt;Preenchimento!$AA$88*12,0,IF($AC$53=AM366,0,1)))</f>
        <v>0</v>
      </c>
      <c r="AJ366" s="161" t="e">
        <f t="shared" ca="1" si="154"/>
        <v>#N/A</v>
      </c>
      <c r="AK366" s="161" t="e">
        <f t="shared" ca="1" si="155"/>
        <v>#N/A</v>
      </c>
      <c r="AL366" s="161">
        <f ca="1">IF(Y366&gt;(Preenchimento!$AA$90*12),0,Fixa!Y366)</f>
        <v>0</v>
      </c>
      <c r="AM366" s="161">
        <f t="shared" ca="1" si="161"/>
        <v>11</v>
      </c>
      <c r="AN366" s="199">
        <f ca="1">IF(AQ366&gt;Preenchimento!$AA$90*12,0,1)</f>
        <v>0</v>
      </c>
      <c r="AO366" s="161" t="e">
        <f ca="1">1/((1+SAC!$AD$29)^AL366)</f>
        <v>#N/A</v>
      </c>
      <c r="AP366" s="82" t="e">
        <f t="shared" ca="1" si="162"/>
        <v>#N/A</v>
      </c>
      <c r="AQ366" s="82">
        <v>341</v>
      </c>
      <c r="AS366" s="477">
        <f t="shared" ca="1" si="156"/>
        <v>0</v>
      </c>
    </row>
    <row r="367" spans="1:45">
      <c r="A367" s="53">
        <v>342</v>
      </c>
      <c r="B367" s="249">
        <f ca="1">DATE(IF(MONTH(B366)=12,YEAR(B366)+1,YEAR(B366)),IF(MONTH(B366)=12,1,MONTH(B366)+1),MIN(DAY(Condições!$C$109),IF(IF(MONTH(B366)=12,1,MONTH(B366)+1)=2,IF(MOD(IF(MONTH(B366)=12,YEAR(B366)+1,YEAR(B366)),4)=0,29,28),IF(OR(IF(MONTH(B366)=12,1,MONTH(B366)+1)=4,IF(MONTH(B366)=12,1,MONTH(B366)+1)=6,IF(MONTH(B366)=12,1,MONTH(B366)+1)=9,IF(MONTH(B366)=12,1,MONTH(B366)+1)=11),30,DAY($B$25)))))</f>
        <v>56599</v>
      </c>
      <c r="C367" s="250" t="str">
        <f t="shared" si="141"/>
        <v/>
      </c>
      <c r="D367" s="251" t="e">
        <f t="shared" si="142"/>
        <v>#N/A</v>
      </c>
      <c r="E367" s="251">
        <f t="shared" si="143"/>
        <v>0</v>
      </c>
      <c r="F367" s="251">
        <f t="shared" si="144"/>
        <v>0</v>
      </c>
      <c r="G367" s="251">
        <f t="shared" si="145"/>
        <v>0</v>
      </c>
      <c r="H367" s="251" t="e">
        <f t="shared" si="146"/>
        <v>#VALUE!</v>
      </c>
      <c r="I367" s="251">
        <f t="shared" si="147"/>
        <v>0</v>
      </c>
      <c r="J367" s="251">
        <f t="shared" si="157"/>
        <v>0</v>
      </c>
      <c r="K367" s="251">
        <f t="shared" si="148"/>
        <v>0</v>
      </c>
      <c r="M367" s="224"/>
      <c r="N367" s="225">
        <f t="shared" si="149"/>
        <v>0</v>
      </c>
      <c r="O367" s="251" t="e">
        <f t="shared" si="150"/>
        <v>#N/A</v>
      </c>
      <c r="P367" s="251">
        <f t="shared" si="158"/>
        <v>0</v>
      </c>
      <c r="Q367" s="251">
        <f t="shared" si="151"/>
        <v>0</v>
      </c>
      <c r="R367" s="251">
        <f t="shared" si="152"/>
        <v>0</v>
      </c>
      <c r="S367" s="251" t="e">
        <f t="shared" si="153"/>
        <v>#VALUE!</v>
      </c>
      <c r="T367" s="251">
        <f t="shared" si="140"/>
        <v>0</v>
      </c>
      <c r="U367" s="252">
        <f>TRUNC(T367*Condições!$C$102,2)</f>
        <v>0</v>
      </c>
      <c r="V367" s="199">
        <f t="shared" si="159"/>
        <v>0</v>
      </c>
      <c r="W367" s="161" t="e">
        <f t="shared" si="136"/>
        <v>#N/A</v>
      </c>
      <c r="X367" s="161" t="e">
        <f t="shared" si="137"/>
        <v>#N/A</v>
      </c>
      <c r="Y367" s="161">
        <f t="shared" si="138"/>
        <v>342</v>
      </c>
      <c r="Z367" s="161">
        <f t="shared" ca="1" si="139"/>
        <v>12</v>
      </c>
      <c r="AG367" s="114">
        <f t="shared" si="160"/>
        <v>0</v>
      </c>
      <c r="AH367" s="113"/>
      <c r="AI367" s="199">
        <f ca="1">IF(AL367=0,0,IF(AL367&gt;Preenchimento!$AA$88*12,0,IF($AC$53=AM367,0,1)))</f>
        <v>0</v>
      </c>
      <c r="AJ367" s="161" t="e">
        <f t="shared" ca="1" si="154"/>
        <v>#N/A</v>
      </c>
      <c r="AK367" s="161" t="e">
        <f t="shared" ca="1" si="155"/>
        <v>#N/A</v>
      </c>
      <c r="AL367" s="161">
        <f ca="1">IF(Y367&gt;(Preenchimento!$AA$90*12),0,Fixa!Y367)</f>
        <v>0</v>
      </c>
      <c r="AM367" s="161">
        <f t="shared" ca="1" si="161"/>
        <v>12</v>
      </c>
      <c r="AN367" s="199">
        <f ca="1">IF(AQ367&gt;Preenchimento!$AA$90*12,0,1)</f>
        <v>0</v>
      </c>
      <c r="AO367" s="161" t="e">
        <f ca="1">1/((1+SAC!$AD$29)^AL367)</f>
        <v>#N/A</v>
      </c>
      <c r="AP367" s="82" t="e">
        <f t="shared" ca="1" si="162"/>
        <v>#N/A</v>
      </c>
      <c r="AQ367" s="82">
        <v>342</v>
      </c>
      <c r="AS367" s="477">
        <f t="shared" ca="1" si="156"/>
        <v>0</v>
      </c>
    </row>
    <row r="368" spans="1:45">
      <c r="A368" s="53">
        <v>343</v>
      </c>
      <c r="B368" s="249">
        <f ca="1">DATE(IF(MONTH(B367)=12,YEAR(B367)+1,YEAR(B367)),IF(MONTH(B367)=12,1,MONTH(B367)+1),MIN(DAY(Condições!$C$109),IF(IF(MONTH(B367)=12,1,MONTH(B367)+1)=2,IF(MOD(IF(MONTH(B367)=12,YEAR(B367)+1,YEAR(B367)),4)=0,29,28),IF(OR(IF(MONTH(B367)=12,1,MONTH(B367)+1)=4,IF(MONTH(B367)=12,1,MONTH(B367)+1)=6,IF(MONTH(B367)=12,1,MONTH(B367)+1)=9,IF(MONTH(B367)=12,1,MONTH(B367)+1)=11),30,DAY($B$25)))))</f>
        <v>56630</v>
      </c>
      <c r="C368" s="250" t="str">
        <f t="shared" si="141"/>
        <v/>
      </c>
      <c r="D368" s="251" t="e">
        <f t="shared" si="142"/>
        <v>#N/A</v>
      </c>
      <c r="E368" s="251">
        <f t="shared" si="143"/>
        <v>0</v>
      </c>
      <c r="F368" s="251">
        <f t="shared" si="144"/>
        <v>0</v>
      </c>
      <c r="G368" s="251">
        <f t="shared" si="145"/>
        <v>0</v>
      </c>
      <c r="H368" s="251" t="e">
        <f t="shared" si="146"/>
        <v>#VALUE!</v>
      </c>
      <c r="I368" s="251">
        <f t="shared" si="147"/>
        <v>0</v>
      </c>
      <c r="J368" s="251">
        <f t="shared" si="157"/>
        <v>0</v>
      </c>
      <c r="K368" s="251">
        <f t="shared" si="148"/>
        <v>0</v>
      </c>
      <c r="M368" s="224"/>
      <c r="N368" s="225">
        <f t="shared" si="149"/>
        <v>0</v>
      </c>
      <c r="O368" s="251" t="e">
        <f t="shared" si="150"/>
        <v>#N/A</v>
      </c>
      <c r="P368" s="251">
        <f t="shared" si="158"/>
        <v>0</v>
      </c>
      <c r="Q368" s="251">
        <f t="shared" si="151"/>
        <v>0</v>
      </c>
      <c r="R368" s="251">
        <f t="shared" si="152"/>
        <v>0</v>
      </c>
      <c r="S368" s="251" t="e">
        <f t="shared" si="153"/>
        <v>#VALUE!</v>
      </c>
      <c r="T368" s="251">
        <f t="shared" si="140"/>
        <v>0</v>
      </c>
      <c r="U368" s="252">
        <f>TRUNC(T368*Condições!$C$102,2)</f>
        <v>0</v>
      </c>
      <c r="V368" s="199">
        <f t="shared" si="159"/>
        <v>0</v>
      </c>
      <c r="W368" s="161" t="e">
        <f t="shared" si="136"/>
        <v>#N/A</v>
      </c>
      <c r="X368" s="161" t="e">
        <f t="shared" si="137"/>
        <v>#N/A</v>
      </c>
      <c r="Y368" s="161">
        <f t="shared" si="138"/>
        <v>343</v>
      </c>
      <c r="Z368" s="161">
        <f t="shared" ca="1" si="139"/>
        <v>1</v>
      </c>
      <c r="AG368" s="114">
        <f t="shared" si="160"/>
        <v>0</v>
      </c>
      <c r="AH368" s="113"/>
      <c r="AI368" s="199">
        <f ca="1">IF(AL368=0,0,IF(AL368&gt;Preenchimento!$AA$88*12,0,IF($AC$53=AM368,0,1)))</f>
        <v>0</v>
      </c>
      <c r="AJ368" s="161" t="e">
        <f t="shared" ca="1" si="154"/>
        <v>#N/A</v>
      </c>
      <c r="AK368" s="161" t="e">
        <f t="shared" ca="1" si="155"/>
        <v>#N/A</v>
      </c>
      <c r="AL368" s="161">
        <f ca="1">IF(Y368&gt;(Preenchimento!$AA$90*12),0,Fixa!Y368)</f>
        <v>0</v>
      </c>
      <c r="AM368" s="161">
        <f t="shared" ca="1" si="161"/>
        <v>1</v>
      </c>
      <c r="AN368" s="199">
        <f ca="1">IF(AQ368&gt;Preenchimento!$AA$90*12,0,1)</f>
        <v>0</v>
      </c>
      <c r="AO368" s="161" t="e">
        <f ca="1">1/((1+SAC!$AD$29)^AL368)</f>
        <v>#N/A</v>
      </c>
      <c r="AP368" s="82" t="e">
        <f t="shared" ca="1" si="162"/>
        <v>#N/A</v>
      </c>
      <c r="AQ368" s="82">
        <v>343</v>
      </c>
      <c r="AS368" s="477">
        <f t="shared" ca="1" si="156"/>
        <v>0</v>
      </c>
    </row>
    <row r="369" spans="1:45">
      <c r="A369" s="53">
        <v>344</v>
      </c>
      <c r="B369" s="249">
        <f ca="1">DATE(IF(MONTH(B368)=12,YEAR(B368)+1,YEAR(B368)),IF(MONTH(B368)=12,1,MONTH(B368)+1),MIN(DAY(Condições!$C$109),IF(IF(MONTH(B368)=12,1,MONTH(B368)+1)=2,IF(MOD(IF(MONTH(B368)=12,YEAR(B368)+1,YEAR(B368)),4)=0,29,28),IF(OR(IF(MONTH(B368)=12,1,MONTH(B368)+1)=4,IF(MONTH(B368)=12,1,MONTH(B368)+1)=6,IF(MONTH(B368)=12,1,MONTH(B368)+1)=9,IF(MONTH(B368)=12,1,MONTH(B368)+1)=11),30,DAY($B$25)))))</f>
        <v>56661</v>
      </c>
      <c r="C369" s="250" t="str">
        <f t="shared" si="141"/>
        <v/>
      </c>
      <c r="D369" s="251" t="e">
        <f t="shared" si="142"/>
        <v>#N/A</v>
      </c>
      <c r="E369" s="251">
        <f t="shared" si="143"/>
        <v>0</v>
      </c>
      <c r="F369" s="251">
        <f t="shared" si="144"/>
        <v>0</v>
      </c>
      <c r="G369" s="251">
        <f t="shared" si="145"/>
        <v>0</v>
      </c>
      <c r="H369" s="251" t="e">
        <f t="shared" si="146"/>
        <v>#VALUE!</v>
      </c>
      <c r="I369" s="251">
        <f t="shared" si="147"/>
        <v>0</v>
      </c>
      <c r="J369" s="251">
        <f t="shared" si="157"/>
        <v>0</v>
      </c>
      <c r="K369" s="251">
        <f t="shared" si="148"/>
        <v>0</v>
      </c>
      <c r="M369" s="224"/>
      <c r="N369" s="225">
        <f t="shared" si="149"/>
        <v>0</v>
      </c>
      <c r="O369" s="251" t="e">
        <f t="shared" si="150"/>
        <v>#N/A</v>
      </c>
      <c r="P369" s="251">
        <f t="shared" si="158"/>
        <v>0</v>
      </c>
      <c r="Q369" s="251">
        <f t="shared" si="151"/>
        <v>0</v>
      </c>
      <c r="R369" s="251">
        <f t="shared" si="152"/>
        <v>0</v>
      </c>
      <c r="S369" s="251" t="e">
        <f t="shared" si="153"/>
        <v>#VALUE!</v>
      </c>
      <c r="T369" s="251">
        <f t="shared" si="140"/>
        <v>0</v>
      </c>
      <c r="U369" s="252">
        <f>TRUNC(T369*Condições!$C$102,2)</f>
        <v>0</v>
      </c>
      <c r="V369" s="199">
        <f t="shared" si="159"/>
        <v>0</v>
      </c>
      <c r="W369" s="161" t="e">
        <f t="shared" si="136"/>
        <v>#N/A</v>
      </c>
      <c r="X369" s="161" t="e">
        <f t="shared" si="137"/>
        <v>#N/A</v>
      </c>
      <c r="Y369" s="161">
        <f t="shared" si="138"/>
        <v>344</v>
      </c>
      <c r="Z369" s="161">
        <f t="shared" ca="1" si="139"/>
        <v>2</v>
      </c>
      <c r="AG369" s="114">
        <f t="shared" si="160"/>
        <v>0</v>
      </c>
      <c r="AH369" s="113"/>
      <c r="AI369" s="199">
        <f ca="1">IF(AL369=0,0,IF(AL369&gt;Preenchimento!$AA$88*12,0,IF($AC$53=AM369,0,1)))</f>
        <v>0</v>
      </c>
      <c r="AJ369" s="161" t="e">
        <f t="shared" ca="1" si="154"/>
        <v>#N/A</v>
      </c>
      <c r="AK369" s="161" t="e">
        <f t="shared" ca="1" si="155"/>
        <v>#N/A</v>
      </c>
      <c r="AL369" s="161">
        <f ca="1">IF(Y369&gt;(Preenchimento!$AA$90*12),0,Fixa!Y369)</f>
        <v>0</v>
      </c>
      <c r="AM369" s="161">
        <f t="shared" ca="1" si="161"/>
        <v>2</v>
      </c>
      <c r="AN369" s="199">
        <f ca="1">IF(AQ369&gt;Preenchimento!$AA$90*12,0,1)</f>
        <v>0</v>
      </c>
      <c r="AO369" s="161" t="e">
        <f ca="1">1/((1+SAC!$AD$29)^AL369)</f>
        <v>#N/A</v>
      </c>
      <c r="AP369" s="82" t="e">
        <f t="shared" ca="1" si="162"/>
        <v>#N/A</v>
      </c>
      <c r="AQ369" s="82">
        <v>344</v>
      </c>
      <c r="AS369" s="477">
        <f t="shared" ca="1" si="156"/>
        <v>0</v>
      </c>
    </row>
    <row r="370" spans="1:45">
      <c r="A370" s="53">
        <v>345</v>
      </c>
      <c r="B370" s="249">
        <f ca="1">DATE(IF(MONTH(B369)=12,YEAR(B369)+1,YEAR(B369)),IF(MONTH(B369)=12,1,MONTH(B369)+1),MIN(DAY(Condições!$C$109),IF(IF(MONTH(B369)=12,1,MONTH(B369)+1)=2,IF(MOD(IF(MONTH(B369)=12,YEAR(B369)+1,YEAR(B369)),4)=0,29,28),IF(OR(IF(MONTH(B369)=12,1,MONTH(B369)+1)=4,IF(MONTH(B369)=12,1,MONTH(B369)+1)=6,IF(MONTH(B369)=12,1,MONTH(B369)+1)=9,IF(MONTH(B369)=12,1,MONTH(B369)+1)=11),30,DAY($B$25)))))</f>
        <v>56689</v>
      </c>
      <c r="C370" s="250" t="str">
        <f t="shared" si="141"/>
        <v/>
      </c>
      <c r="D370" s="251" t="e">
        <f t="shared" si="142"/>
        <v>#N/A</v>
      </c>
      <c r="E370" s="251">
        <f t="shared" si="143"/>
        <v>0</v>
      </c>
      <c r="F370" s="251">
        <f t="shared" si="144"/>
        <v>0</v>
      </c>
      <c r="G370" s="251">
        <f t="shared" si="145"/>
        <v>0</v>
      </c>
      <c r="H370" s="251" t="e">
        <f t="shared" si="146"/>
        <v>#VALUE!</v>
      </c>
      <c r="I370" s="251">
        <f t="shared" si="147"/>
        <v>0</v>
      </c>
      <c r="J370" s="251">
        <f t="shared" si="157"/>
        <v>0</v>
      </c>
      <c r="K370" s="251">
        <f t="shared" si="148"/>
        <v>0</v>
      </c>
      <c r="M370" s="224"/>
      <c r="N370" s="225">
        <f t="shared" si="149"/>
        <v>0</v>
      </c>
      <c r="O370" s="251" t="e">
        <f t="shared" si="150"/>
        <v>#N/A</v>
      </c>
      <c r="P370" s="251">
        <f t="shared" si="158"/>
        <v>0</v>
      </c>
      <c r="Q370" s="251">
        <f t="shared" si="151"/>
        <v>0</v>
      </c>
      <c r="R370" s="251">
        <f t="shared" si="152"/>
        <v>0</v>
      </c>
      <c r="S370" s="251" t="e">
        <f t="shared" si="153"/>
        <v>#VALUE!</v>
      </c>
      <c r="T370" s="251">
        <f t="shared" si="140"/>
        <v>0</v>
      </c>
      <c r="U370" s="252">
        <f>TRUNC(T370*Condições!$C$102,2)</f>
        <v>0</v>
      </c>
      <c r="V370" s="199">
        <f t="shared" si="159"/>
        <v>0</v>
      </c>
      <c r="W370" s="161" t="e">
        <f t="shared" si="136"/>
        <v>#N/A</v>
      </c>
      <c r="X370" s="161" t="e">
        <f t="shared" si="137"/>
        <v>#N/A</v>
      </c>
      <c r="Y370" s="161">
        <f t="shared" si="138"/>
        <v>345</v>
      </c>
      <c r="Z370" s="161">
        <f t="shared" ca="1" si="139"/>
        <v>3</v>
      </c>
      <c r="AG370" s="114">
        <f t="shared" si="160"/>
        <v>0</v>
      </c>
      <c r="AH370" s="113"/>
      <c r="AI370" s="199">
        <f ca="1">IF(AL370=0,0,IF(AL370&gt;Preenchimento!$AA$88*12,0,IF($AC$53=AM370,0,1)))</f>
        <v>0</v>
      </c>
      <c r="AJ370" s="161" t="e">
        <f t="shared" ca="1" si="154"/>
        <v>#N/A</v>
      </c>
      <c r="AK370" s="161" t="e">
        <f t="shared" ca="1" si="155"/>
        <v>#N/A</v>
      </c>
      <c r="AL370" s="161">
        <f ca="1">IF(Y370&gt;(Preenchimento!$AA$90*12),0,Fixa!Y370)</f>
        <v>0</v>
      </c>
      <c r="AM370" s="161">
        <f t="shared" ca="1" si="161"/>
        <v>3</v>
      </c>
      <c r="AN370" s="199">
        <f ca="1">IF(AQ370&gt;Preenchimento!$AA$90*12,0,1)</f>
        <v>0</v>
      </c>
      <c r="AO370" s="161" t="e">
        <f ca="1">1/((1+SAC!$AD$29)^AL370)</f>
        <v>#N/A</v>
      </c>
      <c r="AP370" s="82" t="e">
        <f t="shared" ca="1" si="162"/>
        <v>#N/A</v>
      </c>
      <c r="AQ370" s="82">
        <v>345</v>
      </c>
      <c r="AS370" s="477">
        <f t="shared" ca="1" si="156"/>
        <v>0</v>
      </c>
    </row>
    <row r="371" spans="1:45">
      <c r="A371" s="53">
        <v>346</v>
      </c>
      <c r="B371" s="249">
        <f ca="1">DATE(IF(MONTH(B370)=12,YEAR(B370)+1,YEAR(B370)),IF(MONTH(B370)=12,1,MONTH(B370)+1),MIN(DAY(Condições!$C$109),IF(IF(MONTH(B370)=12,1,MONTH(B370)+1)=2,IF(MOD(IF(MONTH(B370)=12,YEAR(B370)+1,YEAR(B370)),4)=0,29,28),IF(OR(IF(MONTH(B370)=12,1,MONTH(B370)+1)=4,IF(MONTH(B370)=12,1,MONTH(B370)+1)=6,IF(MONTH(B370)=12,1,MONTH(B370)+1)=9,IF(MONTH(B370)=12,1,MONTH(B370)+1)=11),30,DAY($B$25)))))</f>
        <v>56720</v>
      </c>
      <c r="C371" s="250" t="str">
        <f t="shared" si="141"/>
        <v/>
      </c>
      <c r="D371" s="251" t="e">
        <f t="shared" si="142"/>
        <v>#N/A</v>
      </c>
      <c r="E371" s="251">
        <f t="shared" si="143"/>
        <v>0</v>
      </c>
      <c r="F371" s="251">
        <f t="shared" si="144"/>
        <v>0</v>
      </c>
      <c r="G371" s="251">
        <f t="shared" si="145"/>
        <v>0</v>
      </c>
      <c r="H371" s="251" t="e">
        <f t="shared" si="146"/>
        <v>#VALUE!</v>
      </c>
      <c r="I371" s="251">
        <f t="shared" si="147"/>
        <v>0</v>
      </c>
      <c r="J371" s="251">
        <f t="shared" si="157"/>
        <v>0</v>
      </c>
      <c r="K371" s="251">
        <f t="shared" si="148"/>
        <v>0</v>
      </c>
      <c r="M371" s="224"/>
      <c r="N371" s="225">
        <f t="shared" si="149"/>
        <v>0</v>
      </c>
      <c r="O371" s="251" t="e">
        <f t="shared" si="150"/>
        <v>#N/A</v>
      </c>
      <c r="P371" s="251">
        <f t="shared" si="158"/>
        <v>0</v>
      </c>
      <c r="Q371" s="251">
        <f t="shared" si="151"/>
        <v>0</v>
      </c>
      <c r="R371" s="251">
        <f t="shared" si="152"/>
        <v>0</v>
      </c>
      <c r="S371" s="251" t="e">
        <f t="shared" si="153"/>
        <v>#VALUE!</v>
      </c>
      <c r="T371" s="251">
        <f t="shared" si="140"/>
        <v>0</v>
      </c>
      <c r="U371" s="252">
        <f>TRUNC(T371*Condições!$C$102,2)</f>
        <v>0</v>
      </c>
      <c r="V371" s="199">
        <f t="shared" si="159"/>
        <v>0</v>
      </c>
      <c r="W371" s="161" t="e">
        <f t="shared" si="136"/>
        <v>#N/A</v>
      </c>
      <c r="X371" s="161" t="e">
        <f t="shared" si="137"/>
        <v>#N/A</v>
      </c>
      <c r="Y371" s="161">
        <f t="shared" si="138"/>
        <v>346</v>
      </c>
      <c r="Z371" s="161">
        <f t="shared" ca="1" si="139"/>
        <v>4</v>
      </c>
      <c r="AG371" s="114">
        <f t="shared" si="160"/>
        <v>0</v>
      </c>
      <c r="AH371" s="113"/>
      <c r="AI371" s="199">
        <f ca="1">IF(AL371=0,0,IF(AL371&gt;Preenchimento!$AA$88*12,0,IF($AC$53=AM371,0,1)))</f>
        <v>0</v>
      </c>
      <c r="AJ371" s="161" t="e">
        <f t="shared" ca="1" si="154"/>
        <v>#N/A</v>
      </c>
      <c r="AK371" s="161" t="e">
        <f t="shared" ca="1" si="155"/>
        <v>#N/A</v>
      </c>
      <c r="AL371" s="161">
        <f ca="1">IF(Y371&gt;(Preenchimento!$AA$90*12),0,Fixa!Y371)</f>
        <v>0</v>
      </c>
      <c r="AM371" s="161">
        <f t="shared" ca="1" si="161"/>
        <v>4</v>
      </c>
      <c r="AN371" s="199">
        <f ca="1">IF(AQ371&gt;Preenchimento!$AA$90*12,0,1)</f>
        <v>0</v>
      </c>
      <c r="AO371" s="161" t="e">
        <f ca="1">1/((1+SAC!$AD$29)^AL371)</f>
        <v>#N/A</v>
      </c>
      <c r="AP371" s="82" t="e">
        <f t="shared" ca="1" si="162"/>
        <v>#N/A</v>
      </c>
      <c r="AQ371" s="82">
        <v>346</v>
      </c>
      <c r="AS371" s="477">
        <f t="shared" ca="1" si="156"/>
        <v>0</v>
      </c>
    </row>
    <row r="372" spans="1:45">
      <c r="A372" s="53">
        <v>347</v>
      </c>
      <c r="B372" s="249">
        <f ca="1">DATE(IF(MONTH(B371)=12,YEAR(B371)+1,YEAR(B371)),IF(MONTH(B371)=12,1,MONTH(B371)+1),MIN(DAY(Condições!$C$109),IF(IF(MONTH(B371)=12,1,MONTH(B371)+1)=2,IF(MOD(IF(MONTH(B371)=12,YEAR(B371)+1,YEAR(B371)),4)=0,29,28),IF(OR(IF(MONTH(B371)=12,1,MONTH(B371)+1)=4,IF(MONTH(B371)=12,1,MONTH(B371)+1)=6,IF(MONTH(B371)=12,1,MONTH(B371)+1)=9,IF(MONTH(B371)=12,1,MONTH(B371)+1)=11),30,DAY($B$25)))))</f>
        <v>56750</v>
      </c>
      <c r="C372" s="250" t="str">
        <f t="shared" si="141"/>
        <v/>
      </c>
      <c r="D372" s="251" t="e">
        <f t="shared" si="142"/>
        <v>#N/A</v>
      </c>
      <c r="E372" s="251">
        <f t="shared" si="143"/>
        <v>0</v>
      </c>
      <c r="F372" s="251">
        <f t="shared" si="144"/>
        <v>0</v>
      </c>
      <c r="G372" s="251">
        <f t="shared" si="145"/>
        <v>0</v>
      </c>
      <c r="H372" s="251" t="e">
        <f t="shared" si="146"/>
        <v>#VALUE!</v>
      </c>
      <c r="I372" s="251">
        <f t="shared" si="147"/>
        <v>0</v>
      </c>
      <c r="J372" s="251">
        <f t="shared" si="157"/>
        <v>0</v>
      </c>
      <c r="K372" s="251">
        <f t="shared" si="148"/>
        <v>0</v>
      </c>
      <c r="M372" s="224"/>
      <c r="N372" s="225">
        <f t="shared" si="149"/>
        <v>0</v>
      </c>
      <c r="O372" s="251" t="e">
        <f t="shared" si="150"/>
        <v>#N/A</v>
      </c>
      <c r="P372" s="251">
        <f t="shared" si="158"/>
        <v>0</v>
      </c>
      <c r="Q372" s="251">
        <f t="shared" si="151"/>
        <v>0</v>
      </c>
      <c r="R372" s="251">
        <f t="shared" si="152"/>
        <v>0</v>
      </c>
      <c r="S372" s="251" t="e">
        <f t="shared" si="153"/>
        <v>#VALUE!</v>
      </c>
      <c r="T372" s="251">
        <f t="shared" si="140"/>
        <v>0</v>
      </c>
      <c r="U372" s="252">
        <f>TRUNC(T372*Condições!$C$102,2)</f>
        <v>0</v>
      </c>
      <c r="V372" s="199">
        <f t="shared" si="159"/>
        <v>0</v>
      </c>
      <c r="W372" s="161" t="e">
        <f t="shared" si="136"/>
        <v>#N/A</v>
      </c>
      <c r="X372" s="161" t="e">
        <f t="shared" si="137"/>
        <v>#N/A</v>
      </c>
      <c r="Y372" s="161">
        <f t="shared" si="138"/>
        <v>347</v>
      </c>
      <c r="Z372" s="161">
        <f t="shared" ca="1" si="139"/>
        <v>5</v>
      </c>
      <c r="AG372" s="114">
        <f t="shared" si="160"/>
        <v>0</v>
      </c>
      <c r="AH372" s="113"/>
      <c r="AI372" s="199">
        <f ca="1">IF(AL372=0,0,IF(AL372&gt;Preenchimento!$AA$88*12,0,IF($AC$53=AM372,0,1)))</f>
        <v>0</v>
      </c>
      <c r="AJ372" s="161" t="e">
        <f t="shared" ca="1" si="154"/>
        <v>#N/A</v>
      </c>
      <c r="AK372" s="161" t="e">
        <f t="shared" ca="1" si="155"/>
        <v>#N/A</v>
      </c>
      <c r="AL372" s="161">
        <f ca="1">IF(Y372&gt;(Preenchimento!$AA$90*12),0,Fixa!Y372)</f>
        <v>0</v>
      </c>
      <c r="AM372" s="161">
        <f t="shared" ca="1" si="161"/>
        <v>5</v>
      </c>
      <c r="AN372" s="199">
        <f ca="1">IF(AQ372&gt;Preenchimento!$AA$90*12,0,1)</f>
        <v>0</v>
      </c>
      <c r="AO372" s="161" t="e">
        <f ca="1">1/((1+SAC!$AD$29)^AL372)</f>
        <v>#N/A</v>
      </c>
      <c r="AP372" s="82" t="e">
        <f t="shared" ca="1" si="162"/>
        <v>#N/A</v>
      </c>
      <c r="AQ372" s="82">
        <v>347</v>
      </c>
      <c r="AS372" s="477">
        <f t="shared" ca="1" si="156"/>
        <v>0</v>
      </c>
    </row>
    <row r="373" spans="1:45">
      <c r="A373" s="53">
        <v>348</v>
      </c>
      <c r="B373" s="249">
        <f ca="1">DATE(IF(MONTH(B372)=12,YEAR(B372)+1,YEAR(B372)),IF(MONTH(B372)=12,1,MONTH(B372)+1),MIN(DAY(Condições!$C$109),IF(IF(MONTH(B372)=12,1,MONTH(B372)+1)=2,IF(MOD(IF(MONTH(B372)=12,YEAR(B372)+1,YEAR(B372)),4)=0,29,28),IF(OR(IF(MONTH(B372)=12,1,MONTH(B372)+1)=4,IF(MONTH(B372)=12,1,MONTH(B372)+1)=6,IF(MONTH(B372)=12,1,MONTH(B372)+1)=9,IF(MONTH(B372)=12,1,MONTH(B372)+1)=11),30,DAY($B$25)))))</f>
        <v>56781</v>
      </c>
      <c r="C373" s="250" t="str">
        <f t="shared" si="141"/>
        <v/>
      </c>
      <c r="D373" s="251" t="e">
        <f t="shared" si="142"/>
        <v>#N/A</v>
      </c>
      <c r="E373" s="251">
        <f t="shared" si="143"/>
        <v>0</v>
      </c>
      <c r="F373" s="251">
        <f t="shared" si="144"/>
        <v>0</v>
      </c>
      <c r="G373" s="251">
        <f t="shared" si="145"/>
        <v>0</v>
      </c>
      <c r="H373" s="251" t="e">
        <f t="shared" si="146"/>
        <v>#VALUE!</v>
      </c>
      <c r="I373" s="251">
        <f t="shared" si="147"/>
        <v>0</v>
      </c>
      <c r="J373" s="251">
        <f t="shared" si="157"/>
        <v>0</v>
      </c>
      <c r="K373" s="251">
        <f t="shared" si="148"/>
        <v>0</v>
      </c>
      <c r="M373" s="224"/>
      <c r="N373" s="225">
        <f t="shared" si="149"/>
        <v>0</v>
      </c>
      <c r="O373" s="251" t="e">
        <f t="shared" si="150"/>
        <v>#N/A</v>
      </c>
      <c r="P373" s="251">
        <f t="shared" si="158"/>
        <v>0</v>
      </c>
      <c r="Q373" s="251">
        <f t="shared" si="151"/>
        <v>0</v>
      </c>
      <c r="R373" s="251">
        <f t="shared" si="152"/>
        <v>0</v>
      </c>
      <c r="S373" s="251" t="e">
        <f t="shared" si="153"/>
        <v>#VALUE!</v>
      </c>
      <c r="T373" s="251">
        <f t="shared" si="140"/>
        <v>0</v>
      </c>
      <c r="U373" s="252">
        <f>TRUNC(T373*Condições!$C$102,2)</f>
        <v>0</v>
      </c>
      <c r="V373" s="199">
        <f t="shared" si="159"/>
        <v>0</v>
      </c>
      <c r="W373" s="161" t="e">
        <f t="shared" si="136"/>
        <v>#N/A</v>
      </c>
      <c r="X373" s="161" t="e">
        <f t="shared" si="137"/>
        <v>#N/A</v>
      </c>
      <c r="Y373" s="161">
        <f t="shared" si="138"/>
        <v>348</v>
      </c>
      <c r="Z373" s="161">
        <f t="shared" ca="1" si="139"/>
        <v>6</v>
      </c>
      <c r="AG373" s="114">
        <f t="shared" si="160"/>
        <v>0</v>
      </c>
      <c r="AH373" s="113"/>
      <c r="AI373" s="199">
        <f ca="1">IF(AL373=0,0,IF(AL373&gt;Preenchimento!$AA$88*12,0,IF($AC$53=AM373,0,1)))</f>
        <v>0</v>
      </c>
      <c r="AJ373" s="161" t="e">
        <f t="shared" ca="1" si="154"/>
        <v>#N/A</v>
      </c>
      <c r="AK373" s="161" t="e">
        <f t="shared" ca="1" si="155"/>
        <v>#N/A</v>
      </c>
      <c r="AL373" s="161">
        <f ca="1">IF(Y373&gt;(Preenchimento!$AA$90*12),0,Fixa!Y373)</f>
        <v>0</v>
      </c>
      <c r="AM373" s="161">
        <f t="shared" ca="1" si="161"/>
        <v>6</v>
      </c>
      <c r="AN373" s="199">
        <f ca="1">IF(AQ373&gt;Preenchimento!$AA$90*12,0,1)</f>
        <v>0</v>
      </c>
      <c r="AO373" s="161" t="e">
        <f ca="1">1/((1+SAC!$AD$29)^AL373)</f>
        <v>#N/A</v>
      </c>
      <c r="AP373" s="82" t="e">
        <f t="shared" ca="1" si="162"/>
        <v>#N/A</v>
      </c>
      <c r="AQ373" s="82">
        <v>348</v>
      </c>
      <c r="AS373" s="477">
        <f t="shared" ca="1" si="156"/>
        <v>0</v>
      </c>
    </row>
    <row r="374" spans="1:45">
      <c r="A374" s="53">
        <v>349</v>
      </c>
      <c r="B374" s="249">
        <f ca="1">DATE(IF(MONTH(B373)=12,YEAR(B373)+1,YEAR(B373)),IF(MONTH(B373)=12,1,MONTH(B373)+1),MIN(DAY(Condições!$C$109),IF(IF(MONTH(B373)=12,1,MONTH(B373)+1)=2,IF(MOD(IF(MONTH(B373)=12,YEAR(B373)+1,YEAR(B373)),4)=0,29,28),IF(OR(IF(MONTH(B373)=12,1,MONTH(B373)+1)=4,IF(MONTH(B373)=12,1,MONTH(B373)+1)=6,IF(MONTH(B373)=12,1,MONTH(B373)+1)=9,IF(MONTH(B373)=12,1,MONTH(B373)+1)=11),30,DAY($B$25)))))</f>
        <v>56811</v>
      </c>
      <c r="C374" s="250" t="str">
        <f t="shared" si="141"/>
        <v/>
      </c>
      <c r="D374" s="251" t="e">
        <f t="shared" si="142"/>
        <v>#N/A</v>
      </c>
      <c r="E374" s="251">
        <f t="shared" si="143"/>
        <v>0</v>
      </c>
      <c r="F374" s="251">
        <f t="shared" si="144"/>
        <v>0</v>
      </c>
      <c r="G374" s="251">
        <f t="shared" si="145"/>
        <v>0</v>
      </c>
      <c r="H374" s="251" t="e">
        <f t="shared" si="146"/>
        <v>#VALUE!</v>
      </c>
      <c r="I374" s="251">
        <f t="shared" si="147"/>
        <v>0</v>
      </c>
      <c r="J374" s="251">
        <f t="shared" si="157"/>
        <v>0</v>
      </c>
      <c r="K374" s="251">
        <f t="shared" si="148"/>
        <v>0</v>
      </c>
      <c r="M374" s="224"/>
      <c r="N374" s="225">
        <f t="shared" si="149"/>
        <v>0</v>
      </c>
      <c r="O374" s="251" t="e">
        <f t="shared" si="150"/>
        <v>#N/A</v>
      </c>
      <c r="P374" s="251">
        <f t="shared" si="158"/>
        <v>0</v>
      </c>
      <c r="Q374" s="251">
        <f t="shared" si="151"/>
        <v>0</v>
      </c>
      <c r="R374" s="251">
        <f t="shared" si="152"/>
        <v>0</v>
      </c>
      <c r="S374" s="251" t="e">
        <f t="shared" si="153"/>
        <v>#VALUE!</v>
      </c>
      <c r="T374" s="251">
        <f t="shared" si="140"/>
        <v>0</v>
      </c>
      <c r="U374" s="252">
        <f>TRUNC(T374*Condições!$C$102,2)</f>
        <v>0</v>
      </c>
      <c r="V374" s="199">
        <f t="shared" si="159"/>
        <v>0</v>
      </c>
      <c r="W374" s="161" t="e">
        <f t="shared" si="136"/>
        <v>#N/A</v>
      </c>
      <c r="X374" s="161" t="e">
        <f t="shared" si="137"/>
        <v>#N/A</v>
      </c>
      <c r="Y374" s="161">
        <f t="shared" si="138"/>
        <v>349</v>
      </c>
      <c r="Z374" s="161">
        <f t="shared" ca="1" si="139"/>
        <v>7</v>
      </c>
      <c r="AG374" s="114">
        <f t="shared" si="160"/>
        <v>0</v>
      </c>
      <c r="AH374" s="113"/>
      <c r="AI374" s="199">
        <f ca="1">IF(AL374=0,0,IF(AL374&gt;Preenchimento!$AA$88*12,0,IF($AC$53=AM374,0,1)))</f>
        <v>0</v>
      </c>
      <c r="AJ374" s="161" t="e">
        <f t="shared" ca="1" si="154"/>
        <v>#N/A</v>
      </c>
      <c r="AK374" s="161" t="e">
        <f t="shared" ca="1" si="155"/>
        <v>#N/A</v>
      </c>
      <c r="AL374" s="161">
        <f ca="1">IF(Y374&gt;(Preenchimento!$AA$90*12),0,Fixa!Y374)</f>
        <v>0</v>
      </c>
      <c r="AM374" s="161">
        <f t="shared" ca="1" si="161"/>
        <v>7</v>
      </c>
      <c r="AN374" s="199">
        <f ca="1">IF(AQ374&gt;Preenchimento!$AA$90*12,0,1)</f>
        <v>0</v>
      </c>
      <c r="AO374" s="161" t="e">
        <f ca="1">1/((1+SAC!$AD$29)^AL374)</f>
        <v>#N/A</v>
      </c>
      <c r="AP374" s="82" t="e">
        <f t="shared" ca="1" si="162"/>
        <v>#N/A</v>
      </c>
      <c r="AQ374" s="82">
        <v>349</v>
      </c>
      <c r="AS374" s="477">
        <f t="shared" ca="1" si="156"/>
        <v>0</v>
      </c>
    </row>
    <row r="375" spans="1:45">
      <c r="A375" s="53">
        <v>350</v>
      </c>
      <c r="B375" s="249">
        <f ca="1">DATE(IF(MONTH(B374)=12,YEAR(B374)+1,YEAR(B374)),IF(MONTH(B374)=12,1,MONTH(B374)+1),MIN(DAY(Condições!$C$109),IF(IF(MONTH(B374)=12,1,MONTH(B374)+1)=2,IF(MOD(IF(MONTH(B374)=12,YEAR(B374)+1,YEAR(B374)),4)=0,29,28),IF(OR(IF(MONTH(B374)=12,1,MONTH(B374)+1)=4,IF(MONTH(B374)=12,1,MONTH(B374)+1)=6,IF(MONTH(B374)=12,1,MONTH(B374)+1)=9,IF(MONTH(B374)=12,1,MONTH(B374)+1)=11),30,DAY($B$25)))))</f>
        <v>56842</v>
      </c>
      <c r="C375" s="250" t="str">
        <f t="shared" si="141"/>
        <v/>
      </c>
      <c r="D375" s="251" t="e">
        <f t="shared" si="142"/>
        <v>#N/A</v>
      </c>
      <c r="E375" s="251">
        <f t="shared" si="143"/>
        <v>0</v>
      </c>
      <c r="F375" s="251">
        <f t="shared" si="144"/>
        <v>0</v>
      </c>
      <c r="G375" s="251">
        <f t="shared" si="145"/>
        <v>0</v>
      </c>
      <c r="H375" s="251" t="e">
        <f t="shared" si="146"/>
        <v>#VALUE!</v>
      </c>
      <c r="I375" s="251">
        <f t="shared" si="147"/>
        <v>0</v>
      </c>
      <c r="J375" s="251">
        <f t="shared" si="157"/>
        <v>0</v>
      </c>
      <c r="K375" s="251">
        <f t="shared" si="148"/>
        <v>0</v>
      </c>
      <c r="M375" s="224"/>
      <c r="N375" s="225">
        <f t="shared" si="149"/>
        <v>0</v>
      </c>
      <c r="O375" s="251" t="e">
        <f t="shared" si="150"/>
        <v>#N/A</v>
      </c>
      <c r="P375" s="251">
        <f t="shared" si="158"/>
        <v>0</v>
      </c>
      <c r="Q375" s="251">
        <f t="shared" si="151"/>
        <v>0</v>
      </c>
      <c r="R375" s="251">
        <f t="shared" si="152"/>
        <v>0</v>
      </c>
      <c r="S375" s="251" t="e">
        <f t="shared" si="153"/>
        <v>#VALUE!</v>
      </c>
      <c r="T375" s="251">
        <f t="shared" si="140"/>
        <v>0</v>
      </c>
      <c r="U375" s="252">
        <f>TRUNC(T375*Condições!$C$102,2)</f>
        <v>0</v>
      </c>
      <c r="V375" s="199">
        <f t="shared" si="159"/>
        <v>0</v>
      </c>
      <c r="W375" s="161" t="e">
        <f t="shared" si="136"/>
        <v>#N/A</v>
      </c>
      <c r="X375" s="161" t="e">
        <f t="shared" si="137"/>
        <v>#N/A</v>
      </c>
      <c r="Y375" s="161">
        <f t="shared" si="138"/>
        <v>350</v>
      </c>
      <c r="Z375" s="161">
        <f t="shared" ca="1" si="139"/>
        <v>8</v>
      </c>
      <c r="AG375" s="114">
        <f t="shared" si="160"/>
        <v>0</v>
      </c>
      <c r="AH375" s="113"/>
      <c r="AI375" s="199">
        <f ca="1">IF(AL375=0,0,IF(AL375&gt;Preenchimento!$AA$88*12,0,IF($AC$53=AM375,0,1)))</f>
        <v>0</v>
      </c>
      <c r="AJ375" s="161" t="e">
        <f t="shared" ca="1" si="154"/>
        <v>#N/A</v>
      </c>
      <c r="AK375" s="161" t="e">
        <f t="shared" ca="1" si="155"/>
        <v>#N/A</v>
      </c>
      <c r="AL375" s="161">
        <f ca="1">IF(Y375&gt;(Preenchimento!$AA$90*12),0,Fixa!Y375)</f>
        <v>0</v>
      </c>
      <c r="AM375" s="161">
        <f t="shared" ca="1" si="161"/>
        <v>8</v>
      </c>
      <c r="AN375" s="199">
        <f ca="1">IF(AQ375&gt;Preenchimento!$AA$90*12,0,1)</f>
        <v>0</v>
      </c>
      <c r="AO375" s="161" t="e">
        <f ca="1">1/((1+SAC!$AD$29)^AL375)</f>
        <v>#N/A</v>
      </c>
      <c r="AP375" s="82" t="e">
        <f t="shared" ca="1" si="162"/>
        <v>#N/A</v>
      </c>
      <c r="AQ375" s="82">
        <v>350</v>
      </c>
      <c r="AS375" s="477">
        <f t="shared" ca="1" si="156"/>
        <v>0</v>
      </c>
    </row>
    <row r="376" spans="1:45">
      <c r="A376" s="53">
        <v>351</v>
      </c>
      <c r="B376" s="249">
        <f ca="1">DATE(IF(MONTH(B375)=12,YEAR(B375)+1,YEAR(B375)),IF(MONTH(B375)=12,1,MONTH(B375)+1),MIN(DAY(Condições!$C$109),IF(IF(MONTH(B375)=12,1,MONTH(B375)+1)=2,IF(MOD(IF(MONTH(B375)=12,YEAR(B375)+1,YEAR(B375)),4)=0,29,28),IF(OR(IF(MONTH(B375)=12,1,MONTH(B375)+1)=4,IF(MONTH(B375)=12,1,MONTH(B375)+1)=6,IF(MONTH(B375)=12,1,MONTH(B375)+1)=9,IF(MONTH(B375)=12,1,MONTH(B375)+1)=11),30,DAY($B$25)))))</f>
        <v>56873</v>
      </c>
      <c r="C376" s="250" t="str">
        <f t="shared" si="141"/>
        <v/>
      </c>
      <c r="D376" s="251" t="e">
        <f t="shared" si="142"/>
        <v>#N/A</v>
      </c>
      <c r="E376" s="251">
        <f t="shared" si="143"/>
        <v>0</v>
      </c>
      <c r="F376" s="251">
        <f t="shared" si="144"/>
        <v>0</v>
      </c>
      <c r="G376" s="251">
        <f t="shared" si="145"/>
        <v>0</v>
      </c>
      <c r="H376" s="251" t="e">
        <f t="shared" si="146"/>
        <v>#VALUE!</v>
      </c>
      <c r="I376" s="251">
        <f t="shared" si="147"/>
        <v>0</v>
      </c>
      <c r="J376" s="251">
        <f t="shared" si="157"/>
        <v>0</v>
      </c>
      <c r="K376" s="251">
        <f t="shared" si="148"/>
        <v>0</v>
      </c>
      <c r="M376" s="224"/>
      <c r="N376" s="225">
        <f t="shared" si="149"/>
        <v>0</v>
      </c>
      <c r="O376" s="251" t="e">
        <f t="shared" si="150"/>
        <v>#N/A</v>
      </c>
      <c r="P376" s="251">
        <f t="shared" si="158"/>
        <v>0</v>
      </c>
      <c r="Q376" s="251">
        <f t="shared" si="151"/>
        <v>0</v>
      </c>
      <c r="R376" s="251">
        <f t="shared" si="152"/>
        <v>0</v>
      </c>
      <c r="S376" s="251" t="e">
        <f t="shared" si="153"/>
        <v>#VALUE!</v>
      </c>
      <c r="T376" s="251">
        <f t="shared" si="140"/>
        <v>0</v>
      </c>
      <c r="U376" s="252">
        <f>TRUNC(T376*Condições!$C$102,2)</f>
        <v>0</v>
      </c>
      <c r="V376" s="199">
        <f t="shared" si="159"/>
        <v>0</v>
      </c>
      <c r="W376" s="161" t="e">
        <f t="shared" si="136"/>
        <v>#N/A</v>
      </c>
      <c r="X376" s="161" t="e">
        <f t="shared" si="137"/>
        <v>#N/A</v>
      </c>
      <c r="Y376" s="161">
        <f t="shared" si="138"/>
        <v>351</v>
      </c>
      <c r="Z376" s="161">
        <f t="shared" ca="1" si="139"/>
        <v>9</v>
      </c>
      <c r="AG376" s="114">
        <f t="shared" si="160"/>
        <v>0</v>
      </c>
      <c r="AH376" s="113"/>
      <c r="AI376" s="199">
        <f ca="1">IF(AL376=0,0,IF(AL376&gt;Preenchimento!$AA$88*12,0,IF($AC$53=AM376,0,1)))</f>
        <v>0</v>
      </c>
      <c r="AJ376" s="161" t="e">
        <f t="shared" ca="1" si="154"/>
        <v>#N/A</v>
      </c>
      <c r="AK376" s="161" t="e">
        <f t="shared" ca="1" si="155"/>
        <v>#N/A</v>
      </c>
      <c r="AL376" s="161">
        <f ca="1">IF(Y376&gt;(Preenchimento!$AA$90*12),0,Fixa!Y376)</f>
        <v>0</v>
      </c>
      <c r="AM376" s="161">
        <f t="shared" ca="1" si="161"/>
        <v>9</v>
      </c>
      <c r="AN376" s="199">
        <f ca="1">IF(AQ376&gt;Preenchimento!$AA$90*12,0,1)</f>
        <v>0</v>
      </c>
      <c r="AO376" s="161" t="e">
        <f ca="1">1/((1+SAC!$AD$29)^AL376)</f>
        <v>#N/A</v>
      </c>
      <c r="AP376" s="82" t="e">
        <f t="shared" ca="1" si="162"/>
        <v>#N/A</v>
      </c>
      <c r="AQ376" s="82">
        <v>351</v>
      </c>
      <c r="AS376" s="477">
        <f t="shared" ca="1" si="156"/>
        <v>0</v>
      </c>
    </row>
    <row r="377" spans="1:45">
      <c r="A377" s="53">
        <v>352</v>
      </c>
      <c r="B377" s="249">
        <f ca="1">DATE(IF(MONTH(B376)=12,YEAR(B376)+1,YEAR(B376)),IF(MONTH(B376)=12,1,MONTH(B376)+1),MIN(DAY(Condições!$C$109),IF(IF(MONTH(B376)=12,1,MONTH(B376)+1)=2,IF(MOD(IF(MONTH(B376)=12,YEAR(B376)+1,YEAR(B376)),4)=0,29,28),IF(OR(IF(MONTH(B376)=12,1,MONTH(B376)+1)=4,IF(MONTH(B376)=12,1,MONTH(B376)+1)=6,IF(MONTH(B376)=12,1,MONTH(B376)+1)=9,IF(MONTH(B376)=12,1,MONTH(B376)+1)=11),30,DAY($B$25)))))</f>
        <v>56903</v>
      </c>
      <c r="C377" s="250" t="str">
        <f t="shared" si="141"/>
        <v/>
      </c>
      <c r="D377" s="251" t="e">
        <f t="shared" si="142"/>
        <v>#N/A</v>
      </c>
      <c r="E377" s="251">
        <f t="shared" si="143"/>
        <v>0</v>
      </c>
      <c r="F377" s="251">
        <f t="shared" si="144"/>
        <v>0</v>
      </c>
      <c r="G377" s="251">
        <f t="shared" si="145"/>
        <v>0</v>
      </c>
      <c r="H377" s="251" t="e">
        <f t="shared" si="146"/>
        <v>#VALUE!</v>
      </c>
      <c r="I377" s="251">
        <f t="shared" si="147"/>
        <v>0</v>
      </c>
      <c r="J377" s="251">
        <f t="shared" si="157"/>
        <v>0</v>
      </c>
      <c r="K377" s="251">
        <f t="shared" si="148"/>
        <v>0</v>
      </c>
      <c r="M377" s="224"/>
      <c r="N377" s="225">
        <f t="shared" si="149"/>
        <v>0</v>
      </c>
      <c r="O377" s="251" t="e">
        <f t="shared" si="150"/>
        <v>#N/A</v>
      </c>
      <c r="P377" s="251">
        <f t="shared" si="158"/>
        <v>0</v>
      </c>
      <c r="Q377" s="251">
        <f t="shared" si="151"/>
        <v>0</v>
      </c>
      <c r="R377" s="251">
        <f t="shared" si="152"/>
        <v>0</v>
      </c>
      <c r="S377" s="251" t="e">
        <f t="shared" si="153"/>
        <v>#VALUE!</v>
      </c>
      <c r="T377" s="251">
        <f t="shared" si="140"/>
        <v>0</v>
      </c>
      <c r="U377" s="252">
        <f>TRUNC(T377*Condições!$C$102,2)</f>
        <v>0</v>
      </c>
      <c r="V377" s="199">
        <f t="shared" si="159"/>
        <v>0</v>
      </c>
      <c r="W377" s="161" t="e">
        <f t="shared" si="136"/>
        <v>#N/A</v>
      </c>
      <c r="X377" s="161" t="e">
        <f t="shared" si="137"/>
        <v>#N/A</v>
      </c>
      <c r="Y377" s="161">
        <f t="shared" si="138"/>
        <v>352</v>
      </c>
      <c r="Z377" s="161">
        <f t="shared" ca="1" si="139"/>
        <v>10</v>
      </c>
      <c r="AG377" s="114">
        <f t="shared" si="160"/>
        <v>0</v>
      </c>
      <c r="AH377" s="113"/>
      <c r="AI377" s="199">
        <f ca="1">IF(AL377=0,0,IF(AL377&gt;Preenchimento!$AA$88*12,0,IF($AC$53=AM377,0,1)))</f>
        <v>0</v>
      </c>
      <c r="AJ377" s="161" t="e">
        <f t="shared" ca="1" si="154"/>
        <v>#N/A</v>
      </c>
      <c r="AK377" s="161" t="e">
        <f t="shared" ca="1" si="155"/>
        <v>#N/A</v>
      </c>
      <c r="AL377" s="161">
        <f ca="1">IF(Y377&gt;(Preenchimento!$AA$90*12),0,Fixa!Y377)</f>
        <v>0</v>
      </c>
      <c r="AM377" s="161">
        <f t="shared" ca="1" si="161"/>
        <v>10</v>
      </c>
      <c r="AN377" s="199">
        <f ca="1">IF(AQ377&gt;Preenchimento!$AA$90*12,0,1)</f>
        <v>0</v>
      </c>
      <c r="AO377" s="161" t="e">
        <f ca="1">1/((1+SAC!$AD$29)^AL377)</f>
        <v>#N/A</v>
      </c>
      <c r="AP377" s="82" t="e">
        <f t="shared" ca="1" si="162"/>
        <v>#N/A</v>
      </c>
      <c r="AQ377" s="82">
        <v>352</v>
      </c>
      <c r="AS377" s="477">
        <f t="shared" ca="1" si="156"/>
        <v>0</v>
      </c>
    </row>
    <row r="378" spans="1:45">
      <c r="A378" s="53">
        <v>353</v>
      </c>
      <c r="B378" s="249">
        <f ca="1">DATE(IF(MONTH(B377)=12,YEAR(B377)+1,YEAR(B377)),IF(MONTH(B377)=12,1,MONTH(B377)+1),MIN(DAY(Condições!$C$109),IF(IF(MONTH(B377)=12,1,MONTH(B377)+1)=2,IF(MOD(IF(MONTH(B377)=12,YEAR(B377)+1,YEAR(B377)),4)=0,29,28),IF(OR(IF(MONTH(B377)=12,1,MONTH(B377)+1)=4,IF(MONTH(B377)=12,1,MONTH(B377)+1)=6,IF(MONTH(B377)=12,1,MONTH(B377)+1)=9,IF(MONTH(B377)=12,1,MONTH(B377)+1)=11),30,DAY($B$25)))))</f>
        <v>56934</v>
      </c>
      <c r="C378" s="250" t="str">
        <f t="shared" si="141"/>
        <v/>
      </c>
      <c r="D378" s="251" t="e">
        <f t="shared" si="142"/>
        <v>#N/A</v>
      </c>
      <c r="E378" s="251">
        <f t="shared" si="143"/>
        <v>0</v>
      </c>
      <c r="F378" s="251">
        <f t="shared" si="144"/>
        <v>0</v>
      </c>
      <c r="G378" s="251">
        <f t="shared" si="145"/>
        <v>0</v>
      </c>
      <c r="H378" s="251" t="e">
        <f t="shared" si="146"/>
        <v>#VALUE!</v>
      </c>
      <c r="I378" s="251">
        <f t="shared" si="147"/>
        <v>0</v>
      </c>
      <c r="J378" s="251">
        <f t="shared" si="157"/>
        <v>0</v>
      </c>
      <c r="K378" s="251">
        <f t="shared" si="148"/>
        <v>0</v>
      </c>
      <c r="M378" s="224"/>
      <c r="N378" s="225">
        <f t="shared" si="149"/>
        <v>0</v>
      </c>
      <c r="O378" s="251" t="e">
        <f t="shared" si="150"/>
        <v>#N/A</v>
      </c>
      <c r="P378" s="251">
        <f t="shared" si="158"/>
        <v>0</v>
      </c>
      <c r="Q378" s="251">
        <f t="shared" si="151"/>
        <v>0</v>
      </c>
      <c r="R378" s="251">
        <f t="shared" si="152"/>
        <v>0</v>
      </c>
      <c r="S378" s="251" t="e">
        <f t="shared" si="153"/>
        <v>#VALUE!</v>
      </c>
      <c r="T378" s="251">
        <f t="shared" si="140"/>
        <v>0</v>
      </c>
      <c r="U378" s="252">
        <f>TRUNC(T378*Condições!$C$102,2)</f>
        <v>0</v>
      </c>
      <c r="V378" s="199">
        <f t="shared" si="159"/>
        <v>0</v>
      </c>
      <c r="W378" s="161" t="e">
        <f t="shared" si="136"/>
        <v>#N/A</v>
      </c>
      <c r="X378" s="161" t="e">
        <f t="shared" si="137"/>
        <v>#N/A</v>
      </c>
      <c r="Y378" s="161">
        <f t="shared" si="138"/>
        <v>353</v>
      </c>
      <c r="Z378" s="161">
        <f t="shared" ca="1" si="139"/>
        <v>11</v>
      </c>
      <c r="AG378" s="114">
        <f t="shared" si="160"/>
        <v>0</v>
      </c>
      <c r="AH378" s="113"/>
      <c r="AI378" s="199">
        <f ca="1">IF(AL378=0,0,IF(AL378&gt;Preenchimento!$AA$88*12,0,IF($AC$53=AM378,0,1)))</f>
        <v>0</v>
      </c>
      <c r="AJ378" s="161" t="e">
        <f t="shared" ca="1" si="154"/>
        <v>#N/A</v>
      </c>
      <c r="AK378" s="161" t="e">
        <f t="shared" ca="1" si="155"/>
        <v>#N/A</v>
      </c>
      <c r="AL378" s="161">
        <f ca="1">IF(Y378&gt;(Preenchimento!$AA$90*12),0,Fixa!Y378)</f>
        <v>0</v>
      </c>
      <c r="AM378" s="161">
        <f t="shared" ca="1" si="161"/>
        <v>11</v>
      </c>
      <c r="AN378" s="199">
        <f ca="1">IF(AQ378&gt;Preenchimento!$AA$90*12,0,1)</f>
        <v>0</v>
      </c>
      <c r="AO378" s="161" t="e">
        <f ca="1">1/((1+SAC!$AD$29)^AL378)</f>
        <v>#N/A</v>
      </c>
      <c r="AP378" s="82" t="e">
        <f t="shared" ca="1" si="162"/>
        <v>#N/A</v>
      </c>
      <c r="AQ378" s="82">
        <v>353</v>
      </c>
      <c r="AS378" s="477">
        <f t="shared" ca="1" si="156"/>
        <v>0</v>
      </c>
    </row>
    <row r="379" spans="1:45">
      <c r="A379" s="53">
        <v>354</v>
      </c>
      <c r="B379" s="249">
        <f ca="1">DATE(IF(MONTH(B378)=12,YEAR(B378)+1,YEAR(B378)),IF(MONTH(B378)=12,1,MONTH(B378)+1),MIN(DAY(Condições!$C$109),IF(IF(MONTH(B378)=12,1,MONTH(B378)+1)=2,IF(MOD(IF(MONTH(B378)=12,YEAR(B378)+1,YEAR(B378)),4)=0,29,28),IF(OR(IF(MONTH(B378)=12,1,MONTH(B378)+1)=4,IF(MONTH(B378)=12,1,MONTH(B378)+1)=6,IF(MONTH(B378)=12,1,MONTH(B378)+1)=9,IF(MONTH(B378)=12,1,MONTH(B378)+1)=11),30,DAY($B$25)))))</f>
        <v>56964</v>
      </c>
      <c r="C379" s="250" t="str">
        <f t="shared" si="141"/>
        <v/>
      </c>
      <c r="D379" s="251" t="e">
        <f t="shared" si="142"/>
        <v>#N/A</v>
      </c>
      <c r="E379" s="251">
        <f t="shared" si="143"/>
        <v>0</v>
      </c>
      <c r="F379" s="251">
        <f t="shared" si="144"/>
        <v>0</v>
      </c>
      <c r="G379" s="251">
        <f t="shared" si="145"/>
        <v>0</v>
      </c>
      <c r="H379" s="251" t="e">
        <f t="shared" si="146"/>
        <v>#VALUE!</v>
      </c>
      <c r="I379" s="251">
        <f t="shared" si="147"/>
        <v>0</v>
      </c>
      <c r="J379" s="251">
        <f t="shared" si="157"/>
        <v>0</v>
      </c>
      <c r="K379" s="251">
        <f t="shared" si="148"/>
        <v>0</v>
      </c>
      <c r="M379" s="224"/>
      <c r="N379" s="225">
        <f t="shared" si="149"/>
        <v>0</v>
      </c>
      <c r="O379" s="251" t="e">
        <f t="shared" si="150"/>
        <v>#N/A</v>
      </c>
      <c r="P379" s="251">
        <f t="shared" si="158"/>
        <v>0</v>
      </c>
      <c r="Q379" s="251">
        <f t="shared" si="151"/>
        <v>0</v>
      </c>
      <c r="R379" s="251">
        <f t="shared" si="152"/>
        <v>0</v>
      </c>
      <c r="S379" s="251" t="e">
        <f t="shared" si="153"/>
        <v>#VALUE!</v>
      </c>
      <c r="T379" s="251">
        <f t="shared" si="140"/>
        <v>0</v>
      </c>
      <c r="U379" s="252">
        <f>TRUNC(T379*Condições!$C$102,2)</f>
        <v>0</v>
      </c>
      <c r="V379" s="199">
        <f t="shared" si="159"/>
        <v>0</v>
      </c>
      <c r="W379" s="161" t="e">
        <f t="shared" si="136"/>
        <v>#N/A</v>
      </c>
      <c r="X379" s="161" t="e">
        <f t="shared" si="137"/>
        <v>#N/A</v>
      </c>
      <c r="Y379" s="161">
        <f t="shared" si="138"/>
        <v>354</v>
      </c>
      <c r="Z379" s="161">
        <f t="shared" ca="1" si="139"/>
        <v>12</v>
      </c>
      <c r="AG379" s="114">
        <f t="shared" si="160"/>
        <v>0</v>
      </c>
      <c r="AH379" s="113"/>
      <c r="AI379" s="199">
        <f ca="1">IF(AL379=0,0,IF(AL379&gt;Preenchimento!$AA$88*12,0,IF($AC$53=AM379,0,1)))</f>
        <v>0</v>
      </c>
      <c r="AJ379" s="161" t="e">
        <f t="shared" ca="1" si="154"/>
        <v>#N/A</v>
      </c>
      <c r="AK379" s="161" t="e">
        <f t="shared" ca="1" si="155"/>
        <v>#N/A</v>
      </c>
      <c r="AL379" s="161">
        <f ca="1">IF(Y379&gt;(Preenchimento!$AA$90*12),0,Fixa!Y379)</f>
        <v>0</v>
      </c>
      <c r="AM379" s="161">
        <f t="shared" ca="1" si="161"/>
        <v>12</v>
      </c>
      <c r="AN379" s="199">
        <f ca="1">IF(AQ379&gt;Preenchimento!$AA$90*12,0,1)</f>
        <v>0</v>
      </c>
      <c r="AO379" s="161" t="e">
        <f ca="1">1/((1+SAC!$AD$29)^AL379)</f>
        <v>#N/A</v>
      </c>
      <c r="AP379" s="82" t="e">
        <f t="shared" ca="1" si="162"/>
        <v>#N/A</v>
      </c>
      <c r="AQ379" s="82">
        <v>354</v>
      </c>
      <c r="AS379" s="477">
        <f t="shared" ca="1" si="156"/>
        <v>0</v>
      </c>
    </row>
    <row r="380" spans="1:45">
      <c r="A380" s="53">
        <v>355</v>
      </c>
      <c r="B380" s="249">
        <f ca="1">DATE(IF(MONTH(B379)=12,YEAR(B379)+1,YEAR(B379)),IF(MONTH(B379)=12,1,MONTH(B379)+1),MIN(DAY(Condições!$C$109),IF(IF(MONTH(B379)=12,1,MONTH(B379)+1)=2,IF(MOD(IF(MONTH(B379)=12,YEAR(B379)+1,YEAR(B379)),4)=0,29,28),IF(OR(IF(MONTH(B379)=12,1,MONTH(B379)+1)=4,IF(MONTH(B379)=12,1,MONTH(B379)+1)=6,IF(MONTH(B379)=12,1,MONTH(B379)+1)=9,IF(MONTH(B379)=12,1,MONTH(B379)+1)=11),30,DAY($B$25)))))</f>
        <v>56995</v>
      </c>
      <c r="C380" s="250" t="str">
        <f t="shared" si="141"/>
        <v/>
      </c>
      <c r="D380" s="251" t="e">
        <f t="shared" si="142"/>
        <v>#N/A</v>
      </c>
      <c r="E380" s="251">
        <f t="shared" si="143"/>
        <v>0</v>
      </c>
      <c r="F380" s="251">
        <f t="shared" si="144"/>
        <v>0</v>
      </c>
      <c r="G380" s="251">
        <f t="shared" si="145"/>
        <v>0</v>
      </c>
      <c r="H380" s="251" t="e">
        <f t="shared" si="146"/>
        <v>#VALUE!</v>
      </c>
      <c r="I380" s="251">
        <f t="shared" si="147"/>
        <v>0</v>
      </c>
      <c r="J380" s="251">
        <f t="shared" si="157"/>
        <v>0</v>
      </c>
      <c r="K380" s="251">
        <f t="shared" si="148"/>
        <v>0</v>
      </c>
      <c r="M380" s="224"/>
      <c r="N380" s="225">
        <f t="shared" si="149"/>
        <v>0</v>
      </c>
      <c r="O380" s="251" t="e">
        <f t="shared" si="150"/>
        <v>#N/A</v>
      </c>
      <c r="P380" s="251">
        <f t="shared" si="158"/>
        <v>0</v>
      </c>
      <c r="Q380" s="251">
        <f t="shared" si="151"/>
        <v>0</v>
      </c>
      <c r="R380" s="251">
        <f t="shared" si="152"/>
        <v>0</v>
      </c>
      <c r="S380" s="251" t="e">
        <f t="shared" si="153"/>
        <v>#VALUE!</v>
      </c>
      <c r="T380" s="251">
        <f t="shared" si="140"/>
        <v>0</v>
      </c>
      <c r="U380" s="252">
        <f>TRUNC(T380*Condições!$C$102,2)</f>
        <v>0</v>
      </c>
      <c r="V380" s="199">
        <f t="shared" si="159"/>
        <v>0</v>
      </c>
      <c r="W380" s="161" t="e">
        <f t="shared" si="136"/>
        <v>#N/A</v>
      </c>
      <c r="X380" s="161" t="e">
        <f t="shared" si="137"/>
        <v>#N/A</v>
      </c>
      <c r="Y380" s="161">
        <f t="shared" si="138"/>
        <v>355</v>
      </c>
      <c r="Z380" s="161">
        <f t="shared" ca="1" si="139"/>
        <v>1</v>
      </c>
      <c r="AG380" s="114">
        <f t="shared" si="160"/>
        <v>0</v>
      </c>
      <c r="AH380" s="113"/>
      <c r="AI380" s="199">
        <f ca="1">IF(AL380=0,0,IF(AL380&gt;Preenchimento!$AA$88*12,0,IF($AC$53=AM380,0,1)))</f>
        <v>0</v>
      </c>
      <c r="AJ380" s="161" t="e">
        <f t="shared" ca="1" si="154"/>
        <v>#N/A</v>
      </c>
      <c r="AK380" s="161" t="e">
        <f t="shared" ca="1" si="155"/>
        <v>#N/A</v>
      </c>
      <c r="AL380" s="161">
        <f ca="1">IF(Y380&gt;(Preenchimento!$AA$90*12),0,Fixa!Y380)</f>
        <v>0</v>
      </c>
      <c r="AM380" s="161">
        <f t="shared" ca="1" si="161"/>
        <v>1</v>
      </c>
      <c r="AN380" s="199">
        <f ca="1">IF(AQ380&gt;Preenchimento!$AA$90*12,0,1)</f>
        <v>0</v>
      </c>
      <c r="AO380" s="161" t="e">
        <f ca="1">1/((1+SAC!$AD$29)^AL380)</f>
        <v>#N/A</v>
      </c>
      <c r="AP380" s="82" t="e">
        <f t="shared" ca="1" si="162"/>
        <v>#N/A</v>
      </c>
      <c r="AQ380" s="82">
        <v>355</v>
      </c>
      <c r="AS380" s="477">
        <f t="shared" ca="1" si="156"/>
        <v>0</v>
      </c>
    </row>
    <row r="381" spans="1:45">
      <c r="A381" s="53">
        <v>356</v>
      </c>
      <c r="B381" s="249">
        <f ca="1">DATE(IF(MONTH(B380)=12,YEAR(B380)+1,YEAR(B380)),IF(MONTH(B380)=12,1,MONTH(B380)+1),MIN(DAY(Condições!$C$109),IF(IF(MONTH(B380)=12,1,MONTH(B380)+1)=2,IF(MOD(IF(MONTH(B380)=12,YEAR(B380)+1,YEAR(B380)),4)=0,29,28),IF(OR(IF(MONTH(B380)=12,1,MONTH(B380)+1)=4,IF(MONTH(B380)=12,1,MONTH(B380)+1)=6,IF(MONTH(B380)=12,1,MONTH(B380)+1)=9,IF(MONTH(B380)=12,1,MONTH(B380)+1)=11),30,DAY($B$25)))))</f>
        <v>57026</v>
      </c>
      <c r="C381" s="250" t="str">
        <f t="shared" si="141"/>
        <v/>
      </c>
      <c r="D381" s="251" t="e">
        <f t="shared" si="142"/>
        <v>#N/A</v>
      </c>
      <c r="E381" s="251">
        <f t="shared" si="143"/>
        <v>0</v>
      </c>
      <c r="F381" s="251">
        <f t="shared" si="144"/>
        <v>0</v>
      </c>
      <c r="G381" s="251">
        <f t="shared" si="145"/>
        <v>0</v>
      </c>
      <c r="H381" s="251" t="e">
        <f t="shared" si="146"/>
        <v>#VALUE!</v>
      </c>
      <c r="I381" s="251">
        <f t="shared" si="147"/>
        <v>0</v>
      </c>
      <c r="J381" s="251">
        <f t="shared" si="157"/>
        <v>0</v>
      </c>
      <c r="K381" s="251">
        <f t="shared" si="148"/>
        <v>0</v>
      </c>
      <c r="M381" s="224"/>
      <c r="N381" s="225">
        <f t="shared" si="149"/>
        <v>0</v>
      </c>
      <c r="O381" s="251" t="e">
        <f t="shared" si="150"/>
        <v>#N/A</v>
      </c>
      <c r="P381" s="251">
        <f t="shared" si="158"/>
        <v>0</v>
      </c>
      <c r="Q381" s="251">
        <f t="shared" si="151"/>
        <v>0</v>
      </c>
      <c r="R381" s="251">
        <f t="shared" si="152"/>
        <v>0</v>
      </c>
      <c r="S381" s="251" t="e">
        <f t="shared" si="153"/>
        <v>#VALUE!</v>
      </c>
      <c r="T381" s="251">
        <f t="shared" si="140"/>
        <v>0</v>
      </c>
      <c r="U381" s="252">
        <f>TRUNC(T381*Condições!$C$102,2)</f>
        <v>0</v>
      </c>
      <c r="V381" s="199">
        <f t="shared" si="159"/>
        <v>0</v>
      </c>
      <c r="W381" s="161" t="e">
        <f t="shared" si="136"/>
        <v>#N/A</v>
      </c>
      <c r="X381" s="161" t="e">
        <f t="shared" si="137"/>
        <v>#N/A</v>
      </c>
      <c r="Y381" s="161">
        <f t="shared" si="138"/>
        <v>356</v>
      </c>
      <c r="Z381" s="161">
        <f t="shared" ca="1" si="139"/>
        <v>2</v>
      </c>
      <c r="AG381" s="114">
        <f t="shared" si="160"/>
        <v>0</v>
      </c>
      <c r="AH381" s="113"/>
      <c r="AI381" s="199">
        <f ca="1">IF(AL381=0,0,IF(AL381&gt;Preenchimento!$AA$88*12,0,IF($AC$53=AM381,0,1)))</f>
        <v>0</v>
      </c>
      <c r="AJ381" s="161" t="e">
        <f t="shared" ca="1" si="154"/>
        <v>#N/A</v>
      </c>
      <c r="AK381" s="161" t="e">
        <f t="shared" ca="1" si="155"/>
        <v>#N/A</v>
      </c>
      <c r="AL381" s="161">
        <f ca="1">IF(Y381&gt;(Preenchimento!$AA$90*12),0,Fixa!Y381)</f>
        <v>0</v>
      </c>
      <c r="AM381" s="161">
        <f t="shared" ca="1" si="161"/>
        <v>2</v>
      </c>
      <c r="AN381" s="199">
        <f ca="1">IF(AQ381&gt;Preenchimento!$AA$90*12,0,1)</f>
        <v>0</v>
      </c>
      <c r="AO381" s="161" t="e">
        <f ca="1">1/((1+SAC!$AD$29)^AL381)</f>
        <v>#N/A</v>
      </c>
      <c r="AP381" s="82" t="e">
        <f t="shared" ca="1" si="162"/>
        <v>#N/A</v>
      </c>
      <c r="AQ381" s="82">
        <v>356</v>
      </c>
      <c r="AS381" s="477">
        <f t="shared" ca="1" si="156"/>
        <v>0</v>
      </c>
    </row>
    <row r="382" spans="1:45">
      <c r="A382" s="53">
        <v>357</v>
      </c>
      <c r="B382" s="249">
        <f ca="1">DATE(IF(MONTH(B381)=12,YEAR(B381)+1,YEAR(B381)),IF(MONTH(B381)=12,1,MONTH(B381)+1),MIN(DAY(Condições!$C$109),IF(IF(MONTH(B381)=12,1,MONTH(B381)+1)=2,IF(MOD(IF(MONTH(B381)=12,YEAR(B381)+1,YEAR(B381)),4)=0,29,28),IF(OR(IF(MONTH(B381)=12,1,MONTH(B381)+1)=4,IF(MONTH(B381)=12,1,MONTH(B381)+1)=6,IF(MONTH(B381)=12,1,MONTH(B381)+1)=9,IF(MONTH(B381)=12,1,MONTH(B381)+1)=11),30,DAY($B$25)))))</f>
        <v>57055</v>
      </c>
      <c r="C382" s="250" t="str">
        <f t="shared" si="141"/>
        <v/>
      </c>
      <c r="D382" s="251" t="e">
        <f t="shared" si="142"/>
        <v>#N/A</v>
      </c>
      <c r="E382" s="251">
        <f t="shared" si="143"/>
        <v>0</v>
      </c>
      <c r="F382" s="251">
        <f t="shared" si="144"/>
        <v>0</v>
      </c>
      <c r="G382" s="251">
        <f t="shared" si="145"/>
        <v>0</v>
      </c>
      <c r="H382" s="251" t="e">
        <f t="shared" si="146"/>
        <v>#VALUE!</v>
      </c>
      <c r="I382" s="251">
        <f t="shared" si="147"/>
        <v>0</v>
      </c>
      <c r="J382" s="251">
        <f t="shared" si="157"/>
        <v>0</v>
      </c>
      <c r="K382" s="251">
        <f t="shared" si="148"/>
        <v>0</v>
      </c>
      <c r="M382" s="224"/>
      <c r="N382" s="225">
        <f t="shared" si="149"/>
        <v>0</v>
      </c>
      <c r="O382" s="251" t="e">
        <f t="shared" si="150"/>
        <v>#N/A</v>
      </c>
      <c r="P382" s="251">
        <f t="shared" si="158"/>
        <v>0</v>
      </c>
      <c r="Q382" s="251">
        <f t="shared" si="151"/>
        <v>0</v>
      </c>
      <c r="R382" s="251">
        <f t="shared" si="152"/>
        <v>0</v>
      </c>
      <c r="S382" s="251" t="e">
        <f t="shared" si="153"/>
        <v>#VALUE!</v>
      </c>
      <c r="T382" s="251">
        <f t="shared" si="140"/>
        <v>0</v>
      </c>
      <c r="U382" s="252">
        <f>TRUNC(T382*Condições!$C$102,2)</f>
        <v>0</v>
      </c>
      <c r="V382" s="199">
        <f t="shared" si="159"/>
        <v>0</v>
      </c>
      <c r="W382" s="161" t="e">
        <f t="shared" si="136"/>
        <v>#N/A</v>
      </c>
      <c r="X382" s="161" t="e">
        <f t="shared" si="137"/>
        <v>#N/A</v>
      </c>
      <c r="Y382" s="161">
        <f t="shared" si="138"/>
        <v>357</v>
      </c>
      <c r="Z382" s="161">
        <f t="shared" ca="1" si="139"/>
        <v>3</v>
      </c>
      <c r="AG382" s="114">
        <f t="shared" si="160"/>
        <v>0</v>
      </c>
      <c r="AH382" s="113"/>
      <c r="AI382" s="199">
        <f ca="1">IF(AL382=0,0,IF(AL382&gt;Preenchimento!$AA$88*12,0,IF($AC$53=AM382,0,1)))</f>
        <v>0</v>
      </c>
      <c r="AJ382" s="161" t="e">
        <f t="shared" ca="1" si="154"/>
        <v>#N/A</v>
      </c>
      <c r="AK382" s="161" t="e">
        <f t="shared" ca="1" si="155"/>
        <v>#N/A</v>
      </c>
      <c r="AL382" s="161">
        <f ca="1">IF(Y382&gt;(Preenchimento!$AA$90*12),0,Fixa!Y382)</f>
        <v>0</v>
      </c>
      <c r="AM382" s="161">
        <f t="shared" ca="1" si="161"/>
        <v>3</v>
      </c>
      <c r="AN382" s="199">
        <f ca="1">IF(AQ382&gt;Preenchimento!$AA$90*12,0,1)</f>
        <v>0</v>
      </c>
      <c r="AO382" s="161" t="e">
        <f ca="1">1/((1+SAC!$AD$29)^AL382)</f>
        <v>#N/A</v>
      </c>
      <c r="AP382" s="82" t="e">
        <f t="shared" ca="1" si="162"/>
        <v>#N/A</v>
      </c>
      <c r="AQ382" s="82">
        <v>357</v>
      </c>
      <c r="AS382" s="477">
        <f t="shared" ca="1" si="156"/>
        <v>0</v>
      </c>
    </row>
    <row r="383" spans="1:45">
      <c r="A383" s="53">
        <v>358</v>
      </c>
      <c r="B383" s="249">
        <f ca="1">DATE(IF(MONTH(B382)=12,YEAR(B382)+1,YEAR(B382)),IF(MONTH(B382)=12,1,MONTH(B382)+1),MIN(DAY(Condições!$C$109),IF(IF(MONTH(B382)=12,1,MONTH(B382)+1)=2,IF(MOD(IF(MONTH(B382)=12,YEAR(B382)+1,YEAR(B382)),4)=0,29,28),IF(OR(IF(MONTH(B382)=12,1,MONTH(B382)+1)=4,IF(MONTH(B382)=12,1,MONTH(B382)+1)=6,IF(MONTH(B382)=12,1,MONTH(B382)+1)=9,IF(MONTH(B382)=12,1,MONTH(B382)+1)=11),30,DAY($B$25)))))</f>
        <v>57086</v>
      </c>
      <c r="C383" s="250" t="str">
        <f t="shared" si="141"/>
        <v/>
      </c>
      <c r="D383" s="251" t="e">
        <f t="shared" si="142"/>
        <v>#N/A</v>
      </c>
      <c r="E383" s="251">
        <f t="shared" si="143"/>
        <v>0</v>
      </c>
      <c r="F383" s="251">
        <f t="shared" si="144"/>
        <v>0</v>
      </c>
      <c r="G383" s="251">
        <f t="shared" si="145"/>
        <v>0</v>
      </c>
      <c r="H383" s="251" t="e">
        <f t="shared" si="146"/>
        <v>#VALUE!</v>
      </c>
      <c r="I383" s="251">
        <f t="shared" si="147"/>
        <v>0</v>
      </c>
      <c r="J383" s="251">
        <f t="shared" si="157"/>
        <v>0</v>
      </c>
      <c r="K383" s="251">
        <f t="shared" si="148"/>
        <v>0</v>
      </c>
      <c r="M383" s="224"/>
      <c r="N383" s="225">
        <f t="shared" si="149"/>
        <v>0</v>
      </c>
      <c r="O383" s="251" t="e">
        <f t="shared" si="150"/>
        <v>#N/A</v>
      </c>
      <c r="P383" s="251">
        <f t="shared" si="158"/>
        <v>0</v>
      </c>
      <c r="Q383" s="251">
        <f t="shared" si="151"/>
        <v>0</v>
      </c>
      <c r="R383" s="251">
        <f t="shared" si="152"/>
        <v>0</v>
      </c>
      <c r="S383" s="251" t="e">
        <f t="shared" si="153"/>
        <v>#VALUE!</v>
      </c>
      <c r="T383" s="251">
        <f t="shared" si="140"/>
        <v>0</v>
      </c>
      <c r="U383" s="252">
        <f>TRUNC(T383*Condições!$C$102,2)</f>
        <v>0</v>
      </c>
      <c r="V383" s="199">
        <f t="shared" si="159"/>
        <v>0</v>
      </c>
      <c r="W383" s="161" t="e">
        <f t="shared" si="136"/>
        <v>#N/A</v>
      </c>
      <c r="X383" s="161" t="e">
        <f t="shared" si="137"/>
        <v>#N/A</v>
      </c>
      <c r="Y383" s="161">
        <f t="shared" si="138"/>
        <v>358</v>
      </c>
      <c r="Z383" s="161">
        <f t="shared" ca="1" si="139"/>
        <v>4</v>
      </c>
      <c r="AG383" s="114">
        <f t="shared" si="160"/>
        <v>0</v>
      </c>
      <c r="AH383" s="113"/>
      <c r="AI383" s="199">
        <f ca="1">IF(AL383=0,0,IF(AL383&gt;Preenchimento!$AA$88*12,0,IF($AC$53=AM383,0,1)))</f>
        <v>0</v>
      </c>
      <c r="AJ383" s="161" t="e">
        <f t="shared" ca="1" si="154"/>
        <v>#N/A</v>
      </c>
      <c r="AK383" s="161" t="e">
        <f t="shared" ca="1" si="155"/>
        <v>#N/A</v>
      </c>
      <c r="AL383" s="161">
        <f ca="1">IF(Y383&gt;(Preenchimento!$AA$90*12),0,Fixa!Y383)</f>
        <v>0</v>
      </c>
      <c r="AM383" s="161">
        <f t="shared" ca="1" si="161"/>
        <v>4</v>
      </c>
      <c r="AN383" s="199">
        <f ca="1">IF(AQ383&gt;Preenchimento!$AA$90*12,0,1)</f>
        <v>0</v>
      </c>
      <c r="AO383" s="161" t="e">
        <f ca="1">1/((1+SAC!$AD$29)^AL383)</f>
        <v>#N/A</v>
      </c>
      <c r="AP383" s="82" t="e">
        <f t="shared" ca="1" si="162"/>
        <v>#N/A</v>
      </c>
      <c r="AQ383" s="82">
        <v>358</v>
      </c>
      <c r="AS383" s="477">
        <f t="shared" ca="1" si="156"/>
        <v>0</v>
      </c>
    </row>
    <row r="384" spans="1:45">
      <c r="A384" s="53">
        <v>359</v>
      </c>
      <c r="B384" s="249">
        <f ca="1">DATE(IF(MONTH(B383)=12,YEAR(B383)+1,YEAR(B383)),IF(MONTH(B383)=12,1,MONTH(B383)+1),MIN(DAY(Condições!$C$109),IF(IF(MONTH(B383)=12,1,MONTH(B383)+1)=2,IF(MOD(IF(MONTH(B383)=12,YEAR(B383)+1,YEAR(B383)),4)=0,29,28),IF(OR(IF(MONTH(B383)=12,1,MONTH(B383)+1)=4,IF(MONTH(B383)=12,1,MONTH(B383)+1)=6,IF(MONTH(B383)=12,1,MONTH(B383)+1)=9,IF(MONTH(B383)=12,1,MONTH(B383)+1)=11),30,DAY($B$25)))))</f>
        <v>57116</v>
      </c>
      <c r="C384" s="250" t="str">
        <f t="shared" si="141"/>
        <v/>
      </c>
      <c r="D384" s="251" t="e">
        <f t="shared" si="142"/>
        <v>#N/A</v>
      </c>
      <c r="E384" s="251">
        <f t="shared" si="143"/>
        <v>0</v>
      </c>
      <c r="F384" s="251">
        <f t="shared" si="144"/>
        <v>0</v>
      </c>
      <c r="G384" s="251">
        <f t="shared" si="145"/>
        <v>0</v>
      </c>
      <c r="H384" s="251" t="e">
        <f t="shared" si="146"/>
        <v>#VALUE!</v>
      </c>
      <c r="I384" s="251">
        <f t="shared" si="147"/>
        <v>0</v>
      </c>
      <c r="J384" s="251">
        <f t="shared" si="157"/>
        <v>0</v>
      </c>
      <c r="K384" s="251">
        <f t="shared" si="148"/>
        <v>0</v>
      </c>
      <c r="M384" s="224"/>
      <c r="N384" s="225">
        <f t="shared" si="149"/>
        <v>0</v>
      </c>
      <c r="O384" s="251" t="e">
        <f t="shared" si="150"/>
        <v>#N/A</v>
      </c>
      <c r="P384" s="251">
        <f t="shared" si="158"/>
        <v>0</v>
      </c>
      <c r="Q384" s="251">
        <f t="shared" si="151"/>
        <v>0</v>
      </c>
      <c r="R384" s="251">
        <f t="shared" si="152"/>
        <v>0</v>
      </c>
      <c r="S384" s="251" t="e">
        <f t="shared" si="153"/>
        <v>#VALUE!</v>
      </c>
      <c r="T384" s="251">
        <f t="shared" si="140"/>
        <v>0</v>
      </c>
      <c r="U384" s="252">
        <f>TRUNC(T384*Condições!$C$102,2)</f>
        <v>0</v>
      </c>
      <c r="V384" s="199">
        <f t="shared" si="159"/>
        <v>0</v>
      </c>
      <c r="W384" s="161" t="e">
        <f t="shared" si="136"/>
        <v>#N/A</v>
      </c>
      <c r="X384" s="161" t="e">
        <f t="shared" si="137"/>
        <v>#N/A</v>
      </c>
      <c r="Y384" s="161">
        <f t="shared" si="138"/>
        <v>359</v>
      </c>
      <c r="Z384" s="161">
        <f t="shared" ca="1" si="139"/>
        <v>5</v>
      </c>
      <c r="AG384" s="114">
        <f t="shared" si="160"/>
        <v>0</v>
      </c>
      <c r="AH384" s="113"/>
      <c r="AI384" s="199">
        <f ca="1">IF(AL384=0,0,IF(AL384&gt;Preenchimento!$AA$88*12,0,IF($AC$53=AM384,0,1)))</f>
        <v>0</v>
      </c>
      <c r="AJ384" s="161" t="e">
        <f t="shared" ca="1" si="154"/>
        <v>#N/A</v>
      </c>
      <c r="AK384" s="161" t="e">
        <f t="shared" ca="1" si="155"/>
        <v>#N/A</v>
      </c>
      <c r="AL384" s="161">
        <f ca="1">IF(Y384&gt;(Preenchimento!$AA$90*12),0,Fixa!Y384)</f>
        <v>0</v>
      </c>
      <c r="AM384" s="161">
        <f t="shared" ca="1" si="161"/>
        <v>5</v>
      </c>
      <c r="AN384" s="199">
        <f ca="1">IF(AQ384&gt;Preenchimento!$AA$90*12,0,1)</f>
        <v>0</v>
      </c>
      <c r="AO384" s="161" t="e">
        <f ca="1">1/((1+SAC!$AD$29)^AL384)</f>
        <v>#N/A</v>
      </c>
      <c r="AP384" s="82" t="e">
        <f t="shared" ca="1" si="162"/>
        <v>#N/A</v>
      </c>
      <c r="AQ384" s="82">
        <v>359</v>
      </c>
      <c r="AS384" s="477">
        <f t="shared" ca="1" si="156"/>
        <v>0</v>
      </c>
    </row>
    <row r="385" spans="1:45">
      <c r="A385" s="53">
        <v>360</v>
      </c>
      <c r="B385" s="249">
        <f ca="1">DATE(IF(MONTH(B384)=12,YEAR(B384)+1,YEAR(B384)),IF(MONTH(B384)=12,1,MONTH(B384)+1),MIN(DAY(Condições!$C$109),IF(IF(MONTH(B384)=12,1,MONTH(B384)+1)=2,IF(MOD(IF(MONTH(B384)=12,YEAR(B384)+1,YEAR(B384)),4)=0,29,28),IF(OR(IF(MONTH(B384)=12,1,MONTH(B384)+1)=4,IF(MONTH(B384)=12,1,MONTH(B384)+1)=6,IF(MONTH(B384)=12,1,MONTH(B384)+1)=9,IF(MONTH(B384)=12,1,MONTH(B384)+1)=11),30,DAY($B$25)))))</f>
        <v>57147</v>
      </c>
      <c r="C385" s="250" t="str">
        <f t="shared" si="141"/>
        <v/>
      </c>
      <c r="D385" s="251" t="e">
        <f t="shared" si="142"/>
        <v>#N/A</v>
      </c>
      <c r="E385" s="251">
        <f t="shared" si="143"/>
        <v>0</v>
      </c>
      <c r="F385" s="251">
        <f t="shared" si="144"/>
        <v>0</v>
      </c>
      <c r="G385" s="251">
        <f t="shared" si="145"/>
        <v>0</v>
      </c>
      <c r="H385" s="251" t="e">
        <f t="shared" si="146"/>
        <v>#VALUE!</v>
      </c>
      <c r="I385" s="251">
        <f t="shared" si="147"/>
        <v>0</v>
      </c>
      <c r="J385" s="251">
        <f t="shared" si="157"/>
        <v>0</v>
      </c>
      <c r="K385" s="251">
        <f t="shared" si="148"/>
        <v>0</v>
      </c>
      <c r="M385" s="224"/>
      <c r="N385" s="225">
        <f t="shared" si="149"/>
        <v>0</v>
      </c>
      <c r="O385" s="251" t="e">
        <f t="shared" si="150"/>
        <v>#N/A</v>
      </c>
      <c r="P385" s="251">
        <f t="shared" si="158"/>
        <v>0</v>
      </c>
      <c r="Q385" s="251">
        <f t="shared" si="151"/>
        <v>0</v>
      </c>
      <c r="R385" s="251">
        <f t="shared" si="152"/>
        <v>0</v>
      </c>
      <c r="S385" s="251" t="e">
        <f t="shared" si="153"/>
        <v>#VALUE!</v>
      </c>
      <c r="T385" s="251">
        <f t="shared" si="140"/>
        <v>0</v>
      </c>
      <c r="U385" s="252">
        <f>TRUNC(T385*Condições!$C$102,2)</f>
        <v>0</v>
      </c>
      <c r="V385" s="199">
        <f t="shared" si="159"/>
        <v>0</v>
      </c>
      <c r="W385" s="161" t="e">
        <f t="shared" si="136"/>
        <v>#N/A</v>
      </c>
      <c r="X385" s="161" t="e">
        <f t="shared" si="137"/>
        <v>#N/A</v>
      </c>
      <c r="Y385" s="161">
        <f t="shared" si="138"/>
        <v>360</v>
      </c>
      <c r="Z385" s="161">
        <f t="shared" ca="1" si="139"/>
        <v>6</v>
      </c>
      <c r="AG385" s="114">
        <f t="shared" si="160"/>
        <v>0</v>
      </c>
      <c r="AH385" s="113"/>
      <c r="AI385" s="199">
        <f ca="1">IF(AL385=0,0,IF(AL385&gt;Preenchimento!$AA$88*12,0,IF($AC$53=AM385,0,1)))</f>
        <v>0</v>
      </c>
      <c r="AJ385" s="161" t="e">
        <f t="shared" ca="1" si="154"/>
        <v>#N/A</v>
      </c>
      <c r="AK385" s="161" t="e">
        <f t="shared" ca="1" si="155"/>
        <v>#N/A</v>
      </c>
      <c r="AL385" s="161">
        <f ca="1">IF(Y385&gt;(Preenchimento!$AA$90*12),0,Fixa!Y385)</f>
        <v>0</v>
      </c>
      <c r="AM385" s="161">
        <f t="shared" ca="1" si="161"/>
        <v>6</v>
      </c>
      <c r="AN385" s="199">
        <f ca="1">IF(AQ385&gt;Preenchimento!$AA$90*12,0,1)</f>
        <v>0</v>
      </c>
      <c r="AO385" s="161" t="e">
        <f ca="1">1/((1+SAC!$AD$29)^AL385)</f>
        <v>#N/A</v>
      </c>
      <c r="AP385" s="82" t="e">
        <f t="shared" ca="1" si="162"/>
        <v>#N/A</v>
      </c>
      <c r="AQ385" s="82">
        <v>360</v>
      </c>
      <c r="AS385" s="477">
        <f t="shared" ca="1" si="156"/>
        <v>0</v>
      </c>
    </row>
    <row r="386" spans="1:45">
      <c r="A386" s="53">
        <v>361</v>
      </c>
      <c r="B386" s="249">
        <f ca="1">DATE(IF(MONTH(B385)=12,YEAR(B385)+1,YEAR(B385)),IF(MONTH(B385)=12,1,MONTH(B385)+1),MIN(DAY(Condições!$C$109),IF(IF(MONTH(B385)=12,1,MONTH(B385)+1)=2,IF(MOD(IF(MONTH(B385)=12,YEAR(B385)+1,YEAR(B385)),4)=0,29,28),IF(OR(IF(MONTH(B385)=12,1,MONTH(B385)+1)=4,IF(MONTH(B385)=12,1,MONTH(B385)+1)=6,IF(MONTH(B385)=12,1,MONTH(B385)+1)=9,IF(MONTH(B385)=12,1,MONTH(B385)+1)=11),30,DAY($B$25)))))</f>
        <v>57177</v>
      </c>
      <c r="C386" s="250" t="str">
        <f t="shared" ref="C386:C445" si="163">IF(Y386&gt;$AC$46,"",Y386)</f>
        <v/>
      </c>
      <c r="D386" s="251" t="e">
        <f t="shared" ref="D386:D445" si="164">ROUND(O386,2)</f>
        <v>#N/A</v>
      </c>
      <c r="E386" s="251">
        <f t="shared" ref="E386:E445" si="165">ROUND(P386,2)</f>
        <v>0</v>
      </c>
      <c r="F386" s="251">
        <f t="shared" ref="F386:F445" si="166">ROUND(Q386,2)</f>
        <v>0</v>
      </c>
      <c r="G386" s="251">
        <f t="shared" ref="G386:G445" si="167">F386+E386</f>
        <v>0</v>
      </c>
      <c r="H386" s="251" t="e">
        <f t="shared" ref="H386:H445" si="168">ROUND(S386,2)</f>
        <v>#VALUE!</v>
      </c>
      <c r="I386" s="251">
        <f t="shared" ref="I386:I445" si="169">ROUND(T386+U386,2)</f>
        <v>0</v>
      </c>
      <c r="J386" s="251">
        <f t="shared" ref="J386:J445" si="170">IF(V386=0,0,$AC$49)</f>
        <v>0</v>
      </c>
      <c r="K386" s="251">
        <f t="shared" ref="K386:K445" si="171">IF(C386&gt;$AC$46,0,SUM(G386:J386))</f>
        <v>0</v>
      </c>
      <c r="M386" s="224"/>
      <c r="N386" s="225">
        <f t="shared" ref="N386:N445" si="172">IF(C386&gt;$AC$46,0,(H386+I386)/(1.008^((12*(B386-$B$25))/365)))</f>
        <v>0</v>
      </c>
      <c r="O386" s="251" t="e">
        <f t="shared" si="150"/>
        <v>#N/A</v>
      </c>
      <c r="P386" s="251">
        <f t="shared" ref="P386:P445" si="173">ROUND(IF(V386=0,0,R386-Q386),$P$18)</f>
        <v>0</v>
      </c>
      <c r="Q386" s="251">
        <f t="shared" si="151"/>
        <v>0</v>
      </c>
      <c r="R386" s="251">
        <f t="shared" si="152"/>
        <v>0</v>
      </c>
      <c r="S386" s="251" t="e">
        <f t="shared" si="153"/>
        <v>#VALUE!</v>
      </c>
      <c r="T386" s="251">
        <f t="shared" si="140"/>
        <v>0</v>
      </c>
      <c r="U386" s="113"/>
      <c r="V386" s="199">
        <f t="shared" ref="V386:V445" si="174">IF(Y386&gt;$AC$46,0,IF($AC$53=Z386,0,1))</f>
        <v>0</v>
      </c>
      <c r="W386" s="161" t="e">
        <f t="shared" ref="W386:W445" si="175">1/(1+$AC$47)^Y386</f>
        <v>#N/A</v>
      </c>
      <c r="X386" s="161" t="e">
        <f t="shared" ref="X386:X445" si="176">W386*V386</f>
        <v>#N/A</v>
      </c>
      <c r="Y386" s="161">
        <f t="shared" si="138"/>
        <v>361</v>
      </c>
      <c r="Z386" s="161">
        <f t="shared" ca="1" si="139"/>
        <v>7</v>
      </c>
      <c r="AG386" s="114">
        <f t="shared" ref="AG386:AG445" si="177">IF(C386&gt;$AC$46,0,R386+S386+T386+U386+J386)</f>
        <v>0</v>
      </c>
      <c r="AH386" s="113"/>
      <c r="AI386" s="199">
        <f ca="1">IF(AL386=0,0,IF(AL386&gt;Preenchimento!$AA$88*12,0,IF($AC$53=AM386,0,1)))</f>
        <v>0</v>
      </c>
      <c r="AJ386" s="161" t="e">
        <f t="shared" ref="AJ386:AJ445" ca="1" si="178">1/(1+$AC$47)^AL386</f>
        <v>#N/A</v>
      </c>
      <c r="AK386" s="161" t="e">
        <f t="shared" ref="AK386:AK445" ca="1" si="179">AJ386*AI386</f>
        <v>#N/A</v>
      </c>
      <c r="AL386" s="161">
        <f ca="1">IF(Y386&gt;(Preenchimento!$AA$90*12),0,Fixa!Y386)</f>
        <v>0</v>
      </c>
      <c r="AM386" s="161">
        <f t="shared" ca="1" si="161"/>
        <v>7</v>
      </c>
      <c r="AN386" s="199">
        <f ca="1">IF(AQ386&gt;Preenchimento!$AA$90*12,0,1)</f>
        <v>0</v>
      </c>
      <c r="AO386" s="161" t="e">
        <f ca="1">1/((1+SAC!$AD$29)^AL386)</f>
        <v>#N/A</v>
      </c>
      <c r="AP386" s="82" t="e">
        <f t="shared" ref="AP386:AP445" ca="1" si="180">AO386*AN386</f>
        <v>#N/A</v>
      </c>
      <c r="AQ386" s="82">
        <v>361</v>
      </c>
      <c r="AS386" s="477">
        <f t="shared" ca="1" si="156"/>
        <v>0</v>
      </c>
    </row>
    <row r="387" spans="1:45">
      <c r="A387" s="53">
        <v>362</v>
      </c>
      <c r="B387" s="249">
        <f ca="1">DATE(IF(MONTH(B386)=12,YEAR(B386)+1,YEAR(B386)),IF(MONTH(B386)=12,1,MONTH(B386)+1),MIN(DAY(Condições!$C$109),IF(IF(MONTH(B386)=12,1,MONTH(B386)+1)=2,IF(MOD(IF(MONTH(B386)=12,YEAR(B386)+1,YEAR(B386)),4)=0,29,28),IF(OR(IF(MONTH(B386)=12,1,MONTH(B386)+1)=4,IF(MONTH(B386)=12,1,MONTH(B386)+1)=6,IF(MONTH(B386)=12,1,MONTH(B386)+1)=9,IF(MONTH(B386)=12,1,MONTH(B386)+1)=11),30,DAY($B$25)))))</f>
        <v>57208</v>
      </c>
      <c r="C387" s="250" t="str">
        <f t="shared" si="163"/>
        <v/>
      </c>
      <c r="D387" s="251" t="e">
        <f t="shared" si="164"/>
        <v>#N/A</v>
      </c>
      <c r="E387" s="251">
        <f t="shared" si="165"/>
        <v>0</v>
      </c>
      <c r="F387" s="251">
        <f t="shared" si="166"/>
        <v>0</v>
      </c>
      <c r="G387" s="251">
        <f t="shared" si="167"/>
        <v>0</v>
      </c>
      <c r="H387" s="251" t="e">
        <f t="shared" si="168"/>
        <v>#VALUE!</v>
      </c>
      <c r="I387" s="251">
        <f t="shared" si="169"/>
        <v>0</v>
      </c>
      <c r="J387" s="251">
        <f t="shared" si="170"/>
        <v>0</v>
      </c>
      <c r="K387" s="251">
        <f t="shared" si="171"/>
        <v>0</v>
      </c>
      <c r="M387" s="224"/>
      <c r="N387" s="225">
        <f t="shared" si="172"/>
        <v>0</v>
      </c>
      <c r="O387" s="251" t="e">
        <f t="shared" si="150"/>
        <v>#N/A</v>
      </c>
      <c r="P387" s="251">
        <f t="shared" si="173"/>
        <v>0</v>
      </c>
      <c r="Q387" s="251">
        <f t="shared" si="151"/>
        <v>0</v>
      </c>
      <c r="R387" s="251">
        <f t="shared" si="152"/>
        <v>0</v>
      </c>
      <c r="S387" s="251" t="e">
        <f t="shared" si="153"/>
        <v>#VALUE!</v>
      </c>
      <c r="T387" s="251">
        <f t="shared" si="140"/>
        <v>0</v>
      </c>
      <c r="V387" s="199">
        <f t="shared" si="174"/>
        <v>0</v>
      </c>
      <c r="W387" s="161" t="e">
        <f t="shared" si="175"/>
        <v>#N/A</v>
      </c>
      <c r="X387" s="161" t="e">
        <f t="shared" si="176"/>
        <v>#N/A</v>
      </c>
      <c r="Y387" s="161">
        <f t="shared" si="138"/>
        <v>362</v>
      </c>
      <c r="Z387" s="161">
        <f t="shared" ca="1" si="139"/>
        <v>8</v>
      </c>
      <c r="AG387" s="114">
        <f t="shared" si="177"/>
        <v>0</v>
      </c>
      <c r="AH387" s="113"/>
      <c r="AI387" s="199">
        <f ca="1">IF(AL387=0,0,IF(AL387&gt;Preenchimento!$AA$88*12,0,IF($AC$53=AM387,0,1)))</f>
        <v>0</v>
      </c>
      <c r="AJ387" s="161" t="e">
        <f t="shared" ca="1" si="178"/>
        <v>#N/A</v>
      </c>
      <c r="AK387" s="161" t="e">
        <f t="shared" ca="1" si="179"/>
        <v>#N/A</v>
      </c>
      <c r="AL387" s="161">
        <f ca="1">IF(Y387&gt;(Preenchimento!$AA$90*12),0,Fixa!Y387)</f>
        <v>0</v>
      </c>
      <c r="AM387" s="161">
        <f t="shared" ca="1" si="161"/>
        <v>8</v>
      </c>
      <c r="AN387" s="199">
        <f ca="1">IF(AQ387&gt;Preenchimento!$AA$90*12,0,1)</f>
        <v>0</v>
      </c>
      <c r="AO387" s="161" t="e">
        <f ca="1">1/((1+SAC!$AD$29)^AL387)</f>
        <v>#N/A</v>
      </c>
      <c r="AP387" s="82" t="e">
        <f t="shared" ca="1" si="180"/>
        <v>#N/A</v>
      </c>
      <c r="AQ387" s="82">
        <v>362</v>
      </c>
      <c r="AS387" s="477">
        <f t="shared" ca="1" si="156"/>
        <v>0</v>
      </c>
    </row>
    <row r="388" spans="1:45">
      <c r="A388" s="53">
        <v>363</v>
      </c>
      <c r="B388" s="249">
        <f ca="1">DATE(IF(MONTH(B387)=12,YEAR(B387)+1,YEAR(B387)),IF(MONTH(B387)=12,1,MONTH(B387)+1),MIN(DAY(Condições!$C$109),IF(IF(MONTH(B387)=12,1,MONTH(B387)+1)=2,IF(MOD(IF(MONTH(B387)=12,YEAR(B387)+1,YEAR(B387)),4)=0,29,28),IF(OR(IF(MONTH(B387)=12,1,MONTH(B387)+1)=4,IF(MONTH(B387)=12,1,MONTH(B387)+1)=6,IF(MONTH(B387)=12,1,MONTH(B387)+1)=9,IF(MONTH(B387)=12,1,MONTH(B387)+1)=11),30,DAY($B$25)))))</f>
        <v>57239</v>
      </c>
      <c r="C388" s="250" t="str">
        <f t="shared" si="163"/>
        <v/>
      </c>
      <c r="D388" s="251" t="e">
        <f t="shared" si="164"/>
        <v>#N/A</v>
      </c>
      <c r="E388" s="251">
        <f t="shared" si="165"/>
        <v>0</v>
      </c>
      <c r="F388" s="251">
        <f t="shared" si="166"/>
        <v>0</v>
      </c>
      <c r="G388" s="251">
        <f t="shared" si="167"/>
        <v>0</v>
      </c>
      <c r="H388" s="251" t="e">
        <f t="shared" si="168"/>
        <v>#VALUE!</v>
      </c>
      <c r="I388" s="251">
        <f t="shared" si="169"/>
        <v>0</v>
      </c>
      <c r="J388" s="251">
        <f t="shared" si="170"/>
        <v>0</v>
      </c>
      <c r="K388" s="251">
        <f t="shared" si="171"/>
        <v>0</v>
      </c>
      <c r="M388" s="224"/>
      <c r="N388" s="225">
        <f t="shared" si="172"/>
        <v>0</v>
      </c>
      <c r="O388" s="251" t="e">
        <f t="shared" si="150"/>
        <v>#N/A</v>
      </c>
      <c r="P388" s="251">
        <f t="shared" si="173"/>
        <v>0</v>
      </c>
      <c r="Q388" s="251">
        <f t="shared" si="151"/>
        <v>0</v>
      </c>
      <c r="R388" s="251">
        <f t="shared" si="152"/>
        <v>0</v>
      </c>
      <c r="S388" s="251" t="e">
        <f t="shared" si="153"/>
        <v>#VALUE!</v>
      </c>
      <c r="T388" s="251">
        <f t="shared" si="140"/>
        <v>0</v>
      </c>
      <c r="V388" s="199">
        <f t="shared" si="174"/>
        <v>0</v>
      </c>
      <c r="W388" s="161" t="e">
        <f t="shared" si="175"/>
        <v>#N/A</v>
      </c>
      <c r="X388" s="161" t="e">
        <f t="shared" si="176"/>
        <v>#N/A</v>
      </c>
      <c r="Y388" s="161">
        <f t="shared" si="138"/>
        <v>363</v>
      </c>
      <c r="Z388" s="161">
        <f t="shared" ca="1" si="139"/>
        <v>9</v>
      </c>
      <c r="AG388" s="114">
        <f t="shared" si="177"/>
        <v>0</v>
      </c>
      <c r="AH388" s="113"/>
      <c r="AI388" s="199">
        <f ca="1">IF(AL388=0,0,IF(AL388&gt;Preenchimento!$AA$88*12,0,IF($AC$53=AM388,0,1)))</f>
        <v>0</v>
      </c>
      <c r="AJ388" s="161" t="e">
        <f t="shared" ca="1" si="178"/>
        <v>#N/A</v>
      </c>
      <c r="AK388" s="161" t="e">
        <f t="shared" ca="1" si="179"/>
        <v>#N/A</v>
      </c>
      <c r="AL388" s="161">
        <f ca="1">IF(Y388&gt;(Preenchimento!$AA$90*12),0,Fixa!Y388)</f>
        <v>0</v>
      </c>
      <c r="AM388" s="161">
        <f t="shared" ca="1" si="161"/>
        <v>9</v>
      </c>
      <c r="AN388" s="199">
        <f ca="1">IF(AQ388&gt;Preenchimento!$AA$90*12,0,1)</f>
        <v>0</v>
      </c>
      <c r="AO388" s="161" t="e">
        <f ca="1">1/((1+SAC!$AD$29)^AL388)</f>
        <v>#N/A</v>
      </c>
      <c r="AP388" s="82" t="e">
        <f t="shared" ca="1" si="180"/>
        <v>#N/A</v>
      </c>
      <c r="AQ388" s="82">
        <v>363</v>
      </c>
      <c r="AS388" s="477">
        <f t="shared" ca="1" si="156"/>
        <v>0</v>
      </c>
    </row>
    <row r="389" spans="1:45">
      <c r="A389" s="53">
        <v>364</v>
      </c>
      <c r="B389" s="249">
        <f ca="1">DATE(IF(MONTH(B388)=12,YEAR(B388)+1,YEAR(B388)),IF(MONTH(B388)=12,1,MONTH(B388)+1),MIN(DAY(Condições!$C$109),IF(IF(MONTH(B388)=12,1,MONTH(B388)+1)=2,IF(MOD(IF(MONTH(B388)=12,YEAR(B388)+1,YEAR(B388)),4)=0,29,28),IF(OR(IF(MONTH(B388)=12,1,MONTH(B388)+1)=4,IF(MONTH(B388)=12,1,MONTH(B388)+1)=6,IF(MONTH(B388)=12,1,MONTH(B388)+1)=9,IF(MONTH(B388)=12,1,MONTH(B388)+1)=11),30,DAY($B$25)))))</f>
        <v>57269</v>
      </c>
      <c r="C389" s="250" t="str">
        <f t="shared" si="163"/>
        <v/>
      </c>
      <c r="D389" s="251" t="e">
        <f t="shared" si="164"/>
        <v>#N/A</v>
      </c>
      <c r="E389" s="251">
        <f t="shared" si="165"/>
        <v>0</v>
      </c>
      <c r="F389" s="251">
        <f t="shared" si="166"/>
        <v>0</v>
      </c>
      <c r="G389" s="251">
        <f t="shared" si="167"/>
        <v>0</v>
      </c>
      <c r="H389" s="251" t="e">
        <f t="shared" si="168"/>
        <v>#VALUE!</v>
      </c>
      <c r="I389" s="251">
        <f t="shared" si="169"/>
        <v>0</v>
      </c>
      <c r="J389" s="251">
        <f t="shared" si="170"/>
        <v>0</v>
      </c>
      <c r="K389" s="251">
        <f t="shared" si="171"/>
        <v>0</v>
      </c>
      <c r="M389" s="224"/>
      <c r="N389" s="225">
        <f t="shared" si="172"/>
        <v>0</v>
      </c>
      <c r="O389" s="251" t="e">
        <f t="shared" si="150"/>
        <v>#N/A</v>
      </c>
      <c r="P389" s="251">
        <f t="shared" si="173"/>
        <v>0</v>
      </c>
      <c r="Q389" s="251">
        <f t="shared" si="151"/>
        <v>0</v>
      </c>
      <c r="R389" s="251">
        <f t="shared" si="152"/>
        <v>0</v>
      </c>
      <c r="S389" s="251" t="e">
        <f t="shared" si="153"/>
        <v>#VALUE!</v>
      </c>
      <c r="T389" s="251">
        <f t="shared" si="140"/>
        <v>0</v>
      </c>
      <c r="V389" s="199">
        <f t="shared" si="174"/>
        <v>0</v>
      </c>
      <c r="W389" s="161" t="e">
        <f t="shared" si="175"/>
        <v>#N/A</v>
      </c>
      <c r="X389" s="161" t="e">
        <f t="shared" si="176"/>
        <v>#N/A</v>
      </c>
      <c r="Y389" s="161">
        <f t="shared" si="138"/>
        <v>364</v>
      </c>
      <c r="Z389" s="161">
        <f t="shared" ca="1" si="139"/>
        <v>10</v>
      </c>
      <c r="AG389" s="114">
        <f t="shared" si="177"/>
        <v>0</v>
      </c>
      <c r="AH389" s="113"/>
      <c r="AI389" s="199">
        <f ca="1">IF(AL389=0,0,IF(AL389&gt;Preenchimento!$AA$88*12,0,IF($AC$53=AM389,0,1)))</f>
        <v>0</v>
      </c>
      <c r="AJ389" s="161" t="e">
        <f t="shared" ca="1" si="178"/>
        <v>#N/A</v>
      </c>
      <c r="AK389" s="161" t="e">
        <f t="shared" ca="1" si="179"/>
        <v>#N/A</v>
      </c>
      <c r="AL389" s="161">
        <f ca="1">IF(Y389&gt;(Preenchimento!$AA$90*12),0,Fixa!Y389)</f>
        <v>0</v>
      </c>
      <c r="AM389" s="161">
        <f t="shared" ca="1" si="161"/>
        <v>10</v>
      </c>
      <c r="AN389" s="199">
        <f ca="1">IF(AQ389&gt;Preenchimento!$AA$90*12,0,1)</f>
        <v>0</v>
      </c>
      <c r="AO389" s="161" t="e">
        <f ca="1">1/((1+SAC!$AD$29)^AL389)</f>
        <v>#N/A</v>
      </c>
      <c r="AP389" s="82" t="e">
        <f t="shared" ca="1" si="180"/>
        <v>#N/A</v>
      </c>
      <c r="AQ389" s="82">
        <v>364</v>
      </c>
      <c r="AS389" s="477">
        <f t="shared" ca="1" si="156"/>
        <v>0</v>
      </c>
    </row>
    <row r="390" spans="1:45">
      <c r="A390" s="53">
        <v>365</v>
      </c>
      <c r="B390" s="249">
        <f ca="1">DATE(IF(MONTH(B389)=12,YEAR(B389)+1,YEAR(B389)),IF(MONTH(B389)=12,1,MONTH(B389)+1),MIN(DAY(Condições!$C$109),IF(IF(MONTH(B389)=12,1,MONTH(B389)+1)=2,IF(MOD(IF(MONTH(B389)=12,YEAR(B389)+1,YEAR(B389)),4)=0,29,28),IF(OR(IF(MONTH(B389)=12,1,MONTH(B389)+1)=4,IF(MONTH(B389)=12,1,MONTH(B389)+1)=6,IF(MONTH(B389)=12,1,MONTH(B389)+1)=9,IF(MONTH(B389)=12,1,MONTH(B389)+1)=11),30,DAY($B$25)))))</f>
        <v>57300</v>
      </c>
      <c r="C390" s="250" t="str">
        <f t="shared" si="163"/>
        <v/>
      </c>
      <c r="D390" s="251" t="e">
        <f t="shared" si="164"/>
        <v>#N/A</v>
      </c>
      <c r="E390" s="251">
        <f t="shared" si="165"/>
        <v>0</v>
      </c>
      <c r="F390" s="251">
        <f t="shared" si="166"/>
        <v>0</v>
      </c>
      <c r="G390" s="251">
        <f t="shared" si="167"/>
        <v>0</v>
      </c>
      <c r="H390" s="251" t="e">
        <f t="shared" si="168"/>
        <v>#VALUE!</v>
      </c>
      <c r="I390" s="251">
        <f t="shared" si="169"/>
        <v>0</v>
      </c>
      <c r="J390" s="251">
        <f t="shared" si="170"/>
        <v>0</v>
      </c>
      <c r="K390" s="251">
        <f t="shared" si="171"/>
        <v>0</v>
      </c>
      <c r="M390" s="224"/>
      <c r="N390" s="225">
        <f t="shared" si="172"/>
        <v>0</v>
      </c>
      <c r="O390" s="251" t="e">
        <f t="shared" si="150"/>
        <v>#N/A</v>
      </c>
      <c r="P390" s="251">
        <f t="shared" si="173"/>
        <v>0</v>
      </c>
      <c r="Q390" s="251">
        <f t="shared" si="151"/>
        <v>0</v>
      </c>
      <c r="R390" s="251">
        <f t="shared" si="152"/>
        <v>0</v>
      </c>
      <c r="S390" s="251" t="e">
        <f t="shared" si="153"/>
        <v>#VALUE!</v>
      </c>
      <c r="T390" s="251">
        <f t="shared" si="140"/>
        <v>0</v>
      </c>
      <c r="V390" s="199">
        <f t="shared" si="174"/>
        <v>0</v>
      </c>
      <c r="W390" s="161" t="e">
        <f t="shared" si="175"/>
        <v>#N/A</v>
      </c>
      <c r="X390" s="161" t="e">
        <f t="shared" si="176"/>
        <v>#N/A</v>
      </c>
      <c r="Y390" s="161">
        <f t="shared" si="138"/>
        <v>365</v>
      </c>
      <c r="Z390" s="161">
        <f t="shared" ca="1" si="139"/>
        <v>11</v>
      </c>
      <c r="AG390" s="114">
        <f t="shared" si="177"/>
        <v>0</v>
      </c>
      <c r="AH390" s="113"/>
      <c r="AI390" s="199">
        <f ca="1">IF(AL390=0,0,IF(AL390&gt;Preenchimento!$AA$88*12,0,IF($AC$53=AM390,0,1)))</f>
        <v>0</v>
      </c>
      <c r="AJ390" s="161" t="e">
        <f t="shared" ca="1" si="178"/>
        <v>#N/A</v>
      </c>
      <c r="AK390" s="161" t="e">
        <f t="shared" ca="1" si="179"/>
        <v>#N/A</v>
      </c>
      <c r="AL390" s="161">
        <f ca="1">IF(Y390&gt;(Preenchimento!$AA$90*12),0,Fixa!Y390)</f>
        <v>0</v>
      </c>
      <c r="AM390" s="161">
        <f t="shared" ca="1" si="161"/>
        <v>11</v>
      </c>
      <c r="AN390" s="199">
        <f ca="1">IF(AQ390&gt;Preenchimento!$AA$90*12,0,1)</f>
        <v>0</v>
      </c>
      <c r="AO390" s="161" t="e">
        <f ca="1">1/((1+SAC!$AD$29)^AL390)</f>
        <v>#N/A</v>
      </c>
      <c r="AP390" s="82" t="e">
        <f t="shared" ca="1" si="180"/>
        <v>#N/A</v>
      </c>
      <c r="AQ390" s="82">
        <v>365</v>
      </c>
      <c r="AS390" s="477">
        <f t="shared" ca="1" si="156"/>
        <v>0</v>
      </c>
    </row>
    <row r="391" spans="1:45">
      <c r="A391" s="53">
        <v>366</v>
      </c>
      <c r="B391" s="249">
        <f ca="1">DATE(IF(MONTH(B390)=12,YEAR(B390)+1,YEAR(B390)),IF(MONTH(B390)=12,1,MONTH(B390)+1),MIN(DAY(Condições!$C$109),IF(IF(MONTH(B390)=12,1,MONTH(B390)+1)=2,IF(MOD(IF(MONTH(B390)=12,YEAR(B390)+1,YEAR(B390)),4)=0,29,28),IF(OR(IF(MONTH(B390)=12,1,MONTH(B390)+1)=4,IF(MONTH(B390)=12,1,MONTH(B390)+1)=6,IF(MONTH(B390)=12,1,MONTH(B390)+1)=9,IF(MONTH(B390)=12,1,MONTH(B390)+1)=11),30,DAY($B$25)))))</f>
        <v>57330</v>
      </c>
      <c r="C391" s="250" t="str">
        <f t="shared" si="163"/>
        <v/>
      </c>
      <c r="D391" s="251" t="e">
        <f t="shared" si="164"/>
        <v>#N/A</v>
      </c>
      <c r="E391" s="251">
        <f t="shared" si="165"/>
        <v>0</v>
      </c>
      <c r="F391" s="251">
        <f t="shared" si="166"/>
        <v>0</v>
      </c>
      <c r="G391" s="251">
        <f t="shared" si="167"/>
        <v>0</v>
      </c>
      <c r="H391" s="251" t="e">
        <f t="shared" si="168"/>
        <v>#VALUE!</v>
      </c>
      <c r="I391" s="251">
        <f t="shared" si="169"/>
        <v>0</v>
      </c>
      <c r="J391" s="251">
        <f t="shared" si="170"/>
        <v>0</v>
      </c>
      <c r="K391" s="251">
        <f t="shared" si="171"/>
        <v>0</v>
      </c>
      <c r="M391" s="224"/>
      <c r="N391" s="225">
        <f t="shared" si="172"/>
        <v>0</v>
      </c>
      <c r="O391" s="251" t="e">
        <f t="shared" si="150"/>
        <v>#N/A</v>
      </c>
      <c r="P391" s="251">
        <f t="shared" si="173"/>
        <v>0</v>
      </c>
      <c r="Q391" s="251">
        <f t="shared" si="151"/>
        <v>0</v>
      </c>
      <c r="R391" s="251">
        <f t="shared" si="152"/>
        <v>0</v>
      </c>
      <c r="S391" s="251" t="e">
        <f t="shared" si="153"/>
        <v>#VALUE!</v>
      </c>
      <c r="T391" s="251">
        <f t="shared" si="140"/>
        <v>0</v>
      </c>
      <c r="V391" s="199">
        <f t="shared" si="174"/>
        <v>0</v>
      </c>
      <c r="W391" s="161" t="e">
        <f t="shared" si="175"/>
        <v>#N/A</v>
      </c>
      <c r="X391" s="161" t="e">
        <f t="shared" si="176"/>
        <v>#N/A</v>
      </c>
      <c r="Y391" s="161">
        <f t="shared" si="138"/>
        <v>366</v>
      </c>
      <c r="Z391" s="161">
        <f t="shared" ca="1" si="139"/>
        <v>12</v>
      </c>
      <c r="AG391" s="114">
        <f t="shared" si="177"/>
        <v>0</v>
      </c>
      <c r="AH391" s="113"/>
      <c r="AI391" s="199">
        <f ca="1">IF(AL391=0,0,IF(AL391&gt;Preenchimento!$AA$88*12,0,IF($AC$53=AM391,0,1)))</f>
        <v>0</v>
      </c>
      <c r="AJ391" s="161" t="e">
        <f t="shared" ca="1" si="178"/>
        <v>#N/A</v>
      </c>
      <c r="AK391" s="161" t="e">
        <f t="shared" ca="1" si="179"/>
        <v>#N/A</v>
      </c>
      <c r="AL391" s="161">
        <f ca="1">IF(Y391&gt;(Preenchimento!$AA$90*12),0,Fixa!Y391)</f>
        <v>0</v>
      </c>
      <c r="AM391" s="161">
        <f t="shared" ca="1" si="161"/>
        <v>12</v>
      </c>
      <c r="AN391" s="199">
        <f ca="1">IF(AQ391&gt;Preenchimento!$AA$90*12,0,1)</f>
        <v>0</v>
      </c>
      <c r="AO391" s="161" t="e">
        <f ca="1">1/((1+SAC!$AD$29)^AL391)</f>
        <v>#N/A</v>
      </c>
      <c r="AP391" s="82" t="e">
        <f t="shared" ca="1" si="180"/>
        <v>#N/A</v>
      </c>
      <c r="AQ391" s="82">
        <v>366</v>
      </c>
      <c r="AS391" s="477">
        <f t="shared" ca="1" si="156"/>
        <v>0</v>
      </c>
    </row>
    <row r="392" spans="1:45">
      <c r="A392" s="53">
        <v>367</v>
      </c>
      <c r="B392" s="249">
        <f ca="1">DATE(IF(MONTH(B391)=12,YEAR(B391)+1,YEAR(B391)),IF(MONTH(B391)=12,1,MONTH(B391)+1),MIN(DAY(Condições!$C$109),IF(IF(MONTH(B391)=12,1,MONTH(B391)+1)=2,IF(MOD(IF(MONTH(B391)=12,YEAR(B391)+1,YEAR(B391)),4)=0,29,28),IF(OR(IF(MONTH(B391)=12,1,MONTH(B391)+1)=4,IF(MONTH(B391)=12,1,MONTH(B391)+1)=6,IF(MONTH(B391)=12,1,MONTH(B391)+1)=9,IF(MONTH(B391)=12,1,MONTH(B391)+1)=11),30,DAY($B$25)))))</f>
        <v>57361</v>
      </c>
      <c r="C392" s="250" t="str">
        <f t="shared" si="163"/>
        <v/>
      </c>
      <c r="D392" s="251" t="e">
        <f t="shared" si="164"/>
        <v>#N/A</v>
      </c>
      <c r="E392" s="251">
        <f t="shared" si="165"/>
        <v>0</v>
      </c>
      <c r="F392" s="251">
        <f t="shared" si="166"/>
        <v>0</v>
      </c>
      <c r="G392" s="251">
        <f t="shared" si="167"/>
        <v>0</v>
      </c>
      <c r="H392" s="251" t="e">
        <f t="shared" si="168"/>
        <v>#VALUE!</v>
      </c>
      <c r="I392" s="251">
        <f t="shared" si="169"/>
        <v>0</v>
      </c>
      <c r="J392" s="251">
        <f t="shared" si="170"/>
        <v>0</v>
      </c>
      <c r="K392" s="251">
        <f t="shared" si="171"/>
        <v>0</v>
      </c>
      <c r="M392" s="224"/>
      <c r="N392" s="225">
        <f t="shared" si="172"/>
        <v>0</v>
      </c>
      <c r="O392" s="251" t="e">
        <f t="shared" si="150"/>
        <v>#N/A</v>
      </c>
      <c r="P392" s="251">
        <f t="shared" si="173"/>
        <v>0</v>
      </c>
      <c r="Q392" s="251">
        <f t="shared" si="151"/>
        <v>0</v>
      </c>
      <c r="R392" s="251">
        <f t="shared" si="152"/>
        <v>0</v>
      </c>
      <c r="S392" s="251" t="e">
        <f t="shared" si="153"/>
        <v>#VALUE!</v>
      </c>
      <c r="T392" s="251">
        <f t="shared" si="140"/>
        <v>0</v>
      </c>
      <c r="V392" s="199">
        <f t="shared" si="174"/>
        <v>0</v>
      </c>
      <c r="W392" s="161" t="e">
        <f t="shared" si="175"/>
        <v>#N/A</v>
      </c>
      <c r="X392" s="161" t="e">
        <f t="shared" si="176"/>
        <v>#N/A</v>
      </c>
      <c r="Y392" s="161">
        <f t="shared" si="138"/>
        <v>367</v>
      </c>
      <c r="Z392" s="161">
        <f t="shared" ca="1" si="139"/>
        <v>1</v>
      </c>
      <c r="AG392" s="114">
        <f t="shared" si="177"/>
        <v>0</v>
      </c>
      <c r="AH392" s="113"/>
      <c r="AI392" s="199">
        <f ca="1">IF(AL392=0,0,IF(AL392&gt;Preenchimento!$AA$88*12,0,IF($AC$53=AM392,0,1)))</f>
        <v>0</v>
      </c>
      <c r="AJ392" s="161" t="e">
        <f t="shared" ca="1" si="178"/>
        <v>#N/A</v>
      </c>
      <c r="AK392" s="161" t="e">
        <f t="shared" ca="1" si="179"/>
        <v>#N/A</v>
      </c>
      <c r="AL392" s="161">
        <f ca="1">IF(Y392&gt;(Preenchimento!$AA$90*12),0,Fixa!Y392)</f>
        <v>0</v>
      </c>
      <c r="AM392" s="161">
        <f t="shared" ca="1" si="161"/>
        <v>1</v>
      </c>
      <c r="AN392" s="199">
        <f ca="1">IF(AQ392&gt;Preenchimento!$AA$90*12,0,1)</f>
        <v>0</v>
      </c>
      <c r="AO392" s="161" t="e">
        <f ca="1">1/((1+SAC!$AD$29)^AL392)</f>
        <v>#N/A</v>
      </c>
      <c r="AP392" s="82" t="e">
        <f t="shared" ca="1" si="180"/>
        <v>#N/A</v>
      </c>
      <c r="AQ392" s="82">
        <v>367</v>
      </c>
      <c r="AS392" s="477">
        <f t="shared" ca="1" si="156"/>
        <v>0</v>
      </c>
    </row>
    <row r="393" spans="1:45">
      <c r="A393" s="53">
        <v>368</v>
      </c>
      <c r="B393" s="249">
        <f ca="1">DATE(IF(MONTH(B392)=12,YEAR(B392)+1,YEAR(B392)),IF(MONTH(B392)=12,1,MONTH(B392)+1),MIN(DAY(Condições!$C$109),IF(IF(MONTH(B392)=12,1,MONTH(B392)+1)=2,IF(MOD(IF(MONTH(B392)=12,YEAR(B392)+1,YEAR(B392)),4)=0,29,28),IF(OR(IF(MONTH(B392)=12,1,MONTH(B392)+1)=4,IF(MONTH(B392)=12,1,MONTH(B392)+1)=6,IF(MONTH(B392)=12,1,MONTH(B392)+1)=9,IF(MONTH(B392)=12,1,MONTH(B392)+1)=11),30,DAY($B$25)))))</f>
        <v>57392</v>
      </c>
      <c r="C393" s="250" t="str">
        <f t="shared" si="163"/>
        <v/>
      </c>
      <c r="D393" s="251" t="e">
        <f t="shared" si="164"/>
        <v>#N/A</v>
      </c>
      <c r="E393" s="251">
        <f t="shared" si="165"/>
        <v>0</v>
      </c>
      <c r="F393" s="251">
        <f t="shared" si="166"/>
        <v>0</v>
      </c>
      <c r="G393" s="251">
        <f t="shared" si="167"/>
        <v>0</v>
      </c>
      <c r="H393" s="251" t="e">
        <f t="shared" si="168"/>
        <v>#VALUE!</v>
      </c>
      <c r="I393" s="251">
        <f t="shared" si="169"/>
        <v>0</v>
      </c>
      <c r="J393" s="251">
        <f t="shared" si="170"/>
        <v>0</v>
      </c>
      <c r="K393" s="251">
        <f t="shared" si="171"/>
        <v>0</v>
      </c>
      <c r="M393" s="224"/>
      <c r="N393" s="225">
        <f t="shared" si="172"/>
        <v>0</v>
      </c>
      <c r="O393" s="251" t="e">
        <f t="shared" si="150"/>
        <v>#N/A</v>
      </c>
      <c r="P393" s="251">
        <f t="shared" si="173"/>
        <v>0</v>
      </c>
      <c r="Q393" s="251">
        <f t="shared" si="151"/>
        <v>0</v>
      </c>
      <c r="R393" s="251">
        <f t="shared" si="152"/>
        <v>0</v>
      </c>
      <c r="S393" s="251" t="e">
        <f t="shared" si="153"/>
        <v>#VALUE!</v>
      </c>
      <c r="T393" s="251">
        <f t="shared" si="140"/>
        <v>0</v>
      </c>
      <c r="V393" s="199">
        <f t="shared" si="174"/>
        <v>0</v>
      </c>
      <c r="W393" s="161" t="e">
        <f t="shared" si="175"/>
        <v>#N/A</v>
      </c>
      <c r="X393" s="161" t="e">
        <f t="shared" si="176"/>
        <v>#N/A</v>
      </c>
      <c r="Y393" s="161">
        <f t="shared" si="138"/>
        <v>368</v>
      </c>
      <c r="Z393" s="161">
        <f t="shared" ca="1" si="139"/>
        <v>2</v>
      </c>
      <c r="AG393" s="114">
        <f t="shared" si="177"/>
        <v>0</v>
      </c>
      <c r="AH393" s="113"/>
      <c r="AI393" s="199">
        <f ca="1">IF(AL393=0,0,IF(AL393&gt;Preenchimento!$AA$88*12,0,IF($AC$53=AM393,0,1)))</f>
        <v>0</v>
      </c>
      <c r="AJ393" s="161" t="e">
        <f t="shared" ca="1" si="178"/>
        <v>#N/A</v>
      </c>
      <c r="AK393" s="161" t="e">
        <f t="shared" ca="1" si="179"/>
        <v>#N/A</v>
      </c>
      <c r="AL393" s="161">
        <f ca="1">IF(Y393&gt;(Preenchimento!$AA$90*12),0,Fixa!Y393)</f>
        <v>0</v>
      </c>
      <c r="AM393" s="161">
        <f t="shared" ca="1" si="161"/>
        <v>2</v>
      </c>
      <c r="AN393" s="199">
        <f ca="1">IF(AQ393&gt;Preenchimento!$AA$90*12,0,1)</f>
        <v>0</v>
      </c>
      <c r="AO393" s="161" t="e">
        <f ca="1">1/((1+SAC!$AD$29)^AL393)</f>
        <v>#N/A</v>
      </c>
      <c r="AP393" s="82" t="e">
        <f t="shared" ca="1" si="180"/>
        <v>#N/A</v>
      </c>
      <c r="AQ393" s="82">
        <v>368</v>
      </c>
      <c r="AS393" s="477">
        <f t="shared" ca="1" si="156"/>
        <v>0</v>
      </c>
    </row>
    <row r="394" spans="1:45">
      <c r="A394" s="53">
        <v>369</v>
      </c>
      <c r="B394" s="249">
        <f ca="1">DATE(IF(MONTH(B393)=12,YEAR(B393)+1,YEAR(B393)),IF(MONTH(B393)=12,1,MONTH(B393)+1),MIN(DAY(Condições!$C$109),IF(IF(MONTH(B393)=12,1,MONTH(B393)+1)=2,IF(MOD(IF(MONTH(B393)=12,YEAR(B393)+1,YEAR(B393)),4)=0,29,28),IF(OR(IF(MONTH(B393)=12,1,MONTH(B393)+1)=4,IF(MONTH(B393)=12,1,MONTH(B393)+1)=6,IF(MONTH(B393)=12,1,MONTH(B393)+1)=9,IF(MONTH(B393)=12,1,MONTH(B393)+1)=11),30,DAY($B$25)))))</f>
        <v>57420</v>
      </c>
      <c r="C394" s="250" t="str">
        <f t="shared" si="163"/>
        <v/>
      </c>
      <c r="D394" s="251" t="e">
        <f t="shared" si="164"/>
        <v>#N/A</v>
      </c>
      <c r="E394" s="251">
        <f t="shared" si="165"/>
        <v>0</v>
      </c>
      <c r="F394" s="251">
        <f t="shared" si="166"/>
        <v>0</v>
      </c>
      <c r="G394" s="251">
        <f t="shared" si="167"/>
        <v>0</v>
      </c>
      <c r="H394" s="251" t="e">
        <f t="shared" si="168"/>
        <v>#VALUE!</v>
      </c>
      <c r="I394" s="251">
        <f t="shared" si="169"/>
        <v>0</v>
      </c>
      <c r="J394" s="251">
        <f t="shared" si="170"/>
        <v>0</v>
      </c>
      <c r="K394" s="251">
        <f t="shared" si="171"/>
        <v>0</v>
      </c>
      <c r="M394" s="224"/>
      <c r="N394" s="225">
        <f t="shared" si="172"/>
        <v>0</v>
      </c>
      <c r="O394" s="251" t="e">
        <f t="shared" si="150"/>
        <v>#N/A</v>
      </c>
      <c r="P394" s="251">
        <f t="shared" si="173"/>
        <v>0</v>
      </c>
      <c r="Q394" s="251">
        <f t="shared" si="151"/>
        <v>0</v>
      </c>
      <c r="R394" s="251">
        <f t="shared" si="152"/>
        <v>0</v>
      </c>
      <c r="S394" s="251" t="e">
        <f t="shared" si="153"/>
        <v>#VALUE!</v>
      </c>
      <c r="T394" s="251">
        <f t="shared" si="140"/>
        <v>0</v>
      </c>
      <c r="V394" s="199">
        <f t="shared" si="174"/>
        <v>0</v>
      </c>
      <c r="W394" s="161" t="e">
        <f t="shared" si="175"/>
        <v>#N/A</v>
      </c>
      <c r="X394" s="161" t="e">
        <f t="shared" si="176"/>
        <v>#N/A</v>
      </c>
      <c r="Y394" s="161">
        <f t="shared" ref="Y394:Y457" si="181">1+Y393</f>
        <v>369</v>
      </c>
      <c r="Z394" s="161">
        <f t="shared" ref="Z394:Z457" ca="1" si="182">IF(Z393=12,1,Z393+1)</f>
        <v>3</v>
      </c>
      <c r="AG394" s="114">
        <f t="shared" si="177"/>
        <v>0</v>
      </c>
      <c r="AH394" s="113"/>
      <c r="AI394" s="199">
        <f ca="1">IF(AL394=0,0,IF(AL394&gt;Preenchimento!$AA$88*12,0,IF($AC$53=AM394,0,1)))</f>
        <v>0</v>
      </c>
      <c r="AJ394" s="161" t="e">
        <f t="shared" ca="1" si="178"/>
        <v>#N/A</v>
      </c>
      <c r="AK394" s="161" t="e">
        <f t="shared" ca="1" si="179"/>
        <v>#N/A</v>
      </c>
      <c r="AL394" s="161">
        <f ca="1">IF(Y394&gt;(Preenchimento!$AA$90*12),0,Fixa!Y394)</f>
        <v>0</v>
      </c>
      <c r="AM394" s="161">
        <f t="shared" ca="1" si="161"/>
        <v>3</v>
      </c>
      <c r="AN394" s="199">
        <f ca="1">IF(AQ394&gt;Preenchimento!$AA$90*12,0,1)</f>
        <v>0</v>
      </c>
      <c r="AO394" s="161" t="e">
        <f ca="1">1/((1+SAC!$AD$29)^AL394)</f>
        <v>#N/A</v>
      </c>
      <c r="AP394" s="82" t="e">
        <f t="shared" ca="1" si="180"/>
        <v>#N/A</v>
      </c>
      <c r="AQ394" s="82">
        <v>369</v>
      </c>
      <c r="AS394" s="477">
        <f t="shared" ca="1" si="156"/>
        <v>0</v>
      </c>
    </row>
    <row r="395" spans="1:45">
      <c r="A395" s="53">
        <v>370</v>
      </c>
      <c r="B395" s="249">
        <f ca="1">DATE(IF(MONTH(B394)=12,YEAR(B394)+1,YEAR(B394)),IF(MONTH(B394)=12,1,MONTH(B394)+1),MIN(DAY(Condições!$C$109),IF(IF(MONTH(B394)=12,1,MONTH(B394)+1)=2,IF(MOD(IF(MONTH(B394)=12,YEAR(B394)+1,YEAR(B394)),4)=0,29,28),IF(OR(IF(MONTH(B394)=12,1,MONTH(B394)+1)=4,IF(MONTH(B394)=12,1,MONTH(B394)+1)=6,IF(MONTH(B394)=12,1,MONTH(B394)+1)=9,IF(MONTH(B394)=12,1,MONTH(B394)+1)=11),30,DAY($B$25)))))</f>
        <v>57451</v>
      </c>
      <c r="C395" s="250" t="str">
        <f t="shared" si="163"/>
        <v/>
      </c>
      <c r="D395" s="251" t="e">
        <f t="shared" si="164"/>
        <v>#N/A</v>
      </c>
      <c r="E395" s="251">
        <f t="shared" si="165"/>
        <v>0</v>
      </c>
      <c r="F395" s="251">
        <f t="shared" si="166"/>
        <v>0</v>
      </c>
      <c r="G395" s="251">
        <f t="shared" si="167"/>
        <v>0</v>
      </c>
      <c r="H395" s="251" t="e">
        <f t="shared" si="168"/>
        <v>#VALUE!</v>
      </c>
      <c r="I395" s="251">
        <f t="shared" si="169"/>
        <v>0</v>
      </c>
      <c r="J395" s="251">
        <f t="shared" si="170"/>
        <v>0</v>
      </c>
      <c r="K395" s="251">
        <f t="shared" si="171"/>
        <v>0</v>
      </c>
      <c r="M395" s="224"/>
      <c r="N395" s="225">
        <f t="shared" si="172"/>
        <v>0</v>
      </c>
      <c r="O395" s="251" t="e">
        <f t="shared" si="150"/>
        <v>#N/A</v>
      </c>
      <c r="P395" s="251">
        <f t="shared" si="173"/>
        <v>0</v>
      </c>
      <c r="Q395" s="251">
        <f t="shared" si="151"/>
        <v>0</v>
      </c>
      <c r="R395" s="251">
        <f t="shared" si="152"/>
        <v>0</v>
      </c>
      <c r="S395" s="251" t="e">
        <f t="shared" si="153"/>
        <v>#VALUE!</v>
      </c>
      <c r="T395" s="251">
        <f t="shared" si="140"/>
        <v>0</v>
      </c>
      <c r="V395" s="199">
        <f t="shared" si="174"/>
        <v>0</v>
      </c>
      <c r="W395" s="161" t="e">
        <f t="shared" si="175"/>
        <v>#N/A</v>
      </c>
      <c r="X395" s="161" t="e">
        <f t="shared" si="176"/>
        <v>#N/A</v>
      </c>
      <c r="Y395" s="161">
        <f t="shared" si="181"/>
        <v>370</v>
      </c>
      <c r="Z395" s="161">
        <f t="shared" ca="1" si="182"/>
        <v>4</v>
      </c>
      <c r="AG395" s="114">
        <f t="shared" si="177"/>
        <v>0</v>
      </c>
      <c r="AH395" s="113"/>
      <c r="AI395" s="199">
        <f ca="1">IF(AL395=0,0,IF(AL395&gt;Preenchimento!$AA$88*12,0,IF($AC$53=AM395,0,1)))</f>
        <v>0</v>
      </c>
      <c r="AJ395" s="161" t="e">
        <f t="shared" ca="1" si="178"/>
        <v>#N/A</v>
      </c>
      <c r="AK395" s="161" t="e">
        <f t="shared" ca="1" si="179"/>
        <v>#N/A</v>
      </c>
      <c r="AL395" s="161">
        <f ca="1">IF(Y395&gt;(Preenchimento!$AA$90*12),0,Fixa!Y395)</f>
        <v>0</v>
      </c>
      <c r="AM395" s="161">
        <f t="shared" ca="1" si="161"/>
        <v>4</v>
      </c>
      <c r="AN395" s="199">
        <f ca="1">IF(AQ395&gt;Preenchimento!$AA$90*12,0,1)</f>
        <v>0</v>
      </c>
      <c r="AO395" s="161" t="e">
        <f ca="1">1/((1+SAC!$AD$29)^AL395)</f>
        <v>#N/A</v>
      </c>
      <c r="AP395" s="82" t="e">
        <f t="shared" ca="1" si="180"/>
        <v>#N/A</v>
      </c>
      <c r="AQ395" s="82">
        <v>370</v>
      </c>
      <c r="AS395" s="477">
        <f t="shared" ca="1" si="156"/>
        <v>0</v>
      </c>
    </row>
    <row r="396" spans="1:45">
      <c r="A396" s="53">
        <v>371</v>
      </c>
      <c r="B396" s="249">
        <f ca="1">DATE(IF(MONTH(B395)=12,YEAR(B395)+1,YEAR(B395)),IF(MONTH(B395)=12,1,MONTH(B395)+1),MIN(DAY(Condições!$C$109),IF(IF(MONTH(B395)=12,1,MONTH(B395)+1)=2,IF(MOD(IF(MONTH(B395)=12,YEAR(B395)+1,YEAR(B395)),4)=0,29,28),IF(OR(IF(MONTH(B395)=12,1,MONTH(B395)+1)=4,IF(MONTH(B395)=12,1,MONTH(B395)+1)=6,IF(MONTH(B395)=12,1,MONTH(B395)+1)=9,IF(MONTH(B395)=12,1,MONTH(B395)+1)=11),30,DAY($B$25)))))</f>
        <v>57481</v>
      </c>
      <c r="C396" s="250" t="str">
        <f t="shared" si="163"/>
        <v/>
      </c>
      <c r="D396" s="251" t="e">
        <f t="shared" si="164"/>
        <v>#N/A</v>
      </c>
      <c r="E396" s="251">
        <f t="shared" si="165"/>
        <v>0</v>
      </c>
      <c r="F396" s="251">
        <f t="shared" si="166"/>
        <v>0</v>
      </c>
      <c r="G396" s="251">
        <f t="shared" si="167"/>
        <v>0</v>
      </c>
      <c r="H396" s="251" t="e">
        <f t="shared" si="168"/>
        <v>#VALUE!</v>
      </c>
      <c r="I396" s="251">
        <f t="shared" si="169"/>
        <v>0</v>
      </c>
      <c r="J396" s="251">
        <f t="shared" si="170"/>
        <v>0</v>
      </c>
      <c r="K396" s="251">
        <f t="shared" si="171"/>
        <v>0</v>
      </c>
      <c r="M396" s="224"/>
      <c r="N396" s="225">
        <f t="shared" si="172"/>
        <v>0</v>
      </c>
      <c r="O396" s="251" t="e">
        <f t="shared" si="150"/>
        <v>#N/A</v>
      </c>
      <c r="P396" s="251">
        <f t="shared" si="173"/>
        <v>0</v>
      </c>
      <c r="Q396" s="251">
        <f t="shared" si="151"/>
        <v>0</v>
      </c>
      <c r="R396" s="251">
        <f t="shared" si="152"/>
        <v>0</v>
      </c>
      <c r="S396" s="251" t="e">
        <f t="shared" si="153"/>
        <v>#VALUE!</v>
      </c>
      <c r="T396" s="251">
        <f t="shared" si="140"/>
        <v>0</v>
      </c>
      <c r="V396" s="199">
        <f t="shared" si="174"/>
        <v>0</v>
      </c>
      <c r="W396" s="161" t="e">
        <f t="shared" si="175"/>
        <v>#N/A</v>
      </c>
      <c r="X396" s="161" t="e">
        <f t="shared" si="176"/>
        <v>#N/A</v>
      </c>
      <c r="Y396" s="161">
        <f t="shared" si="181"/>
        <v>371</v>
      </c>
      <c r="Z396" s="161">
        <f t="shared" ca="1" si="182"/>
        <v>5</v>
      </c>
      <c r="AG396" s="114">
        <f t="shared" si="177"/>
        <v>0</v>
      </c>
      <c r="AH396" s="113"/>
      <c r="AI396" s="199">
        <f ca="1">IF(AL396=0,0,IF(AL396&gt;Preenchimento!$AA$88*12,0,IF($AC$53=AM396,0,1)))</f>
        <v>0</v>
      </c>
      <c r="AJ396" s="161" t="e">
        <f t="shared" ca="1" si="178"/>
        <v>#N/A</v>
      </c>
      <c r="AK396" s="161" t="e">
        <f t="shared" ca="1" si="179"/>
        <v>#N/A</v>
      </c>
      <c r="AL396" s="161">
        <f ca="1">IF(Y396&gt;(Preenchimento!$AA$90*12),0,Fixa!Y396)</f>
        <v>0</v>
      </c>
      <c r="AM396" s="161">
        <f t="shared" ca="1" si="161"/>
        <v>5</v>
      </c>
      <c r="AN396" s="199">
        <f ca="1">IF(AQ396&gt;Preenchimento!$AA$90*12,0,1)</f>
        <v>0</v>
      </c>
      <c r="AO396" s="161" t="e">
        <f ca="1">1/((1+SAC!$AD$29)^AL396)</f>
        <v>#N/A</v>
      </c>
      <c r="AP396" s="82" t="e">
        <f t="shared" ca="1" si="180"/>
        <v>#N/A</v>
      </c>
      <c r="AQ396" s="82">
        <v>371</v>
      </c>
      <c r="AS396" s="477">
        <f t="shared" ca="1" si="156"/>
        <v>0</v>
      </c>
    </row>
    <row r="397" spans="1:45">
      <c r="A397" s="53">
        <v>372</v>
      </c>
      <c r="B397" s="249">
        <f ca="1">DATE(IF(MONTH(B396)=12,YEAR(B396)+1,YEAR(B396)),IF(MONTH(B396)=12,1,MONTH(B396)+1),MIN(DAY(Condições!$C$109),IF(IF(MONTH(B396)=12,1,MONTH(B396)+1)=2,IF(MOD(IF(MONTH(B396)=12,YEAR(B396)+1,YEAR(B396)),4)=0,29,28),IF(OR(IF(MONTH(B396)=12,1,MONTH(B396)+1)=4,IF(MONTH(B396)=12,1,MONTH(B396)+1)=6,IF(MONTH(B396)=12,1,MONTH(B396)+1)=9,IF(MONTH(B396)=12,1,MONTH(B396)+1)=11),30,DAY($B$25)))))</f>
        <v>57512</v>
      </c>
      <c r="C397" s="250" t="str">
        <f t="shared" si="163"/>
        <v/>
      </c>
      <c r="D397" s="251" t="e">
        <f t="shared" si="164"/>
        <v>#N/A</v>
      </c>
      <c r="E397" s="251">
        <f t="shared" si="165"/>
        <v>0</v>
      </c>
      <c r="F397" s="251">
        <f t="shared" si="166"/>
        <v>0</v>
      </c>
      <c r="G397" s="251">
        <f t="shared" si="167"/>
        <v>0</v>
      </c>
      <c r="H397" s="251" t="e">
        <f t="shared" si="168"/>
        <v>#VALUE!</v>
      </c>
      <c r="I397" s="251">
        <f t="shared" si="169"/>
        <v>0</v>
      </c>
      <c r="J397" s="251">
        <f t="shared" si="170"/>
        <v>0</v>
      </c>
      <c r="K397" s="251">
        <f t="shared" si="171"/>
        <v>0</v>
      </c>
      <c r="M397" s="224"/>
      <c r="N397" s="225">
        <f t="shared" si="172"/>
        <v>0</v>
      </c>
      <c r="O397" s="251" t="e">
        <f t="shared" si="150"/>
        <v>#N/A</v>
      </c>
      <c r="P397" s="251">
        <f t="shared" si="173"/>
        <v>0</v>
      </c>
      <c r="Q397" s="251">
        <f t="shared" si="151"/>
        <v>0</v>
      </c>
      <c r="R397" s="251">
        <f t="shared" si="152"/>
        <v>0</v>
      </c>
      <c r="S397" s="251" t="e">
        <f t="shared" si="153"/>
        <v>#VALUE!</v>
      </c>
      <c r="T397" s="251">
        <f t="shared" si="140"/>
        <v>0</v>
      </c>
      <c r="V397" s="199">
        <f t="shared" si="174"/>
        <v>0</v>
      </c>
      <c r="W397" s="161" t="e">
        <f t="shared" si="175"/>
        <v>#N/A</v>
      </c>
      <c r="X397" s="161" t="e">
        <f t="shared" si="176"/>
        <v>#N/A</v>
      </c>
      <c r="Y397" s="161">
        <f t="shared" si="181"/>
        <v>372</v>
      </c>
      <c r="Z397" s="161">
        <f t="shared" ca="1" si="182"/>
        <v>6</v>
      </c>
      <c r="AG397" s="114">
        <f t="shared" si="177"/>
        <v>0</v>
      </c>
      <c r="AH397" s="113"/>
      <c r="AI397" s="199">
        <f ca="1">IF(AL397=0,0,IF(AL397&gt;Preenchimento!$AA$88*12,0,IF($AC$53=AM397,0,1)))</f>
        <v>0</v>
      </c>
      <c r="AJ397" s="161" t="e">
        <f t="shared" ca="1" si="178"/>
        <v>#N/A</v>
      </c>
      <c r="AK397" s="161" t="e">
        <f t="shared" ca="1" si="179"/>
        <v>#N/A</v>
      </c>
      <c r="AL397" s="161">
        <f ca="1">IF(Y397&gt;(Preenchimento!$AA$90*12),0,Fixa!Y397)</f>
        <v>0</v>
      </c>
      <c r="AM397" s="161">
        <f t="shared" ca="1" si="161"/>
        <v>6</v>
      </c>
      <c r="AN397" s="199">
        <f ca="1">IF(AQ397&gt;Preenchimento!$AA$90*12,0,1)</f>
        <v>0</v>
      </c>
      <c r="AO397" s="161" t="e">
        <f ca="1">1/((1+SAC!$AD$29)^AL397)</f>
        <v>#N/A</v>
      </c>
      <c r="AP397" s="82" t="e">
        <f t="shared" ca="1" si="180"/>
        <v>#N/A</v>
      </c>
      <c r="AQ397" s="82">
        <v>372</v>
      </c>
      <c r="AS397" s="477">
        <f t="shared" ca="1" si="156"/>
        <v>0</v>
      </c>
    </row>
    <row r="398" spans="1:45">
      <c r="A398" s="53">
        <v>373</v>
      </c>
      <c r="B398" s="249">
        <f ca="1">DATE(IF(MONTH(B397)=12,YEAR(B397)+1,YEAR(B397)),IF(MONTH(B397)=12,1,MONTH(B397)+1),MIN(DAY(Condições!$C$109),IF(IF(MONTH(B397)=12,1,MONTH(B397)+1)=2,IF(MOD(IF(MONTH(B397)=12,YEAR(B397)+1,YEAR(B397)),4)=0,29,28),IF(OR(IF(MONTH(B397)=12,1,MONTH(B397)+1)=4,IF(MONTH(B397)=12,1,MONTH(B397)+1)=6,IF(MONTH(B397)=12,1,MONTH(B397)+1)=9,IF(MONTH(B397)=12,1,MONTH(B397)+1)=11),30,DAY($B$25)))))</f>
        <v>57542</v>
      </c>
      <c r="C398" s="250" t="str">
        <f t="shared" si="163"/>
        <v/>
      </c>
      <c r="D398" s="251" t="e">
        <f t="shared" si="164"/>
        <v>#N/A</v>
      </c>
      <c r="E398" s="251">
        <f t="shared" si="165"/>
        <v>0</v>
      </c>
      <c r="F398" s="251">
        <f t="shared" si="166"/>
        <v>0</v>
      </c>
      <c r="G398" s="251">
        <f t="shared" si="167"/>
        <v>0</v>
      </c>
      <c r="H398" s="251" t="e">
        <f t="shared" si="168"/>
        <v>#VALUE!</v>
      </c>
      <c r="I398" s="251">
        <f t="shared" si="169"/>
        <v>0</v>
      </c>
      <c r="J398" s="251">
        <f t="shared" si="170"/>
        <v>0</v>
      </c>
      <c r="K398" s="251">
        <f t="shared" si="171"/>
        <v>0</v>
      </c>
      <c r="M398" s="224"/>
      <c r="N398" s="225">
        <f t="shared" si="172"/>
        <v>0</v>
      </c>
      <c r="O398" s="251" t="e">
        <f t="shared" si="150"/>
        <v>#N/A</v>
      </c>
      <c r="P398" s="251">
        <f t="shared" si="173"/>
        <v>0</v>
      </c>
      <c r="Q398" s="251">
        <f t="shared" si="151"/>
        <v>0</v>
      </c>
      <c r="R398" s="251">
        <f t="shared" si="152"/>
        <v>0</v>
      </c>
      <c r="S398" s="251" t="e">
        <f t="shared" si="153"/>
        <v>#VALUE!</v>
      </c>
      <c r="T398" s="251">
        <f t="shared" si="140"/>
        <v>0</v>
      </c>
      <c r="V398" s="199">
        <f t="shared" si="174"/>
        <v>0</v>
      </c>
      <c r="W398" s="161" t="e">
        <f t="shared" si="175"/>
        <v>#N/A</v>
      </c>
      <c r="X398" s="161" t="e">
        <f t="shared" si="176"/>
        <v>#N/A</v>
      </c>
      <c r="Y398" s="161">
        <f t="shared" si="181"/>
        <v>373</v>
      </c>
      <c r="Z398" s="161">
        <f t="shared" ca="1" si="182"/>
        <v>7</v>
      </c>
      <c r="AG398" s="114">
        <f t="shared" si="177"/>
        <v>0</v>
      </c>
      <c r="AH398" s="113"/>
      <c r="AI398" s="199">
        <f ca="1">IF(AL398=0,0,IF(AL398&gt;Preenchimento!$AA$88*12,0,IF($AC$53=AM398,0,1)))</f>
        <v>0</v>
      </c>
      <c r="AJ398" s="161" t="e">
        <f t="shared" ca="1" si="178"/>
        <v>#N/A</v>
      </c>
      <c r="AK398" s="161" t="e">
        <f t="shared" ca="1" si="179"/>
        <v>#N/A</v>
      </c>
      <c r="AL398" s="161">
        <f ca="1">IF(Y398&gt;(Preenchimento!$AA$90*12),0,Fixa!Y398)</f>
        <v>0</v>
      </c>
      <c r="AM398" s="161">
        <f t="shared" ca="1" si="161"/>
        <v>7</v>
      </c>
      <c r="AN398" s="199">
        <f ca="1">IF(AQ398&gt;Preenchimento!$AA$90*12,0,1)</f>
        <v>0</v>
      </c>
      <c r="AO398" s="161" t="e">
        <f ca="1">1/((1+SAC!$AD$29)^AL398)</f>
        <v>#N/A</v>
      </c>
      <c r="AP398" s="82" t="e">
        <f t="shared" ca="1" si="180"/>
        <v>#N/A</v>
      </c>
      <c r="AQ398" s="82">
        <v>373</v>
      </c>
      <c r="AS398" s="477">
        <f t="shared" ca="1" si="156"/>
        <v>0</v>
      </c>
    </row>
    <row r="399" spans="1:45">
      <c r="A399" s="53">
        <v>374</v>
      </c>
      <c r="B399" s="249">
        <f ca="1">DATE(IF(MONTH(B398)=12,YEAR(B398)+1,YEAR(B398)),IF(MONTH(B398)=12,1,MONTH(B398)+1),MIN(DAY(Condições!$C$109),IF(IF(MONTH(B398)=12,1,MONTH(B398)+1)=2,IF(MOD(IF(MONTH(B398)=12,YEAR(B398)+1,YEAR(B398)),4)=0,29,28),IF(OR(IF(MONTH(B398)=12,1,MONTH(B398)+1)=4,IF(MONTH(B398)=12,1,MONTH(B398)+1)=6,IF(MONTH(B398)=12,1,MONTH(B398)+1)=9,IF(MONTH(B398)=12,1,MONTH(B398)+1)=11),30,DAY($B$25)))))</f>
        <v>57573</v>
      </c>
      <c r="C399" s="250" t="str">
        <f t="shared" si="163"/>
        <v/>
      </c>
      <c r="D399" s="251" t="e">
        <f t="shared" si="164"/>
        <v>#N/A</v>
      </c>
      <c r="E399" s="251">
        <f t="shared" si="165"/>
        <v>0</v>
      </c>
      <c r="F399" s="251">
        <f t="shared" si="166"/>
        <v>0</v>
      </c>
      <c r="G399" s="251">
        <f t="shared" si="167"/>
        <v>0</v>
      </c>
      <c r="H399" s="251" t="e">
        <f t="shared" si="168"/>
        <v>#VALUE!</v>
      </c>
      <c r="I399" s="251">
        <f t="shared" si="169"/>
        <v>0</v>
      </c>
      <c r="J399" s="251">
        <f t="shared" si="170"/>
        <v>0</v>
      </c>
      <c r="K399" s="251">
        <f t="shared" si="171"/>
        <v>0</v>
      </c>
      <c r="M399" s="224"/>
      <c r="N399" s="225">
        <f t="shared" si="172"/>
        <v>0</v>
      </c>
      <c r="O399" s="251" t="e">
        <f t="shared" si="150"/>
        <v>#N/A</v>
      </c>
      <c r="P399" s="251">
        <f t="shared" si="173"/>
        <v>0</v>
      </c>
      <c r="Q399" s="251">
        <f t="shared" si="151"/>
        <v>0</v>
      </c>
      <c r="R399" s="251">
        <f t="shared" si="152"/>
        <v>0</v>
      </c>
      <c r="S399" s="251" t="e">
        <f t="shared" si="153"/>
        <v>#VALUE!</v>
      </c>
      <c r="T399" s="251">
        <f t="shared" si="140"/>
        <v>0</v>
      </c>
      <c r="V399" s="199">
        <f t="shared" si="174"/>
        <v>0</v>
      </c>
      <c r="W399" s="161" t="e">
        <f t="shared" si="175"/>
        <v>#N/A</v>
      </c>
      <c r="X399" s="161" t="e">
        <f t="shared" si="176"/>
        <v>#N/A</v>
      </c>
      <c r="Y399" s="161">
        <f t="shared" si="181"/>
        <v>374</v>
      </c>
      <c r="Z399" s="161">
        <f t="shared" ca="1" si="182"/>
        <v>8</v>
      </c>
      <c r="AG399" s="114">
        <f t="shared" si="177"/>
        <v>0</v>
      </c>
      <c r="AH399" s="113"/>
      <c r="AI399" s="199">
        <f ca="1">IF(AL399=0,0,IF(AL399&gt;Preenchimento!$AA$88*12,0,IF($AC$53=AM399,0,1)))</f>
        <v>0</v>
      </c>
      <c r="AJ399" s="161" t="e">
        <f t="shared" ca="1" si="178"/>
        <v>#N/A</v>
      </c>
      <c r="AK399" s="161" t="e">
        <f t="shared" ca="1" si="179"/>
        <v>#N/A</v>
      </c>
      <c r="AL399" s="161">
        <f ca="1">IF(Y399&gt;(Preenchimento!$AA$90*12),0,Fixa!Y399)</f>
        <v>0</v>
      </c>
      <c r="AM399" s="161">
        <f t="shared" ca="1" si="161"/>
        <v>8</v>
      </c>
      <c r="AN399" s="199">
        <f ca="1">IF(AQ399&gt;Preenchimento!$AA$90*12,0,1)</f>
        <v>0</v>
      </c>
      <c r="AO399" s="161" t="e">
        <f ca="1">1/((1+SAC!$AD$29)^AL399)</f>
        <v>#N/A</v>
      </c>
      <c r="AP399" s="82" t="e">
        <f t="shared" ca="1" si="180"/>
        <v>#N/A</v>
      </c>
      <c r="AQ399" s="82">
        <v>374</v>
      </c>
      <c r="AS399" s="477">
        <f t="shared" ca="1" si="156"/>
        <v>0</v>
      </c>
    </row>
    <row r="400" spans="1:45">
      <c r="A400" s="53">
        <v>375</v>
      </c>
      <c r="B400" s="249">
        <f ca="1">DATE(IF(MONTH(B399)=12,YEAR(B399)+1,YEAR(B399)),IF(MONTH(B399)=12,1,MONTH(B399)+1),MIN(DAY(Condições!$C$109),IF(IF(MONTH(B399)=12,1,MONTH(B399)+1)=2,IF(MOD(IF(MONTH(B399)=12,YEAR(B399)+1,YEAR(B399)),4)=0,29,28),IF(OR(IF(MONTH(B399)=12,1,MONTH(B399)+1)=4,IF(MONTH(B399)=12,1,MONTH(B399)+1)=6,IF(MONTH(B399)=12,1,MONTH(B399)+1)=9,IF(MONTH(B399)=12,1,MONTH(B399)+1)=11),30,DAY($B$25)))))</f>
        <v>57604</v>
      </c>
      <c r="C400" s="250" t="str">
        <f t="shared" si="163"/>
        <v/>
      </c>
      <c r="D400" s="251" t="e">
        <f t="shared" si="164"/>
        <v>#N/A</v>
      </c>
      <c r="E400" s="251">
        <f t="shared" si="165"/>
        <v>0</v>
      </c>
      <c r="F400" s="251">
        <f t="shared" si="166"/>
        <v>0</v>
      </c>
      <c r="G400" s="251">
        <f t="shared" si="167"/>
        <v>0</v>
      </c>
      <c r="H400" s="251" t="e">
        <f t="shared" si="168"/>
        <v>#VALUE!</v>
      </c>
      <c r="I400" s="251">
        <f t="shared" si="169"/>
        <v>0</v>
      </c>
      <c r="J400" s="251">
        <f t="shared" si="170"/>
        <v>0</v>
      </c>
      <c r="K400" s="251">
        <f t="shared" si="171"/>
        <v>0</v>
      </c>
      <c r="M400" s="224"/>
      <c r="N400" s="225">
        <f t="shared" si="172"/>
        <v>0</v>
      </c>
      <c r="O400" s="251" t="e">
        <f t="shared" si="150"/>
        <v>#N/A</v>
      </c>
      <c r="P400" s="251">
        <f t="shared" si="173"/>
        <v>0</v>
      </c>
      <c r="Q400" s="251">
        <f t="shared" si="151"/>
        <v>0</v>
      </c>
      <c r="R400" s="251">
        <f t="shared" si="152"/>
        <v>0</v>
      </c>
      <c r="S400" s="251" t="e">
        <f t="shared" si="153"/>
        <v>#VALUE!</v>
      </c>
      <c r="T400" s="251">
        <f t="shared" si="140"/>
        <v>0</v>
      </c>
      <c r="V400" s="199">
        <f t="shared" si="174"/>
        <v>0</v>
      </c>
      <c r="W400" s="161" t="e">
        <f t="shared" si="175"/>
        <v>#N/A</v>
      </c>
      <c r="X400" s="161" t="e">
        <f t="shared" si="176"/>
        <v>#N/A</v>
      </c>
      <c r="Y400" s="161">
        <f t="shared" si="181"/>
        <v>375</v>
      </c>
      <c r="Z400" s="161">
        <f t="shared" ca="1" si="182"/>
        <v>9</v>
      </c>
      <c r="AG400" s="114">
        <f t="shared" si="177"/>
        <v>0</v>
      </c>
      <c r="AH400" s="113"/>
      <c r="AI400" s="199">
        <f ca="1">IF(AL400=0,0,IF(AL400&gt;Preenchimento!$AA$88*12,0,IF($AC$53=AM400,0,1)))</f>
        <v>0</v>
      </c>
      <c r="AJ400" s="161" t="e">
        <f t="shared" ca="1" si="178"/>
        <v>#N/A</v>
      </c>
      <c r="AK400" s="161" t="e">
        <f t="shared" ca="1" si="179"/>
        <v>#N/A</v>
      </c>
      <c r="AL400" s="161">
        <f ca="1">IF(Y400&gt;(Preenchimento!$AA$90*12),0,Fixa!Y400)</f>
        <v>0</v>
      </c>
      <c r="AM400" s="161">
        <f t="shared" ca="1" si="161"/>
        <v>9</v>
      </c>
      <c r="AN400" s="199">
        <f ca="1">IF(AQ400&gt;Preenchimento!$AA$90*12,0,1)</f>
        <v>0</v>
      </c>
      <c r="AO400" s="161" t="e">
        <f ca="1">1/((1+SAC!$AD$29)^AL400)</f>
        <v>#N/A</v>
      </c>
      <c r="AP400" s="82" t="e">
        <f t="shared" ca="1" si="180"/>
        <v>#N/A</v>
      </c>
      <c r="AQ400" s="82">
        <v>375</v>
      </c>
      <c r="AS400" s="477">
        <f t="shared" ca="1" si="156"/>
        <v>0</v>
      </c>
    </row>
    <row r="401" spans="1:45">
      <c r="A401" s="53">
        <v>376</v>
      </c>
      <c r="B401" s="249">
        <f ca="1">DATE(IF(MONTH(B400)=12,YEAR(B400)+1,YEAR(B400)),IF(MONTH(B400)=12,1,MONTH(B400)+1),MIN(DAY(Condições!$C$109),IF(IF(MONTH(B400)=12,1,MONTH(B400)+1)=2,IF(MOD(IF(MONTH(B400)=12,YEAR(B400)+1,YEAR(B400)),4)=0,29,28),IF(OR(IF(MONTH(B400)=12,1,MONTH(B400)+1)=4,IF(MONTH(B400)=12,1,MONTH(B400)+1)=6,IF(MONTH(B400)=12,1,MONTH(B400)+1)=9,IF(MONTH(B400)=12,1,MONTH(B400)+1)=11),30,DAY($B$25)))))</f>
        <v>57634</v>
      </c>
      <c r="C401" s="250" t="str">
        <f t="shared" si="163"/>
        <v/>
      </c>
      <c r="D401" s="251" t="e">
        <f t="shared" si="164"/>
        <v>#N/A</v>
      </c>
      <c r="E401" s="251">
        <f t="shared" si="165"/>
        <v>0</v>
      </c>
      <c r="F401" s="251">
        <f t="shared" si="166"/>
        <v>0</v>
      </c>
      <c r="G401" s="251">
        <f t="shared" si="167"/>
        <v>0</v>
      </c>
      <c r="H401" s="251" t="e">
        <f t="shared" si="168"/>
        <v>#VALUE!</v>
      </c>
      <c r="I401" s="251">
        <f t="shared" si="169"/>
        <v>0</v>
      </c>
      <c r="J401" s="251">
        <f t="shared" si="170"/>
        <v>0</v>
      </c>
      <c r="K401" s="251">
        <f t="shared" si="171"/>
        <v>0</v>
      </c>
      <c r="M401" s="224"/>
      <c r="N401" s="225">
        <f t="shared" si="172"/>
        <v>0</v>
      </c>
      <c r="O401" s="251" t="e">
        <f t="shared" si="150"/>
        <v>#N/A</v>
      </c>
      <c r="P401" s="251">
        <f t="shared" si="173"/>
        <v>0</v>
      </c>
      <c r="Q401" s="251">
        <f t="shared" si="151"/>
        <v>0</v>
      </c>
      <c r="R401" s="251">
        <f t="shared" si="152"/>
        <v>0</v>
      </c>
      <c r="S401" s="251" t="e">
        <f t="shared" si="153"/>
        <v>#VALUE!</v>
      </c>
      <c r="T401" s="251">
        <f t="shared" si="140"/>
        <v>0</v>
      </c>
      <c r="V401" s="199">
        <f t="shared" si="174"/>
        <v>0</v>
      </c>
      <c r="W401" s="161" t="e">
        <f t="shared" si="175"/>
        <v>#N/A</v>
      </c>
      <c r="X401" s="161" t="e">
        <f t="shared" si="176"/>
        <v>#N/A</v>
      </c>
      <c r="Y401" s="161">
        <f t="shared" si="181"/>
        <v>376</v>
      </c>
      <c r="Z401" s="161">
        <f t="shared" ca="1" si="182"/>
        <v>10</v>
      </c>
      <c r="AG401" s="114">
        <f t="shared" si="177"/>
        <v>0</v>
      </c>
      <c r="AH401" s="113"/>
      <c r="AI401" s="199">
        <f ca="1">IF(AL401=0,0,IF(AL401&gt;Preenchimento!$AA$88*12,0,IF($AC$53=AM401,0,1)))</f>
        <v>0</v>
      </c>
      <c r="AJ401" s="161" t="e">
        <f t="shared" ca="1" si="178"/>
        <v>#N/A</v>
      </c>
      <c r="AK401" s="161" t="e">
        <f t="shared" ca="1" si="179"/>
        <v>#N/A</v>
      </c>
      <c r="AL401" s="161">
        <f ca="1">IF(Y401&gt;(Preenchimento!$AA$90*12),0,Fixa!Y401)</f>
        <v>0</v>
      </c>
      <c r="AM401" s="161">
        <f t="shared" ca="1" si="161"/>
        <v>10</v>
      </c>
      <c r="AN401" s="199">
        <f ca="1">IF(AQ401&gt;Preenchimento!$AA$90*12,0,1)</f>
        <v>0</v>
      </c>
      <c r="AO401" s="161" t="e">
        <f ca="1">1/((1+SAC!$AD$29)^AL401)</f>
        <v>#N/A</v>
      </c>
      <c r="AP401" s="82" t="e">
        <f t="shared" ca="1" si="180"/>
        <v>#N/A</v>
      </c>
      <c r="AQ401" s="82">
        <v>376</v>
      </c>
      <c r="AS401" s="477">
        <f t="shared" ca="1" si="156"/>
        <v>0</v>
      </c>
    </row>
    <row r="402" spans="1:45">
      <c r="A402" s="53">
        <v>377</v>
      </c>
      <c r="B402" s="249">
        <f ca="1">DATE(IF(MONTH(B401)=12,YEAR(B401)+1,YEAR(B401)),IF(MONTH(B401)=12,1,MONTH(B401)+1),MIN(DAY(Condições!$C$109),IF(IF(MONTH(B401)=12,1,MONTH(B401)+1)=2,IF(MOD(IF(MONTH(B401)=12,YEAR(B401)+1,YEAR(B401)),4)=0,29,28),IF(OR(IF(MONTH(B401)=12,1,MONTH(B401)+1)=4,IF(MONTH(B401)=12,1,MONTH(B401)+1)=6,IF(MONTH(B401)=12,1,MONTH(B401)+1)=9,IF(MONTH(B401)=12,1,MONTH(B401)+1)=11),30,DAY($B$25)))))</f>
        <v>57665</v>
      </c>
      <c r="C402" s="250" t="str">
        <f t="shared" si="163"/>
        <v/>
      </c>
      <c r="D402" s="251" t="e">
        <f t="shared" si="164"/>
        <v>#N/A</v>
      </c>
      <c r="E402" s="251">
        <f t="shared" si="165"/>
        <v>0</v>
      </c>
      <c r="F402" s="251">
        <f t="shared" si="166"/>
        <v>0</v>
      </c>
      <c r="G402" s="251">
        <f t="shared" si="167"/>
        <v>0</v>
      </c>
      <c r="H402" s="251" t="e">
        <f t="shared" si="168"/>
        <v>#VALUE!</v>
      </c>
      <c r="I402" s="251">
        <f t="shared" si="169"/>
        <v>0</v>
      </c>
      <c r="J402" s="251">
        <f t="shared" si="170"/>
        <v>0</v>
      </c>
      <c r="K402" s="251">
        <f t="shared" si="171"/>
        <v>0</v>
      </c>
      <c r="M402" s="224"/>
      <c r="N402" s="225">
        <f t="shared" si="172"/>
        <v>0</v>
      </c>
      <c r="O402" s="251" t="e">
        <f t="shared" si="150"/>
        <v>#N/A</v>
      </c>
      <c r="P402" s="251">
        <f t="shared" si="173"/>
        <v>0</v>
      </c>
      <c r="Q402" s="251">
        <f t="shared" si="151"/>
        <v>0</v>
      </c>
      <c r="R402" s="251">
        <f t="shared" si="152"/>
        <v>0</v>
      </c>
      <c r="S402" s="251" t="e">
        <f t="shared" si="153"/>
        <v>#VALUE!</v>
      </c>
      <c r="T402" s="251">
        <f t="shared" si="140"/>
        <v>0</v>
      </c>
      <c r="V402" s="199">
        <f t="shared" si="174"/>
        <v>0</v>
      </c>
      <c r="W402" s="161" t="e">
        <f t="shared" si="175"/>
        <v>#N/A</v>
      </c>
      <c r="X402" s="161" t="e">
        <f t="shared" si="176"/>
        <v>#N/A</v>
      </c>
      <c r="Y402" s="161">
        <f t="shared" si="181"/>
        <v>377</v>
      </c>
      <c r="Z402" s="161">
        <f t="shared" ca="1" si="182"/>
        <v>11</v>
      </c>
      <c r="AG402" s="114">
        <f t="shared" si="177"/>
        <v>0</v>
      </c>
      <c r="AH402" s="113"/>
      <c r="AI402" s="199">
        <f ca="1">IF(AL402=0,0,IF(AL402&gt;Preenchimento!$AA$88*12,0,IF($AC$53=AM402,0,1)))</f>
        <v>0</v>
      </c>
      <c r="AJ402" s="161" t="e">
        <f t="shared" ca="1" si="178"/>
        <v>#N/A</v>
      </c>
      <c r="AK402" s="161" t="e">
        <f t="shared" ca="1" si="179"/>
        <v>#N/A</v>
      </c>
      <c r="AL402" s="161">
        <f ca="1">IF(Y402&gt;(Preenchimento!$AA$90*12),0,Fixa!Y402)</f>
        <v>0</v>
      </c>
      <c r="AM402" s="161">
        <f t="shared" ca="1" si="161"/>
        <v>11</v>
      </c>
      <c r="AN402" s="199">
        <f ca="1">IF(AQ402&gt;Preenchimento!$AA$90*12,0,1)</f>
        <v>0</v>
      </c>
      <c r="AO402" s="161" t="e">
        <f ca="1">1/((1+SAC!$AD$29)^AL402)</f>
        <v>#N/A</v>
      </c>
      <c r="AP402" s="82" t="e">
        <f t="shared" ca="1" si="180"/>
        <v>#N/A</v>
      </c>
      <c r="AQ402" s="82">
        <v>377</v>
      </c>
      <c r="AS402" s="477">
        <f t="shared" ca="1" si="156"/>
        <v>0</v>
      </c>
    </row>
    <row r="403" spans="1:45">
      <c r="A403" s="53">
        <v>378</v>
      </c>
      <c r="B403" s="249">
        <f ca="1">DATE(IF(MONTH(B402)=12,YEAR(B402)+1,YEAR(B402)),IF(MONTH(B402)=12,1,MONTH(B402)+1),MIN(DAY(Condições!$C$109),IF(IF(MONTH(B402)=12,1,MONTH(B402)+1)=2,IF(MOD(IF(MONTH(B402)=12,YEAR(B402)+1,YEAR(B402)),4)=0,29,28),IF(OR(IF(MONTH(B402)=12,1,MONTH(B402)+1)=4,IF(MONTH(B402)=12,1,MONTH(B402)+1)=6,IF(MONTH(B402)=12,1,MONTH(B402)+1)=9,IF(MONTH(B402)=12,1,MONTH(B402)+1)=11),30,DAY($B$25)))))</f>
        <v>57695</v>
      </c>
      <c r="C403" s="250" t="str">
        <f t="shared" si="163"/>
        <v/>
      </c>
      <c r="D403" s="251" t="e">
        <f t="shared" si="164"/>
        <v>#N/A</v>
      </c>
      <c r="E403" s="251">
        <f t="shared" si="165"/>
        <v>0</v>
      </c>
      <c r="F403" s="251">
        <f t="shared" si="166"/>
        <v>0</v>
      </c>
      <c r="G403" s="251">
        <f t="shared" si="167"/>
        <v>0</v>
      </c>
      <c r="H403" s="251" t="e">
        <f t="shared" si="168"/>
        <v>#VALUE!</v>
      </c>
      <c r="I403" s="251">
        <f t="shared" si="169"/>
        <v>0</v>
      </c>
      <c r="J403" s="251">
        <f t="shared" si="170"/>
        <v>0</v>
      </c>
      <c r="K403" s="251">
        <f t="shared" si="171"/>
        <v>0</v>
      </c>
      <c r="M403" s="224"/>
      <c r="N403" s="225">
        <f t="shared" si="172"/>
        <v>0</v>
      </c>
      <c r="O403" s="251" t="e">
        <f t="shared" si="150"/>
        <v>#N/A</v>
      </c>
      <c r="P403" s="251">
        <f t="shared" si="173"/>
        <v>0</v>
      </c>
      <c r="Q403" s="251">
        <f t="shared" si="151"/>
        <v>0</v>
      </c>
      <c r="R403" s="251">
        <f t="shared" si="152"/>
        <v>0</v>
      </c>
      <c r="S403" s="251" t="e">
        <f t="shared" si="153"/>
        <v>#VALUE!</v>
      </c>
      <c r="T403" s="251">
        <f t="shared" si="140"/>
        <v>0</v>
      </c>
      <c r="V403" s="199">
        <f t="shared" si="174"/>
        <v>0</v>
      </c>
      <c r="W403" s="161" t="e">
        <f t="shared" si="175"/>
        <v>#N/A</v>
      </c>
      <c r="X403" s="161" t="e">
        <f t="shared" si="176"/>
        <v>#N/A</v>
      </c>
      <c r="Y403" s="161">
        <f t="shared" si="181"/>
        <v>378</v>
      </c>
      <c r="Z403" s="161">
        <f t="shared" ca="1" si="182"/>
        <v>12</v>
      </c>
      <c r="AG403" s="114">
        <f t="shared" si="177"/>
        <v>0</v>
      </c>
      <c r="AH403" s="113"/>
      <c r="AI403" s="199">
        <f ca="1">IF(AL403=0,0,IF(AL403&gt;Preenchimento!$AA$88*12,0,IF($AC$53=AM403,0,1)))</f>
        <v>0</v>
      </c>
      <c r="AJ403" s="161" t="e">
        <f t="shared" ca="1" si="178"/>
        <v>#N/A</v>
      </c>
      <c r="AK403" s="161" t="e">
        <f t="shared" ca="1" si="179"/>
        <v>#N/A</v>
      </c>
      <c r="AL403" s="161">
        <f ca="1">IF(Y403&gt;(Preenchimento!$AA$90*12),0,Fixa!Y403)</f>
        <v>0</v>
      </c>
      <c r="AM403" s="161">
        <f t="shared" ca="1" si="161"/>
        <v>12</v>
      </c>
      <c r="AN403" s="199">
        <f ca="1">IF(AQ403&gt;Preenchimento!$AA$90*12,0,1)</f>
        <v>0</v>
      </c>
      <c r="AO403" s="161" t="e">
        <f ca="1">1/((1+SAC!$AD$29)^AL403)</f>
        <v>#N/A</v>
      </c>
      <c r="AP403" s="82" t="e">
        <f t="shared" ca="1" si="180"/>
        <v>#N/A</v>
      </c>
      <c r="AQ403" s="82">
        <v>378</v>
      </c>
      <c r="AS403" s="477">
        <f t="shared" ca="1" si="156"/>
        <v>0</v>
      </c>
    </row>
    <row r="404" spans="1:45">
      <c r="A404" s="53">
        <v>379</v>
      </c>
      <c r="B404" s="249">
        <f ca="1">DATE(IF(MONTH(B403)=12,YEAR(B403)+1,YEAR(B403)),IF(MONTH(B403)=12,1,MONTH(B403)+1),MIN(DAY(Condições!$C$109),IF(IF(MONTH(B403)=12,1,MONTH(B403)+1)=2,IF(MOD(IF(MONTH(B403)=12,YEAR(B403)+1,YEAR(B403)),4)=0,29,28),IF(OR(IF(MONTH(B403)=12,1,MONTH(B403)+1)=4,IF(MONTH(B403)=12,1,MONTH(B403)+1)=6,IF(MONTH(B403)=12,1,MONTH(B403)+1)=9,IF(MONTH(B403)=12,1,MONTH(B403)+1)=11),30,DAY($B$25)))))</f>
        <v>57726</v>
      </c>
      <c r="C404" s="250" t="str">
        <f t="shared" si="163"/>
        <v/>
      </c>
      <c r="D404" s="251" t="e">
        <f t="shared" si="164"/>
        <v>#N/A</v>
      </c>
      <c r="E404" s="251">
        <f t="shared" si="165"/>
        <v>0</v>
      </c>
      <c r="F404" s="251">
        <f t="shared" si="166"/>
        <v>0</v>
      </c>
      <c r="G404" s="251">
        <f t="shared" si="167"/>
        <v>0</v>
      </c>
      <c r="H404" s="251" t="e">
        <f t="shared" si="168"/>
        <v>#VALUE!</v>
      </c>
      <c r="I404" s="251">
        <f t="shared" si="169"/>
        <v>0</v>
      </c>
      <c r="J404" s="251">
        <f t="shared" si="170"/>
        <v>0</v>
      </c>
      <c r="K404" s="251">
        <f t="shared" si="171"/>
        <v>0</v>
      </c>
      <c r="M404" s="224"/>
      <c r="N404" s="225">
        <f t="shared" si="172"/>
        <v>0</v>
      </c>
      <c r="O404" s="251" t="e">
        <f t="shared" si="150"/>
        <v>#N/A</v>
      </c>
      <c r="P404" s="251">
        <f t="shared" si="173"/>
        <v>0</v>
      </c>
      <c r="Q404" s="251">
        <f t="shared" si="151"/>
        <v>0</v>
      </c>
      <c r="R404" s="251">
        <f t="shared" si="152"/>
        <v>0</v>
      </c>
      <c r="S404" s="251" t="e">
        <f t="shared" si="153"/>
        <v>#VALUE!</v>
      </c>
      <c r="T404" s="251">
        <f t="shared" si="140"/>
        <v>0</v>
      </c>
      <c r="V404" s="199">
        <f t="shared" si="174"/>
        <v>0</v>
      </c>
      <c r="W404" s="161" t="e">
        <f t="shared" si="175"/>
        <v>#N/A</v>
      </c>
      <c r="X404" s="161" t="e">
        <f t="shared" si="176"/>
        <v>#N/A</v>
      </c>
      <c r="Y404" s="161">
        <f t="shared" si="181"/>
        <v>379</v>
      </c>
      <c r="Z404" s="161">
        <f t="shared" ca="1" si="182"/>
        <v>1</v>
      </c>
      <c r="AG404" s="114">
        <f t="shared" si="177"/>
        <v>0</v>
      </c>
      <c r="AH404" s="113"/>
      <c r="AI404" s="199">
        <f ca="1">IF(AL404=0,0,IF(AL404&gt;Preenchimento!$AA$88*12,0,IF($AC$53=AM404,0,1)))</f>
        <v>0</v>
      </c>
      <c r="AJ404" s="161" t="e">
        <f t="shared" ca="1" si="178"/>
        <v>#N/A</v>
      </c>
      <c r="AK404" s="161" t="e">
        <f t="shared" ca="1" si="179"/>
        <v>#N/A</v>
      </c>
      <c r="AL404" s="161">
        <f ca="1">IF(Y404&gt;(Preenchimento!$AA$90*12),0,Fixa!Y404)</f>
        <v>0</v>
      </c>
      <c r="AM404" s="161">
        <f t="shared" ca="1" si="161"/>
        <v>1</v>
      </c>
      <c r="AN404" s="199">
        <f ca="1">IF(AQ404&gt;Preenchimento!$AA$90*12,0,1)</f>
        <v>0</v>
      </c>
      <c r="AO404" s="161" t="e">
        <f ca="1">1/((1+SAC!$AD$29)^AL404)</f>
        <v>#N/A</v>
      </c>
      <c r="AP404" s="82" t="e">
        <f t="shared" ca="1" si="180"/>
        <v>#N/A</v>
      </c>
      <c r="AQ404" s="82">
        <v>379</v>
      </c>
      <c r="AS404" s="477">
        <f t="shared" ca="1" si="156"/>
        <v>0</v>
      </c>
    </row>
    <row r="405" spans="1:45">
      <c r="A405" s="53">
        <v>380</v>
      </c>
      <c r="B405" s="249">
        <f ca="1">DATE(IF(MONTH(B404)=12,YEAR(B404)+1,YEAR(B404)),IF(MONTH(B404)=12,1,MONTH(B404)+1),MIN(DAY(Condições!$C$109),IF(IF(MONTH(B404)=12,1,MONTH(B404)+1)=2,IF(MOD(IF(MONTH(B404)=12,YEAR(B404)+1,YEAR(B404)),4)=0,29,28),IF(OR(IF(MONTH(B404)=12,1,MONTH(B404)+1)=4,IF(MONTH(B404)=12,1,MONTH(B404)+1)=6,IF(MONTH(B404)=12,1,MONTH(B404)+1)=9,IF(MONTH(B404)=12,1,MONTH(B404)+1)=11),30,DAY($B$25)))))</f>
        <v>57757</v>
      </c>
      <c r="C405" s="250" t="str">
        <f t="shared" si="163"/>
        <v/>
      </c>
      <c r="D405" s="251" t="e">
        <f t="shared" si="164"/>
        <v>#N/A</v>
      </c>
      <c r="E405" s="251">
        <f t="shared" si="165"/>
        <v>0</v>
      </c>
      <c r="F405" s="251">
        <f t="shared" si="166"/>
        <v>0</v>
      </c>
      <c r="G405" s="251">
        <f t="shared" si="167"/>
        <v>0</v>
      </c>
      <c r="H405" s="251" t="e">
        <f t="shared" si="168"/>
        <v>#VALUE!</v>
      </c>
      <c r="I405" s="251">
        <f t="shared" si="169"/>
        <v>0</v>
      </c>
      <c r="J405" s="251">
        <f t="shared" si="170"/>
        <v>0</v>
      </c>
      <c r="K405" s="251">
        <f t="shared" si="171"/>
        <v>0</v>
      </c>
      <c r="M405" s="224"/>
      <c r="N405" s="225">
        <f t="shared" si="172"/>
        <v>0</v>
      </c>
      <c r="O405" s="251" t="e">
        <f t="shared" si="150"/>
        <v>#N/A</v>
      </c>
      <c r="P405" s="251">
        <f t="shared" si="173"/>
        <v>0</v>
      </c>
      <c r="Q405" s="251">
        <f t="shared" si="151"/>
        <v>0</v>
      </c>
      <c r="R405" s="251">
        <f t="shared" si="152"/>
        <v>0</v>
      </c>
      <c r="S405" s="251" t="e">
        <f t="shared" si="153"/>
        <v>#VALUE!</v>
      </c>
      <c r="T405" s="251">
        <f t="shared" si="140"/>
        <v>0</v>
      </c>
      <c r="V405" s="199">
        <f t="shared" si="174"/>
        <v>0</v>
      </c>
      <c r="W405" s="161" t="e">
        <f t="shared" si="175"/>
        <v>#N/A</v>
      </c>
      <c r="X405" s="161" t="e">
        <f t="shared" si="176"/>
        <v>#N/A</v>
      </c>
      <c r="Y405" s="161">
        <f t="shared" si="181"/>
        <v>380</v>
      </c>
      <c r="Z405" s="161">
        <f t="shared" ca="1" si="182"/>
        <v>2</v>
      </c>
      <c r="AG405" s="114">
        <f t="shared" si="177"/>
        <v>0</v>
      </c>
      <c r="AH405" s="113"/>
      <c r="AI405" s="199">
        <f ca="1">IF(AL405=0,0,IF(AL405&gt;Preenchimento!$AA$88*12,0,IF($AC$53=AM405,0,1)))</f>
        <v>0</v>
      </c>
      <c r="AJ405" s="161" t="e">
        <f t="shared" ca="1" si="178"/>
        <v>#N/A</v>
      </c>
      <c r="AK405" s="161" t="e">
        <f t="shared" ca="1" si="179"/>
        <v>#N/A</v>
      </c>
      <c r="AL405" s="161">
        <f ca="1">IF(Y405&gt;(Preenchimento!$AA$90*12),0,Fixa!Y405)</f>
        <v>0</v>
      </c>
      <c r="AM405" s="161">
        <f t="shared" ca="1" si="161"/>
        <v>2</v>
      </c>
      <c r="AN405" s="199">
        <f ca="1">IF(AQ405&gt;Preenchimento!$AA$90*12,0,1)</f>
        <v>0</v>
      </c>
      <c r="AO405" s="161" t="e">
        <f ca="1">1/((1+SAC!$AD$29)^AL405)</f>
        <v>#N/A</v>
      </c>
      <c r="AP405" s="82" t="e">
        <f t="shared" ca="1" si="180"/>
        <v>#N/A</v>
      </c>
      <c r="AQ405" s="82">
        <v>380</v>
      </c>
      <c r="AS405" s="477">
        <f t="shared" ca="1" si="156"/>
        <v>0</v>
      </c>
    </row>
    <row r="406" spans="1:45">
      <c r="A406" s="53">
        <v>381</v>
      </c>
      <c r="B406" s="249">
        <f ca="1">DATE(IF(MONTH(B405)=12,YEAR(B405)+1,YEAR(B405)),IF(MONTH(B405)=12,1,MONTH(B405)+1),MIN(DAY(Condições!$C$109),IF(IF(MONTH(B405)=12,1,MONTH(B405)+1)=2,IF(MOD(IF(MONTH(B405)=12,YEAR(B405)+1,YEAR(B405)),4)=0,29,28),IF(OR(IF(MONTH(B405)=12,1,MONTH(B405)+1)=4,IF(MONTH(B405)=12,1,MONTH(B405)+1)=6,IF(MONTH(B405)=12,1,MONTH(B405)+1)=9,IF(MONTH(B405)=12,1,MONTH(B405)+1)=11),30,DAY($B$25)))))</f>
        <v>57785</v>
      </c>
      <c r="C406" s="250" t="str">
        <f t="shared" si="163"/>
        <v/>
      </c>
      <c r="D406" s="251" t="e">
        <f t="shared" si="164"/>
        <v>#N/A</v>
      </c>
      <c r="E406" s="251">
        <f t="shared" si="165"/>
        <v>0</v>
      </c>
      <c r="F406" s="251">
        <f t="shared" si="166"/>
        <v>0</v>
      </c>
      <c r="G406" s="251">
        <f t="shared" si="167"/>
        <v>0</v>
      </c>
      <c r="H406" s="251" t="e">
        <f t="shared" si="168"/>
        <v>#VALUE!</v>
      </c>
      <c r="I406" s="251">
        <f t="shared" si="169"/>
        <v>0</v>
      </c>
      <c r="J406" s="251">
        <f t="shared" si="170"/>
        <v>0</v>
      </c>
      <c r="K406" s="251">
        <f t="shared" si="171"/>
        <v>0</v>
      </c>
      <c r="M406" s="224"/>
      <c r="N406" s="225">
        <f t="shared" si="172"/>
        <v>0</v>
      </c>
      <c r="O406" s="251" t="e">
        <f t="shared" si="150"/>
        <v>#N/A</v>
      </c>
      <c r="P406" s="251">
        <f t="shared" si="173"/>
        <v>0</v>
      </c>
      <c r="Q406" s="251">
        <f t="shared" si="151"/>
        <v>0</v>
      </c>
      <c r="R406" s="251">
        <f t="shared" si="152"/>
        <v>0</v>
      </c>
      <c r="S406" s="251" t="e">
        <f t="shared" si="153"/>
        <v>#VALUE!</v>
      </c>
      <c r="T406" s="251">
        <f t="shared" si="140"/>
        <v>0</v>
      </c>
      <c r="V406" s="199">
        <f t="shared" si="174"/>
        <v>0</v>
      </c>
      <c r="W406" s="161" t="e">
        <f t="shared" si="175"/>
        <v>#N/A</v>
      </c>
      <c r="X406" s="161" t="e">
        <f t="shared" si="176"/>
        <v>#N/A</v>
      </c>
      <c r="Y406" s="161">
        <f t="shared" si="181"/>
        <v>381</v>
      </c>
      <c r="Z406" s="161">
        <f t="shared" ca="1" si="182"/>
        <v>3</v>
      </c>
      <c r="AG406" s="114">
        <f t="shared" si="177"/>
        <v>0</v>
      </c>
      <c r="AH406" s="113"/>
      <c r="AI406" s="199">
        <f ca="1">IF(AL406=0,0,IF(AL406&gt;Preenchimento!$AA$88*12,0,IF($AC$53=AM406,0,1)))</f>
        <v>0</v>
      </c>
      <c r="AJ406" s="161" t="e">
        <f t="shared" ca="1" si="178"/>
        <v>#N/A</v>
      </c>
      <c r="AK406" s="161" t="e">
        <f t="shared" ca="1" si="179"/>
        <v>#N/A</v>
      </c>
      <c r="AL406" s="161">
        <f ca="1">IF(Y406&gt;(Preenchimento!$AA$90*12),0,Fixa!Y406)</f>
        <v>0</v>
      </c>
      <c r="AM406" s="161">
        <f t="shared" ca="1" si="161"/>
        <v>3</v>
      </c>
      <c r="AN406" s="199">
        <f ca="1">IF(AQ406&gt;Preenchimento!$AA$90*12,0,1)</f>
        <v>0</v>
      </c>
      <c r="AO406" s="161" t="e">
        <f ca="1">1/((1+SAC!$AD$29)^AL406)</f>
        <v>#N/A</v>
      </c>
      <c r="AP406" s="82" t="e">
        <f t="shared" ca="1" si="180"/>
        <v>#N/A</v>
      </c>
      <c r="AQ406" s="82">
        <v>381</v>
      </c>
      <c r="AS406" s="477">
        <f t="shared" ca="1" si="156"/>
        <v>0</v>
      </c>
    </row>
    <row r="407" spans="1:45">
      <c r="A407" s="53">
        <v>382</v>
      </c>
      <c r="B407" s="249">
        <f ca="1">DATE(IF(MONTH(B406)=12,YEAR(B406)+1,YEAR(B406)),IF(MONTH(B406)=12,1,MONTH(B406)+1),MIN(DAY(Condições!$C$109),IF(IF(MONTH(B406)=12,1,MONTH(B406)+1)=2,IF(MOD(IF(MONTH(B406)=12,YEAR(B406)+1,YEAR(B406)),4)=0,29,28),IF(OR(IF(MONTH(B406)=12,1,MONTH(B406)+1)=4,IF(MONTH(B406)=12,1,MONTH(B406)+1)=6,IF(MONTH(B406)=12,1,MONTH(B406)+1)=9,IF(MONTH(B406)=12,1,MONTH(B406)+1)=11),30,DAY($B$25)))))</f>
        <v>57816</v>
      </c>
      <c r="C407" s="250" t="str">
        <f t="shared" si="163"/>
        <v/>
      </c>
      <c r="D407" s="251" t="e">
        <f t="shared" si="164"/>
        <v>#N/A</v>
      </c>
      <c r="E407" s="251">
        <f t="shared" si="165"/>
        <v>0</v>
      </c>
      <c r="F407" s="251">
        <f t="shared" si="166"/>
        <v>0</v>
      </c>
      <c r="G407" s="251">
        <f t="shared" si="167"/>
        <v>0</v>
      </c>
      <c r="H407" s="251" t="e">
        <f t="shared" si="168"/>
        <v>#VALUE!</v>
      </c>
      <c r="I407" s="251">
        <f t="shared" si="169"/>
        <v>0</v>
      </c>
      <c r="J407" s="251">
        <f t="shared" si="170"/>
        <v>0</v>
      </c>
      <c r="K407" s="251">
        <f t="shared" si="171"/>
        <v>0</v>
      </c>
      <c r="M407" s="224"/>
      <c r="N407" s="225">
        <f t="shared" si="172"/>
        <v>0</v>
      </c>
      <c r="O407" s="251" t="e">
        <f t="shared" si="150"/>
        <v>#N/A</v>
      </c>
      <c r="P407" s="251">
        <f t="shared" si="173"/>
        <v>0</v>
      </c>
      <c r="Q407" s="251">
        <f t="shared" si="151"/>
        <v>0</v>
      </c>
      <c r="R407" s="251">
        <f t="shared" si="152"/>
        <v>0</v>
      </c>
      <c r="S407" s="251" t="e">
        <f t="shared" si="153"/>
        <v>#VALUE!</v>
      </c>
      <c r="T407" s="251">
        <f t="shared" si="140"/>
        <v>0</v>
      </c>
      <c r="V407" s="199">
        <f t="shared" si="174"/>
        <v>0</v>
      </c>
      <c r="W407" s="161" t="e">
        <f t="shared" si="175"/>
        <v>#N/A</v>
      </c>
      <c r="X407" s="161" t="e">
        <f t="shared" si="176"/>
        <v>#N/A</v>
      </c>
      <c r="Y407" s="161">
        <f t="shared" si="181"/>
        <v>382</v>
      </c>
      <c r="Z407" s="161">
        <f t="shared" ca="1" si="182"/>
        <v>4</v>
      </c>
      <c r="AG407" s="114">
        <f t="shared" si="177"/>
        <v>0</v>
      </c>
      <c r="AH407" s="113"/>
      <c r="AI407" s="199">
        <f ca="1">IF(AL407=0,0,IF(AL407&gt;Preenchimento!$AA$88*12,0,IF($AC$53=AM407,0,1)))</f>
        <v>0</v>
      </c>
      <c r="AJ407" s="161" t="e">
        <f t="shared" ca="1" si="178"/>
        <v>#N/A</v>
      </c>
      <c r="AK407" s="161" t="e">
        <f t="shared" ca="1" si="179"/>
        <v>#N/A</v>
      </c>
      <c r="AL407" s="161">
        <f ca="1">IF(Y407&gt;(Preenchimento!$AA$90*12),0,Fixa!Y407)</f>
        <v>0</v>
      </c>
      <c r="AM407" s="161">
        <f t="shared" ca="1" si="161"/>
        <v>4</v>
      </c>
      <c r="AN407" s="199">
        <f ca="1">IF(AQ407&gt;Preenchimento!$AA$90*12,0,1)</f>
        <v>0</v>
      </c>
      <c r="AO407" s="161" t="e">
        <f ca="1">1/((1+SAC!$AD$29)^AL407)</f>
        <v>#N/A</v>
      </c>
      <c r="AP407" s="82" t="e">
        <f t="shared" ca="1" si="180"/>
        <v>#N/A</v>
      </c>
      <c r="AQ407" s="82">
        <v>382</v>
      </c>
      <c r="AS407" s="477">
        <f t="shared" ca="1" si="156"/>
        <v>0</v>
      </c>
    </row>
    <row r="408" spans="1:45">
      <c r="A408" s="53">
        <v>383</v>
      </c>
      <c r="B408" s="249">
        <f ca="1">DATE(IF(MONTH(B407)=12,YEAR(B407)+1,YEAR(B407)),IF(MONTH(B407)=12,1,MONTH(B407)+1),MIN(DAY(Condições!$C$109),IF(IF(MONTH(B407)=12,1,MONTH(B407)+1)=2,IF(MOD(IF(MONTH(B407)=12,YEAR(B407)+1,YEAR(B407)),4)=0,29,28),IF(OR(IF(MONTH(B407)=12,1,MONTH(B407)+1)=4,IF(MONTH(B407)=12,1,MONTH(B407)+1)=6,IF(MONTH(B407)=12,1,MONTH(B407)+1)=9,IF(MONTH(B407)=12,1,MONTH(B407)+1)=11),30,DAY($B$25)))))</f>
        <v>57846</v>
      </c>
      <c r="C408" s="250" t="str">
        <f t="shared" si="163"/>
        <v/>
      </c>
      <c r="D408" s="251" t="e">
        <f t="shared" si="164"/>
        <v>#N/A</v>
      </c>
      <c r="E408" s="251">
        <f t="shared" si="165"/>
        <v>0</v>
      </c>
      <c r="F408" s="251">
        <f t="shared" si="166"/>
        <v>0</v>
      </c>
      <c r="G408" s="251">
        <f t="shared" si="167"/>
        <v>0</v>
      </c>
      <c r="H408" s="251" t="e">
        <f t="shared" si="168"/>
        <v>#VALUE!</v>
      </c>
      <c r="I408" s="251">
        <f t="shared" si="169"/>
        <v>0</v>
      </c>
      <c r="J408" s="251">
        <f t="shared" si="170"/>
        <v>0</v>
      </c>
      <c r="K408" s="251">
        <f t="shared" si="171"/>
        <v>0</v>
      </c>
      <c r="M408" s="224"/>
      <c r="N408" s="225">
        <f t="shared" si="172"/>
        <v>0</v>
      </c>
      <c r="O408" s="251" t="e">
        <f t="shared" si="150"/>
        <v>#N/A</v>
      </c>
      <c r="P408" s="251">
        <f t="shared" si="173"/>
        <v>0</v>
      </c>
      <c r="Q408" s="251">
        <f t="shared" si="151"/>
        <v>0</v>
      </c>
      <c r="R408" s="251">
        <f t="shared" si="152"/>
        <v>0</v>
      </c>
      <c r="S408" s="251" t="e">
        <f t="shared" si="153"/>
        <v>#VALUE!</v>
      </c>
      <c r="T408" s="251">
        <f t="shared" si="140"/>
        <v>0</v>
      </c>
      <c r="V408" s="199">
        <f t="shared" si="174"/>
        <v>0</v>
      </c>
      <c r="W408" s="161" t="e">
        <f t="shared" si="175"/>
        <v>#N/A</v>
      </c>
      <c r="X408" s="161" t="e">
        <f t="shared" si="176"/>
        <v>#N/A</v>
      </c>
      <c r="Y408" s="161">
        <f t="shared" si="181"/>
        <v>383</v>
      </c>
      <c r="Z408" s="161">
        <f t="shared" ca="1" si="182"/>
        <v>5</v>
      </c>
      <c r="AG408" s="114">
        <f t="shared" si="177"/>
        <v>0</v>
      </c>
      <c r="AH408" s="113"/>
      <c r="AI408" s="199">
        <f ca="1">IF(AL408=0,0,IF(AL408&gt;Preenchimento!$AA$88*12,0,IF($AC$53=AM408,0,1)))</f>
        <v>0</v>
      </c>
      <c r="AJ408" s="161" t="e">
        <f t="shared" ca="1" si="178"/>
        <v>#N/A</v>
      </c>
      <c r="AK408" s="161" t="e">
        <f t="shared" ca="1" si="179"/>
        <v>#N/A</v>
      </c>
      <c r="AL408" s="161">
        <f ca="1">IF(Y408&gt;(Preenchimento!$AA$90*12),0,Fixa!Y408)</f>
        <v>0</v>
      </c>
      <c r="AM408" s="161">
        <f t="shared" ca="1" si="161"/>
        <v>5</v>
      </c>
      <c r="AN408" s="199">
        <f ca="1">IF(AQ408&gt;Preenchimento!$AA$90*12,0,1)</f>
        <v>0</v>
      </c>
      <c r="AO408" s="161" t="e">
        <f ca="1">1/((1+SAC!$AD$29)^AL408)</f>
        <v>#N/A</v>
      </c>
      <c r="AP408" s="82" t="e">
        <f t="shared" ca="1" si="180"/>
        <v>#N/A</v>
      </c>
      <c r="AQ408" s="82">
        <v>383</v>
      </c>
      <c r="AS408" s="477">
        <f t="shared" ca="1" si="156"/>
        <v>0</v>
      </c>
    </row>
    <row r="409" spans="1:45">
      <c r="A409" s="53">
        <v>384</v>
      </c>
      <c r="B409" s="249">
        <f ca="1">DATE(IF(MONTH(B408)=12,YEAR(B408)+1,YEAR(B408)),IF(MONTH(B408)=12,1,MONTH(B408)+1),MIN(DAY(Condições!$C$109),IF(IF(MONTH(B408)=12,1,MONTH(B408)+1)=2,IF(MOD(IF(MONTH(B408)=12,YEAR(B408)+1,YEAR(B408)),4)=0,29,28),IF(OR(IF(MONTH(B408)=12,1,MONTH(B408)+1)=4,IF(MONTH(B408)=12,1,MONTH(B408)+1)=6,IF(MONTH(B408)=12,1,MONTH(B408)+1)=9,IF(MONTH(B408)=12,1,MONTH(B408)+1)=11),30,DAY($B$25)))))</f>
        <v>57877</v>
      </c>
      <c r="C409" s="250" t="str">
        <f t="shared" si="163"/>
        <v/>
      </c>
      <c r="D409" s="251" t="e">
        <f t="shared" si="164"/>
        <v>#N/A</v>
      </c>
      <c r="E409" s="251">
        <f t="shared" si="165"/>
        <v>0</v>
      </c>
      <c r="F409" s="251">
        <f t="shared" si="166"/>
        <v>0</v>
      </c>
      <c r="G409" s="251">
        <f t="shared" si="167"/>
        <v>0</v>
      </c>
      <c r="H409" s="251" t="e">
        <f t="shared" si="168"/>
        <v>#VALUE!</v>
      </c>
      <c r="I409" s="251">
        <f t="shared" si="169"/>
        <v>0</v>
      </c>
      <c r="J409" s="251">
        <f t="shared" si="170"/>
        <v>0</v>
      </c>
      <c r="K409" s="251">
        <f t="shared" si="171"/>
        <v>0</v>
      </c>
      <c r="M409" s="224"/>
      <c r="N409" s="225">
        <f t="shared" si="172"/>
        <v>0</v>
      </c>
      <c r="O409" s="251" t="e">
        <f t="shared" si="150"/>
        <v>#N/A</v>
      </c>
      <c r="P409" s="251">
        <f t="shared" si="173"/>
        <v>0</v>
      </c>
      <c r="Q409" s="251">
        <f t="shared" si="151"/>
        <v>0</v>
      </c>
      <c r="R409" s="251">
        <f t="shared" si="152"/>
        <v>0</v>
      </c>
      <c r="S409" s="251" t="e">
        <f t="shared" si="153"/>
        <v>#VALUE!</v>
      </c>
      <c r="T409" s="251">
        <f t="shared" ref="T409:T445" si="183">IF(C409&gt;=$AC$46,0,ROUND(IF(Y409&gt;$AC$46,"",$AC$51*$AC$44),$P$18))</f>
        <v>0</v>
      </c>
      <c r="V409" s="199">
        <f t="shared" si="174"/>
        <v>0</v>
      </c>
      <c r="W409" s="161" t="e">
        <f t="shared" si="175"/>
        <v>#N/A</v>
      </c>
      <c r="X409" s="161" t="e">
        <f t="shared" si="176"/>
        <v>#N/A</v>
      </c>
      <c r="Y409" s="161">
        <f t="shared" si="181"/>
        <v>384</v>
      </c>
      <c r="Z409" s="161">
        <f t="shared" ca="1" si="182"/>
        <v>6</v>
      </c>
      <c r="AG409" s="114">
        <f t="shared" si="177"/>
        <v>0</v>
      </c>
      <c r="AH409" s="113"/>
      <c r="AI409" s="199">
        <f ca="1">IF(AL409=0,0,IF(AL409&gt;Preenchimento!$AA$88*12,0,IF($AC$53=AM409,0,1)))</f>
        <v>0</v>
      </c>
      <c r="AJ409" s="161" t="e">
        <f t="shared" ca="1" si="178"/>
        <v>#N/A</v>
      </c>
      <c r="AK409" s="161" t="e">
        <f t="shared" ca="1" si="179"/>
        <v>#N/A</v>
      </c>
      <c r="AL409" s="161">
        <f ca="1">IF(Y409&gt;(Preenchimento!$AA$90*12),0,Fixa!Y409)</f>
        <v>0</v>
      </c>
      <c r="AM409" s="161">
        <f t="shared" ca="1" si="161"/>
        <v>6</v>
      </c>
      <c r="AN409" s="199">
        <f ca="1">IF(AQ409&gt;Preenchimento!$AA$90*12,0,1)</f>
        <v>0</v>
      </c>
      <c r="AO409" s="161" t="e">
        <f ca="1">1/((1+SAC!$AD$29)^AL409)</f>
        <v>#N/A</v>
      </c>
      <c r="AP409" s="82" t="e">
        <f t="shared" ca="1" si="180"/>
        <v>#N/A</v>
      </c>
      <c r="AQ409" s="82">
        <v>384</v>
      </c>
      <c r="AS409" s="477">
        <f t="shared" ca="1" si="156"/>
        <v>0</v>
      </c>
    </row>
    <row r="410" spans="1:45">
      <c r="A410" s="53">
        <v>385</v>
      </c>
      <c r="B410" s="249">
        <f ca="1">DATE(IF(MONTH(B409)=12,YEAR(B409)+1,YEAR(B409)),IF(MONTH(B409)=12,1,MONTH(B409)+1),MIN(DAY(Condições!$C$109),IF(IF(MONTH(B409)=12,1,MONTH(B409)+1)=2,IF(MOD(IF(MONTH(B409)=12,YEAR(B409)+1,YEAR(B409)),4)=0,29,28),IF(OR(IF(MONTH(B409)=12,1,MONTH(B409)+1)=4,IF(MONTH(B409)=12,1,MONTH(B409)+1)=6,IF(MONTH(B409)=12,1,MONTH(B409)+1)=9,IF(MONTH(B409)=12,1,MONTH(B409)+1)=11),30,DAY($B$25)))))</f>
        <v>57907</v>
      </c>
      <c r="C410" s="250" t="str">
        <f t="shared" si="163"/>
        <v/>
      </c>
      <c r="D410" s="251" t="e">
        <f t="shared" si="164"/>
        <v>#N/A</v>
      </c>
      <c r="E410" s="251">
        <f t="shared" si="165"/>
        <v>0</v>
      </c>
      <c r="F410" s="251">
        <f t="shared" si="166"/>
        <v>0</v>
      </c>
      <c r="G410" s="251">
        <f t="shared" si="167"/>
        <v>0</v>
      </c>
      <c r="H410" s="251" t="e">
        <f t="shared" si="168"/>
        <v>#VALUE!</v>
      </c>
      <c r="I410" s="251">
        <f t="shared" si="169"/>
        <v>0</v>
      </c>
      <c r="J410" s="251">
        <f t="shared" si="170"/>
        <v>0</v>
      </c>
      <c r="K410" s="251">
        <f t="shared" si="171"/>
        <v>0</v>
      </c>
      <c r="M410" s="224"/>
      <c r="N410" s="225">
        <f t="shared" si="172"/>
        <v>0</v>
      </c>
      <c r="O410" s="251" t="e">
        <f t="shared" ref="O410:O445" si="184">ROUND(O409*(1+$AC$47)-R410,$P$18)</f>
        <v>#N/A</v>
      </c>
      <c r="P410" s="251">
        <f t="shared" si="173"/>
        <v>0</v>
      </c>
      <c r="Q410" s="251">
        <f t="shared" ref="Q410:Q445" si="185">ROUND(IF(V410=0,0,O409*$AC$47),$P$18)</f>
        <v>0</v>
      </c>
      <c r="R410" s="251">
        <f t="shared" ref="R410:R445" si="186">ROUND(IF(V410=0,0,$O$25/$X$18),$P$18)</f>
        <v>0</v>
      </c>
      <c r="S410" s="251" t="e">
        <f t="shared" ref="S410:S445" si="187">ROUND(IF(Y410&gt;$AC$46,"",$AC$52*O410),$P$18)</f>
        <v>#VALUE!</v>
      </c>
      <c r="T410" s="251">
        <f t="shared" si="183"/>
        <v>0</v>
      </c>
      <c r="V410" s="199">
        <f t="shared" si="174"/>
        <v>0</v>
      </c>
      <c r="W410" s="161" t="e">
        <f t="shared" si="175"/>
        <v>#N/A</v>
      </c>
      <c r="X410" s="161" t="e">
        <f t="shared" si="176"/>
        <v>#N/A</v>
      </c>
      <c r="Y410" s="161">
        <f t="shared" si="181"/>
        <v>385</v>
      </c>
      <c r="Z410" s="161">
        <f t="shared" ca="1" si="182"/>
        <v>7</v>
      </c>
      <c r="AG410" s="114">
        <f t="shared" si="177"/>
        <v>0</v>
      </c>
      <c r="AH410" s="113"/>
      <c r="AI410" s="199">
        <f ca="1">IF(AL410=0,0,IF(AL410&gt;Preenchimento!$AA$88*12,0,IF($AC$53=AM410,0,1)))</f>
        <v>0</v>
      </c>
      <c r="AJ410" s="161" t="e">
        <f t="shared" ca="1" si="178"/>
        <v>#N/A</v>
      </c>
      <c r="AK410" s="161" t="e">
        <f t="shared" ca="1" si="179"/>
        <v>#N/A</v>
      </c>
      <c r="AL410" s="161">
        <f ca="1">IF(Y410&gt;(Preenchimento!$AA$90*12),0,Fixa!Y410)</f>
        <v>0</v>
      </c>
      <c r="AM410" s="161">
        <f t="shared" ca="1" si="161"/>
        <v>7</v>
      </c>
      <c r="AN410" s="199">
        <f ca="1">IF(AQ410&gt;Preenchimento!$AA$90*12,0,1)</f>
        <v>0</v>
      </c>
      <c r="AO410" s="161" t="e">
        <f ca="1">1/((1+SAC!$AD$29)^AL410)</f>
        <v>#N/A</v>
      </c>
      <c r="AP410" s="82" t="e">
        <f t="shared" ca="1" si="180"/>
        <v>#N/A</v>
      </c>
      <c r="AQ410" s="82">
        <v>385</v>
      </c>
      <c r="AS410" s="477">
        <f t="shared" ref="AS410:AS473" ca="1" si="188">IFERROR(IF(Z409&gt;$AC$46,0,R410),0)</f>
        <v>0</v>
      </c>
    </row>
    <row r="411" spans="1:45">
      <c r="A411" s="53">
        <v>386</v>
      </c>
      <c r="B411" s="249">
        <f ca="1">DATE(IF(MONTH(B410)=12,YEAR(B410)+1,YEAR(B410)),IF(MONTH(B410)=12,1,MONTH(B410)+1),MIN(DAY(Condições!$C$109),IF(IF(MONTH(B410)=12,1,MONTH(B410)+1)=2,IF(MOD(IF(MONTH(B410)=12,YEAR(B410)+1,YEAR(B410)),4)=0,29,28),IF(OR(IF(MONTH(B410)=12,1,MONTH(B410)+1)=4,IF(MONTH(B410)=12,1,MONTH(B410)+1)=6,IF(MONTH(B410)=12,1,MONTH(B410)+1)=9,IF(MONTH(B410)=12,1,MONTH(B410)+1)=11),30,DAY($B$25)))))</f>
        <v>57938</v>
      </c>
      <c r="C411" s="250" t="str">
        <f t="shared" si="163"/>
        <v/>
      </c>
      <c r="D411" s="251" t="e">
        <f t="shared" si="164"/>
        <v>#N/A</v>
      </c>
      <c r="E411" s="251">
        <f t="shared" si="165"/>
        <v>0</v>
      </c>
      <c r="F411" s="251">
        <f t="shared" si="166"/>
        <v>0</v>
      </c>
      <c r="G411" s="251">
        <f t="shared" si="167"/>
        <v>0</v>
      </c>
      <c r="H411" s="251" t="e">
        <f t="shared" si="168"/>
        <v>#VALUE!</v>
      </c>
      <c r="I411" s="251">
        <f t="shared" si="169"/>
        <v>0</v>
      </c>
      <c r="J411" s="251">
        <f t="shared" si="170"/>
        <v>0</v>
      </c>
      <c r="K411" s="251">
        <f t="shared" si="171"/>
        <v>0</v>
      </c>
      <c r="M411" s="224"/>
      <c r="N411" s="225">
        <f t="shared" si="172"/>
        <v>0</v>
      </c>
      <c r="O411" s="251" t="e">
        <f t="shared" si="184"/>
        <v>#N/A</v>
      </c>
      <c r="P411" s="251">
        <f t="shared" si="173"/>
        <v>0</v>
      </c>
      <c r="Q411" s="251">
        <f t="shared" si="185"/>
        <v>0</v>
      </c>
      <c r="R411" s="251">
        <f t="shared" si="186"/>
        <v>0</v>
      </c>
      <c r="S411" s="251" t="e">
        <f t="shared" si="187"/>
        <v>#VALUE!</v>
      </c>
      <c r="T411" s="251">
        <f t="shared" si="183"/>
        <v>0</v>
      </c>
      <c r="V411" s="199">
        <f t="shared" si="174"/>
        <v>0</v>
      </c>
      <c r="W411" s="161" t="e">
        <f t="shared" si="175"/>
        <v>#N/A</v>
      </c>
      <c r="X411" s="161" t="e">
        <f t="shared" si="176"/>
        <v>#N/A</v>
      </c>
      <c r="Y411" s="161">
        <f t="shared" si="181"/>
        <v>386</v>
      </c>
      <c r="Z411" s="161">
        <f t="shared" ca="1" si="182"/>
        <v>8</v>
      </c>
      <c r="AG411" s="114">
        <f t="shared" si="177"/>
        <v>0</v>
      </c>
      <c r="AH411" s="113"/>
      <c r="AI411" s="199">
        <f ca="1">IF(AL411=0,0,IF(AL411&gt;Preenchimento!$AA$88*12,0,IF($AC$53=AM411,0,1)))</f>
        <v>0</v>
      </c>
      <c r="AJ411" s="161" t="e">
        <f t="shared" ca="1" si="178"/>
        <v>#N/A</v>
      </c>
      <c r="AK411" s="161" t="e">
        <f t="shared" ca="1" si="179"/>
        <v>#N/A</v>
      </c>
      <c r="AL411" s="161">
        <f ca="1">IF(Y411&gt;(Preenchimento!$AA$90*12),0,Fixa!Y411)</f>
        <v>0</v>
      </c>
      <c r="AM411" s="161">
        <f t="shared" ref="AM411:AM474" ca="1" si="189">IF(AM410=12,1,AM410+1)</f>
        <v>8</v>
      </c>
      <c r="AN411" s="199">
        <f ca="1">IF(AQ411&gt;Preenchimento!$AA$90*12,0,1)</f>
        <v>0</v>
      </c>
      <c r="AO411" s="161" t="e">
        <f ca="1">1/((1+SAC!$AD$29)^AL411)</f>
        <v>#N/A</v>
      </c>
      <c r="AP411" s="82" t="e">
        <f t="shared" ca="1" si="180"/>
        <v>#N/A</v>
      </c>
      <c r="AQ411" s="82">
        <v>386</v>
      </c>
      <c r="AS411" s="477">
        <f t="shared" ca="1" si="188"/>
        <v>0</v>
      </c>
    </row>
    <row r="412" spans="1:45">
      <c r="A412" s="53">
        <v>387</v>
      </c>
      <c r="B412" s="249">
        <f ca="1">DATE(IF(MONTH(B411)=12,YEAR(B411)+1,YEAR(B411)),IF(MONTH(B411)=12,1,MONTH(B411)+1),MIN(DAY(Condições!$C$109),IF(IF(MONTH(B411)=12,1,MONTH(B411)+1)=2,IF(MOD(IF(MONTH(B411)=12,YEAR(B411)+1,YEAR(B411)),4)=0,29,28),IF(OR(IF(MONTH(B411)=12,1,MONTH(B411)+1)=4,IF(MONTH(B411)=12,1,MONTH(B411)+1)=6,IF(MONTH(B411)=12,1,MONTH(B411)+1)=9,IF(MONTH(B411)=12,1,MONTH(B411)+1)=11),30,DAY($B$25)))))</f>
        <v>57969</v>
      </c>
      <c r="C412" s="250" t="str">
        <f t="shared" si="163"/>
        <v/>
      </c>
      <c r="D412" s="251" t="e">
        <f t="shared" si="164"/>
        <v>#N/A</v>
      </c>
      <c r="E412" s="251">
        <f t="shared" si="165"/>
        <v>0</v>
      </c>
      <c r="F412" s="251">
        <f t="shared" si="166"/>
        <v>0</v>
      </c>
      <c r="G412" s="251">
        <f t="shared" si="167"/>
        <v>0</v>
      </c>
      <c r="H412" s="251" t="e">
        <f t="shared" si="168"/>
        <v>#VALUE!</v>
      </c>
      <c r="I412" s="251">
        <f t="shared" si="169"/>
        <v>0</v>
      </c>
      <c r="J412" s="251">
        <f t="shared" si="170"/>
        <v>0</v>
      </c>
      <c r="K412" s="251">
        <f t="shared" si="171"/>
        <v>0</v>
      </c>
      <c r="M412" s="224"/>
      <c r="N412" s="225">
        <f t="shared" si="172"/>
        <v>0</v>
      </c>
      <c r="O412" s="251" t="e">
        <f t="shared" si="184"/>
        <v>#N/A</v>
      </c>
      <c r="P412" s="251">
        <f t="shared" si="173"/>
        <v>0</v>
      </c>
      <c r="Q412" s="251">
        <f t="shared" si="185"/>
        <v>0</v>
      </c>
      <c r="R412" s="251">
        <f t="shared" si="186"/>
        <v>0</v>
      </c>
      <c r="S412" s="251" t="e">
        <f t="shared" si="187"/>
        <v>#VALUE!</v>
      </c>
      <c r="T412" s="251">
        <f t="shared" si="183"/>
        <v>0</v>
      </c>
      <c r="V412" s="199">
        <f t="shared" si="174"/>
        <v>0</v>
      </c>
      <c r="W412" s="161" t="e">
        <f t="shared" si="175"/>
        <v>#N/A</v>
      </c>
      <c r="X412" s="161" t="e">
        <f t="shared" si="176"/>
        <v>#N/A</v>
      </c>
      <c r="Y412" s="161">
        <f t="shared" si="181"/>
        <v>387</v>
      </c>
      <c r="Z412" s="161">
        <f t="shared" ca="1" si="182"/>
        <v>9</v>
      </c>
      <c r="AG412" s="114">
        <f t="shared" si="177"/>
        <v>0</v>
      </c>
      <c r="AH412" s="113"/>
      <c r="AI412" s="199">
        <f ca="1">IF(AL412=0,0,IF(AL412&gt;Preenchimento!$AA$88*12,0,IF($AC$53=AM412,0,1)))</f>
        <v>0</v>
      </c>
      <c r="AJ412" s="161" t="e">
        <f t="shared" ca="1" si="178"/>
        <v>#N/A</v>
      </c>
      <c r="AK412" s="161" t="e">
        <f t="shared" ca="1" si="179"/>
        <v>#N/A</v>
      </c>
      <c r="AL412" s="161">
        <f ca="1">IF(Y412&gt;(Preenchimento!$AA$90*12),0,Fixa!Y412)</f>
        <v>0</v>
      </c>
      <c r="AM412" s="161">
        <f t="shared" ca="1" si="189"/>
        <v>9</v>
      </c>
      <c r="AN412" s="199">
        <f ca="1">IF(AQ412&gt;Preenchimento!$AA$90*12,0,1)</f>
        <v>0</v>
      </c>
      <c r="AO412" s="161" t="e">
        <f ca="1">1/((1+SAC!$AD$29)^AL412)</f>
        <v>#N/A</v>
      </c>
      <c r="AP412" s="82" t="e">
        <f t="shared" ca="1" si="180"/>
        <v>#N/A</v>
      </c>
      <c r="AQ412" s="82">
        <v>387</v>
      </c>
      <c r="AS412" s="477">
        <f t="shared" ca="1" si="188"/>
        <v>0</v>
      </c>
    </row>
    <row r="413" spans="1:45">
      <c r="A413" s="53">
        <v>388</v>
      </c>
      <c r="B413" s="249">
        <f ca="1">DATE(IF(MONTH(B412)=12,YEAR(B412)+1,YEAR(B412)),IF(MONTH(B412)=12,1,MONTH(B412)+1),MIN(DAY(Condições!$C$109),IF(IF(MONTH(B412)=12,1,MONTH(B412)+1)=2,IF(MOD(IF(MONTH(B412)=12,YEAR(B412)+1,YEAR(B412)),4)=0,29,28),IF(OR(IF(MONTH(B412)=12,1,MONTH(B412)+1)=4,IF(MONTH(B412)=12,1,MONTH(B412)+1)=6,IF(MONTH(B412)=12,1,MONTH(B412)+1)=9,IF(MONTH(B412)=12,1,MONTH(B412)+1)=11),30,DAY($B$25)))))</f>
        <v>57999</v>
      </c>
      <c r="C413" s="250" t="str">
        <f t="shared" si="163"/>
        <v/>
      </c>
      <c r="D413" s="251" t="e">
        <f t="shared" si="164"/>
        <v>#N/A</v>
      </c>
      <c r="E413" s="251">
        <f t="shared" si="165"/>
        <v>0</v>
      </c>
      <c r="F413" s="251">
        <f t="shared" si="166"/>
        <v>0</v>
      </c>
      <c r="G413" s="251">
        <f t="shared" si="167"/>
        <v>0</v>
      </c>
      <c r="H413" s="251" t="e">
        <f t="shared" si="168"/>
        <v>#VALUE!</v>
      </c>
      <c r="I413" s="251">
        <f t="shared" si="169"/>
        <v>0</v>
      </c>
      <c r="J413" s="251">
        <f t="shared" si="170"/>
        <v>0</v>
      </c>
      <c r="K413" s="251">
        <f t="shared" si="171"/>
        <v>0</v>
      </c>
      <c r="M413" s="224"/>
      <c r="N413" s="225">
        <f t="shared" si="172"/>
        <v>0</v>
      </c>
      <c r="O413" s="251" t="e">
        <f t="shared" si="184"/>
        <v>#N/A</v>
      </c>
      <c r="P413" s="251">
        <f t="shared" si="173"/>
        <v>0</v>
      </c>
      <c r="Q413" s="251">
        <f t="shared" si="185"/>
        <v>0</v>
      </c>
      <c r="R413" s="251">
        <f t="shared" si="186"/>
        <v>0</v>
      </c>
      <c r="S413" s="251" t="e">
        <f t="shared" si="187"/>
        <v>#VALUE!</v>
      </c>
      <c r="T413" s="251">
        <f t="shared" si="183"/>
        <v>0</v>
      </c>
      <c r="V413" s="199">
        <f t="shared" si="174"/>
        <v>0</v>
      </c>
      <c r="W413" s="161" t="e">
        <f t="shared" si="175"/>
        <v>#N/A</v>
      </c>
      <c r="X413" s="161" t="e">
        <f t="shared" si="176"/>
        <v>#N/A</v>
      </c>
      <c r="Y413" s="161">
        <f t="shared" si="181"/>
        <v>388</v>
      </c>
      <c r="Z413" s="161">
        <f t="shared" ca="1" si="182"/>
        <v>10</v>
      </c>
      <c r="AG413" s="114">
        <f t="shared" si="177"/>
        <v>0</v>
      </c>
      <c r="AH413" s="113"/>
      <c r="AI413" s="199">
        <f ca="1">IF(AL413=0,0,IF(AL413&gt;Preenchimento!$AA$88*12,0,IF($AC$53=AM413,0,1)))</f>
        <v>0</v>
      </c>
      <c r="AJ413" s="161" t="e">
        <f t="shared" ca="1" si="178"/>
        <v>#N/A</v>
      </c>
      <c r="AK413" s="161" t="e">
        <f t="shared" ca="1" si="179"/>
        <v>#N/A</v>
      </c>
      <c r="AL413" s="161">
        <f ca="1">IF(Y413&gt;(Preenchimento!$AA$90*12),0,Fixa!Y413)</f>
        <v>0</v>
      </c>
      <c r="AM413" s="161">
        <f t="shared" ca="1" si="189"/>
        <v>10</v>
      </c>
      <c r="AN413" s="199">
        <f ca="1">IF(AQ413&gt;Preenchimento!$AA$90*12,0,1)</f>
        <v>0</v>
      </c>
      <c r="AO413" s="161" t="e">
        <f ca="1">1/((1+SAC!$AD$29)^AL413)</f>
        <v>#N/A</v>
      </c>
      <c r="AP413" s="82" t="e">
        <f t="shared" ca="1" si="180"/>
        <v>#N/A</v>
      </c>
      <c r="AQ413" s="82">
        <v>388</v>
      </c>
      <c r="AS413" s="477">
        <f t="shared" ca="1" si="188"/>
        <v>0</v>
      </c>
    </row>
    <row r="414" spans="1:45">
      <c r="A414" s="53">
        <v>389</v>
      </c>
      <c r="B414" s="249">
        <f ca="1">DATE(IF(MONTH(B413)=12,YEAR(B413)+1,YEAR(B413)),IF(MONTH(B413)=12,1,MONTH(B413)+1),MIN(DAY(Condições!$C$109),IF(IF(MONTH(B413)=12,1,MONTH(B413)+1)=2,IF(MOD(IF(MONTH(B413)=12,YEAR(B413)+1,YEAR(B413)),4)=0,29,28),IF(OR(IF(MONTH(B413)=12,1,MONTH(B413)+1)=4,IF(MONTH(B413)=12,1,MONTH(B413)+1)=6,IF(MONTH(B413)=12,1,MONTH(B413)+1)=9,IF(MONTH(B413)=12,1,MONTH(B413)+1)=11),30,DAY($B$25)))))</f>
        <v>58030</v>
      </c>
      <c r="C414" s="250" t="str">
        <f t="shared" si="163"/>
        <v/>
      </c>
      <c r="D414" s="251" t="e">
        <f t="shared" si="164"/>
        <v>#N/A</v>
      </c>
      <c r="E414" s="251">
        <f t="shared" si="165"/>
        <v>0</v>
      </c>
      <c r="F414" s="251">
        <f t="shared" si="166"/>
        <v>0</v>
      </c>
      <c r="G414" s="251">
        <f t="shared" si="167"/>
        <v>0</v>
      </c>
      <c r="H414" s="251" t="e">
        <f t="shared" si="168"/>
        <v>#VALUE!</v>
      </c>
      <c r="I414" s="251">
        <f t="shared" si="169"/>
        <v>0</v>
      </c>
      <c r="J414" s="251">
        <f t="shared" si="170"/>
        <v>0</v>
      </c>
      <c r="K414" s="251">
        <f t="shared" si="171"/>
        <v>0</v>
      </c>
      <c r="M414" s="224"/>
      <c r="N414" s="225">
        <f t="shared" si="172"/>
        <v>0</v>
      </c>
      <c r="O414" s="251" t="e">
        <f t="shared" si="184"/>
        <v>#N/A</v>
      </c>
      <c r="P414" s="251">
        <f t="shared" si="173"/>
        <v>0</v>
      </c>
      <c r="Q414" s="251">
        <f t="shared" si="185"/>
        <v>0</v>
      </c>
      <c r="R414" s="251">
        <f t="shared" si="186"/>
        <v>0</v>
      </c>
      <c r="S414" s="251" t="e">
        <f t="shared" si="187"/>
        <v>#VALUE!</v>
      </c>
      <c r="T414" s="251">
        <f t="shared" si="183"/>
        <v>0</v>
      </c>
      <c r="V414" s="199">
        <f t="shared" si="174"/>
        <v>0</v>
      </c>
      <c r="W414" s="161" t="e">
        <f t="shared" si="175"/>
        <v>#N/A</v>
      </c>
      <c r="X414" s="161" t="e">
        <f t="shared" si="176"/>
        <v>#N/A</v>
      </c>
      <c r="Y414" s="161">
        <f t="shared" si="181"/>
        <v>389</v>
      </c>
      <c r="Z414" s="161">
        <f t="shared" ca="1" si="182"/>
        <v>11</v>
      </c>
      <c r="AG414" s="114">
        <f t="shared" si="177"/>
        <v>0</v>
      </c>
      <c r="AH414" s="113"/>
      <c r="AI414" s="199">
        <f ca="1">IF(AL414=0,0,IF(AL414&gt;Preenchimento!$AA$88*12,0,IF($AC$53=AM414,0,1)))</f>
        <v>0</v>
      </c>
      <c r="AJ414" s="161" t="e">
        <f t="shared" ca="1" si="178"/>
        <v>#N/A</v>
      </c>
      <c r="AK414" s="161" t="e">
        <f t="shared" ca="1" si="179"/>
        <v>#N/A</v>
      </c>
      <c r="AL414" s="161">
        <f ca="1">IF(Y414&gt;(Preenchimento!$AA$90*12),0,Fixa!Y414)</f>
        <v>0</v>
      </c>
      <c r="AM414" s="161">
        <f t="shared" ca="1" si="189"/>
        <v>11</v>
      </c>
      <c r="AN414" s="199">
        <f ca="1">IF(AQ414&gt;Preenchimento!$AA$90*12,0,1)</f>
        <v>0</v>
      </c>
      <c r="AO414" s="161" t="e">
        <f ca="1">1/((1+SAC!$AD$29)^AL414)</f>
        <v>#N/A</v>
      </c>
      <c r="AP414" s="82" t="e">
        <f t="shared" ca="1" si="180"/>
        <v>#N/A</v>
      </c>
      <c r="AQ414" s="82">
        <v>389</v>
      </c>
      <c r="AS414" s="477">
        <f t="shared" ca="1" si="188"/>
        <v>0</v>
      </c>
    </row>
    <row r="415" spans="1:45">
      <c r="A415" s="53">
        <v>390</v>
      </c>
      <c r="B415" s="249">
        <f ca="1">DATE(IF(MONTH(B414)=12,YEAR(B414)+1,YEAR(B414)),IF(MONTH(B414)=12,1,MONTH(B414)+1),MIN(DAY(Condições!$C$109),IF(IF(MONTH(B414)=12,1,MONTH(B414)+1)=2,IF(MOD(IF(MONTH(B414)=12,YEAR(B414)+1,YEAR(B414)),4)=0,29,28),IF(OR(IF(MONTH(B414)=12,1,MONTH(B414)+1)=4,IF(MONTH(B414)=12,1,MONTH(B414)+1)=6,IF(MONTH(B414)=12,1,MONTH(B414)+1)=9,IF(MONTH(B414)=12,1,MONTH(B414)+1)=11),30,DAY($B$25)))))</f>
        <v>58060</v>
      </c>
      <c r="C415" s="250" t="str">
        <f t="shared" si="163"/>
        <v/>
      </c>
      <c r="D415" s="251" t="e">
        <f t="shared" si="164"/>
        <v>#N/A</v>
      </c>
      <c r="E415" s="251">
        <f t="shared" si="165"/>
        <v>0</v>
      </c>
      <c r="F415" s="251">
        <f t="shared" si="166"/>
        <v>0</v>
      </c>
      <c r="G415" s="251">
        <f t="shared" si="167"/>
        <v>0</v>
      </c>
      <c r="H415" s="251" t="e">
        <f t="shared" si="168"/>
        <v>#VALUE!</v>
      </c>
      <c r="I415" s="251">
        <f t="shared" si="169"/>
        <v>0</v>
      </c>
      <c r="J415" s="251">
        <f t="shared" si="170"/>
        <v>0</v>
      </c>
      <c r="K415" s="251">
        <f t="shared" si="171"/>
        <v>0</v>
      </c>
      <c r="M415" s="224"/>
      <c r="N415" s="225">
        <f t="shared" si="172"/>
        <v>0</v>
      </c>
      <c r="O415" s="251" t="e">
        <f t="shared" si="184"/>
        <v>#N/A</v>
      </c>
      <c r="P415" s="251">
        <f t="shared" si="173"/>
        <v>0</v>
      </c>
      <c r="Q415" s="251">
        <f t="shared" si="185"/>
        <v>0</v>
      </c>
      <c r="R415" s="251">
        <f t="shared" si="186"/>
        <v>0</v>
      </c>
      <c r="S415" s="251" t="e">
        <f t="shared" si="187"/>
        <v>#VALUE!</v>
      </c>
      <c r="T415" s="251">
        <f t="shared" si="183"/>
        <v>0</v>
      </c>
      <c r="V415" s="199">
        <f t="shared" si="174"/>
        <v>0</v>
      </c>
      <c r="W415" s="161" t="e">
        <f t="shared" si="175"/>
        <v>#N/A</v>
      </c>
      <c r="X415" s="161" t="e">
        <f t="shared" si="176"/>
        <v>#N/A</v>
      </c>
      <c r="Y415" s="161">
        <f t="shared" si="181"/>
        <v>390</v>
      </c>
      <c r="Z415" s="161">
        <f t="shared" ca="1" si="182"/>
        <v>12</v>
      </c>
      <c r="AG415" s="114">
        <f t="shared" si="177"/>
        <v>0</v>
      </c>
      <c r="AH415" s="113"/>
      <c r="AI415" s="199">
        <f ca="1">IF(AL415=0,0,IF(AL415&gt;Preenchimento!$AA$88*12,0,IF($AC$53=AM415,0,1)))</f>
        <v>0</v>
      </c>
      <c r="AJ415" s="161" t="e">
        <f t="shared" ca="1" si="178"/>
        <v>#N/A</v>
      </c>
      <c r="AK415" s="161" t="e">
        <f t="shared" ca="1" si="179"/>
        <v>#N/A</v>
      </c>
      <c r="AL415" s="161">
        <f ca="1">IF(Y415&gt;(Preenchimento!$AA$90*12),0,Fixa!Y415)</f>
        <v>0</v>
      </c>
      <c r="AM415" s="161">
        <f t="shared" ca="1" si="189"/>
        <v>12</v>
      </c>
      <c r="AN415" s="199">
        <f ca="1">IF(AQ415&gt;Preenchimento!$AA$90*12,0,1)</f>
        <v>0</v>
      </c>
      <c r="AO415" s="161" t="e">
        <f ca="1">1/((1+SAC!$AD$29)^AL415)</f>
        <v>#N/A</v>
      </c>
      <c r="AP415" s="82" t="e">
        <f t="shared" ca="1" si="180"/>
        <v>#N/A</v>
      </c>
      <c r="AQ415" s="82">
        <v>390</v>
      </c>
      <c r="AS415" s="477">
        <f t="shared" ca="1" si="188"/>
        <v>0</v>
      </c>
    </row>
    <row r="416" spans="1:45">
      <c r="A416" s="53">
        <v>391</v>
      </c>
      <c r="B416" s="249">
        <f ca="1">DATE(IF(MONTH(B415)=12,YEAR(B415)+1,YEAR(B415)),IF(MONTH(B415)=12,1,MONTH(B415)+1),MIN(DAY(Condições!$C$109),IF(IF(MONTH(B415)=12,1,MONTH(B415)+1)=2,IF(MOD(IF(MONTH(B415)=12,YEAR(B415)+1,YEAR(B415)),4)=0,29,28),IF(OR(IF(MONTH(B415)=12,1,MONTH(B415)+1)=4,IF(MONTH(B415)=12,1,MONTH(B415)+1)=6,IF(MONTH(B415)=12,1,MONTH(B415)+1)=9,IF(MONTH(B415)=12,1,MONTH(B415)+1)=11),30,DAY($B$25)))))</f>
        <v>58091</v>
      </c>
      <c r="C416" s="250" t="str">
        <f t="shared" si="163"/>
        <v/>
      </c>
      <c r="D416" s="251" t="e">
        <f t="shared" si="164"/>
        <v>#N/A</v>
      </c>
      <c r="E416" s="251">
        <f t="shared" si="165"/>
        <v>0</v>
      </c>
      <c r="F416" s="251">
        <f t="shared" si="166"/>
        <v>0</v>
      </c>
      <c r="G416" s="251">
        <f t="shared" si="167"/>
        <v>0</v>
      </c>
      <c r="H416" s="251" t="e">
        <f t="shared" si="168"/>
        <v>#VALUE!</v>
      </c>
      <c r="I416" s="251">
        <f t="shared" si="169"/>
        <v>0</v>
      </c>
      <c r="J416" s="251">
        <f t="shared" si="170"/>
        <v>0</v>
      </c>
      <c r="K416" s="251">
        <f t="shared" si="171"/>
        <v>0</v>
      </c>
      <c r="M416" s="224"/>
      <c r="N416" s="225">
        <f t="shared" si="172"/>
        <v>0</v>
      </c>
      <c r="O416" s="251" t="e">
        <f t="shared" si="184"/>
        <v>#N/A</v>
      </c>
      <c r="P416" s="251">
        <f t="shared" si="173"/>
        <v>0</v>
      </c>
      <c r="Q416" s="251">
        <f t="shared" si="185"/>
        <v>0</v>
      </c>
      <c r="R416" s="251">
        <f t="shared" si="186"/>
        <v>0</v>
      </c>
      <c r="S416" s="251" t="e">
        <f t="shared" si="187"/>
        <v>#VALUE!</v>
      </c>
      <c r="T416" s="251">
        <f t="shared" si="183"/>
        <v>0</v>
      </c>
      <c r="V416" s="199">
        <f t="shared" si="174"/>
        <v>0</v>
      </c>
      <c r="W416" s="161" t="e">
        <f t="shared" si="175"/>
        <v>#N/A</v>
      </c>
      <c r="X416" s="161" t="e">
        <f t="shared" si="176"/>
        <v>#N/A</v>
      </c>
      <c r="Y416" s="161">
        <f t="shared" si="181"/>
        <v>391</v>
      </c>
      <c r="Z416" s="161">
        <f t="shared" ca="1" si="182"/>
        <v>1</v>
      </c>
      <c r="AG416" s="114">
        <f t="shared" si="177"/>
        <v>0</v>
      </c>
      <c r="AH416" s="113"/>
      <c r="AI416" s="199">
        <f ca="1">IF(AL416=0,0,IF(AL416&gt;Preenchimento!$AA$88*12,0,IF($AC$53=AM416,0,1)))</f>
        <v>0</v>
      </c>
      <c r="AJ416" s="161" t="e">
        <f t="shared" ca="1" si="178"/>
        <v>#N/A</v>
      </c>
      <c r="AK416" s="161" t="e">
        <f t="shared" ca="1" si="179"/>
        <v>#N/A</v>
      </c>
      <c r="AL416" s="161">
        <f ca="1">IF(Y416&gt;(Preenchimento!$AA$90*12),0,Fixa!Y416)</f>
        <v>0</v>
      </c>
      <c r="AM416" s="161">
        <f t="shared" ca="1" si="189"/>
        <v>1</v>
      </c>
      <c r="AN416" s="199">
        <f ca="1">IF(AQ416&gt;Preenchimento!$AA$90*12,0,1)</f>
        <v>0</v>
      </c>
      <c r="AO416" s="161" t="e">
        <f ca="1">1/((1+SAC!$AD$29)^AL416)</f>
        <v>#N/A</v>
      </c>
      <c r="AP416" s="82" t="e">
        <f t="shared" ca="1" si="180"/>
        <v>#N/A</v>
      </c>
      <c r="AQ416" s="82">
        <v>391</v>
      </c>
      <c r="AS416" s="477">
        <f t="shared" ca="1" si="188"/>
        <v>0</v>
      </c>
    </row>
    <row r="417" spans="1:45">
      <c r="A417" s="53">
        <v>392</v>
      </c>
      <c r="B417" s="249">
        <f ca="1">DATE(IF(MONTH(B416)=12,YEAR(B416)+1,YEAR(B416)),IF(MONTH(B416)=12,1,MONTH(B416)+1),MIN(DAY(Condições!$C$109),IF(IF(MONTH(B416)=12,1,MONTH(B416)+1)=2,IF(MOD(IF(MONTH(B416)=12,YEAR(B416)+1,YEAR(B416)),4)=0,29,28),IF(OR(IF(MONTH(B416)=12,1,MONTH(B416)+1)=4,IF(MONTH(B416)=12,1,MONTH(B416)+1)=6,IF(MONTH(B416)=12,1,MONTH(B416)+1)=9,IF(MONTH(B416)=12,1,MONTH(B416)+1)=11),30,DAY($B$25)))))</f>
        <v>58122</v>
      </c>
      <c r="C417" s="250" t="str">
        <f t="shared" si="163"/>
        <v/>
      </c>
      <c r="D417" s="251" t="e">
        <f t="shared" si="164"/>
        <v>#N/A</v>
      </c>
      <c r="E417" s="251">
        <f t="shared" si="165"/>
        <v>0</v>
      </c>
      <c r="F417" s="251">
        <f t="shared" si="166"/>
        <v>0</v>
      </c>
      <c r="G417" s="251">
        <f t="shared" si="167"/>
        <v>0</v>
      </c>
      <c r="H417" s="251" t="e">
        <f t="shared" si="168"/>
        <v>#VALUE!</v>
      </c>
      <c r="I417" s="251">
        <f t="shared" si="169"/>
        <v>0</v>
      </c>
      <c r="J417" s="251">
        <f t="shared" si="170"/>
        <v>0</v>
      </c>
      <c r="K417" s="251">
        <f t="shared" si="171"/>
        <v>0</v>
      </c>
      <c r="M417" s="224"/>
      <c r="N417" s="225">
        <f t="shared" si="172"/>
        <v>0</v>
      </c>
      <c r="O417" s="251" t="e">
        <f t="shared" si="184"/>
        <v>#N/A</v>
      </c>
      <c r="P417" s="251">
        <f t="shared" si="173"/>
        <v>0</v>
      </c>
      <c r="Q417" s="251">
        <f t="shared" si="185"/>
        <v>0</v>
      </c>
      <c r="R417" s="251">
        <f t="shared" si="186"/>
        <v>0</v>
      </c>
      <c r="S417" s="251" t="e">
        <f t="shared" si="187"/>
        <v>#VALUE!</v>
      </c>
      <c r="T417" s="251">
        <f t="shared" si="183"/>
        <v>0</v>
      </c>
      <c r="V417" s="199">
        <f t="shared" si="174"/>
        <v>0</v>
      </c>
      <c r="W417" s="161" t="e">
        <f t="shared" si="175"/>
        <v>#N/A</v>
      </c>
      <c r="X417" s="161" t="e">
        <f t="shared" si="176"/>
        <v>#N/A</v>
      </c>
      <c r="Y417" s="161">
        <f t="shared" si="181"/>
        <v>392</v>
      </c>
      <c r="Z417" s="161">
        <f t="shared" ca="1" si="182"/>
        <v>2</v>
      </c>
      <c r="AG417" s="114">
        <f t="shared" si="177"/>
        <v>0</v>
      </c>
      <c r="AH417" s="113"/>
      <c r="AI417" s="199">
        <f ca="1">IF(AL417=0,0,IF(AL417&gt;Preenchimento!$AA$88*12,0,IF($AC$53=AM417,0,1)))</f>
        <v>0</v>
      </c>
      <c r="AJ417" s="161" t="e">
        <f t="shared" ca="1" si="178"/>
        <v>#N/A</v>
      </c>
      <c r="AK417" s="161" t="e">
        <f t="shared" ca="1" si="179"/>
        <v>#N/A</v>
      </c>
      <c r="AL417" s="161">
        <f ca="1">IF(Y417&gt;(Preenchimento!$AA$90*12),0,Fixa!Y417)</f>
        <v>0</v>
      </c>
      <c r="AM417" s="161">
        <f t="shared" ca="1" si="189"/>
        <v>2</v>
      </c>
      <c r="AN417" s="199">
        <f ca="1">IF(AQ417&gt;Preenchimento!$AA$90*12,0,1)</f>
        <v>0</v>
      </c>
      <c r="AO417" s="161" t="e">
        <f ca="1">1/((1+SAC!$AD$29)^AL417)</f>
        <v>#N/A</v>
      </c>
      <c r="AP417" s="82" t="e">
        <f t="shared" ca="1" si="180"/>
        <v>#N/A</v>
      </c>
      <c r="AQ417" s="82">
        <v>392</v>
      </c>
      <c r="AS417" s="477">
        <f t="shared" ca="1" si="188"/>
        <v>0</v>
      </c>
    </row>
    <row r="418" spans="1:45">
      <c r="A418" s="53">
        <v>393</v>
      </c>
      <c r="B418" s="249">
        <f ca="1">DATE(IF(MONTH(B417)=12,YEAR(B417)+1,YEAR(B417)),IF(MONTH(B417)=12,1,MONTH(B417)+1),MIN(DAY(Condições!$C$109),IF(IF(MONTH(B417)=12,1,MONTH(B417)+1)=2,IF(MOD(IF(MONTH(B417)=12,YEAR(B417)+1,YEAR(B417)),4)=0,29,28),IF(OR(IF(MONTH(B417)=12,1,MONTH(B417)+1)=4,IF(MONTH(B417)=12,1,MONTH(B417)+1)=6,IF(MONTH(B417)=12,1,MONTH(B417)+1)=9,IF(MONTH(B417)=12,1,MONTH(B417)+1)=11),30,DAY($B$25)))))</f>
        <v>58150</v>
      </c>
      <c r="C418" s="250" t="str">
        <f t="shared" si="163"/>
        <v/>
      </c>
      <c r="D418" s="251" t="e">
        <f t="shared" si="164"/>
        <v>#N/A</v>
      </c>
      <c r="E418" s="251">
        <f t="shared" si="165"/>
        <v>0</v>
      </c>
      <c r="F418" s="251">
        <f t="shared" si="166"/>
        <v>0</v>
      </c>
      <c r="G418" s="251">
        <f t="shared" si="167"/>
        <v>0</v>
      </c>
      <c r="H418" s="251" t="e">
        <f t="shared" si="168"/>
        <v>#VALUE!</v>
      </c>
      <c r="I418" s="251">
        <f t="shared" si="169"/>
        <v>0</v>
      </c>
      <c r="J418" s="251">
        <f t="shared" si="170"/>
        <v>0</v>
      </c>
      <c r="K418" s="251">
        <f t="shared" si="171"/>
        <v>0</v>
      </c>
      <c r="M418" s="224"/>
      <c r="N418" s="225">
        <f t="shared" si="172"/>
        <v>0</v>
      </c>
      <c r="O418" s="251" t="e">
        <f t="shared" si="184"/>
        <v>#N/A</v>
      </c>
      <c r="P418" s="251">
        <f t="shared" si="173"/>
        <v>0</v>
      </c>
      <c r="Q418" s="251">
        <f t="shared" si="185"/>
        <v>0</v>
      </c>
      <c r="R418" s="251">
        <f t="shared" si="186"/>
        <v>0</v>
      </c>
      <c r="S418" s="251" t="e">
        <f t="shared" si="187"/>
        <v>#VALUE!</v>
      </c>
      <c r="T418" s="251">
        <f t="shared" si="183"/>
        <v>0</v>
      </c>
      <c r="V418" s="199">
        <f t="shared" si="174"/>
        <v>0</v>
      </c>
      <c r="W418" s="161" t="e">
        <f t="shared" si="175"/>
        <v>#N/A</v>
      </c>
      <c r="X418" s="161" t="e">
        <f t="shared" si="176"/>
        <v>#N/A</v>
      </c>
      <c r="Y418" s="161">
        <f t="shared" si="181"/>
        <v>393</v>
      </c>
      <c r="Z418" s="161">
        <f t="shared" ca="1" si="182"/>
        <v>3</v>
      </c>
      <c r="AG418" s="114">
        <f t="shared" si="177"/>
        <v>0</v>
      </c>
      <c r="AH418" s="113"/>
      <c r="AI418" s="199">
        <f ca="1">IF(AL418=0,0,IF(AL418&gt;Preenchimento!$AA$88*12,0,IF($AC$53=AM418,0,1)))</f>
        <v>0</v>
      </c>
      <c r="AJ418" s="161" t="e">
        <f t="shared" ca="1" si="178"/>
        <v>#N/A</v>
      </c>
      <c r="AK418" s="161" t="e">
        <f t="shared" ca="1" si="179"/>
        <v>#N/A</v>
      </c>
      <c r="AL418" s="161">
        <f ca="1">IF(Y418&gt;(Preenchimento!$AA$90*12),0,Fixa!Y418)</f>
        <v>0</v>
      </c>
      <c r="AM418" s="161">
        <f t="shared" ca="1" si="189"/>
        <v>3</v>
      </c>
      <c r="AN418" s="199">
        <f ca="1">IF(AQ418&gt;Preenchimento!$AA$90*12,0,1)</f>
        <v>0</v>
      </c>
      <c r="AO418" s="161" t="e">
        <f ca="1">1/((1+SAC!$AD$29)^AL418)</f>
        <v>#N/A</v>
      </c>
      <c r="AP418" s="82" t="e">
        <f t="shared" ca="1" si="180"/>
        <v>#N/A</v>
      </c>
      <c r="AQ418" s="82">
        <v>393</v>
      </c>
      <c r="AS418" s="477">
        <f t="shared" ca="1" si="188"/>
        <v>0</v>
      </c>
    </row>
    <row r="419" spans="1:45">
      <c r="A419" s="53">
        <v>394</v>
      </c>
      <c r="B419" s="249">
        <f ca="1">DATE(IF(MONTH(B418)=12,YEAR(B418)+1,YEAR(B418)),IF(MONTH(B418)=12,1,MONTH(B418)+1),MIN(DAY(Condições!$C$109),IF(IF(MONTH(B418)=12,1,MONTH(B418)+1)=2,IF(MOD(IF(MONTH(B418)=12,YEAR(B418)+1,YEAR(B418)),4)=0,29,28),IF(OR(IF(MONTH(B418)=12,1,MONTH(B418)+1)=4,IF(MONTH(B418)=12,1,MONTH(B418)+1)=6,IF(MONTH(B418)=12,1,MONTH(B418)+1)=9,IF(MONTH(B418)=12,1,MONTH(B418)+1)=11),30,DAY($B$25)))))</f>
        <v>58181</v>
      </c>
      <c r="C419" s="250" t="str">
        <f t="shared" si="163"/>
        <v/>
      </c>
      <c r="D419" s="251" t="e">
        <f t="shared" si="164"/>
        <v>#N/A</v>
      </c>
      <c r="E419" s="251">
        <f t="shared" si="165"/>
        <v>0</v>
      </c>
      <c r="F419" s="251">
        <f t="shared" si="166"/>
        <v>0</v>
      </c>
      <c r="G419" s="251">
        <f t="shared" si="167"/>
        <v>0</v>
      </c>
      <c r="H419" s="251" t="e">
        <f t="shared" si="168"/>
        <v>#VALUE!</v>
      </c>
      <c r="I419" s="251">
        <f t="shared" si="169"/>
        <v>0</v>
      </c>
      <c r="J419" s="251">
        <f t="shared" si="170"/>
        <v>0</v>
      </c>
      <c r="K419" s="251">
        <f t="shared" si="171"/>
        <v>0</v>
      </c>
      <c r="M419" s="224"/>
      <c r="N419" s="225">
        <f t="shared" si="172"/>
        <v>0</v>
      </c>
      <c r="O419" s="251" t="e">
        <f t="shared" si="184"/>
        <v>#N/A</v>
      </c>
      <c r="P419" s="251">
        <f t="shared" si="173"/>
        <v>0</v>
      </c>
      <c r="Q419" s="251">
        <f t="shared" si="185"/>
        <v>0</v>
      </c>
      <c r="R419" s="251">
        <f t="shared" si="186"/>
        <v>0</v>
      </c>
      <c r="S419" s="251" t="e">
        <f t="shared" si="187"/>
        <v>#VALUE!</v>
      </c>
      <c r="T419" s="251">
        <f t="shared" si="183"/>
        <v>0</v>
      </c>
      <c r="V419" s="199">
        <f t="shared" si="174"/>
        <v>0</v>
      </c>
      <c r="W419" s="161" t="e">
        <f t="shared" si="175"/>
        <v>#N/A</v>
      </c>
      <c r="X419" s="161" t="e">
        <f t="shared" si="176"/>
        <v>#N/A</v>
      </c>
      <c r="Y419" s="161">
        <f t="shared" si="181"/>
        <v>394</v>
      </c>
      <c r="Z419" s="161">
        <f t="shared" ca="1" si="182"/>
        <v>4</v>
      </c>
      <c r="AG419" s="114">
        <f t="shared" si="177"/>
        <v>0</v>
      </c>
      <c r="AH419" s="113"/>
      <c r="AI419" s="199">
        <f ca="1">IF(AL419=0,0,IF(AL419&gt;Preenchimento!$AA$88*12,0,IF($AC$53=AM419,0,1)))</f>
        <v>0</v>
      </c>
      <c r="AJ419" s="161" t="e">
        <f t="shared" ca="1" si="178"/>
        <v>#N/A</v>
      </c>
      <c r="AK419" s="161" t="e">
        <f t="shared" ca="1" si="179"/>
        <v>#N/A</v>
      </c>
      <c r="AL419" s="161">
        <f ca="1">IF(Y419&gt;(Preenchimento!$AA$90*12),0,Fixa!Y419)</f>
        <v>0</v>
      </c>
      <c r="AM419" s="161">
        <f t="shared" ca="1" si="189"/>
        <v>4</v>
      </c>
      <c r="AN419" s="199">
        <f ca="1">IF(AQ419&gt;Preenchimento!$AA$90*12,0,1)</f>
        <v>0</v>
      </c>
      <c r="AO419" s="161" t="e">
        <f ca="1">1/((1+SAC!$AD$29)^AL419)</f>
        <v>#N/A</v>
      </c>
      <c r="AP419" s="82" t="e">
        <f t="shared" ca="1" si="180"/>
        <v>#N/A</v>
      </c>
      <c r="AQ419" s="82">
        <v>394</v>
      </c>
      <c r="AS419" s="477">
        <f t="shared" ca="1" si="188"/>
        <v>0</v>
      </c>
    </row>
    <row r="420" spans="1:45">
      <c r="A420" s="53">
        <v>395</v>
      </c>
      <c r="B420" s="249">
        <f ca="1">DATE(IF(MONTH(B419)=12,YEAR(B419)+1,YEAR(B419)),IF(MONTH(B419)=12,1,MONTH(B419)+1),MIN(DAY(Condições!$C$109),IF(IF(MONTH(B419)=12,1,MONTH(B419)+1)=2,IF(MOD(IF(MONTH(B419)=12,YEAR(B419)+1,YEAR(B419)),4)=0,29,28),IF(OR(IF(MONTH(B419)=12,1,MONTH(B419)+1)=4,IF(MONTH(B419)=12,1,MONTH(B419)+1)=6,IF(MONTH(B419)=12,1,MONTH(B419)+1)=9,IF(MONTH(B419)=12,1,MONTH(B419)+1)=11),30,DAY($B$25)))))</f>
        <v>58211</v>
      </c>
      <c r="C420" s="250" t="str">
        <f t="shared" si="163"/>
        <v/>
      </c>
      <c r="D420" s="251" t="e">
        <f t="shared" si="164"/>
        <v>#N/A</v>
      </c>
      <c r="E420" s="251">
        <f t="shared" si="165"/>
        <v>0</v>
      </c>
      <c r="F420" s="251">
        <f t="shared" si="166"/>
        <v>0</v>
      </c>
      <c r="G420" s="251">
        <f t="shared" si="167"/>
        <v>0</v>
      </c>
      <c r="H420" s="251" t="e">
        <f t="shared" si="168"/>
        <v>#VALUE!</v>
      </c>
      <c r="I420" s="251">
        <f t="shared" si="169"/>
        <v>0</v>
      </c>
      <c r="J420" s="251">
        <f t="shared" si="170"/>
        <v>0</v>
      </c>
      <c r="K420" s="251">
        <f t="shared" si="171"/>
        <v>0</v>
      </c>
      <c r="M420" s="224"/>
      <c r="N420" s="225">
        <f t="shared" si="172"/>
        <v>0</v>
      </c>
      <c r="O420" s="251" t="e">
        <f t="shared" si="184"/>
        <v>#N/A</v>
      </c>
      <c r="P420" s="251">
        <f t="shared" si="173"/>
        <v>0</v>
      </c>
      <c r="Q420" s="251">
        <f t="shared" si="185"/>
        <v>0</v>
      </c>
      <c r="R420" s="251">
        <f t="shared" si="186"/>
        <v>0</v>
      </c>
      <c r="S420" s="251" t="e">
        <f t="shared" si="187"/>
        <v>#VALUE!</v>
      </c>
      <c r="T420" s="251">
        <f t="shared" si="183"/>
        <v>0</v>
      </c>
      <c r="V420" s="199">
        <f t="shared" si="174"/>
        <v>0</v>
      </c>
      <c r="W420" s="161" t="e">
        <f t="shared" si="175"/>
        <v>#N/A</v>
      </c>
      <c r="X420" s="161" t="e">
        <f t="shared" si="176"/>
        <v>#N/A</v>
      </c>
      <c r="Y420" s="161">
        <f t="shared" si="181"/>
        <v>395</v>
      </c>
      <c r="Z420" s="161">
        <f t="shared" ca="1" si="182"/>
        <v>5</v>
      </c>
      <c r="AG420" s="114">
        <f t="shared" si="177"/>
        <v>0</v>
      </c>
      <c r="AH420" s="113"/>
      <c r="AI420" s="199">
        <f ca="1">IF(AL420=0,0,IF(AL420&gt;Preenchimento!$AA$88*12,0,IF($AC$53=AM420,0,1)))</f>
        <v>0</v>
      </c>
      <c r="AJ420" s="161" t="e">
        <f t="shared" ca="1" si="178"/>
        <v>#N/A</v>
      </c>
      <c r="AK420" s="161" t="e">
        <f t="shared" ca="1" si="179"/>
        <v>#N/A</v>
      </c>
      <c r="AL420" s="161">
        <f ca="1">IF(Y420&gt;(Preenchimento!$AA$90*12),0,Fixa!Y420)</f>
        <v>0</v>
      </c>
      <c r="AM420" s="161">
        <f t="shared" ca="1" si="189"/>
        <v>5</v>
      </c>
      <c r="AN420" s="199">
        <f ca="1">IF(AQ420&gt;Preenchimento!$AA$90*12,0,1)</f>
        <v>0</v>
      </c>
      <c r="AO420" s="161" t="e">
        <f ca="1">1/((1+SAC!$AD$29)^AL420)</f>
        <v>#N/A</v>
      </c>
      <c r="AP420" s="82" t="e">
        <f t="shared" ca="1" si="180"/>
        <v>#N/A</v>
      </c>
      <c r="AQ420" s="82">
        <v>395</v>
      </c>
      <c r="AS420" s="477">
        <f t="shared" ca="1" si="188"/>
        <v>0</v>
      </c>
    </row>
    <row r="421" spans="1:45">
      <c r="A421" s="53">
        <v>396</v>
      </c>
      <c r="B421" s="249">
        <f ca="1">DATE(IF(MONTH(B420)=12,YEAR(B420)+1,YEAR(B420)),IF(MONTH(B420)=12,1,MONTH(B420)+1),MIN(DAY(Condições!$C$109),IF(IF(MONTH(B420)=12,1,MONTH(B420)+1)=2,IF(MOD(IF(MONTH(B420)=12,YEAR(B420)+1,YEAR(B420)),4)=0,29,28),IF(OR(IF(MONTH(B420)=12,1,MONTH(B420)+1)=4,IF(MONTH(B420)=12,1,MONTH(B420)+1)=6,IF(MONTH(B420)=12,1,MONTH(B420)+1)=9,IF(MONTH(B420)=12,1,MONTH(B420)+1)=11),30,DAY($B$25)))))</f>
        <v>58242</v>
      </c>
      <c r="C421" s="250" t="str">
        <f t="shared" si="163"/>
        <v/>
      </c>
      <c r="D421" s="251" t="e">
        <f t="shared" si="164"/>
        <v>#N/A</v>
      </c>
      <c r="E421" s="251">
        <f t="shared" si="165"/>
        <v>0</v>
      </c>
      <c r="F421" s="251">
        <f t="shared" si="166"/>
        <v>0</v>
      </c>
      <c r="G421" s="251">
        <f t="shared" si="167"/>
        <v>0</v>
      </c>
      <c r="H421" s="251" t="e">
        <f t="shared" si="168"/>
        <v>#VALUE!</v>
      </c>
      <c r="I421" s="251">
        <f t="shared" si="169"/>
        <v>0</v>
      </c>
      <c r="J421" s="251">
        <f t="shared" si="170"/>
        <v>0</v>
      </c>
      <c r="K421" s="251">
        <f t="shared" si="171"/>
        <v>0</v>
      </c>
      <c r="M421" s="224"/>
      <c r="N421" s="225">
        <f t="shared" si="172"/>
        <v>0</v>
      </c>
      <c r="O421" s="251" t="e">
        <f t="shared" si="184"/>
        <v>#N/A</v>
      </c>
      <c r="P421" s="251">
        <f t="shared" si="173"/>
        <v>0</v>
      </c>
      <c r="Q421" s="251">
        <f t="shared" si="185"/>
        <v>0</v>
      </c>
      <c r="R421" s="251">
        <f t="shared" si="186"/>
        <v>0</v>
      </c>
      <c r="S421" s="251" t="e">
        <f t="shared" si="187"/>
        <v>#VALUE!</v>
      </c>
      <c r="T421" s="251">
        <f t="shared" si="183"/>
        <v>0</v>
      </c>
      <c r="V421" s="199">
        <f t="shared" si="174"/>
        <v>0</v>
      </c>
      <c r="W421" s="161" t="e">
        <f t="shared" si="175"/>
        <v>#N/A</v>
      </c>
      <c r="X421" s="161" t="e">
        <f t="shared" si="176"/>
        <v>#N/A</v>
      </c>
      <c r="Y421" s="161">
        <f t="shared" si="181"/>
        <v>396</v>
      </c>
      <c r="Z421" s="161">
        <f t="shared" ca="1" si="182"/>
        <v>6</v>
      </c>
      <c r="AG421" s="114">
        <f t="shared" si="177"/>
        <v>0</v>
      </c>
      <c r="AH421" s="113"/>
      <c r="AI421" s="199">
        <f ca="1">IF(AL421=0,0,IF(AL421&gt;Preenchimento!$AA$88*12,0,IF($AC$53=AM421,0,1)))</f>
        <v>0</v>
      </c>
      <c r="AJ421" s="161" t="e">
        <f t="shared" ca="1" si="178"/>
        <v>#N/A</v>
      </c>
      <c r="AK421" s="161" t="e">
        <f t="shared" ca="1" si="179"/>
        <v>#N/A</v>
      </c>
      <c r="AL421" s="161">
        <f ca="1">IF(Y421&gt;(Preenchimento!$AA$90*12),0,Fixa!Y421)</f>
        <v>0</v>
      </c>
      <c r="AM421" s="161">
        <f t="shared" ca="1" si="189"/>
        <v>6</v>
      </c>
      <c r="AN421" s="199">
        <f ca="1">IF(AQ421&gt;Preenchimento!$AA$90*12,0,1)</f>
        <v>0</v>
      </c>
      <c r="AO421" s="161" t="e">
        <f ca="1">1/((1+SAC!$AD$29)^AL421)</f>
        <v>#N/A</v>
      </c>
      <c r="AP421" s="82" t="e">
        <f t="shared" ca="1" si="180"/>
        <v>#N/A</v>
      </c>
      <c r="AQ421" s="82">
        <v>396</v>
      </c>
      <c r="AS421" s="477">
        <f t="shared" ca="1" si="188"/>
        <v>0</v>
      </c>
    </row>
    <row r="422" spans="1:45">
      <c r="A422" s="53">
        <v>397</v>
      </c>
      <c r="B422" s="249">
        <f ca="1">DATE(IF(MONTH(B421)=12,YEAR(B421)+1,YEAR(B421)),IF(MONTH(B421)=12,1,MONTH(B421)+1),MIN(DAY(Condições!$C$109),IF(IF(MONTH(B421)=12,1,MONTH(B421)+1)=2,IF(MOD(IF(MONTH(B421)=12,YEAR(B421)+1,YEAR(B421)),4)=0,29,28),IF(OR(IF(MONTH(B421)=12,1,MONTH(B421)+1)=4,IF(MONTH(B421)=12,1,MONTH(B421)+1)=6,IF(MONTH(B421)=12,1,MONTH(B421)+1)=9,IF(MONTH(B421)=12,1,MONTH(B421)+1)=11),30,DAY($B$25)))))</f>
        <v>58272</v>
      </c>
      <c r="C422" s="250" t="str">
        <f t="shared" si="163"/>
        <v/>
      </c>
      <c r="D422" s="251" t="e">
        <f t="shared" si="164"/>
        <v>#N/A</v>
      </c>
      <c r="E422" s="251">
        <f t="shared" si="165"/>
        <v>0</v>
      </c>
      <c r="F422" s="251">
        <f t="shared" si="166"/>
        <v>0</v>
      </c>
      <c r="G422" s="251">
        <f t="shared" si="167"/>
        <v>0</v>
      </c>
      <c r="H422" s="251" t="e">
        <f t="shared" si="168"/>
        <v>#VALUE!</v>
      </c>
      <c r="I422" s="251">
        <f t="shared" si="169"/>
        <v>0</v>
      </c>
      <c r="J422" s="251">
        <f t="shared" si="170"/>
        <v>0</v>
      </c>
      <c r="K422" s="251">
        <f t="shared" si="171"/>
        <v>0</v>
      </c>
      <c r="M422" s="224"/>
      <c r="N422" s="225">
        <f t="shared" si="172"/>
        <v>0</v>
      </c>
      <c r="O422" s="251" t="e">
        <f t="shared" si="184"/>
        <v>#N/A</v>
      </c>
      <c r="P422" s="251">
        <f t="shared" si="173"/>
        <v>0</v>
      </c>
      <c r="Q422" s="251">
        <f t="shared" si="185"/>
        <v>0</v>
      </c>
      <c r="R422" s="251">
        <f t="shared" si="186"/>
        <v>0</v>
      </c>
      <c r="S422" s="251" t="e">
        <f t="shared" si="187"/>
        <v>#VALUE!</v>
      </c>
      <c r="T422" s="251">
        <f t="shared" si="183"/>
        <v>0</v>
      </c>
      <c r="V422" s="199">
        <f t="shared" si="174"/>
        <v>0</v>
      </c>
      <c r="W422" s="161" t="e">
        <f t="shared" si="175"/>
        <v>#N/A</v>
      </c>
      <c r="X422" s="161" t="e">
        <f t="shared" si="176"/>
        <v>#N/A</v>
      </c>
      <c r="Y422" s="161">
        <f t="shared" si="181"/>
        <v>397</v>
      </c>
      <c r="Z422" s="161">
        <f t="shared" ca="1" si="182"/>
        <v>7</v>
      </c>
      <c r="AG422" s="114">
        <f t="shared" si="177"/>
        <v>0</v>
      </c>
      <c r="AH422" s="113"/>
      <c r="AI422" s="199">
        <f ca="1">IF(AL422=0,0,IF(AL422&gt;Preenchimento!$AA$88*12,0,IF($AC$53=AM422,0,1)))</f>
        <v>0</v>
      </c>
      <c r="AJ422" s="161" t="e">
        <f t="shared" ca="1" si="178"/>
        <v>#N/A</v>
      </c>
      <c r="AK422" s="161" t="e">
        <f t="shared" ca="1" si="179"/>
        <v>#N/A</v>
      </c>
      <c r="AL422" s="161">
        <f ca="1">IF(Y422&gt;(Preenchimento!$AA$90*12),0,Fixa!Y422)</f>
        <v>0</v>
      </c>
      <c r="AM422" s="161">
        <f t="shared" ca="1" si="189"/>
        <v>7</v>
      </c>
      <c r="AN422" s="199">
        <f ca="1">IF(AQ422&gt;Preenchimento!$AA$90*12,0,1)</f>
        <v>0</v>
      </c>
      <c r="AO422" s="161" t="e">
        <f ca="1">1/((1+SAC!$AD$29)^AL422)</f>
        <v>#N/A</v>
      </c>
      <c r="AP422" s="82" t="e">
        <f t="shared" ca="1" si="180"/>
        <v>#N/A</v>
      </c>
      <c r="AQ422" s="82">
        <v>397</v>
      </c>
      <c r="AS422" s="477">
        <f t="shared" ca="1" si="188"/>
        <v>0</v>
      </c>
    </row>
    <row r="423" spans="1:45">
      <c r="A423" s="53">
        <v>398</v>
      </c>
      <c r="B423" s="249">
        <f ca="1">DATE(IF(MONTH(B422)=12,YEAR(B422)+1,YEAR(B422)),IF(MONTH(B422)=12,1,MONTH(B422)+1),MIN(DAY(Condições!$C$109),IF(IF(MONTH(B422)=12,1,MONTH(B422)+1)=2,IF(MOD(IF(MONTH(B422)=12,YEAR(B422)+1,YEAR(B422)),4)=0,29,28),IF(OR(IF(MONTH(B422)=12,1,MONTH(B422)+1)=4,IF(MONTH(B422)=12,1,MONTH(B422)+1)=6,IF(MONTH(B422)=12,1,MONTH(B422)+1)=9,IF(MONTH(B422)=12,1,MONTH(B422)+1)=11),30,DAY($B$25)))))</f>
        <v>58303</v>
      </c>
      <c r="C423" s="250" t="str">
        <f t="shared" si="163"/>
        <v/>
      </c>
      <c r="D423" s="251" t="e">
        <f t="shared" si="164"/>
        <v>#N/A</v>
      </c>
      <c r="E423" s="251">
        <f t="shared" si="165"/>
        <v>0</v>
      </c>
      <c r="F423" s="251">
        <f t="shared" si="166"/>
        <v>0</v>
      </c>
      <c r="G423" s="251">
        <f t="shared" si="167"/>
        <v>0</v>
      </c>
      <c r="H423" s="251" t="e">
        <f t="shared" si="168"/>
        <v>#VALUE!</v>
      </c>
      <c r="I423" s="251">
        <f t="shared" si="169"/>
        <v>0</v>
      </c>
      <c r="J423" s="251">
        <f t="shared" si="170"/>
        <v>0</v>
      </c>
      <c r="K423" s="251">
        <f t="shared" si="171"/>
        <v>0</v>
      </c>
      <c r="M423" s="224"/>
      <c r="N423" s="225">
        <f t="shared" si="172"/>
        <v>0</v>
      </c>
      <c r="O423" s="251" t="e">
        <f t="shared" si="184"/>
        <v>#N/A</v>
      </c>
      <c r="P423" s="251">
        <f t="shared" si="173"/>
        <v>0</v>
      </c>
      <c r="Q423" s="251">
        <f t="shared" si="185"/>
        <v>0</v>
      </c>
      <c r="R423" s="251">
        <f t="shared" si="186"/>
        <v>0</v>
      </c>
      <c r="S423" s="251" t="e">
        <f t="shared" si="187"/>
        <v>#VALUE!</v>
      </c>
      <c r="T423" s="251">
        <f t="shared" si="183"/>
        <v>0</v>
      </c>
      <c r="V423" s="199">
        <f t="shared" si="174"/>
        <v>0</v>
      </c>
      <c r="W423" s="161" t="e">
        <f t="shared" si="175"/>
        <v>#N/A</v>
      </c>
      <c r="X423" s="161" t="e">
        <f t="shared" si="176"/>
        <v>#N/A</v>
      </c>
      <c r="Y423" s="161">
        <f t="shared" si="181"/>
        <v>398</v>
      </c>
      <c r="Z423" s="161">
        <f t="shared" ca="1" si="182"/>
        <v>8</v>
      </c>
      <c r="AG423" s="114">
        <f t="shared" si="177"/>
        <v>0</v>
      </c>
      <c r="AH423" s="113"/>
      <c r="AI423" s="199">
        <f ca="1">IF(AL423=0,0,IF(AL423&gt;Preenchimento!$AA$88*12,0,IF($AC$53=AM423,0,1)))</f>
        <v>0</v>
      </c>
      <c r="AJ423" s="161" t="e">
        <f t="shared" ca="1" si="178"/>
        <v>#N/A</v>
      </c>
      <c r="AK423" s="161" t="e">
        <f t="shared" ca="1" si="179"/>
        <v>#N/A</v>
      </c>
      <c r="AL423" s="161">
        <f ca="1">IF(Y423&gt;(Preenchimento!$AA$90*12),0,Fixa!Y423)</f>
        <v>0</v>
      </c>
      <c r="AM423" s="161">
        <f t="shared" ca="1" si="189"/>
        <v>8</v>
      </c>
      <c r="AN423" s="199">
        <f ca="1">IF(AQ423&gt;Preenchimento!$AA$90*12,0,1)</f>
        <v>0</v>
      </c>
      <c r="AO423" s="161" t="e">
        <f ca="1">1/((1+SAC!$AD$29)^AL423)</f>
        <v>#N/A</v>
      </c>
      <c r="AP423" s="82" t="e">
        <f t="shared" ca="1" si="180"/>
        <v>#N/A</v>
      </c>
      <c r="AQ423" s="82">
        <v>398</v>
      </c>
      <c r="AS423" s="477">
        <f t="shared" ca="1" si="188"/>
        <v>0</v>
      </c>
    </row>
    <row r="424" spans="1:45">
      <c r="A424" s="53">
        <v>399</v>
      </c>
      <c r="B424" s="249">
        <f ca="1">DATE(IF(MONTH(B423)=12,YEAR(B423)+1,YEAR(B423)),IF(MONTH(B423)=12,1,MONTH(B423)+1),MIN(DAY(Condições!$C$109),IF(IF(MONTH(B423)=12,1,MONTH(B423)+1)=2,IF(MOD(IF(MONTH(B423)=12,YEAR(B423)+1,YEAR(B423)),4)=0,29,28),IF(OR(IF(MONTH(B423)=12,1,MONTH(B423)+1)=4,IF(MONTH(B423)=12,1,MONTH(B423)+1)=6,IF(MONTH(B423)=12,1,MONTH(B423)+1)=9,IF(MONTH(B423)=12,1,MONTH(B423)+1)=11),30,DAY($B$25)))))</f>
        <v>58334</v>
      </c>
      <c r="C424" s="250" t="str">
        <f t="shared" si="163"/>
        <v/>
      </c>
      <c r="D424" s="251" t="e">
        <f t="shared" si="164"/>
        <v>#N/A</v>
      </c>
      <c r="E424" s="251">
        <f t="shared" si="165"/>
        <v>0</v>
      </c>
      <c r="F424" s="251">
        <f t="shared" si="166"/>
        <v>0</v>
      </c>
      <c r="G424" s="251">
        <f t="shared" si="167"/>
        <v>0</v>
      </c>
      <c r="H424" s="251" t="e">
        <f t="shared" si="168"/>
        <v>#VALUE!</v>
      </c>
      <c r="I424" s="251">
        <f t="shared" si="169"/>
        <v>0</v>
      </c>
      <c r="J424" s="251">
        <f t="shared" si="170"/>
        <v>0</v>
      </c>
      <c r="K424" s="251">
        <f t="shared" si="171"/>
        <v>0</v>
      </c>
      <c r="M424" s="224"/>
      <c r="N424" s="225">
        <f t="shared" si="172"/>
        <v>0</v>
      </c>
      <c r="O424" s="251" t="e">
        <f t="shared" si="184"/>
        <v>#N/A</v>
      </c>
      <c r="P424" s="251">
        <f t="shared" si="173"/>
        <v>0</v>
      </c>
      <c r="Q424" s="251">
        <f t="shared" si="185"/>
        <v>0</v>
      </c>
      <c r="R424" s="251">
        <f t="shared" si="186"/>
        <v>0</v>
      </c>
      <c r="S424" s="251" t="e">
        <f t="shared" si="187"/>
        <v>#VALUE!</v>
      </c>
      <c r="T424" s="251">
        <f t="shared" si="183"/>
        <v>0</v>
      </c>
      <c r="V424" s="199">
        <f t="shared" si="174"/>
        <v>0</v>
      </c>
      <c r="W424" s="161" t="e">
        <f t="shared" si="175"/>
        <v>#N/A</v>
      </c>
      <c r="X424" s="161" t="e">
        <f t="shared" si="176"/>
        <v>#N/A</v>
      </c>
      <c r="Y424" s="161">
        <f t="shared" si="181"/>
        <v>399</v>
      </c>
      <c r="Z424" s="161">
        <f t="shared" ca="1" si="182"/>
        <v>9</v>
      </c>
      <c r="AG424" s="114">
        <f t="shared" si="177"/>
        <v>0</v>
      </c>
      <c r="AH424" s="113"/>
      <c r="AI424" s="199">
        <f ca="1">IF(AL424=0,0,IF(AL424&gt;Preenchimento!$AA$88*12,0,IF($AC$53=AM424,0,1)))</f>
        <v>0</v>
      </c>
      <c r="AJ424" s="161" t="e">
        <f t="shared" ca="1" si="178"/>
        <v>#N/A</v>
      </c>
      <c r="AK424" s="161" t="e">
        <f t="shared" ca="1" si="179"/>
        <v>#N/A</v>
      </c>
      <c r="AL424" s="161">
        <f ca="1">IF(Y424&gt;(Preenchimento!$AA$90*12),0,Fixa!Y424)</f>
        <v>0</v>
      </c>
      <c r="AM424" s="161">
        <f t="shared" ca="1" si="189"/>
        <v>9</v>
      </c>
      <c r="AN424" s="199">
        <f ca="1">IF(AQ424&gt;Preenchimento!$AA$90*12,0,1)</f>
        <v>0</v>
      </c>
      <c r="AO424" s="161" t="e">
        <f ca="1">1/((1+SAC!$AD$29)^AL424)</f>
        <v>#N/A</v>
      </c>
      <c r="AP424" s="82" t="e">
        <f t="shared" ca="1" si="180"/>
        <v>#N/A</v>
      </c>
      <c r="AQ424" s="82">
        <v>399</v>
      </c>
      <c r="AS424" s="477">
        <f t="shared" ca="1" si="188"/>
        <v>0</v>
      </c>
    </row>
    <row r="425" spans="1:45">
      <c r="A425" s="53">
        <v>400</v>
      </c>
      <c r="B425" s="249">
        <f ca="1">DATE(IF(MONTH(B424)=12,YEAR(B424)+1,YEAR(B424)),IF(MONTH(B424)=12,1,MONTH(B424)+1),MIN(DAY(Condições!$C$109),IF(IF(MONTH(B424)=12,1,MONTH(B424)+1)=2,IF(MOD(IF(MONTH(B424)=12,YEAR(B424)+1,YEAR(B424)),4)=0,29,28),IF(OR(IF(MONTH(B424)=12,1,MONTH(B424)+1)=4,IF(MONTH(B424)=12,1,MONTH(B424)+1)=6,IF(MONTH(B424)=12,1,MONTH(B424)+1)=9,IF(MONTH(B424)=12,1,MONTH(B424)+1)=11),30,DAY($B$25)))))</f>
        <v>58364</v>
      </c>
      <c r="C425" s="250" t="str">
        <f t="shared" si="163"/>
        <v/>
      </c>
      <c r="D425" s="251" t="e">
        <f t="shared" si="164"/>
        <v>#N/A</v>
      </c>
      <c r="E425" s="251">
        <f t="shared" si="165"/>
        <v>0</v>
      </c>
      <c r="F425" s="251">
        <f t="shared" si="166"/>
        <v>0</v>
      </c>
      <c r="G425" s="251">
        <f t="shared" si="167"/>
        <v>0</v>
      </c>
      <c r="H425" s="251" t="e">
        <f t="shared" si="168"/>
        <v>#VALUE!</v>
      </c>
      <c r="I425" s="251">
        <f t="shared" si="169"/>
        <v>0</v>
      </c>
      <c r="J425" s="251">
        <f t="shared" si="170"/>
        <v>0</v>
      </c>
      <c r="K425" s="251">
        <f t="shared" si="171"/>
        <v>0</v>
      </c>
      <c r="M425" s="224"/>
      <c r="N425" s="225">
        <f t="shared" si="172"/>
        <v>0</v>
      </c>
      <c r="O425" s="251" t="e">
        <f t="shared" si="184"/>
        <v>#N/A</v>
      </c>
      <c r="P425" s="251">
        <f t="shared" si="173"/>
        <v>0</v>
      </c>
      <c r="Q425" s="251">
        <f t="shared" si="185"/>
        <v>0</v>
      </c>
      <c r="R425" s="251">
        <f t="shared" si="186"/>
        <v>0</v>
      </c>
      <c r="S425" s="251" t="e">
        <f t="shared" si="187"/>
        <v>#VALUE!</v>
      </c>
      <c r="T425" s="251">
        <f t="shared" si="183"/>
        <v>0</v>
      </c>
      <c r="V425" s="199">
        <f t="shared" si="174"/>
        <v>0</v>
      </c>
      <c r="W425" s="161" t="e">
        <f t="shared" si="175"/>
        <v>#N/A</v>
      </c>
      <c r="X425" s="161" t="e">
        <f t="shared" si="176"/>
        <v>#N/A</v>
      </c>
      <c r="Y425" s="161">
        <f t="shared" si="181"/>
        <v>400</v>
      </c>
      <c r="Z425" s="161">
        <f t="shared" ca="1" si="182"/>
        <v>10</v>
      </c>
      <c r="AG425" s="114">
        <f t="shared" si="177"/>
        <v>0</v>
      </c>
      <c r="AH425" s="113"/>
      <c r="AI425" s="199">
        <f ca="1">IF(AL425=0,0,IF(AL425&gt;Preenchimento!$AA$88*12,0,IF($AC$53=AM425,0,1)))</f>
        <v>0</v>
      </c>
      <c r="AJ425" s="161" t="e">
        <f t="shared" ca="1" si="178"/>
        <v>#N/A</v>
      </c>
      <c r="AK425" s="161" t="e">
        <f t="shared" ca="1" si="179"/>
        <v>#N/A</v>
      </c>
      <c r="AL425" s="161">
        <f ca="1">IF(Y425&gt;(Preenchimento!$AA$90*12),0,Fixa!Y425)</f>
        <v>0</v>
      </c>
      <c r="AM425" s="161">
        <f t="shared" ca="1" si="189"/>
        <v>10</v>
      </c>
      <c r="AN425" s="199">
        <f ca="1">IF(AQ425&gt;Preenchimento!$AA$90*12,0,1)</f>
        <v>0</v>
      </c>
      <c r="AO425" s="161" t="e">
        <f ca="1">1/((1+SAC!$AD$29)^AL425)</f>
        <v>#N/A</v>
      </c>
      <c r="AP425" s="82" t="e">
        <f t="shared" ca="1" si="180"/>
        <v>#N/A</v>
      </c>
      <c r="AQ425" s="82">
        <v>400</v>
      </c>
      <c r="AS425" s="477">
        <f t="shared" ca="1" si="188"/>
        <v>0</v>
      </c>
    </row>
    <row r="426" spans="1:45">
      <c r="A426" s="53">
        <v>401</v>
      </c>
      <c r="B426" s="249">
        <f ca="1">DATE(IF(MONTH(B425)=12,YEAR(B425)+1,YEAR(B425)),IF(MONTH(B425)=12,1,MONTH(B425)+1),MIN(DAY(Condições!$C$109),IF(IF(MONTH(B425)=12,1,MONTH(B425)+1)=2,IF(MOD(IF(MONTH(B425)=12,YEAR(B425)+1,YEAR(B425)),4)=0,29,28),IF(OR(IF(MONTH(B425)=12,1,MONTH(B425)+1)=4,IF(MONTH(B425)=12,1,MONTH(B425)+1)=6,IF(MONTH(B425)=12,1,MONTH(B425)+1)=9,IF(MONTH(B425)=12,1,MONTH(B425)+1)=11),30,DAY($B$25)))))</f>
        <v>58395</v>
      </c>
      <c r="C426" s="250" t="str">
        <f t="shared" si="163"/>
        <v/>
      </c>
      <c r="D426" s="251" t="e">
        <f t="shared" si="164"/>
        <v>#N/A</v>
      </c>
      <c r="E426" s="251">
        <f t="shared" si="165"/>
        <v>0</v>
      </c>
      <c r="F426" s="251">
        <f t="shared" si="166"/>
        <v>0</v>
      </c>
      <c r="G426" s="251">
        <f t="shared" si="167"/>
        <v>0</v>
      </c>
      <c r="H426" s="251" t="e">
        <f t="shared" si="168"/>
        <v>#VALUE!</v>
      </c>
      <c r="I426" s="251">
        <f t="shared" si="169"/>
        <v>0</v>
      </c>
      <c r="J426" s="251">
        <f t="shared" si="170"/>
        <v>0</v>
      </c>
      <c r="K426" s="251">
        <f t="shared" si="171"/>
        <v>0</v>
      </c>
      <c r="M426" s="224"/>
      <c r="N426" s="225">
        <f t="shared" si="172"/>
        <v>0</v>
      </c>
      <c r="O426" s="251" t="e">
        <f t="shared" si="184"/>
        <v>#N/A</v>
      </c>
      <c r="P426" s="251">
        <f t="shared" si="173"/>
        <v>0</v>
      </c>
      <c r="Q426" s="251">
        <f t="shared" si="185"/>
        <v>0</v>
      </c>
      <c r="R426" s="251">
        <f t="shared" si="186"/>
        <v>0</v>
      </c>
      <c r="S426" s="251" t="e">
        <f t="shared" si="187"/>
        <v>#VALUE!</v>
      </c>
      <c r="T426" s="251">
        <f t="shared" si="183"/>
        <v>0</v>
      </c>
      <c r="V426" s="199">
        <f t="shared" si="174"/>
        <v>0</v>
      </c>
      <c r="W426" s="161" t="e">
        <f t="shared" si="175"/>
        <v>#N/A</v>
      </c>
      <c r="X426" s="161" t="e">
        <f t="shared" si="176"/>
        <v>#N/A</v>
      </c>
      <c r="Y426" s="161">
        <f t="shared" si="181"/>
        <v>401</v>
      </c>
      <c r="Z426" s="161">
        <f t="shared" ca="1" si="182"/>
        <v>11</v>
      </c>
      <c r="AG426" s="114">
        <f t="shared" si="177"/>
        <v>0</v>
      </c>
      <c r="AH426" s="113"/>
      <c r="AI426" s="199">
        <f ca="1">IF(AL426=0,0,IF(AL426&gt;Preenchimento!$AA$88*12,0,IF($AC$53=AM426,0,1)))</f>
        <v>0</v>
      </c>
      <c r="AJ426" s="161" t="e">
        <f t="shared" ca="1" si="178"/>
        <v>#N/A</v>
      </c>
      <c r="AK426" s="161" t="e">
        <f t="shared" ca="1" si="179"/>
        <v>#N/A</v>
      </c>
      <c r="AL426" s="161">
        <f ca="1">IF(Y426&gt;(Preenchimento!$AA$90*12),0,Fixa!Y426)</f>
        <v>0</v>
      </c>
      <c r="AM426" s="161">
        <f t="shared" ca="1" si="189"/>
        <v>11</v>
      </c>
      <c r="AN426" s="199">
        <f ca="1">IF(AQ426&gt;Preenchimento!$AA$90*12,0,1)</f>
        <v>0</v>
      </c>
      <c r="AO426" s="161" t="e">
        <f ca="1">1/((1+SAC!$AD$29)^AL426)</f>
        <v>#N/A</v>
      </c>
      <c r="AP426" s="82" t="e">
        <f t="shared" ca="1" si="180"/>
        <v>#N/A</v>
      </c>
      <c r="AQ426" s="82">
        <v>401</v>
      </c>
      <c r="AS426" s="477">
        <f t="shared" ca="1" si="188"/>
        <v>0</v>
      </c>
    </row>
    <row r="427" spans="1:45">
      <c r="A427" s="53">
        <v>402</v>
      </c>
      <c r="B427" s="249">
        <f ca="1">DATE(IF(MONTH(B426)=12,YEAR(B426)+1,YEAR(B426)),IF(MONTH(B426)=12,1,MONTH(B426)+1),MIN(DAY(Condições!$C$109),IF(IF(MONTH(B426)=12,1,MONTH(B426)+1)=2,IF(MOD(IF(MONTH(B426)=12,YEAR(B426)+1,YEAR(B426)),4)=0,29,28),IF(OR(IF(MONTH(B426)=12,1,MONTH(B426)+1)=4,IF(MONTH(B426)=12,1,MONTH(B426)+1)=6,IF(MONTH(B426)=12,1,MONTH(B426)+1)=9,IF(MONTH(B426)=12,1,MONTH(B426)+1)=11),30,DAY($B$25)))))</f>
        <v>58425</v>
      </c>
      <c r="C427" s="250" t="str">
        <f t="shared" si="163"/>
        <v/>
      </c>
      <c r="D427" s="251" t="e">
        <f t="shared" si="164"/>
        <v>#N/A</v>
      </c>
      <c r="E427" s="251">
        <f t="shared" si="165"/>
        <v>0</v>
      </c>
      <c r="F427" s="251">
        <f t="shared" si="166"/>
        <v>0</v>
      </c>
      <c r="G427" s="251">
        <f t="shared" si="167"/>
        <v>0</v>
      </c>
      <c r="H427" s="251" t="e">
        <f t="shared" si="168"/>
        <v>#VALUE!</v>
      </c>
      <c r="I427" s="251">
        <f t="shared" si="169"/>
        <v>0</v>
      </c>
      <c r="J427" s="251">
        <f t="shared" si="170"/>
        <v>0</v>
      </c>
      <c r="K427" s="251">
        <f t="shared" si="171"/>
        <v>0</v>
      </c>
      <c r="M427" s="224"/>
      <c r="N427" s="225">
        <f t="shared" si="172"/>
        <v>0</v>
      </c>
      <c r="O427" s="251" t="e">
        <f t="shared" si="184"/>
        <v>#N/A</v>
      </c>
      <c r="P427" s="251">
        <f t="shared" si="173"/>
        <v>0</v>
      </c>
      <c r="Q427" s="251">
        <f t="shared" si="185"/>
        <v>0</v>
      </c>
      <c r="R427" s="251">
        <f t="shared" si="186"/>
        <v>0</v>
      </c>
      <c r="S427" s="251" t="e">
        <f t="shared" si="187"/>
        <v>#VALUE!</v>
      </c>
      <c r="T427" s="251">
        <f t="shared" si="183"/>
        <v>0</v>
      </c>
      <c r="V427" s="199">
        <f t="shared" si="174"/>
        <v>0</v>
      </c>
      <c r="W427" s="161" t="e">
        <f t="shared" si="175"/>
        <v>#N/A</v>
      </c>
      <c r="X427" s="161" t="e">
        <f t="shared" si="176"/>
        <v>#N/A</v>
      </c>
      <c r="Y427" s="161">
        <f t="shared" si="181"/>
        <v>402</v>
      </c>
      <c r="Z427" s="161">
        <f t="shared" ca="1" si="182"/>
        <v>12</v>
      </c>
      <c r="AG427" s="114">
        <f t="shared" si="177"/>
        <v>0</v>
      </c>
      <c r="AH427" s="113"/>
      <c r="AI427" s="199">
        <f ca="1">IF(AL427=0,0,IF(AL427&gt;Preenchimento!$AA$88*12,0,IF($AC$53=AM427,0,1)))</f>
        <v>0</v>
      </c>
      <c r="AJ427" s="161" t="e">
        <f t="shared" ca="1" si="178"/>
        <v>#N/A</v>
      </c>
      <c r="AK427" s="161" t="e">
        <f t="shared" ca="1" si="179"/>
        <v>#N/A</v>
      </c>
      <c r="AL427" s="161">
        <f ca="1">IF(Y427&gt;(Preenchimento!$AA$90*12),0,Fixa!Y427)</f>
        <v>0</v>
      </c>
      <c r="AM427" s="161">
        <f t="shared" ca="1" si="189"/>
        <v>12</v>
      </c>
      <c r="AN427" s="199">
        <f ca="1">IF(AQ427&gt;Preenchimento!$AA$90*12,0,1)</f>
        <v>0</v>
      </c>
      <c r="AO427" s="161" t="e">
        <f ca="1">1/((1+SAC!$AD$29)^AL427)</f>
        <v>#N/A</v>
      </c>
      <c r="AP427" s="82" t="e">
        <f t="shared" ca="1" si="180"/>
        <v>#N/A</v>
      </c>
      <c r="AQ427" s="82">
        <v>402</v>
      </c>
      <c r="AS427" s="477">
        <f t="shared" ca="1" si="188"/>
        <v>0</v>
      </c>
    </row>
    <row r="428" spans="1:45">
      <c r="A428" s="53">
        <v>403</v>
      </c>
      <c r="B428" s="249">
        <f ca="1">DATE(IF(MONTH(B427)=12,YEAR(B427)+1,YEAR(B427)),IF(MONTH(B427)=12,1,MONTH(B427)+1),MIN(DAY(Condições!$C$109),IF(IF(MONTH(B427)=12,1,MONTH(B427)+1)=2,IF(MOD(IF(MONTH(B427)=12,YEAR(B427)+1,YEAR(B427)),4)=0,29,28),IF(OR(IF(MONTH(B427)=12,1,MONTH(B427)+1)=4,IF(MONTH(B427)=12,1,MONTH(B427)+1)=6,IF(MONTH(B427)=12,1,MONTH(B427)+1)=9,IF(MONTH(B427)=12,1,MONTH(B427)+1)=11),30,DAY($B$25)))))</f>
        <v>58456</v>
      </c>
      <c r="C428" s="250" t="str">
        <f t="shared" si="163"/>
        <v/>
      </c>
      <c r="D428" s="251" t="e">
        <f t="shared" si="164"/>
        <v>#N/A</v>
      </c>
      <c r="E428" s="251">
        <f t="shared" si="165"/>
        <v>0</v>
      </c>
      <c r="F428" s="251">
        <f t="shared" si="166"/>
        <v>0</v>
      </c>
      <c r="G428" s="251">
        <f t="shared" si="167"/>
        <v>0</v>
      </c>
      <c r="H428" s="251" t="e">
        <f t="shared" si="168"/>
        <v>#VALUE!</v>
      </c>
      <c r="I428" s="251">
        <f t="shared" si="169"/>
        <v>0</v>
      </c>
      <c r="J428" s="251">
        <f t="shared" si="170"/>
        <v>0</v>
      </c>
      <c r="K428" s="251">
        <f t="shared" si="171"/>
        <v>0</v>
      </c>
      <c r="M428" s="224"/>
      <c r="N428" s="225">
        <f t="shared" si="172"/>
        <v>0</v>
      </c>
      <c r="O428" s="251" t="e">
        <f t="shared" si="184"/>
        <v>#N/A</v>
      </c>
      <c r="P428" s="251">
        <f t="shared" si="173"/>
        <v>0</v>
      </c>
      <c r="Q428" s="251">
        <f t="shared" si="185"/>
        <v>0</v>
      </c>
      <c r="R428" s="251">
        <f t="shared" si="186"/>
        <v>0</v>
      </c>
      <c r="S428" s="251" t="e">
        <f t="shared" si="187"/>
        <v>#VALUE!</v>
      </c>
      <c r="T428" s="251">
        <f t="shared" si="183"/>
        <v>0</v>
      </c>
      <c r="V428" s="199">
        <f t="shared" si="174"/>
        <v>0</v>
      </c>
      <c r="W428" s="161" t="e">
        <f t="shared" si="175"/>
        <v>#N/A</v>
      </c>
      <c r="X428" s="161" t="e">
        <f t="shared" si="176"/>
        <v>#N/A</v>
      </c>
      <c r="Y428" s="161">
        <f t="shared" si="181"/>
        <v>403</v>
      </c>
      <c r="Z428" s="161">
        <f t="shared" ca="1" si="182"/>
        <v>1</v>
      </c>
      <c r="AG428" s="114">
        <f t="shared" si="177"/>
        <v>0</v>
      </c>
      <c r="AH428" s="113"/>
      <c r="AI428" s="199">
        <f ca="1">IF(AL428=0,0,IF(AL428&gt;Preenchimento!$AA$88*12,0,IF($AC$53=AM428,0,1)))</f>
        <v>0</v>
      </c>
      <c r="AJ428" s="161" t="e">
        <f t="shared" ca="1" si="178"/>
        <v>#N/A</v>
      </c>
      <c r="AK428" s="161" t="e">
        <f t="shared" ca="1" si="179"/>
        <v>#N/A</v>
      </c>
      <c r="AL428" s="161">
        <f ca="1">IF(Y428&gt;(Preenchimento!$AA$90*12),0,Fixa!Y428)</f>
        <v>0</v>
      </c>
      <c r="AM428" s="161">
        <f t="shared" ca="1" si="189"/>
        <v>1</v>
      </c>
      <c r="AN428" s="199">
        <f ca="1">IF(AQ428&gt;Preenchimento!$AA$90*12,0,1)</f>
        <v>0</v>
      </c>
      <c r="AO428" s="161" t="e">
        <f ca="1">1/((1+SAC!$AD$29)^AL428)</f>
        <v>#N/A</v>
      </c>
      <c r="AP428" s="82" t="e">
        <f t="shared" ca="1" si="180"/>
        <v>#N/A</v>
      </c>
      <c r="AQ428" s="82">
        <v>403</v>
      </c>
      <c r="AS428" s="477">
        <f t="shared" ca="1" si="188"/>
        <v>0</v>
      </c>
    </row>
    <row r="429" spans="1:45">
      <c r="A429" s="53">
        <v>404</v>
      </c>
      <c r="B429" s="249">
        <f ca="1">DATE(IF(MONTH(B428)=12,YEAR(B428)+1,YEAR(B428)),IF(MONTH(B428)=12,1,MONTH(B428)+1),MIN(DAY(Condições!$C$109),IF(IF(MONTH(B428)=12,1,MONTH(B428)+1)=2,IF(MOD(IF(MONTH(B428)=12,YEAR(B428)+1,YEAR(B428)),4)=0,29,28),IF(OR(IF(MONTH(B428)=12,1,MONTH(B428)+1)=4,IF(MONTH(B428)=12,1,MONTH(B428)+1)=6,IF(MONTH(B428)=12,1,MONTH(B428)+1)=9,IF(MONTH(B428)=12,1,MONTH(B428)+1)=11),30,DAY($B$25)))))</f>
        <v>58487</v>
      </c>
      <c r="C429" s="250" t="str">
        <f t="shared" si="163"/>
        <v/>
      </c>
      <c r="D429" s="251" t="e">
        <f t="shared" si="164"/>
        <v>#N/A</v>
      </c>
      <c r="E429" s="251">
        <f t="shared" si="165"/>
        <v>0</v>
      </c>
      <c r="F429" s="251">
        <f t="shared" si="166"/>
        <v>0</v>
      </c>
      <c r="G429" s="251">
        <f t="shared" si="167"/>
        <v>0</v>
      </c>
      <c r="H429" s="251" t="e">
        <f t="shared" si="168"/>
        <v>#VALUE!</v>
      </c>
      <c r="I429" s="251">
        <f t="shared" si="169"/>
        <v>0</v>
      </c>
      <c r="J429" s="251">
        <f t="shared" si="170"/>
        <v>0</v>
      </c>
      <c r="K429" s="251">
        <f t="shared" si="171"/>
        <v>0</v>
      </c>
      <c r="M429" s="224"/>
      <c r="N429" s="225">
        <f t="shared" si="172"/>
        <v>0</v>
      </c>
      <c r="O429" s="251" t="e">
        <f t="shared" si="184"/>
        <v>#N/A</v>
      </c>
      <c r="P429" s="251">
        <f t="shared" si="173"/>
        <v>0</v>
      </c>
      <c r="Q429" s="251">
        <f t="shared" si="185"/>
        <v>0</v>
      </c>
      <c r="R429" s="251">
        <f t="shared" si="186"/>
        <v>0</v>
      </c>
      <c r="S429" s="251" t="e">
        <f t="shared" si="187"/>
        <v>#VALUE!</v>
      </c>
      <c r="T429" s="251">
        <f t="shared" si="183"/>
        <v>0</v>
      </c>
      <c r="V429" s="199">
        <f t="shared" si="174"/>
        <v>0</v>
      </c>
      <c r="W429" s="161" t="e">
        <f t="shared" si="175"/>
        <v>#N/A</v>
      </c>
      <c r="X429" s="161" t="e">
        <f t="shared" si="176"/>
        <v>#N/A</v>
      </c>
      <c r="Y429" s="161">
        <f t="shared" si="181"/>
        <v>404</v>
      </c>
      <c r="Z429" s="161">
        <f t="shared" ca="1" si="182"/>
        <v>2</v>
      </c>
      <c r="AG429" s="114">
        <f t="shared" si="177"/>
        <v>0</v>
      </c>
      <c r="AH429" s="113"/>
      <c r="AI429" s="199">
        <f ca="1">IF(AL429=0,0,IF(AL429&gt;Preenchimento!$AA$88*12,0,IF($AC$53=AM429,0,1)))</f>
        <v>0</v>
      </c>
      <c r="AJ429" s="161" t="e">
        <f t="shared" ca="1" si="178"/>
        <v>#N/A</v>
      </c>
      <c r="AK429" s="161" t="e">
        <f t="shared" ca="1" si="179"/>
        <v>#N/A</v>
      </c>
      <c r="AL429" s="161">
        <f ca="1">IF(Y429&gt;(Preenchimento!$AA$90*12),0,Fixa!Y429)</f>
        <v>0</v>
      </c>
      <c r="AM429" s="161">
        <f t="shared" ca="1" si="189"/>
        <v>2</v>
      </c>
      <c r="AN429" s="199">
        <f ca="1">IF(AQ429&gt;Preenchimento!$AA$90*12,0,1)</f>
        <v>0</v>
      </c>
      <c r="AO429" s="161" t="e">
        <f ca="1">1/((1+SAC!$AD$29)^AL429)</f>
        <v>#N/A</v>
      </c>
      <c r="AP429" s="82" t="e">
        <f t="shared" ca="1" si="180"/>
        <v>#N/A</v>
      </c>
      <c r="AQ429" s="82">
        <v>404</v>
      </c>
      <c r="AS429" s="477">
        <f t="shared" ca="1" si="188"/>
        <v>0</v>
      </c>
    </row>
    <row r="430" spans="1:45">
      <c r="A430" s="53">
        <v>405</v>
      </c>
      <c r="B430" s="249">
        <f ca="1">DATE(IF(MONTH(B429)=12,YEAR(B429)+1,YEAR(B429)),IF(MONTH(B429)=12,1,MONTH(B429)+1),MIN(DAY(Condições!$C$109),IF(IF(MONTH(B429)=12,1,MONTH(B429)+1)=2,IF(MOD(IF(MONTH(B429)=12,YEAR(B429)+1,YEAR(B429)),4)=0,29,28),IF(OR(IF(MONTH(B429)=12,1,MONTH(B429)+1)=4,IF(MONTH(B429)=12,1,MONTH(B429)+1)=6,IF(MONTH(B429)=12,1,MONTH(B429)+1)=9,IF(MONTH(B429)=12,1,MONTH(B429)+1)=11),30,DAY($B$25)))))</f>
        <v>58516</v>
      </c>
      <c r="C430" s="250" t="str">
        <f t="shared" si="163"/>
        <v/>
      </c>
      <c r="D430" s="251" t="e">
        <f t="shared" si="164"/>
        <v>#N/A</v>
      </c>
      <c r="E430" s="251">
        <f t="shared" si="165"/>
        <v>0</v>
      </c>
      <c r="F430" s="251">
        <f t="shared" si="166"/>
        <v>0</v>
      </c>
      <c r="G430" s="251">
        <f t="shared" si="167"/>
        <v>0</v>
      </c>
      <c r="H430" s="251" t="e">
        <f t="shared" si="168"/>
        <v>#VALUE!</v>
      </c>
      <c r="I430" s="251">
        <f t="shared" si="169"/>
        <v>0</v>
      </c>
      <c r="J430" s="251">
        <f t="shared" si="170"/>
        <v>0</v>
      </c>
      <c r="K430" s="251">
        <f t="shared" si="171"/>
        <v>0</v>
      </c>
      <c r="M430" s="224"/>
      <c r="N430" s="225">
        <f t="shared" si="172"/>
        <v>0</v>
      </c>
      <c r="O430" s="251" t="e">
        <f t="shared" si="184"/>
        <v>#N/A</v>
      </c>
      <c r="P430" s="251">
        <f t="shared" si="173"/>
        <v>0</v>
      </c>
      <c r="Q430" s="251">
        <f t="shared" si="185"/>
        <v>0</v>
      </c>
      <c r="R430" s="251">
        <f t="shared" si="186"/>
        <v>0</v>
      </c>
      <c r="S430" s="251" t="e">
        <f t="shared" si="187"/>
        <v>#VALUE!</v>
      </c>
      <c r="T430" s="251">
        <f t="shared" si="183"/>
        <v>0</v>
      </c>
      <c r="V430" s="199">
        <f t="shared" si="174"/>
        <v>0</v>
      </c>
      <c r="W430" s="161" t="e">
        <f t="shared" si="175"/>
        <v>#N/A</v>
      </c>
      <c r="X430" s="161" t="e">
        <f t="shared" si="176"/>
        <v>#N/A</v>
      </c>
      <c r="Y430" s="161">
        <f t="shared" si="181"/>
        <v>405</v>
      </c>
      <c r="Z430" s="161">
        <f t="shared" ca="1" si="182"/>
        <v>3</v>
      </c>
      <c r="AG430" s="114">
        <f t="shared" si="177"/>
        <v>0</v>
      </c>
      <c r="AH430" s="113"/>
      <c r="AI430" s="199">
        <f ca="1">IF(AL430=0,0,IF(AL430&gt;Preenchimento!$AA$88*12,0,IF($AC$53=AM430,0,1)))</f>
        <v>0</v>
      </c>
      <c r="AJ430" s="161" t="e">
        <f t="shared" ca="1" si="178"/>
        <v>#N/A</v>
      </c>
      <c r="AK430" s="161" t="e">
        <f t="shared" ca="1" si="179"/>
        <v>#N/A</v>
      </c>
      <c r="AL430" s="161">
        <f ca="1">IF(Y430&gt;(Preenchimento!$AA$90*12),0,Fixa!Y430)</f>
        <v>0</v>
      </c>
      <c r="AM430" s="161">
        <f t="shared" ca="1" si="189"/>
        <v>3</v>
      </c>
      <c r="AN430" s="199">
        <f ca="1">IF(AQ430&gt;Preenchimento!$AA$90*12,0,1)</f>
        <v>0</v>
      </c>
      <c r="AO430" s="161" t="e">
        <f ca="1">1/((1+SAC!$AD$29)^AL430)</f>
        <v>#N/A</v>
      </c>
      <c r="AP430" s="82" t="e">
        <f t="shared" ca="1" si="180"/>
        <v>#N/A</v>
      </c>
      <c r="AQ430" s="82">
        <v>405</v>
      </c>
      <c r="AS430" s="477">
        <f t="shared" ca="1" si="188"/>
        <v>0</v>
      </c>
    </row>
    <row r="431" spans="1:45">
      <c r="A431" s="53">
        <v>406</v>
      </c>
      <c r="B431" s="249">
        <f ca="1">DATE(IF(MONTH(B430)=12,YEAR(B430)+1,YEAR(B430)),IF(MONTH(B430)=12,1,MONTH(B430)+1),MIN(DAY(Condições!$C$109),IF(IF(MONTH(B430)=12,1,MONTH(B430)+1)=2,IF(MOD(IF(MONTH(B430)=12,YEAR(B430)+1,YEAR(B430)),4)=0,29,28),IF(OR(IF(MONTH(B430)=12,1,MONTH(B430)+1)=4,IF(MONTH(B430)=12,1,MONTH(B430)+1)=6,IF(MONTH(B430)=12,1,MONTH(B430)+1)=9,IF(MONTH(B430)=12,1,MONTH(B430)+1)=11),30,DAY($B$25)))))</f>
        <v>58547</v>
      </c>
      <c r="C431" s="250" t="str">
        <f t="shared" si="163"/>
        <v/>
      </c>
      <c r="D431" s="251" t="e">
        <f t="shared" si="164"/>
        <v>#N/A</v>
      </c>
      <c r="E431" s="251">
        <f t="shared" si="165"/>
        <v>0</v>
      </c>
      <c r="F431" s="251">
        <f t="shared" si="166"/>
        <v>0</v>
      </c>
      <c r="G431" s="251">
        <f t="shared" si="167"/>
        <v>0</v>
      </c>
      <c r="H431" s="251" t="e">
        <f t="shared" si="168"/>
        <v>#VALUE!</v>
      </c>
      <c r="I431" s="251">
        <f t="shared" si="169"/>
        <v>0</v>
      </c>
      <c r="J431" s="251">
        <f t="shared" si="170"/>
        <v>0</v>
      </c>
      <c r="K431" s="251">
        <f t="shared" si="171"/>
        <v>0</v>
      </c>
      <c r="M431" s="224"/>
      <c r="N431" s="225">
        <f t="shared" si="172"/>
        <v>0</v>
      </c>
      <c r="O431" s="251" t="e">
        <f t="shared" si="184"/>
        <v>#N/A</v>
      </c>
      <c r="P431" s="251">
        <f t="shared" si="173"/>
        <v>0</v>
      </c>
      <c r="Q431" s="251">
        <f t="shared" si="185"/>
        <v>0</v>
      </c>
      <c r="R431" s="251">
        <f t="shared" si="186"/>
        <v>0</v>
      </c>
      <c r="S431" s="251" t="e">
        <f t="shared" si="187"/>
        <v>#VALUE!</v>
      </c>
      <c r="T431" s="251">
        <f t="shared" si="183"/>
        <v>0</v>
      </c>
      <c r="V431" s="199">
        <f t="shared" si="174"/>
        <v>0</v>
      </c>
      <c r="W431" s="161" t="e">
        <f t="shared" si="175"/>
        <v>#N/A</v>
      </c>
      <c r="X431" s="161" t="e">
        <f t="shared" si="176"/>
        <v>#N/A</v>
      </c>
      <c r="Y431" s="161">
        <f t="shared" si="181"/>
        <v>406</v>
      </c>
      <c r="Z431" s="161">
        <f t="shared" ca="1" si="182"/>
        <v>4</v>
      </c>
      <c r="AG431" s="114">
        <f t="shared" si="177"/>
        <v>0</v>
      </c>
      <c r="AH431" s="113"/>
      <c r="AI431" s="199">
        <f ca="1">IF(AL431=0,0,IF(AL431&gt;Preenchimento!$AA$88*12,0,IF($AC$53=AM431,0,1)))</f>
        <v>0</v>
      </c>
      <c r="AJ431" s="161" t="e">
        <f t="shared" ca="1" si="178"/>
        <v>#N/A</v>
      </c>
      <c r="AK431" s="161" t="e">
        <f t="shared" ca="1" si="179"/>
        <v>#N/A</v>
      </c>
      <c r="AL431" s="161">
        <f ca="1">IF(Y431&gt;(Preenchimento!$AA$90*12),0,Fixa!Y431)</f>
        <v>0</v>
      </c>
      <c r="AM431" s="161">
        <f t="shared" ca="1" si="189"/>
        <v>4</v>
      </c>
      <c r="AN431" s="199">
        <f ca="1">IF(AQ431&gt;Preenchimento!$AA$90*12,0,1)</f>
        <v>0</v>
      </c>
      <c r="AO431" s="161" t="e">
        <f ca="1">1/((1+SAC!$AD$29)^AL431)</f>
        <v>#N/A</v>
      </c>
      <c r="AP431" s="82" t="e">
        <f t="shared" ca="1" si="180"/>
        <v>#N/A</v>
      </c>
      <c r="AQ431" s="82">
        <v>406</v>
      </c>
      <c r="AS431" s="477">
        <f t="shared" ca="1" si="188"/>
        <v>0</v>
      </c>
    </row>
    <row r="432" spans="1:45">
      <c r="A432" s="53">
        <v>407</v>
      </c>
      <c r="B432" s="249">
        <f ca="1">DATE(IF(MONTH(B431)=12,YEAR(B431)+1,YEAR(B431)),IF(MONTH(B431)=12,1,MONTH(B431)+1),MIN(DAY(Condições!$C$109),IF(IF(MONTH(B431)=12,1,MONTH(B431)+1)=2,IF(MOD(IF(MONTH(B431)=12,YEAR(B431)+1,YEAR(B431)),4)=0,29,28),IF(OR(IF(MONTH(B431)=12,1,MONTH(B431)+1)=4,IF(MONTH(B431)=12,1,MONTH(B431)+1)=6,IF(MONTH(B431)=12,1,MONTH(B431)+1)=9,IF(MONTH(B431)=12,1,MONTH(B431)+1)=11),30,DAY($B$25)))))</f>
        <v>58577</v>
      </c>
      <c r="C432" s="250" t="str">
        <f t="shared" si="163"/>
        <v/>
      </c>
      <c r="D432" s="251" t="e">
        <f t="shared" si="164"/>
        <v>#N/A</v>
      </c>
      <c r="E432" s="251">
        <f t="shared" si="165"/>
        <v>0</v>
      </c>
      <c r="F432" s="251">
        <f t="shared" si="166"/>
        <v>0</v>
      </c>
      <c r="G432" s="251">
        <f t="shared" si="167"/>
        <v>0</v>
      </c>
      <c r="H432" s="251" t="e">
        <f t="shared" si="168"/>
        <v>#VALUE!</v>
      </c>
      <c r="I432" s="251">
        <f t="shared" si="169"/>
        <v>0</v>
      </c>
      <c r="J432" s="251">
        <f t="shared" si="170"/>
        <v>0</v>
      </c>
      <c r="K432" s="251">
        <f t="shared" si="171"/>
        <v>0</v>
      </c>
      <c r="M432" s="224"/>
      <c r="N432" s="225">
        <f t="shared" si="172"/>
        <v>0</v>
      </c>
      <c r="O432" s="251" t="e">
        <f t="shared" si="184"/>
        <v>#N/A</v>
      </c>
      <c r="P432" s="251">
        <f t="shared" si="173"/>
        <v>0</v>
      </c>
      <c r="Q432" s="251">
        <f t="shared" si="185"/>
        <v>0</v>
      </c>
      <c r="R432" s="251">
        <f t="shared" si="186"/>
        <v>0</v>
      </c>
      <c r="S432" s="251" t="e">
        <f t="shared" si="187"/>
        <v>#VALUE!</v>
      </c>
      <c r="T432" s="251">
        <f t="shared" si="183"/>
        <v>0</v>
      </c>
      <c r="V432" s="199">
        <f t="shared" si="174"/>
        <v>0</v>
      </c>
      <c r="W432" s="161" t="e">
        <f t="shared" si="175"/>
        <v>#N/A</v>
      </c>
      <c r="X432" s="161" t="e">
        <f t="shared" si="176"/>
        <v>#N/A</v>
      </c>
      <c r="Y432" s="161">
        <f t="shared" si="181"/>
        <v>407</v>
      </c>
      <c r="Z432" s="161">
        <f t="shared" ca="1" si="182"/>
        <v>5</v>
      </c>
      <c r="AG432" s="114">
        <f t="shared" si="177"/>
        <v>0</v>
      </c>
      <c r="AH432" s="113"/>
      <c r="AI432" s="199">
        <f ca="1">IF(AL432=0,0,IF(AL432&gt;Preenchimento!$AA$88*12,0,IF($AC$53=AM432,0,1)))</f>
        <v>0</v>
      </c>
      <c r="AJ432" s="161" t="e">
        <f t="shared" ca="1" si="178"/>
        <v>#N/A</v>
      </c>
      <c r="AK432" s="161" t="e">
        <f t="shared" ca="1" si="179"/>
        <v>#N/A</v>
      </c>
      <c r="AL432" s="161">
        <f ca="1">IF(Y432&gt;(Preenchimento!$AA$90*12),0,Fixa!Y432)</f>
        <v>0</v>
      </c>
      <c r="AM432" s="161">
        <f t="shared" ca="1" si="189"/>
        <v>5</v>
      </c>
      <c r="AN432" s="199">
        <f ca="1">IF(AQ432&gt;Preenchimento!$AA$90*12,0,1)</f>
        <v>0</v>
      </c>
      <c r="AO432" s="161" t="e">
        <f ca="1">1/((1+SAC!$AD$29)^AL432)</f>
        <v>#N/A</v>
      </c>
      <c r="AP432" s="82" t="e">
        <f t="shared" ca="1" si="180"/>
        <v>#N/A</v>
      </c>
      <c r="AQ432" s="82">
        <v>407</v>
      </c>
      <c r="AS432" s="477">
        <f t="shared" ca="1" si="188"/>
        <v>0</v>
      </c>
    </row>
    <row r="433" spans="1:45">
      <c r="A433" s="53">
        <v>408</v>
      </c>
      <c r="B433" s="249">
        <f ca="1">DATE(IF(MONTH(B432)=12,YEAR(B432)+1,YEAR(B432)),IF(MONTH(B432)=12,1,MONTH(B432)+1),MIN(DAY(Condições!$C$109),IF(IF(MONTH(B432)=12,1,MONTH(B432)+1)=2,IF(MOD(IF(MONTH(B432)=12,YEAR(B432)+1,YEAR(B432)),4)=0,29,28),IF(OR(IF(MONTH(B432)=12,1,MONTH(B432)+1)=4,IF(MONTH(B432)=12,1,MONTH(B432)+1)=6,IF(MONTH(B432)=12,1,MONTH(B432)+1)=9,IF(MONTH(B432)=12,1,MONTH(B432)+1)=11),30,DAY($B$25)))))</f>
        <v>58608</v>
      </c>
      <c r="C433" s="250" t="str">
        <f t="shared" si="163"/>
        <v/>
      </c>
      <c r="D433" s="251" t="e">
        <f t="shared" si="164"/>
        <v>#N/A</v>
      </c>
      <c r="E433" s="251">
        <f t="shared" si="165"/>
        <v>0</v>
      </c>
      <c r="F433" s="251">
        <f t="shared" si="166"/>
        <v>0</v>
      </c>
      <c r="G433" s="251">
        <f t="shared" si="167"/>
        <v>0</v>
      </c>
      <c r="H433" s="251" t="e">
        <f t="shared" si="168"/>
        <v>#VALUE!</v>
      </c>
      <c r="I433" s="251">
        <f t="shared" si="169"/>
        <v>0</v>
      </c>
      <c r="J433" s="251">
        <f t="shared" si="170"/>
        <v>0</v>
      </c>
      <c r="K433" s="251">
        <f t="shared" si="171"/>
        <v>0</v>
      </c>
      <c r="M433" s="224"/>
      <c r="N433" s="225">
        <f t="shared" si="172"/>
        <v>0</v>
      </c>
      <c r="O433" s="251" t="e">
        <f t="shared" si="184"/>
        <v>#N/A</v>
      </c>
      <c r="P433" s="251">
        <f t="shared" si="173"/>
        <v>0</v>
      </c>
      <c r="Q433" s="251">
        <f t="shared" si="185"/>
        <v>0</v>
      </c>
      <c r="R433" s="251">
        <f t="shared" si="186"/>
        <v>0</v>
      </c>
      <c r="S433" s="251" t="e">
        <f t="shared" si="187"/>
        <v>#VALUE!</v>
      </c>
      <c r="T433" s="251">
        <f t="shared" si="183"/>
        <v>0</v>
      </c>
      <c r="V433" s="199">
        <f t="shared" si="174"/>
        <v>0</v>
      </c>
      <c r="W433" s="161" t="e">
        <f t="shared" si="175"/>
        <v>#N/A</v>
      </c>
      <c r="X433" s="161" t="e">
        <f t="shared" si="176"/>
        <v>#N/A</v>
      </c>
      <c r="Y433" s="161">
        <f t="shared" si="181"/>
        <v>408</v>
      </c>
      <c r="Z433" s="161">
        <f t="shared" ca="1" si="182"/>
        <v>6</v>
      </c>
      <c r="AG433" s="114">
        <f t="shared" si="177"/>
        <v>0</v>
      </c>
      <c r="AH433" s="113"/>
      <c r="AI433" s="199">
        <f ca="1">IF(AL433=0,0,IF(AL433&gt;Preenchimento!$AA$88*12,0,IF($AC$53=AM433,0,1)))</f>
        <v>0</v>
      </c>
      <c r="AJ433" s="161" t="e">
        <f t="shared" ca="1" si="178"/>
        <v>#N/A</v>
      </c>
      <c r="AK433" s="161" t="e">
        <f t="shared" ca="1" si="179"/>
        <v>#N/A</v>
      </c>
      <c r="AL433" s="161">
        <f ca="1">IF(Y433&gt;(Preenchimento!$AA$90*12),0,Fixa!Y433)</f>
        <v>0</v>
      </c>
      <c r="AM433" s="161">
        <f t="shared" ca="1" si="189"/>
        <v>6</v>
      </c>
      <c r="AN433" s="199">
        <f ca="1">IF(AQ433&gt;Preenchimento!$AA$90*12,0,1)</f>
        <v>0</v>
      </c>
      <c r="AO433" s="161" t="e">
        <f ca="1">1/((1+SAC!$AD$29)^AL433)</f>
        <v>#N/A</v>
      </c>
      <c r="AP433" s="82" t="e">
        <f t="shared" ca="1" si="180"/>
        <v>#N/A</v>
      </c>
      <c r="AQ433" s="82">
        <v>408</v>
      </c>
      <c r="AS433" s="477">
        <f t="shared" ca="1" si="188"/>
        <v>0</v>
      </c>
    </row>
    <row r="434" spans="1:45">
      <c r="A434" s="53">
        <v>409</v>
      </c>
      <c r="B434" s="249">
        <f ca="1">DATE(IF(MONTH(B433)=12,YEAR(B433)+1,YEAR(B433)),IF(MONTH(B433)=12,1,MONTH(B433)+1),MIN(DAY(Condições!$C$109),IF(IF(MONTH(B433)=12,1,MONTH(B433)+1)=2,IF(MOD(IF(MONTH(B433)=12,YEAR(B433)+1,YEAR(B433)),4)=0,29,28),IF(OR(IF(MONTH(B433)=12,1,MONTH(B433)+1)=4,IF(MONTH(B433)=12,1,MONTH(B433)+1)=6,IF(MONTH(B433)=12,1,MONTH(B433)+1)=9,IF(MONTH(B433)=12,1,MONTH(B433)+1)=11),30,DAY($B$25)))))</f>
        <v>58638</v>
      </c>
      <c r="C434" s="250" t="str">
        <f t="shared" si="163"/>
        <v/>
      </c>
      <c r="D434" s="251" t="e">
        <f t="shared" si="164"/>
        <v>#N/A</v>
      </c>
      <c r="E434" s="251">
        <f t="shared" si="165"/>
        <v>0</v>
      </c>
      <c r="F434" s="251">
        <f t="shared" si="166"/>
        <v>0</v>
      </c>
      <c r="G434" s="251">
        <f t="shared" si="167"/>
        <v>0</v>
      </c>
      <c r="H434" s="251" t="e">
        <f t="shared" si="168"/>
        <v>#VALUE!</v>
      </c>
      <c r="I434" s="251">
        <f t="shared" si="169"/>
        <v>0</v>
      </c>
      <c r="J434" s="251">
        <f t="shared" si="170"/>
        <v>0</v>
      </c>
      <c r="K434" s="251">
        <f t="shared" si="171"/>
        <v>0</v>
      </c>
      <c r="M434" s="224"/>
      <c r="N434" s="225">
        <f t="shared" si="172"/>
        <v>0</v>
      </c>
      <c r="O434" s="251" t="e">
        <f t="shared" si="184"/>
        <v>#N/A</v>
      </c>
      <c r="P434" s="251">
        <f t="shared" si="173"/>
        <v>0</v>
      </c>
      <c r="Q434" s="251">
        <f t="shared" si="185"/>
        <v>0</v>
      </c>
      <c r="R434" s="251">
        <f t="shared" si="186"/>
        <v>0</v>
      </c>
      <c r="S434" s="251" t="e">
        <f t="shared" si="187"/>
        <v>#VALUE!</v>
      </c>
      <c r="T434" s="251">
        <f t="shared" si="183"/>
        <v>0</v>
      </c>
      <c r="V434" s="199">
        <f t="shared" si="174"/>
        <v>0</v>
      </c>
      <c r="W434" s="161" t="e">
        <f t="shared" si="175"/>
        <v>#N/A</v>
      </c>
      <c r="X434" s="161" t="e">
        <f t="shared" si="176"/>
        <v>#N/A</v>
      </c>
      <c r="Y434" s="161">
        <f t="shared" si="181"/>
        <v>409</v>
      </c>
      <c r="Z434" s="161">
        <f t="shared" ca="1" si="182"/>
        <v>7</v>
      </c>
      <c r="AG434" s="114">
        <f t="shared" si="177"/>
        <v>0</v>
      </c>
      <c r="AH434" s="113"/>
      <c r="AI434" s="199">
        <f ca="1">IF(AL434=0,0,IF(AL434&gt;Preenchimento!$AA$88*12,0,IF($AC$53=AM434,0,1)))</f>
        <v>0</v>
      </c>
      <c r="AJ434" s="161" t="e">
        <f t="shared" ca="1" si="178"/>
        <v>#N/A</v>
      </c>
      <c r="AK434" s="161" t="e">
        <f t="shared" ca="1" si="179"/>
        <v>#N/A</v>
      </c>
      <c r="AL434" s="161">
        <f ca="1">IF(Y434&gt;(Preenchimento!$AA$90*12),0,Fixa!Y434)</f>
        <v>0</v>
      </c>
      <c r="AM434" s="161">
        <f t="shared" ca="1" si="189"/>
        <v>7</v>
      </c>
      <c r="AN434" s="199">
        <f ca="1">IF(AQ434&gt;Preenchimento!$AA$90*12,0,1)</f>
        <v>0</v>
      </c>
      <c r="AO434" s="161" t="e">
        <f ca="1">1/((1+SAC!$AD$29)^AL434)</f>
        <v>#N/A</v>
      </c>
      <c r="AP434" s="82" t="e">
        <f t="shared" ca="1" si="180"/>
        <v>#N/A</v>
      </c>
      <c r="AQ434" s="82">
        <v>409</v>
      </c>
      <c r="AS434" s="477">
        <f t="shared" ca="1" si="188"/>
        <v>0</v>
      </c>
    </row>
    <row r="435" spans="1:45">
      <c r="A435" s="53">
        <v>410</v>
      </c>
      <c r="B435" s="249">
        <f ca="1">DATE(IF(MONTH(B434)=12,YEAR(B434)+1,YEAR(B434)),IF(MONTH(B434)=12,1,MONTH(B434)+1),MIN(DAY(Condições!$C$109),IF(IF(MONTH(B434)=12,1,MONTH(B434)+1)=2,IF(MOD(IF(MONTH(B434)=12,YEAR(B434)+1,YEAR(B434)),4)=0,29,28),IF(OR(IF(MONTH(B434)=12,1,MONTH(B434)+1)=4,IF(MONTH(B434)=12,1,MONTH(B434)+1)=6,IF(MONTH(B434)=12,1,MONTH(B434)+1)=9,IF(MONTH(B434)=12,1,MONTH(B434)+1)=11),30,DAY($B$25)))))</f>
        <v>58669</v>
      </c>
      <c r="C435" s="250" t="str">
        <f t="shared" si="163"/>
        <v/>
      </c>
      <c r="D435" s="251" t="e">
        <f t="shared" si="164"/>
        <v>#N/A</v>
      </c>
      <c r="E435" s="251">
        <f t="shared" si="165"/>
        <v>0</v>
      </c>
      <c r="F435" s="251">
        <f t="shared" si="166"/>
        <v>0</v>
      </c>
      <c r="G435" s="251">
        <f t="shared" si="167"/>
        <v>0</v>
      </c>
      <c r="H435" s="251" t="e">
        <f t="shared" si="168"/>
        <v>#VALUE!</v>
      </c>
      <c r="I435" s="251">
        <f t="shared" si="169"/>
        <v>0</v>
      </c>
      <c r="J435" s="251">
        <f t="shared" si="170"/>
        <v>0</v>
      </c>
      <c r="K435" s="251">
        <f t="shared" si="171"/>
        <v>0</v>
      </c>
      <c r="M435" s="224"/>
      <c r="N435" s="225">
        <f t="shared" si="172"/>
        <v>0</v>
      </c>
      <c r="O435" s="251" t="e">
        <f t="shared" si="184"/>
        <v>#N/A</v>
      </c>
      <c r="P435" s="251">
        <f t="shared" si="173"/>
        <v>0</v>
      </c>
      <c r="Q435" s="251">
        <f t="shared" si="185"/>
        <v>0</v>
      </c>
      <c r="R435" s="251">
        <f t="shared" si="186"/>
        <v>0</v>
      </c>
      <c r="S435" s="251" t="e">
        <f t="shared" si="187"/>
        <v>#VALUE!</v>
      </c>
      <c r="T435" s="251">
        <f t="shared" si="183"/>
        <v>0</v>
      </c>
      <c r="V435" s="199">
        <f t="shared" si="174"/>
        <v>0</v>
      </c>
      <c r="W435" s="161" t="e">
        <f t="shared" si="175"/>
        <v>#N/A</v>
      </c>
      <c r="X435" s="161" t="e">
        <f t="shared" si="176"/>
        <v>#N/A</v>
      </c>
      <c r="Y435" s="161">
        <f t="shared" si="181"/>
        <v>410</v>
      </c>
      <c r="Z435" s="161">
        <f t="shared" ca="1" si="182"/>
        <v>8</v>
      </c>
      <c r="AG435" s="114">
        <f t="shared" si="177"/>
        <v>0</v>
      </c>
      <c r="AH435" s="113"/>
      <c r="AI435" s="199">
        <f ca="1">IF(AL435=0,0,IF(AL435&gt;Preenchimento!$AA$88*12,0,IF($AC$53=AM435,0,1)))</f>
        <v>0</v>
      </c>
      <c r="AJ435" s="161" t="e">
        <f t="shared" ca="1" si="178"/>
        <v>#N/A</v>
      </c>
      <c r="AK435" s="161" t="e">
        <f t="shared" ca="1" si="179"/>
        <v>#N/A</v>
      </c>
      <c r="AL435" s="161">
        <f ca="1">IF(Y435&gt;(Preenchimento!$AA$90*12),0,Fixa!Y435)</f>
        <v>0</v>
      </c>
      <c r="AM435" s="161">
        <f t="shared" ca="1" si="189"/>
        <v>8</v>
      </c>
      <c r="AN435" s="199">
        <f ca="1">IF(AQ435&gt;Preenchimento!$AA$90*12,0,1)</f>
        <v>0</v>
      </c>
      <c r="AO435" s="161" t="e">
        <f ca="1">1/((1+SAC!$AD$29)^AL435)</f>
        <v>#N/A</v>
      </c>
      <c r="AP435" s="82" t="e">
        <f t="shared" ca="1" si="180"/>
        <v>#N/A</v>
      </c>
      <c r="AQ435" s="82">
        <v>410</v>
      </c>
      <c r="AS435" s="477">
        <f t="shared" ca="1" si="188"/>
        <v>0</v>
      </c>
    </row>
    <row r="436" spans="1:45">
      <c r="A436" s="53">
        <v>411</v>
      </c>
      <c r="B436" s="249">
        <f ca="1">DATE(IF(MONTH(B435)=12,YEAR(B435)+1,YEAR(B435)),IF(MONTH(B435)=12,1,MONTH(B435)+1),MIN(DAY(Condições!$C$109),IF(IF(MONTH(B435)=12,1,MONTH(B435)+1)=2,IF(MOD(IF(MONTH(B435)=12,YEAR(B435)+1,YEAR(B435)),4)=0,29,28),IF(OR(IF(MONTH(B435)=12,1,MONTH(B435)+1)=4,IF(MONTH(B435)=12,1,MONTH(B435)+1)=6,IF(MONTH(B435)=12,1,MONTH(B435)+1)=9,IF(MONTH(B435)=12,1,MONTH(B435)+1)=11),30,DAY($B$25)))))</f>
        <v>58700</v>
      </c>
      <c r="C436" s="250" t="str">
        <f t="shared" si="163"/>
        <v/>
      </c>
      <c r="D436" s="251" t="e">
        <f t="shared" si="164"/>
        <v>#N/A</v>
      </c>
      <c r="E436" s="251">
        <f t="shared" si="165"/>
        <v>0</v>
      </c>
      <c r="F436" s="251">
        <f t="shared" si="166"/>
        <v>0</v>
      </c>
      <c r="G436" s="251">
        <f t="shared" si="167"/>
        <v>0</v>
      </c>
      <c r="H436" s="251" t="e">
        <f t="shared" si="168"/>
        <v>#VALUE!</v>
      </c>
      <c r="I436" s="251">
        <f t="shared" si="169"/>
        <v>0</v>
      </c>
      <c r="J436" s="251">
        <f t="shared" si="170"/>
        <v>0</v>
      </c>
      <c r="K436" s="251">
        <f t="shared" si="171"/>
        <v>0</v>
      </c>
      <c r="M436" s="224"/>
      <c r="N436" s="225">
        <f t="shared" si="172"/>
        <v>0</v>
      </c>
      <c r="O436" s="251" t="e">
        <f t="shared" si="184"/>
        <v>#N/A</v>
      </c>
      <c r="P436" s="251">
        <f t="shared" si="173"/>
        <v>0</v>
      </c>
      <c r="Q436" s="251">
        <f t="shared" si="185"/>
        <v>0</v>
      </c>
      <c r="R436" s="251">
        <f t="shared" si="186"/>
        <v>0</v>
      </c>
      <c r="S436" s="251" t="e">
        <f t="shared" si="187"/>
        <v>#VALUE!</v>
      </c>
      <c r="T436" s="251">
        <f t="shared" si="183"/>
        <v>0</v>
      </c>
      <c r="V436" s="199">
        <f t="shared" si="174"/>
        <v>0</v>
      </c>
      <c r="W436" s="161" t="e">
        <f t="shared" si="175"/>
        <v>#N/A</v>
      </c>
      <c r="X436" s="161" t="e">
        <f t="shared" si="176"/>
        <v>#N/A</v>
      </c>
      <c r="Y436" s="161">
        <f t="shared" si="181"/>
        <v>411</v>
      </c>
      <c r="Z436" s="161">
        <f t="shared" ca="1" si="182"/>
        <v>9</v>
      </c>
      <c r="AG436" s="114">
        <f t="shared" si="177"/>
        <v>0</v>
      </c>
      <c r="AH436" s="113"/>
      <c r="AI436" s="199">
        <f ca="1">IF(AL436=0,0,IF(AL436&gt;Preenchimento!$AA$88*12,0,IF($AC$53=AM436,0,1)))</f>
        <v>0</v>
      </c>
      <c r="AJ436" s="161" t="e">
        <f t="shared" ca="1" si="178"/>
        <v>#N/A</v>
      </c>
      <c r="AK436" s="161" t="e">
        <f t="shared" ca="1" si="179"/>
        <v>#N/A</v>
      </c>
      <c r="AL436" s="161">
        <f ca="1">IF(Y436&gt;(Preenchimento!$AA$90*12),0,Fixa!Y436)</f>
        <v>0</v>
      </c>
      <c r="AM436" s="161">
        <f t="shared" ca="1" si="189"/>
        <v>9</v>
      </c>
      <c r="AN436" s="199">
        <f ca="1">IF(AQ436&gt;Preenchimento!$AA$90*12,0,1)</f>
        <v>0</v>
      </c>
      <c r="AO436" s="161" t="e">
        <f ca="1">1/((1+SAC!$AD$29)^AL436)</f>
        <v>#N/A</v>
      </c>
      <c r="AP436" s="82" t="e">
        <f t="shared" ca="1" si="180"/>
        <v>#N/A</v>
      </c>
      <c r="AQ436" s="82">
        <v>411</v>
      </c>
      <c r="AS436" s="477">
        <f t="shared" ca="1" si="188"/>
        <v>0</v>
      </c>
    </row>
    <row r="437" spans="1:45">
      <c r="A437" s="53">
        <v>412</v>
      </c>
      <c r="B437" s="249">
        <f ca="1">DATE(IF(MONTH(B436)=12,YEAR(B436)+1,YEAR(B436)),IF(MONTH(B436)=12,1,MONTH(B436)+1),MIN(DAY(Condições!$C$109),IF(IF(MONTH(B436)=12,1,MONTH(B436)+1)=2,IF(MOD(IF(MONTH(B436)=12,YEAR(B436)+1,YEAR(B436)),4)=0,29,28),IF(OR(IF(MONTH(B436)=12,1,MONTH(B436)+1)=4,IF(MONTH(B436)=12,1,MONTH(B436)+1)=6,IF(MONTH(B436)=12,1,MONTH(B436)+1)=9,IF(MONTH(B436)=12,1,MONTH(B436)+1)=11),30,DAY($B$25)))))</f>
        <v>58730</v>
      </c>
      <c r="C437" s="250" t="str">
        <f t="shared" si="163"/>
        <v/>
      </c>
      <c r="D437" s="251" t="e">
        <f t="shared" si="164"/>
        <v>#N/A</v>
      </c>
      <c r="E437" s="251">
        <f t="shared" si="165"/>
        <v>0</v>
      </c>
      <c r="F437" s="251">
        <f t="shared" si="166"/>
        <v>0</v>
      </c>
      <c r="G437" s="251">
        <f t="shared" si="167"/>
        <v>0</v>
      </c>
      <c r="H437" s="251" t="e">
        <f t="shared" si="168"/>
        <v>#VALUE!</v>
      </c>
      <c r="I437" s="251">
        <f t="shared" si="169"/>
        <v>0</v>
      </c>
      <c r="J437" s="251">
        <f t="shared" si="170"/>
        <v>0</v>
      </c>
      <c r="K437" s="251">
        <f t="shared" si="171"/>
        <v>0</v>
      </c>
      <c r="M437" s="224"/>
      <c r="N437" s="225">
        <f t="shared" si="172"/>
        <v>0</v>
      </c>
      <c r="O437" s="251" t="e">
        <f t="shared" si="184"/>
        <v>#N/A</v>
      </c>
      <c r="P437" s="251">
        <f t="shared" si="173"/>
        <v>0</v>
      </c>
      <c r="Q437" s="251">
        <f t="shared" si="185"/>
        <v>0</v>
      </c>
      <c r="R437" s="251">
        <f t="shared" si="186"/>
        <v>0</v>
      </c>
      <c r="S437" s="251" t="e">
        <f t="shared" si="187"/>
        <v>#VALUE!</v>
      </c>
      <c r="T437" s="251">
        <f t="shared" si="183"/>
        <v>0</v>
      </c>
      <c r="V437" s="199">
        <f t="shared" si="174"/>
        <v>0</v>
      </c>
      <c r="W437" s="161" t="e">
        <f t="shared" si="175"/>
        <v>#N/A</v>
      </c>
      <c r="X437" s="161" t="e">
        <f t="shared" si="176"/>
        <v>#N/A</v>
      </c>
      <c r="Y437" s="161">
        <f t="shared" si="181"/>
        <v>412</v>
      </c>
      <c r="Z437" s="161">
        <f t="shared" ca="1" si="182"/>
        <v>10</v>
      </c>
      <c r="AG437" s="114">
        <f t="shared" si="177"/>
        <v>0</v>
      </c>
      <c r="AH437" s="113"/>
      <c r="AI437" s="199">
        <f ca="1">IF(AL437=0,0,IF(AL437&gt;Preenchimento!$AA$88*12,0,IF($AC$53=AM437,0,1)))</f>
        <v>0</v>
      </c>
      <c r="AJ437" s="161" t="e">
        <f t="shared" ca="1" si="178"/>
        <v>#N/A</v>
      </c>
      <c r="AK437" s="161" t="e">
        <f t="shared" ca="1" si="179"/>
        <v>#N/A</v>
      </c>
      <c r="AL437" s="161">
        <f ca="1">IF(Y437&gt;(Preenchimento!$AA$90*12),0,Fixa!Y437)</f>
        <v>0</v>
      </c>
      <c r="AM437" s="161">
        <f t="shared" ca="1" si="189"/>
        <v>10</v>
      </c>
      <c r="AN437" s="199">
        <f ca="1">IF(AQ437&gt;Preenchimento!$AA$90*12,0,1)</f>
        <v>0</v>
      </c>
      <c r="AO437" s="161" t="e">
        <f ca="1">1/((1+SAC!$AD$29)^AL437)</f>
        <v>#N/A</v>
      </c>
      <c r="AP437" s="82" t="e">
        <f t="shared" ca="1" si="180"/>
        <v>#N/A</v>
      </c>
      <c r="AQ437" s="82">
        <v>412</v>
      </c>
      <c r="AS437" s="477">
        <f t="shared" ca="1" si="188"/>
        <v>0</v>
      </c>
    </row>
    <row r="438" spans="1:45">
      <c r="A438" s="53">
        <v>413</v>
      </c>
      <c r="B438" s="249">
        <f ca="1">DATE(IF(MONTH(B437)=12,YEAR(B437)+1,YEAR(B437)),IF(MONTH(B437)=12,1,MONTH(B437)+1),MIN(DAY(Condições!$C$109),IF(IF(MONTH(B437)=12,1,MONTH(B437)+1)=2,IF(MOD(IF(MONTH(B437)=12,YEAR(B437)+1,YEAR(B437)),4)=0,29,28),IF(OR(IF(MONTH(B437)=12,1,MONTH(B437)+1)=4,IF(MONTH(B437)=12,1,MONTH(B437)+1)=6,IF(MONTH(B437)=12,1,MONTH(B437)+1)=9,IF(MONTH(B437)=12,1,MONTH(B437)+1)=11),30,DAY($B$25)))))</f>
        <v>58761</v>
      </c>
      <c r="C438" s="250" t="str">
        <f t="shared" si="163"/>
        <v/>
      </c>
      <c r="D438" s="251" t="e">
        <f t="shared" si="164"/>
        <v>#N/A</v>
      </c>
      <c r="E438" s="251">
        <f t="shared" si="165"/>
        <v>0</v>
      </c>
      <c r="F438" s="251">
        <f t="shared" si="166"/>
        <v>0</v>
      </c>
      <c r="G438" s="251">
        <f t="shared" si="167"/>
        <v>0</v>
      </c>
      <c r="H438" s="251" t="e">
        <f t="shared" si="168"/>
        <v>#VALUE!</v>
      </c>
      <c r="I438" s="251">
        <f t="shared" si="169"/>
        <v>0</v>
      </c>
      <c r="J438" s="251">
        <f t="shared" si="170"/>
        <v>0</v>
      </c>
      <c r="K438" s="251">
        <f t="shared" si="171"/>
        <v>0</v>
      </c>
      <c r="M438" s="224"/>
      <c r="N438" s="225">
        <f t="shared" si="172"/>
        <v>0</v>
      </c>
      <c r="O438" s="251" t="e">
        <f t="shared" si="184"/>
        <v>#N/A</v>
      </c>
      <c r="P438" s="251">
        <f t="shared" si="173"/>
        <v>0</v>
      </c>
      <c r="Q438" s="251">
        <f t="shared" si="185"/>
        <v>0</v>
      </c>
      <c r="R438" s="251">
        <f t="shared" si="186"/>
        <v>0</v>
      </c>
      <c r="S438" s="251" t="e">
        <f t="shared" si="187"/>
        <v>#VALUE!</v>
      </c>
      <c r="T438" s="251">
        <f t="shared" si="183"/>
        <v>0</v>
      </c>
      <c r="V438" s="199">
        <f t="shared" si="174"/>
        <v>0</v>
      </c>
      <c r="W438" s="161" t="e">
        <f t="shared" si="175"/>
        <v>#N/A</v>
      </c>
      <c r="X438" s="161" t="e">
        <f t="shared" si="176"/>
        <v>#N/A</v>
      </c>
      <c r="Y438" s="161">
        <f t="shared" si="181"/>
        <v>413</v>
      </c>
      <c r="Z438" s="161">
        <f t="shared" ca="1" si="182"/>
        <v>11</v>
      </c>
      <c r="AG438" s="114">
        <f t="shared" si="177"/>
        <v>0</v>
      </c>
      <c r="AH438" s="113"/>
      <c r="AI438" s="199">
        <f ca="1">IF(AL438=0,0,IF(AL438&gt;Preenchimento!$AA$88*12,0,IF($AC$53=AM438,0,1)))</f>
        <v>0</v>
      </c>
      <c r="AJ438" s="161" t="e">
        <f t="shared" ca="1" si="178"/>
        <v>#N/A</v>
      </c>
      <c r="AK438" s="161" t="e">
        <f t="shared" ca="1" si="179"/>
        <v>#N/A</v>
      </c>
      <c r="AL438" s="161">
        <f ca="1">IF(Y438&gt;(Preenchimento!$AA$90*12),0,Fixa!Y438)</f>
        <v>0</v>
      </c>
      <c r="AM438" s="161">
        <f t="shared" ca="1" si="189"/>
        <v>11</v>
      </c>
      <c r="AN438" s="199">
        <f ca="1">IF(AQ438&gt;Preenchimento!$AA$90*12,0,1)</f>
        <v>0</v>
      </c>
      <c r="AO438" s="161" t="e">
        <f ca="1">1/((1+SAC!$AD$29)^AL438)</f>
        <v>#N/A</v>
      </c>
      <c r="AP438" s="82" t="e">
        <f t="shared" ca="1" si="180"/>
        <v>#N/A</v>
      </c>
      <c r="AQ438" s="82">
        <v>413</v>
      </c>
      <c r="AS438" s="477">
        <f t="shared" ca="1" si="188"/>
        <v>0</v>
      </c>
    </row>
    <row r="439" spans="1:45">
      <c r="A439" s="53">
        <v>414</v>
      </c>
      <c r="B439" s="249">
        <f ca="1">DATE(IF(MONTH(B438)=12,YEAR(B438)+1,YEAR(B438)),IF(MONTH(B438)=12,1,MONTH(B438)+1),MIN(DAY(Condições!$C$109),IF(IF(MONTH(B438)=12,1,MONTH(B438)+1)=2,IF(MOD(IF(MONTH(B438)=12,YEAR(B438)+1,YEAR(B438)),4)=0,29,28),IF(OR(IF(MONTH(B438)=12,1,MONTH(B438)+1)=4,IF(MONTH(B438)=12,1,MONTH(B438)+1)=6,IF(MONTH(B438)=12,1,MONTH(B438)+1)=9,IF(MONTH(B438)=12,1,MONTH(B438)+1)=11),30,DAY($B$25)))))</f>
        <v>58791</v>
      </c>
      <c r="C439" s="250" t="str">
        <f t="shared" si="163"/>
        <v/>
      </c>
      <c r="D439" s="251" t="e">
        <f t="shared" si="164"/>
        <v>#N/A</v>
      </c>
      <c r="E439" s="251">
        <f t="shared" si="165"/>
        <v>0</v>
      </c>
      <c r="F439" s="251">
        <f t="shared" si="166"/>
        <v>0</v>
      </c>
      <c r="G439" s="251">
        <f t="shared" si="167"/>
        <v>0</v>
      </c>
      <c r="H439" s="251" t="e">
        <f t="shared" si="168"/>
        <v>#VALUE!</v>
      </c>
      <c r="I439" s="251">
        <f t="shared" si="169"/>
        <v>0</v>
      </c>
      <c r="J439" s="251">
        <f t="shared" si="170"/>
        <v>0</v>
      </c>
      <c r="K439" s="251">
        <f t="shared" si="171"/>
        <v>0</v>
      </c>
      <c r="M439" s="224"/>
      <c r="N439" s="225">
        <f t="shared" si="172"/>
        <v>0</v>
      </c>
      <c r="O439" s="251" t="e">
        <f t="shared" si="184"/>
        <v>#N/A</v>
      </c>
      <c r="P439" s="251">
        <f t="shared" si="173"/>
        <v>0</v>
      </c>
      <c r="Q439" s="251">
        <f t="shared" si="185"/>
        <v>0</v>
      </c>
      <c r="R439" s="251">
        <f t="shared" si="186"/>
        <v>0</v>
      </c>
      <c r="S439" s="251" t="e">
        <f t="shared" si="187"/>
        <v>#VALUE!</v>
      </c>
      <c r="T439" s="251">
        <f t="shared" si="183"/>
        <v>0</v>
      </c>
      <c r="V439" s="199">
        <f t="shared" si="174"/>
        <v>0</v>
      </c>
      <c r="W439" s="161" t="e">
        <f t="shared" si="175"/>
        <v>#N/A</v>
      </c>
      <c r="X439" s="161" t="e">
        <f t="shared" si="176"/>
        <v>#N/A</v>
      </c>
      <c r="Y439" s="161">
        <f t="shared" si="181"/>
        <v>414</v>
      </c>
      <c r="Z439" s="161">
        <f t="shared" ca="1" si="182"/>
        <v>12</v>
      </c>
      <c r="AG439" s="114">
        <f t="shared" si="177"/>
        <v>0</v>
      </c>
      <c r="AH439" s="113"/>
      <c r="AI439" s="199">
        <f ca="1">IF(AL439=0,0,IF(AL439&gt;Preenchimento!$AA$88*12,0,IF($AC$53=AM439,0,1)))</f>
        <v>0</v>
      </c>
      <c r="AJ439" s="161" t="e">
        <f t="shared" ca="1" si="178"/>
        <v>#N/A</v>
      </c>
      <c r="AK439" s="161" t="e">
        <f t="shared" ca="1" si="179"/>
        <v>#N/A</v>
      </c>
      <c r="AL439" s="161">
        <f ca="1">IF(Y439&gt;(Preenchimento!$AA$90*12),0,Fixa!Y439)</f>
        <v>0</v>
      </c>
      <c r="AM439" s="161">
        <f t="shared" ca="1" si="189"/>
        <v>12</v>
      </c>
      <c r="AN439" s="199">
        <f ca="1">IF(AQ439&gt;Preenchimento!$AA$90*12,0,1)</f>
        <v>0</v>
      </c>
      <c r="AO439" s="161" t="e">
        <f ca="1">1/((1+SAC!$AD$29)^AL439)</f>
        <v>#N/A</v>
      </c>
      <c r="AP439" s="82" t="e">
        <f t="shared" ca="1" si="180"/>
        <v>#N/A</v>
      </c>
      <c r="AQ439" s="82">
        <v>414</v>
      </c>
      <c r="AS439" s="477">
        <f t="shared" ca="1" si="188"/>
        <v>0</v>
      </c>
    </row>
    <row r="440" spans="1:45">
      <c r="A440" s="53">
        <v>415</v>
      </c>
      <c r="B440" s="249">
        <f ca="1">DATE(IF(MONTH(B439)=12,YEAR(B439)+1,YEAR(B439)),IF(MONTH(B439)=12,1,MONTH(B439)+1),MIN(DAY(Condições!$C$109),IF(IF(MONTH(B439)=12,1,MONTH(B439)+1)=2,IF(MOD(IF(MONTH(B439)=12,YEAR(B439)+1,YEAR(B439)),4)=0,29,28),IF(OR(IF(MONTH(B439)=12,1,MONTH(B439)+1)=4,IF(MONTH(B439)=12,1,MONTH(B439)+1)=6,IF(MONTH(B439)=12,1,MONTH(B439)+1)=9,IF(MONTH(B439)=12,1,MONTH(B439)+1)=11),30,DAY($B$25)))))</f>
        <v>58822</v>
      </c>
      <c r="C440" s="250" t="str">
        <f t="shared" si="163"/>
        <v/>
      </c>
      <c r="D440" s="251" t="e">
        <f t="shared" si="164"/>
        <v>#N/A</v>
      </c>
      <c r="E440" s="251">
        <f t="shared" si="165"/>
        <v>0</v>
      </c>
      <c r="F440" s="251">
        <f t="shared" si="166"/>
        <v>0</v>
      </c>
      <c r="G440" s="251">
        <f t="shared" si="167"/>
        <v>0</v>
      </c>
      <c r="H440" s="251" t="e">
        <f t="shared" si="168"/>
        <v>#VALUE!</v>
      </c>
      <c r="I440" s="251">
        <f t="shared" si="169"/>
        <v>0</v>
      </c>
      <c r="J440" s="251">
        <f t="shared" si="170"/>
        <v>0</v>
      </c>
      <c r="K440" s="251">
        <f t="shared" si="171"/>
        <v>0</v>
      </c>
      <c r="M440" s="224"/>
      <c r="N440" s="225">
        <f t="shared" si="172"/>
        <v>0</v>
      </c>
      <c r="O440" s="251" t="e">
        <f t="shared" si="184"/>
        <v>#N/A</v>
      </c>
      <c r="P440" s="251">
        <f t="shared" si="173"/>
        <v>0</v>
      </c>
      <c r="Q440" s="251">
        <f t="shared" si="185"/>
        <v>0</v>
      </c>
      <c r="R440" s="251">
        <f t="shared" si="186"/>
        <v>0</v>
      </c>
      <c r="S440" s="251" t="e">
        <f t="shared" si="187"/>
        <v>#VALUE!</v>
      </c>
      <c r="T440" s="251">
        <f t="shared" si="183"/>
        <v>0</v>
      </c>
      <c r="V440" s="199">
        <f t="shared" si="174"/>
        <v>0</v>
      </c>
      <c r="W440" s="161" t="e">
        <f t="shared" si="175"/>
        <v>#N/A</v>
      </c>
      <c r="X440" s="161" t="e">
        <f t="shared" si="176"/>
        <v>#N/A</v>
      </c>
      <c r="Y440" s="161">
        <f t="shared" si="181"/>
        <v>415</v>
      </c>
      <c r="Z440" s="161">
        <f t="shared" ca="1" si="182"/>
        <v>1</v>
      </c>
      <c r="AG440" s="114">
        <f t="shared" si="177"/>
        <v>0</v>
      </c>
      <c r="AH440" s="113"/>
      <c r="AI440" s="199">
        <f ca="1">IF(AL440=0,0,IF(AL440&gt;Preenchimento!$AA$88*12,0,IF($AC$53=AM440,0,1)))</f>
        <v>0</v>
      </c>
      <c r="AJ440" s="161" t="e">
        <f t="shared" ca="1" si="178"/>
        <v>#N/A</v>
      </c>
      <c r="AK440" s="161" t="e">
        <f t="shared" ca="1" si="179"/>
        <v>#N/A</v>
      </c>
      <c r="AL440" s="161">
        <f ca="1">IF(Y440&gt;(Preenchimento!$AA$90*12),0,Fixa!Y440)</f>
        <v>0</v>
      </c>
      <c r="AM440" s="161">
        <f t="shared" ca="1" si="189"/>
        <v>1</v>
      </c>
      <c r="AN440" s="199">
        <f ca="1">IF(AQ440&gt;Preenchimento!$AA$90*12,0,1)</f>
        <v>0</v>
      </c>
      <c r="AO440" s="161" t="e">
        <f ca="1">1/((1+SAC!$AD$29)^AL440)</f>
        <v>#N/A</v>
      </c>
      <c r="AP440" s="82" t="e">
        <f t="shared" ca="1" si="180"/>
        <v>#N/A</v>
      </c>
      <c r="AQ440" s="82">
        <v>415</v>
      </c>
      <c r="AS440" s="477">
        <f t="shared" ca="1" si="188"/>
        <v>0</v>
      </c>
    </row>
    <row r="441" spans="1:45">
      <c r="A441" s="53">
        <v>416</v>
      </c>
      <c r="B441" s="249">
        <f ca="1">DATE(IF(MONTH(B440)=12,YEAR(B440)+1,YEAR(B440)),IF(MONTH(B440)=12,1,MONTH(B440)+1),MIN(DAY(Condições!$C$109),IF(IF(MONTH(B440)=12,1,MONTH(B440)+1)=2,IF(MOD(IF(MONTH(B440)=12,YEAR(B440)+1,YEAR(B440)),4)=0,29,28),IF(OR(IF(MONTH(B440)=12,1,MONTH(B440)+1)=4,IF(MONTH(B440)=12,1,MONTH(B440)+1)=6,IF(MONTH(B440)=12,1,MONTH(B440)+1)=9,IF(MONTH(B440)=12,1,MONTH(B440)+1)=11),30,DAY($B$25)))))</f>
        <v>58853</v>
      </c>
      <c r="C441" s="250" t="str">
        <f t="shared" si="163"/>
        <v/>
      </c>
      <c r="D441" s="251" t="e">
        <f t="shared" si="164"/>
        <v>#N/A</v>
      </c>
      <c r="E441" s="251">
        <f t="shared" si="165"/>
        <v>0</v>
      </c>
      <c r="F441" s="251">
        <f t="shared" si="166"/>
        <v>0</v>
      </c>
      <c r="G441" s="251">
        <f t="shared" si="167"/>
        <v>0</v>
      </c>
      <c r="H441" s="251" t="e">
        <f t="shared" si="168"/>
        <v>#VALUE!</v>
      </c>
      <c r="I441" s="251">
        <f t="shared" si="169"/>
        <v>0</v>
      </c>
      <c r="J441" s="251">
        <f t="shared" si="170"/>
        <v>0</v>
      </c>
      <c r="K441" s="251">
        <f t="shared" si="171"/>
        <v>0</v>
      </c>
      <c r="M441" s="224"/>
      <c r="N441" s="225">
        <f t="shared" si="172"/>
        <v>0</v>
      </c>
      <c r="O441" s="251" t="e">
        <f t="shared" si="184"/>
        <v>#N/A</v>
      </c>
      <c r="P441" s="251">
        <f t="shared" si="173"/>
        <v>0</v>
      </c>
      <c r="Q441" s="251">
        <f t="shared" si="185"/>
        <v>0</v>
      </c>
      <c r="R441" s="251">
        <f t="shared" si="186"/>
        <v>0</v>
      </c>
      <c r="S441" s="251" t="e">
        <f t="shared" si="187"/>
        <v>#VALUE!</v>
      </c>
      <c r="T441" s="251">
        <f t="shared" si="183"/>
        <v>0</v>
      </c>
      <c r="V441" s="199">
        <f t="shared" si="174"/>
        <v>0</v>
      </c>
      <c r="W441" s="161" t="e">
        <f t="shared" si="175"/>
        <v>#N/A</v>
      </c>
      <c r="X441" s="161" t="e">
        <f t="shared" si="176"/>
        <v>#N/A</v>
      </c>
      <c r="Y441" s="161">
        <f t="shared" si="181"/>
        <v>416</v>
      </c>
      <c r="Z441" s="161">
        <f t="shared" ca="1" si="182"/>
        <v>2</v>
      </c>
      <c r="AG441" s="114">
        <f t="shared" si="177"/>
        <v>0</v>
      </c>
      <c r="AH441" s="113"/>
      <c r="AI441" s="199">
        <f ca="1">IF(AL441=0,0,IF(AL441&gt;Preenchimento!$AA$88*12,0,IF($AC$53=AM441,0,1)))</f>
        <v>0</v>
      </c>
      <c r="AJ441" s="161" t="e">
        <f t="shared" ca="1" si="178"/>
        <v>#N/A</v>
      </c>
      <c r="AK441" s="161" t="e">
        <f t="shared" ca="1" si="179"/>
        <v>#N/A</v>
      </c>
      <c r="AL441" s="161">
        <f ca="1">IF(Y441&gt;(Preenchimento!$AA$90*12),0,Fixa!Y441)</f>
        <v>0</v>
      </c>
      <c r="AM441" s="161">
        <f t="shared" ca="1" si="189"/>
        <v>2</v>
      </c>
      <c r="AN441" s="199">
        <f ca="1">IF(AQ441&gt;Preenchimento!$AA$90*12,0,1)</f>
        <v>0</v>
      </c>
      <c r="AO441" s="161" t="e">
        <f ca="1">1/((1+SAC!$AD$29)^AL441)</f>
        <v>#N/A</v>
      </c>
      <c r="AP441" s="82" t="e">
        <f t="shared" ca="1" si="180"/>
        <v>#N/A</v>
      </c>
      <c r="AQ441" s="82">
        <v>416</v>
      </c>
      <c r="AS441" s="477">
        <f t="shared" ca="1" si="188"/>
        <v>0</v>
      </c>
    </row>
    <row r="442" spans="1:45">
      <c r="A442" s="53">
        <v>417</v>
      </c>
      <c r="B442" s="249">
        <f ca="1">DATE(IF(MONTH(B441)=12,YEAR(B441)+1,YEAR(B441)),IF(MONTH(B441)=12,1,MONTH(B441)+1),MIN(DAY(Condições!$C$109),IF(IF(MONTH(B441)=12,1,MONTH(B441)+1)=2,IF(MOD(IF(MONTH(B441)=12,YEAR(B441)+1,YEAR(B441)),4)=0,29,28),IF(OR(IF(MONTH(B441)=12,1,MONTH(B441)+1)=4,IF(MONTH(B441)=12,1,MONTH(B441)+1)=6,IF(MONTH(B441)=12,1,MONTH(B441)+1)=9,IF(MONTH(B441)=12,1,MONTH(B441)+1)=11),30,DAY($B$25)))))</f>
        <v>58881</v>
      </c>
      <c r="C442" s="250" t="str">
        <f t="shared" si="163"/>
        <v/>
      </c>
      <c r="D442" s="251" t="e">
        <f t="shared" si="164"/>
        <v>#N/A</v>
      </c>
      <c r="E442" s="251">
        <f t="shared" si="165"/>
        <v>0</v>
      </c>
      <c r="F442" s="251">
        <f t="shared" si="166"/>
        <v>0</v>
      </c>
      <c r="G442" s="251">
        <f t="shared" si="167"/>
        <v>0</v>
      </c>
      <c r="H442" s="251" t="e">
        <f t="shared" si="168"/>
        <v>#VALUE!</v>
      </c>
      <c r="I442" s="251">
        <f t="shared" si="169"/>
        <v>0</v>
      </c>
      <c r="J442" s="251">
        <f t="shared" si="170"/>
        <v>0</v>
      </c>
      <c r="K442" s="251">
        <f t="shared" si="171"/>
        <v>0</v>
      </c>
      <c r="M442" s="224"/>
      <c r="N442" s="225">
        <f t="shared" si="172"/>
        <v>0</v>
      </c>
      <c r="O442" s="251" t="e">
        <f t="shared" si="184"/>
        <v>#N/A</v>
      </c>
      <c r="P442" s="251">
        <f t="shared" si="173"/>
        <v>0</v>
      </c>
      <c r="Q442" s="251">
        <f t="shared" si="185"/>
        <v>0</v>
      </c>
      <c r="R442" s="251">
        <f t="shared" si="186"/>
        <v>0</v>
      </c>
      <c r="S442" s="251" t="e">
        <f t="shared" si="187"/>
        <v>#VALUE!</v>
      </c>
      <c r="T442" s="251">
        <f t="shared" si="183"/>
        <v>0</v>
      </c>
      <c r="V442" s="199">
        <f t="shared" si="174"/>
        <v>0</v>
      </c>
      <c r="W442" s="161" t="e">
        <f t="shared" si="175"/>
        <v>#N/A</v>
      </c>
      <c r="X442" s="161" t="e">
        <f t="shared" si="176"/>
        <v>#N/A</v>
      </c>
      <c r="Y442" s="161">
        <f t="shared" si="181"/>
        <v>417</v>
      </c>
      <c r="Z442" s="161">
        <f t="shared" ca="1" si="182"/>
        <v>3</v>
      </c>
      <c r="AG442" s="114">
        <f t="shared" si="177"/>
        <v>0</v>
      </c>
      <c r="AH442" s="113"/>
      <c r="AI442" s="199">
        <f ca="1">IF(AL442=0,0,IF(AL442&gt;Preenchimento!$AA$88*12,0,IF($AC$53=AM442,0,1)))</f>
        <v>0</v>
      </c>
      <c r="AJ442" s="161" t="e">
        <f t="shared" ca="1" si="178"/>
        <v>#N/A</v>
      </c>
      <c r="AK442" s="161" t="e">
        <f t="shared" ca="1" si="179"/>
        <v>#N/A</v>
      </c>
      <c r="AL442" s="161">
        <f ca="1">IF(Y442&gt;(Preenchimento!$AA$90*12),0,Fixa!Y442)</f>
        <v>0</v>
      </c>
      <c r="AM442" s="161">
        <f t="shared" ca="1" si="189"/>
        <v>3</v>
      </c>
      <c r="AN442" s="199">
        <f ca="1">IF(AQ442&gt;Preenchimento!$AA$90*12,0,1)</f>
        <v>0</v>
      </c>
      <c r="AO442" s="161" t="e">
        <f ca="1">1/((1+SAC!$AD$29)^AL442)</f>
        <v>#N/A</v>
      </c>
      <c r="AP442" s="82" t="e">
        <f t="shared" ca="1" si="180"/>
        <v>#N/A</v>
      </c>
      <c r="AQ442" s="82">
        <v>417</v>
      </c>
      <c r="AS442" s="477">
        <f t="shared" ca="1" si="188"/>
        <v>0</v>
      </c>
    </row>
    <row r="443" spans="1:45">
      <c r="A443" s="53">
        <v>418</v>
      </c>
      <c r="B443" s="249">
        <f ca="1">DATE(IF(MONTH(B442)=12,YEAR(B442)+1,YEAR(B442)),IF(MONTH(B442)=12,1,MONTH(B442)+1),MIN(DAY(Condições!$C$109),IF(IF(MONTH(B442)=12,1,MONTH(B442)+1)=2,IF(MOD(IF(MONTH(B442)=12,YEAR(B442)+1,YEAR(B442)),4)=0,29,28),IF(OR(IF(MONTH(B442)=12,1,MONTH(B442)+1)=4,IF(MONTH(B442)=12,1,MONTH(B442)+1)=6,IF(MONTH(B442)=12,1,MONTH(B442)+1)=9,IF(MONTH(B442)=12,1,MONTH(B442)+1)=11),30,DAY($B$25)))))</f>
        <v>58912</v>
      </c>
      <c r="C443" s="250" t="str">
        <f t="shared" si="163"/>
        <v/>
      </c>
      <c r="D443" s="251" t="e">
        <f t="shared" si="164"/>
        <v>#N/A</v>
      </c>
      <c r="E443" s="251">
        <f t="shared" si="165"/>
        <v>0</v>
      </c>
      <c r="F443" s="251">
        <f t="shared" si="166"/>
        <v>0</v>
      </c>
      <c r="G443" s="251">
        <f t="shared" si="167"/>
        <v>0</v>
      </c>
      <c r="H443" s="251" t="e">
        <f t="shared" si="168"/>
        <v>#VALUE!</v>
      </c>
      <c r="I443" s="251">
        <f t="shared" si="169"/>
        <v>0</v>
      </c>
      <c r="J443" s="251">
        <f t="shared" si="170"/>
        <v>0</v>
      </c>
      <c r="K443" s="251">
        <f t="shared" si="171"/>
        <v>0</v>
      </c>
      <c r="M443" s="224"/>
      <c r="N443" s="225">
        <f t="shared" si="172"/>
        <v>0</v>
      </c>
      <c r="O443" s="251" t="e">
        <f t="shared" si="184"/>
        <v>#N/A</v>
      </c>
      <c r="P443" s="251">
        <f t="shared" si="173"/>
        <v>0</v>
      </c>
      <c r="Q443" s="251">
        <f t="shared" si="185"/>
        <v>0</v>
      </c>
      <c r="R443" s="251">
        <f t="shared" si="186"/>
        <v>0</v>
      </c>
      <c r="S443" s="251" t="e">
        <f t="shared" si="187"/>
        <v>#VALUE!</v>
      </c>
      <c r="T443" s="251">
        <f t="shared" si="183"/>
        <v>0</v>
      </c>
      <c r="V443" s="199">
        <f t="shared" si="174"/>
        <v>0</v>
      </c>
      <c r="W443" s="161" t="e">
        <f t="shared" si="175"/>
        <v>#N/A</v>
      </c>
      <c r="X443" s="161" t="e">
        <f t="shared" si="176"/>
        <v>#N/A</v>
      </c>
      <c r="Y443" s="161">
        <f t="shared" si="181"/>
        <v>418</v>
      </c>
      <c r="Z443" s="161">
        <f t="shared" ca="1" si="182"/>
        <v>4</v>
      </c>
      <c r="AG443" s="114">
        <f t="shared" si="177"/>
        <v>0</v>
      </c>
      <c r="AH443" s="113"/>
      <c r="AI443" s="199">
        <f ca="1">IF(AL443=0,0,IF(AL443&gt;Preenchimento!$AA$88*12,0,IF($AC$53=AM443,0,1)))</f>
        <v>0</v>
      </c>
      <c r="AJ443" s="161" t="e">
        <f t="shared" ca="1" si="178"/>
        <v>#N/A</v>
      </c>
      <c r="AK443" s="161" t="e">
        <f t="shared" ca="1" si="179"/>
        <v>#N/A</v>
      </c>
      <c r="AL443" s="161">
        <f ca="1">IF(Y443&gt;(Preenchimento!$AA$90*12),0,Fixa!Y443)</f>
        <v>0</v>
      </c>
      <c r="AM443" s="161">
        <f t="shared" ca="1" si="189"/>
        <v>4</v>
      </c>
      <c r="AN443" s="199">
        <f ca="1">IF(AQ443&gt;Preenchimento!$AA$90*12,0,1)</f>
        <v>0</v>
      </c>
      <c r="AO443" s="161" t="e">
        <f ca="1">1/((1+SAC!$AD$29)^AL443)</f>
        <v>#N/A</v>
      </c>
      <c r="AP443" s="82" t="e">
        <f t="shared" ca="1" si="180"/>
        <v>#N/A</v>
      </c>
      <c r="AQ443" s="82">
        <v>418</v>
      </c>
      <c r="AS443" s="477">
        <f t="shared" ca="1" si="188"/>
        <v>0</v>
      </c>
    </row>
    <row r="444" spans="1:45">
      <c r="A444" s="53">
        <v>419</v>
      </c>
      <c r="B444" s="249">
        <f ca="1">DATE(IF(MONTH(B443)=12,YEAR(B443)+1,YEAR(B443)),IF(MONTH(B443)=12,1,MONTH(B443)+1),MIN(DAY(Condições!$C$109),IF(IF(MONTH(B443)=12,1,MONTH(B443)+1)=2,IF(MOD(IF(MONTH(B443)=12,YEAR(B443)+1,YEAR(B443)),4)=0,29,28),IF(OR(IF(MONTH(B443)=12,1,MONTH(B443)+1)=4,IF(MONTH(B443)=12,1,MONTH(B443)+1)=6,IF(MONTH(B443)=12,1,MONTH(B443)+1)=9,IF(MONTH(B443)=12,1,MONTH(B443)+1)=11),30,DAY($B$25)))))</f>
        <v>58942</v>
      </c>
      <c r="C444" s="250" t="str">
        <f t="shared" si="163"/>
        <v/>
      </c>
      <c r="D444" s="251" t="e">
        <f t="shared" si="164"/>
        <v>#N/A</v>
      </c>
      <c r="E444" s="251">
        <f t="shared" si="165"/>
        <v>0</v>
      </c>
      <c r="F444" s="251">
        <f t="shared" si="166"/>
        <v>0</v>
      </c>
      <c r="G444" s="251">
        <f t="shared" si="167"/>
        <v>0</v>
      </c>
      <c r="H444" s="251" t="e">
        <f t="shared" si="168"/>
        <v>#VALUE!</v>
      </c>
      <c r="I444" s="251">
        <f t="shared" si="169"/>
        <v>0</v>
      </c>
      <c r="J444" s="251">
        <f t="shared" si="170"/>
        <v>0</v>
      </c>
      <c r="K444" s="251">
        <f t="shared" si="171"/>
        <v>0</v>
      </c>
      <c r="M444" s="224"/>
      <c r="N444" s="225">
        <f t="shared" si="172"/>
        <v>0</v>
      </c>
      <c r="O444" s="251" t="e">
        <f t="shared" si="184"/>
        <v>#N/A</v>
      </c>
      <c r="P444" s="251">
        <f t="shared" si="173"/>
        <v>0</v>
      </c>
      <c r="Q444" s="251">
        <f t="shared" si="185"/>
        <v>0</v>
      </c>
      <c r="R444" s="251">
        <f t="shared" si="186"/>
        <v>0</v>
      </c>
      <c r="S444" s="251" t="e">
        <f t="shared" si="187"/>
        <v>#VALUE!</v>
      </c>
      <c r="T444" s="251">
        <f t="shared" si="183"/>
        <v>0</v>
      </c>
      <c r="V444" s="199">
        <f t="shared" si="174"/>
        <v>0</v>
      </c>
      <c r="W444" s="161" t="e">
        <f t="shared" si="175"/>
        <v>#N/A</v>
      </c>
      <c r="X444" s="161" t="e">
        <f t="shared" si="176"/>
        <v>#N/A</v>
      </c>
      <c r="Y444" s="161">
        <f t="shared" si="181"/>
        <v>419</v>
      </c>
      <c r="Z444" s="161">
        <f t="shared" ca="1" si="182"/>
        <v>5</v>
      </c>
      <c r="AG444" s="114">
        <f t="shared" si="177"/>
        <v>0</v>
      </c>
      <c r="AH444" s="113"/>
      <c r="AI444" s="199">
        <f ca="1">IF(AL444=0,0,IF(AL444&gt;Preenchimento!$AA$88*12,0,IF($AC$53=AM444,0,1)))</f>
        <v>0</v>
      </c>
      <c r="AJ444" s="161" t="e">
        <f t="shared" ca="1" si="178"/>
        <v>#N/A</v>
      </c>
      <c r="AK444" s="161" t="e">
        <f t="shared" ca="1" si="179"/>
        <v>#N/A</v>
      </c>
      <c r="AL444" s="161">
        <f ca="1">IF(Y444&gt;(Preenchimento!$AA$90*12),0,Fixa!Y444)</f>
        <v>0</v>
      </c>
      <c r="AM444" s="161">
        <f t="shared" ca="1" si="189"/>
        <v>5</v>
      </c>
      <c r="AN444" s="199">
        <f ca="1">IF(AQ444&gt;Preenchimento!$AA$90*12,0,1)</f>
        <v>0</v>
      </c>
      <c r="AO444" s="161" t="e">
        <f ca="1">1/((1+SAC!$AD$29)^AL444)</f>
        <v>#N/A</v>
      </c>
      <c r="AP444" s="82" t="e">
        <f t="shared" ca="1" si="180"/>
        <v>#N/A</v>
      </c>
      <c r="AQ444" s="82">
        <v>419</v>
      </c>
      <c r="AS444" s="477">
        <f t="shared" ca="1" si="188"/>
        <v>0</v>
      </c>
    </row>
    <row r="445" spans="1:45">
      <c r="A445" s="53">
        <v>420</v>
      </c>
      <c r="B445" s="249">
        <f ca="1">DATE(IF(MONTH(B444)=12,YEAR(B444)+1,YEAR(B444)),IF(MONTH(B444)=12,1,MONTH(B444)+1),MIN(DAY(Condições!$C$109),IF(IF(MONTH(B444)=12,1,MONTH(B444)+1)=2,IF(MOD(IF(MONTH(B444)=12,YEAR(B444)+1,YEAR(B444)),4)=0,29,28),IF(OR(IF(MONTH(B444)=12,1,MONTH(B444)+1)=4,IF(MONTH(B444)=12,1,MONTH(B444)+1)=6,IF(MONTH(B444)=12,1,MONTH(B444)+1)=9,IF(MONTH(B444)=12,1,MONTH(B444)+1)=11),30,DAY($B$25)))))</f>
        <v>58973</v>
      </c>
      <c r="C445" s="250" t="str">
        <f t="shared" si="163"/>
        <v/>
      </c>
      <c r="D445" s="251" t="e">
        <f t="shared" si="164"/>
        <v>#N/A</v>
      </c>
      <c r="E445" s="251">
        <f t="shared" si="165"/>
        <v>0</v>
      </c>
      <c r="F445" s="251">
        <f t="shared" si="166"/>
        <v>0</v>
      </c>
      <c r="G445" s="251">
        <f t="shared" si="167"/>
        <v>0</v>
      </c>
      <c r="H445" s="251" t="e">
        <f t="shared" si="168"/>
        <v>#VALUE!</v>
      </c>
      <c r="I445" s="251">
        <f t="shared" si="169"/>
        <v>0</v>
      </c>
      <c r="J445" s="251">
        <f t="shared" si="170"/>
        <v>0</v>
      </c>
      <c r="K445" s="251">
        <f t="shared" si="171"/>
        <v>0</v>
      </c>
      <c r="M445" s="224"/>
      <c r="N445" s="225">
        <f t="shared" si="172"/>
        <v>0</v>
      </c>
      <c r="O445" s="251" t="e">
        <f t="shared" si="184"/>
        <v>#N/A</v>
      </c>
      <c r="P445" s="251">
        <f t="shared" si="173"/>
        <v>0</v>
      </c>
      <c r="Q445" s="251">
        <f t="shared" si="185"/>
        <v>0</v>
      </c>
      <c r="R445" s="251">
        <f t="shared" si="186"/>
        <v>0</v>
      </c>
      <c r="S445" s="251" t="e">
        <f t="shared" si="187"/>
        <v>#VALUE!</v>
      </c>
      <c r="T445" s="251">
        <f t="shared" si="183"/>
        <v>0</v>
      </c>
      <c r="V445" s="199">
        <f t="shared" si="174"/>
        <v>0</v>
      </c>
      <c r="W445" s="161" t="e">
        <f t="shared" si="175"/>
        <v>#N/A</v>
      </c>
      <c r="X445" s="161" t="e">
        <f t="shared" si="176"/>
        <v>#N/A</v>
      </c>
      <c r="Y445" s="161">
        <f t="shared" si="181"/>
        <v>420</v>
      </c>
      <c r="Z445" s="161">
        <f t="shared" ca="1" si="182"/>
        <v>6</v>
      </c>
      <c r="AG445" s="114">
        <f t="shared" si="177"/>
        <v>0</v>
      </c>
      <c r="AH445" s="113"/>
      <c r="AI445" s="199">
        <f ca="1">IF(AL445=0,0,IF(AL445&gt;Preenchimento!$AA$88*12,0,IF($AC$53=AM445,0,1)))</f>
        <v>0</v>
      </c>
      <c r="AJ445" s="161" t="e">
        <f t="shared" ca="1" si="178"/>
        <v>#N/A</v>
      </c>
      <c r="AK445" s="161" t="e">
        <f t="shared" ca="1" si="179"/>
        <v>#N/A</v>
      </c>
      <c r="AL445" s="161">
        <f ca="1">IF(Y445&gt;(Preenchimento!$AA$90*12),0,Fixa!Y445)</f>
        <v>0</v>
      </c>
      <c r="AM445" s="161">
        <f t="shared" ca="1" si="189"/>
        <v>6</v>
      </c>
      <c r="AN445" s="199">
        <f ca="1">IF(AQ445&gt;Preenchimento!$AA$90*12,0,1)</f>
        <v>0</v>
      </c>
      <c r="AO445" s="161" t="e">
        <f ca="1">1/((1+SAC!$AD$29)^AL445)</f>
        <v>#N/A</v>
      </c>
      <c r="AP445" s="82" t="e">
        <f t="shared" ca="1" si="180"/>
        <v>#N/A</v>
      </c>
      <c r="AQ445" s="82">
        <v>420</v>
      </c>
      <c r="AS445" s="477">
        <f t="shared" ca="1" si="188"/>
        <v>0</v>
      </c>
    </row>
    <row r="446" spans="1:45">
      <c r="B446" s="249">
        <f ca="1">DATE(IF(MONTH(B445)=12,YEAR(B445)+1,YEAR(B445)),IF(MONTH(B445)=12,1,MONTH(B445)+1),MIN(DAY(Condições!$C$109),IF(IF(MONTH(B445)=12,1,MONTH(B445)+1)=2,IF(MOD(IF(MONTH(B445)=12,YEAR(B445)+1,YEAR(B445)),4)=0,29,28),IF(OR(IF(MONTH(B445)=12,1,MONTH(B445)+1)=4,IF(MONTH(B445)=12,1,MONTH(B445)+1)=6,IF(MONTH(B445)=12,1,MONTH(B445)+1)=9,IF(MONTH(B445)=12,1,MONTH(B445)+1)=11),30,DAY($B$25)))))</f>
        <v>59003</v>
      </c>
      <c r="C446" s="250" t="str">
        <f t="shared" ref="C446:C505" si="190">IF(Y446&gt;$AC$46,"",Y446)</f>
        <v/>
      </c>
      <c r="D446" s="251" t="e">
        <f t="shared" ref="D446:D505" si="191">ROUND(O446,2)</f>
        <v>#N/A</v>
      </c>
      <c r="E446" s="251">
        <f t="shared" ref="E446:E505" si="192">ROUND(P446,2)</f>
        <v>0</v>
      </c>
      <c r="F446" s="251">
        <f t="shared" ref="F446:F505" si="193">ROUND(Q446,2)</f>
        <v>0</v>
      </c>
      <c r="G446" s="251">
        <f t="shared" ref="G446:G505" si="194">F446+E446</f>
        <v>0</v>
      </c>
      <c r="H446" s="251" t="e">
        <f t="shared" ref="H446:H505" si="195">ROUND(S446,2)</f>
        <v>#VALUE!</v>
      </c>
      <c r="I446" s="251">
        <f t="shared" ref="I446:I505" si="196">ROUND(T446+U446,2)</f>
        <v>0</v>
      </c>
      <c r="J446" s="251">
        <f t="shared" ref="J446:J505" si="197">IF(V446=0,0,$AC$49)</f>
        <v>0</v>
      </c>
      <c r="K446" s="251">
        <f t="shared" ref="K446:K505" si="198">IF(C446&gt;$AC$46,0,SUM(G446:J446))</f>
        <v>0</v>
      </c>
      <c r="N446" s="225">
        <f t="shared" ref="N446:N505" si="199">IF(C446&gt;$AC$46,0,(H446+I446)/(1.008^((12*(B446-$B$25))/365)))</f>
        <v>0</v>
      </c>
      <c r="O446" s="251" t="e">
        <f t="shared" ref="O446:O505" si="200">ROUND(O445*(1+$AC$47)-R446,$P$18)</f>
        <v>#N/A</v>
      </c>
      <c r="P446" s="251">
        <f t="shared" ref="P446:P505" si="201">ROUND(IF(V446=0,0,R446-Q446),$P$18)</f>
        <v>0</v>
      </c>
      <c r="Q446" s="251">
        <f t="shared" ref="Q446:Q505" si="202">ROUND(IF(V446=0,0,O445*$AC$47),$P$18)</f>
        <v>0</v>
      </c>
      <c r="R446" s="251">
        <f t="shared" ref="R446:R505" si="203">ROUND(IF(V446=0,0,$O$25/$X$18),$P$18)</f>
        <v>0</v>
      </c>
      <c r="S446" s="251" t="e">
        <f t="shared" ref="S446:S505" si="204">ROUND(IF(Y446&gt;$AC$46,"",$AC$52*O446),$P$18)</f>
        <v>#VALUE!</v>
      </c>
      <c r="T446" s="251">
        <f t="shared" ref="T446:T505" si="205">IF(C446&gt;=$AC$46,0,ROUND(IF(Y446&gt;$AC$46,"",$AC$51*$AC$44),$P$18))</f>
        <v>0</v>
      </c>
      <c r="V446" s="199">
        <f t="shared" ref="V446:V505" si="206">IF(Y446&gt;$AC$46,0,IF($AC$53=Z446,0,1))</f>
        <v>0</v>
      </c>
      <c r="W446" s="161" t="e">
        <f t="shared" ref="W446:W505" si="207">1/(1+$AC$47)^Y446</f>
        <v>#N/A</v>
      </c>
      <c r="X446" s="161" t="e">
        <f t="shared" ref="X446:X505" si="208">W446*V446</f>
        <v>#N/A</v>
      </c>
      <c r="Y446" s="161">
        <f t="shared" si="181"/>
        <v>421</v>
      </c>
      <c r="Z446" s="161">
        <f t="shared" ca="1" si="182"/>
        <v>7</v>
      </c>
      <c r="AG446" s="114">
        <f t="shared" ref="AG446:AG509" si="209">IF(C446&gt;$AC$46,0,R446+S446+T446+U446+J446)</f>
        <v>0</v>
      </c>
      <c r="AH446" s="113"/>
      <c r="AI446" s="199">
        <f ca="1">IF(AL446=0,0,IF(AL446&gt;Preenchimento!$AA$88*12,0,IF($AC$53=AM446,0,1)))</f>
        <v>0</v>
      </c>
      <c r="AJ446" s="161" t="e">
        <f t="shared" ref="AJ446:AJ505" ca="1" si="210">1/(1+$AC$47)^AL446</f>
        <v>#N/A</v>
      </c>
      <c r="AK446" s="161" t="e">
        <f t="shared" ref="AK446:AK505" ca="1" si="211">AJ446*AI446</f>
        <v>#N/A</v>
      </c>
      <c r="AL446" s="161">
        <f ca="1">IF(Y446&gt;(Preenchimento!$AA$90*12),0,Fixa!Y446)</f>
        <v>0</v>
      </c>
      <c r="AM446" s="161">
        <f t="shared" ca="1" si="189"/>
        <v>7</v>
      </c>
      <c r="AN446" s="199">
        <f ca="1">IF(AQ446&gt;Preenchimento!$AA$90*12,0,1)</f>
        <v>0</v>
      </c>
      <c r="AO446" s="161" t="e">
        <f ca="1">1/((1+SAC!$AD$29)^AL446)</f>
        <v>#N/A</v>
      </c>
      <c r="AP446" s="82" t="e">
        <f t="shared" ref="AP446:AP505" ca="1" si="212">AO446*AN446</f>
        <v>#N/A</v>
      </c>
      <c r="AQ446" s="82">
        <v>421</v>
      </c>
      <c r="AS446" s="477">
        <f t="shared" ca="1" si="188"/>
        <v>0</v>
      </c>
    </row>
    <row r="447" spans="1:45">
      <c r="B447" s="249">
        <f ca="1">DATE(IF(MONTH(B446)=12,YEAR(B446)+1,YEAR(B446)),IF(MONTH(B446)=12,1,MONTH(B446)+1),MIN(DAY(Condições!$C$109),IF(IF(MONTH(B446)=12,1,MONTH(B446)+1)=2,IF(MOD(IF(MONTH(B446)=12,YEAR(B446)+1,YEAR(B446)),4)=0,29,28),IF(OR(IF(MONTH(B446)=12,1,MONTH(B446)+1)=4,IF(MONTH(B446)=12,1,MONTH(B446)+1)=6,IF(MONTH(B446)=12,1,MONTH(B446)+1)=9,IF(MONTH(B446)=12,1,MONTH(B446)+1)=11),30,DAY($B$25)))))</f>
        <v>59034</v>
      </c>
      <c r="C447" s="250" t="str">
        <f t="shared" si="190"/>
        <v/>
      </c>
      <c r="D447" s="251" t="e">
        <f t="shared" si="191"/>
        <v>#N/A</v>
      </c>
      <c r="E447" s="251">
        <f t="shared" si="192"/>
        <v>0</v>
      </c>
      <c r="F447" s="251">
        <f t="shared" si="193"/>
        <v>0</v>
      </c>
      <c r="G447" s="251">
        <f t="shared" si="194"/>
        <v>0</v>
      </c>
      <c r="H447" s="251" t="e">
        <f t="shared" si="195"/>
        <v>#VALUE!</v>
      </c>
      <c r="I447" s="251">
        <f t="shared" si="196"/>
        <v>0</v>
      </c>
      <c r="J447" s="251">
        <f t="shared" si="197"/>
        <v>0</v>
      </c>
      <c r="K447" s="251">
        <f t="shared" si="198"/>
        <v>0</v>
      </c>
      <c r="N447" s="225">
        <f t="shared" si="199"/>
        <v>0</v>
      </c>
      <c r="O447" s="251" t="e">
        <f t="shared" si="200"/>
        <v>#N/A</v>
      </c>
      <c r="P447" s="251">
        <f t="shared" si="201"/>
        <v>0</v>
      </c>
      <c r="Q447" s="251">
        <f t="shared" si="202"/>
        <v>0</v>
      </c>
      <c r="R447" s="251">
        <f t="shared" si="203"/>
        <v>0</v>
      </c>
      <c r="S447" s="251" t="e">
        <f t="shared" si="204"/>
        <v>#VALUE!</v>
      </c>
      <c r="T447" s="251">
        <f t="shared" si="205"/>
        <v>0</v>
      </c>
      <c r="V447" s="199">
        <f t="shared" si="206"/>
        <v>0</v>
      </c>
      <c r="W447" s="161" t="e">
        <f t="shared" si="207"/>
        <v>#N/A</v>
      </c>
      <c r="X447" s="161" t="e">
        <f t="shared" si="208"/>
        <v>#N/A</v>
      </c>
      <c r="Y447" s="161">
        <f t="shared" si="181"/>
        <v>422</v>
      </c>
      <c r="Z447" s="161">
        <f t="shared" ca="1" si="182"/>
        <v>8</v>
      </c>
      <c r="AG447" s="114">
        <f t="shared" si="209"/>
        <v>0</v>
      </c>
      <c r="AH447" s="113"/>
      <c r="AI447" s="199">
        <f ca="1">IF(AL447=0,0,IF(AL447&gt;Preenchimento!$AA$88*12,0,IF($AC$53=AM447,0,1)))</f>
        <v>0</v>
      </c>
      <c r="AJ447" s="161" t="e">
        <f t="shared" ca="1" si="210"/>
        <v>#N/A</v>
      </c>
      <c r="AK447" s="161" t="e">
        <f t="shared" ca="1" si="211"/>
        <v>#N/A</v>
      </c>
      <c r="AL447" s="161">
        <f ca="1">IF(Y447&gt;(Preenchimento!$AA$90*12),0,Fixa!Y447)</f>
        <v>0</v>
      </c>
      <c r="AM447" s="161">
        <f t="shared" ca="1" si="189"/>
        <v>8</v>
      </c>
      <c r="AN447" s="199">
        <f ca="1">IF(AQ447&gt;Preenchimento!$AA$90*12,0,1)</f>
        <v>0</v>
      </c>
      <c r="AO447" s="161" t="e">
        <f ca="1">1/((1+SAC!$AD$29)^AL447)</f>
        <v>#N/A</v>
      </c>
      <c r="AP447" s="82" t="e">
        <f t="shared" ca="1" si="212"/>
        <v>#N/A</v>
      </c>
      <c r="AQ447" s="82">
        <v>422</v>
      </c>
      <c r="AS447" s="477">
        <f t="shared" ca="1" si="188"/>
        <v>0</v>
      </c>
    </row>
    <row r="448" spans="1:45">
      <c r="B448" s="249">
        <f ca="1">DATE(IF(MONTH(B447)=12,YEAR(B447)+1,YEAR(B447)),IF(MONTH(B447)=12,1,MONTH(B447)+1),MIN(DAY(Condições!$C$109),IF(IF(MONTH(B447)=12,1,MONTH(B447)+1)=2,IF(MOD(IF(MONTH(B447)=12,YEAR(B447)+1,YEAR(B447)),4)=0,29,28),IF(OR(IF(MONTH(B447)=12,1,MONTH(B447)+1)=4,IF(MONTH(B447)=12,1,MONTH(B447)+1)=6,IF(MONTH(B447)=12,1,MONTH(B447)+1)=9,IF(MONTH(B447)=12,1,MONTH(B447)+1)=11),30,DAY($B$25)))))</f>
        <v>59065</v>
      </c>
      <c r="C448" s="250" t="str">
        <f t="shared" si="190"/>
        <v/>
      </c>
      <c r="D448" s="251" t="e">
        <f t="shared" si="191"/>
        <v>#N/A</v>
      </c>
      <c r="E448" s="251">
        <f t="shared" si="192"/>
        <v>0</v>
      </c>
      <c r="F448" s="251">
        <f t="shared" si="193"/>
        <v>0</v>
      </c>
      <c r="G448" s="251">
        <f t="shared" si="194"/>
        <v>0</v>
      </c>
      <c r="H448" s="251" t="e">
        <f t="shared" si="195"/>
        <v>#VALUE!</v>
      </c>
      <c r="I448" s="251">
        <f t="shared" si="196"/>
        <v>0</v>
      </c>
      <c r="J448" s="251">
        <f t="shared" si="197"/>
        <v>0</v>
      </c>
      <c r="K448" s="251">
        <f t="shared" si="198"/>
        <v>0</v>
      </c>
      <c r="N448" s="225">
        <f t="shared" si="199"/>
        <v>0</v>
      </c>
      <c r="O448" s="251" t="e">
        <f t="shared" si="200"/>
        <v>#N/A</v>
      </c>
      <c r="P448" s="251">
        <f t="shared" si="201"/>
        <v>0</v>
      </c>
      <c r="Q448" s="251">
        <f t="shared" si="202"/>
        <v>0</v>
      </c>
      <c r="R448" s="251">
        <f t="shared" si="203"/>
        <v>0</v>
      </c>
      <c r="S448" s="251" t="e">
        <f t="shared" si="204"/>
        <v>#VALUE!</v>
      </c>
      <c r="T448" s="251">
        <f t="shared" si="205"/>
        <v>0</v>
      </c>
      <c r="V448" s="199">
        <f t="shared" si="206"/>
        <v>0</v>
      </c>
      <c r="W448" s="161" t="e">
        <f t="shared" si="207"/>
        <v>#N/A</v>
      </c>
      <c r="X448" s="161" t="e">
        <f t="shared" si="208"/>
        <v>#N/A</v>
      </c>
      <c r="Y448" s="161">
        <f t="shared" si="181"/>
        <v>423</v>
      </c>
      <c r="Z448" s="161">
        <f t="shared" ca="1" si="182"/>
        <v>9</v>
      </c>
      <c r="AG448" s="114">
        <f t="shared" si="209"/>
        <v>0</v>
      </c>
      <c r="AH448" s="113"/>
      <c r="AI448" s="199">
        <f ca="1">IF(AL448=0,0,IF(AL448&gt;Preenchimento!$AA$88*12,0,IF($AC$53=AM448,0,1)))</f>
        <v>0</v>
      </c>
      <c r="AJ448" s="161" t="e">
        <f t="shared" ca="1" si="210"/>
        <v>#N/A</v>
      </c>
      <c r="AK448" s="161" t="e">
        <f t="shared" ca="1" si="211"/>
        <v>#N/A</v>
      </c>
      <c r="AL448" s="161">
        <f ca="1">IF(Y448&gt;(Preenchimento!$AA$90*12),0,Fixa!Y448)</f>
        <v>0</v>
      </c>
      <c r="AM448" s="161">
        <f t="shared" ca="1" si="189"/>
        <v>9</v>
      </c>
      <c r="AN448" s="199">
        <f ca="1">IF(AQ448&gt;Preenchimento!$AA$90*12,0,1)</f>
        <v>0</v>
      </c>
      <c r="AO448" s="161" t="e">
        <f ca="1">1/((1+SAC!$AD$29)^AL448)</f>
        <v>#N/A</v>
      </c>
      <c r="AP448" s="82" t="e">
        <f t="shared" ca="1" si="212"/>
        <v>#N/A</v>
      </c>
      <c r="AQ448" s="82">
        <v>423</v>
      </c>
      <c r="AS448" s="477">
        <f t="shared" ca="1" si="188"/>
        <v>0</v>
      </c>
    </row>
    <row r="449" spans="2:45">
      <c r="B449" s="249">
        <f ca="1">DATE(IF(MONTH(B448)=12,YEAR(B448)+1,YEAR(B448)),IF(MONTH(B448)=12,1,MONTH(B448)+1),MIN(DAY(Condições!$C$109),IF(IF(MONTH(B448)=12,1,MONTH(B448)+1)=2,IF(MOD(IF(MONTH(B448)=12,YEAR(B448)+1,YEAR(B448)),4)=0,29,28),IF(OR(IF(MONTH(B448)=12,1,MONTH(B448)+1)=4,IF(MONTH(B448)=12,1,MONTH(B448)+1)=6,IF(MONTH(B448)=12,1,MONTH(B448)+1)=9,IF(MONTH(B448)=12,1,MONTH(B448)+1)=11),30,DAY($B$25)))))</f>
        <v>59095</v>
      </c>
      <c r="C449" s="250" t="str">
        <f t="shared" si="190"/>
        <v/>
      </c>
      <c r="D449" s="251" t="e">
        <f t="shared" si="191"/>
        <v>#N/A</v>
      </c>
      <c r="E449" s="251">
        <f t="shared" si="192"/>
        <v>0</v>
      </c>
      <c r="F449" s="251">
        <f t="shared" si="193"/>
        <v>0</v>
      </c>
      <c r="G449" s="251">
        <f t="shared" si="194"/>
        <v>0</v>
      </c>
      <c r="H449" s="251" t="e">
        <f t="shared" si="195"/>
        <v>#VALUE!</v>
      </c>
      <c r="I449" s="251">
        <f t="shared" si="196"/>
        <v>0</v>
      </c>
      <c r="J449" s="251">
        <f t="shared" si="197"/>
        <v>0</v>
      </c>
      <c r="K449" s="251">
        <f t="shared" si="198"/>
        <v>0</v>
      </c>
      <c r="N449" s="225">
        <f t="shared" si="199"/>
        <v>0</v>
      </c>
      <c r="O449" s="251" t="e">
        <f t="shared" si="200"/>
        <v>#N/A</v>
      </c>
      <c r="P449" s="251">
        <f t="shared" si="201"/>
        <v>0</v>
      </c>
      <c r="Q449" s="251">
        <f t="shared" si="202"/>
        <v>0</v>
      </c>
      <c r="R449" s="251">
        <f t="shared" si="203"/>
        <v>0</v>
      </c>
      <c r="S449" s="251" t="e">
        <f t="shared" si="204"/>
        <v>#VALUE!</v>
      </c>
      <c r="T449" s="251">
        <f t="shared" si="205"/>
        <v>0</v>
      </c>
      <c r="V449" s="199">
        <f t="shared" si="206"/>
        <v>0</v>
      </c>
      <c r="W449" s="161" t="e">
        <f t="shared" si="207"/>
        <v>#N/A</v>
      </c>
      <c r="X449" s="161" t="e">
        <f t="shared" si="208"/>
        <v>#N/A</v>
      </c>
      <c r="Y449" s="161">
        <f t="shared" si="181"/>
        <v>424</v>
      </c>
      <c r="Z449" s="161">
        <f t="shared" ca="1" si="182"/>
        <v>10</v>
      </c>
      <c r="AG449" s="114">
        <f t="shared" si="209"/>
        <v>0</v>
      </c>
      <c r="AH449" s="113"/>
      <c r="AI449" s="199">
        <f ca="1">IF(AL449=0,0,IF(AL449&gt;Preenchimento!$AA$88*12,0,IF($AC$53=AM449,0,1)))</f>
        <v>0</v>
      </c>
      <c r="AJ449" s="161" t="e">
        <f t="shared" ca="1" si="210"/>
        <v>#N/A</v>
      </c>
      <c r="AK449" s="161" t="e">
        <f t="shared" ca="1" si="211"/>
        <v>#N/A</v>
      </c>
      <c r="AL449" s="161">
        <f ca="1">IF(Y449&gt;(Preenchimento!$AA$90*12),0,Fixa!Y449)</f>
        <v>0</v>
      </c>
      <c r="AM449" s="161">
        <f t="shared" ca="1" si="189"/>
        <v>10</v>
      </c>
      <c r="AN449" s="199">
        <f ca="1">IF(AQ449&gt;Preenchimento!$AA$90*12,0,1)</f>
        <v>0</v>
      </c>
      <c r="AO449" s="161" t="e">
        <f ca="1">1/((1+SAC!$AD$29)^AL449)</f>
        <v>#N/A</v>
      </c>
      <c r="AP449" s="82" t="e">
        <f t="shared" ca="1" si="212"/>
        <v>#N/A</v>
      </c>
      <c r="AQ449" s="82">
        <v>424</v>
      </c>
      <c r="AS449" s="477">
        <f t="shared" ca="1" si="188"/>
        <v>0</v>
      </c>
    </row>
    <row r="450" spans="2:45">
      <c r="B450" s="249">
        <f ca="1">DATE(IF(MONTH(B449)=12,YEAR(B449)+1,YEAR(B449)),IF(MONTH(B449)=12,1,MONTH(B449)+1),MIN(DAY(Condições!$C$109),IF(IF(MONTH(B449)=12,1,MONTH(B449)+1)=2,IF(MOD(IF(MONTH(B449)=12,YEAR(B449)+1,YEAR(B449)),4)=0,29,28),IF(OR(IF(MONTH(B449)=12,1,MONTH(B449)+1)=4,IF(MONTH(B449)=12,1,MONTH(B449)+1)=6,IF(MONTH(B449)=12,1,MONTH(B449)+1)=9,IF(MONTH(B449)=12,1,MONTH(B449)+1)=11),30,DAY($B$25)))))</f>
        <v>59126</v>
      </c>
      <c r="C450" s="250" t="str">
        <f t="shared" si="190"/>
        <v/>
      </c>
      <c r="D450" s="251" t="e">
        <f t="shared" si="191"/>
        <v>#N/A</v>
      </c>
      <c r="E450" s="251">
        <f t="shared" si="192"/>
        <v>0</v>
      </c>
      <c r="F450" s="251">
        <f t="shared" si="193"/>
        <v>0</v>
      </c>
      <c r="G450" s="251">
        <f t="shared" si="194"/>
        <v>0</v>
      </c>
      <c r="H450" s="251" t="e">
        <f t="shared" si="195"/>
        <v>#VALUE!</v>
      </c>
      <c r="I450" s="251">
        <f t="shared" si="196"/>
        <v>0</v>
      </c>
      <c r="J450" s="251">
        <f t="shared" si="197"/>
        <v>0</v>
      </c>
      <c r="K450" s="251">
        <f t="shared" si="198"/>
        <v>0</v>
      </c>
      <c r="N450" s="225">
        <f t="shared" si="199"/>
        <v>0</v>
      </c>
      <c r="O450" s="251" t="e">
        <f t="shared" si="200"/>
        <v>#N/A</v>
      </c>
      <c r="P450" s="251">
        <f t="shared" si="201"/>
        <v>0</v>
      </c>
      <c r="Q450" s="251">
        <f t="shared" si="202"/>
        <v>0</v>
      </c>
      <c r="R450" s="251">
        <f t="shared" si="203"/>
        <v>0</v>
      </c>
      <c r="S450" s="251" t="e">
        <f t="shared" si="204"/>
        <v>#VALUE!</v>
      </c>
      <c r="T450" s="251">
        <f t="shared" si="205"/>
        <v>0</v>
      </c>
      <c r="V450" s="199">
        <f t="shared" si="206"/>
        <v>0</v>
      </c>
      <c r="W450" s="161" t="e">
        <f t="shared" si="207"/>
        <v>#N/A</v>
      </c>
      <c r="X450" s="161" t="e">
        <f t="shared" si="208"/>
        <v>#N/A</v>
      </c>
      <c r="Y450" s="161">
        <f t="shared" si="181"/>
        <v>425</v>
      </c>
      <c r="Z450" s="161">
        <f t="shared" ca="1" si="182"/>
        <v>11</v>
      </c>
      <c r="AG450" s="114">
        <f t="shared" si="209"/>
        <v>0</v>
      </c>
      <c r="AH450" s="113"/>
      <c r="AI450" s="199">
        <f ca="1">IF(AL450=0,0,IF(AL450&gt;Preenchimento!$AA$88*12,0,IF($AC$53=AM450,0,1)))</f>
        <v>0</v>
      </c>
      <c r="AJ450" s="161" t="e">
        <f t="shared" ca="1" si="210"/>
        <v>#N/A</v>
      </c>
      <c r="AK450" s="161" t="e">
        <f t="shared" ca="1" si="211"/>
        <v>#N/A</v>
      </c>
      <c r="AL450" s="161">
        <f ca="1">IF(Y450&gt;(Preenchimento!$AA$90*12),0,Fixa!Y450)</f>
        <v>0</v>
      </c>
      <c r="AM450" s="161">
        <f t="shared" ca="1" si="189"/>
        <v>11</v>
      </c>
      <c r="AN450" s="199">
        <f ca="1">IF(AQ450&gt;Preenchimento!$AA$90*12,0,1)</f>
        <v>0</v>
      </c>
      <c r="AO450" s="161" t="e">
        <f ca="1">1/((1+SAC!$AD$29)^AL450)</f>
        <v>#N/A</v>
      </c>
      <c r="AP450" s="82" t="e">
        <f t="shared" ca="1" si="212"/>
        <v>#N/A</v>
      </c>
      <c r="AQ450" s="82">
        <v>425</v>
      </c>
      <c r="AS450" s="477">
        <f t="shared" ca="1" si="188"/>
        <v>0</v>
      </c>
    </row>
    <row r="451" spans="2:45">
      <c r="B451" s="249">
        <f ca="1">DATE(IF(MONTH(B450)=12,YEAR(B450)+1,YEAR(B450)),IF(MONTH(B450)=12,1,MONTH(B450)+1),MIN(DAY(Condições!$C$109),IF(IF(MONTH(B450)=12,1,MONTH(B450)+1)=2,IF(MOD(IF(MONTH(B450)=12,YEAR(B450)+1,YEAR(B450)),4)=0,29,28),IF(OR(IF(MONTH(B450)=12,1,MONTH(B450)+1)=4,IF(MONTH(B450)=12,1,MONTH(B450)+1)=6,IF(MONTH(B450)=12,1,MONTH(B450)+1)=9,IF(MONTH(B450)=12,1,MONTH(B450)+1)=11),30,DAY($B$25)))))</f>
        <v>59156</v>
      </c>
      <c r="C451" s="250" t="str">
        <f t="shared" si="190"/>
        <v/>
      </c>
      <c r="D451" s="251" t="e">
        <f t="shared" si="191"/>
        <v>#N/A</v>
      </c>
      <c r="E451" s="251">
        <f t="shared" si="192"/>
        <v>0</v>
      </c>
      <c r="F451" s="251">
        <f t="shared" si="193"/>
        <v>0</v>
      </c>
      <c r="G451" s="251">
        <f t="shared" si="194"/>
        <v>0</v>
      </c>
      <c r="H451" s="251" t="e">
        <f t="shared" si="195"/>
        <v>#VALUE!</v>
      </c>
      <c r="I451" s="251">
        <f t="shared" si="196"/>
        <v>0</v>
      </c>
      <c r="J451" s="251">
        <f t="shared" si="197"/>
        <v>0</v>
      </c>
      <c r="K451" s="251">
        <f t="shared" si="198"/>
        <v>0</v>
      </c>
      <c r="N451" s="225">
        <f t="shared" si="199"/>
        <v>0</v>
      </c>
      <c r="O451" s="251" t="e">
        <f t="shared" si="200"/>
        <v>#N/A</v>
      </c>
      <c r="P451" s="251">
        <f t="shared" si="201"/>
        <v>0</v>
      </c>
      <c r="Q451" s="251">
        <f t="shared" si="202"/>
        <v>0</v>
      </c>
      <c r="R451" s="251">
        <f t="shared" si="203"/>
        <v>0</v>
      </c>
      <c r="S451" s="251" t="e">
        <f t="shared" si="204"/>
        <v>#VALUE!</v>
      </c>
      <c r="T451" s="251">
        <f t="shared" si="205"/>
        <v>0</v>
      </c>
      <c r="V451" s="199">
        <f t="shared" si="206"/>
        <v>0</v>
      </c>
      <c r="W451" s="161" t="e">
        <f t="shared" si="207"/>
        <v>#N/A</v>
      </c>
      <c r="X451" s="161" t="e">
        <f t="shared" si="208"/>
        <v>#N/A</v>
      </c>
      <c r="Y451" s="161">
        <f t="shared" si="181"/>
        <v>426</v>
      </c>
      <c r="Z451" s="161">
        <f t="shared" ca="1" si="182"/>
        <v>12</v>
      </c>
      <c r="AG451" s="114">
        <f t="shared" si="209"/>
        <v>0</v>
      </c>
      <c r="AH451" s="113"/>
      <c r="AI451" s="199">
        <f ca="1">IF(AL451=0,0,IF(AL451&gt;Preenchimento!$AA$88*12,0,IF($AC$53=AM451,0,1)))</f>
        <v>0</v>
      </c>
      <c r="AJ451" s="161" t="e">
        <f t="shared" ca="1" si="210"/>
        <v>#N/A</v>
      </c>
      <c r="AK451" s="161" t="e">
        <f t="shared" ca="1" si="211"/>
        <v>#N/A</v>
      </c>
      <c r="AL451" s="161">
        <f ca="1">IF(Y451&gt;(Preenchimento!$AA$90*12),0,Fixa!Y451)</f>
        <v>0</v>
      </c>
      <c r="AM451" s="161">
        <f t="shared" ca="1" si="189"/>
        <v>12</v>
      </c>
      <c r="AN451" s="199">
        <f ca="1">IF(AQ451&gt;Preenchimento!$AA$90*12,0,1)</f>
        <v>0</v>
      </c>
      <c r="AO451" s="161" t="e">
        <f ca="1">1/((1+SAC!$AD$29)^AL451)</f>
        <v>#N/A</v>
      </c>
      <c r="AP451" s="82" t="e">
        <f t="shared" ca="1" si="212"/>
        <v>#N/A</v>
      </c>
      <c r="AQ451" s="82">
        <v>426</v>
      </c>
      <c r="AS451" s="477">
        <f t="shared" ca="1" si="188"/>
        <v>0</v>
      </c>
    </row>
    <row r="452" spans="2:45">
      <c r="B452" s="249">
        <f ca="1">DATE(IF(MONTH(B451)=12,YEAR(B451)+1,YEAR(B451)),IF(MONTH(B451)=12,1,MONTH(B451)+1),MIN(DAY(Condições!$C$109),IF(IF(MONTH(B451)=12,1,MONTH(B451)+1)=2,IF(MOD(IF(MONTH(B451)=12,YEAR(B451)+1,YEAR(B451)),4)=0,29,28),IF(OR(IF(MONTH(B451)=12,1,MONTH(B451)+1)=4,IF(MONTH(B451)=12,1,MONTH(B451)+1)=6,IF(MONTH(B451)=12,1,MONTH(B451)+1)=9,IF(MONTH(B451)=12,1,MONTH(B451)+1)=11),30,DAY($B$25)))))</f>
        <v>59187</v>
      </c>
      <c r="C452" s="250" t="str">
        <f t="shared" si="190"/>
        <v/>
      </c>
      <c r="D452" s="251" t="e">
        <f t="shared" si="191"/>
        <v>#N/A</v>
      </c>
      <c r="E452" s="251">
        <f t="shared" si="192"/>
        <v>0</v>
      </c>
      <c r="F452" s="251">
        <f t="shared" si="193"/>
        <v>0</v>
      </c>
      <c r="G452" s="251">
        <f t="shared" si="194"/>
        <v>0</v>
      </c>
      <c r="H452" s="251" t="e">
        <f t="shared" si="195"/>
        <v>#VALUE!</v>
      </c>
      <c r="I452" s="251">
        <f t="shared" si="196"/>
        <v>0</v>
      </c>
      <c r="J452" s="251">
        <f t="shared" si="197"/>
        <v>0</v>
      </c>
      <c r="K452" s="251">
        <f t="shared" si="198"/>
        <v>0</v>
      </c>
      <c r="N452" s="225">
        <f t="shared" si="199"/>
        <v>0</v>
      </c>
      <c r="O452" s="251" t="e">
        <f t="shared" si="200"/>
        <v>#N/A</v>
      </c>
      <c r="P452" s="251">
        <f t="shared" si="201"/>
        <v>0</v>
      </c>
      <c r="Q452" s="251">
        <f t="shared" si="202"/>
        <v>0</v>
      </c>
      <c r="R452" s="251">
        <f t="shared" si="203"/>
        <v>0</v>
      </c>
      <c r="S452" s="251" t="e">
        <f t="shared" si="204"/>
        <v>#VALUE!</v>
      </c>
      <c r="T452" s="251">
        <f t="shared" si="205"/>
        <v>0</v>
      </c>
      <c r="V452" s="199">
        <f t="shared" si="206"/>
        <v>0</v>
      </c>
      <c r="W452" s="161" t="e">
        <f t="shared" si="207"/>
        <v>#N/A</v>
      </c>
      <c r="X452" s="161" t="e">
        <f t="shared" si="208"/>
        <v>#N/A</v>
      </c>
      <c r="Y452" s="161">
        <f t="shared" si="181"/>
        <v>427</v>
      </c>
      <c r="Z452" s="161">
        <f t="shared" ca="1" si="182"/>
        <v>1</v>
      </c>
      <c r="AG452" s="114">
        <f t="shared" si="209"/>
        <v>0</v>
      </c>
      <c r="AH452" s="113"/>
      <c r="AI452" s="199">
        <f ca="1">IF(AL452=0,0,IF(AL452&gt;Preenchimento!$AA$88*12,0,IF($AC$53=AM452,0,1)))</f>
        <v>0</v>
      </c>
      <c r="AJ452" s="161" t="e">
        <f t="shared" ca="1" si="210"/>
        <v>#N/A</v>
      </c>
      <c r="AK452" s="161" t="e">
        <f t="shared" ca="1" si="211"/>
        <v>#N/A</v>
      </c>
      <c r="AL452" s="161">
        <f ca="1">IF(Y452&gt;(Preenchimento!$AA$90*12),0,Fixa!Y452)</f>
        <v>0</v>
      </c>
      <c r="AM452" s="161">
        <f t="shared" ca="1" si="189"/>
        <v>1</v>
      </c>
      <c r="AN452" s="199">
        <f ca="1">IF(AQ452&gt;Preenchimento!$AA$90*12,0,1)</f>
        <v>0</v>
      </c>
      <c r="AO452" s="161" t="e">
        <f ca="1">1/((1+SAC!$AD$29)^AL452)</f>
        <v>#N/A</v>
      </c>
      <c r="AP452" s="82" t="e">
        <f t="shared" ca="1" si="212"/>
        <v>#N/A</v>
      </c>
      <c r="AQ452" s="82">
        <v>427</v>
      </c>
      <c r="AS452" s="477">
        <f t="shared" ca="1" si="188"/>
        <v>0</v>
      </c>
    </row>
    <row r="453" spans="2:45">
      <c r="B453" s="249">
        <f ca="1">DATE(IF(MONTH(B452)=12,YEAR(B452)+1,YEAR(B452)),IF(MONTH(B452)=12,1,MONTH(B452)+1),MIN(DAY(Condições!$C$109),IF(IF(MONTH(B452)=12,1,MONTH(B452)+1)=2,IF(MOD(IF(MONTH(B452)=12,YEAR(B452)+1,YEAR(B452)),4)=0,29,28),IF(OR(IF(MONTH(B452)=12,1,MONTH(B452)+1)=4,IF(MONTH(B452)=12,1,MONTH(B452)+1)=6,IF(MONTH(B452)=12,1,MONTH(B452)+1)=9,IF(MONTH(B452)=12,1,MONTH(B452)+1)=11),30,DAY($B$25)))))</f>
        <v>59218</v>
      </c>
      <c r="C453" s="250" t="str">
        <f t="shared" si="190"/>
        <v/>
      </c>
      <c r="D453" s="251" t="e">
        <f t="shared" si="191"/>
        <v>#N/A</v>
      </c>
      <c r="E453" s="251">
        <f t="shared" si="192"/>
        <v>0</v>
      </c>
      <c r="F453" s="251">
        <f t="shared" si="193"/>
        <v>0</v>
      </c>
      <c r="G453" s="251">
        <f t="shared" si="194"/>
        <v>0</v>
      </c>
      <c r="H453" s="251" t="e">
        <f t="shared" si="195"/>
        <v>#VALUE!</v>
      </c>
      <c r="I453" s="251">
        <f t="shared" si="196"/>
        <v>0</v>
      </c>
      <c r="J453" s="251">
        <f t="shared" si="197"/>
        <v>0</v>
      </c>
      <c r="K453" s="251">
        <f t="shared" si="198"/>
        <v>0</v>
      </c>
      <c r="N453" s="225">
        <f t="shared" si="199"/>
        <v>0</v>
      </c>
      <c r="O453" s="251" t="e">
        <f t="shared" si="200"/>
        <v>#N/A</v>
      </c>
      <c r="P453" s="251">
        <f t="shared" si="201"/>
        <v>0</v>
      </c>
      <c r="Q453" s="251">
        <f t="shared" si="202"/>
        <v>0</v>
      </c>
      <c r="R453" s="251">
        <f t="shared" si="203"/>
        <v>0</v>
      </c>
      <c r="S453" s="251" t="e">
        <f t="shared" si="204"/>
        <v>#VALUE!</v>
      </c>
      <c r="T453" s="251">
        <f t="shared" si="205"/>
        <v>0</v>
      </c>
      <c r="V453" s="199">
        <f t="shared" si="206"/>
        <v>0</v>
      </c>
      <c r="W453" s="161" t="e">
        <f t="shared" si="207"/>
        <v>#N/A</v>
      </c>
      <c r="X453" s="161" t="e">
        <f t="shared" si="208"/>
        <v>#N/A</v>
      </c>
      <c r="Y453" s="161">
        <f t="shared" si="181"/>
        <v>428</v>
      </c>
      <c r="Z453" s="161">
        <f t="shared" ca="1" si="182"/>
        <v>2</v>
      </c>
      <c r="AG453" s="114">
        <f t="shared" si="209"/>
        <v>0</v>
      </c>
      <c r="AH453" s="113"/>
      <c r="AI453" s="199">
        <f ca="1">IF(AL453=0,0,IF(AL453&gt;Preenchimento!$AA$88*12,0,IF($AC$53=AM453,0,1)))</f>
        <v>0</v>
      </c>
      <c r="AJ453" s="161" t="e">
        <f t="shared" ca="1" si="210"/>
        <v>#N/A</v>
      </c>
      <c r="AK453" s="161" t="e">
        <f t="shared" ca="1" si="211"/>
        <v>#N/A</v>
      </c>
      <c r="AL453" s="161">
        <f ca="1">IF(Y453&gt;(Preenchimento!$AA$90*12),0,Fixa!Y453)</f>
        <v>0</v>
      </c>
      <c r="AM453" s="161">
        <f t="shared" ca="1" si="189"/>
        <v>2</v>
      </c>
      <c r="AN453" s="199">
        <f ca="1">IF(AQ453&gt;Preenchimento!$AA$90*12,0,1)</f>
        <v>0</v>
      </c>
      <c r="AO453" s="161" t="e">
        <f ca="1">1/((1+SAC!$AD$29)^AL453)</f>
        <v>#N/A</v>
      </c>
      <c r="AP453" s="82" t="e">
        <f t="shared" ca="1" si="212"/>
        <v>#N/A</v>
      </c>
      <c r="AQ453" s="82">
        <v>428</v>
      </c>
      <c r="AS453" s="477">
        <f t="shared" ca="1" si="188"/>
        <v>0</v>
      </c>
    </row>
    <row r="454" spans="2:45">
      <c r="B454" s="249">
        <f ca="1">DATE(IF(MONTH(B453)=12,YEAR(B453)+1,YEAR(B453)),IF(MONTH(B453)=12,1,MONTH(B453)+1),MIN(DAY(Condições!$C$109),IF(IF(MONTH(B453)=12,1,MONTH(B453)+1)=2,IF(MOD(IF(MONTH(B453)=12,YEAR(B453)+1,YEAR(B453)),4)=0,29,28),IF(OR(IF(MONTH(B453)=12,1,MONTH(B453)+1)=4,IF(MONTH(B453)=12,1,MONTH(B453)+1)=6,IF(MONTH(B453)=12,1,MONTH(B453)+1)=9,IF(MONTH(B453)=12,1,MONTH(B453)+1)=11),30,DAY($B$25)))))</f>
        <v>59246</v>
      </c>
      <c r="C454" s="250" t="str">
        <f t="shared" si="190"/>
        <v/>
      </c>
      <c r="D454" s="251" t="e">
        <f t="shared" si="191"/>
        <v>#N/A</v>
      </c>
      <c r="E454" s="251">
        <f t="shared" si="192"/>
        <v>0</v>
      </c>
      <c r="F454" s="251">
        <f t="shared" si="193"/>
        <v>0</v>
      </c>
      <c r="G454" s="251">
        <f t="shared" si="194"/>
        <v>0</v>
      </c>
      <c r="H454" s="251" t="e">
        <f t="shared" si="195"/>
        <v>#VALUE!</v>
      </c>
      <c r="I454" s="251">
        <f t="shared" si="196"/>
        <v>0</v>
      </c>
      <c r="J454" s="251">
        <f t="shared" si="197"/>
        <v>0</v>
      </c>
      <c r="K454" s="251">
        <f t="shared" si="198"/>
        <v>0</v>
      </c>
      <c r="N454" s="225">
        <f t="shared" si="199"/>
        <v>0</v>
      </c>
      <c r="O454" s="251" t="e">
        <f t="shared" si="200"/>
        <v>#N/A</v>
      </c>
      <c r="P454" s="251">
        <f t="shared" si="201"/>
        <v>0</v>
      </c>
      <c r="Q454" s="251">
        <f t="shared" si="202"/>
        <v>0</v>
      </c>
      <c r="R454" s="251">
        <f t="shared" si="203"/>
        <v>0</v>
      </c>
      <c r="S454" s="251" t="e">
        <f t="shared" si="204"/>
        <v>#VALUE!</v>
      </c>
      <c r="T454" s="251">
        <f t="shared" si="205"/>
        <v>0</v>
      </c>
      <c r="V454" s="199">
        <f t="shared" si="206"/>
        <v>0</v>
      </c>
      <c r="W454" s="161" t="e">
        <f t="shared" si="207"/>
        <v>#N/A</v>
      </c>
      <c r="X454" s="161" t="e">
        <f t="shared" si="208"/>
        <v>#N/A</v>
      </c>
      <c r="Y454" s="161">
        <f t="shared" si="181"/>
        <v>429</v>
      </c>
      <c r="Z454" s="161">
        <f t="shared" ca="1" si="182"/>
        <v>3</v>
      </c>
      <c r="AG454" s="114">
        <f t="shared" si="209"/>
        <v>0</v>
      </c>
      <c r="AH454" s="113"/>
      <c r="AI454" s="199">
        <f ca="1">IF(AL454=0,0,IF(AL454&gt;Preenchimento!$AA$88*12,0,IF($AC$53=AM454,0,1)))</f>
        <v>0</v>
      </c>
      <c r="AJ454" s="161" t="e">
        <f t="shared" ca="1" si="210"/>
        <v>#N/A</v>
      </c>
      <c r="AK454" s="161" t="e">
        <f t="shared" ca="1" si="211"/>
        <v>#N/A</v>
      </c>
      <c r="AL454" s="161">
        <f ca="1">IF(Y454&gt;(Preenchimento!$AA$90*12),0,Fixa!Y454)</f>
        <v>0</v>
      </c>
      <c r="AM454" s="161">
        <f t="shared" ca="1" si="189"/>
        <v>3</v>
      </c>
      <c r="AN454" s="199">
        <f ca="1">IF(AQ454&gt;Preenchimento!$AA$90*12,0,1)</f>
        <v>0</v>
      </c>
      <c r="AO454" s="161" t="e">
        <f ca="1">1/((1+SAC!$AD$29)^AL454)</f>
        <v>#N/A</v>
      </c>
      <c r="AP454" s="82" t="e">
        <f t="shared" ca="1" si="212"/>
        <v>#N/A</v>
      </c>
      <c r="AQ454" s="82">
        <v>429</v>
      </c>
      <c r="AS454" s="477">
        <f t="shared" ca="1" si="188"/>
        <v>0</v>
      </c>
    </row>
    <row r="455" spans="2:45">
      <c r="B455" s="249">
        <f ca="1">DATE(IF(MONTH(B454)=12,YEAR(B454)+1,YEAR(B454)),IF(MONTH(B454)=12,1,MONTH(B454)+1),MIN(DAY(Condições!$C$109),IF(IF(MONTH(B454)=12,1,MONTH(B454)+1)=2,IF(MOD(IF(MONTH(B454)=12,YEAR(B454)+1,YEAR(B454)),4)=0,29,28),IF(OR(IF(MONTH(B454)=12,1,MONTH(B454)+1)=4,IF(MONTH(B454)=12,1,MONTH(B454)+1)=6,IF(MONTH(B454)=12,1,MONTH(B454)+1)=9,IF(MONTH(B454)=12,1,MONTH(B454)+1)=11),30,DAY($B$25)))))</f>
        <v>59277</v>
      </c>
      <c r="C455" s="250" t="str">
        <f t="shared" si="190"/>
        <v/>
      </c>
      <c r="D455" s="251" t="e">
        <f t="shared" si="191"/>
        <v>#N/A</v>
      </c>
      <c r="E455" s="251">
        <f t="shared" si="192"/>
        <v>0</v>
      </c>
      <c r="F455" s="251">
        <f t="shared" si="193"/>
        <v>0</v>
      </c>
      <c r="G455" s="251">
        <f t="shared" si="194"/>
        <v>0</v>
      </c>
      <c r="H455" s="251" t="e">
        <f t="shared" si="195"/>
        <v>#VALUE!</v>
      </c>
      <c r="I455" s="251">
        <f t="shared" si="196"/>
        <v>0</v>
      </c>
      <c r="J455" s="251">
        <f t="shared" si="197"/>
        <v>0</v>
      </c>
      <c r="K455" s="251">
        <f t="shared" si="198"/>
        <v>0</v>
      </c>
      <c r="N455" s="225">
        <f t="shared" si="199"/>
        <v>0</v>
      </c>
      <c r="O455" s="251" t="e">
        <f t="shared" si="200"/>
        <v>#N/A</v>
      </c>
      <c r="P455" s="251">
        <f t="shared" si="201"/>
        <v>0</v>
      </c>
      <c r="Q455" s="251">
        <f t="shared" si="202"/>
        <v>0</v>
      </c>
      <c r="R455" s="251">
        <f t="shared" si="203"/>
        <v>0</v>
      </c>
      <c r="S455" s="251" t="e">
        <f t="shared" si="204"/>
        <v>#VALUE!</v>
      </c>
      <c r="T455" s="251">
        <f t="shared" si="205"/>
        <v>0</v>
      </c>
      <c r="V455" s="199">
        <f t="shared" si="206"/>
        <v>0</v>
      </c>
      <c r="W455" s="161" t="e">
        <f t="shared" si="207"/>
        <v>#N/A</v>
      </c>
      <c r="X455" s="161" t="e">
        <f t="shared" si="208"/>
        <v>#N/A</v>
      </c>
      <c r="Y455" s="161">
        <f t="shared" si="181"/>
        <v>430</v>
      </c>
      <c r="Z455" s="161">
        <f t="shared" ca="1" si="182"/>
        <v>4</v>
      </c>
      <c r="AG455" s="114">
        <f t="shared" si="209"/>
        <v>0</v>
      </c>
      <c r="AH455" s="113"/>
      <c r="AI455" s="199">
        <f ca="1">IF(AL455=0,0,IF(AL455&gt;Preenchimento!$AA$88*12,0,IF($AC$53=AM455,0,1)))</f>
        <v>0</v>
      </c>
      <c r="AJ455" s="161" t="e">
        <f t="shared" ca="1" si="210"/>
        <v>#N/A</v>
      </c>
      <c r="AK455" s="161" t="e">
        <f t="shared" ca="1" si="211"/>
        <v>#N/A</v>
      </c>
      <c r="AL455" s="161">
        <f ca="1">IF(Y455&gt;(Preenchimento!$AA$90*12),0,Fixa!Y455)</f>
        <v>0</v>
      </c>
      <c r="AM455" s="161">
        <f t="shared" ca="1" si="189"/>
        <v>4</v>
      </c>
      <c r="AN455" s="199">
        <f ca="1">IF(AQ455&gt;Preenchimento!$AA$90*12,0,1)</f>
        <v>0</v>
      </c>
      <c r="AO455" s="161" t="e">
        <f ca="1">1/((1+SAC!$AD$29)^AL455)</f>
        <v>#N/A</v>
      </c>
      <c r="AP455" s="82" t="e">
        <f t="shared" ca="1" si="212"/>
        <v>#N/A</v>
      </c>
      <c r="AQ455" s="82">
        <v>430</v>
      </c>
      <c r="AS455" s="477">
        <f t="shared" ca="1" si="188"/>
        <v>0</v>
      </c>
    </row>
    <row r="456" spans="2:45">
      <c r="B456" s="249">
        <f ca="1">DATE(IF(MONTH(B455)=12,YEAR(B455)+1,YEAR(B455)),IF(MONTH(B455)=12,1,MONTH(B455)+1),MIN(DAY(Condições!$C$109),IF(IF(MONTH(B455)=12,1,MONTH(B455)+1)=2,IF(MOD(IF(MONTH(B455)=12,YEAR(B455)+1,YEAR(B455)),4)=0,29,28),IF(OR(IF(MONTH(B455)=12,1,MONTH(B455)+1)=4,IF(MONTH(B455)=12,1,MONTH(B455)+1)=6,IF(MONTH(B455)=12,1,MONTH(B455)+1)=9,IF(MONTH(B455)=12,1,MONTH(B455)+1)=11),30,DAY($B$25)))))</f>
        <v>59307</v>
      </c>
      <c r="C456" s="250" t="str">
        <f t="shared" si="190"/>
        <v/>
      </c>
      <c r="D456" s="251" t="e">
        <f t="shared" si="191"/>
        <v>#N/A</v>
      </c>
      <c r="E456" s="251">
        <f t="shared" si="192"/>
        <v>0</v>
      </c>
      <c r="F456" s="251">
        <f t="shared" si="193"/>
        <v>0</v>
      </c>
      <c r="G456" s="251">
        <f t="shared" si="194"/>
        <v>0</v>
      </c>
      <c r="H456" s="251" t="e">
        <f t="shared" si="195"/>
        <v>#VALUE!</v>
      </c>
      <c r="I456" s="251">
        <f t="shared" si="196"/>
        <v>0</v>
      </c>
      <c r="J456" s="251">
        <f t="shared" si="197"/>
        <v>0</v>
      </c>
      <c r="K456" s="251">
        <f t="shared" si="198"/>
        <v>0</v>
      </c>
      <c r="N456" s="225">
        <f t="shared" si="199"/>
        <v>0</v>
      </c>
      <c r="O456" s="251" t="e">
        <f t="shared" si="200"/>
        <v>#N/A</v>
      </c>
      <c r="P456" s="251">
        <f t="shared" si="201"/>
        <v>0</v>
      </c>
      <c r="Q456" s="251">
        <f t="shared" si="202"/>
        <v>0</v>
      </c>
      <c r="R456" s="251">
        <f t="shared" si="203"/>
        <v>0</v>
      </c>
      <c r="S456" s="251" t="e">
        <f t="shared" si="204"/>
        <v>#VALUE!</v>
      </c>
      <c r="T456" s="251">
        <f t="shared" si="205"/>
        <v>0</v>
      </c>
      <c r="V456" s="199">
        <f t="shared" si="206"/>
        <v>0</v>
      </c>
      <c r="W456" s="161" t="e">
        <f t="shared" si="207"/>
        <v>#N/A</v>
      </c>
      <c r="X456" s="161" t="e">
        <f t="shared" si="208"/>
        <v>#N/A</v>
      </c>
      <c r="Y456" s="161">
        <f t="shared" si="181"/>
        <v>431</v>
      </c>
      <c r="Z456" s="161">
        <f t="shared" ca="1" si="182"/>
        <v>5</v>
      </c>
      <c r="AG456" s="114">
        <f t="shared" si="209"/>
        <v>0</v>
      </c>
      <c r="AH456" s="113"/>
      <c r="AI456" s="199">
        <f ca="1">IF(AL456=0,0,IF(AL456&gt;Preenchimento!$AA$88*12,0,IF($AC$53=AM456,0,1)))</f>
        <v>0</v>
      </c>
      <c r="AJ456" s="161" t="e">
        <f t="shared" ca="1" si="210"/>
        <v>#N/A</v>
      </c>
      <c r="AK456" s="161" t="e">
        <f t="shared" ca="1" si="211"/>
        <v>#N/A</v>
      </c>
      <c r="AL456" s="161">
        <f ca="1">IF(Y456&gt;(Preenchimento!$AA$90*12),0,Fixa!Y456)</f>
        <v>0</v>
      </c>
      <c r="AM456" s="161">
        <f t="shared" ca="1" si="189"/>
        <v>5</v>
      </c>
      <c r="AN456" s="199">
        <f ca="1">IF(AQ456&gt;Preenchimento!$AA$90*12,0,1)</f>
        <v>0</v>
      </c>
      <c r="AO456" s="161" t="e">
        <f ca="1">1/((1+SAC!$AD$29)^AL456)</f>
        <v>#N/A</v>
      </c>
      <c r="AP456" s="82" t="e">
        <f t="shared" ca="1" si="212"/>
        <v>#N/A</v>
      </c>
      <c r="AQ456" s="82">
        <v>431</v>
      </c>
      <c r="AS456" s="477">
        <f t="shared" ca="1" si="188"/>
        <v>0</v>
      </c>
    </row>
    <row r="457" spans="2:45">
      <c r="B457" s="249">
        <f ca="1">DATE(IF(MONTH(B456)=12,YEAR(B456)+1,YEAR(B456)),IF(MONTH(B456)=12,1,MONTH(B456)+1),MIN(DAY(Condições!$C$109),IF(IF(MONTH(B456)=12,1,MONTH(B456)+1)=2,IF(MOD(IF(MONTH(B456)=12,YEAR(B456)+1,YEAR(B456)),4)=0,29,28),IF(OR(IF(MONTH(B456)=12,1,MONTH(B456)+1)=4,IF(MONTH(B456)=12,1,MONTH(B456)+1)=6,IF(MONTH(B456)=12,1,MONTH(B456)+1)=9,IF(MONTH(B456)=12,1,MONTH(B456)+1)=11),30,DAY($B$25)))))</f>
        <v>59338</v>
      </c>
      <c r="C457" s="250" t="str">
        <f t="shared" si="190"/>
        <v/>
      </c>
      <c r="D457" s="251" t="e">
        <f t="shared" si="191"/>
        <v>#N/A</v>
      </c>
      <c r="E457" s="251">
        <f t="shared" si="192"/>
        <v>0</v>
      </c>
      <c r="F457" s="251">
        <f t="shared" si="193"/>
        <v>0</v>
      </c>
      <c r="G457" s="251">
        <f t="shared" si="194"/>
        <v>0</v>
      </c>
      <c r="H457" s="251" t="e">
        <f t="shared" si="195"/>
        <v>#VALUE!</v>
      </c>
      <c r="I457" s="251">
        <f t="shared" si="196"/>
        <v>0</v>
      </c>
      <c r="J457" s="251">
        <f t="shared" si="197"/>
        <v>0</v>
      </c>
      <c r="K457" s="251">
        <f t="shared" si="198"/>
        <v>0</v>
      </c>
      <c r="N457" s="225">
        <f t="shared" si="199"/>
        <v>0</v>
      </c>
      <c r="O457" s="251" t="e">
        <f t="shared" si="200"/>
        <v>#N/A</v>
      </c>
      <c r="P457" s="251">
        <f t="shared" si="201"/>
        <v>0</v>
      </c>
      <c r="Q457" s="251">
        <f t="shared" si="202"/>
        <v>0</v>
      </c>
      <c r="R457" s="251">
        <f t="shared" si="203"/>
        <v>0</v>
      </c>
      <c r="S457" s="251" t="e">
        <f t="shared" si="204"/>
        <v>#VALUE!</v>
      </c>
      <c r="T457" s="251">
        <f t="shared" si="205"/>
        <v>0</v>
      </c>
      <c r="V457" s="199">
        <f t="shared" si="206"/>
        <v>0</v>
      </c>
      <c r="W457" s="161" t="e">
        <f t="shared" si="207"/>
        <v>#N/A</v>
      </c>
      <c r="X457" s="161" t="e">
        <f t="shared" si="208"/>
        <v>#N/A</v>
      </c>
      <c r="Y457" s="161">
        <f t="shared" si="181"/>
        <v>432</v>
      </c>
      <c r="Z457" s="161">
        <f t="shared" ca="1" si="182"/>
        <v>6</v>
      </c>
      <c r="AG457" s="114">
        <f t="shared" si="209"/>
        <v>0</v>
      </c>
      <c r="AH457" s="113"/>
      <c r="AI457" s="199">
        <f ca="1">IF(AL457=0,0,IF(AL457&gt;Preenchimento!$AA$88*12,0,IF($AC$53=AM457,0,1)))</f>
        <v>0</v>
      </c>
      <c r="AJ457" s="161" t="e">
        <f t="shared" ca="1" si="210"/>
        <v>#N/A</v>
      </c>
      <c r="AK457" s="161" t="e">
        <f t="shared" ca="1" si="211"/>
        <v>#N/A</v>
      </c>
      <c r="AL457" s="161">
        <f ca="1">IF(Y457&gt;(Preenchimento!$AA$90*12),0,Fixa!Y457)</f>
        <v>0</v>
      </c>
      <c r="AM457" s="161">
        <f t="shared" ca="1" si="189"/>
        <v>6</v>
      </c>
      <c r="AN457" s="199">
        <f ca="1">IF(AQ457&gt;Preenchimento!$AA$90*12,0,1)</f>
        <v>0</v>
      </c>
      <c r="AO457" s="161" t="e">
        <f ca="1">1/((1+SAC!$AD$29)^AL457)</f>
        <v>#N/A</v>
      </c>
      <c r="AP457" s="82" t="e">
        <f t="shared" ca="1" si="212"/>
        <v>#N/A</v>
      </c>
      <c r="AQ457" s="82">
        <v>432</v>
      </c>
      <c r="AS457" s="477">
        <f t="shared" ca="1" si="188"/>
        <v>0</v>
      </c>
    </row>
    <row r="458" spans="2:45">
      <c r="B458" s="249">
        <f ca="1">DATE(IF(MONTH(B457)=12,YEAR(B457)+1,YEAR(B457)),IF(MONTH(B457)=12,1,MONTH(B457)+1),MIN(DAY(Condições!$C$109),IF(IF(MONTH(B457)=12,1,MONTH(B457)+1)=2,IF(MOD(IF(MONTH(B457)=12,YEAR(B457)+1,YEAR(B457)),4)=0,29,28),IF(OR(IF(MONTH(B457)=12,1,MONTH(B457)+1)=4,IF(MONTH(B457)=12,1,MONTH(B457)+1)=6,IF(MONTH(B457)=12,1,MONTH(B457)+1)=9,IF(MONTH(B457)=12,1,MONTH(B457)+1)=11),30,DAY($B$25)))))</f>
        <v>59368</v>
      </c>
      <c r="C458" s="250" t="str">
        <f t="shared" si="190"/>
        <v/>
      </c>
      <c r="D458" s="251" t="e">
        <f t="shared" si="191"/>
        <v>#N/A</v>
      </c>
      <c r="E458" s="251">
        <f t="shared" si="192"/>
        <v>0</v>
      </c>
      <c r="F458" s="251">
        <f t="shared" si="193"/>
        <v>0</v>
      </c>
      <c r="G458" s="251">
        <f t="shared" si="194"/>
        <v>0</v>
      </c>
      <c r="H458" s="251" t="e">
        <f t="shared" si="195"/>
        <v>#VALUE!</v>
      </c>
      <c r="I458" s="251">
        <f t="shared" si="196"/>
        <v>0</v>
      </c>
      <c r="J458" s="251">
        <f t="shared" si="197"/>
        <v>0</v>
      </c>
      <c r="K458" s="251">
        <f t="shared" si="198"/>
        <v>0</v>
      </c>
      <c r="N458" s="225">
        <f t="shared" si="199"/>
        <v>0</v>
      </c>
      <c r="O458" s="251" t="e">
        <f t="shared" si="200"/>
        <v>#N/A</v>
      </c>
      <c r="P458" s="251">
        <f t="shared" si="201"/>
        <v>0</v>
      </c>
      <c r="Q458" s="251">
        <f t="shared" si="202"/>
        <v>0</v>
      </c>
      <c r="R458" s="251">
        <f t="shared" si="203"/>
        <v>0</v>
      </c>
      <c r="S458" s="251" t="e">
        <f t="shared" si="204"/>
        <v>#VALUE!</v>
      </c>
      <c r="T458" s="251">
        <f t="shared" si="205"/>
        <v>0</v>
      </c>
      <c r="V458" s="199">
        <f t="shared" si="206"/>
        <v>0</v>
      </c>
      <c r="W458" s="161" t="e">
        <f t="shared" si="207"/>
        <v>#N/A</v>
      </c>
      <c r="X458" s="161" t="e">
        <f t="shared" si="208"/>
        <v>#N/A</v>
      </c>
      <c r="Y458" s="161">
        <f t="shared" ref="Y458:Y511" si="213">1+Y457</f>
        <v>433</v>
      </c>
      <c r="Z458" s="161">
        <f t="shared" ref="Z458:Z511" ca="1" si="214">IF(Z457=12,1,Z457+1)</f>
        <v>7</v>
      </c>
      <c r="AG458" s="114">
        <f t="shared" si="209"/>
        <v>0</v>
      </c>
      <c r="AH458" s="113"/>
      <c r="AI458" s="199">
        <f ca="1">IF(AL458=0,0,IF(AL458&gt;Preenchimento!$AA$88*12,0,IF($AC$53=AM458,0,1)))</f>
        <v>0</v>
      </c>
      <c r="AJ458" s="161" t="e">
        <f t="shared" ca="1" si="210"/>
        <v>#N/A</v>
      </c>
      <c r="AK458" s="161" t="e">
        <f t="shared" ca="1" si="211"/>
        <v>#N/A</v>
      </c>
      <c r="AL458" s="161">
        <f ca="1">IF(Y458&gt;(Preenchimento!$AA$90*12),0,Fixa!Y458)</f>
        <v>0</v>
      </c>
      <c r="AM458" s="161">
        <f t="shared" ca="1" si="189"/>
        <v>7</v>
      </c>
      <c r="AN458" s="199">
        <f ca="1">IF(AQ458&gt;Preenchimento!$AA$90*12,0,1)</f>
        <v>0</v>
      </c>
      <c r="AO458" s="161" t="e">
        <f ca="1">1/((1+SAC!$AD$29)^AL458)</f>
        <v>#N/A</v>
      </c>
      <c r="AP458" s="82" t="e">
        <f t="shared" ca="1" si="212"/>
        <v>#N/A</v>
      </c>
      <c r="AQ458" s="82">
        <v>433</v>
      </c>
      <c r="AS458" s="477">
        <f t="shared" ca="1" si="188"/>
        <v>0</v>
      </c>
    </row>
    <row r="459" spans="2:45">
      <c r="B459" s="249">
        <f ca="1">DATE(IF(MONTH(B458)=12,YEAR(B458)+1,YEAR(B458)),IF(MONTH(B458)=12,1,MONTH(B458)+1),MIN(DAY(Condições!$C$109),IF(IF(MONTH(B458)=12,1,MONTH(B458)+1)=2,IF(MOD(IF(MONTH(B458)=12,YEAR(B458)+1,YEAR(B458)),4)=0,29,28),IF(OR(IF(MONTH(B458)=12,1,MONTH(B458)+1)=4,IF(MONTH(B458)=12,1,MONTH(B458)+1)=6,IF(MONTH(B458)=12,1,MONTH(B458)+1)=9,IF(MONTH(B458)=12,1,MONTH(B458)+1)=11),30,DAY($B$25)))))</f>
        <v>59399</v>
      </c>
      <c r="C459" s="250" t="str">
        <f t="shared" si="190"/>
        <v/>
      </c>
      <c r="D459" s="251" t="e">
        <f t="shared" si="191"/>
        <v>#N/A</v>
      </c>
      <c r="E459" s="251">
        <f t="shared" si="192"/>
        <v>0</v>
      </c>
      <c r="F459" s="251">
        <f t="shared" si="193"/>
        <v>0</v>
      </c>
      <c r="G459" s="251">
        <f t="shared" si="194"/>
        <v>0</v>
      </c>
      <c r="H459" s="251" t="e">
        <f t="shared" si="195"/>
        <v>#VALUE!</v>
      </c>
      <c r="I459" s="251">
        <f t="shared" si="196"/>
        <v>0</v>
      </c>
      <c r="J459" s="251">
        <f t="shared" si="197"/>
        <v>0</v>
      </c>
      <c r="K459" s="251">
        <f t="shared" si="198"/>
        <v>0</v>
      </c>
      <c r="N459" s="225">
        <f t="shared" si="199"/>
        <v>0</v>
      </c>
      <c r="O459" s="251" t="e">
        <f t="shared" si="200"/>
        <v>#N/A</v>
      </c>
      <c r="P459" s="251">
        <f t="shared" si="201"/>
        <v>0</v>
      </c>
      <c r="Q459" s="251">
        <f t="shared" si="202"/>
        <v>0</v>
      </c>
      <c r="R459" s="251">
        <f t="shared" si="203"/>
        <v>0</v>
      </c>
      <c r="S459" s="251" t="e">
        <f t="shared" si="204"/>
        <v>#VALUE!</v>
      </c>
      <c r="T459" s="251">
        <f t="shared" si="205"/>
        <v>0</v>
      </c>
      <c r="V459" s="199">
        <f t="shared" si="206"/>
        <v>0</v>
      </c>
      <c r="W459" s="161" t="e">
        <f t="shared" si="207"/>
        <v>#N/A</v>
      </c>
      <c r="X459" s="161" t="e">
        <f t="shared" si="208"/>
        <v>#N/A</v>
      </c>
      <c r="Y459" s="161">
        <f t="shared" si="213"/>
        <v>434</v>
      </c>
      <c r="Z459" s="161">
        <f t="shared" ca="1" si="214"/>
        <v>8</v>
      </c>
      <c r="AG459" s="114">
        <f t="shared" si="209"/>
        <v>0</v>
      </c>
      <c r="AH459" s="113"/>
      <c r="AI459" s="199">
        <f ca="1">IF(AL459=0,0,IF(AL459&gt;Preenchimento!$AA$88*12,0,IF($AC$53=AM459,0,1)))</f>
        <v>0</v>
      </c>
      <c r="AJ459" s="161" t="e">
        <f t="shared" ca="1" si="210"/>
        <v>#N/A</v>
      </c>
      <c r="AK459" s="161" t="e">
        <f t="shared" ca="1" si="211"/>
        <v>#N/A</v>
      </c>
      <c r="AL459" s="161">
        <f ca="1">IF(Y459&gt;(Preenchimento!$AA$90*12),0,Fixa!Y459)</f>
        <v>0</v>
      </c>
      <c r="AM459" s="161">
        <f t="shared" ca="1" si="189"/>
        <v>8</v>
      </c>
      <c r="AN459" s="199">
        <f ca="1">IF(AQ459&gt;Preenchimento!$AA$90*12,0,1)</f>
        <v>0</v>
      </c>
      <c r="AO459" s="161" t="e">
        <f ca="1">1/((1+SAC!$AD$29)^AL459)</f>
        <v>#N/A</v>
      </c>
      <c r="AP459" s="82" t="e">
        <f t="shared" ca="1" si="212"/>
        <v>#N/A</v>
      </c>
      <c r="AQ459" s="82">
        <v>434</v>
      </c>
      <c r="AS459" s="477">
        <f t="shared" ca="1" si="188"/>
        <v>0</v>
      </c>
    </row>
    <row r="460" spans="2:45">
      <c r="B460" s="249">
        <f ca="1">DATE(IF(MONTH(B459)=12,YEAR(B459)+1,YEAR(B459)),IF(MONTH(B459)=12,1,MONTH(B459)+1),MIN(DAY(Condições!$C$109),IF(IF(MONTH(B459)=12,1,MONTH(B459)+1)=2,IF(MOD(IF(MONTH(B459)=12,YEAR(B459)+1,YEAR(B459)),4)=0,29,28),IF(OR(IF(MONTH(B459)=12,1,MONTH(B459)+1)=4,IF(MONTH(B459)=12,1,MONTH(B459)+1)=6,IF(MONTH(B459)=12,1,MONTH(B459)+1)=9,IF(MONTH(B459)=12,1,MONTH(B459)+1)=11),30,DAY($B$25)))))</f>
        <v>59430</v>
      </c>
      <c r="C460" s="250" t="str">
        <f t="shared" si="190"/>
        <v/>
      </c>
      <c r="D460" s="251" t="e">
        <f t="shared" si="191"/>
        <v>#N/A</v>
      </c>
      <c r="E460" s="251">
        <f t="shared" si="192"/>
        <v>0</v>
      </c>
      <c r="F460" s="251">
        <f t="shared" si="193"/>
        <v>0</v>
      </c>
      <c r="G460" s="251">
        <f t="shared" si="194"/>
        <v>0</v>
      </c>
      <c r="H460" s="251" t="e">
        <f t="shared" si="195"/>
        <v>#VALUE!</v>
      </c>
      <c r="I460" s="251">
        <f t="shared" si="196"/>
        <v>0</v>
      </c>
      <c r="J460" s="251">
        <f t="shared" si="197"/>
        <v>0</v>
      </c>
      <c r="K460" s="251">
        <f t="shared" si="198"/>
        <v>0</v>
      </c>
      <c r="N460" s="225">
        <f t="shared" si="199"/>
        <v>0</v>
      </c>
      <c r="O460" s="251" t="e">
        <f t="shared" si="200"/>
        <v>#N/A</v>
      </c>
      <c r="P460" s="251">
        <f t="shared" si="201"/>
        <v>0</v>
      </c>
      <c r="Q460" s="251">
        <f t="shared" si="202"/>
        <v>0</v>
      </c>
      <c r="R460" s="251">
        <f t="shared" si="203"/>
        <v>0</v>
      </c>
      <c r="S460" s="251" t="e">
        <f t="shared" si="204"/>
        <v>#VALUE!</v>
      </c>
      <c r="T460" s="251">
        <f t="shared" si="205"/>
        <v>0</v>
      </c>
      <c r="V460" s="199">
        <f t="shared" si="206"/>
        <v>0</v>
      </c>
      <c r="W460" s="161" t="e">
        <f t="shared" si="207"/>
        <v>#N/A</v>
      </c>
      <c r="X460" s="161" t="e">
        <f t="shared" si="208"/>
        <v>#N/A</v>
      </c>
      <c r="Y460" s="161">
        <f t="shared" si="213"/>
        <v>435</v>
      </c>
      <c r="Z460" s="161">
        <f t="shared" ca="1" si="214"/>
        <v>9</v>
      </c>
      <c r="AG460" s="114">
        <f t="shared" si="209"/>
        <v>0</v>
      </c>
      <c r="AH460" s="113"/>
      <c r="AI460" s="199">
        <f ca="1">IF(AL460=0,0,IF(AL460&gt;Preenchimento!$AA$88*12,0,IF($AC$53=AM460,0,1)))</f>
        <v>0</v>
      </c>
      <c r="AJ460" s="161" t="e">
        <f t="shared" ca="1" si="210"/>
        <v>#N/A</v>
      </c>
      <c r="AK460" s="161" t="e">
        <f t="shared" ca="1" si="211"/>
        <v>#N/A</v>
      </c>
      <c r="AL460" s="161">
        <f ca="1">IF(Y460&gt;(Preenchimento!$AA$90*12),0,Fixa!Y460)</f>
        <v>0</v>
      </c>
      <c r="AM460" s="161">
        <f t="shared" ca="1" si="189"/>
        <v>9</v>
      </c>
      <c r="AN460" s="199">
        <f ca="1">IF(AQ460&gt;Preenchimento!$AA$90*12,0,1)</f>
        <v>0</v>
      </c>
      <c r="AO460" s="161" t="e">
        <f ca="1">1/((1+SAC!$AD$29)^AL460)</f>
        <v>#N/A</v>
      </c>
      <c r="AP460" s="82" t="e">
        <f t="shared" ca="1" si="212"/>
        <v>#N/A</v>
      </c>
      <c r="AQ460" s="82">
        <v>435</v>
      </c>
      <c r="AS460" s="477">
        <f t="shared" ca="1" si="188"/>
        <v>0</v>
      </c>
    </row>
    <row r="461" spans="2:45">
      <c r="B461" s="249">
        <f ca="1">DATE(IF(MONTH(B460)=12,YEAR(B460)+1,YEAR(B460)),IF(MONTH(B460)=12,1,MONTH(B460)+1),MIN(DAY(Condições!$C$109),IF(IF(MONTH(B460)=12,1,MONTH(B460)+1)=2,IF(MOD(IF(MONTH(B460)=12,YEAR(B460)+1,YEAR(B460)),4)=0,29,28),IF(OR(IF(MONTH(B460)=12,1,MONTH(B460)+1)=4,IF(MONTH(B460)=12,1,MONTH(B460)+1)=6,IF(MONTH(B460)=12,1,MONTH(B460)+1)=9,IF(MONTH(B460)=12,1,MONTH(B460)+1)=11),30,DAY($B$25)))))</f>
        <v>59460</v>
      </c>
      <c r="C461" s="250" t="str">
        <f t="shared" si="190"/>
        <v/>
      </c>
      <c r="D461" s="251" t="e">
        <f t="shared" si="191"/>
        <v>#N/A</v>
      </c>
      <c r="E461" s="251">
        <f t="shared" si="192"/>
        <v>0</v>
      </c>
      <c r="F461" s="251">
        <f t="shared" si="193"/>
        <v>0</v>
      </c>
      <c r="G461" s="251">
        <f t="shared" si="194"/>
        <v>0</v>
      </c>
      <c r="H461" s="251" t="e">
        <f t="shared" si="195"/>
        <v>#VALUE!</v>
      </c>
      <c r="I461" s="251">
        <f t="shared" si="196"/>
        <v>0</v>
      </c>
      <c r="J461" s="251">
        <f t="shared" si="197"/>
        <v>0</v>
      </c>
      <c r="K461" s="251">
        <f t="shared" si="198"/>
        <v>0</v>
      </c>
      <c r="N461" s="225">
        <f t="shared" si="199"/>
        <v>0</v>
      </c>
      <c r="O461" s="251" t="e">
        <f t="shared" si="200"/>
        <v>#N/A</v>
      </c>
      <c r="P461" s="251">
        <f t="shared" si="201"/>
        <v>0</v>
      </c>
      <c r="Q461" s="251">
        <f t="shared" si="202"/>
        <v>0</v>
      </c>
      <c r="R461" s="251">
        <f t="shared" si="203"/>
        <v>0</v>
      </c>
      <c r="S461" s="251" t="e">
        <f t="shared" si="204"/>
        <v>#VALUE!</v>
      </c>
      <c r="T461" s="251">
        <f t="shared" si="205"/>
        <v>0</v>
      </c>
      <c r="V461" s="199">
        <f t="shared" si="206"/>
        <v>0</v>
      </c>
      <c r="W461" s="161" t="e">
        <f t="shared" si="207"/>
        <v>#N/A</v>
      </c>
      <c r="X461" s="161" t="e">
        <f t="shared" si="208"/>
        <v>#N/A</v>
      </c>
      <c r="Y461" s="161">
        <f t="shared" si="213"/>
        <v>436</v>
      </c>
      <c r="Z461" s="161">
        <f t="shared" ca="1" si="214"/>
        <v>10</v>
      </c>
      <c r="AG461" s="114">
        <f t="shared" si="209"/>
        <v>0</v>
      </c>
      <c r="AH461" s="113"/>
      <c r="AI461" s="199">
        <f ca="1">IF(AL461=0,0,IF(AL461&gt;Preenchimento!$AA$88*12,0,IF($AC$53=AM461,0,1)))</f>
        <v>0</v>
      </c>
      <c r="AJ461" s="161" t="e">
        <f t="shared" ca="1" si="210"/>
        <v>#N/A</v>
      </c>
      <c r="AK461" s="161" t="e">
        <f t="shared" ca="1" si="211"/>
        <v>#N/A</v>
      </c>
      <c r="AL461" s="161">
        <f ca="1">IF(Y461&gt;(Preenchimento!$AA$90*12),0,Fixa!Y461)</f>
        <v>0</v>
      </c>
      <c r="AM461" s="161">
        <f t="shared" ca="1" si="189"/>
        <v>10</v>
      </c>
      <c r="AN461" s="199">
        <f ca="1">IF(AQ461&gt;Preenchimento!$AA$90*12,0,1)</f>
        <v>0</v>
      </c>
      <c r="AO461" s="161" t="e">
        <f ca="1">1/((1+SAC!$AD$29)^AL461)</f>
        <v>#N/A</v>
      </c>
      <c r="AP461" s="82" t="e">
        <f t="shared" ca="1" si="212"/>
        <v>#N/A</v>
      </c>
      <c r="AQ461" s="82">
        <v>436</v>
      </c>
      <c r="AS461" s="477">
        <f t="shared" ca="1" si="188"/>
        <v>0</v>
      </c>
    </row>
    <row r="462" spans="2:45">
      <c r="B462" s="249">
        <f ca="1">DATE(IF(MONTH(B461)=12,YEAR(B461)+1,YEAR(B461)),IF(MONTH(B461)=12,1,MONTH(B461)+1),MIN(DAY(Condições!$C$109),IF(IF(MONTH(B461)=12,1,MONTH(B461)+1)=2,IF(MOD(IF(MONTH(B461)=12,YEAR(B461)+1,YEAR(B461)),4)=0,29,28),IF(OR(IF(MONTH(B461)=12,1,MONTH(B461)+1)=4,IF(MONTH(B461)=12,1,MONTH(B461)+1)=6,IF(MONTH(B461)=12,1,MONTH(B461)+1)=9,IF(MONTH(B461)=12,1,MONTH(B461)+1)=11),30,DAY($B$25)))))</f>
        <v>59491</v>
      </c>
      <c r="C462" s="250" t="str">
        <f t="shared" si="190"/>
        <v/>
      </c>
      <c r="D462" s="251" t="e">
        <f t="shared" si="191"/>
        <v>#N/A</v>
      </c>
      <c r="E462" s="251">
        <f t="shared" si="192"/>
        <v>0</v>
      </c>
      <c r="F462" s="251">
        <f t="shared" si="193"/>
        <v>0</v>
      </c>
      <c r="G462" s="251">
        <f t="shared" si="194"/>
        <v>0</v>
      </c>
      <c r="H462" s="251" t="e">
        <f t="shared" si="195"/>
        <v>#VALUE!</v>
      </c>
      <c r="I462" s="251">
        <f t="shared" si="196"/>
        <v>0</v>
      </c>
      <c r="J462" s="251">
        <f t="shared" si="197"/>
        <v>0</v>
      </c>
      <c r="K462" s="251">
        <f t="shared" si="198"/>
        <v>0</v>
      </c>
      <c r="N462" s="225">
        <f t="shared" si="199"/>
        <v>0</v>
      </c>
      <c r="O462" s="251" t="e">
        <f t="shared" si="200"/>
        <v>#N/A</v>
      </c>
      <c r="P462" s="251">
        <f t="shared" si="201"/>
        <v>0</v>
      </c>
      <c r="Q462" s="251">
        <f t="shared" si="202"/>
        <v>0</v>
      </c>
      <c r="R462" s="251">
        <f t="shared" si="203"/>
        <v>0</v>
      </c>
      <c r="S462" s="251" t="e">
        <f t="shared" si="204"/>
        <v>#VALUE!</v>
      </c>
      <c r="T462" s="251">
        <f t="shared" si="205"/>
        <v>0</v>
      </c>
      <c r="V462" s="199">
        <f t="shared" si="206"/>
        <v>0</v>
      </c>
      <c r="W462" s="161" t="e">
        <f t="shared" si="207"/>
        <v>#N/A</v>
      </c>
      <c r="X462" s="161" t="e">
        <f t="shared" si="208"/>
        <v>#N/A</v>
      </c>
      <c r="Y462" s="161">
        <f t="shared" si="213"/>
        <v>437</v>
      </c>
      <c r="Z462" s="161">
        <f t="shared" ca="1" si="214"/>
        <v>11</v>
      </c>
      <c r="AG462" s="114">
        <f t="shared" si="209"/>
        <v>0</v>
      </c>
      <c r="AH462" s="113"/>
      <c r="AI462" s="199">
        <f ca="1">IF(AL462=0,0,IF(AL462&gt;Preenchimento!$AA$88*12,0,IF($AC$53=AM462,0,1)))</f>
        <v>0</v>
      </c>
      <c r="AJ462" s="161" t="e">
        <f t="shared" ca="1" si="210"/>
        <v>#N/A</v>
      </c>
      <c r="AK462" s="161" t="e">
        <f t="shared" ca="1" si="211"/>
        <v>#N/A</v>
      </c>
      <c r="AL462" s="161">
        <f ca="1">IF(Y462&gt;(Preenchimento!$AA$90*12),0,Fixa!Y462)</f>
        <v>0</v>
      </c>
      <c r="AM462" s="161">
        <f t="shared" ca="1" si="189"/>
        <v>11</v>
      </c>
      <c r="AN462" s="199">
        <f ca="1">IF(AQ462&gt;Preenchimento!$AA$90*12,0,1)</f>
        <v>0</v>
      </c>
      <c r="AO462" s="161" t="e">
        <f ca="1">1/((1+SAC!$AD$29)^AL462)</f>
        <v>#N/A</v>
      </c>
      <c r="AP462" s="82" t="e">
        <f t="shared" ca="1" si="212"/>
        <v>#N/A</v>
      </c>
      <c r="AQ462" s="82">
        <v>437</v>
      </c>
      <c r="AS462" s="477">
        <f t="shared" ca="1" si="188"/>
        <v>0</v>
      </c>
    </row>
    <row r="463" spans="2:45">
      <c r="B463" s="249">
        <f ca="1">DATE(IF(MONTH(B462)=12,YEAR(B462)+1,YEAR(B462)),IF(MONTH(B462)=12,1,MONTH(B462)+1),MIN(DAY(Condições!$C$109),IF(IF(MONTH(B462)=12,1,MONTH(B462)+1)=2,IF(MOD(IF(MONTH(B462)=12,YEAR(B462)+1,YEAR(B462)),4)=0,29,28),IF(OR(IF(MONTH(B462)=12,1,MONTH(B462)+1)=4,IF(MONTH(B462)=12,1,MONTH(B462)+1)=6,IF(MONTH(B462)=12,1,MONTH(B462)+1)=9,IF(MONTH(B462)=12,1,MONTH(B462)+1)=11),30,DAY($B$25)))))</f>
        <v>59521</v>
      </c>
      <c r="C463" s="250" t="str">
        <f t="shared" si="190"/>
        <v/>
      </c>
      <c r="D463" s="251" t="e">
        <f t="shared" si="191"/>
        <v>#N/A</v>
      </c>
      <c r="E463" s="251">
        <f t="shared" si="192"/>
        <v>0</v>
      </c>
      <c r="F463" s="251">
        <f t="shared" si="193"/>
        <v>0</v>
      </c>
      <c r="G463" s="251">
        <f t="shared" si="194"/>
        <v>0</v>
      </c>
      <c r="H463" s="251" t="e">
        <f t="shared" si="195"/>
        <v>#VALUE!</v>
      </c>
      <c r="I463" s="251">
        <f t="shared" si="196"/>
        <v>0</v>
      </c>
      <c r="J463" s="251">
        <f t="shared" si="197"/>
        <v>0</v>
      </c>
      <c r="K463" s="251">
        <f t="shared" si="198"/>
        <v>0</v>
      </c>
      <c r="N463" s="225">
        <f t="shared" si="199"/>
        <v>0</v>
      </c>
      <c r="O463" s="251" t="e">
        <f t="shared" si="200"/>
        <v>#N/A</v>
      </c>
      <c r="P463" s="251">
        <f t="shared" si="201"/>
        <v>0</v>
      </c>
      <c r="Q463" s="251">
        <f t="shared" si="202"/>
        <v>0</v>
      </c>
      <c r="R463" s="251">
        <f t="shared" si="203"/>
        <v>0</v>
      </c>
      <c r="S463" s="251" t="e">
        <f t="shared" si="204"/>
        <v>#VALUE!</v>
      </c>
      <c r="T463" s="251">
        <f t="shared" si="205"/>
        <v>0</v>
      </c>
      <c r="V463" s="199">
        <f t="shared" si="206"/>
        <v>0</v>
      </c>
      <c r="W463" s="161" t="e">
        <f t="shared" si="207"/>
        <v>#N/A</v>
      </c>
      <c r="X463" s="161" t="e">
        <f t="shared" si="208"/>
        <v>#N/A</v>
      </c>
      <c r="Y463" s="161">
        <f t="shared" si="213"/>
        <v>438</v>
      </c>
      <c r="Z463" s="161">
        <f t="shared" ca="1" si="214"/>
        <v>12</v>
      </c>
      <c r="AG463" s="114">
        <f t="shared" si="209"/>
        <v>0</v>
      </c>
      <c r="AH463" s="113"/>
      <c r="AI463" s="199">
        <f ca="1">IF(AL463=0,0,IF(AL463&gt;Preenchimento!$AA$88*12,0,IF($AC$53=AM463,0,1)))</f>
        <v>0</v>
      </c>
      <c r="AJ463" s="161" t="e">
        <f t="shared" ca="1" si="210"/>
        <v>#N/A</v>
      </c>
      <c r="AK463" s="161" t="e">
        <f t="shared" ca="1" si="211"/>
        <v>#N/A</v>
      </c>
      <c r="AL463" s="161">
        <f ca="1">IF(Y463&gt;(Preenchimento!$AA$90*12),0,Fixa!Y463)</f>
        <v>0</v>
      </c>
      <c r="AM463" s="161">
        <f t="shared" ca="1" si="189"/>
        <v>12</v>
      </c>
      <c r="AN463" s="199">
        <f ca="1">IF(AQ463&gt;Preenchimento!$AA$90*12,0,1)</f>
        <v>0</v>
      </c>
      <c r="AO463" s="161" t="e">
        <f ca="1">1/((1+SAC!$AD$29)^AL463)</f>
        <v>#N/A</v>
      </c>
      <c r="AP463" s="82" t="e">
        <f t="shared" ca="1" si="212"/>
        <v>#N/A</v>
      </c>
      <c r="AQ463" s="82">
        <v>438</v>
      </c>
      <c r="AS463" s="477">
        <f t="shared" ca="1" si="188"/>
        <v>0</v>
      </c>
    </row>
    <row r="464" spans="2:45">
      <c r="B464" s="249">
        <f ca="1">DATE(IF(MONTH(B463)=12,YEAR(B463)+1,YEAR(B463)),IF(MONTH(B463)=12,1,MONTH(B463)+1),MIN(DAY(Condições!$C$109),IF(IF(MONTH(B463)=12,1,MONTH(B463)+1)=2,IF(MOD(IF(MONTH(B463)=12,YEAR(B463)+1,YEAR(B463)),4)=0,29,28),IF(OR(IF(MONTH(B463)=12,1,MONTH(B463)+1)=4,IF(MONTH(B463)=12,1,MONTH(B463)+1)=6,IF(MONTH(B463)=12,1,MONTH(B463)+1)=9,IF(MONTH(B463)=12,1,MONTH(B463)+1)=11),30,DAY($B$25)))))</f>
        <v>59552</v>
      </c>
      <c r="C464" s="250" t="str">
        <f t="shared" si="190"/>
        <v/>
      </c>
      <c r="D464" s="251" t="e">
        <f t="shared" si="191"/>
        <v>#N/A</v>
      </c>
      <c r="E464" s="251">
        <f t="shared" si="192"/>
        <v>0</v>
      </c>
      <c r="F464" s="251">
        <f t="shared" si="193"/>
        <v>0</v>
      </c>
      <c r="G464" s="251">
        <f t="shared" si="194"/>
        <v>0</v>
      </c>
      <c r="H464" s="251" t="e">
        <f t="shared" si="195"/>
        <v>#VALUE!</v>
      </c>
      <c r="I464" s="251">
        <f t="shared" si="196"/>
        <v>0</v>
      </c>
      <c r="J464" s="251">
        <f t="shared" si="197"/>
        <v>0</v>
      </c>
      <c r="K464" s="251">
        <f t="shared" si="198"/>
        <v>0</v>
      </c>
      <c r="N464" s="225">
        <f t="shared" si="199"/>
        <v>0</v>
      </c>
      <c r="O464" s="251" t="e">
        <f t="shared" si="200"/>
        <v>#N/A</v>
      </c>
      <c r="P464" s="251">
        <f t="shared" si="201"/>
        <v>0</v>
      </c>
      <c r="Q464" s="251">
        <f t="shared" si="202"/>
        <v>0</v>
      </c>
      <c r="R464" s="251">
        <f t="shared" si="203"/>
        <v>0</v>
      </c>
      <c r="S464" s="251" t="e">
        <f t="shared" si="204"/>
        <v>#VALUE!</v>
      </c>
      <c r="T464" s="251">
        <f t="shared" si="205"/>
        <v>0</v>
      </c>
      <c r="V464" s="199">
        <f t="shared" si="206"/>
        <v>0</v>
      </c>
      <c r="W464" s="161" t="e">
        <f t="shared" si="207"/>
        <v>#N/A</v>
      </c>
      <c r="X464" s="161" t="e">
        <f t="shared" si="208"/>
        <v>#N/A</v>
      </c>
      <c r="Y464" s="161">
        <f t="shared" si="213"/>
        <v>439</v>
      </c>
      <c r="Z464" s="161">
        <f t="shared" ca="1" si="214"/>
        <v>1</v>
      </c>
      <c r="AG464" s="114">
        <f t="shared" si="209"/>
        <v>0</v>
      </c>
      <c r="AH464" s="113"/>
      <c r="AI464" s="199">
        <f ca="1">IF(AL464=0,0,IF(AL464&gt;Preenchimento!$AA$88*12,0,IF($AC$53=AM464,0,1)))</f>
        <v>0</v>
      </c>
      <c r="AJ464" s="161" t="e">
        <f t="shared" ca="1" si="210"/>
        <v>#N/A</v>
      </c>
      <c r="AK464" s="161" t="e">
        <f t="shared" ca="1" si="211"/>
        <v>#N/A</v>
      </c>
      <c r="AL464" s="161">
        <f ca="1">IF(Y464&gt;(Preenchimento!$AA$90*12),0,Fixa!Y464)</f>
        <v>0</v>
      </c>
      <c r="AM464" s="161">
        <f t="shared" ca="1" si="189"/>
        <v>1</v>
      </c>
      <c r="AN464" s="199">
        <f ca="1">IF(AQ464&gt;Preenchimento!$AA$90*12,0,1)</f>
        <v>0</v>
      </c>
      <c r="AO464" s="161" t="e">
        <f ca="1">1/((1+SAC!$AD$29)^AL464)</f>
        <v>#N/A</v>
      </c>
      <c r="AP464" s="82" t="e">
        <f t="shared" ca="1" si="212"/>
        <v>#N/A</v>
      </c>
      <c r="AQ464" s="82">
        <v>439</v>
      </c>
      <c r="AS464" s="477">
        <f t="shared" ca="1" si="188"/>
        <v>0</v>
      </c>
    </row>
    <row r="465" spans="2:45">
      <c r="B465" s="249">
        <f ca="1">DATE(IF(MONTH(B464)=12,YEAR(B464)+1,YEAR(B464)),IF(MONTH(B464)=12,1,MONTH(B464)+1),MIN(DAY(Condições!$C$109),IF(IF(MONTH(B464)=12,1,MONTH(B464)+1)=2,IF(MOD(IF(MONTH(B464)=12,YEAR(B464)+1,YEAR(B464)),4)=0,29,28),IF(OR(IF(MONTH(B464)=12,1,MONTH(B464)+1)=4,IF(MONTH(B464)=12,1,MONTH(B464)+1)=6,IF(MONTH(B464)=12,1,MONTH(B464)+1)=9,IF(MONTH(B464)=12,1,MONTH(B464)+1)=11),30,DAY($B$25)))))</f>
        <v>59583</v>
      </c>
      <c r="C465" s="250" t="str">
        <f t="shared" si="190"/>
        <v/>
      </c>
      <c r="D465" s="251" t="e">
        <f t="shared" si="191"/>
        <v>#N/A</v>
      </c>
      <c r="E465" s="251">
        <f t="shared" si="192"/>
        <v>0</v>
      </c>
      <c r="F465" s="251">
        <f t="shared" si="193"/>
        <v>0</v>
      </c>
      <c r="G465" s="251">
        <f t="shared" si="194"/>
        <v>0</v>
      </c>
      <c r="H465" s="251" t="e">
        <f t="shared" si="195"/>
        <v>#VALUE!</v>
      </c>
      <c r="I465" s="251">
        <f t="shared" si="196"/>
        <v>0</v>
      </c>
      <c r="J465" s="251">
        <f t="shared" si="197"/>
        <v>0</v>
      </c>
      <c r="K465" s="251">
        <f t="shared" si="198"/>
        <v>0</v>
      </c>
      <c r="N465" s="225">
        <f t="shared" si="199"/>
        <v>0</v>
      </c>
      <c r="O465" s="251" t="e">
        <f t="shared" si="200"/>
        <v>#N/A</v>
      </c>
      <c r="P465" s="251">
        <f t="shared" si="201"/>
        <v>0</v>
      </c>
      <c r="Q465" s="251">
        <f t="shared" si="202"/>
        <v>0</v>
      </c>
      <c r="R465" s="251">
        <f t="shared" si="203"/>
        <v>0</v>
      </c>
      <c r="S465" s="251" t="e">
        <f t="shared" si="204"/>
        <v>#VALUE!</v>
      </c>
      <c r="T465" s="251">
        <f t="shared" si="205"/>
        <v>0</v>
      </c>
      <c r="V465" s="199">
        <f t="shared" si="206"/>
        <v>0</v>
      </c>
      <c r="W465" s="161" t="e">
        <f t="shared" si="207"/>
        <v>#N/A</v>
      </c>
      <c r="X465" s="161" t="e">
        <f t="shared" si="208"/>
        <v>#N/A</v>
      </c>
      <c r="Y465" s="161">
        <f t="shared" si="213"/>
        <v>440</v>
      </c>
      <c r="Z465" s="161">
        <f t="shared" ca="1" si="214"/>
        <v>2</v>
      </c>
      <c r="AG465" s="114">
        <f t="shared" si="209"/>
        <v>0</v>
      </c>
      <c r="AH465" s="113"/>
      <c r="AI465" s="199">
        <f ca="1">IF(AL465=0,0,IF(AL465&gt;Preenchimento!$AA$88*12,0,IF($AC$53=AM465,0,1)))</f>
        <v>0</v>
      </c>
      <c r="AJ465" s="161" t="e">
        <f t="shared" ca="1" si="210"/>
        <v>#N/A</v>
      </c>
      <c r="AK465" s="161" t="e">
        <f t="shared" ca="1" si="211"/>
        <v>#N/A</v>
      </c>
      <c r="AL465" s="161">
        <f ca="1">IF(Y465&gt;(Preenchimento!$AA$90*12),0,Fixa!Y465)</f>
        <v>0</v>
      </c>
      <c r="AM465" s="161">
        <f t="shared" ca="1" si="189"/>
        <v>2</v>
      </c>
      <c r="AN465" s="199">
        <f ca="1">IF(AQ465&gt;Preenchimento!$AA$90*12,0,1)</f>
        <v>0</v>
      </c>
      <c r="AO465" s="161" t="e">
        <f ca="1">1/((1+SAC!$AD$29)^AL465)</f>
        <v>#N/A</v>
      </c>
      <c r="AP465" s="82" t="e">
        <f t="shared" ca="1" si="212"/>
        <v>#N/A</v>
      </c>
      <c r="AQ465" s="82">
        <v>440</v>
      </c>
      <c r="AS465" s="477">
        <f t="shared" ca="1" si="188"/>
        <v>0</v>
      </c>
    </row>
    <row r="466" spans="2:45">
      <c r="B466" s="249">
        <f ca="1">DATE(IF(MONTH(B465)=12,YEAR(B465)+1,YEAR(B465)),IF(MONTH(B465)=12,1,MONTH(B465)+1),MIN(DAY(Condições!$C$109),IF(IF(MONTH(B465)=12,1,MONTH(B465)+1)=2,IF(MOD(IF(MONTH(B465)=12,YEAR(B465)+1,YEAR(B465)),4)=0,29,28),IF(OR(IF(MONTH(B465)=12,1,MONTH(B465)+1)=4,IF(MONTH(B465)=12,1,MONTH(B465)+1)=6,IF(MONTH(B465)=12,1,MONTH(B465)+1)=9,IF(MONTH(B465)=12,1,MONTH(B465)+1)=11),30,DAY($B$25)))))</f>
        <v>59611</v>
      </c>
      <c r="C466" s="250" t="str">
        <f t="shared" si="190"/>
        <v/>
      </c>
      <c r="D466" s="251" t="e">
        <f t="shared" si="191"/>
        <v>#N/A</v>
      </c>
      <c r="E466" s="251">
        <f t="shared" si="192"/>
        <v>0</v>
      </c>
      <c r="F466" s="251">
        <f t="shared" si="193"/>
        <v>0</v>
      </c>
      <c r="G466" s="251">
        <f t="shared" si="194"/>
        <v>0</v>
      </c>
      <c r="H466" s="251" t="e">
        <f t="shared" si="195"/>
        <v>#VALUE!</v>
      </c>
      <c r="I466" s="251">
        <f t="shared" si="196"/>
        <v>0</v>
      </c>
      <c r="J466" s="251">
        <f t="shared" si="197"/>
        <v>0</v>
      </c>
      <c r="K466" s="251">
        <f t="shared" si="198"/>
        <v>0</v>
      </c>
      <c r="N466" s="225">
        <f t="shared" si="199"/>
        <v>0</v>
      </c>
      <c r="O466" s="251" t="e">
        <f t="shared" si="200"/>
        <v>#N/A</v>
      </c>
      <c r="P466" s="251">
        <f t="shared" si="201"/>
        <v>0</v>
      </c>
      <c r="Q466" s="251">
        <f t="shared" si="202"/>
        <v>0</v>
      </c>
      <c r="R466" s="251">
        <f t="shared" si="203"/>
        <v>0</v>
      </c>
      <c r="S466" s="251" t="e">
        <f t="shared" si="204"/>
        <v>#VALUE!</v>
      </c>
      <c r="T466" s="251">
        <f t="shared" si="205"/>
        <v>0</v>
      </c>
      <c r="V466" s="199">
        <f t="shared" si="206"/>
        <v>0</v>
      </c>
      <c r="W466" s="161" t="e">
        <f t="shared" si="207"/>
        <v>#N/A</v>
      </c>
      <c r="X466" s="161" t="e">
        <f t="shared" si="208"/>
        <v>#N/A</v>
      </c>
      <c r="Y466" s="161">
        <f t="shared" si="213"/>
        <v>441</v>
      </c>
      <c r="Z466" s="161">
        <f t="shared" ca="1" si="214"/>
        <v>3</v>
      </c>
      <c r="AG466" s="114">
        <f t="shared" si="209"/>
        <v>0</v>
      </c>
      <c r="AH466" s="113"/>
      <c r="AI466" s="199">
        <f ca="1">IF(AL466=0,0,IF(AL466&gt;Preenchimento!$AA$88*12,0,IF($AC$53=AM466,0,1)))</f>
        <v>0</v>
      </c>
      <c r="AJ466" s="161" t="e">
        <f t="shared" ca="1" si="210"/>
        <v>#N/A</v>
      </c>
      <c r="AK466" s="161" t="e">
        <f t="shared" ca="1" si="211"/>
        <v>#N/A</v>
      </c>
      <c r="AL466" s="161">
        <f ca="1">IF(Y466&gt;(Preenchimento!$AA$90*12),0,Fixa!Y466)</f>
        <v>0</v>
      </c>
      <c r="AM466" s="161">
        <f t="shared" ca="1" si="189"/>
        <v>3</v>
      </c>
      <c r="AN466" s="199">
        <f ca="1">IF(AQ466&gt;Preenchimento!$AA$90*12,0,1)</f>
        <v>0</v>
      </c>
      <c r="AO466" s="161" t="e">
        <f ca="1">1/((1+SAC!$AD$29)^AL466)</f>
        <v>#N/A</v>
      </c>
      <c r="AP466" s="82" t="e">
        <f t="shared" ca="1" si="212"/>
        <v>#N/A</v>
      </c>
      <c r="AQ466" s="82">
        <v>441</v>
      </c>
      <c r="AS466" s="477">
        <f t="shared" ca="1" si="188"/>
        <v>0</v>
      </c>
    </row>
    <row r="467" spans="2:45">
      <c r="B467" s="249">
        <f ca="1">DATE(IF(MONTH(B466)=12,YEAR(B466)+1,YEAR(B466)),IF(MONTH(B466)=12,1,MONTH(B466)+1),MIN(DAY(Condições!$C$109),IF(IF(MONTH(B466)=12,1,MONTH(B466)+1)=2,IF(MOD(IF(MONTH(B466)=12,YEAR(B466)+1,YEAR(B466)),4)=0,29,28),IF(OR(IF(MONTH(B466)=12,1,MONTH(B466)+1)=4,IF(MONTH(B466)=12,1,MONTH(B466)+1)=6,IF(MONTH(B466)=12,1,MONTH(B466)+1)=9,IF(MONTH(B466)=12,1,MONTH(B466)+1)=11),30,DAY($B$25)))))</f>
        <v>59642</v>
      </c>
      <c r="C467" s="250" t="str">
        <f t="shared" si="190"/>
        <v/>
      </c>
      <c r="D467" s="251" t="e">
        <f t="shared" si="191"/>
        <v>#N/A</v>
      </c>
      <c r="E467" s="251">
        <f t="shared" si="192"/>
        <v>0</v>
      </c>
      <c r="F467" s="251">
        <f t="shared" si="193"/>
        <v>0</v>
      </c>
      <c r="G467" s="251">
        <f t="shared" si="194"/>
        <v>0</v>
      </c>
      <c r="H467" s="251" t="e">
        <f t="shared" si="195"/>
        <v>#VALUE!</v>
      </c>
      <c r="I467" s="251">
        <f t="shared" si="196"/>
        <v>0</v>
      </c>
      <c r="J467" s="251">
        <f t="shared" si="197"/>
        <v>0</v>
      </c>
      <c r="K467" s="251">
        <f t="shared" si="198"/>
        <v>0</v>
      </c>
      <c r="N467" s="225">
        <f t="shared" si="199"/>
        <v>0</v>
      </c>
      <c r="O467" s="251" t="e">
        <f t="shared" si="200"/>
        <v>#N/A</v>
      </c>
      <c r="P467" s="251">
        <f t="shared" si="201"/>
        <v>0</v>
      </c>
      <c r="Q467" s="251">
        <f t="shared" si="202"/>
        <v>0</v>
      </c>
      <c r="R467" s="251">
        <f t="shared" si="203"/>
        <v>0</v>
      </c>
      <c r="S467" s="251" t="e">
        <f t="shared" si="204"/>
        <v>#VALUE!</v>
      </c>
      <c r="T467" s="251">
        <f t="shared" si="205"/>
        <v>0</v>
      </c>
      <c r="V467" s="199">
        <f t="shared" si="206"/>
        <v>0</v>
      </c>
      <c r="W467" s="161" t="e">
        <f t="shared" si="207"/>
        <v>#N/A</v>
      </c>
      <c r="X467" s="161" t="e">
        <f t="shared" si="208"/>
        <v>#N/A</v>
      </c>
      <c r="Y467" s="161">
        <f t="shared" si="213"/>
        <v>442</v>
      </c>
      <c r="Z467" s="161">
        <f t="shared" ca="1" si="214"/>
        <v>4</v>
      </c>
      <c r="AG467" s="114">
        <f t="shared" si="209"/>
        <v>0</v>
      </c>
      <c r="AH467" s="113"/>
      <c r="AI467" s="199">
        <f ca="1">IF(AL467=0,0,IF(AL467&gt;Preenchimento!$AA$88*12,0,IF($AC$53=AM467,0,1)))</f>
        <v>0</v>
      </c>
      <c r="AJ467" s="161" t="e">
        <f t="shared" ca="1" si="210"/>
        <v>#N/A</v>
      </c>
      <c r="AK467" s="161" t="e">
        <f t="shared" ca="1" si="211"/>
        <v>#N/A</v>
      </c>
      <c r="AL467" s="161">
        <f ca="1">IF(Y467&gt;(Preenchimento!$AA$90*12),0,Fixa!Y467)</f>
        <v>0</v>
      </c>
      <c r="AM467" s="161">
        <f t="shared" ca="1" si="189"/>
        <v>4</v>
      </c>
      <c r="AN467" s="199">
        <f ca="1">IF(AQ467&gt;Preenchimento!$AA$90*12,0,1)</f>
        <v>0</v>
      </c>
      <c r="AO467" s="161" t="e">
        <f ca="1">1/((1+SAC!$AD$29)^AL467)</f>
        <v>#N/A</v>
      </c>
      <c r="AP467" s="82" t="e">
        <f t="shared" ca="1" si="212"/>
        <v>#N/A</v>
      </c>
      <c r="AQ467" s="82">
        <v>442</v>
      </c>
      <c r="AS467" s="477">
        <f t="shared" ca="1" si="188"/>
        <v>0</v>
      </c>
    </row>
    <row r="468" spans="2:45">
      <c r="B468" s="249">
        <f ca="1">DATE(IF(MONTH(B467)=12,YEAR(B467)+1,YEAR(B467)),IF(MONTH(B467)=12,1,MONTH(B467)+1),MIN(DAY(Condições!$C$109),IF(IF(MONTH(B467)=12,1,MONTH(B467)+1)=2,IF(MOD(IF(MONTH(B467)=12,YEAR(B467)+1,YEAR(B467)),4)=0,29,28),IF(OR(IF(MONTH(B467)=12,1,MONTH(B467)+1)=4,IF(MONTH(B467)=12,1,MONTH(B467)+1)=6,IF(MONTH(B467)=12,1,MONTH(B467)+1)=9,IF(MONTH(B467)=12,1,MONTH(B467)+1)=11),30,DAY($B$25)))))</f>
        <v>59672</v>
      </c>
      <c r="C468" s="250" t="str">
        <f t="shared" si="190"/>
        <v/>
      </c>
      <c r="D468" s="251" t="e">
        <f t="shared" si="191"/>
        <v>#N/A</v>
      </c>
      <c r="E468" s="251">
        <f t="shared" si="192"/>
        <v>0</v>
      </c>
      <c r="F468" s="251">
        <f t="shared" si="193"/>
        <v>0</v>
      </c>
      <c r="G468" s="251">
        <f t="shared" si="194"/>
        <v>0</v>
      </c>
      <c r="H468" s="251" t="e">
        <f t="shared" si="195"/>
        <v>#VALUE!</v>
      </c>
      <c r="I468" s="251">
        <f t="shared" si="196"/>
        <v>0</v>
      </c>
      <c r="J468" s="251">
        <f t="shared" si="197"/>
        <v>0</v>
      </c>
      <c r="K468" s="251">
        <f t="shared" si="198"/>
        <v>0</v>
      </c>
      <c r="N468" s="225">
        <f t="shared" si="199"/>
        <v>0</v>
      </c>
      <c r="O468" s="251" t="e">
        <f t="shared" si="200"/>
        <v>#N/A</v>
      </c>
      <c r="P468" s="251">
        <f t="shared" si="201"/>
        <v>0</v>
      </c>
      <c r="Q468" s="251">
        <f t="shared" si="202"/>
        <v>0</v>
      </c>
      <c r="R468" s="251">
        <f t="shared" si="203"/>
        <v>0</v>
      </c>
      <c r="S468" s="251" t="e">
        <f t="shared" si="204"/>
        <v>#VALUE!</v>
      </c>
      <c r="T468" s="251">
        <f t="shared" si="205"/>
        <v>0</v>
      </c>
      <c r="V468" s="199">
        <f t="shared" si="206"/>
        <v>0</v>
      </c>
      <c r="W468" s="161" t="e">
        <f t="shared" si="207"/>
        <v>#N/A</v>
      </c>
      <c r="X468" s="161" t="e">
        <f t="shared" si="208"/>
        <v>#N/A</v>
      </c>
      <c r="Y468" s="161">
        <f t="shared" si="213"/>
        <v>443</v>
      </c>
      <c r="Z468" s="161">
        <f t="shared" ca="1" si="214"/>
        <v>5</v>
      </c>
      <c r="AG468" s="114">
        <f t="shared" si="209"/>
        <v>0</v>
      </c>
      <c r="AH468" s="113"/>
      <c r="AI468" s="199">
        <f ca="1">IF(AL468=0,0,IF(AL468&gt;Preenchimento!$AA$88*12,0,IF($AC$53=AM468,0,1)))</f>
        <v>0</v>
      </c>
      <c r="AJ468" s="161" t="e">
        <f t="shared" ca="1" si="210"/>
        <v>#N/A</v>
      </c>
      <c r="AK468" s="161" t="e">
        <f t="shared" ca="1" si="211"/>
        <v>#N/A</v>
      </c>
      <c r="AL468" s="161">
        <f ca="1">IF(Y468&gt;(Preenchimento!$AA$90*12),0,Fixa!Y468)</f>
        <v>0</v>
      </c>
      <c r="AM468" s="161">
        <f t="shared" ca="1" si="189"/>
        <v>5</v>
      </c>
      <c r="AN468" s="199">
        <f ca="1">IF(AQ468&gt;Preenchimento!$AA$90*12,0,1)</f>
        <v>0</v>
      </c>
      <c r="AO468" s="161" t="e">
        <f ca="1">1/((1+SAC!$AD$29)^AL468)</f>
        <v>#N/A</v>
      </c>
      <c r="AP468" s="82" t="e">
        <f t="shared" ca="1" si="212"/>
        <v>#N/A</v>
      </c>
      <c r="AQ468" s="82">
        <v>443</v>
      </c>
      <c r="AS468" s="477">
        <f t="shared" ca="1" si="188"/>
        <v>0</v>
      </c>
    </row>
    <row r="469" spans="2:45">
      <c r="B469" s="249">
        <f ca="1">DATE(IF(MONTH(B468)=12,YEAR(B468)+1,YEAR(B468)),IF(MONTH(B468)=12,1,MONTH(B468)+1),MIN(DAY(Condições!$C$109),IF(IF(MONTH(B468)=12,1,MONTH(B468)+1)=2,IF(MOD(IF(MONTH(B468)=12,YEAR(B468)+1,YEAR(B468)),4)=0,29,28),IF(OR(IF(MONTH(B468)=12,1,MONTH(B468)+1)=4,IF(MONTH(B468)=12,1,MONTH(B468)+1)=6,IF(MONTH(B468)=12,1,MONTH(B468)+1)=9,IF(MONTH(B468)=12,1,MONTH(B468)+1)=11),30,DAY($B$25)))))</f>
        <v>59703</v>
      </c>
      <c r="C469" s="250" t="str">
        <f t="shared" si="190"/>
        <v/>
      </c>
      <c r="D469" s="251" t="e">
        <f t="shared" si="191"/>
        <v>#N/A</v>
      </c>
      <c r="E469" s="251">
        <f t="shared" si="192"/>
        <v>0</v>
      </c>
      <c r="F469" s="251">
        <f t="shared" si="193"/>
        <v>0</v>
      </c>
      <c r="G469" s="251">
        <f t="shared" si="194"/>
        <v>0</v>
      </c>
      <c r="H469" s="251" t="e">
        <f t="shared" si="195"/>
        <v>#VALUE!</v>
      </c>
      <c r="I469" s="251">
        <f t="shared" si="196"/>
        <v>0</v>
      </c>
      <c r="J469" s="251">
        <f t="shared" si="197"/>
        <v>0</v>
      </c>
      <c r="K469" s="251">
        <f t="shared" si="198"/>
        <v>0</v>
      </c>
      <c r="N469" s="225">
        <f t="shared" si="199"/>
        <v>0</v>
      </c>
      <c r="O469" s="251" t="e">
        <f t="shared" si="200"/>
        <v>#N/A</v>
      </c>
      <c r="P469" s="251">
        <f t="shared" si="201"/>
        <v>0</v>
      </c>
      <c r="Q469" s="251">
        <f t="shared" si="202"/>
        <v>0</v>
      </c>
      <c r="R469" s="251">
        <f t="shared" si="203"/>
        <v>0</v>
      </c>
      <c r="S469" s="251" t="e">
        <f t="shared" si="204"/>
        <v>#VALUE!</v>
      </c>
      <c r="T469" s="251">
        <f t="shared" si="205"/>
        <v>0</v>
      </c>
      <c r="V469" s="199">
        <f t="shared" si="206"/>
        <v>0</v>
      </c>
      <c r="W469" s="161" t="e">
        <f t="shared" si="207"/>
        <v>#N/A</v>
      </c>
      <c r="X469" s="161" t="e">
        <f t="shared" si="208"/>
        <v>#N/A</v>
      </c>
      <c r="Y469" s="161">
        <f t="shared" si="213"/>
        <v>444</v>
      </c>
      <c r="Z469" s="161">
        <f t="shared" ca="1" si="214"/>
        <v>6</v>
      </c>
      <c r="AG469" s="114">
        <f t="shared" si="209"/>
        <v>0</v>
      </c>
      <c r="AH469" s="113"/>
      <c r="AI469" s="199">
        <f ca="1">IF(AL469=0,0,IF(AL469&gt;Preenchimento!$AA$88*12,0,IF($AC$53=AM469,0,1)))</f>
        <v>0</v>
      </c>
      <c r="AJ469" s="161" t="e">
        <f t="shared" ca="1" si="210"/>
        <v>#N/A</v>
      </c>
      <c r="AK469" s="161" t="e">
        <f t="shared" ca="1" si="211"/>
        <v>#N/A</v>
      </c>
      <c r="AL469" s="161">
        <f ca="1">IF(Y469&gt;(Preenchimento!$AA$90*12),0,Fixa!Y469)</f>
        <v>0</v>
      </c>
      <c r="AM469" s="161">
        <f t="shared" ca="1" si="189"/>
        <v>6</v>
      </c>
      <c r="AN469" s="199">
        <f ca="1">IF(AQ469&gt;Preenchimento!$AA$90*12,0,1)</f>
        <v>0</v>
      </c>
      <c r="AO469" s="161" t="e">
        <f ca="1">1/((1+SAC!$AD$29)^AL469)</f>
        <v>#N/A</v>
      </c>
      <c r="AP469" s="82" t="e">
        <f t="shared" ca="1" si="212"/>
        <v>#N/A</v>
      </c>
      <c r="AQ469" s="82">
        <v>444</v>
      </c>
      <c r="AS469" s="477">
        <f t="shared" ca="1" si="188"/>
        <v>0</v>
      </c>
    </row>
    <row r="470" spans="2:45">
      <c r="B470" s="249">
        <f ca="1">DATE(IF(MONTH(B469)=12,YEAR(B469)+1,YEAR(B469)),IF(MONTH(B469)=12,1,MONTH(B469)+1),MIN(DAY(Condições!$C$109),IF(IF(MONTH(B469)=12,1,MONTH(B469)+1)=2,IF(MOD(IF(MONTH(B469)=12,YEAR(B469)+1,YEAR(B469)),4)=0,29,28),IF(OR(IF(MONTH(B469)=12,1,MONTH(B469)+1)=4,IF(MONTH(B469)=12,1,MONTH(B469)+1)=6,IF(MONTH(B469)=12,1,MONTH(B469)+1)=9,IF(MONTH(B469)=12,1,MONTH(B469)+1)=11),30,DAY($B$25)))))</f>
        <v>59733</v>
      </c>
      <c r="C470" s="250" t="str">
        <f t="shared" si="190"/>
        <v/>
      </c>
      <c r="D470" s="251" t="e">
        <f t="shared" si="191"/>
        <v>#N/A</v>
      </c>
      <c r="E470" s="251">
        <f t="shared" si="192"/>
        <v>0</v>
      </c>
      <c r="F470" s="251">
        <f t="shared" si="193"/>
        <v>0</v>
      </c>
      <c r="G470" s="251">
        <f t="shared" si="194"/>
        <v>0</v>
      </c>
      <c r="H470" s="251" t="e">
        <f t="shared" si="195"/>
        <v>#VALUE!</v>
      </c>
      <c r="I470" s="251">
        <f t="shared" si="196"/>
        <v>0</v>
      </c>
      <c r="J470" s="251">
        <f t="shared" si="197"/>
        <v>0</v>
      </c>
      <c r="K470" s="251">
        <f t="shared" si="198"/>
        <v>0</v>
      </c>
      <c r="N470" s="225">
        <f t="shared" si="199"/>
        <v>0</v>
      </c>
      <c r="O470" s="251" t="e">
        <f t="shared" si="200"/>
        <v>#N/A</v>
      </c>
      <c r="P470" s="251">
        <f t="shared" si="201"/>
        <v>0</v>
      </c>
      <c r="Q470" s="251">
        <f t="shared" si="202"/>
        <v>0</v>
      </c>
      <c r="R470" s="251">
        <f t="shared" si="203"/>
        <v>0</v>
      </c>
      <c r="S470" s="251" t="e">
        <f t="shared" si="204"/>
        <v>#VALUE!</v>
      </c>
      <c r="T470" s="251">
        <f t="shared" si="205"/>
        <v>0</v>
      </c>
      <c r="V470" s="199">
        <f t="shared" si="206"/>
        <v>0</v>
      </c>
      <c r="W470" s="161" t="e">
        <f t="shared" si="207"/>
        <v>#N/A</v>
      </c>
      <c r="X470" s="161" t="e">
        <f t="shared" si="208"/>
        <v>#N/A</v>
      </c>
      <c r="Y470" s="161">
        <f t="shared" si="213"/>
        <v>445</v>
      </c>
      <c r="Z470" s="161">
        <f t="shared" ca="1" si="214"/>
        <v>7</v>
      </c>
      <c r="AG470" s="114">
        <f t="shared" si="209"/>
        <v>0</v>
      </c>
      <c r="AH470" s="113"/>
      <c r="AI470" s="199">
        <f ca="1">IF(AL470=0,0,IF(AL470&gt;Preenchimento!$AA$88*12,0,IF($AC$53=AM470,0,1)))</f>
        <v>0</v>
      </c>
      <c r="AJ470" s="161" t="e">
        <f t="shared" ca="1" si="210"/>
        <v>#N/A</v>
      </c>
      <c r="AK470" s="161" t="e">
        <f t="shared" ca="1" si="211"/>
        <v>#N/A</v>
      </c>
      <c r="AL470" s="161">
        <f ca="1">IF(Y470&gt;(Preenchimento!$AA$90*12),0,Fixa!Y470)</f>
        <v>0</v>
      </c>
      <c r="AM470" s="161">
        <f t="shared" ca="1" si="189"/>
        <v>7</v>
      </c>
      <c r="AN470" s="199">
        <f ca="1">IF(AQ470&gt;Preenchimento!$AA$90*12,0,1)</f>
        <v>0</v>
      </c>
      <c r="AO470" s="161" t="e">
        <f ca="1">1/((1+SAC!$AD$29)^AL470)</f>
        <v>#N/A</v>
      </c>
      <c r="AP470" s="82" t="e">
        <f t="shared" ca="1" si="212"/>
        <v>#N/A</v>
      </c>
      <c r="AQ470" s="82">
        <v>445</v>
      </c>
      <c r="AS470" s="477">
        <f t="shared" ca="1" si="188"/>
        <v>0</v>
      </c>
    </row>
    <row r="471" spans="2:45">
      <c r="B471" s="249">
        <f ca="1">DATE(IF(MONTH(B470)=12,YEAR(B470)+1,YEAR(B470)),IF(MONTH(B470)=12,1,MONTH(B470)+1),MIN(DAY(Condições!$C$109),IF(IF(MONTH(B470)=12,1,MONTH(B470)+1)=2,IF(MOD(IF(MONTH(B470)=12,YEAR(B470)+1,YEAR(B470)),4)=0,29,28),IF(OR(IF(MONTH(B470)=12,1,MONTH(B470)+1)=4,IF(MONTH(B470)=12,1,MONTH(B470)+1)=6,IF(MONTH(B470)=12,1,MONTH(B470)+1)=9,IF(MONTH(B470)=12,1,MONTH(B470)+1)=11),30,DAY($B$25)))))</f>
        <v>59764</v>
      </c>
      <c r="C471" s="250" t="str">
        <f t="shared" si="190"/>
        <v/>
      </c>
      <c r="D471" s="251" t="e">
        <f t="shared" si="191"/>
        <v>#N/A</v>
      </c>
      <c r="E471" s="251">
        <f t="shared" si="192"/>
        <v>0</v>
      </c>
      <c r="F471" s="251">
        <f t="shared" si="193"/>
        <v>0</v>
      </c>
      <c r="G471" s="251">
        <f t="shared" si="194"/>
        <v>0</v>
      </c>
      <c r="H471" s="251" t="e">
        <f t="shared" si="195"/>
        <v>#VALUE!</v>
      </c>
      <c r="I471" s="251">
        <f t="shared" si="196"/>
        <v>0</v>
      </c>
      <c r="J471" s="251">
        <f t="shared" si="197"/>
        <v>0</v>
      </c>
      <c r="K471" s="251">
        <f t="shared" si="198"/>
        <v>0</v>
      </c>
      <c r="N471" s="225">
        <f t="shared" si="199"/>
        <v>0</v>
      </c>
      <c r="O471" s="251" t="e">
        <f t="shared" si="200"/>
        <v>#N/A</v>
      </c>
      <c r="P471" s="251">
        <f t="shared" si="201"/>
        <v>0</v>
      </c>
      <c r="Q471" s="251">
        <f t="shared" si="202"/>
        <v>0</v>
      </c>
      <c r="R471" s="251">
        <f t="shared" si="203"/>
        <v>0</v>
      </c>
      <c r="S471" s="251" t="e">
        <f t="shared" si="204"/>
        <v>#VALUE!</v>
      </c>
      <c r="T471" s="251">
        <f t="shared" si="205"/>
        <v>0</v>
      </c>
      <c r="V471" s="199">
        <f t="shared" si="206"/>
        <v>0</v>
      </c>
      <c r="W471" s="161" t="e">
        <f t="shared" si="207"/>
        <v>#N/A</v>
      </c>
      <c r="X471" s="161" t="e">
        <f t="shared" si="208"/>
        <v>#N/A</v>
      </c>
      <c r="Y471" s="161">
        <f t="shared" si="213"/>
        <v>446</v>
      </c>
      <c r="Z471" s="161">
        <f t="shared" ca="1" si="214"/>
        <v>8</v>
      </c>
      <c r="AG471" s="114">
        <f t="shared" si="209"/>
        <v>0</v>
      </c>
      <c r="AH471" s="113"/>
      <c r="AI471" s="199">
        <f ca="1">IF(AL471=0,0,IF(AL471&gt;Preenchimento!$AA$88*12,0,IF($AC$53=AM471,0,1)))</f>
        <v>0</v>
      </c>
      <c r="AJ471" s="161" t="e">
        <f t="shared" ca="1" si="210"/>
        <v>#N/A</v>
      </c>
      <c r="AK471" s="161" t="e">
        <f t="shared" ca="1" si="211"/>
        <v>#N/A</v>
      </c>
      <c r="AL471" s="161">
        <f ca="1">IF(Y471&gt;(Preenchimento!$AA$90*12),0,Fixa!Y471)</f>
        <v>0</v>
      </c>
      <c r="AM471" s="161">
        <f t="shared" ca="1" si="189"/>
        <v>8</v>
      </c>
      <c r="AN471" s="199">
        <f ca="1">IF(AQ471&gt;Preenchimento!$AA$90*12,0,1)</f>
        <v>0</v>
      </c>
      <c r="AO471" s="161" t="e">
        <f ca="1">1/((1+SAC!$AD$29)^AL471)</f>
        <v>#N/A</v>
      </c>
      <c r="AP471" s="82" t="e">
        <f t="shared" ca="1" si="212"/>
        <v>#N/A</v>
      </c>
      <c r="AQ471" s="82">
        <v>446</v>
      </c>
      <c r="AS471" s="477">
        <f t="shared" ca="1" si="188"/>
        <v>0</v>
      </c>
    </row>
    <row r="472" spans="2:45">
      <c r="B472" s="249">
        <f ca="1">DATE(IF(MONTH(B471)=12,YEAR(B471)+1,YEAR(B471)),IF(MONTH(B471)=12,1,MONTH(B471)+1),MIN(DAY(Condições!$C$109),IF(IF(MONTH(B471)=12,1,MONTH(B471)+1)=2,IF(MOD(IF(MONTH(B471)=12,YEAR(B471)+1,YEAR(B471)),4)=0,29,28),IF(OR(IF(MONTH(B471)=12,1,MONTH(B471)+1)=4,IF(MONTH(B471)=12,1,MONTH(B471)+1)=6,IF(MONTH(B471)=12,1,MONTH(B471)+1)=9,IF(MONTH(B471)=12,1,MONTH(B471)+1)=11),30,DAY($B$25)))))</f>
        <v>59795</v>
      </c>
      <c r="C472" s="250" t="str">
        <f t="shared" si="190"/>
        <v/>
      </c>
      <c r="D472" s="251" t="e">
        <f t="shared" si="191"/>
        <v>#N/A</v>
      </c>
      <c r="E472" s="251">
        <f t="shared" si="192"/>
        <v>0</v>
      </c>
      <c r="F472" s="251">
        <f t="shared" si="193"/>
        <v>0</v>
      </c>
      <c r="G472" s="251">
        <f t="shared" si="194"/>
        <v>0</v>
      </c>
      <c r="H472" s="251" t="e">
        <f t="shared" si="195"/>
        <v>#VALUE!</v>
      </c>
      <c r="I472" s="251">
        <f t="shared" si="196"/>
        <v>0</v>
      </c>
      <c r="J472" s="251">
        <f t="shared" si="197"/>
        <v>0</v>
      </c>
      <c r="K472" s="251">
        <f t="shared" si="198"/>
        <v>0</v>
      </c>
      <c r="N472" s="225">
        <f t="shared" si="199"/>
        <v>0</v>
      </c>
      <c r="O472" s="251" t="e">
        <f t="shared" si="200"/>
        <v>#N/A</v>
      </c>
      <c r="P472" s="251">
        <f t="shared" si="201"/>
        <v>0</v>
      </c>
      <c r="Q472" s="251">
        <f t="shared" si="202"/>
        <v>0</v>
      </c>
      <c r="R472" s="251">
        <f t="shared" si="203"/>
        <v>0</v>
      </c>
      <c r="S472" s="251" t="e">
        <f t="shared" si="204"/>
        <v>#VALUE!</v>
      </c>
      <c r="T472" s="251">
        <f t="shared" si="205"/>
        <v>0</v>
      </c>
      <c r="V472" s="199">
        <f t="shared" si="206"/>
        <v>0</v>
      </c>
      <c r="W472" s="161" t="e">
        <f t="shared" si="207"/>
        <v>#N/A</v>
      </c>
      <c r="X472" s="161" t="e">
        <f t="shared" si="208"/>
        <v>#N/A</v>
      </c>
      <c r="Y472" s="161">
        <f t="shared" si="213"/>
        <v>447</v>
      </c>
      <c r="Z472" s="161">
        <f t="shared" ca="1" si="214"/>
        <v>9</v>
      </c>
      <c r="AG472" s="114">
        <f t="shared" si="209"/>
        <v>0</v>
      </c>
      <c r="AH472" s="113"/>
      <c r="AI472" s="199">
        <f ca="1">IF(AL472=0,0,IF(AL472&gt;Preenchimento!$AA$88*12,0,IF($AC$53=AM472,0,1)))</f>
        <v>0</v>
      </c>
      <c r="AJ472" s="161" t="e">
        <f t="shared" ca="1" si="210"/>
        <v>#N/A</v>
      </c>
      <c r="AK472" s="161" t="e">
        <f t="shared" ca="1" si="211"/>
        <v>#N/A</v>
      </c>
      <c r="AL472" s="161">
        <f ca="1">IF(Y472&gt;(Preenchimento!$AA$90*12),0,Fixa!Y472)</f>
        <v>0</v>
      </c>
      <c r="AM472" s="161">
        <f t="shared" ca="1" si="189"/>
        <v>9</v>
      </c>
      <c r="AN472" s="199">
        <f ca="1">IF(AQ472&gt;Preenchimento!$AA$90*12,0,1)</f>
        <v>0</v>
      </c>
      <c r="AO472" s="161" t="e">
        <f ca="1">1/((1+SAC!$AD$29)^AL472)</f>
        <v>#N/A</v>
      </c>
      <c r="AP472" s="82" t="e">
        <f t="shared" ca="1" si="212"/>
        <v>#N/A</v>
      </c>
      <c r="AQ472" s="82">
        <v>447</v>
      </c>
      <c r="AS472" s="477">
        <f t="shared" ca="1" si="188"/>
        <v>0</v>
      </c>
    </row>
    <row r="473" spans="2:45">
      <c r="B473" s="249">
        <f ca="1">DATE(IF(MONTH(B472)=12,YEAR(B472)+1,YEAR(B472)),IF(MONTH(B472)=12,1,MONTH(B472)+1),MIN(DAY(Condições!$C$109),IF(IF(MONTH(B472)=12,1,MONTH(B472)+1)=2,IF(MOD(IF(MONTH(B472)=12,YEAR(B472)+1,YEAR(B472)),4)=0,29,28),IF(OR(IF(MONTH(B472)=12,1,MONTH(B472)+1)=4,IF(MONTH(B472)=12,1,MONTH(B472)+1)=6,IF(MONTH(B472)=12,1,MONTH(B472)+1)=9,IF(MONTH(B472)=12,1,MONTH(B472)+1)=11),30,DAY($B$25)))))</f>
        <v>59825</v>
      </c>
      <c r="C473" s="250" t="str">
        <f t="shared" si="190"/>
        <v/>
      </c>
      <c r="D473" s="251" t="e">
        <f t="shared" si="191"/>
        <v>#N/A</v>
      </c>
      <c r="E473" s="251">
        <f t="shared" si="192"/>
        <v>0</v>
      </c>
      <c r="F473" s="251">
        <f t="shared" si="193"/>
        <v>0</v>
      </c>
      <c r="G473" s="251">
        <f t="shared" si="194"/>
        <v>0</v>
      </c>
      <c r="H473" s="251" t="e">
        <f t="shared" si="195"/>
        <v>#VALUE!</v>
      </c>
      <c r="I473" s="251">
        <f t="shared" si="196"/>
        <v>0</v>
      </c>
      <c r="J473" s="251">
        <f t="shared" si="197"/>
        <v>0</v>
      </c>
      <c r="K473" s="251">
        <f t="shared" si="198"/>
        <v>0</v>
      </c>
      <c r="N473" s="225">
        <f t="shared" si="199"/>
        <v>0</v>
      </c>
      <c r="O473" s="251" t="e">
        <f t="shared" si="200"/>
        <v>#N/A</v>
      </c>
      <c r="P473" s="251">
        <f t="shared" si="201"/>
        <v>0</v>
      </c>
      <c r="Q473" s="251">
        <f t="shared" si="202"/>
        <v>0</v>
      </c>
      <c r="R473" s="251">
        <f t="shared" si="203"/>
        <v>0</v>
      </c>
      <c r="S473" s="251" t="e">
        <f t="shared" si="204"/>
        <v>#VALUE!</v>
      </c>
      <c r="T473" s="251">
        <f t="shared" si="205"/>
        <v>0</v>
      </c>
      <c r="V473" s="199">
        <f t="shared" si="206"/>
        <v>0</v>
      </c>
      <c r="W473" s="161" t="e">
        <f t="shared" si="207"/>
        <v>#N/A</v>
      </c>
      <c r="X473" s="161" t="e">
        <f t="shared" si="208"/>
        <v>#N/A</v>
      </c>
      <c r="Y473" s="161">
        <f t="shared" si="213"/>
        <v>448</v>
      </c>
      <c r="Z473" s="161">
        <f t="shared" ca="1" si="214"/>
        <v>10</v>
      </c>
      <c r="AG473" s="114">
        <f t="shared" si="209"/>
        <v>0</v>
      </c>
      <c r="AH473" s="113"/>
      <c r="AI473" s="199">
        <f ca="1">IF(AL473=0,0,IF(AL473&gt;Preenchimento!$AA$88*12,0,IF($AC$53=AM473,0,1)))</f>
        <v>0</v>
      </c>
      <c r="AJ473" s="161" t="e">
        <f t="shared" ca="1" si="210"/>
        <v>#N/A</v>
      </c>
      <c r="AK473" s="161" t="e">
        <f t="shared" ca="1" si="211"/>
        <v>#N/A</v>
      </c>
      <c r="AL473" s="161">
        <f ca="1">IF(Y473&gt;(Preenchimento!$AA$90*12),0,Fixa!Y473)</f>
        <v>0</v>
      </c>
      <c r="AM473" s="161">
        <f t="shared" ca="1" si="189"/>
        <v>10</v>
      </c>
      <c r="AN473" s="199">
        <f ca="1">IF(AQ473&gt;Preenchimento!$AA$90*12,0,1)</f>
        <v>0</v>
      </c>
      <c r="AO473" s="161" t="e">
        <f ca="1">1/((1+SAC!$AD$29)^AL473)</f>
        <v>#N/A</v>
      </c>
      <c r="AP473" s="82" t="e">
        <f t="shared" ca="1" si="212"/>
        <v>#N/A</v>
      </c>
      <c r="AQ473" s="82">
        <v>448</v>
      </c>
      <c r="AS473" s="477">
        <f t="shared" ca="1" si="188"/>
        <v>0</v>
      </c>
    </row>
    <row r="474" spans="2:45">
      <c r="B474" s="249">
        <f ca="1">DATE(IF(MONTH(B473)=12,YEAR(B473)+1,YEAR(B473)),IF(MONTH(B473)=12,1,MONTH(B473)+1),MIN(DAY(Condições!$C$109),IF(IF(MONTH(B473)=12,1,MONTH(B473)+1)=2,IF(MOD(IF(MONTH(B473)=12,YEAR(B473)+1,YEAR(B473)),4)=0,29,28),IF(OR(IF(MONTH(B473)=12,1,MONTH(B473)+1)=4,IF(MONTH(B473)=12,1,MONTH(B473)+1)=6,IF(MONTH(B473)=12,1,MONTH(B473)+1)=9,IF(MONTH(B473)=12,1,MONTH(B473)+1)=11),30,DAY($B$25)))))</f>
        <v>59856</v>
      </c>
      <c r="C474" s="250" t="str">
        <f t="shared" si="190"/>
        <v/>
      </c>
      <c r="D474" s="251" t="e">
        <f t="shared" si="191"/>
        <v>#N/A</v>
      </c>
      <c r="E474" s="251">
        <f t="shared" si="192"/>
        <v>0</v>
      </c>
      <c r="F474" s="251">
        <f t="shared" si="193"/>
        <v>0</v>
      </c>
      <c r="G474" s="251">
        <f t="shared" si="194"/>
        <v>0</v>
      </c>
      <c r="H474" s="251" t="e">
        <f t="shared" si="195"/>
        <v>#VALUE!</v>
      </c>
      <c r="I474" s="251">
        <f t="shared" si="196"/>
        <v>0</v>
      </c>
      <c r="J474" s="251">
        <f t="shared" si="197"/>
        <v>0</v>
      </c>
      <c r="K474" s="251">
        <f t="shared" si="198"/>
        <v>0</v>
      </c>
      <c r="N474" s="225">
        <f t="shared" si="199"/>
        <v>0</v>
      </c>
      <c r="O474" s="251" t="e">
        <f t="shared" si="200"/>
        <v>#N/A</v>
      </c>
      <c r="P474" s="251">
        <f t="shared" si="201"/>
        <v>0</v>
      </c>
      <c r="Q474" s="251">
        <f t="shared" si="202"/>
        <v>0</v>
      </c>
      <c r="R474" s="251">
        <f t="shared" si="203"/>
        <v>0</v>
      </c>
      <c r="S474" s="251" t="e">
        <f t="shared" si="204"/>
        <v>#VALUE!</v>
      </c>
      <c r="T474" s="251">
        <f t="shared" si="205"/>
        <v>0</v>
      </c>
      <c r="V474" s="199">
        <f t="shared" si="206"/>
        <v>0</v>
      </c>
      <c r="W474" s="161" t="e">
        <f t="shared" si="207"/>
        <v>#N/A</v>
      </c>
      <c r="X474" s="161" t="e">
        <f t="shared" si="208"/>
        <v>#N/A</v>
      </c>
      <c r="Y474" s="161">
        <f t="shared" si="213"/>
        <v>449</v>
      </c>
      <c r="Z474" s="161">
        <f t="shared" ca="1" si="214"/>
        <v>11</v>
      </c>
      <c r="AG474" s="114">
        <f t="shared" si="209"/>
        <v>0</v>
      </c>
      <c r="AH474" s="113"/>
      <c r="AI474" s="199">
        <f ca="1">IF(AL474=0,0,IF(AL474&gt;Preenchimento!$AA$88*12,0,IF($AC$53=AM474,0,1)))</f>
        <v>0</v>
      </c>
      <c r="AJ474" s="161" t="e">
        <f t="shared" ca="1" si="210"/>
        <v>#N/A</v>
      </c>
      <c r="AK474" s="161" t="e">
        <f t="shared" ca="1" si="211"/>
        <v>#N/A</v>
      </c>
      <c r="AL474" s="161">
        <f ca="1">IF(Y474&gt;(Preenchimento!$AA$90*12),0,Fixa!Y474)</f>
        <v>0</v>
      </c>
      <c r="AM474" s="161">
        <f t="shared" ca="1" si="189"/>
        <v>11</v>
      </c>
      <c r="AN474" s="199">
        <f ca="1">IF(AQ474&gt;Preenchimento!$AA$90*12,0,1)</f>
        <v>0</v>
      </c>
      <c r="AO474" s="161" t="e">
        <f ca="1">1/((1+SAC!$AD$29)^AL474)</f>
        <v>#N/A</v>
      </c>
      <c r="AP474" s="82" t="e">
        <f t="shared" ca="1" si="212"/>
        <v>#N/A</v>
      </c>
      <c r="AQ474" s="82">
        <v>449</v>
      </c>
      <c r="AS474" s="477">
        <f t="shared" ref="AS474:AS511" ca="1" si="215">IFERROR(IF(Z473&gt;$AC$46,0,R474),0)</f>
        <v>0</v>
      </c>
    </row>
    <row r="475" spans="2:45">
      <c r="B475" s="249">
        <f ca="1">DATE(IF(MONTH(B474)=12,YEAR(B474)+1,YEAR(B474)),IF(MONTH(B474)=12,1,MONTH(B474)+1),MIN(DAY(Condições!$C$109),IF(IF(MONTH(B474)=12,1,MONTH(B474)+1)=2,IF(MOD(IF(MONTH(B474)=12,YEAR(B474)+1,YEAR(B474)),4)=0,29,28),IF(OR(IF(MONTH(B474)=12,1,MONTH(B474)+1)=4,IF(MONTH(B474)=12,1,MONTH(B474)+1)=6,IF(MONTH(B474)=12,1,MONTH(B474)+1)=9,IF(MONTH(B474)=12,1,MONTH(B474)+1)=11),30,DAY($B$25)))))</f>
        <v>59886</v>
      </c>
      <c r="C475" s="250" t="str">
        <f t="shared" si="190"/>
        <v/>
      </c>
      <c r="D475" s="251" t="e">
        <f t="shared" si="191"/>
        <v>#N/A</v>
      </c>
      <c r="E475" s="251">
        <f t="shared" si="192"/>
        <v>0</v>
      </c>
      <c r="F475" s="251">
        <f t="shared" si="193"/>
        <v>0</v>
      </c>
      <c r="G475" s="251">
        <f t="shared" si="194"/>
        <v>0</v>
      </c>
      <c r="H475" s="251" t="e">
        <f t="shared" si="195"/>
        <v>#VALUE!</v>
      </c>
      <c r="I475" s="251">
        <f t="shared" si="196"/>
        <v>0</v>
      </c>
      <c r="J475" s="251">
        <f t="shared" si="197"/>
        <v>0</v>
      </c>
      <c r="K475" s="251">
        <f t="shared" si="198"/>
        <v>0</v>
      </c>
      <c r="N475" s="225">
        <f t="shared" si="199"/>
        <v>0</v>
      </c>
      <c r="O475" s="251" t="e">
        <f t="shared" si="200"/>
        <v>#N/A</v>
      </c>
      <c r="P475" s="251">
        <f t="shared" si="201"/>
        <v>0</v>
      </c>
      <c r="Q475" s="251">
        <f t="shared" si="202"/>
        <v>0</v>
      </c>
      <c r="R475" s="251">
        <f t="shared" si="203"/>
        <v>0</v>
      </c>
      <c r="S475" s="251" t="e">
        <f t="shared" si="204"/>
        <v>#VALUE!</v>
      </c>
      <c r="T475" s="251">
        <f t="shared" si="205"/>
        <v>0</v>
      </c>
      <c r="V475" s="199">
        <f t="shared" si="206"/>
        <v>0</v>
      </c>
      <c r="W475" s="161" t="e">
        <f t="shared" si="207"/>
        <v>#N/A</v>
      </c>
      <c r="X475" s="161" t="e">
        <f t="shared" si="208"/>
        <v>#N/A</v>
      </c>
      <c r="Y475" s="161">
        <f t="shared" si="213"/>
        <v>450</v>
      </c>
      <c r="Z475" s="161">
        <f t="shared" ca="1" si="214"/>
        <v>12</v>
      </c>
      <c r="AG475" s="114">
        <f t="shared" si="209"/>
        <v>0</v>
      </c>
      <c r="AH475" s="113"/>
      <c r="AI475" s="199">
        <f ca="1">IF(AL475=0,0,IF(AL475&gt;Preenchimento!$AA$88*12,0,IF($AC$53=AM475,0,1)))</f>
        <v>0</v>
      </c>
      <c r="AJ475" s="161" t="e">
        <f t="shared" ca="1" si="210"/>
        <v>#N/A</v>
      </c>
      <c r="AK475" s="161" t="e">
        <f t="shared" ca="1" si="211"/>
        <v>#N/A</v>
      </c>
      <c r="AL475" s="161">
        <f ca="1">IF(Y475&gt;(Preenchimento!$AA$90*12),0,Fixa!Y475)</f>
        <v>0</v>
      </c>
      <c r="AM475" s="161">
        <f t="shared" ref="AM475:AM511" ca="1" si="216">IF(AM474=12,1,AM474+1)</f>
        <v>12</v>
      </c>
      <c r="AN475" s="199">
        <f ca="1">IF(AQ475&gt;Preenchimento!$AA$90*12,0,1)</f>
        <v>0</v>
      </c>
      <c r="AO475" s="161" t="e">
        <f ca="1">1/((1+SAC!$AD$29)^AL475)</f>
        <v>#N/A</v>
      </c>
      <c r="AP475" s="82" t="e">
        <f t="shared" ca="1" si="212"/>
        <v>#N/A</v>
      </c>
      <c r="AQ475" s="82">
        <v>450</v>
      </c>
      <c r="AS475" s="477">
        <f t="shared" ca="1" si="215"/>
        <v>0</v>
      </c>
    </row>
    <row r="476" spans="2:45">
      <c r="B476" s="249">
        <f ca="1">DATE(IF(MONTH(B475)=12,YEAR(B475)+1,YEAR(B475)),IF(MONTH(B475)=12,1,MONTH(B475)+1),MIN(DAY(Condições!$C$109),IF(IF(MONTH(B475)=12,1,MONTH(B475)+1)=2,IF(MOD(IF(MONTH(B475)=12,YEAR(B475)+1,YEAR(B475)),4)=0,29,28),IF(OR(IF(MONTH(B475)=12,1,MONTH(B475)+1)=4,IF(MONTH(B475)=12,1,MONTH(B475)+1)=6,IF(MONTH(B475)=12,1,MONTH(B475)+1)=9,IF(MONTH(B475)=12,1,MONTH(B475)+1)=11),30,DAY($B$25)))))</f>
        <v>59917</v>
      </c>
      <c r="C476" s="250" t="str">
        <f t="shared" si="190"/>
        <v/>
      </c>
      <c r="D476" s="251" t="e">
        <f t="shared" si="191"/>
        <v>#N/A</v>
      </c>
      <c r="E476" s="251">
        <f t="shared" si="192"/>
        <v>0</v>
      </c>
      <c r="F476" s="251">
        <f t="shared" si="193"/>
        <v>0</v>
      </c>
      <c r="G476" s="251">
        <f t="shared" si="194"/>
        <v>0</v>
      </c>
      <c r="H476" s="251" t="e">
        <f t="shared" si="195"/>
        <v>#VALUE!</v>
      </c>
      <c r="I476" s="251">
        <f t="shared" si="196"/>
        <v>0</v>
      </c>
      <c r="J476" s="251">
        <f t="shared" si="197"/>
        <v>0</v>
      </c>
      <c r="K476" s="251">
        <f t="shared" si="198"/>
        <v>0</v>
      </c>
      <c r="N476" s="225">
        <f t="shared" si="199"/>
        <v>0</v>
      </c>
      <c r="O476" s="251" t="e">
        <f t="shared" si="200"/>
        <v>#N/A</v>
      </c>
      <c r="P476" s="251">
        <f t="shared" si="201"/>
        <v>0</v>
      </c>
      <c r="Q476" s="251">
        <f t="shared" si="202"/>
        <v>0</v>
      </c>
      <c r="R476" s="251">
        <f t="shared" si="203"/>
        <v>0</v>
      </c>
      <c r="S476" s="251" t="e">
        <f t="shared" si="204"/>
        <v>#VALUE!</v>
      </c>
      <c r="T476" s="251">
        <f t="shared" si="205"/>
        <v>0</v>
      </c>
      <c r="V476" s="199">
        <f t="shared" si="206"/>
        <v>0</v>
      </c>
      <c r="W476" s="161" t="e">
        <f t="shared" si="207"/>
        <v>#N/A</v>
      </c>
      <c r="X476" s="161" t="e">
        <f t="shared" si="208"/>
        <v>#N/A</v>
      </c>
      <c r="Y476" s="161">
        <f t="shared" si="213"/>
        <v>451</v>
      </c>
      <c r="Z476" s="161">
        <f t="shared" ca="1" si="214"/>
        <v>1</v>
      </c>
      <c r="AG476" s="114">
        <f t="shared" si="209"/>
        <v>0</v>
      </c>
      <c r="AH476" s="113"/>
      <c r="AI476" s="199">
        <f ca="1">IF(AL476=0,0,IF(AL476&gt;Preenchimento!$AA$88*12,0,IF($AC$53=AM476,0,1)))</f>
        <v>0</v>
      </c>
      <c r="AJ476" s="161" t="e">
        <f t="shared" ca="1" si="210"/>
        <v>#N/A</v>
      </c>
      <c r="AK476" s="161" t="e">
        <f t="shared" ca="1" si="211"/>
        <v>#N/A</v>
      </c>
      <c r="AL476" s="161">
        <f ca="1">IF(Y476&gt;(Preenchimento!$AA$90*12),0,Fixa!Y476)</f>
        <v>0</v>
      </c>
      <c r="AM476" s="161">
        <f t="shared" ca="1" si="216"/>
        <v>1</v>
      </c>
      <c r="AN476" s="199">
        <f ca="1">IF(AQ476&gt;Preenchimento!$AA$90*12,0,1)</f>
        <v>0</v>
      </c>
      <c r="AO476" s="161" t="e">
        <f ca="1">1/((1+SAC!$AD$29)^AL476)</f>
        <v>#N/A</v>
      </c>
      <c r="AP476" s="82" t="e">
        <f t="shared" ca="1" si="212"/>
        <v>#N/A</v>
      </c>
      <c r="AQ476" s="82">
        <v>451</v>
      </c>
      <c r="AS476" s="477">
        <f t="shared" ca="1" si="215"/>
        <v>0</v>
      </c>
    </row>
    <row r="477" spans="2:45">
      <c r="B477" s="249">
        <f ca="1">DATE(IF(MONTH(B476)=12,YEAR(B476)+1,YEAR(B476)),IF(MONTH(B476)=12,1,MONTH(B476)+1),MIN(DAY(Condições!$C$109),IF(IF(MONTH(B476)=12,1,MONTH(B476)+1)=2,IF(MOD(IF(MONTH(B476)=12,YEAR(B476)+1,YEAR(B476)),4)=0,29,28),IF(OR(IF(MONTH(B476)=12,1,MONTH(B476)+1)=4,IF(MONTH(B476)=12,1,MONTH(B476)+1)=6,IF(MONTH(B476)=12,1,MONTH(B476)+1)=9,IF(MONTH(B476)=12,1,MONTH(B476)+1)=11),30,DAY($B$25)))))</f>
        <v>59948</v>
      </c>
      <c r="C477" s="250" t="str">
        <f t="shared" si="190"/>
        <v/>
      </c>
      <c r="D477" s="251" t="e">
        <f t="shared" si="191"/>
        <v>#N/A</v>
      </c>
      <c r="E477" s="251">
        <f t="shared" si="192"/>
        <v>0</v>
      </c>
      <c r="F477" s="251">
        <f t="shared" si="193"/>
        <v>0</v>
      </c>
      <c r="G477" s="251">
        <f t="shared" si="194"/>
        <v>0</v>
      </c>
      <c r="H477" s="251" t="e">
        <f t="shared" si="195"/>
        <v>#VALUE!</v>
      </c>
      <c r="I477" s="251">
        <f t="shared" si="196"/>
        <v>0</v>
      </c>
      <c r="J477" s="251">
        <f t="shared" si="197"/>
        <v>0</v>
      </c>
      <c r="K477" s="251">
        <f t="shared" si="198"/>
        <v>0</v>
      </c>
      <c r="N477" s="225">
        <f t="shared" si="199"/>
        <v>0</v>
      </c>
      <c r="O477" s="251" t="e">
        <f t="shared" si="200"/>
        <v>#N/A</v>
      </c>
      <c r="P477" s="251">
        <f t="shared" si="201"/>
        <v>0</v>
      </c>
      <c r="Q477" s="251">
        <f t="shared" si="202"/>
        <v>0</v>
      </c>
      <c r="R477" s="251">
        <f t="shared" si="203"/>
        <v>0</v>
      </c>
      <c r="S477" s="251" t="e">
        <f t="shared" si="204"/>
        <v>#VALUE!</v>
      </c>
      <c r="T477" s="251">
        <f t="shared" si="205"/>
        <v>0</v>
      </c>
      <c r="V477" s="199">
        <f t="shared" si="206"/>
        <v>0</v>
      </c>
      <c r="W477" s="161" t="e">
        <f t="shared" si="207"/>
        <v>#N/A</v>
      </c>
      <c r="X477" s="161" t="e">
        <f t="shared" si="208"/>
        <v>#N/A</v>
      </c>
      <c r="Y477" s="161">
        <f t="shared" si="213"/>
        <v>452</v>
      </c>
      <c r="Z477" s="161">
        <f t="shared" ca="1" si="214"/>
        <v>2</v>
      </c>
      <c r="AG477" s="114">
        <f t="shared" si="209"/>
        <v>0</v>
      </c>
      <c r="AH477" s="113"/>
      <c r="AI477" s="199">
        <f ca="1">IF(AL477=0,0,IF(AL477&gt;Preenchimento!$AA$88*12,0,IF($AC$53=AM477,0,1)))</f>
        <v>0</v>
      </c>
      <c r="AJ477" s="161" t="e">
        <f t="shared" ca="1" si="210"/>
        <v>#N/A</v>
      </c>
      <c r="AK477" s="161" t="e">
        <f t="shared" ca="1" si="211"/>
        <v>#N/A</v>
      </c>
      <c r="AL477" s="161">
        <f ca="1">IF(Y477&gt;(Preenchimento!$AA$90*12),0,Fixa!Y477)</f>
        <v>0</v>
      </c>
      <c r="AM477" s="161">
        <f t="shared" ca="1" si="216"/>
        <v>2</v>
      </c>
      <c r="AN477" s="199">
        <f ca="1">IF(AQ477&gt;Preenchimento!$AA$90*12,0,1)</f>
        <v>0</v>
      </c>
      <c r="AO477" s="161" t="e">
        <f ca="1">1/((1+SAC!$AD$29)^AL477)</f>
        <v>#N/A</v>
      </c>
      <c r="AP477" s="82" t="e">
        <f t="shared" ca="1" si="212"/>
        <v>#N/A</v>
      </c>
      <c r="AQ477" s="82">
        <v>452</v>
      </c>
      <c r="AS477" s="477">
        <f t="shared" ca="1" si="215"/>
        <v>0</v>
      </c>
    </row>
    <row r="478" spans="2:45">
      <c r="B478" s="249">
        <f ca="1">DATE(IF(MONTH(B477)=12,YEAR(B477)+1,YEAR(B477)),IF(MONTH(B477)=12,1,MONTH(B477)+1),MIN(DAY(Condições!$C$109),IF(IF(MONTH(B477)=12,1,MONTH(B477)+1)=2,IF(MOD(IF(MONTH(B477)=12,YEAR(B477)+1,YEAR(B477)),4)=0,29,28),IF(OR(IF(MONTH(B477)=12,1,MONTH(B477)+1)=4,IF(MONTH(B477)=12,1,MONTH(B477)+1)=6,IF(MONTH(B477)=12,1,MONTH(B477)+1)=9,IF(MONTH(B477)=12,1,MONTH(B477)+1)=11),30,DAY($B$25)))))</f>
        <v>59977</v>
      </c>
      <c r="C478" s="250" t="str">
        <f t="shared" si="190"/>
        <v/>
      </c>
      <c r="D478" s="251" t="e">
        <f t="shared" si="191"/>
        <v>#N/A</v>
      </c>
      <c r="E478" s="251">
        <f t="shared" si="192"/>
        <v>0</v>
      </c>
      <c r="F478" s="251">
        <f t="shared" si="193"/>
        <v>0</v>
      </c>
      <c r="G478" s="251">
        <f t="shared" si="194"/>
        <v>0</v>
      </c>
      <c r="H478" s="251" t="e">
        <f t="shared" si="195"/>
        <v>#VALUE!</v>
      </c>
      <c r="I478" s="251">
        <f t="shared" si="196"/>
        <v>0</v>
      </c>
      <c r="J478" s="251">
        <f t="shared" si="197"/>
        <v>0</v>
      </c>
      <c r="K478" s="251">
        <f t="shared" si="198"/>
        <v>0</v>
      </c>
      <c r="N478" s="225">
        <f t="shared" si="199"/>
        <v>0</v>
      </c>
      <c r="O478" s="251" t="e">
        <f t="shared" si="200"/>
        <v>#N/A</v>
      </c>
      <c r="P478" s="251">
        <f t="shared" si="201"/>
        <v>0</v>
      </c>
      <c r="Q478" s="251">
        <f t="shared" si="202"/>
        <v>0</v>
      </c>
      <c r="R478" s="251">
        <f t="shared" si="203"/>
        <v>0</v>
      </c>
      <c r="S478" s="251" t="e">
        <f t="shared" si="204"/>
        <v>#VALUE!</v>
      </c>
      <c r="T478" s="251">
        <f t="shared" si="205"/>
        <v>0</v>
      </c>
      <c r="V478" s="199">
        <f t="shared" si="206"/>
        <v>0</v>
      </c>
      <c r="W478" s="161" t="e">
        <f t="shared" si="207"/>
        <v>#N/A</v>
      </c>
      <c r="X478" s="161" t="e">
        <f t="shared" si="208"/>
        <v>#N/A</v>
      </c>
      <c r="Y478" s="161">
        <f t="shared" si="213"/>
        <v>453</v>
      </c>
      <c r="Z478" s="161">
        <f t="shared" ca="1" si="214"/>
        <v>3</v>
      </c>
      <c r="AG478" s="114">
        <f t="shared" si="209"/>
        <v>0</v>
      </c>
      <c r="AH478" s="113"/>
      <c r="AI478" s="199">
        <f ca="1">IF(AL478=0,0,IF(AL478&gt;Preenchimento!$AA$88*12,0,IF($AC$53=AM478,0,1)))</f>
        <v>0</v>
      </c>
      <c r="AJ478" s="161" t="e">
        <f t="shared" ca="1" si="210"/>
        <v>#N/A</v>
      </c>
      <c r="AK478" s="161" t="e">
        <f t="shared" ca="1" si="211"/>
        <v>#N/A</v>
      </c>
      <c r="AL478" s="161">
        <f ca="1">IF(Y478&gt;(Preenchimento!$AA$90*12),0,Fixa!Y478)</f>
        <v>0</v>
      </c>
      <c r="AM478" s="161">
        <f t="shared" ca="1" si="216"/>
        <v>3</v>
      </c>
      <c r="AN478" s="199">
        <f ca="1">IF(AQ478&gt;Preenchimento!$AA$90*12,0,1)</f>
        <v>0</v>
      </c>
      <c r="AO478" s="161" t="e">
        <f ca="1">1/((1+SAC!$AD$29)^AL478)</f>
        <v>#N/A</v>
      </c>
      <c r="AP478" s="82" t="e">
        <f t="shared" ca="1" si="212"/>
        <v>#N/A</v>
      </c>
      <c r="AQ478" s="82">
        <v>453</v>
      </c>
      <c r="AS478" s="477">
        <f t="shared" ca="1" si="215"/>
        <v>0</v>
      </c>
    </row>
    <row r="479" spans="2:45">
      <c r="B479" s="249">
        <f ca="1">DATE(IF(MONTH(B478)=12,YEAR(B478)+1,YEAR(B478)),IF(MONTH(B478)=12,1,MONTH(B478)+1),MIN(DAY(Condições!$C$109),IF(IF(MONTH(B478)=12,1,MONTH(B478)+1)=2,IF(MOD(IF(MONTH(B478)=12,YEAR(B478)+1,YEAR(B478)),4)=0,29,28),IF(OR(IF(MONTH(B478)=12,1,MONTH(B478)+1)=4,IF(MONTH(B478)=12,1,MONTH(B478)+1)=6,IF(MONTH(B478)=12,1,MONTH(B478)+1)=9,IF(MONTH(B478)=12,1,MONTH(B478)+1)=11),30,DAY($B$25)))))</f>
        <v>60008</v>
      </c>
      <c r="C479" s="250" t="str">
        <f t="shared" si="190"/>
        <v/>
      </c>
      <c r="D479" s="251" t="e">
        <f t="shared" si="191"/>
        <v>#N/A</v>
      </c>
      <c r="E479" s="251">
        <f t="shared" si="192"/>
        <v>0</v>
      </c>
      <c r="F479" s="251">
        <f t="shared" si="193"/>
        <v>0</v>
      </c>
      <c r="G479" s="251">
        <f t="shared" si="194"/>
        <v>0</v>
      </c>
      <c r="H479" s="251" t="e">
        <f t="shared" si="195"/>
        <v>#VALUE!</v>
      </c>
      <c r="I479" s="251">
        <f t="shared" si="196"/>
        <v>0</v>
      </c>
      <c r="J479" s="251">
        <f t="shared" si="197"/>
        <v>0</v>
      </c>
      <c r="K479" s="251">
        <f t="shared" si="198"/>
        <v>0</v>
      </c>
      <c r="N479" s="225">
        <f t="shared" si="199"/>
        <v>0</v>
      </c>
      <c r="O479" s="251" t="e">
        <f t="shared" si="200"/>
        <v>#N/A</v>
      </c>
      <c r="P479" s="251">
        <f t="shared" si="201"/>
        <v>0</v>
      </c>
      <c r="Q479" s="251">
        <f t="shared" si="202"/>
        <v>0</v>
      </c>
      <c r="R479" s="251">
        <f t="shared" si="203"/>
        <v>0</v>
      </c>
      <c r="S479" s="251" t="e">
        <f t="shared" si="204"/>
        <v>#VALUE!</v>
      </c>
      <c r="T479" s="251">
        <f t="shared" si="205"/>
        <v>0</v>
      </c>
      <c r="V479" s="199">
        <f t="shared" si="206"/>
        <v>0</v>
      </c>
      <c r="W479" s="161" t="e">
        <f t="shared" si="207"/>
        <v>#N/A</v>
      </c>
      <c r="X479" s="161" t="e">
        <f t="shared" si="208"/>
        <v>#N/A</v>
      </c>
      <c r="Y479" s="161">
        <f t="shared" si="213"/>
        <v>454</v>
      </c>
      <c r="Z479" s="161">
        <f t="shared" ca="1" si="214"/>
        <v>4</v>
      </c>
      <c r="AG479" s="114">
        <f t="shared" si="209"/>
        <v>0</v>
      </c>
      <c r="AH479" s="113"/>
      <c r="AI479" s="199">
        <f ca="1">IF(AL479=0,0,IF(AL479&gt;Preenchimento!$AA$88*12,0,IF($AC$53=AM479,0,1)))</f>
        <v>0</v>
      </c>
      <c r="AJ479" s="161" t="e">
        <f t="shared" ca="1" si="210"/>
        <v>#N/A</v>
      </c>
      <c r="AK479" s="161" t="e">
        <f t="shared" ca="1" si="211"/>
        <v>#N/A</v>
      </c>
      <c r="AL479" s="161">
        <f ca="1">IF(Y479&gt;(Preenchimento!$AA$90*12),0,Fixa!Y479)</f>
        <v>0</v>
      </c>
      <c r="AM479" s="161">
        <f t="shared" ca="1" si="216"/>
        <v>4</v>
      </c>
      <c r="AN479" s="199">
        <f ca="1">IF(AQ479&gt;Preenchimento!$AA$90*12,0,1)</f>
        <v>0</v>
      </c>
      <c r="AO479" s="161" t="e">
        <f ca="1">1/((1+SAC!$AD$29)^AL479)</f>
        <v>#N/A</v>
      </c>
      <c r="AP479" s="82" t="e">
        <f t="shared" ca="1" si="212"/>
        <v>#N/A</v>
      </c>
      <c r="AQ479" s="82">
        <v>454</v>
      </c>
      <c r="AS479" s="477">
        <f t="shared" ca="1" si="215"/>
        <v>0</v>
      </c>
    </row>
    <row r="480" spans="2:45">
      <c r="B480" s="249">
        <f ca="1">DATE(IF(MONTH(B479)=12,YEAR(B479)+1,YEAR(B479)),IF(MONTH(B479)=12,1,MONTH(B479)+1),MIN(DAY(Condições!$C$109),IF(IF(MONTH(B479)=12,1,MONTH(B479)+1)=2,IF(MOD(IF(MONTH(B479)=12,YEAR(B479)+1,YEAR(B479)),4)=0,29,28),IF(OR(IF(MONTH(B479)=12,1,MONTH(B479)+1)=4,IF(MONTH(B479)=12,1,MONTH(B479)+1)=6,IF(MONTH(B479)=12,1,MONTH(B479)+1)=9,IF(MONTH(B479)=12,1,MONTH(B479)+1)=11),30,DAY($B$25)))))</f>
        <v>60038</v>
      </c>
      <c r="C480" s="250" t="str">
        <f t="shared" si="190"/>
        <v/>
      </c>
      <c r="D480" s="251" t="e">
        <f t="shared" si="191"/>
        <v>#N/A</v>
      </c>
      <c r="E480" s="251">
        <f t="shared" si="192"/>
        <v>0</v>
      </c>
      <c r="F480" s="251">
        <f t="shared" si="193"/>
        <v>0</v>
      </c>
      <c r="G480" s="251">
        <f t="shared" si="194"/>
        <v>0</v>
      </c>
      <c r="H480" s="251" t="e">
        <f t="shared" si="195"/>
        <v>#VALUE!</v>
      </c>
      <c r="I480" s="251">
        <f t="shared" si="196"/>
        <v>0</v>
      </c>
      <c r="J480" s="251">
        <f t="shared" si="197"/>
        <v>0</v>
      </c>
      <c r="K480" s="251">
        <f t="shared" si="198"/>
        <v>0</v>
      </c>
      <c r="N480" s="225">
        <f t="shared" si="199"/>
        <v>0</v>
      </c>
      <c r="O480" s="251" t="e">
        <f t="shared" si="200"/>
        <v>#N/A</v>
      </c>
      <c r="P480" s="251">
        <f t="shared" si="201"/>
        <v>0</v>
      </c>
      <c r="Q480" s="251">
        <f t="shared" si="202"/>
        <v>0</v>
      </c>
      <c r="R480" s="251">
        <f t="shared" si="203"/>
        <v>0</v>
      </c>
      <c r="S480" s="251" t="e">
        <f t="shared" si="204"/>
        <v>#VALUE!</v>
      </c>
      <c r="T480" s="251">
        <f t="shared" si="205"/>
        <v>0</v>
      </c>
      <c r="V480" s="199">
        <f t="shared" si="206"/>
        <v>0</v>
      </c>
      <c r="W480" s="161" t="e">
        <f t="shared" si="207"/>
        <v>#N/A</v>
      </c>
      <c r="X480" s="161" t="e">
        <f t="shared" si="208"/>
        <v>#N/A</v>
      </c>
      <c r="Y480" s="161">
        <f t="shared" si="213"/>
        <v>455</v>
      </c>
      <c r="Z480" s="161">
        <f t="shared" ca="1" si="214"/>
        <v>5</v>
      </c>
      <c r="AG480" s="114">
        <f t="shared" si="209"/>
        <v>0</v>
      </c>
      <c r="AH480" s="113"/>
      <c r="AI480" s="199">
        <f ca="1">IF(AL480=0,0,IF(AL480&gt;Preenchimento!$AA$88*12,0,IF($AC$53=AM480,0,1)))</f>
        <v>0</v>
      </c>
      <c r="AJ480" s="161" t="e">
        <f t="shared" ca="1" si="210"/>
        <v>#N/A</v>
      </c>
      <c r="AK480" s="161" t="e">
        <f t="shared" ca="1" si="211"/>
        <v>#N/A</v>
      </c>
      <c r="AL480" s="161">
        <f ca="1">IF(Y480&gt;(Preenchimento!$AA$90*12),0,Fixa!Y480)</f>
        <v>0</v>
      </c>
      <c r="AM480" s="161">
        <f t="shared" ca="1" si="216"/>
        <v>5</v>
      </c>
      <c r="AN480" s="199">
        <f ca="1">IF(AQ480&gt;Preenchimento!$AA$90*12,0,1)</f>
        <v>0</v>
      </c>
      <c r="AO480" s="161" t="e">
        <f ca="1">1/((1+SAC!$AD$29)^AL480)</f>
        <v>#N/A</v>
      </c>
      <c r="AP480" s="82" t="e">
        <f t="shared" ca="1" si="212"/>
        <v>#N/A</v>
      </c>
      <c r="AQ480" s="82">
        <v>455</v>
      </c>
      <c r="AS480" s="477">
        <f t="shared" ca="1" si="215"/>
        <v>0</v>
      </c>
    </row>
    <row r="481" spans="2:45">
      <c r="B481" s="249">
        <f ca="1">DATE(IF(MONTH(B480)=12,YEAR(B480)+1,YEAR(B480)),IF(MONTH(B480)=12,1,MONTH(B480)+1),MIN(DAY(Condições!$C$109),IF(IF(MONTH(B480)=12,1,MONTH(B480)+1)=2,IF(MOD(IF(MONTH(B480)=12,YEAR(B480)+1,YEAR(B480)),4)=0,29,28),IF(OR(IF(MONTH(B480)=12,1,MONTH(B480)+1)=4,IF(MONTH(B480)=12,1,MONTH(B480)+1)=6,IF(MONTH(B480)=12,1,MONTH(B480)+1)=9,IF(MONTH(B480)=12,1,MONTH(B480)+1)=11),30,DAY($B$25)))))</f>
        <v>60069</v>
      </c>
      <c r="C481" s="250" t="str">
        <f t="shared" si="190"/>
        <v/>
      </c>
      <c r="D481" s="251" t="e">
        <f t="shared" si="191"/>
        <v>#N/A</v>
      </c>
      <c r="E481" s="251">
        <f t="shared" si="192"/>
        <v>0</v>
      </c>
      <c r="F481" s="251">
        <f t="shared" si="193"/>
        <v>0</v>
      </c>
      <c r="G481" s="251">
        <f t="shared" si="194"/>
        <v>0</v>
      </c>
      <c r="H481" s="251" t="e">
        <f t="shared" si="195"/>
        <v>#VALUE!</v>
      </c>
      <c r="I481" s="251">
        <f t="shared" si="196"/>
        <v>0</v>
      </c>
      <c r="J481" s="251">
        <f t="shared" si="197"/>
        <v>0</v>
      </c>
      <c r="K481" s="251">
        <f t="shared" si="198"/>
        <v>0</v>
      </c>
      <c r="N481" s="225">
        <f t="shared" si="199"/>
        <v>0</v>
      </c>
      <c r="O481" s="251" t="e">
        <f t="shared" si="200"/>
        <v>#N/A</v>
      </c>
      <c r="P481" s="251">
        <f t="shared" si="201"/>
        <v>0</v>
      </c>
      <c r="Q481" s="251">
        <f t="shared" si="202"/>
        <v>0</v>
      </c>
      <c r="R481" s="251">
        <f t="shared" si="203"/>
        <v>0</v>
      </c>
      <c r="S481" s="251" t="e">
        <f t="shared" si="204"/>
        <v>#VALUE!</v>
      </c>
      <c r="T481" s="251">
        <f t="shared" si="205"/>
        <v>0</v>
      </c>
      <c r="V481" s="199">
        <f t="shared" si="206"/>
        <v>0</v>
      </c>
      <c r="W481" s="161" t="e">
        <f t="shared" si="207"/>
        <v>#N/A</v>
      </c>
      <c r="X481" s="161" t="e">
        <f t="shared" si="208"/>
        <v>#N/A</v>
      </c>
      <c r="Y481" s="161">
        <f t="shared" si="213"/>
        <v>456</v>
      </c>
      <c r="Z481" s="161">
        <f t="shared" ca="1" si="214"/>
        <v>6</v>
      </c>
      <c r="AG481" s="114">
        <f t="shared" si="209"/>
        <v>0</v>
      </c>
      <c r="AH481" s="113"/>
      <c r="AI481" s="199">
        <f ca="1">IF(AL481=0,0,IF(AL481&gt;Preenchimento!$AA$88*12,0,IF($AC$53=AM481,0,1)))</f>
        <v>0</v>
      </c>
      <c r="AJ481" s="161" t="e">
        <f t="shared" ca="1" si="210"/>
        <v>#N/A</v>
      </c>
      <c r="AK481" s="161" t="e">
        <f t="shared" ca="1" si="211"/>
        <v>#N/A</v>
      </c>
      <c r="AL481" s="161">
        <f ca="1">IF(Y481&gt;(Preenchimento!$AA$90*12),0,Fixa!Y481)</f>
        <v>0</v>
      </c>
      <c r="AM481" s="161">
        <f t="shared" ca="1" si="216"/>
        <v>6</v>
      </c>
      <c r="AN481" s="199">
        <f ca="1">IF(AQ481&gt;Preenchimento!$AA$90*12,0,1)</f>
        <v>0</v>
      </c>
      <c r="AO481" s="161" t="e">
        <f ca="1">1/((1+SAC!$AD$29)^AL481)</f>
        <v>#N/A</v>
      </c>
      <c r="AP481" s="82" t="e">
        <f t="shared" ca="1" si="212"/>
        <v>#N/A</v>
      </c>
      <c r="AQ481" s="82">
        <v>456</v>
      </c>
      <c r="AS481" s="477">
        <f t="shared" ca="1" si="215"/>
        <v>0</v>
      </c>
    </row>
    <row r="482" spans="2:45">
      <c r="B482" s="249">
        <f ca="1">DATE(IF(MONTH(B481)=12,YEAR(B481)+1,YEAR(B481)),IF(MONTH(B481)=12,1,MONTH(B481)+1),MIN(DAY(Condições!$C$109),IF(IF(MONTH(B481)=12,1,MONTH(B481)+1)=2,IF(MOD(IF(MONTH(B481)=12,YEAR(B481)+1,YEAR(B481)),4)=0,29,28),IF(OR(IF(MONTH(B481)=12,1,MONTH(B481)+1)=4,IF(MONTH(B481)=12,1,MONTH(B481)+1)=6,IF(MONTH(B481)=12,1,MONTH(B481)+1)=9,IF(MONTH(B481)=12,1,MONTH(B481)+1)=11),30,DAY($B$25)))))</f>
        <v>60099</v>
      </c>
      <c r="C482" s="250" t="str">
        <f t="shared" si="190"/>
        <v/>
      </c>
      <c r="D482" s="251" t="e">
        <f t="shared" si="191"/>
        <v>#N/A</v>
      </c>
      <c r="E482" s="251">
        <f t="shared" si="192"/>
        <v>0</v>
      </c>
      <c r="F482" s="251">
        <f t="shared" si="193"/>
        <v>0</v>
      </c>
      <c r="G482" s="251">
        <f t="shared" si="194"/>
        <v>0</v>
      </c>
      <c r="H482" s="251" t="e">
        <f t="shared" si="195"/>
        <v>#VALUE!</v>
      </c>
      <c r="I482" s="251">
        <f t="shared" si="196"/>
        <v>0</v>
      </c>
      <c r="J482" s="251">
        <f t="shared" si="197"/>
        <v>0</v>
      </c>
      <c r="K482" s="251">
        <f t="shared" si="198"/>
        <v>0</v>
      </c>
      <c r="N482" s="225">
        <f t="shared" si="199"/>
        <v>0</v>
      </c>
      <c r="O482" s="251" t="e">
        <f t="shared" si="200"/>
        <v>#N/A</v>
      </c>
      <c r="P482" s="251">
        <f t="shared" si="201"/>
        <v>0</v>
      </c>
      <c r="Q482" s="251">
        <f t="shared" si="202"/>
        <v>0</v>
      </c>
      <c r="R482" s="251">
        <f t="shared" si="203"/>
        <v>0</v>
      </c>
      <c r="S482" s="251" t="e">
        <f t="shared" si="204"/>
        <v>#VALUE!</v>
      </c>
      <c r="T482" s="251">
        <f t="shared" si="205"/>
        <v>0</v>
      </c>
      <c r="V482" s="199">
        <f t="shared" si="206"/>
        <v>0</v>
      </c>
      <c r="W482" s="161" t="e">
        <f t="shared" si="207"/>
        <v>#N/A</v>
      </c>
      <c r="X482" s="161" t="e">
        <f t="shared" si="208"/>
        <v>#N/A</v>
      </c>
      <c r="Y482" s="161">
        <f t="shared" si="213"/>
        <v>457</v>
      </c>
      <c r="Z482" s="161">
        <f t="shared" ca="1" si="214"/>
        <v>7</v>
      </c>
      <c r="AG482" s="114">
        <f t="shared" si="209"/>
        <v>0</v>
      </c>
      <c r="AH482" s="113"/>
      <c r="AI482" s="199">
        <f ca="1">IF(AL482=0,0,IF(AL482&gt;Preenchimento!$AA$88*12,0,IF($AC$53=AM482,0,1)))</f>
        <v>0</v>
      </c>
      <c r="AJ482" s="161" t="e">
        <f t="shared" ca="1" si="210"/>
        <v>#N/A</v>
      </c>
      <c r="AK482" s="161" t="e">
        <f t="shared" ca="1" si="211"/>
        <v>#N/A</v>
      </c>
      <c r="AL482" s="161">
        <f ca="1">IF(Y482&gt;(Preenchimento!$AA$90*12),0,Fixa!Y482)</f>
        <v>0</v>
      </c>
      <c r="AM482" s="161">
        <f t="shared" ca="1" si="216"/>
        <v>7</v>
      </c>
      <c r="AN482" s="199">
        <f ca="1">IF(AQ482&gt;Preenchimento!$AA$90*12,0,1)</f>
        <v>0</v>
      </c>
      <c r="AO482" s="161" t="e">
        <f ca="1">1/((1+SAC!$AD$29)^AL482)</f>
        <v>#N/A</v>
      </c>
      <c r="AP482" s="82" t="e">
        <f t="shared" ca="1" si="212"/>
        <v>#N/A</v>
      </c>
      <c r="AQ482" s="82">
        <v>457</v>
      </c>
      <c r="AS482" s="477">
        <f t="shared" ca="1" si="215"/>
        <v>0</v>
      </c>
    </row>
    <row r="483" spans="2:45">
      <c r="B483" s="249">
        <f ca="1">DATE(IF(MONTH(B482)=12,YEAR(B482)+1,YEAR(B482)),IF(MONTH(B482)=12,1,MONTH(B482)+1),MIN(DAY(Condições!$C$109),IF(IF(MONTH(B482)=12,1,MONTH(B482)+1)=2,IF(MOD(IF(MONTH(B482)=12,YEAR(B482)+1,YEAR(B482)),4)=0,29,28),IF(OR(IF(MONTH(B482)=12,1,MONTH(B482)+1)=4,IF(MONTH(B482)=12,1,MONTH(B482)+1)=6,IF(MONTH(B482)=12,1,MONTH(B482)+1)=9,IF(MONTH(B482)=12,1,MONTH(B482)+1)=11),30,DAY($B$25)))))</f>
        <v>60130</v>
      </c>
      <c r="C483" s="250" t="str">
        <f t="shared" si="190"/>
        <v/>
      </c>
      <c r="D483" s="251" t="e">
        <f t="shared" si="191"/>
        <v>#N/A</v>
      </c>
      <c r="E483" s="251">
        <f t="shared" si="192"/>
        <v>0</v>
      </c>
      <c r="F483" s="251">
        <f t="shared" si="193"/>
        <v>0</v>
      </c>
      <c r="G483" s="251">
        <f t="shared" si="194"/>
        <v>0</v>
      </c>
      <c r="H483" s="251" t="e">
        <f t="shared" si="195"/>
        <v>#VALUE!</v>
      </c>
      <c r="I483" s="251">
        <f t="shared" si="196"/>
        <v>0</v>
      </c>
      <c r="J483" s="251">
        <f t="shared" si="197"/>
        <v>0</v>
      </c>
      <c r="K483" s="251">
        <f t="shared" si="198"/>
        <v>0</v>
      </c>
      <c r="N483" s="225">
        <f t="shared" si="199"/>
        <v>0</v>
      </c>
      <c r="O483" s="251" t="e">
        <f t="shared" si="200"/>
        <v>#N/A</v>
      </c>
      <c r="P483" s="251">
        <f t="shared" si="201"/>
        <v>0</v>
      </c>
      <c r="Q483" s="251">
        <f t="shared" si="202"/>
        <v>0</v>
      </c>
      <c r="R483" s="251">
        <f t="shared" si="203"/>
        <v>0</v>
      </c>
      <c r="S483" s="251" t="e">
        <f t="shared" si="204"/>
        <v>#VALUE!</v>
      </c>
      <c r="T483" s="251">
        <f t="shared" si="205"/>
        <v>0</v>
      </c>
      <c r="V483" s="199">
        <f t="shared" si="206"/>
        <v>0</v>
      </c>
      <c r="W483" s="161" t="e">
        <f t="shared" si="207"/>
        <v>#N/A</v>
      </c>
      <c r="X483" s="161" t="e">
        <f t="shared" si="208"/>
        <v>#N/A</v>
      </c>
      <c r="Y483" s="161">
        <f t="shared" si="213"/>
        <v>458</v>
      </c>
      <c r="Z483" s="161">
        <f t="shared" ca="1" si="214"/>
        <v>8</v>
      </c>
      <c r="AG483" s="114">
        <f t="shared" si="209"/>
        <v>0</v>
      </c>
      <c r="AH483" s="113"/>
      <c r="AI483" s="199">
        <f ca="1">IF(AL483=0,0,IF(AL483&gt;Preenchimento!$AA$88*12,0,IF($AC$53=AM483,0,1)))</f>
        <v>0</v>
      </c>
      <c r="AJ483" s="161" t="e">
        <f t="shared" ca="1" si="210"/>
        <v>#N/A</v>
      </c>
      <c r="AK483" s="161" t="e">
        <f t="shared" ca="1" si="211"/>
        <v>#N/A</v>
      </c>
      <c r="AL483" s="161">
        <f ca="1">IF(Y483&gt;(Preenchimento!$AA$90*12),0,Fixa!Y483)</f>
        <v>0</v>
      </c>
      <c r="AM483" s="161">
        <f t="shared" ca="1" si="216"/>
        <v>8</v>
      </c>
      <c r="AN483" s="199">
        <f ca="1">IF(AQ483&gt;Preenchimento!$AA$90*12,0,1)</f>
        <v>0</v>
      </c>
      <c r="AO483" s="161" t="e">
        <f ca="1">1/((1+SAC!$AD$29)^AL483)</f>
        <v>#N/A</v>
      </c>
      <c r="AP483" s="82" t="e">
        <f t="shared" ca="1" si="212"/>
        <v>#N/A</v>
      </c>
      <c r="AQ483" s="82">
        <v>458</v>
      </c>
      <c r="AS483" s="477">
        <f t="shared" ca="1" si="215"/>
        <v>0</v>
      </c>
    </row>
    <row r="484" spans="2:45">
      <c r="B484" s="249">
        <f ca="1">DATE(IF(MONTH(B483)=12,YEAR(B483)+1,YEAR(B483)),IF(MONTH(B483)=12,1,MONTH(B483)+1),MIN(DAY(Condições!$C$109),IF(IF(MONTH(B483)=12,1,MONTH(B483)+1)=2,IF(MOD(IF(MONTH(B483)=12,YEAR(B483)+1,YEAR(B483)),4)=0,29,28),IF(OR(IF(MONTH(B483)=12,1,MONTH(B483)+1)=4,IF(MONTH(B483)=12,1,MONTH(B483)+1)=6,IF(MONTH(B483)=12,1,MONTH(B483)+1)=9,IF(MONTH(B483)=12,1,MONTH(B483)+1)=11),30,DAY($B$25)))))</f>
        <v>60161</v>
      </c>
      <c r="C484" s="250" t="str">
        <f t="shared" si="190"/>
        <v/>
      </c>
      <c r="D484" s="251" t="e">
        <f t="shared" si="191"/>
        <v>#N/A</v>
      </c>
      <c r="E484" s="251">
        <f t="shared" si="192"/>
        <v>0</v>
      </c>
      <c r="F484" s="251">
        <f t="shared" si="193"/>
        <v>0</v>
      </c>
      <c r="G484" s="251">
        <f t="shared" si="194"/>
        <v>0</v>
      </c>
      <c r="H484" s="251" t="e">
        <f t="shared" si="195"/>
        <v>#VALUE!</v>
      </c>
      <c r="I484" s="251">
        <f t="shared" si="196"/>
        <v>0</v>
      </c>
      <c r="J484" s="251">
        <f t="shared" si="197"/>
        <v>0</v>
      </c>
      <c r="K484" s="251">
        <f t="shared" si="198"/>
        <v>0</v>
      </c>
      <c r="N484" s="225">
        <f t="shared" si="199"/>
        <v>0</v>
      </c>
      <c r="O484" s="251" t="e">
        <f t="shared" si="200"/>
        <v>#N/A</v>
      </c>
      <c r="P484" s="251">
        <f t="shared" si="201"/>
        <v>0</v>
      </c>
      <c r="Q484" s="251">
        <f t="shared" si="202"/>
        <v>0</v>
      </c>
      <c r="R484" s="251">
        <f t="shared" si="203"/>
        <v>0</v>
      </c>
      <c r="S484" s="251" t="e">
        <f t="shared" si="204"/>
        <v>#VALUE!</v>
      </c>
      <c r="T484" s="251">
        <f t="shared" si="205"/>
        <v>0</v>
      </c>
      <c r="V484" s="199">
        <f t="shared" si="206"/>
        <v>0</v>
      </c>
      <c r="W484" s="161" t="e">
        <f t="shared" si="207"/>
        <v>#N/A</v>
      </c>
      <c r="X484" s="161" t="e">
        <f t="shared" si="208"/>
        <v>#N/A</v>
      </c>
      <c r="Y484" s="161">
        <f t="shared" si="213"/>
        <v>459</v>
      </c>
      <c r="Z484" s="161">
        <f t="shared" ca="1" si="214"/>
        <v>9</v>
      </c>
      <c r="AG484" s="114">
        <f t="shared" si="209"/>
        <v>0</v>
      </c>
      <c r="AH484" s="113"/>
      <c r="AI484" s="199">
        <f ca="1">IF(AL484=0,0,IF(AL484&gt;Preenchimento!$AA$88*12,0,IF($AC$53=AM484,0,1)))</f>
        <v>0</v>
      </c>
      <c r="AJ484" s="161" t="e">
        <f t="shared" ca="1" si="210"/>
        <v>#N/A</v>
      </c>
      <c r="AK484" s="161" t="e">
        <f t="shared" ca="1" si="211"/>
        <v>#N/A</v>
      </c>
      <c r="AL484" s="161">
        <f ca="1">IF(Y484&gt;(Preenchimento!$AA$90*12),0,Fixa!Y484)</f>
        <v>0</v>
      </c>
      <c r="AM484" s="161">
        <f t="shared" ca="1" si="216"/>
        <v>9</v>
      </c>
      <c r="AN484" s="199">
        <f ca="1">IF(AQ484&gt;Preenchimento!$AA$90*12,0,1)</f>
        <v>0</v>
      </c>
      <c r="AO484" s="161" t="e">
        <f ca="1">1/((1+SAC!$AD$29)^AL484)</f>
        <v>#N/A</v>
      </c>
      <c r="AP484" s="82" t="e">
        <f t="shared" ca="1" si="212"/>
        <v>#N/A</v>
      </c>
      <c r="AQ484" s="82">
        <v>459</v>
      </c>
      <c r="AS484" s="477">
        <f t="shared" ca="1" si="215"/>
        <v>0</v>
      </c>
    </row>
    <row r="485" spans="2:45">
      <c r="B485" s="249">
        <f ca="1">DATE(IF(MONTH(B484)=12,YEAR(B484)+1,YEAR(B484)),IF(MONTH(B484)=12,1,MONTH(B484)+1),MIN(DAY(Condições!$C$109),IF(IF(MONTH(B484)=12,1,MONTH(B484)+1)=2,IF(MOD(IF(MONTH(B484)=12,YEAR(B484)+1,YEAR(B484)),4)=0,29,28),IF(OR(IF(MONTH(B484)=12,1,MONTH(B484)+1)=4,IF(MONTH(B484)=12,1,MONTH(B484)+1)=6,IF(MONTH(B484)=12,1,MONTH(B484)+1)=9,IF(MONTH(B484)=12,1,MONTH(B484)+1)=11),30,DAY($B$25)))))</f>
        <v>60191</v>
      </c>
      <c r="C485" s="250" t="str">
        <f t="shared" si="190"/>
        <v/>
      </c>
      <c r="D485" s="251" t="e">
        <f t="shared" si="191"/>
        <v>#N/A</v>
      </c>
      <c r="E485" s="251">
        <f t="shared" si="192"/>
        <v>0</v>
      </c>
      <c r="F485" s="251">
        <f t="shared" si="193"/>
        <v>0</v>
      </c>
      <c r="G485" s="251">
        <f t="shared" si="194"/>
        <v>0</v>
      </c>
      <c r="H485" s="251" t="e">
        <f t="shared" si="195"/>
        <v>#VALUE!</v>
      </c>
      <c r="I485" s="251">
        <f t="shared" si="196"/>
        <v>0</v>
      </c>
      <c r="J485" s="251">
        <f t="shared" si="197"/>
        <v>0</v>
      </c>
      <c r="K485" s="251">
        <f t="shared" si="198"/>
        <v>0</v>
      </c>
      <c r="N485" s="225">
        <f t="shared" si="199"/>
        <v>0</v>
      </c>
      <c r="O485" s="251" t="e">
        <f t="shared" si="200"/>
        <v>#N/A</v>
      </c>
      <c r="P485" s="251">
        <f t="shared" si="201"/>
        <v>0</v>
      </c>
      <c r="Q485" s="251">
        <f t="shared" si="202"/>
        <v>0</v>
      </c>
      <c r="R485" s="251">
        <f t="shared" si="203"/>
        <v>0</v>
      </c>
      <c r="S485" s="251" t="e">
        <f t="shared" si="204"/>
        <v>#VALUE!</v>
      </c>
      <c r="T485" s="251">
        <f t="shared" si="205"/>
        <v>0</v>
      </c>
      <c r="V485" s="199">
        <f t="shared" si="206"/>
        <v>0</v>
      </c>
      <c r="W485" s="161" t="e">
        <f t="shared" si="207"/>
        <v>#N/A</v>
      </c>
      <c r="X485" s="161" t="e">
        <f t="shared" si="208"/>
        <v>#N/A</v>
      </c>
      <c r="Y485" s="161">
        <f t="shared" si="213"/>
        <v>460</v>
      </c>
      <c r="Z485" s="161">
        <f t="shared" ca="1" si="214"/>
        <v>10</v>
      </c>
      <c r="AG485" s="114">
        <f t="shared" si="209"/>
        <v>0</v>
      </c>
      <c r="AH485" s="113"/>
      <c r="AI485" s="199">
        <f ca="1">IF(AL485=0,0,IF(AL485&gt;Preenchimento!$AA$88*12,0,IF($AC$53=AM485,0,1)))</f>
        <v>0</v>
      </c>
      <c r="AJ485" s="161" t="e">
        <f t="shared" ca="1" si="210"/>
        <v>#N/A</v>
      </c>
      <c r="AK485" s="161" t="e">
        <f t="shared" ca="1" si="211"/>
        <v>#N/A</v>
      </c>
      <c r="AL485" s="161">
        <f ca="1">IF(Y485&gt;(Preenchimento!$AA$90*12),0,Fixa!Y485)</f>
        <v>0</v>
      </c>
      <c r="AM485" s="161">
        <f t="shared" ca="1" si="216"/>
        <v>10</v>
      </c>
      <c r="AN485" s="199">
        <f ca="1">IF(AQ485&gt;Preenchimento!$AA$90*12,0,1)</f>
        <v>0</v>
      </c>
      <c r="AO485" s="161" t="e">
        <f ca="1">1/((1+SAC!$AD$29)^AL485)</f>
        <v>#N/A</v>
      </c>
      <c r="AP485" s="82" t="e">
        <f t="shared" ca="1" si="212"/>
        <v>#N/A</v>
      </c>
      <c r="AQ485" s="82">
        <v>460</v>
      </c>
      <c r="AS485" s="477">
        <f t="shared" ca="1" si="215"/>
        <v>0</v>
      </c>
    </row>
    <row r="486" spans="2:45">
      <c r="B486" s="249">
        <f ca="1">DATE(IF(MONTH(B485)=12,YEAR(B485)+1,YEAR(B485)),IF(MONTH(B485)=12,1,MONTH(B485)+1),MIN(DAY(Condições!$C$109),IF(IF(MONTH(B485)=12,1,MONTH(B485)+1)=2,IF(MOD(IF(MONTH(B485)=12,YEAR(B485)+1,YEAR(B485)),4)=0,29,28),IF(OR(IF(MONTH(B485)=12,1,MONTH(B485)+1)=4,IF(MONTH(B485)=12,1,MONTH(B485)+1)=6,IF(MONTH(B485)=12,1,MONTH(B485)+1)=9,IF(MONTH(B485)=12,1,MONTH(B485)+1)=11),30,DAY($B$25)))))</f>
        <v>60222</v>
      </c>
      <c r="C486" s="250" t="str">
        <f t="shared" si="190"/>
        <v/>
      </c>
      <c r="D486" s="251" t="e">
        <f t="shared" si="191"/>
        <v>#N/A</v>
      </c>
      <c r="E486" s="251">
        <f t="shared" si="192"/>
        <v>0</v>
      </c>
      <c r="F486" s="251">
        <f t="shared" si="193"/>
        <v>0</v>
      </c>
      <c r="G486" s="251">
        <f t="shared" si="194"/>
        <v>0</v>
      </c>
      <c r="H486" s="251" t="e">
        <f t="shared" si="195"/>
        <v>#VALUE!</v>
      </c>
      <c r="I486" s="251">
        <f t="shared" si="196"/>
        <v>0</v>
      </c>
      <c r="J486" s="251">
        <f t="shared" si="197"/>
        <v>0</v>
      </c>
      <c r="K486" s="251">
        <f t="shared" si="198"/>
        <v>0</v>
      </c>
      <c r="N486" s="225">
        <f t="shared" si="199"/>
        <v>0</v>
      </c>
      <c r="O486" s="251" t="e">
        <f t="shared" si="200"/>
        <v>#N/A</v>
      </c>
      <c r="P486" s="251">
        <f t="shared" si="201"/>
        <v>0</v>
      </c>
      <c r="Q486" s="251">
        <f t="shared" si="202"/>
        <v>0</v>
      </c>
      <c r="R486" s="251">
        <f t="shared" si="203"/>
        <v>0</v>
      </c>
      <c r="S486" s="251" t="e">
        <f t="shared" si="204"/>
        <v>#VALUE!</v>
      </c>
      <c r="T486" s="251">
        <f t="shared" si="205"/>
        <v>0</v>
      </c>
      <c r="V486" s="199">
        <f t="shared" si="206"/>
        <v>0</v>
      </c>
      <c r="W486" s="161" t="e">
        <f t="shared" si="207"/>
        <v>#N/A</v>
      </c>
      <c r="X486" s="161" t="e">
        <f t="shared" si="208"/>
        <v>#N/A</v>
      </c>
      <c r="Y486" s="161">
        <f t="shared" si="213"/>
        <v>461</v>
      </c>
      <c r="Z486" s="161">
        <f t="shared" ca="1" si="214"/>
        <v>11</v>
      </c>
      <c r="AG486" s="114">
        <f t="shared" si="209"/>
        <v>0</v>
      </c>
      <c r="AH486" s="113"/>
      <c r="AI486" s="199">
        <f ca="1">IF(AL486=0,0,IF(AL486&gt;Preenchimento!$AA$88*12,0,IF($AC$53=AM486,0,1)))</f>
        <v>0</v>
      </c>
      <c r="AJ486" s="161" t="e">
        <f t="shared" ca="1" si="210"/>
        <v>#N/A</v>
      </c>
      <c r="AK486" s="161" t="e">
        <f t="shared" ca="1" si="211"/>
        <v>#N/A</v>
      </c>
      <c r="AL486" s="161">
        <f ca="1">IF(Y486&gt;(Preenchimento!$AA$90*12),0,Fixa!Y486)</f>
        <v>0</v>
      </c>
      <c r="AM486" s="161">
        <f t="shared" ca="1" si="216"/>
        <v>11</v>
      </c>
      <c r="AN486" s="199">
        <f ca="1">IF(AQ486&gt;Preenchimento!$AA$90*12,0,1)</f>
        <v>0</v>
      </c>
      <c r="AO486" s="161" t="e">
        <f ca="1">1/((1+SAC!$AD$29)^AL486)</f>
        <v>#N/A</v>
      </c>
      <c r="AP486" s="82" t="e">
        <f t="shared" ca="1" si="212"/>
        <v>#N/A</v>
      </c>
      <c r="AQ486" s="82">
        <v>461</v>
      </c>
      <c r="AS486" s="477">
        <f t="shared" ca="1" si="215"/>
        <v>0</v>
      </c>
    </row>
    <row r="487" spans="2:45">
      <c r="B487" s="249">
        <f ca="1">DATE(IF(MONTH(B486)=12,YEAR(B486)+1,YEAR(B486)),IF(MONTH(B486)=12,1,MONTH(B486)+1),MIN(DAY(Condições!$C$109),IF(IF(MONTH(B486)=12,1,MONTH(B486)+1)=2,IF(MOD(IF(MONTH(B486)=12,YEAR(B486)+1,YEAR(B486)),4)=0,29,28),IF(OR(IF(MONTH(B486)=12,1,MONTH(B486)+1)=4,IF(MONTH(B486)=12,1,MONTH(B486)+1)=6,IF(MONTH(B486)=12,1,MONTH(B486)+1)=9,IF(MONTH(B486)=12,1,MONTH(B486)+1)=11),30,DAY($B$25)))))</f>
        <v>60252</v>
      </c>
      <c r="C487" s="250" t="str">
        <f t="shared" si="190"/>
        <v/>
      </c>
      <c r="D487" s="251" t="e">
        <f t="shared" si="191"/>
        <v>#N/A</v>
      </c>
      <c r="E487" s="251">
        <f t="shared" si="192"/>
        <v>0</v>
      </c>
      <c r="F487" s="251">
        <f t="shared" si="193"/>
        <v>0</v>
      </c>
      <c r="G487" s="251">
        <f t="shared" si="194"/>
        <v>0</v>
      </c>
      <c r="H487" s="251" t="e">
        <f t="shared" si="195"/>
        <v>#VALUE!</v>
      </c>
      <c r="I487" s="251">
        <f t="shared" si="196"/>
        <v>0</v>
      </c>
      <c r="J487" s="251">
        <f t="shared" si="197"/>
        <v>0</v>
      </c>
      <c r="K487" s="251">
        <f t="shared" si="198"/>
        <v>0</v>
      </c>
      <c r="N487" s="225">
        <f t="shared" si="199"/>
        <v>0</v>
      </c>
      <c r="O487" s="251" t="e">
        <f t="shared" si="200"/>
        <v>#N/A</v>
      </c>
      <c r="P487" s="251">
        <f t="shared" si="201"/>
        <v>0</v>
      </c>
      <c r="Q487" s="251">
        <f t="shared" si="202"/>
        <v>0</v>
      </c>
      <c r="R487" s="251">
        <f t="shared" si="203"/>
        <v>0</v>
      </c>
      <c r="S487" s="251" t="e">
        <f t="shared" si="204"/>
        <v>#VALUE!</v>
      </c>
      <c r="T487" s="251">
        <f t="shared" si="205"/>
        <v>0</v>
      </c>
      <c r="V487" s="199">
        <f t="shared" si="206"/>
        <v>0</v>
      </c>
      <c r="W487" s="161" t="e">
        <f t="shared" si="207"/>
        <v>#N/A</v>
      </c>
      <c r="X487" s="161" t="e">
        <f t="shared" si="208"/>
        <v>#N/A</v>
      </c>
      <c r="Y487" s="161">
        <f t="shared" si="213"/>
        <v>462</v>
      </c>
      <c r="Z487" s="161">
        <f t="shared" ca="1" si="214"/>
        <v>12</v>
      </c>
      <c r="AG487" s="114">
        <f t="shared" si="209"/>
        <v>0</v>
      </c>
      <c r="AH487" s="113"/>
      <c r="AI487" s="199">
        <f ca="1">IF(AL487=0,0,IF(AL487&gt;Preenchimento!$AA$88*12,0,IF($AC$53=AM487,0,1)))</f>
        <v>0</v>
      </c>
      <c r="AJ487" s="161" t="e">
        <f t="shared" ca="1" si="210"/>
        <v>#N/A</v>
      </c>
      <c r="AK487" s="161" t="e">
        <f t="shared" ca="1" si="211"/>
        <v>#N/A</v>
      </c>
      <c r="AL487" s="161">
        <f ca="1">IF(Y487&gt;(Preenchimento!$AA$90*12),0,Fixa!Y487)</f>
        <v>0</v>
      </c>
      <c r="AM487" s="161">
        <f t="shared" ca="1" si="216"/>
        <v>12</v>
      </c>
      <c r="AN487" s="199">
        <f ca="1">IF(AQ487&gt;Preenchimento!$AA$90*12,0,1)</f>
        <v>0</v>
      </c>
      <c r="AO487" s="161" t="e">
        <f ca="1">1/((1+SAC!$AD$29)^AL487)</f>
        <v>#N/A</v>
      </c>
      <c r="AP487" s="82" t="e">
        <f t="shared" ca="1" si="212"/>
        <v>#N/A</v>
      </c>
      <c r="AQ487" s="82">
        <v>462</v>
      </c>
      <c r="AS487" s="477">
        <f t="shared" ca="1" si="215"/>
        <v>0</v>
      </c>
    </row>
    <row r="488" spans="2:45">
      <c r="B488" s="249">
        <f ca="1">DATE(IF(MONTH(B487)=12,YEAR(B487)+1,YEAR(B487)),IF(MONTH(B487)=12,1,MONTH(B487)+1),MIN(DAY(Condições!$C$109),IF(IF(MONTH(B487)=12,1,MONTH(B487)+1)=2,IF(MOD(IF(MONTH(B487)=12,YEAR(B487)+1,YEAR(B487)),4)=0,29,28),IF(OR(IF(MONTH(B487)=12,1,MONTH(B487)+1)=4,IF(MONTH(B487)=12,1,MONTH(B487)+1)=6,IF(MONTH(B487)=12,1,MONTH(B487)+1)=9,IF(MONTH(B487)=12,1,MONTH(B487)+1)=11),30,DAY($B$25)))))</f>
        <v>60283</v>
      </c>
      <c r="C488" s="250" t="str">
        <f t="shared" si="190"/>
        <v/>
      </c>
      <c r="D488" s="251" t="e">
        <f t="shared" si="191"/>
        <v>#N/A</v>
      </c>
      <c r="E488" s="251">
        <f t="shared" si="192"/>
        <v>0</v>
      </c>
      <c r="F488" s="251">
        <f t="shared" si="193"/>
        <v>0</v>
      </c>
      <c r="G488" s="251">
        <f t="shared" si="194"/>
        <v>0</v>
      </c>
      <c r="H488" s="251" t="e">
        <f t="shared" si="195"/>
        <v>#VALUE!</v>
      </c>
      <c r="I488" s="251">
        <f t="shared" si="196"/>
        <v>0</v>
      </c>
      <c r="J488" s="251">
        <f t="shared" si="197"/>
        <v>0</v>
      </c>
      <c r="K488" s="251">
        <f t="shared" si="198"/>
        <v>0</v>
      </c>
      <c r="N488" s="225">
        <f t="shared" si="199"/>
        <v>0</v>
      </c>
      <c r="O488" s="251" t="e">
        <f t="shared" si="200"/>
        <v>#N/A</v>
      </c>
      <c r="P488" s="251">
        <f t="shared" si="201"/>
        <v>0</v>
      </c>
      <c r="Q488" s="251">
        <f t="shared" si="202"/>
        <v>0</v>
      </c>
      <c r="R488" s="251">
        <f t="shared" si="203"/>
        <v>0</v>
      </c>
      <c r="S488" s="251" t="e">
        <f t="shared" si="204"/>
        <v>#VALUE!</v>
      </c>
      <c r="T488" s="251">
        <f t="shared" si="205"/>
        <v>0</v>
      </c>
      <c r="V488" s="199">
        <f t="shared" si="206"/>
        <v>0</v>
      </c>
      <c r="W488" s="161" t="e">
        <f t="shared" si="207"/>
        <v>#N/A</v>
      </c>
      <c r="X488" s="161" t="e">
        <f t="shared" si="208"/>
        <v>#N/A</v>
      </c>
      <c r="Y488" s="161">
        <f t="shared" si="213"/>
        <v>463</v>
      </c>
      <c r="Z488" s="161">
        <f t="shared" ca="1" si="214"/>
        <v>1</v>
      </c>
      <c r="AG488" s="114">
        <f t="shared" si="209"/>
        <v>0</v>
      </c>
      <c r="AH488" s="113"/>
      <c r="AI488" s="199">
        <f ca="1">IF(AL488=0,0,IF(AL488&gt;Preenchimento!$AA$88*12,0,IF($AC$53=AM488,0,1)))</f>
        <v>0</v>
      </c>
      <c r="AJ488" s="161" t="e">
        <f t="shared" ca="1" si="210"/>
        <v>#N/A</v>
      </c>
      <c r="AK488" s="161" t="e">
        <f t="shared" ca="1" si="211"/>
        <v>#N/A</v>
      </c>
      <c r="AL488" s="161">
        <f ca="1">IF(Y488&gt;(Preenchimento!$AA$90*12),0,Fixa!Y488)</f>
        <v>0</v>
      </c>
      <c r="AM488" s="161">
        <f t="shared" ca="1" si="216"/>
        <v>1</v>
      </c>
      <c r="AN488" s="199">
        <f ca="1">IF(AQ488&gt;Preenchimento!$AA$90*12,0,1)</f>
        <v>0</v>
      </c>
      <c r="AO488" s="161" t="e">
        <f ca="1">1/((1+SAC!$AD$29)^AL488)</f>
        <v>#N/A</v>
      </c>
      <c r="AP488" s="82" t="e">
        <f t="shared" ca="1" si="212"/>
        <v>#N/A</v>
      </c>
      <c r="AQ488" s="82">
        <v>463</v>
      </c>
      <c r="AS488" s="477">
        <f t="shared" ca="1" si="215"/>
        <v>0</v>
      </c>
    </row>
    <row r="489" spans="2:45">
      <c r="B489" s="249">
        <f ca="1">DATE(IF(MONTH(B488)=12,YEAR(B488)+1,YEAR(B488)),IF(MONTH(B488)=12,1,MONTH(B488)+1),MIN(DAY(Condições!$C$109),IF(IF(MONTH(B488)=12,1,MONTH(B488)+1)=2,IF(MOD(IF(MONTH(B488)=12,YEAR(B488)+1,YEAR(B488)),4)=0,29,28),IF(OR(IF(MONTH(B488)=12,1,MONTH(B488)+1)=4,IF(MONTH(B488)=12,1,MONTH(B488)+1)=6,IF(MONTH(B488)=12,1,MONTH(B488)+1)=9,IF(MONTH(B488)=12,1,MONTH(B488)+1)=11),30,DAY($B$25)))))</f>
        <v>60314</v>
      </c>
      <c r="C489" s="250" t="str">
        <f t="shared" si="190"/>
        <v/>
      </c>
      <c r="D489" s="251" t="e">
        <f t="shared" si="191"/>
        <v>#N/A</v>
      </c>
      <c r="E489" s="251">
        <f t="shared" si="192"/>
        <v>0</v>
      </c>
      <c r="F489" s="251">
        <f t="shared" si="193"/>
        <v>0</v>
      </c>
      <c r="G489" s="251">
        <f t="shared" si="194"/>
        <v>0</v>
      </c>
      <c r="H489" s="251" t="e">
        <f t="shared" si="195"/>
        <v>#VALUE!</v>
      </c>
      <c r="I489" s="251">
        <f t="shared" si="196"/>
        <v>0</v>
      </c>
      <c r="J489" s="251">
        <f t="shared" si="197"/>
        <v>0</v>
      </c>
      <c r="K489" s="251">
        <f t="shared" si="198"/>
        <v>0</v>
      </c>
      <c r="N489" s="225">
        <f t="shared" si="199"/>
        <v>0</v>
      </c>
      <c r="O489" s="251" t="e">
        <f t="shared" si="200"/>
        <v>#N/A</v>
      </c>
      <c r="P489" s="251">
        <f t="shared" si="201"/>
        <v>0</v>
      </c>
      <c r="Q489" s="251">
        <f t="shared" si="202"/>
        <v>0</v>
      </c>
      <c r="R489" s="251">
        <f t="shared" si="203"/>
        <v>0</v>
      </c>
      <c r="S489" s="251" t="e">
        <f t="shared" si="204"/>
        <v>#VALUE!</v>
      </c>
      <c r="T489" s="251">
        <f t="shared" si="205"/>
        <v>0</v>
      </c>
      <c r="V489" s="199">
        <f t="shared" si="206"/>
        <v>0</v>
      </c>
      <c r="W489" s="161" t="e">
        <f t="shared" si="207"/>
        <v>#N/A</v>
      </c>
      <c r="X489" s="161" t="e">
        <f t="shared" si="208"/>
        <v>#N/A</v>
      </c>
      <c r="Y489" s="161">
        <f t="shared" si="213"/>
        <v>464</v>
      </c>
      <c r="Z489" s="161">
        <f t="shared" ca="1" si="214"/>
        <v>2</v>
      </c>
      <c r="AG489" s="114">
        <f t="shared" si="209"/>
        <v>0</v>
      </c>
      <c r="AH489" s="113"/>
      <c r="AI489" s="199">
        <f ca="1">IF(AL489=0,0,IF(AL489&gt;Preenchimento!$AA$88*12,0,IF($AC$53=AM489,0,1)))</f>
        <v>0</v>
      </c>
      <c r="AJ489" s="161" t="e">
        <f t="shared" ca="1" si="210"/>
        <v>#N/A</v>
      </c>
      <c r="AK489" s="161" t="e">
        <f t="shared" ca="1" si="211"/>
        <v>#N/A</v>
      </c>
      <c r="AL489" s="161">
        <f ca="1">IF(Y489&gt;(Preenchimento!$AA$90*12),0,Fixa!Y489)</f>
        <v>0</v>
      </c>
      <c r="AM489" s="161">
        <f t="shared" ca="1" si="216"/>
        <v>2</v>
      </c>
      <c r="AN489" s="199">
        <f ca="1">IF(AQ489&gt;Preenchimento!$AA$90*12,0,1)</f>
        <v>0</v>
      </c>
      <c r="AO489" s="161" t="e">
        <f ca="1">1/((1+SAC!$AD$29)^AL489)</f>
        <v>#N/A</v>
      </c>
      <c r="AP489" s="82" t="e">
        <f t="shared" ca="1" si="212"/>
        <v>#N/A</v>
      </c>
      <c r="AQ489" s="82">
        <v>464</v>
      </c>
      <c r="AS489" s="477">
        <f t="shared" ca="1" si="215"/>
        <v>0</v>
      </c>
    </row>
    <row r="490" spans="2:45">
      <c r="B490" s="249">
        <f ca="1">DATE(IF(MONTH(B489)=12,YEAR(B489)+1,YEAR(B489)),IF(MONTH(B489)=12,1,MONTH(B489)+1),MIN(DAY(Condições!$C$109),IF(IF(MONTH(B489)=12,1,MONTH(B489)+1)=2,IF(MOD(IF(MONTH(B489)=12,YEAR(B489)+1,YEAR(B489)),4)=0,29,28),IF(OR(IF(MONTH(B489)=12,1,MONTH(B489)+1)=4,IF(MONTH(B489)=12,1,MONTH(B489)+1)=6,IF(MONTH(B489)=12,1,MONTH(B489)+1)=9,IF(MONTH(B489)=12,1,MONTH(B489)+1)=11),30,DAY($B$25)))))</f>
        <v>60342</v>
      </c>
      <c r="C490" s="250" t="str">
        <f t="shared" si="190"/>
        <v/>
      </c>
      <c r="D490" s="251" t="e">
        <f t="shared" si="191"/>
        <v>#N/A</v>
      </c>
      <c r="E490" s="251">
        <f t="shared" si="192"/>
        <v>0</v>
      </c>
      <c r="F490" s="251">
        <f t="shared" si="193"/>
        <v>0</v>
      </c>
      <c r="G490" s="251">
        <f t="shared" si="194"/>
        <v>0</v>
      </c>
      <c r="H490" s="251" t="e">
        <f t="shared" si="195"/>
        <v>#VALUE!</v>
      </c>
      <c r="I490" s="251">
        <f t="shared" si="196"/>
        <v>0</v>
      </c>
      <c r="J490" s="251">
        <f t="shared" si="197"/>
        <v>0</v>
      </c>
      <c r="K490" s="251">
        <f t="shared" si="198"/>
        <v>0</v>
      </c>
      <c r="N490" s="225">
        <f t="shared" si="199"/>
        <v>0</v>
      </c>
      <c r="O490" s="251" t="e">
        <f t="shared" si="200"/>
        <v>#N/A</v>
      </c>
      <c r="P490" s="251">
        <f t="shared" si="201"/>
        <v>0</v>
      </c>
      <c r="Q490" s="251">
        <f t="shared" si="202"/>
        <v>0</v>
      </c>
      <c r="R490" s="251">
        <f t="shared" si="203"/>
        <v>0</v>
      </c>
      <c r="S490" s="251" t="e">
        <f t="shared" si="204"/>
        <v>#VALUE!</v>
      </c>
      <c r="T490" s="251">
        <f t="shared" si="205"/>
        <v>0</v>
      </c>
      <c r="V490" s="199">
        <f t="shared" si="206"/>
        <v>0</v>
      </c>
      <c r="W490" s="161" t="e">
        <f t="shared" si="207"/>
        <v>#N/A</v>
      </c>
      <c r="X490" s="161" t="e">
        <f t="shared" si="208"/>
        <v>#N/A</v>
      </c>
      <c r="Y490" s="161">
        <f t="shared" si="213"/>
        <v>465</v>
      </c>
      <c r="Z490" s="161">
        <f t="shared" ca="1" si="214"/>
        <v>3</v>
      </c>
      <c r="AG490" s="114">
        <f t="shared" si="209"/>
        <v>0</v>
      </c>
      <c r="AH490" s="113"/>
      <c r="AI490" s="199">
        <f ca="1">IF(AL490=0,0,IF(AL490&gt;Preenchimento!$AA$88*12,0,IF($AC$53=AM490,0,1)))</f>
        <v>0</v>
      </c>
      <c r="AJ490" s="161" t="e">
        <f t="shared" ca="1" si="210"/>
        <v>#N/A</v>
      </c>
      <c r="AK490" s="161" t="e">
        <f t="shared" ca="1" si="211"/>
        <v>#N/A</v>
      </c>
      <c r="AL490" s="161">
        <f ca="1">IF(Y490&gt;(Preenchimento!$AA$90*12),0,Fixa!Y490)</f>
        <v>0</v>
      </c>
      <c r="AM490" s="161">
        <f t="shared" ca="1" si="216"/>
        <v>3</v>
      </c>
      <c r="AN490" s="199">
        <f ca="1">IF(AQ490&gt;Preenchimento!$AA$90*12,0,1)</f>
        <v>0</v>
      </c>
      <c r="AO490" s="161" t="e">
        <f ca="1">1/((1+SAC!$AD$29)^AL490)</f>
        <v>#N/A</v>
      </c>
      <c r="AP490" s="82" t="e">
        <f t="shared" ca="1" si="212"/>
        <v>#N/A</v>
      </c>
      <c r="AQ490" s="82">
        <v>465</v>
      </c>
      <c r="AS490" s="477">
        <f t="shared" ca="1" si="215"/>
        <v>0</v>
      </c>
    </row>
    <row r="491" spans="2:45">
      <c r="B491" s="249">
        <f ca="1">DATE(IF(MONTH(B490)=12,YEAR(B490)+1,YEAR(B490)),IF(MONTH(B490)=12,1,MONTH(B490)+1),MIN(DAY(Condições!$C$109),IF(IF(MONTH(B490)=12,1,MONTH(B490)+1)=2,IF(MOD(IF(MONTH(B490)=12,YEAR(B490)+1,YEAR(B490)),4)=0,29,28),IF(OR(IF(MONTH(B490)=12,1,MONTH(B490)+1)=4,IF(MONTH(B490)=12,1,MONTH(B490)+1)=6,IF(MONTH(B490)=12,1,MONTH(B490)+1)=9,IF(MONTH(B490)=12,1,MONTH(B490)+1)=11),30,DAY($B$25)))))</f>
        <v>60373</v>
      </c>
      <c r="C491" s="250" t="str">
        <f t="shared" si="190"/>
        <v/>
      </c>
      <c r="D491" s="251" t="e">
        <f t="shared" si="191"/>
        <v>#N/A</v>
      </c>
      <c r="E491" s="251">
        <f t="shared" si="192"/>
        <v>0</v>
      </c>
      <c r="F491" s="251">
        <f t="shared" si="193"/>
        <v>0</v>
      </c>
      <c r="G491" s="251">
        <f t="shared" si="194"/>
        <v>0</v>
      </c>
      <c r="H491" s="251" t="e">
        <f t="shared" si="195"/>
        <v>#VALUE!</v>
      </c>
      <c r="I491" s="251">
        <f t="shared" si="196"/>
        <v>0</v>
      </c>
      <c r="J491" s="251">
        <f t="shared" si="197"/>
        <v>0</v>
      </c>
      <c r="K491" s="251">
        <f t="shared" si="198"/>
        <v>0</v>
      </c>
      <c r="N491" s="225">
        <f t="shared" si="199"/>
        <v>0</v>
      </c>
      <c r="O491" s="251" t="e">
        <f t="shared" si="200"/>
        <v>#N/A</v>
      </c>
      <c r="P491" s="251">
        <f t="shared" si="201"/>
        <v>0</v>
      </c>
      <c r="Q491" s="251">
        <f t="shared" si="202"/>
        <v>0</v>
      </c>
      <c r="R491" s="251">
        <f t="shared" si="203"/>
        <v>0</v>
      </c>
      <c r="S491" s="251" t="e">
        <f t="shared" si="204"/>
        <v>#VALUE!</v>
      </c>
      <c r="T491" s="251">
        <f t="shared" si="205"/>
        <v>0</v>
      </c>
      <c r="V491" s="199">
        <f t="shared" si="206"/>
        <v>0</v>
      </c>
      <c r="W491" s="161" t="e">
        <f t="shared" si="207"/>
        <v>#N/A</v>
      </c>
      <c r="X491" s="161" t="e">
        <f t="shared" si="208"/>
        <v>#N/A</v>
      </c>
      <c r="Y491" s="161">
        <f t="shared" si="213"/>
        <v>466</v>
      </c>
      <c r="Z491" s="161">
        <f t="shared" ca="1" si="214"/>
        <v>4</v>
      </c>
      <c r="AG491" s="114">
        <f t="shared" si="209"/>
        <v>0</v>
      </c>
      <c r="AH491" s="113"/>
      <c r="AI491" s="199">
        <f ca="1">IF(AL491=0,0,IF(AL491&gt;Preenchimento!$AA$88*12,0,IF($AC$53=AM491,0,1)))</f>
        <v>0</v>
      </c>
      <c r="AJ491" s="161" t="e">
        <f t="shared" ca="1" si="210"/>
        <v>#N/A</v>
      </c>
      <c r="AK491" s="161" t="e">
        <f t="shared" ca="1" si="211"/>
        <v>#N/A</v>
      </c>
      <c r="AL491" s="161">
        <f ca="1">IF(Y491&gt;(Preenchimento!$AA$90*12),0,Fixa!Y491)</f>
        <v>0</v>
      </c>
      <c r="AM491" s="161">
        <f t="shared" ca="1" si="216"/>
        <v>4</v>
      </c>
      <c r="AN491" s="199">
        <f ca="1">IF(AQ491&gt;Preenchimento!$AA$90*12,0,1)</f>
        <v>0</v>
      </c>
      <c r="AO491" s="161" t="e">
        <f ca="1">1/((1+SAC!$AD$29)^AL491)</f>
        <v>#N/A</v>
      </c>
      <c r="AP491" s="82" t="e">
        <f t="shared" ca="1" si="212"/>
        <v>#N/A</v>
      </c>
      <c r="AQ491" s="82">
        <v>466</v>
      </c>
      <c r="AS491" s="477">
        <f t="shared" ca="1" si="215"/>
        <v>0</v>
      </c>
    </row>
    <row r="492" spans="2:45">
      <c r="B492" s="249">
        <f ca="1">DATE(IF(MONTH(B491)=12,YEAR(B491)+1,YEAR(B491)),IF(MONTH(B491)=12,1,MONTH(B491)+1),MIN(DAY(Condições!$C$109),IF(IF(MONTH(B491)=12,1,MONTH(B491)+1)=2,IF(MOD(IF(MONTH(B491)=12,YEAR(B491)+1,YEAR(B491)),4)=0,29,28),IF(OR(IF(MONTH(B491)=12,1,MONTH(B491)+1)=4,IF(MONTH(B491)=12,1,MONTH(B491)+1)=6,IF(MONTH(B491)=12,1,MONTH(B491)+1)=9,IF(MONTH(B491)=12,1,MONTH(B491)+1)=11),30,DAY($B$25)))))</f>
        <v>60403</v>
      </c>
      <c r="C492" s="250" t="str">
        <f t="shared" si="190"/>
        <v/>
      </c>
      <c r="D492" s="251" t="e">
        <f t="shared" si="191"/>
        <v>#N/A</v>
      </c>
      <c r="E492" s="251">
        <f t="shared" si="192"/>
        <v>0</v>
      </c>
      <c r="F492" s="251">
        <f t="shared" si="193"/>
        <v>0</v>
      </c>
      <c r="G492" s="251">
        <f t="shared" si="194"/>
        <v>0</v>
      </c>
      <c r="H492" s="251" t="e">
        <f t="shared" si="195"/>
        <v>#VALUE!</v>
      </c>
      <c r="I492" s="251">
        <f t="shared" si="196"/>
        <v>0</v>
      </c>
      <c r="J492" s="251">
        <f t="shared" si="197"/>
        <v>0</v>
      </c>
      <c r="K492" s="251">
        <f t="shared" si="198"/>
        <v>0</v>
      </c>
      <c r="N492" s="225">
        <f t="shared" si="199"/>
        <v>0</v>
      </c>
      <c r="O492" s="251" t="e">
        <f t="shared" si="200"/>
        <v>#N/A</v>
      </c>
      <c r="P492" s="251">
        <f t="shared" si="201"/>
        <v>0</v>
      </c>
      <c r="Q492" s="251">
        <f t="shared" si="202"/>
        <v>0</v>
      </c>
      <c r="R492" s="251">
        <f t="shared" si="203"/>
        <v>0</v>
      </c>
      <c r="S492" s="251" t="e">
        <f t="shared" si="204"/>
        <v>#VALUE!</v>
      </c>
      <c r="T492" s="251">
        <f t="shared" si="205"/>
        <v>0</v>
      </c>
      <c r="V492" s="199">
        <f t="shared" si="206"/>
        <v>0</v>
      </c>
      <c r="W492" s="161" t="e">
        <f t="shared" si="207"/>
        <v>#N/A</v>
      </c>
      <c r="X492" s="161" t="e">
        <f t="shared" si="208"/>
        <v>#N/A</v>
      </c>
      <c r="Y492" s="161">
        <f t="shared" si="213"/>
        <v>467</v>
      </c>
      <c r="Z492" s="161">
        <f t="shared" ca="1" si="214"/>
        <v>5</v>
      </c>
      <c r="AG492" s="114">
        <f t="shared" si="209"/>
        <v>0</v>
      </c>
      <c r="AH492" s="113"/>
      <c r="AI492" s="199">
        <f ca="1">IF(AL492=0,0,IF(AL492&gt;Preenchimento!$AA$88*12,0,IF($AC$53=AM492,0,1)))</f>
        <v>0</v>
      </c>
      <c r="AJ492" s="161" t="e">
        <f t="shared" ca="1" si="210"/>
        <v>#N/A</v>
      </c>
      <c r="AK492" s="161" t="e">
        <f t="shared" ca="1" si="211"/>
        <v>#N/A</v>
      </c>
      <c r="AL492" s="161">
        <f ca="1">IF(Y492&gt;(Preenchimento!$AA$90*12),0,Fixa!Y492)</f>
        <v>0</v>
      </c>
      <c r="AM492" s="161">
        <f t="shared" ca="1" si="216"/>
        <v>5</v>
      </c>
      <c r="AN492" s="199">
        <f ca="1">IF(AQ492&gt;Preenchimento!$AA$90*12,0,1)</f>
        <v>0</v>
      </c>
      <c r="AO492" s="161" t="e">
        <f ca="1">1/((1+SAC!$AD$29)^AL492)</f>
        <v>#N/A</v>
      </c>
      <c r="AP492" s="82" t="e">
        <f t="shared" ca="1" si="212"/>
        <v>#N/A</v>
      </c>
      <c r="AQ492" s="82">
        <v>467</v>
      </c>
      <c r="AS492" s="477">
        <f t="shared" ca="1" si="215"/>
        <v>0</v>
      </c>
    </row>
    <row r="493" spans="2:45">
      <c r="B493" s="249">
        <f ca="1">DATE(IF(MONTH(B492)=12,YEAR(B492)+1,YEAR(B492)),IF(MONTH(B492)=12,1,MONTH(B492)+1),MIN(DAY(Condições!$C$109),IF(IF(MONTH(B492)=12,1,MONTH(B492)+1)=2,IF(MOD(IF(MONTH(B492)=12,YEAR(B492)+1,YEAR(B492)),4)=0,29,28),IF(OR(IF(MONTH(B492)=12,1,MONTH(B492)+1)=4,IF(MONTH(B492)=12,1,MONTH(B492)+1)=6,IF(MONTH(B492)=12,1,MONTH(B492)+1)=9,IF(MONTH(B492)=12,1,MONTH(B492)+1)=11),30,DAY($B$25)))))</f>
        <v>60434</v>
      </c>
      <c r="C493" s="250" t="str">
        <f t="shared" si="190"/>
        <v/>
      </c>
      <c r="D493" s="251" t="e">
        <f t="shared" si="191"/>
        <v>#N/A</v>
      </c>
      <c r="E493" s="251">
        <f t="shared" si="192"/>
        <v>0</v>
      </c>
      <c r="F493" s="251">
        <f t="shared" si="193"/>
        <v>0</v>
      </c>
      <c r="G493" s="251">
        <f t="shared" si="194"/>
        <v>0</v>
      </c>
      <c r="H493" s="251" t="e">
        <f t="shared" si="195"/>
        <v>#VALUE!</v>
      </c>
      <c r="I493" s="251">
        <f t="shared" si="196"/>
        <v>0</v>
      </c>
      <c r="J493" s="251">
        <f t="shared" si="197"/>
        <v>0</v>
      </c>
      <c r="K493" s="251">
        <f t="shared" si="198"/>
        <v>0</v>
      </c>
      <c r="N493" s="225">
        <f t="shared" si="199"/>
        <v>0</v>
      </c>
      <c r="O493" s="251" t="e">
        <f t="shared" si="200"/>
        <v>#N/A</v>
      </c>
      <c r="P493" s="251">
        <f t="shared" si="201"/>
        <v>0</v>
      </c>
      <c r="Q493" s="251">
        <f t="shared" si="202"/>
        <v>0</v>
      </c>
      <c r="R493" s="251">
        <f t="shared" si="203"/>
        <v>0</v>
      </c>
      <c r="S493" s="251" t="e">
        <f t="shared" si="204"/>
        <v>#VALUE!</v>
      </c>
      <c r="T493" s="251">
        <f t="shared" si="205"/>
        <v>0</v>
      </c>
      <c r="V493" s="199">
        <f t="shared" si="206"/>
        <v>0</v>
      </c>
      <c r="W493" s="161" t="e">
        <f t="shared" si="207"/>
        <v>#N/A</v>
      </c>
      <c r="X493" s="161" t="e">
        <f t="shared" si="208"/>
        <v>#N/A</v>
      </c>
      <c r="Y493" s="161">
        <f t="shared" si="213"/>
        <v>468</v>
      </c>
      <c r="Z493" s="161">
        <f t="shared" ca="1" si="214"/>
        <v>6</v>
      </c>
      <c r="AG493" s="114">
        <f t="shared" si="209"/>
        <v>0</v>
      </c>
      <c r="AH493" s="113"/>
      <c r="AI493" s="199">
        <f ca="1">IF(AL493=0,0,IF(AL493&gt;Preenchimento!$AA$88*12,0,IF($AC$53=AM493,0,1)))</f>
        <v>0</v>
      </c>
      <c r="AJ493" s="161" t="e">
        <f t="shared" ca="1" si="210"/>
        <v>#N/A</v>
      </c>
      <c r="AK493" s="161" t="e">
        <f t="shared" ca="1" si="211"/>
        <v>#N/A</v>
      </c>
      <c r="AL493" s="161">
        <f ca="1">IF(Y493&gt;(Preenchimento!$AA$90*12),0,Fixa!Y493)</f>
        <v>0</v>
      </c>
      <c r="AM493" s="161">
        <f t="shared" ca="1" si="216"/>
        <v>6</v>
      </c>
      <c r="AN493" s="199">
        <f ca="1">IF(AQ493&gt;Preenchimento!$AA$90*12,0,1)</f>
        <v>0</v>
      </c>
      <c r="AO493" s="161" t="e">
        <f ca="1">1/((1+SAC!$AD$29)^AL493)</f>
        <v>#N/A</v>
      </c>
      <c r="AP493" s="82" t="e">
        <f t="shared" ca="1" si="212"/>
        <v>#N/A</v>
      </c>
      <c r="AQ493" s="82">
        <v>468</v>
      </c>
      <c r="AS493" s="477">
        <f t="shared" ca="1" si="215"/>
        <v>0</v>
      </c>
    </row>
    <row r="494" spans="2:45">
      <c r="B494" s="249">
        <f ca="1">DATE(IF(MONTH(B493)=12,YEAR(B493)+1,YEAR(B493)),IF(MONTH(B493)=12,1,MONTH(B493)+1),MIN(DAY(Condições!$C$109),IF(IF(MONTH(B493)=12,1,MONTH(B493)+1)=2,IF(MOD(IF(MONTH(B493)=12,YEAR(B493)+1,YEAR(B493)),4)=0,29,28),IF(OR(IF(MONTH(B493)=12,1,MONTH(B493)+1)=4,IF(MONTH(B493)=12,1,MONTH(B493)+1)=6,IF(MONTH(B493)=12,1,MONTH(B493)+1)=9,IF(MONTH(B493)=12,1,MONTH(B493)+1)=11),30,DAY($B$25)))))</f>
        <v>60464</v>
      </c>
      <c r="C494" s="250" t="str">
        <f t="shared" si="190"/>
        <v/>
      </c>
      <c r="D494" s="251" t="e">
        <f t="shared" si="191"/>
        <v>#N/A</v>
      </c>
      <c r="E494" s="251">
        <f t="shared" si="192"/>
        <v>0</v>
      </c>
      <c r="F494" s="251">
        <f t="shared" si="193"/>
        <v>0</v>
      </c>
      <c r="G494" s="251">
        <f t="shared" si="194"/>
        <v>0</v>
      </c>
      <c r="H494" s="251" t="e">
        <f t="shared" si="195"/>
        <v>#VALUE!</v>
      </c>
      <c r="I494" s="251">
        <f t="shared" si="196"/>
        <v>0</v>
      </c>
      <c r="J494" s="251">
        <f t="shared" si="197"/>
        <v>0</v>
      </c>
      <c r="K494" s="251">
        <f t="shared" si="198"/>
        <v>0</v>
      </c>
      <c r="N494" s="225">
        <f t="shared" si="199"/>
        <v>0</v>
      </c>
      <c r="O494" s="251" t="e">
        <f t="shared" si="200"/>
        <v>#N/A</v>
      </c>
      <c r="P494" s="251">
        <f t="shared" si="201"/>
        <v>0</v>
      </c>
      <c r="Q494" s="251">
        <f t="shared" si="202"/>
        <v>0</v>
      </c>
      <c r="R494" s="251">
        <f t="shared" si="203"/>
        <v>0</v>
      </c>
      <c r="S494" s="251" t="e">
        <f t="shared" si="204"/>
        <v>#VALUE!</v>
      </c>
      <c r="T494" s="251">
        <f t="shared" si="205"/>
        <v>0</v>
      </c>
      <c r="V494" s="199">
        <f t="shared" si="206"/>
        <v>0</v>
      </c>
      <c r="W494" s="161" t="e">
        <f t="shared" si="207"/>
        <v>#N/A</v>
      </c>
      <c r="X494" s="161" t="e">
        <f t="shared" si="208"/>
        <v>#N/A</v>
      </c>
      <c r="Y494" s="161">
        <f t="shared" si="213"/>
        <v>469</v>
      </c>
      <c r="Z494" s="161">
        <f t="shared" ca="1" si="214"/>
        <v>7</v>
      </c>
      <c r="AG494" s="114">
        <f t="shared" si="209"/>
        <v>0</v>
      </c>
      <c r="AH494" s="113"/>
      <c r="AI494" s="199">
        <f ca="1">IF(AL494=0,0,IF(AL494&gt;Preenchimento!$AA$88*12,0,IF($AC$53=AM494,0,1)))</f>
        <v>0</v>
      </c>
      <c r="AJ494" s="161" t="e">
        <f t="shared" ca="1" si="210"/>
        <v>#N/A</v>
      </c>
      <c r="AK494" s="161" t="e">
        <f t="shared" ca="1" si="211"/>
        <v>#N/A</v>
      </c>
      <c r="AL494" s="161">
        <f ca="1">IF(Y494&gt;(Preenchimento!$AA$90*12),0,Fixa!Y494)</f>
        <v>0</v>
      </c>
      <c r="AM494" s="161">
        <f t="shared" ca="1" si="216"/>
        <v>7</v>
      </c>
      <c r="AN494" s="199">
        <f ca="1">IF(AQ494&gt;Preenchimento!$AA$90*12,0,1)</f>
        <v>0</v>
      </c>
      <c r="AO494" s="161" t="e">
        <f ca="1">1/((1+SAC!$AD$29)^AL494)</f>
        <v>#N/A</v>
      </c>
      <c r="AP494" s="82" t="e">
        <f t="shared" ca="1" si="212"/>
        <v>#N/A</v>
      </c>
      <c r="AQ494" s="82">
        <v>469</v>
      </c>
      <c r="AS494" s="477">
        <f t="shared" ca="1" si="215"/>
        <v>0</v>
      </c>
    </row>
    <row r="495" spans="2:45">
      <c r="B495" s="249">
        <f ca="1">DATE(IF(MONTH(B494)=12,YEAR(B494)+1,YEAR(B494)),IF(MONTH(B494)=12,1,MONTH(B494)+1),MIN(DAY(Condições!$C$109),IF(IF(MONTH(B494)=12,1,MONTH(B494)+1)=2,IF(MOD(IF(MONTH(B494)=12,YEAR(B494)+1,YEAR(B494)),4)=0,29,28),IF(OR(IF(MONTH(B494)=12,1,MONTH(B494)+1)=4,IF(MONTH(B494)=12,1,MONTH(B494)+1)=6,IF(MONTH(B494)=12,1,MONTH(B494)+1)=9,IF(MONTH(B494)=12,1,MONTH(B494)+1)=11),30,DAY($B$25)))))</f>
        <v>60495</v>
      </c>
      <c r="C495" s="250" t="str">
        <f t="shared" si="190"/>
        <v/>
      </c>
      <c r="D495" s="251" t="e">
        <f t="shared" si="191"/>
        <v>#N/A</v>
      </c>
      <c r="E495" s="251">
        <f t="shared" si="192"/>
        <v>0</v>
      </c>
      <c r="F495" s="251">
        <f t="shared" si="193"/>
        <v>0</v>
      </c>
      <c r="G495" s="251">
        <f t="shared" si="194"/>
        <v>0</v>
      </c>
      <c r="H495" s="251" t="e">
        <f t="shared" si="195"/>
        <v>#VALUE!</v>
      </c>
      <c r="I495" s="251">
        <f t="shared" si="196"/>
        <v>0</v>
      </c>
      <c r="J495" s="251">
        <f t="shared" si="197"/>
        <v>0</v>
      </c>
      <c r="K495" s="251">
        <f t="shared" si="198"/>
        <v>0</v>
      </c>
      <c r="N495" s="225">
        <f t="shared" si="199"/>
        <v>0</v>
      </c>
      <c r="O495" s="251" t="e">
        <f t="shared" si="200"/>
        <v>#N/A</v>
      </c>
      <c r="P495" s="251">
        <f t="shared" si="201"/>
        <v>0</v>
      </c>
      <c r="Q495" s="251">
        <f t="shared" si="202"/>
        <v>0</v>
      </c>
      <c r="R495" s="251">
        <f t="shared" si="203"/>
        <v>0</v>
      </c>
      <c r="S495" s="251" t="e">
        <f t="shared" si="204"/>
        <v>#VALUE!</v>
      </c>
      <c r="T495" s="251">
        <f t="shared" si="205"/>
        <v>0</v>
      </c>
      <c r="V495" s="199">
        <f t="shared" si="206"/>
        <v>0</v>
      </c>
      <c r="W495" s="161" t="e">
        <f t="shared" si="207"/>
        <v>#N/A</v>
      </c>
      <c r="X495" s="161" t="e">
        <f t="shared" si="208"/>
        <v>#N/A</v>
      </c>
      <c r="Y495" s="161">
        <f t="shared" si="213"/>
        <v>470</v>
      </c>
      <c r="Z495" s="161">
        <f t="shared" ca="1" si="214"/>
        <v>8</v>
      </c>
      <c r="AG495" s="114">
        <f t="shared" si="209"/>
        <v>0</v>
      </c>
      <c r="AH495" s="113"/>
      <c r="AI495" s="199">
        <f ca="1">IF(AL495=0,0,IF(AL495&gt;Preenchimento!$AA$88*12,0,IF($AC$53=AM495,0,1)))</f>
        <v>0</v>
      </c>
      <c r="AJ495" s="161" t="e">
        <f t="shared" ca="1" si="210"/>
        <v>#N/A</v>
      </c>
      <c r="AK495" s="161" t="e">
        <f t="shared" ca="1" si="211"/>
        <v>#N/A</v>
      </c>
      <c r="AL495" s="161">
        <f ca="1">IF(Y495&gt;(Preenchimento!$AA$90*12),0,Fixa!Y495)</f>
        <v>0</v>
      </c>
      <c r="AM495" s="161">
        <f t="shared" ca="1" si="216"/>
        <v>8</v>
      </c>
      <c r="AN495" s="199">
        <f ca="1">IF(AQ495&gt;Preenchimento!$AA$90*12,0,1)</f>
        <v>0</v>
      </c>
      <c r="AO495" s="161" t="e">
        <f ca="1">1/((1+SAC!$AD$29)^AL495)</f>
        <v>#N/A</v>
      </c>
      <c r="AP495" s="82" t="e">
        <f t="shared" ca="1" si="212"/>
        <v>#N/A</v>
      </c>
      <c r="AQ495" s="82">
        <v>470</v>
      </c>
      <c r="AS495" s="477">
        <f t="shared" ca="1" si="215"/>
        <v>0</v>
      </c>
    </row>
    <row r="496" spans="2:45">
      <c r="B496" s="249">
        <f ca="1">DATE(IF(MONTH(B495)=12,YEAR(B495)+1,YEAR(B495)),IF(MONTH(B495)=12,1,MONTH(B495)+1),MIN(DAY(Condições!$C$109),IF(IF(MONTH(B495)=12,1,MONTH(B495)+1)=2,IF(MOD(IF(MONTH(B495)=12,YEAR(B495)+1,YEAR(B495)),4)=0,29,28),IF(OR(IF(MONTH(B495)=12,1,MONTH(B495)+1)=4,IF(MONTH(B495)=12,1,MONTH(B495)+1)=6,IF(MONTH(B495)=12,1,MONTH(B495)+1)=9,IF(MONTH(B495)=12,1,MONTH(B495)+1)=11),30,DAY($B$25)))))</f>
        <v>60526</v>
      </c>
      <c r="C496" s="250" t="str">
        <f t="shared" si="190"/>
        <v/>
      </c>
      <c r="D496" s="251" t="e">
        <f t="shared" si="191"/>
        <v>#N/A</v>
      </c>
      <c r="E496" s="251">
        <f t="shared" si="192"/>
        <v>0</v>
      </c>
      <c r="F496" s="251">
        <f t="shared" si="193"/>
        <v>0</v>
      </c>
      <c r="G496" s="251">
        <f t="shared" si="194"/>
        <v>0</v>
      </c>
      <c r="H496" s="251" t="e">
        <f t="shared" si="195"/>
        <v>#VALUE!</v>
      </c>
      <c r="I496" s="251">
        <f t="shared" si="196"/>
        <v>0</v>
      </c>
      <c r="J496" s="251">
        <f t="shared" si="197"/>
        <v>0</v>
      </c>
      <c r="K496" s="251">
        <f t="shared" si="198"/>
        <v>0</v>
      </c>
      <c r="N496" s="225">
        <f t="shared" si="199"/>
        <v>0</v>
      </c>
      <c r="O496" s="251" t="e">
        <f t="shared" si="200"/>
        <v>#N/A</v>
      </c>
      <c r="P496" s="251">
        <f t="shared" si="201"/>
        <v>0</v>
      </c>
      <c r="Q496" s="251">
        <f t="shared" si="202"/>
        <v>0</v>
      </c>
      <c r="R496" s="251">
        <f t="shared" si="203"/>
        <v>0</v>
      </c>
      <c r="S496" s="251" t="e">
        <f t="shared" si="204"/>
        <v>#VALUE!</v>
      </c>
      <c r="T496" s="251">
        <f t="shared" si="205"/>
        <v>0</v>
      </c>
      <c r="V496" s="199">
        <f t="shared" si="206"/>
        <v>0</v>
      </c>
      <c r="W496" s="161" t="e">
        <f t="shared" si="207"/>
        <v>#N/A</v>
      </c>
      <c r="X496" s="161" t="e">
        <f t="shared" si="208"/>
        <v>#N/A</v>
      </c>
      <c r="Y496" s="161">
        <f t="shared" si="213"/>
        <v>471</v>
      </c>
      <c r="Z496" s="161">
        <f t="shared" ca="1" si="214"/>
        <v>9</v>
      </c>
      <c r="AG496" s="114">
        <f t="shared" si="209"/>
        <v>0</v>
      </c>
      <c r="AH496" s="113"/>
      <c r="AI496" s="199">
        <f ca="1">IF(AL496=0,0,IF(AL496&gt;Preenchimento!$AA$88*12,0,IF($AC$53=AM496,0,1)))</f>
        <v>0</v>
      </c>
      <c r="AJ496" s="161" t="e">
        <f t="shared" ca="1" si="210"/>
        <v>#N/A</v>
      </c>
      <c r="AK496" s="161" t="e">
        <f t="shared" ca="1" si="211"/>
        <v>#N/A</v>
      </c>
      <c r="AL496" s="161">
        <f ca="1">IF(Y496&gt;(Preenchimento!$AA$90*12),0,Fixa!Y496)</f>
        <v>0</v>
      </c>
      <c r="AM496" s="161">
        <f t="shared" ca="1" si="216"/>
        <v>9</v>
      </c>
      <c r="AN496" s="199">
        <f ca="1">IF(AQ496&gt;Preenchimento!$AA$90*12,0,1)</f>
        <v>0</v>
      </c>
      <c r="AO496" s="161" t="e">
        <f ca="1">1/((1+SAC!$AD$29)^AL496)</f>
        <v>#N/A</v>
      </c>
      <c r="AP496" s="82" t="e">
        <f t="shared" ca="1" si="212"/>
        <v>#N/A</v>
      </c>
      <c r="AQ496" s="82">
        <v>471</v>
      </c>
      <c r="AS496" s="477">
        <f t="shared" ca="1" si="215"/>
        <v>0</v>
      </c>
    </row>
    <row r="497" spans="2:45">
      <c r="B497" s="249">
        <f ca="1">DATE(IF(MONTH(B496)=12,YEAR(B496)+1,YEAR(B496)),IF(MONTH(B496)=12,1,MONTH(B496)+1),MIN(DAY(Condições!$C$109),IF(IF(MONTH(B496)=12,1,MONTH(B496)+1)=2,IF(MOD(IF(MONTH(B496)=12,YEAR(B496)+1,YEAR(B496)),4)=0,29,28),IF(OR(IF(MONTH(B496)=12,1,MONTH(B496)+1)=4,IF(MONTH(B496)=12,1,MONTH(B496)+1)=6,IF(MONTH(B496)=12,1,MONTH(B496)+1)=9,IF(MONTH(B496)=12,1,MONTH(B496)+1)=11),30,DAY($B$25)))))</f>
        <v>60556</v>
      </c>
      <c r="C497" s="250" t="str">
        <f t="shared" si="190"/>
        <v/>
      </c>
      <c r="D497" s="251" t="e">
        <f t="shared" si="191"/>
        <v>#N/A</v>
      </c>
      <c r="E497" s="251">
        <f t="shared" si="192"/>
        <v>0</v>
      </c>
      <c r="F497" s="251">
        <f t="shared" si="193"/>
        <v>0</v>
      </c>
      <c r="G497" s="251">
        <f t="shared" si="194"/>
        <v>0</v>
      </c>
      <c r="H497" s="251" t="e">
        <f t="shared" si="195"/>
        <v>#VALUE!</v>
      </c>
      <c r="I497" s="251">
        <f t="shared" si="196"/>
        <v>0</v>
      </c>
      <c r="J497" s="251">
        <f t="shared" si="197"/>
        <v>0</v>
      </c>
      <c r="K497" s="251">
        <f t="shared" si="198"/>
        <v>0</v>
      </c>
      <c r="N497" s="225">
        <f t="shared" si="199"/>
        <v>0</v>
      </c>
      <c r="O497" s="251" t="e">
        <f t="shared" si="200"/>
        <v>#N/A</v>
      </c>
      <c r="P497" s="251">
        <f t="shared" si="201"/>
        <v>0</v>
      </c>
      <c r="Q497" s="251">
        <f t="shared" si="202"/>
        <v>0</v>
      </c>
      <c r="R497" s="251">
        <f t="shared" si="203"/>
        <v>0</v>
      </c>
      <c r="S497" s="251" t="e">
        <f t="shared" si="204"/>
        <v>#VALUE!</v>
      </c>
      <c r="T497" s="251">
        <f t="shared" si="205"/>
        <v>0</v>
      </c>
      <c r="V497" s="199">
        <f t="shared" si="206"/>
        <v>0</v>
      </c>
      <c r="W497" s="161" t="e">
        <f t="shared" si="207"/>
        <v>#N/A</v>
      </c>
      <c r="X497" s="161" t="e">
        <f t="shared" si="208"/>
        <v>#N/A</v>
      </c>
      <c r="Y497" s="161">
        <f t="shared" si="213"/>
        <v>472</v>
      </c>
      <c r="Z497" s="161">
        <f t="shared" ca="1" si="214"/>
        <v>10</v>
      </c>
      <c r="AG497" s="114">
        <f t="shared" si="209"/>
        <v>0</v>
      </c>
      <c r="AH497" s="113"/>
      <c r="AI497" s="199">
        <f ca="1">IF(AL497=0,0,IF(AL497&gt;Preenchimento!$AA$88*12,0,IF($AC$53=AM497,0,1)))</f>
        <v>0</v>
      </c>
      <c r="AJ497" s="161" t="e">
        <f t="shared" ca="1" si="210"/>
        <v>#N/A</v>
      </c>
      <c r="AK497" s="161" t="e">
        <f t="shared" ca="1" si="211"/>
        <v>#N/A</v>
      </c>
      <c r="AL497" s="161">
        <f ca="1">IF(Y497&gt;(Preenchimento!$AA$90*12),0,Fixa!Y497)</f>
        <v>0</v>
      </c>
      <c r="AM497" s="161">
        <f t="shared" ca="1" si="216"/>
        <v>10</v>
      </c>
      <c r="AN497" s="199">
        <f ca="1">IF(AQ497&gt;Preenchimento!$AA$90*12,0,1)</f>
        <v>0</v>
      </c>
      <c r="AO497" s="161" t="e">
        <f ca="1">1/((1+SAC!$AD$29)^AL497)</f>
        <v>#N/A</v>
      </c>
      <c r="AP497" s="82" t="e">
        <f t="shared" ca="1" si="212"/>
        <v>#N/A</v>
      </c>
      <c r="AQ497" s="82">
        <v>472</v>
      </c>
      <c r="AS497" s="477">
        <f t="shared" ca="1" si="215"/>
        <v>0</v>
      </c>
    </row>
    <row r="498" spans="2:45">
      <c r="B498" s="249">
        <f ca="1">DATE(IF(MONTH(B497)=12,YEAR(B497)+1,YEAR(B497)),IF(MONTH(B497)=12,1,MONTH(B497)+1),MIN(DAY(Condições!$C$109),IF(IF(MONTH(B497)=12,1,MONTH(B497)+1)=2,IF(MOD(IF(MONTH(B497)=12,YEAR(B497)+1,YEAR(B497)),4)=0,29,28),IF(OR(IF(MONTH(B497)=12,1,MONTH(B497)+1)=4,IF(MONTH(B497)=12,1,MONTH(B497)+1)=6,IF(MONTH(B497)=12,1,MONTH(B497)+1)=9,IF(MONTH(B497)=12,1,MONTH(B497)+1)=11),30,DAY($B$25)))))</f>
        <v>60587</v>
      </c>
      <c r="C498" s="250" t="str">
        <f t="shared" si="190"/>
        <v/>
      </c>
      <c r="D498" s="251" t="e">
        <f t="shared" si="191"/>
        <v>#N/A</v>
      </c>
      <c r="E498" s="251">
        <f t="shared" si="192"/>
        <v>0</v>
      </c>
      <c r="F498" s="251">
        <f t="shared" si="193"/>
        <v>0</v>
      </c>
      <c r="G498" s="251">
        <f t="shared" si="194"/>
        <v>0</v>
      </c>
      <c r="H498" s="251" t="e">
        <f t="shared" si="195"/>
        <v>#VALUE!</v>
      </c>
      <c r="I498" s="251">
        <f t="shared" si="196"/>
        <v>0</v>
      </c>
      <c r="J498" s="251">
        <f t="shared" si="197"/>
        <v>0</v>
      </c>
      <c r="K498" s="251">
        <f t="shared" si="198"/>
        <v>0</v>
      </c>
      <c r="N498" s="225">
        <f t="shared" si="199"/>
        <v>0</v>
      </c>
      <c r="O498" s="251" t="e">
        <f t="shared" si="200"/>
        <v>#N/A</v>
      </c>
      <c r="P498" s="251">
        <f t="shared" si="201"/>
        <v>0</v>
      </c>
      <c r="Q498" s="251">
        <f t="shared" si="202"/>
        <v>0</v>
      </c>
      <c r="R498" s="251">
        <f t="shared" si="203"/>
        <v>0</v>
      </c>
      <c r="S498" s="251" t="e">
        <f t="shared" si="204"/>
        <v>#VALUE!</v>
      </c>
      <c r="T498" s="251">
        <f t="shared" si="205"/>
        <v>0</v>
      </c>
      <c r="V498" s="199">
        <f t="shared" si="206"/>
        <v>0</v>
      </c>
      <c r="W498" s="161" t="e">
        <f t="shared" si="207"/>
        <v>#N/A</v>
      </c>
      <c r="X498" s="161" t="e">
        <f t="shared" si="208"/>
        <v>#N/A</v>
      </c>
      <c r="Y498" s="161">
        <f t="shared" si="213"/>
        <v>473</v>
      </c>
      <c r="Z498" s="161">
        <f t="shared" ca="1" si="214"/>
        <v>11</v>
      </c>
      <c r="AG498" s="114">
        <f t="shared" si="209"/>
        <v>0</v>
      </c>
      <c r="AH498" s="113"/>
      <c r="AI498" s="199">
        <f ca="1">IF(AL498=0,0,IF(AL498&gt;Preenchimento!$AA$88*12,0,IF($AC$53=AM498,0,1)))</f>
        <v>0</v>
      </c>
      <c r="AJ498" s="161" t="e">
        <f t="shared" ca="1" si="210"/>
        <v>#N/A</v>
      </c>
      <c r="AK498" s="161" t="e">
        <f t="shared" ca="1" si="211"/>
        <v>#N/A</v>
      </c>
      <c r="AL498" s="161">
        <f ca="1">IF(Y498&gt;(Preenchimento!$AA$90*12),0,Fixa!Y498)</f>
        <v>0</v>
      </c>
      <c r="AM498" s="161">
        <f t="shared" ca="1" si="216"/>
        <v>11</v>
      </c>
      <c r="AN498" s="199">
        <f ca="1">IF(AQ498&gt;Preenchimento!$AA$90*12,0,1)</f>
        <v>0</v>
      </c>
      <c r="AO498" s="161" t="e">
        <f ca="1">1/((1+SAC!$AD$29)^AL498)</f>
        <v>#N/A</v>
      </c>
      <c r="AP498" s="82" t="e">
        <f t="shared" ca="1" si="212"/>
        <v>#N/A</v>
      </c>
      <c r="AQ498" s="82">
        <v>473</v>
      </c>
      <c r="AS498" s="477">
        <f t="shared" ca="1" si="215"/>
        <v>0</v>
      </c>
    </row>
    <row r="499" spans="2:45">
      <c r="B499" s="249">
        <f ca="1">DATE(IF(MONTH(B498)=12,YEAR(B498)+1,YEAR(B498)),IF(MONTH(B498)=12,1,MONTH(B498)+1),MIN(DAY(Condições!$C$109),IF(IF(MONTH(B498)=12,1,MONTH(B498)+1)=2,IF(MOD(IF(MONTH(B498)=12,YEAR(B498)+1,YEAR(B498)),4)=0,29,28),IF(OR(IF(MONTH(B498)=12,1,MONTH(B498)+1)=4,IF(MONTH(B498)=12,1,MONTH(B498)+1)=6,IF(MONTH(B498)=12,1,MONTH(B498)+1)=9,IF(MONTH(B498)=12,1,MONTH(B498)+1)=11),30,DAY($B$25)))))</f>
        <v>60617</v>
      </c>
      <c r="C499" s="250" t="str">
        <f t="shared" si="190"/>
        <v/>
      </c>
      <c r="D499" s="251" t="e">
        <f t="shared" si="191"/>
        <v>#N/A</v>
      </c>
      <c r="E499" s="251">
        <f t="shared" si="192"/>
        <v>0</v>
      </c>
      <c r="F499" s="251">
        <f t="shared" si="193"/>
        <v>0</v>
      </c>
      <c r="G499" s="251">
        <f t="shared" si="194"/>
        <v>0</v>
      </c>
      <c r="H499" s="251" t="e">
        <f t="shared" si="195"/>
        <v>#VALUE!</v>
      </c>
      <c r="I499" s="251">
        <f t="shared" si="196"/>
        <v>0</v>
      </c>
      <c r="J499" s="251">
        <f t="shared" si="197"/>
        <v>0</v>
      </c>
      <c r="K499" s="251">
        <f t="shared" si="198"/>
        <v>0</v>
      </c>
      <c r="N499" s="225">
        <f t="shared" si="199"/>
        <v>0</v>
      </c>
      <c r="O499" s="251" t="e">
        <f t="shared" si="200"/>
        <v>#N/A</v>
      </c>
      <c r="P499" s="251">
        <f t="shared" si="201"/>
        <v>0</v>
      </c>
      <c r="Q499" s="251">
        <f t="shared" si="202"/>
        <v>0</v>
      </c>
      <c r="R499" s="251">
        <f t="shared" si="203"/>
        <v>0</v>
      </c>
      <c r="S499" s="251" t="e">
        <f t="shared" si="204"/>
        <v>#VALUE!</v>
      </c>
      <c r="T499" s="251">
        <f t="shared" si="205"/>
        <v>0</v>
      </c>
      <c r="V499" s="199">
        <f t="shared" si="206"/>
        <v>0</v>
      </c>
      <c r="W499" s="161" t="e">
        <f t="shared" si="207"/>
        <v>#N/A</v>
      </c>
      <c r="X499" s="161" t="e">
        <f t="shared" si="208"/>
        <v>#N/A</v>
      </c>
      <c r="Y499" s="161">
        <f t="shared" si="213"/>
        <v>474</v>
      </c>
      <c r="Z499" s="161">
        <f t="shared" ca="1" si="214"/>
        <v>12</v>
      </c>
      <c r="AG499" s="114">
        <f t="shared" si="209"/>
        <v>0</v>
      </c>
      <c r="AH499" s="113"/>
      <c r="AI499" s="199">
        <f ca="1">IF(AL499=0,0,IF(AL499&gt;Preenchimento!$AA$88*12,0,IF($AC$53=AM499,0,1)))</f>
        <v>0</v>
      </c>
      <c r="AJ499" s="161" t="e">
        <f t="shared" ca="1" si="210"/>
        <v>#N/A</v>
      </c>
      <c r="AK499" s="161" t="e">
        <f t="shared" ca="1" si="211"/>
        <v>#N/A</v>
      </c>
      <c r="AL499" s="161">
        <f ca="1">IF(Y499&gt;(Preenchimento!$AA$90*12),0,Fixa!Y499)</f>
        <v>0</v>
      </c>
      <c r="AM499" s="161">
        <f t="shared" ca="1" si="216"/>
        <v>12</v>
      </c>
      <c r="AN499" s="199">
        <f ca="1">IF(AQ499&gt;Preenchimento!$AA$90*12,0,1)</f>
        <v>0</v>
      </c>
      <c r="AO499" s="161" t="e">
        <f ca="1">1/((1+SAC!$AD$29)^AL499)</f>
        <v>#N/A</v>
      </c>
      <c r="AP499" s="82" t="e">
        <f t="shared" ca="1" si="212"/>
        <v>#N/A</v>
      </c>
      <c r="AQ499" s="82">
        <v>474</v>
      </c>
      <c r="AS499" s="477">
        <f t="shared" ca="1" si="215"/>
        <v>0</v>
      </c>
    </row>
    <row r="500" spans="2:45">
      <c r="B500" s="249">
        <f ca="1">DATE(IF(MONTH(B499)=12,YEAR(B499)+1,YEAR(B499)),IF(MONTH(B499)=12,1,MONTH(B499)+1),MIN(DAY(Condições!$C$109),IF(IF(MONTH(B499)=12,1,MONTH(B499)+1)=2,IF(MOD(IF(MONTH(B499)=12,YEAR(B499)+1,YEAR(B499)),4)=0,29,28),IF(OR(IF(MONTH(B499)=12,1,MONTH(B499)+1)=4,IF(MONTH(B499)=12,1,MONTH(B499)+1)=6,IF(MONTH(B499)=12,1,MONTH(B499)+1)=9,IF(MONTH(B499)=12,1,MONTH(B499)+1)=11),30,DAY($B$25)))))</f>
        <v>60648</v>
      </c>
      <c r="C500" s="250" t="str">
        <f t="shared" si="190"/>
        <v/>
      </c>
      <c r="D500" s="251" t="e">
        <f t="shared" si="191"/>
        <v>#N/A</v>
      </c>
      <c r="E500" s="251">
        <f t="shared" si="192"/>
        <v>0</v>
      </c>
      <c r="F500" s="251">
        <f t="shared" si="193"/>
        <v>0</v>
      </c>
      <c r="G500" s="251">
        <f t="shared" si="194"/>
        <v>0</v>
      </c>
      <c r="H500" s="251" t="e">
        <f t="shared" si="195"/>
        <v>#VALUE!</v>
      </c>
      <c r="I500" s="251">
        <f t="shared" si="196"/>
        <v>0</v>
      </c>
      <c r="J500" s="251">
        <f t="shared" si="197"/>
        <v>0</v>
      </c>
      <c r="K500" s="251">
        <f t="shared" si="198"/>
        <v>0</v>
      </c>
      <c r="N500" s="225">
        <f t="shared" si="199"/>
        <v>0</v>
      </c>
      <c r="O500" s="251" t="e">
        <f t="shared" si="200"/>
        <v>#N/A</v>
      </c>
      <c r="P500" s="251">
        <f t="shared" si="201"/>
        <v>0</v>
      </c>
      <c r="Q500" s="251">
        <f t="shared" si="202"/>
        <v>0</v>
      </c>
      <c r="R500" s="251">
        <f t="shared" si="203"/>
        <v>0</v>
      </c>
      <c r="S500" s="251" t="e">
        <f t="shared" si="204"/>
        <v>#VALUE!</v>
      </c>
      <c r="T500" s="251">
        <f t="shared" si="205"/>
        <v>0</v>
      </c>
      <c r="V500" s="199">
        <f t="shared" si="206"/>
        <v>0</v>
      </c>
      <c r="W500" s="161" t="e">
        <f t="shared" si="207"/>
        <v>#N/A</v>
      </c>
      <c r="X500" s="161" t="e">
        <f t="shared" si="208"/>
        <v>#N/A</v>
      </c>
      <c r="Y500" s="161">
        <f t="shared" si="213"/>
        <v>475</v>
      </c>
      <c r="Z500" s="161">
        <f t="shared" ca="1" si="214"/>
        <v>1</v>
      </c>
      <c r="AG500" s="114">
        <f t="shared" si="209"/>
        <v>0</v>
      </c>
      <c r="AH500" s="113"/>
      <c r="AI500" s="199">
        <f ca="1">IF(AL500=0,0,IF(AL500&gt;Preenchimento!$AA$88*12,0,IF($AC$53=AM500,0,1)))</f>
        <v>0</v>
      </c>
      <c r="AJ500" s="161" t="e">
        <f t="shared" ca="1" si="210"/>
        <v>#N/A</v>
      </c>
      <c r="AK500" s="161" t="e">
        <f t="shared" ca="1" si="211"/>
        <v>#N/A</v>
      </c>
      <c r="AL500" s="161">
        <f ca="1">IF(Y500&gt;(Preenchimento!$AA$90*12),0,Fixa!Y500)</f>
        <v>0</v>
      </c>
      <c r="AM500" s="161">
        <f t="shared" ca="1" si="216"/>
        <v>1</v>
      </c>
      <c r="AN500" s="199">
        <f ca="1">IF(AQ500&gt;Preenchimento!$AA$90*12,0,1)</f>
        <v>0</v>
      </c>
      <c r="AO500" s="161" t="e">
        <f ca="1">1/((1+SAC!$AD$29)^AL500)</f>
        <v>#N/A</v>
      </c>
      <c r="AP500" s="82" t="e">
        <f t="shared" ca="1" si="212"/>
        <v>#N/A</v>
      </c>
      <c r="AQ500" s="82">
        <v>475</v>
      </c>
      <c r="AS500" s="477">
        <f t="shared" ca="1" si="215"/>
        <v>0</v>
      </c>
    </row>
    <row r="501" spans="2:45">
      <c r="B501" s="249">
        <f ca="1">DATE(IF(MONTH(B500)=12,YEAR(B500)+1,YEAR(B500)),IF(MONTH(B500)=12,1,MONTH(B500)+1),MIN(DAY(Condições!$C$109),IF(IF(MONTH(B500)=12,1,MONTH(B500)+1)=2,IF(MOD(IF(MONTH(B500)=12,YEAR(B500)+1,YEAR(B500)),4)=0,29,28),IF(OR(IF(MONTH(B500)=12,1,MONTH(B500)+1)=4,IF(MONTH(B500)=12,1,MONTH(B500)+1)=6,IF(MONTH(B500)=12,1,MONTH(B500)+1)=9,IF(MONTH(B500)=12,1,MONTH(B500)+1)=11),30,DAY($B$25)))))</f>
        <v>60679</v>
      </c>
      <c r="C501" s="250" t="str">
        <f t="shared" si="190"/>
        <v/>
      </c>
      <c r="D501" s="251" t="e">
        <f t="shared" si="191"/>
        <v>#N/A</v>
      </c>
      <c r="E501" s="251">
        <f t="shared" si="192"/>
        <v>0</v>
      </c>
      <c r="F501" s="251">
        <f t="shared" si="193"/>
        <v>0</v>
      </c>
      <c r="G501" s="251">
        <f t="shared" si="194"/>
        <v>0</v>
      </c>
      <c r="H501" s="251" t="e">
        <f t="shared" si="195"/>
        <v>#VALUE!</v>
      </c>
      <c r="I501" s="251">
        <f t="shared" si="196"/>
        <v>0</v>
      </c>
      <c r="J501" s="251">
        <f t="shared" si="197"/>
        <v>0</v>
      </c>
      <c r="K501" s="251">
        <f t="shared" si="198"/>
        <v>0</v>
      </c>
      <c r="N501" s="225">
        <f t="shared" si="199"/>
        <v>0</v>
      </c>
      <c r="O501" s="251" t="e">
        <f t="shared" si="200"/>
        <v>#N/A</v>
      </c>
      <c r="P501" s="251">
        <f t="shared" si="201"/>
        <v>0</v>
      </c>
      <c r="Q501" s="251">
        <f t="shared" si="202"/>
        <v>0</v>
      </c>
      <c r="R501" s="251">
        <f t="shared" si="203"/>
        <v>0</v>
      </c>
      <c r="S501" s="251" t="e">
        <f t="shared" si="204"/>
        <v>#VALUE!</v>
      </c>
      <c r="T501" s="251">
        <f t="shared" si="205"/>
        <v>0</v>
      </c>
      <c r="V501" s="199">
        <f t="shared" si="206"/>
        <v>0</v>
      </c>
      <c r="W501" s="161" t="e">
        <f t="shared" si="207"/>
        <v>#N/A</v>
      </c>
      <c r="X501" s="161" t="e">
        <f t="shared" si="208"/>
        <v>#N/A</v>
      </c>
      <c r="Y501" s="161">
        <f t="shared" si="213"/>
        <v>476</v>
      </c>
      <c r="Z501" s="161">
        <f t="shared" ca="1" si="214"/>
        <v>2</v>
      </c>
      <c r="AG501" s="114">
        <f t="shared" si="209"/>
        <v>0</v>
      </c>
      <c r="AH501" s="113"/>
      <c r="AI501" s="199">
        <f ca="1">IF(AL501=0,0,IF(AL501&gt;Preenchimento!$AA$88*12,0,IF($AC$53=AM501,0,1)))</f>
        <v>0</v>
      </c>
      <c r="AJ501" s="161" t="e">
        <f t="shared" ca="1" si="210"/>
        <v>#N/A</v>
      </c>
      <c r="AK501" s="161" t="e">
        <f t="shared" ca="1" si="211"/>
        <v>#N/A</v>
      </c>
      <c r="AL501" s="161">
        <f ca="1">IF(Y501&gt;(Preenchimento!$AA$90*12),0,Fixa!Y501)</f>
        <v>0</v>
      </c>
      <c r="AM501" s="161">
        <f t="shared" ca="1" si="216"/>
        <v>2</v>
      </c>
      <c r="AN501" s="199">
        <f ca="1">IF(AQ501&gt;Preenchimento!$AA$90*12,0,1)</f>
        <v>0</v>
      </c>
      <c r="AO501" s="161" t="e">
        <f ca="1">1/((1+SAC!$AD$29)^AL501)</f>
        <v>#N/A</v>
      </c>
      <c r="AP501" s="82" t="e">
        <f t="shared" ca="1" si="212"/>
        <v>#N/A</v>
      </c>
      <c r="AQ501" s="82">
        <v>476</v>
      </c>
      <c r="AS501" s="477">
        <f t="shared" ca="1" si="215"/>
        <v>0</v>
      </c>
    </row>
    <row r="502" spans="2:45">
      <c r="B502" s="249">
        <f ca="1">DATE(IF(MONTH(B501)=12,YEAR(B501)+1,YEAR(B501)),IF(MONTH(B501)=12,1,MONTH(B501)+1),MIN(DAY(Condições!$C$109),IF(IF(MONTH(B501)=12,1,MONTH(B501)+1)=2,IF(MOD(IF(MONTH(B501)=12,YEAR(B501)+1,YEAR(B501)),4)=0,29,28),IF(OR(IF(MONTH(B501)=12,1,MONTH(B501)+1)=4,IF(MONTH(B501)=12,1,MONTH(B501)+1)=6,IF(MONTH(B501)=12,1,MONTH(B501)+1)=9,IF(MONTH(B501)=12,1,MONTH(B501)+1)=11),30,DAY($B$25)))))</f>
        <v>60707</v>
      </c>
      <c r="C502" s="250" t="str">
        <f t="shared" si="190"/>
        <v/>
      </c>
      <c r="D502" s="251" t="e">
        <f t="shared" si="191"/>
        <v>#N/A</v>
      </c>
      <c r="E502" s="251">
        <f t="shared" si="192"/>
        <v>0</v>
      </c>
      <c r="F502" s="251">
        <f t="shared" si="193"/>
        <v>0</v>
      </c>
      <c r="G502" s="251">
        <f t="shared" si="194"/>
        <v>0</v>
      </c>
      <c r="H502" s="251" t="e">
        <f t="shared" si="195"/>
        <v>#VALUE!</v>
      </c>
      <c r="I502" s="251">
        <f t="shared" si="196"/>
        <v>0</v>
      </c>
      <c r="J502" s="251">
        <f t="shared" si="197"/>
        <v>0</v>
      </c>
      <c r="K502" s="251">
        <f t="shared" si="198"/>
        <v>0</v>
      </c>
      <c r="N502" s="225">
        <f t="shared" si="199"/>
        <v>0</v>
      </c>
      <c r="O502" s="251" t="e">
        <f t="shared" si="200"/>
        <v>#N/A</v>
      </c>
      <c r="P502" s="251">
        <f t="shared" si="201"/>
        <v>0</v>
      </c>
      <c r="Q502" s="251">
        <f t="shared" si="202"/>
        <v>0</v>
      </c>
      <c r="R502" s="251">
        <f t="shared" si="203"/>
        <v>0</v>
      </c>
      <c r="S502" s="251" t="e">
        <f t="shared" si="204"/>
        <v>#VALUE!</v>
      </c>
      <c r="T502" s="251">
        <f t="shared" si="205"/>
        <v>0</v>
      </c>
      <c r="V502" s="199">
        <f t="shared" si="206"/>
        <v>0</v>
      </c>
      <c r="W502" s="161" t="e">
        <f t="shared" si="207"/>
        <v>#N/A</v>
      </c>
      <c r="X502" s="161" t="e">
        <f t="shared" si="208"/>
        <v>#N/A</v>
      </c>
      <c r="Y502" s="161">
        <f t="shared" si="213"/>
        <v>477</v>
      </c>
      <c r="Z502" s="161">
        <f t="shared" ca="1" si="214"/>
        <v>3</v>
      </c>
      <c r="AG502" s="114">
        <f t="shared" si="209"/>
        <v>0</v>
      </c>
      <c r="AH502" s="113"/>
      <c r="AI502" s="199">
        <f ca="1">IF(AL502=0,0,IF(AL502&gt;Preenchimento!$AA$88*12,0,IF($AC$53=AM502,0,1)))</f>
        <v>0</v>
      </c>
      <c r="AJ502" s="161" t="e">
        <f t="shared" ca="1" si="210"/>
        <v>#N/A</v>
      </c>
      <c r="AK502" s="161" t="e">
        <f t="shared" ca="1" si="211"/>
        <v>#N/A</v>
      </c>
      <c r="AL502" s="161">
        <f ca="1">IF(Y502&gt;(Preenchimento!$AA$90*12),0,Fixa!Y502)</f>
        <v>0</v>
      </c>
      <c r="AM502" s="161">
        <f t="shared" ca="1" si="216"/>
        <v>3</v>
      </c>
      <c r="AN502" s="199">
        <f ca="1">IF(AQ502&gt;Preenchimento!$AA$90*12,0,1)</f>
        <v>0</v>
      </c>
      <c r="AO502" s="161" t="e">
        <f ca="1">1/((1+SAC!$AD$29)^AL502)</f>
        <v>#N/A</v>
      </c>
      <c r="AP502" s="82" t="e">
        <f t="shared" ca="1" si="212"/>
        <v>#N/A</v>
      </c>
      <c r="AQ502" s="82">
        <v>477</v>
      </c>
      <c r="AS502" s="477">
        <f t="shared" ca="1" si="215"/>
        <v>0</v>
      </c>
    </row>
    <row r="503" spans="2:45">
      <c r="B503" s="249">
        <f ca="1">DATE(IF(MONTH(B502)=12,YEAR(B502)+1,YEAR(B502)),IF(MONTH(B502)=12,1,MONTH(B502)+1),MIN(DAY(Condições!$C$109),IF(IF(MONTH(B502)=12,1,MONTH(B502)+1)=2,IF(MOD(IF(MONTH(B502)=12,YEAR(B502)+1,YEAR(B502)),4)=0,29,28),IF(OR(IF(MONTH(B502)=12,1,MONTH(B502)+1)=4,IF(MONTH(B502)=12,1,MONTH(B502)+1)=6,IF(MONTH(B502)=12,1,MONTH(B502)+1)=9,IF(MONTH(B502)=12,1,MONTH(B502)+1)=11),30,DAY($B$25)))))</f>
        <v>60738</v>
      </c>
      <c r="C503" s="250" t="str">
        <f t="shared" si="190"/>
        <v/>
      </c>
      <c r="D503" s="251" t="e">
        <f t="shared" si="191"/>
        <v>#N/A</v>
      </c>
      <c r="E503" s="251">
        <f t="shared" si="192"/>
        <v>0</v>
      </c>
      <c r="F503" s="251">
        <f t="shared" si="193"/>
        <v>0</v>
      </c>
      <c r="G503" s="251">
        <f t="shared" si="194"/>
        <v>0</v>
      </c>
      <c r="H503" s="251" t="e">
        <f t="shared" si="195"/>
        <v>#VALUE!</v>
      </c>
      <c r="I503" s="251">
        <f t="shared" si="196"/>
        <v>0</v>
      </c>
      <c r="J503" s="251">
        <f t="shared" si="197"/>
        <v>0</v>
      </c>
      <c r="K503" s="251">
        <f t="shared" si="198"/>
        <v>0</v>
      </c>
      <c r="N503" s="225">
        <f t="shared" si="199"/>
        <v>0</v>
      </c>
      <c r="O503" s="251" t="e">
        <f t="shared" si="200"/>
        <v>#N/A</v>
      </c>
      <c r="P503" s="251">
        <f t="shared" si="201"/>
        <v>0</v>
      </c>
      <c r="Q503" s="251">
        <f t="shared" si="202"/>
        <v>0</v>
      </c>
      <c r="R503" s="251">
        <f t="shared" si="203"/>
        <v>0</v>
      </c>
      <c r="S503" s="251" t="e">
        <f t="shared" si="204"/>
        <v>#VALUE!</v>
      </c>
      <c r="T503" s="251">
        <f t="shared" si="205"/>
        <v>0</v>
      </c>
      <c r="V503" s="199">
        <f t="shared" si="206"/>
        <v>0</v>
      </c>
      <c r="W503" s="161" t="e">
        <f t="shared" si="207"/>
        <v>#N/A</v>
      </c>
      <c r="X503" s="161" t="e">
        <f t="shared" si="208"/>
        <v>#N/A</v>
      </c>
      <c r="Y503" s="161">
        <f t="shared" si="213"/>
        <v>478</v>
      </c>
      <c r="Z503" s="161">
        <f t="shared" ca="1" si="214"/>
        <v>4</v>
      </c>
      <c r="AG503" s="114">
        <f t="shared" si="209"/>
        <v>0</v>
      </c>
      <c r="AH503" s="113"/>
      <c r="AI503" s="199">
        <f ca="1">IF(AL503=0,0,IF(AL503&gt;Preenchimento!$AA$88*12,0,IF($AC$53=AM503,0,1)))</f>
        <v>0</v>
      </c>
      <c r="AJ503" s="161" t="e">
        <f t="shared" ca="1" si="210"/>
        <v>#N/A</v>
      </c>
      <c r="AK503" s="161" t="e">
        <f t="shared" ca="1" si="211"/>
        <v>#N/A</v>
      </c>
      <c r="AL503" s="161">
        <f ca="1">IF(Y503&gt;(Preenchimento!$AA$90*12),0,Fixa!Y503)</f>
        <v>0</v>
      </c>
      <c r="AM503" s="161">
        <f t="shared" ca="1" si="216"/>
        <v>4</v>
      </c>
      <c r="AN503" s="199">
        <f ca="1">IF(AQ503&gt;Preenchimento!$AA$90*12,0,1)</f>
        <v>0</v>
      </c>
      <c r="AO503" s="161" t="e">
        <f ca="1">1/((1+SAC!$AD$29)^AL503)</f>
        <v>#N/A</v>
      </c>
      <c r="AP503" s="82" t="e">
        <f t="shared" ca="1" si="212"/>
        <v>#N/A</v>
      </c>
      <c r="AQ503" s="82">
        <v>478</v>
      </c>
      <c r="AS503" s="477">
        <f t="shared" ca="1" si="215"/>
        <v>0</v>
      </c>
    </row>
    <row r="504" spans="2:45">
      <c r="B504" s="249">
        <f ca="1">DATE(IF(MONTH(B503)=12,YEAR(B503)+1,YEAR(B503)),IF(MONTH(B503)=12,1,MONTH(B503)+1),MIN(DAY(Condições!$C$109),IF(IF(MONTH(B503)=12,1,MONTH(B503)+1)=2,IF(MOD(IF(MONTH(B503)=12,YEAR(B503)+1,YEAR(B503)),4)=0,29,28),IF(OR(IF(MONTH(B503)=12,1,MONTH(B503)+1)=4,IF(MONTH(B503)=12,1,MONTH(B503)+1)=6,IF(MONTH(B503)=12,1,MONTH(B503)+1)=9,IF(MONTH(B503)=12,1,MONTH(B503)+1)=11),30,DAY($B$25)))))</f>
        <v>60768</v>
      </c>
      <c r="C504" s="250" t="str">
        <f t="shared" si="190"/>
        <v/>
      </c>
      <c r="D504" s="251" t="e">
        <f t="shared" si="191"/>
        <v>#N/A</v>
      </c>
      <c r="E504" s="251">
        <f t="shared" si="192"/>
        <v>0</v>
      </c>
      <c r="F504" s="251">
        <f t="shared" si="193"/>
        <v>0</v>
      </c>
      <c r="G504" s="251">
        <f t="shared" si="194"/>
        <v>0</v>
      </c>
      <c r="H504" s="251" t="e">
        <f t="shared" si="195"/>
        <v>#VALUE!</v>
      </c>
      <c r="I504" s="251">
        <f t="shared" si="196"/>
        <v>0</v>
      </c>
      <c r="J504" s="251">
        <f t="shared" si="197"/>
        <v>0</v>
      </c>
      <c r="K504" s="251">
        <f t="shared" si="198"/>
        <v>0</v>
      </c>
      <c r="N504" s="225">
        <f t="shared" si="199"/>
        <v>0</v>
      </c>
      <c r="O504" s="251" t="e">
        <f t="shared" si="200"/>
        <v>#N/A</v>
      </c>
      <c r="P504" s="251">
        <f t="shared" si="201"/>
        <v>0</v>
      </c>
      <c r="Q504" s="251">
        <f t="shared" si="202"/>
        <v>0</v>
      </c>
      <c r="R504" s="251">
        <f t="shared" si="203"/>
        <v>0</v>
      </c>
      <c r="S504" s="251" t="e">
        <f t="shared" si="204"/>
        <v>#VALUE!</v>
      </c>
      <c r="T504" s="251">
        <f t="shared" si="205"/>
        <v>0</v>
      </c>
      <c r="V504" s="199">
        <f t="shared" si="206"/>
        <v>0</v>
      </c>
      <c r="W504" s="161" t="e">
        <f t="shared" si="207"/>
        <v>#N/A</v>
      </c>
      <c r="X504" s="161" t="e">
        <f t="shared" si="208"/>
        <v>#N/A</v>
      </c>
      <c r="Y504" s="161">
        <f t="shared" si="213"/>
        <v>479</v>
      </c>
      <c r="Z504" s="161">
        <f t="shared" ca="1" si="214"/>
        <v>5</v>
      </c>
      <c r="AG504" s="114">
        <f t="shared" si="209"/>
        <v>0</v>
      </c>
      <c r="AH504" s="113"/>
      <c r="AI504" s="199">
        <f ca="1">IF(AL504=0,0,IF(AL504&gt;Preenchimento!$AA$88*12,0,IF($AC$53=AM504,0,1)))</f>
        <v>0</v>
      </c>
      <c r="AJ504" s="161" t="e">
        <f t="shared" ca="1" si="210"/>
        <v>#N/A</v>
      </c>
      <c r="AK504" s="161" t="e">
        <f t="shared" ca="1" si="211"/>
        <v>#N/A</v>
      </c>
      <c r="AL504" s="161">
        <f ca="1">IF(Y504&gt;(Preenchimento!$AA$90*12),0,Fixa!Y504)</f>
        <v>0</v>
      </c>
      <c r="AM504" s="161">
        <f t="shared" ca="1" si="216"/>
        <v>5</v>
      </c>
      <c r="AN504" s="199">
        <f ca="1">IF(AQ504&gt;Preenchimento!$AA$90*12,0,1)</f>
        <v>0</v>
      </c>
      <c r="AO504" s="161" t="e">
        <f ca="1">1/((1+SAC!$AD$29)^AL504)</f>
        <v>#N/A</v>
      </c>
      <c r="AP504" s="82" t="e">
        <f t="shared" ca="1" si="212"/>
        <v>#N/A</v>
      </c>
      <c r="AQ504" s="82">
        <v>479</v>
      </c>
      <c r="AS504" s="477">
        <f t="shared" ca="1" si="215"/>
        <v>0</v>
      </c>
    </row>
    <row r="505" spans="2:45">
      <c r="B505" s="249">
        <f ca="1">DATE(IF(MONTH(B504)=12,YEAR(B504)+1,YEAR(B504)),IF(MONTH(B504)=12,1,MONTH(B504)+1),MIN(DAY(Condições!$C$109),IF(IF(MONTH(B504)=12,1,MONTH(B504)+1)=2,IF(MOD(IF(MONTH(B504)=12,YEAR(B504)+1,YEAR(B504)),4)=0,29,28),IF(OR(IF(MONTH(B504)=12,1,MONTH(B504)+1)=4,IF(MONTH(B504)=12,1,MONTH(B504)+1)=6,IF(MONTH(B504)=12,1,MONTH(B504)+1)=9,IF(MONTH(B504)=12,1,MONTH(B504)+1)=11),30,DAY($B$25)))))</f>
        <v>60799</v>
      </c>
      <c r="C505" s="250" t="str">
        <f t="shared" si="190"/>
        <v/>
      </c>
      <c r="D505" s="251" t="e">
        <f t="shared" si="191"/>
        <v>#N/A</v>
      </c>
      <c r="E505" s="251">
        <f t="shared" si="192"/>
        <v>0</v>
      </c>
      <c r="F505" s="251">
        <f t="shared" si="193"/>
        <v>0</v>
      </c>
      <c r="G505" s="251">
        <f t="shared" si="194"/>
        <v>0</v>
      </c>
      <c r="H505" s="251" t="e">
        <f t="shared" si="195"/>
        <v>#VALUE!</v>
      </c>
      <c r="I505" s="251">
        <f t="shared" si="196"/>
        <v>0</v>
      </c>
      <c r="J505" s="251">
        <f t="shared" si="197"/>
        <v>0</v>
      </c>
      <c r="K505" s="251">
        <f t="shared" si="198"/>
        <v>0</v>
      </c>
      <c r="N505" s="225">
        <f t="shared" si="199"/>
        <v>0</v>
      </c>
      <c r="O505" s="251" t="e">
        <f t="shared" si="200"/>
        <v>#N/A</v>
      </c>
      <c r="P505" s="251">
        <f t="shared" si="201"/>
        <v>0</v>
      </c>
      <c r="Q505" s="251">
        <f t="shared" si="202"/>
        <v>0</v>
      </c>
      <c r="R505" s="251">
        <f t="shared" si="203"/>
        <v>0</v>
      </c>
      <c r="S505" s="251" t="e">
        <f t="shared" si="204"/>
        <v>#VALUE!</v>
      </c>
      <c r="T505" s="251">
        <f t="shared" si="205"/>
        <v>0</v>
      </c>
      <c r="V505" s="199">
        <f t="shared" si="206"/>
        <v>0</v>
      </c>
      <c r="W505" s="161" t="e">
        <f t="shared" si="207"/>
        <v>#N/A</v>
      </c>
      <c r="X505" s="161" t="e">
        <f t="shared" si="208"/>
        <v>#N/A</v>
      </c>
      <c r="Y505" s="161">
        <f t="shared" si="213"/>
        <v>480</v>
      </c>
      <c r="Z505" s="161">
        <f t="shared" ca="1" si="214"/>
        <v>6</v>
      </c>
      <c r="AG505" s="114">
        <f t="shared" si="209"/>
        <v>0</v>
      </c>
      <c r="AH505" s="113"/>
      <c r="AI505" s="199">
        <f ca="1">IF(AL505=0,0,IF(AL505&gt;Preenchimento!$AA$88*12,0,IF($AC$53=AM505,0,1)))</f>
        <v>0</v>
      </c>
      <c r="AJ505" s="161" t="e">
        <f t="shared" ca="1" si="210"/>
        <v>#N/A</v>
      </c>
      <c r="AK505" s="161" t="e">
        <f t="shared" ca="1" si="211"/>
        <v>#N/A</v>
      </c>
      <c r="AL505" s="161">
        <f ca="1">IF(Y505&gt;(Preenchimento!$AA$90*12),0,Fixa!Y505)</f>
        <v>0</v>
      </c>
      <c r="AM505" s="161">
        <f t="shared" ca="1" si="216"/>
        <v>6</v>
      </c>
      <c r="AN505" s="199">
        <f ca="1">IF(AQ505&gt;Preenchimento!$AA$90*12,0,1)</f>
        <v>0</v>
      </c>
      <c r="AO505" s="161" t="e">
        <f ca="1">1/((1+SAC!$AD$29)^AL505)</f>
        <v>#N/A</v>
      </c>
      <c r="AP505" s="82" t="e">
        <f t="shared" ca="1" si="212"/>
        <v>#N/A</v>
      </c>
      <c r="AQ505" s="82">
        <v>480</v>
      </c>
      <c r="AS505" s="477">
        <f t="shared" ca="1" si="215"/>
        <v>0</v>
      </c>
    </row>
    <row r="506" spans="2:45">
      <c r="B506" s="249">
        <f ca="1">DATE(IF(MONTH(B505)=12,YEAR(B505)+1,YEAR(B505)),IF(MONTH(B505)=12,1,MONTH(B505)+1),MIN(DAY(Condições!$C$109),IF(IF(MONTH(B505)=12,1,MONTH(B505)+1)=2,IF(MOD(IF(MONTH(B505)=12,YEAR(B505)+1,YEAR(B505)),4)=0,29,28),IF(OR(IF(MONTH(B505)=12,1,MONTH(B505)+1)=4,IF(MONTH(B505)=12,1,MONTH(B505)+1)=6,IF(MONTH(B505)=12,1,MONTH(B505)+1)=9,IF(MONTH(B505)=12,1,MONTH(B505)+1)=11),30,DAY($B$25)))))</f>
        <v>60829</v>
      </c>
      <c r="C506" s="250" t="str">
        <f t="shared" ref="C506:C511" si="217">IF(Y506&gt;$AC$46,"",Y506)</f>
        <v/>
      </c>
      <c r="D506" s="251" t="e">
        <f t="shared" ref="D506:D511" si="218">ROUND(O506,2)</f>
        <v>#N/A</v>
      </c>
      <c r="E506" s="251">
        <f t="shared" ref="E506:E511" si="219">ROUND(P506,2)</f>
        <v>0</v>
      </c>
      <c r="F506" s="251">
        <f t="shared" ref="F506:F511" si="220">ROUND(Q506,2)</f>
        <v>0</v>
      </c>
      <c r="G506" s="251">
        <f t="shared" ref="G506:G511" si="221">F506+E506</f>
        <v>0</v>
      </c>
      <c r="H506" s="251" t="e">
        <f t="shared" ref="H506:H511" si="222">ROUND(S506,2)</f>
        <v>#VALUE!</v>
      </c>
      <c r="I506" s="251">
        <f t="shared" ref="I506:I511" si="223">ROUND(T506+U506,2)</f>
        <v>0</v>
      </c>
      <c r="J506" s="251">
        <f t="shared" ref="J506:J511" si="224">IF(V506=0,0,$AC$49)</f>
        <v>0</v>
      </c>
      <c r="K506" s="251">
        <f t="shared" ref="K506:K511" si="225">IF(C506&gt;$AC$46,0,SUM(G506:J506))</f>
        <v>0</v>
      </c>
      <c r="N506" s="225">
        <f t="shared" ref="N506:N511" si="226">IF(C506&gt;$AC$46,0,(H506+I506)/(1.008^((12*(B506-$B$25))/365)))</f>
        <v>0</v>
      </c>
      <c r="O506" s="251" t="e">
        <f t="shared" ref="O506:O511" si="227">ROUND(O505*(1+$AC$47)-R506,$P$18)</f>
        <v>#N/A</v>
      </c>
      <c r="P506" s="251">
        <f t="shared" ref="P506:P511" si="228">ROUND(IF(V506=0,0,R506-Q506),$P$18)</f>
        <v>0</v>
      </c>
      <c r="Q506" s="251">
        <f t="shared" ref="Q506:Q511" si="229">ROUND(IF(V506=0,0,O505*$AC$47),$P$18)</f>
        <v>0</v>
      </c>
      <c r="R506" s="251">
        <f t="shared" ref="R506:R511" si="230">ROUND(IF(V506=0,0,$O$25/$X$18),$P$18)</f>
        <v>0</v>
      </c>
      <c r="S506" s="251" t="e">
        <f t="shared" ref="S506:S511" si="231">ROUND(IF(Y506&gt;$AC$46,"",$AC$52*O506),$P$18)</f>
        <v>#VALUE!</v>
      </c>
      <c r="T506" s="251">
        <f t="shared" ref="T506:T511" si="232">IF(C506&gt;=$AC$46,0,ROUND(IF(Y506&gt;$AC$46,"",$AC$51*$AC$44),$P$18))</f>
        <v>0</v>
      </c>
      <c r="V506" s="199">
        <f t="shared" ref="V506:V511" si="233">IF(Y506&gt;$AC$46,0,IF($AC$53=Z506,0,1))</f>
        <v>0</v>
      </c>
      <c r="W506" s="161" t="e">
        <f t="shared" ref="W506:W511" si="234">1/(1+$AC$47)^Y506</f>
        <v>#N/A</v>
      </c>
      <c r="X506" s="161" t="e">
        <f t="shared" ref="X506:X511" si="235">W506*V506</f>
        <v>#N/A</v>
      </c>
      <c r="Y506" s="161">
        <f t="shared" si="213"/>
        <v>481</v>
      </c>
      <c r="Z506" s="161">
        <f t="shared" ca="1" si="214"/>
        <v>7</v>
      </c>
      <c r="AG506" s="114">
        <f t="shared" si="209"/>
        <v>0</v>
      </c>
      <c r="AI506" s="199">
        <f ca="1">IF(AL506=0,0,IF(AL506&gt;Preenchimento!$AA$88*12,0,IF($AC$53=AM506,0,1)))</f>
        <v>0</v>
      </c>
      <c r="AJ506" s="161" t="e">
        <f t="shared" ref="AJ506:AJ511" ca="1" si="236">1/(1+$AC$47)^AL506</f>
        <v>#N/A</v>
      </c>
      <c r="AK506" s="161" t="e">
        <f t="shared" ref="AK506:AK511" ca="1" si="237">AJ506*AI506</f>
        <v>#N/A</v>
      </c>
      <c r="AL506" s="161">
        <f ca="1">IF(Y506&gt;(Preenchimento!$AA$90*12),0,Fixa!Y506)</f>
        <v>0</v>
      </c>
      <c r="AM506" s="161">
        <f t="shared" ca="1" si="216"/>
        <v>7</v>
      </c>
      <c r="AN506" s="199">
        <f ca="1">IF(AQ506&gt;Preenchimento!$AA$90*12,0,1)</f>
        <v>0</v>
      </c>
      <c r="AO506" s="161" t="e">
        <f ca="1">1/((1+SAC!$AD$29)^AL506)</f>
        <v>#N/A</v>
      </c>
      <c r="AP506" s="82" t="e">
        <f t="shared" ref="AP506:AP511" ca="1" si="238">AO506*AN506</f>
        <v>#N/A</v>
      </c>
      <c r="AQ506" s="82">
        <v>481</v>
      </c>
      <c r="AS506" s="477">
        <f t="shared" ca="1" si="215"/>
        <v>0</v>
      </c>
    </row>
    <row r="507" spans="2:45">
      <c r="B507" s="249">
        <f ca="1">DATE(IF(MONTH(B506)=12,YEAR(B506)+1,YEAR(B506)),IF(MONTH(B506)=12,1,MONTH(B506)+1),MIN(DAY(Condições!$C$109),IF(IF(MONTH(B506)=12,1,MONTH(B506)+1)=2,IF(MOD(IF(MONTH(B506)=12,YEAR(B506)+1,YEAR(B506)),4)=0,29,28),IF(OR(IF(MONTH(B506)=12,1,MONTH(B506)+1)=4,IF(MONTH(B506)=12,1,MONTH(B506)+1)=6,IF(MONTH(B506)=12,1,MONTH(B506)+1)=9,IF(MONTH(B506)=12,1,MONTH(B506)+1)=11),30,DAY($B$25)))))</f>
        <v>60860</v>
      </c>
      <c r="C507" s="250" t="str">
        <f t="shared" si="217"/>
        <v/>
      </c>
      <c r="D507" s="251" t="e">
        <f t="shared" si="218"/>
        <v>#N/A</v>
      </c>
      <c r="E507" s="251">
        <f t="shared" si="219"/>
        <v>0</v>
      </c>
      <c r="F507" s="251">
        <f t="shared" si="220"/>
        <v>0</v>
      </c>
      <c r="G507" s="251">
        <f t="shared" si="221"/>
        <v>0</v>
      </c>
      <c r="H507" s="251" t="e">
        <f t="shared" si="222"/>
        <v>#VALUE!</v>
      </c>
      <c r="I507" s="251">
        <f t="shared" si="223"/>
        <v>0</v>
      </c>
      <c r="J507" s="251">
        <f t="shared" si="224"/>
        <v>0</v>
      </c>
      <c r="K507" s="251">
        <f t="shared" si="225"/>
        <v>0</v>
      </c>
      <c r="N507" s="225">
        <f t="shared" si="226"/>
        <v>0</v>
      </c>
      <c r="O507" s="251" t="e">
        <f t="shared" si="227"/>
        <v>#N/A</v>
      </c>
      <c r="P507" s="251">
        <f t="shared" si="228"/>
        <v>0</v>
      </c>
      <c r="Q507" s="251">
        <f t="shared" si="229"/>
        <v>0</v>
      </c>
      <c r="R507" s="251">
        <f t="shared" si="230"/>
        <v>0</v>
      </c>
      <c r="S507" s="251" t="e">
        <f t="shared" si="231"/>
        <v>#VALUE!</v>
      </c>
      <c r="T507" s="251">
        <f t="shared" si="232"/>
        <v>0</v>
      </c>
      <c r="V507" s="199">
        <f t="shared" si="233"/>
        <v>0</v>
      </c>
      <c r="W507" s="161" t="e">
        <f t="shared" si="234"/>
        <v>#N/A</v>
      </c>
      <c r="X507" s="161" t="e">
        <f t="shared" si="235"/>
        <v>#N/A</v>
      </c>
      <c r="Y507" s="161">
        <f t="shared" si="213"/>
        <v>482</v>
      </c>
      <c r="Z507" s="161">
        <f t="shared" ca="1" si="214"/>
        <v>8</v>
      </c>
      <c r="AG507" s="114">
        <f t="shared" si="209"/>
        <v>0</v>
      </c>
      <c r="AI507" s="199">
        <f ca="1">IF(AL507=0,0,IF(AL507&gt;Preenchimento!$AA$88*12,0,IF($AC$53=AM507,0,1)))</f>
        <v>0</v>
      </c>
      <c r="AJ507" s="161" t="e">
        <f t="shared" ca="1" si="236"/>
        <v>#N/A</v>
      </c>
      <c r="AK507" s="161" t="e">
        <f t="shared" ca="1" si="237"/>
        <v>#N/A</v>
      </c>
      <c r="AL507" s="161">
        <f ca="1">IF(Y507&gt;(Preenchimento!$AA$90*12),0,Fixa!Y507)</f>
        <v>0</v>
      </c>
      <c r="AM507" s="161">
        <f t="shared" ca="1" si="216"/>
        <v>8</v>
      </c>
      <c r="AN507" s="199">
        <f ca="1">IF(AQ507&gt;Preenchimento!$AA$90*12,0,1)</f>
        <v>0</v>
      </c>
      <c r="AO507" s="161" t="e">
        <f ca="1">1/((1+SAC!$AD$29)^AL507)</f>
        <v>#N/A</v>
      </c>
      <c r="AP507" s="82" t="e">
        <f t="shared" ca="1" si="238"/>
        <v>#N/A</v>
      </c>
      <c r="AQ507" s="82">
        <v>482</v>
      </c>
      <c r="AS507" s="477">
        <f t="shared" ca="1" si="215"/>
        <v>0</v>
      </c>
    </row>
    <row r="508" spans="2:45">
      <c r="B508" s="249">
        <f ca="1">DATE(IF(MONTH(B507)=12,YEAR(B507)+1,YEAR(B507)),IF(MONTH(B507)=12,1,MONTH(B507)+1),MIN(DAY(Condições!$C$109),IF(IF(MONTH(B507)=12,1,MONTH(B507)+1)=2,IF(MOD(IF(MONTH(B507)=12,YEAR(B507)+1,YEAR(B507)),4)=0,29,28),IF(OR(IF(MONTH(B507)=12,1,MONTH(B507)+1)=4,IF(MONTH(B507)=12,1,MONTH(B507)+1)=6,IF(MONTH(B507)=12,1,MONTH(B507)+1)=9,IF(MONTH(B507)=12,1,MONTH(B507)+1)=11),30,DAY($B$25)))))</f>
        <v>60891</v>
      </c>
      <c r="C508" s="250" t="str">
        <f t="shared" si="217"/>
        <v/>
      </c>
      <c r="D508" s="251" t="e">
        <f t="shared" si="218"/>
        <v>#N/A</v>
      </c>
      <c r="E508" s="251">
        <f t="shared" si="219"/>
        <v>0</v>
      </c>
      <c r="F508" s="251">
        <f t="shared" si="220"/>
        <v>0</v>
      </c>
      <c r="G508" s="251">
        <f t="shared" si="221"/>
        <v>0</v>
      </c>
      <c r="H508" s="251" t="e">
        <f t="shared" si="222"/>
        <v>#VALUE!</v>
      </c>
      <c r="I508" s="251">
        <f t="shared" si="223"/>
        <v>0</v>
      </c>
      <c r="J508" s="251">
        <f t="shared" si="224"/>
        <v>0</v>
      </c>
      <c r="K508" s="251">
        <f t="shared" si="225"/>
        <v>0</v>
      </c>
      <c r="N508" s="225">
        <f t="shared" si="226"/>
        <v>0</v>
      </c>
      <c r="O508" s="251" t="e">
        <f t="shared" si="227"/>
        <v>#N/A</v>
      </c>
      <c r="P508" s="251">
        <f t="shared" si="228"/>
        <v>0</v>
      </c>
      <c r="Q508" s="251">
        <f t="shared" si="229"/>
        <v>0</v>
      </c>
      <c r="R508" s="251">
        <f t="shared" si="230"/>
        <v>0</v>
      </c>
      <c r="S508" s="251" t="e">
        <f t="shared" si="231"/>
        <v>#VALUE!</v>
      </c>
      <c r="T508" s="251">
        <f t="shared" si="232"/>
        <v>0</v>
      </c>
      <c r="V508" s="199">
        <f t="shared" si="233"/>
        <v>0</v>
      </c>
      <c r="W508" s="161" t="e">
        <f t="shared" si="234"/>
        <v>#N/A</v>
      </c>
      <c r="X508" s="161" t="e">
        <f t="shared" si="235"/>
        <v>#N/A</v>
      </c>
      <c r="Y508" s="161">
        <f t="shared" si="213"/>
        <v>483</v>
      </c>
      <c r="Z508" s="161">
        <f t="shared" ca="1" si="214"/>
        <v>9</v>
      </c>
      <c r="AG508" s="114">
        <f t="shared" si="209"/>
        <v>0</v>
      </c>
      <c r="AI508" s="199">
        <f ca="1">IF(AL508=0,0,IF(AL508&gt;Preenchimento!$AA$88*12,0,IF($AC$53=AM508,0,1)))</f>
        <v>0</v>
      </c>
      <c r="AJ508" s="161" t="e">
        <f t="shared" ca="1" si="236"/>
        <v>#N/A</v>
      </c>
      <c r="AK508" s="161" t="e">
        <f t="shared" ca="1" si="237"/>
        <v>#N/A</v>
      </c>
      <c r="AL508" s="161">
        <f ca="1">IF(Y508&gt;(Preenchimento!$AA$90*12),0,Fixa!Y508)</f>
        <v>0</v>
      </c>
      <c r="AM508" s="161">
        <f t="shared" ca="1" si="216"/>
        <v>9</v>
      </c>
      <c r="AN508" s="199">
        <f ca="1">IF(AQ508&gt;Preenchimento!$AA$90*12,0,1)</f>
        <v>0</v>
      </c>
      <c r="AO508" s="161" t="e">
        <f ca="1">1/((1+SAC!$AD$29)^AL508)</f>
        <v>#N/A</v>
      </c>
      <c r="AP508" s="82" t="e">
        <f t="shared" ca="1" si="238"/>
        <v>#N/A</v>
      </c>
      <c r="AQ508" s="82">
        <v>483</v>
      </c>
      <c r="AS508" s="477">
        <f t="shared" ca="1" si="215"/>
        <v>0</v>
      </c>
    </row>
    <row r="509" spans="2:45">
      <c r="B509" s="249">
        <f ca="1">DATE(IF(MONTH(B508)=12,YEAR(B508)+1,YEAR(B508)),IF(MONTH(B508)=12,1,MONTH(B508)+1),MIN(DAY(Condições!$C$109),IF(IF(MONTH(B508)=12,1,MONTH(B508)+1)=2,IF(MOD(IF(MONTH(B508)=12,YEAR(B508)+1,YEAR(B508)),4)=0,29,28),IF(OR(IF(MONTH(B508)=12,1,MONTH(B508)+1)=4,IF(MONTH(B508)=12,1,MONTH(B508)+1)=6,IF(MONTH(B508)=12,1,MONTH(B508)+1)=9,IF(MONTH(B508)=12,1,MONTH(B508)+1)=11),30,DAY($B$25)))))</f>
        <v>60921</v>
      </c>
      <c r="C509" s="250" t="str">
        <f t="shared" si="217"/>
        <v/>
      </c>
      <c r="D509" s="251" t="e">
        <f t="shared" si="218"/>
        <v>#N/A</v>
      </c>
      <c r="E509" s="251">
        <f t="shared" si="219"/>
        <v>0</v>
      </c>
      <c r="F509" s="251">
        <f t="shared" si="220"/>
        <v>0</v>
      </c>
      <c r="G509" s="251">
        <f t="shared" si="221"/>
        <v>0</v>
      </c>
      <c r="H509" s="251" t="e">
        <f t="shared" si="222"/>
        <v>#VALUE!</v>
      </c>
      <c r="I509" s="251">
        <f t="shared" si="223"/>
        <v>0</v>
      </c>
      <c r="J509" s="251">
        <f t="shared" si="224"/>
        <v>0</v>
      </c>
      <c r="K509" s="251">
        <f t="shared" si="225"/>
        <v>0</v>
      </c>
      <c r="N509" s="225">
        <f t="shared" si="226"/>
        <v>0</v>
      </c>
      <c r="O509" s="251" t="e">
        <f t="shared" si="227"/>
        <v>#N/A</v>
      </c>
      <c r="P509" s="251">
        <f t="shared" si="228"/>
        <v>0</v>
      </c>
      <c r="Q509" s="251">
        <f t="shared" si="229"/>
        <v>0</v>
      </c>
      <c r="R509" s="251">
        <f t="shared" si="230"/>
        <v>0</v>
      </c>
      <c r="S509" s="251" t="e">
        <f t="shared" si="231"/>
        <v>#VALUE!</v>
      </c>
      <c r="T509" s="251">
        <f t="shared" si="232"/>
        <v>0</v>
      </c>
      <c r="V509" s="199">
        <f t="shared" si="233"/>
        <v>0</v>
      </c>
      <c r="W509" s="161" t="e">
        <f t="shared" si="234"/>
        <v>#N/A</v>
      </c>
      <c r="X509" s="161" t="e">
        <f t="shared" si="235"/>
        <v>#N/A</v>
      </c>
      <c r="Y509" s="161">
        <f t="shared" si="213"/>
        <v>484</v>
      </c>
      <c r="Z509" s="161">
        <f t="shared" ca="1" si="214"/>
        <v>10</v>
      </c>
      <c r="AG509" s="114">
        <f t="shared" si="209"/>
        <v>0</v>
      </c>
      <c r="AI509" s="199">
        <f ca="1">IF(AL509=0,0,IF(AL509&gt;Preenchimento!$AA$88*12,0,IF($AC$53=AM509,0,1)))</f>
        <v>0</v>
      </c>
      <c r="AJ509" s="161" t="e">
        <f t="shared" ca="1" si="236"/>
        <v>#N/A</v>
      </c>
      <c r="AK509" s="161" t="e">
        <f t="shared" ca="1" si="237"/>
        <v>#N/A</v>
      </c>
      <c r="AL509" s="161">
        <f ca="1">IF(Y509&gt;(Preenchimento!$AA$90*12),0,Fixa!Y509)</f>
        <v>0</v>
      </c>
      <c r="AM509" s="161">
        <f t="shared" ca="1" si="216"/>
        <v>10</v>
      </c>
      <c r="AN509" s="199">
        <f ca="1">IF(AQ509&gt;Preenchimento!$AA$90*12,0,1)</f>
        <v>0</v>
      </c>
      <c r="AO509" s="161" t="e">
        <f ca="1">1/((1+SAC!$AD$29)^AL509)</f>
        <v>#N/A</v>
      </c>
      <c r="AP509" s="82" t="e">
        <f t="shared" ca="1" si="238"/>
        <v>#N/A</v>
      </c>
      <c r="AQ509" s="82">
        <v>484</v>
      </c>
      <c r="AS509" s="477">
        <f t="shared" ca="1" si="215"/>
        <v>0</v>
      </c>
    </row>
    <row r="510" spans="2:45">
      <c r="B510" s="249">
        <f ca="1">DATE(IF(MONTH(B509)=12,YEAR(B509)+1,YEAR(B509)),IF(MONTH(B509)=12,1,MONTH(B509)+1),MIN(DAY(Condições!$C$109),IF(IF(MONTH(B509)=12,1,MONTH(B509)+1)=2,IF(MOD(IF(MONTH(B509)=12,YEAR(B509)+1,YEAR(B509)),4)=0,29,28),IF(OR(IF(MONTH(B509)=12,1,MONTH(B509)+1)=4,IF(MONTH(B509)=12,1,MONTH(B509)+1)=6,IF(MONTH(B509)=12,1,MONTH(B509)+1)=9,IF(MONTH(B509)=12,1,MONTH(B509)+1)=11),30,DAY($B$25)))))</f>
        <v>60952</v>
      </c>
      <c r="C510" s="250" t="str">
        <f t="shared" si="217"/>
        <v/>
      </c>
      <c r="D510" s="251" t="e">
        <f t="shared" si="218"/>
        <v>#N/A</v>
      </c>
      <c r="E510" s="251">
        <f t="shared" si="219"/>
        <v>0</v>
      </c>
      <c r="F510" s="251">
        <f t="shared" si="220"/>
        <v>0</v>
      </c>
      <c r="G510" s="251">
        <f t="shared" si="221"/>
        <v>0</v>
      </c>
      <c r="H510" s="251" t="e">
        <f t="shared" si="222"/>
        <v>#VALUE!</v>
      </c>
      <c r="I510" s="251">
        <f t="shared" si="223"/>
        <v>0</v>
      </c>
      <c r="J510" s="251">
        <f t="shared" si="224"/>
        <v>0</v>
      </c>
      <c r="K510" s="251">
        <f t="shared" si="225"/>
        <v>0</v>
      </c>
      <c r="N510" s="225">
        <f t="shared" si="226"/>
        <v>0</v>
      </c>
      <c r="O510" s="251" t="e">
        <f t="shared" si="227"/>
        <v>#N/A</v>
      </c>
      <c r="P510" s="251">
        <f t="shared" si="228"/>
        <v>0</v>
      </c>
      <c r="Q510" s="251">
        <f t="shared" si="229"/>
        <v>0</v>
      </c>
      <c r="R510" s="251">
        <f t="shared" si="230"/>
        <v>0</v>
      </c>
      <c r="S510" s="251" t="e">
        <f t="shared" si="231"/>
        <v>#VALUE!</v>
      </c>
      <c r="T510" s="251">
        <f t="shared" si="232"/>
        <v>0</v>
      </c>
      <c r="V510" s="199">
        <f t="shared" si="233"/>
        <v>0</v>
      </c>
      <c r="W510" s="161" t="e">
        <f t="shared" si="234"/>
        <v>#N/A</v>
      </c>
      <c r="X510" s="161" t="e">
        <f t="shared" si="235"/>
        <v>#N/A</v>
      </c>
      <c r="Y510" s="161">
        <f t="shared" si="213"/>
        <v>485</v>
      </c>
      <c r="Z510" s="161">
        <f t="shared" ca="1" si="214"/>
        <v>11</v>
      </c>
      <c r="AG510" s="114">
        <f>IF(C510&gt;$AC$46,0,R510+S510+T510+U510+J510)</f>
        <v>0</v>
      </c>
      <c r="AI510" s="199">
        <f ca="1">IF(AL510=0,0,IF(AL510&gt;Preenchimento!$AA$88*12,0,IF($AC$53=AM510,0,1)))</f>
        <v>0</v>
      </c>
      <c r="AJ510" s="161" t="e">
        <f t="shared" ca="1" si="236"/>
        <v>#N/A</v>
      </c>
      <c r="AK510" s="161" t="e">
        <f t="shared" ca="1" si="237"/>
        <v>#N/A</v>
      </c>
      <c r="AL510" s="161">
        <f ca="1">IF(Y510&gt;(Preenchimento!$AA$90*12),0,Fixa!Y510)</f>
        <v>0</v>
      </c>
      <c r="AM510" s="161">
        <f t="shared" ca="1" si="216"/>
        <v>11</v>
      </c>
      <c r="AN510" s="199">
        <f ca="1">IF(AQ510&gt;Preenchimento!$AA$90*12,0,1)</f>
        <v>0</v>
      </c>
      <c r="AO510" s="161" t="e">
        <f ca="1">1/((1+SAC!$AD$29)^AL510)</f>
        <v>#N/A</v>
      </c>
      <c r="AP510" s="82" t="e">
        <f t="shared" ca="1" si="238"/>
        <v>#N/A</v>
      </c>
      <c r="AQ510" s="82">
        <v>485</v>
      </c>
      <c r="AS510" s="477">
        <f t="shared" ca="1" si="215"/>
        <v>0</v>
      </c>
    </row>
    <row r="511" spans="2:45">
      <c r="B511" s="249">
        <f ca="1">DATE(IF(MONTH(B510)=12,YEAR(B510)+1,YEAR(B510)),IF(MONTH(B510)=12,1,MONTH(B510)+1),MIN(DAY(Condições!$C$109),IF(IF(MONTH(B510)=12,1,MONTH(B510)+1)=2,IF(MOD(IF(MONTH(B510)=12,YEAR(B510)+1,YEAR(B510)),4)=0,29,28),IF(OR(IF(MONTH(B510)=12,1,MONTH(B510)+1)=4,IF(MONTH(B510)=12,1,MONTH(B510)+1)=6,IF(MONTH(B510)=12,1,MONTH(B510)+1)=9,IF(MONTH(B510)=12,1,MONTH(B510)+1)=11),30,DAY($B$25)))))</f>
        <v>60982</v>
      </c>
      <c r="C511" s="250" t="str">
        <f t="shared" si="217"/>
        <v/>
      </c>
      <c r="D511" s="251" t="e">
        <f t="shared" si="218"/>
        <v>#N/A</v>
      </c>
      <c r="E511" s="251">
        <f t="shared" si="219"/>
        <v>0</v>
      </c>
      <c r="F511" s="251">
        <f t="shared" si="220"/>
        <v>0</v>
      </c>
      <c r="G511" s="251">
        <f t="shared" si="221"/>
        <v>0</v>
      </c>
      <c r="H511" s="251" t="e">
        <f t="shared" si="222"/>
        <v>#VALUE!</v>
      </c>
      <c r="I511" s="251">
        <f t="shared" si="223"/>
        <v>0</v>
      </c>
      <c r="J511" s="251">
        <f t="shared" si="224"/>
        <v>0</v>
      </c>
      <c r="K511" s="251">
        <f t="shared" si="225"/>
        <v>0</v>
      </c>
      <c r="N511" s="225">
        <f t="shared" si="226"/>
        <v>0</v>
      </c>
      <c r="O511" s="251" t="e">
        <f t="shared" si="227"/>
        <v>#N/A</v>
      </c>
      <c r="P511" s="251">
        <f t="shared" si="228"/>
        <v>0</v>
      </c>
      <c r="Q511" s="251">
        <f t="shared" si="229"/>
        <v>0</v>
      </c>
      <c r="R511" s="251">
        <f t="shared" si="230"/>
        <v>0</v>
      </c>
      <c r="S511" s="251" t="e">
        <f t="shared" si="231"/>
        <v>#VALUE!</v>
      </c>
      <c r="T511" s="251">
        <f t="shared" si="232"/>
        <v>0</v>
      </c>
      <c r="V511" s="199">
        <f t="shared" si="233"/>
        <v>0</v>
      </c>
      <c r="W511" s="161" t="e">
        <f t="shared" si="234"/>
        <v>#N/A</v>
      </c>
      <c r="X511" s="161" t="e">
        <f t="shared" si="235"/>
        <v>#N/A</v>
      </c>
      <c r="Y511" s="161">
        <f t="shared" si="213"/>
        <v>486</v>
      </c>
      <c r="Z511" s="161">
        <f t="shared" ca="1" si="214"/>
        <v>12</v>
      </c>
      <c r="AG511" s="114">
        <f>IF(C511&gt;$AC$46,0,R511+S511+T511+U511+J511)</f>
        <v>0</v>
      </c>
      <c r="AI511" s="199">
        <f ca="1">IF(AL511=0,0,IF(AL511&gt;Preenchimento!$AA$88*12,0,IF($AC$53=AM511,0,1)))</f>
        <v>0</v>
      </c>
      <c r="AJ511" s="161" t="e">
        <f t="shared" ca="1" si="236"/>
        <v>#N/A</v>
      </c>
      <c r="AK511" s="161" t="e">
        <f t="shared" ca="1" si="237"/>
        <v>#N/A</v>
      </c>
      <c r="AL511" s="161">
        <f ca="1">IF(Y511&gt;(Preenchimento!$AA$90*12),0,Fixa!Y511)</f>
        <v>0</v>
      </c>
      <c r="AM511" s="161">
        <f t="shared" ca="1" si="216"/>
        <v>12</v>
      </c>
      <c r="AN511" s="199">
        <f ca="1">IF(AQ511&gt;Preenchimento!$AA$90*12,0,1)</f>
        <v>0</v>
      </c>
      <c r="AO511" s="161" t="e">
        <f ca="1">1/((1+SAC!$AD$29)^AL511)</f>
        <v>#N/A</v>
      </c>
      <c r="AP511" s="82" t="e">
        <f t="shared" ca="1" si="238"/>
        <v>#N/A</v>
      </c>
      <c r="AQ511" s="82">
        <v>486</v>
      </c>
      <c r="AS511" s="477">
        <f t="shared" ca="1" si="215"/>
        <v>0</v>
      </c>
    </row>
    <row r="512" spans="2:45"/>
    <row r="513" ht="13.5" customHeight="1"/>
  </sheetData>
  <sheetProtection algorithmName="SHA-512" hashValue="6x6yVXbAxoP51g9PfXqn5CS4hDCRtVNn5vKhNwn72hKDkYbc+1tU97o7IxXyOSnOYdWnG9Aa/UjEaBkBQRiEpA==" saltValue="I/IsCI69Rs4xfEkdhBVneg==" spinCount="100000" sheet="1" objects="1" scenarios="1"/>
  <mergeCells count="7">
    <mergeCell ref="B1:K1"/>
    <mergeCell ref="X15:Y15"/>
    <mergeCell ref="B10:K10"/>
    <mergeCell ref="B5:K5"/>
    <mergeCell ref="B6:K6"/>
    <mergeCell ref="B11:K11"/>
    <mergeCell ref="B7:L7"/>
  </mergeCells>
  <phoneticPr fontId="3" type="noConversion"/>
  <conditionalFormatting sqref="B25:K511">
    <cfRule type="expression" dxfId="26" priority="16">
      <formula>$AN$4=1</formula>
    </cfRule>
  </conditionalFormatting>
  <conditionalFormatting sqref="B25:B511">
    <cfRule type="expression" dxfId="25" priority="328" stopIfTrue="1">
      <formula>C25=""</formula>
    </cfRule>
    <cfRule type="expression" dxfId="24" priority="329" stopIfTrue="1">
      <formula>$J$13=""</formula>
    </cfRule>
  </conditionalFormatting>
  <conditionalFormatting sqref="C25:K511">
    <cfRule type="expression" dxfId="23" priority="330" stopIfTrue="1">
      <formula>$C25=""</formula>
    </cfRule>
    <cfRule type="expression" dxfId="22" priority="331" stopIfTrue="1">
      <formula>$J$13=""</formula>
    </cfRule>
  </conditionalFormatting>
  <conditionalFormatting sqref="F20:K21">
    <cfRule type="expression" dxfId="21" priority="8" stopIfTrue="1">
      <formula>$AE$57="falso"</formula>
    </cfRule>
  </conditionalFormatting>
  <conditionalFormatting sqref="F21:I22">
    <cfRule type="expression" dxfId="20" priority="7" stopIfTrue="1">
      <formula>$AE$55="falso"</formula>
    </cfRule>
  </conditionalFormatting>
  <conditionalFormatting sqref="F19:K19">
    <cfRule type="expression" dxfId="19" priority="6" stopIfTrue="1">
      <formula>AND($AE$56="falso",$AE$58="falso")</formula>
    </cfRule>
  </conditionalFormatting>
  <conditionalFormatting sqref="J21">
    <cfRule type="expression" dxfId="18" priority="4" stopIfTrue="1">
      <formula>AND($AE$56="falso",$AE$58="falso")</formula>
    </cfRule>
  </conditionalFormatting>
  <conditionalFormatting sqref="K21">
    <cfRule type="expression" dxfId="17" priority="3" stopIfTrue="1">
      <formula>AND($AE$56="falso",$AE$58="falso")</formula>
    </cfRule>
  </conditionalFormatting>
  <printOptions horizontalCentered="1"/>
  <pageMargins left="0.23622047244094499" right="0.23622047244094499" top="0.35433070866141703" bottom="0.35433070866141703" header="0.23622047244094499" footer="0.196850393700787"/>
  <pageSetup paperSize="9" scale="52" orientation="portrait" r:id="rId1"/>
  <headerFooter alignWithMargins="0">
    <oddFooter>&amp;L&amp;P&amp;C&amp;D</oddFooter>
  </headerFooter>
  <rowBreaks count="3" manualBreakCount="3">
    <brk id="101" max="12" man="1"/>
    <brk id="214" max="12" man="1"/>
    <brk id="326" max="12" man="1"/>
  </rowBreaks>
  <colBreaks count="1" manualBreakCount="1">
    <brk id="13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2A72869-6BDE-4337-A505-2E8E318EF60A}">
            <xm:f>Preenchimento!$G$25="Valor de Financiamento maior que o permitido!"</xm:f>
            <x14:dxf>
              <font>
                <color theme="0"/>
              </font>
            </x14:dxf>
          </x14:cfRule>
          <xm:sqref>D12:D18 B25:K506 J12:J21 K15:K21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L513"/>
  <sheetViews>
    <sheetView showGridLines="0" showRowColHeaders="0" zoomScaleNormal="100" zoomScaleSheetLayoutView="85" workbookViewId="0"/>
  </sheetViews>
  <sheetFormatPr defaultColWidth="0" defaultRowHeight="12.75" zeroHeight="1"/>
  <cols>
    <col min="1" max="1" width="2.7109375" style="82" customWidth="1"/>
    <col min="2" max="2" width="13.42578125" style="82" customWidth="1"/>
    <col min="3" max="3" width="14.140625" style="82" customWidth="1"/>
    <col min="4" max="4" width="28.5703125" style="82" customWidth="1"/>
    <col min="5" max="5" width="13.140625" style="82" customWidth="1"/>
    <col min="6" max="6" width="13.5703125" style="82" customWidth="1"/>
    <col min="7" max="7" width="15.28515625" style="82" customWidth="1"/>
    <col min="8" max="9" width="15" style="82" customWidth="1"/>
    <col min="10" max="10" width="19.140625" style="82" customWidth="1"/>
    <col min="11" max="11" width="20.7109375" style="82" customWidth="1"/>
    <col min="12" max="12" width="2.5703125" style="82" customWidth="1"/>
    <col min="13" max="13" width="9.5703125" style="82" hidden="1" customWidth="1"/>
    <col min="14" max="14" width="11.5703125" style="82" hidden="1" customWidth="1"/>
    <col min="15" max="15" width="15.7109375" style="82" hidden="1" customWidth="1"/>
    <col min="16" max="18" width="10" style="82" hidden="1" customWidth="1"/>
    <col min="19" max="19" width="12.85546875" style="82" hidden="1" customWidth="1"/>
    <col min="20" max="21" width="9.28515625" style="82" hidden="1" customWidth="1"/>
    <col min="22" max="22" width="9.140625" style="82" hidden="1" customWidth="1"/>
    <col min="23" max="23" width="7.28515625" style="210" hidden="1" customWidth="1"/>
    <col min="24" max="24" width="10.140625" style="82" hidden="1" customWidth="1"/>
    <col min="25" max="25" width="9.140625" style="82" hidden="1" customWidth="1"/>
    <col min="26" max="26" width="10" style="82" hidden="1" customWidth="1"/>
    <col min="27" max="28" width="9.140625" style="82" hidden="1" customWidth="1"/>
    <col min="29" max="29" width="18.140625" style="82" hidden="1" customWidth="1"/>
    <col min="30" max="30" width="14" style="82" hidden="1" customWidth="1"/>
    <col min="31" max="31" width="11" style="82" hidden="1" customWidth="1"/>
    <col min="32" max="32" width="3.28515625" style="82" hidden="1" customWidth="1"/>
    <col min="33" max="34" width="11.28515625" style="82" hidden="1" customWidth="1"/>
    <col min="35" max="35" width="14.7109375" style="82" hidden="1" customWidth="1"/>
    <col min="36" max="36" width="11.28515625" style="82" hidden="1" customWidth="1"/>
    <col min="37" max="16384" width="20.7109375" style="82" hidden="1"/>
  </cols>
  <sheetData>
    <row r="1" spans="2:36" ht="45.75" customHeight="1" thickBot="1">
      <c r="B1" s="698" t="str">
        <f>IF(Preenchimento!G39="Tabela Price",Preenchimento!I79,IF(Apoio!$L$29=1,Preenchimento!I80,IF(Apoio!$L$29=2,CONCATENATE(Preenchimento!I80," - ","Imóvel Novo"))))</f>
        <v>Parcelas Variáveis (SAC)</v>
      </c>
      <c r="C1" s="698"/>
      <c r="D1" s="698"/>
      <c r="E1" s="698"/>
      <c r="F1" s="698"/>
      <c r="G1" s="698"/>
      <c r="H1" s="698"/>
      <c r="I1" s="698"/>
      <c r="J1" s="698"/>
      <c r="K1" s="698"/>
      <c r="N1" s="53" t="e">
        <f>Preenchimento!#REF!</f>
        <v>#REF!</v>
      </c>
    </row>
    <row r="2" spans="2:36" ht="12" customHeight="1">
      <c r="C2" s="113"/>
      <c r="D2" s="114"/>
      <c r="E2" s="114"/>
      <c r="F2" s="114"/>
      <c r="G2" s="114"/>
      <c r="H2" s="114"/>
      <c r="I2" s="114"/>
      <c r="J2" s="113"/>
      <c r="K2" s="554" t="str">
        <f>Preenchimento!I3</f>
        <v>V. Mar/2022</v>
      </c>
    </row>
    <row r="3" spans="2:36" ht="15.75">
      <c r="B3" s="23" t="s">
        <v>72</v>
      </c>
      <c r="C3" s="113"/>
      <c r="D3" s="114"/>
      <c r="E3" s="114"/>
      <c r="F3" s="114"/>
      <c r="G3" s="462" t="str">
        <f>IF(Preenchimento!D17="Clientes","",IF(Preenchimento!D18="Parcelas Fixas",CONCATENATE("Condição exclusiva para o segmento ",Preenchimento!I87," ",Preenchimento!D17," - ",Preenchimento!D19," - Taxa Bonificada"),IF(AND(Preenchimento!D7="Aquisição",Preenchimento!D19="Plano Saúde/Leilão"),CONCATENATE("Condição exclusiva para "," ",Preenchimento!D17," ",Preenchimento!D19," - Taxa Bonificada"),CONCATENATE("Condição exclusiva para o segmento ",Preenchimento!I87," ",Preenchimento!D17," - ",IF(AND(Preenchimento!D17="Select / Private",Preenchimento!D19="Oferta Padrão")," - ",Preenchimento!D19&amp;" - Taxa Bonificada")))))</f>
        <v>Condição exclusiva para o segmento Público  -  - Taxa Bonificada</v>
      </c>
      <c r="I3" s="114"/>
      <c r="J3" s="113"/>
      <c r="K3" s="113"/>
    </row>
    <row r="4" spans="2:36" ht="18" customHeight="1">
      <c r="B4" s="112" t="s">
        <v>50</v>
      </c>
      <c r="C4" s="113"/>
      <c r="D4" s="114"/>
      <c r="E4" s="114"/>
      <c r="F4" s="114"/>
      <c r="G4" s="114"/>
      <c r="H4" s="115"/>
      <c r="I4" s="114"/>
      <c r="J4" s="113"/>
      <c r="K4" s="113"/>
    </row>
    <row r="5" spans="2:36" ht="38.25" customHeight="1">
      <c r="B5" s="705" t="s">
        <v>339</v>
      </c>
      <c r="C5" s="705"/>
      <c r="D5" s="705"/>
      <c r="E5" s="705"/>
      <c r="F5" s="705"/>
      <c r="G5" s="705"/>
      <c r="H5" s="705"/>
      <c r="I5" s="705"/>
      <c r="J5" s="705"/>
      <c r="K5" s="705"/>
    </row>
    <row r="6" spans="2:36">
      <c r="B6" s="112" t="s">
        <v>122</v>
      </c>
      <c r="C6" s="116"/>
      <c r="D6" s="116"/>
      <c r="E6" s="116"/>
      <c r="F6" s="116"/>
      <c r="G6" s="116"/>
      <c r="H6" s="116"/>
      <c r="I6" s="116"/>
      <c r="J6" s="116"/>
      <c r="K6" s="116"/>
    </row>
    <row r="7" spans="2:36">
      <c r="B7" s="703" t="s">
        <v>346</v>
      </c>
      <c r="C7" s="703"/>
      <c r="D7" s="703"/>
      <c r="E7" s="703"/>
      <c r="F7" s="703"/>
      <c r="G7" s="703"/>
      <c r="H7" s="703"/>
      <c r="I7" s="703"/>
      <c r="J7" s="703"/>
      <c r="K7" s="703"/>
      <c r="L7" s="703"/>
    </row>
    <row r="8" spans="2:36">
      <c r="B8" s="703" t="s">
        <v>71</v>
      </c>
      <c r="C8" s="703"/>
      <c r="D8" s="703"/>
      <c r="E8" s="703"/>
      <c r="F8" s="703"/>
      <c r="G8" s="703"/>
      <c r="H8" s="703"/>
      <c r="I8" s="703"/>
      <c r="J8" s="703"/>
      <c r="K8" s="703"/>
      <c r="L8" s="703"/>
      <c r="M8" s="78"/>
    </row>
    <row r="9" spans="2:36">
      <c r="B9" s="112" t="s">
        <v>167</v>
      </c>
      <c r="M9" s="78"/>
    </row>
    <row r="10" spans="2:36" ht="50.25" customHeight="1">
      <c r="B10" s="704" t="str">
        <f>IF(AND(OR(Preenchimento!$D$7="Aquisição",Preenchimento!$D$7="Portabilidade"),Preenchimento!$D$19="CI Bonificado"),Apoio!$S$4,IF(AND(OR(Preenchimento!$D$7="Aquisição",Preenchimento!$D$7="Portabilidade"),Preenchimento!$D$19="Plano Saúde/Leilão"),Apoio!$S$6,IF(AND(OR(Preenchimento!$D$7="Aquisição",Preenchimento!$D$7="Portabilidade"),Preenchimento!$D$19="FOPA TJSP &amp; TJPE"),Apoio!S8,IF(AND(OR(Preenchimento!$D$7="Aquisição",Preenchimento!$D$7="Portabilidade"),Preenchimento!$D$19="FOPA TJSP &amp; TJPE"),Apoio!S10,""))))</f>
        <v/>
      </c>
      <c r="C10" s="704"/>
      <c r="D10" s="704"/>
      <c r="E10" s="704"/>
      <c r="F10" s="704"/>
      <c r="G10" s="704"/>
      <c r="H10" s="704"/>
      <c r="I10" s="704"/>
      <c r="J10" s="704"/>
      <c r="K10" s="704"/>
      <c r="L10" s="117"/>
      <c r="M10" s="78"/>
    </row>
    <row r="11" spans="2:36">
      <c r="B11" s="704"/>
      <c r="C11" s="704"/>
      <c r="D11" s="704"/>
      <c r="E11" s="704"/>
      <c r="F11" s="704"/>
      <c r="G11" s="704"/>
      <c r="H11" s="704"/>
      <c r="I11" s="704"/>
      <c r="J11" s="704"/>
      <c r="K11" s="704"/>
    </row>
    <row r="12" spans="2:36" ht="13.5" customHeight="1" thickBot="1">
      <c r="B12" s="108" t="s">
        <v>6</v>
      </c>
      <c r="C12" s="124"/>
      <c r="D12" s="130">
        <f>AD25</f>
        <v>0</v>
      </c>
      <c r="E12" s="114"/>
      <c r="F12" s="118" t="s">
        <v>224</v>
      </c>
      <c r="G12" s="118"/>
      <c r="H12" s="119"/>
      <c r="I12" s="119"/>
      <c r="J12" s="120" t="e">
        <f ca="1">Preenchimento!G48</f>
        <v>#VALUE!</v>
      </c>
    </row>
    <row r="13" spans="2:36" ht="13.5" customHeight="1" thickBot="1">
      <c r="B13" s="109" t="str">
        <f>IF(OR(Preenchimento!D141="Sim",Preenchimento!D7="Portabilidade"),"Prazo em meses","Prazo em anos")</f>
        <v>Prazo em anos</v>
      </c>
      <c r="C13" s="121"/>
      <c r="D13" s="131">
        <f>Preenchimento!D29</f>
        <v>0</v>
      </c>
      <c r="E13" s="114"/>
      <c r="F13" s="109" t="s">
        <v>223</v>
      </c>
      <c r="G13" s="121"/>
      <c r="H13" s="122"/>
      <c r="I13" s="122"/>
      <c r="J13" s="123" t="e">
        <f ca="1">Preenchimento!G47</f>
        <v>#NUM!</v>
      </c>
      <c r="Q13" s="12"/>
      <c r="R13" s="215"/>
      <c r="S13" s="216"/>
    </row>
    <row r="14" spans="2:36" ht="13.5" customHeight="1">
      <c r="B14" s="109" t="s">
        <v>31</v>
      </c>
      <c r="C14" s="121"/>
      <c r="D14" s="131">
        <f ca="1">Preenchimento!W42</f>
        <v>126.1</v>
      </c>
      <c r="E14" s="114"/>
      <c r="F14" s="121" t="s">
        <v>335</v>
      </c>
      <c r="G14" s="121"/>
      <c r="H14" s="122"/>
      <c r="I14" s="122"/>
      <c r="J14" s="542" t="str">
        <f>IF(Apoio!D17=1,Apoio!C17,IF(Apoio!D17=2,Apoio!C18,IF(Apoio!D17=3,"",Apoio!C20)))</f>
        <v>Zurich Santander</v>
      </c>
      <c r="O14" s="82" t="e">
        <f>Preenchimento!#REF!</f>
        <v>#REF!</v>
      </c>
      <c r="AJ14" s="155" t="s">
        <v>80</v>
      </c>
    </row>
    <row r="15" spans="2:36" ht="13.5" customHeight="1">
      <c r="B15" s="110" t="s">
        <v>33</v>
      </c>
      <c r="C15" s="121"/>
      <c r="D15" s="132" t="e">
        <f ca="1">Preenchimento!G44</f>
        <v>#N/A</v>
      </c>
      <c r="F15" s="108" t="s">
        <v>220</v>
      </c>
      <c r="G15" s="124"/>
      <c r="H15" s="118"/>
      <c r="I15" s="108"/>
      <c r="J15" s="118">
        <f>Preenchimento!I20</f>
        <v>0</v>
      </c>
      <c r="K15" s="125">
        <v>1</v>
      </c>
      <c r="AI15" s="161" t="s">
        <v>96</v>
      </c>
      <c r="AJ15" s="217" t="e">
        <f ca="1">(((IRR(AI25:AI505,0.01))+1)^12)-1</f>
        <v>#NUM!</v>
      </c>
    </row>
    <row r="16" spans="2:36" ht="13.5" customHeight="1">
      <c r="B16" s="110" t="s">
        <v>34</v>
      </c>
      <c r="C16" s="121"/>
      <c r="D16" s="141" t="e">
        <f ca="1">Preenchimento!G45</f>
        <v>#N/A</v>
      </c>
      <c r="F16" s="109" t="str">
        <f>IF(Preenchimento!D7="Portabilidade","Valor liberado","Valor liberado ao vendedor")</f>
        <v>Valor liberado ao vendedor</v>
      </c>
      <c r="G16" s="121"/>
      <c r="H16" s="126"/>
      <c r="I16" s="109"/>
      <c r="J16" s="126">
        <f>Preenchimento!D25</f>
        <v>0</v>
      </c>
      <c r="K16" s="555" t="e">
        <f>J16/J15</f>
        <v>#DIV/0!</v>
      </c>
      <c r="P16" s="82" t="s">
        <v>4</v>
      </c>
      <c r="Q16" s="82">
        <f>IF(OR(Preenchimento!D141="Sim",Preenchimento!D7="Portabilidade"),D13,D13*12)</f>
        <v>0</v>
      </c>
      <c r="AI16" s="161" t="s">
        <v>97</v>
      </c>
      <c r="AJ16" s="217" t="e">
        <f>#N/A</f>
        <v>#N/A</v>
      </c>
    </row>
    <row r="17" spans="2:38" ht="13.5" customHeight="1">
      <c r="B17" s="111" t="s">
        <v>56</v>
      </c>
      <c r="C17" s="121"/>
      <c r="D17" s="127">
        <f>Preenchimento!D22</f>
        <v>0</v>
      </c>
      <c r="F17" s="109" t="s">
        <v>221</v>
      </c>
      <c r="G17" s="121"/>
      <c r="H17" s="126"/>
      <c r="I17" s="109"/>
      <c r="J17" s="126">
        <f>SUM(J18:J21)</f>
        <v>3300</v>
      </c>
      <c r="K17" s="127" t="e">
        <f>J17/J15</f>
        <v>#DIV/0!</v>
      </c>
    </row>
    <row r="18" spans="2:38" ht="13.5" customHeight="1">
      <c r="B18" s="445" t="s">
        <v>282</v>
      </c>
      <c r="C18" s="446"/>
      <c r="D18" s="447" t="e">
        <f ca="1">SUM(K25:K446)</f>
        <v>#VALUE!</v>
      </c>
      <c r="E18" s="113"/>
      <c r="F18" s="128" t="s">
        <v>222</v>
      </c>
      <c r="G18" s="121"/>
      <c r="H18" s="126"/>
      <c r="I18" s="109"/>
      <c r="J18" s="126">
        <f>'Caract. Prods'!C15</f>
        <v>3300</v>
      </c>
      <c r="K18" s="127" t="e">
        <f>J18/$J$15</f>
        <v>#DIV/0!</v>
      </c>
    </row>
    <row r="19" spans="2:38" ht="13.5" customHeight="1">
      <c r="B19" s="17"/>
      <c r="C19" s="114"/>
      <c r="D19" s="218"/>
      <c r="E19" s="113"/>
      <c r="F19" s="128" t="s">
        <v>347</v>
      </c>
      <c r="G19" s="126"/>
      <c r="H19" s="126"/>
      <c r="I19" s="109"/>
      <c r="J19" s="126">
        <f>Fixa!J19</f>
        <v>0</v>
      </c>
      <c r="K19" s="127" t="e">
        <f>J19/$J$15</f>
        <v>#DIV/0!</v>
      </c>
    </row>
    <row r="20" spans="2:38" ht="13.5" customHeight="1">
      <c r="F20" s="128" t="s">
        <v>58</v>
      </c>
      <c r="G20" s="121"/>
      <c r="J20" s="126">
        <f>Fixa!J20</f>
        <v>0</v>
      </c>
      <c r="K20" s="127" t="e">
        <f>J20/$J$15</f>
        <v>#DIV/0!</v>
      </c>
    </row>
    <row r="21" spans="2:38" ht="13.5" customHeight="1">
      <c r="B21" s="17"/>
      <c r="C21" s="114"/>
      <c r="D21" s="218"/>
      <c r="E21" s="113"/>
      <c r="F21" s="128" t="s">
        <v>169</v>
      </c>
      <c r="G21" s="121"/>
      <c r="H21" s="126"/>
      <c r="I21" s="109"/>
      <c r="J21" s="126">
        <f>Fixa!J21</f>
        <v>0</v>
      </c>
      <c r="K21" s="127" t="e">
        <f>J21/$J$15</f>
        <v>#DIV/0!</v>
      </c>
      <c r="AL21" s="478" t="s">
        <v>298</v>
      </c>
    </row>
    <row r="22" spans="2:38" ht="17.25" customHeight="1">
      <c r="B22" s="17"/>
      <c r="C22" s="114"/>
      <c r="D22" s="218"/>
      <c r="E22" s="113"/>
      <c r="F22" s="94"/>
      <c r="G22" s="129"/>
      <c r="H22" s="129"/>
      <c r="I22" s="113"/>
      <c r="J22" s="533" t="s">
        <v>325</v>
      </c>
      <c r="K22" s="534" t="str">
        <f ca="1">IF(Preenchimento!$D$7="","",TODAY())</f>
        <v/>
      </c>
      <c r="N22" s="50" t="s">
        <v>121</v>
      </c>
      <c r="O22" s="82" t="s">
        <v>90</v>
      </c>
      <c r="P22" s="82">
        <v>9</v>
      </c>
      <c r="AI22" s="155"/>
      <c r="AL22" s="479"/>
    </row>
    <row r="23" spans="2:38" ht="6" customHeight="1">
      <c r="B23" s="113"/>
      <c r="C23" s="113"/>
      <c r="D23" s="113"/>
      <c r="E23" s="113"/>
      <c r="F23" s="113"/>
      <c r="G23" s="113"/>
      <c r="H23" s="219"/>
      <c r="I23" s="113"/>
      <c r="J23" s="113"/>
      <c r="K23" s="113"/>
      <c r="AL23" s="479"/>
    </row>
    <row r="24" spans="2:38" ht="33" customHeight="1">
      <c r="B24" s="14" t="s">
        <v>1</v>
      </c>
      <c r="C24" s="15" t="s">
        <v>0</v>
      </c>
      <c r="D24" s="16" t="s">
        <v>2</v>
      </c>
      <c r="E24" s="16" t="s">
        <v>47</v>
      </c>
      <c r="F24" s="16" t="s">
        <v>3</v>
      </c>
      <c r="G24" s="16" t="s">
        <v>46</v>
      </c>
      <c r="H24" s="16" t="s">
        <v>48</v>
      </c>
      <c r="I24" s="16" t="s">
        <v>123</v>
      </c>
      <c r="J24" s="15" t="s">
        <v>124</v>
      </c>
      <c r="K24" s="86" t="s">
        <v>180</v>
      </c>
      <c r="M24" s="146"/>
      <c r="N24" s="51" t="e">
        <f ca="1">SUM(N25:N505)/D25</f>
        <v>#VALUE!</v>
      </c>
      <c r="O24" s="16" t="s">
        <v>2</v>
      </c>
      <c r="P24" s="16" t="s">
        <v>47</v>
      </c>
      <c r="Q24" s="16" t="s">
        <v>3</v>
      </c>
      <c r="R24" s="16" t="s">
        <v>46</v>
      </c>
      <c r="S24" s="16" t="s">
        <v>48</v>
      </c>
      <c r="T24" s="16" t="s">
        <v>49</v>
      </c>
      <c r="U24" s="42" t="s">
        <v>91</v>
      </c>
      <c r="W24" s="210" t="s">
        <v>3</v>
      </c>
      <c r="AI24" s="220" t="e">
        <f ca="1">IF(ISERROR(AJ16),AJ15,AJ16)</f>
        <v>#NUM!</v>
      </c>
      <c r="AJ24" s="221"/>
      <c r="AL24" s="480" t="e">
        <f>TRUNC(ROUND((((IRR(AL25:AL505,0.01))+1)^12)-1,6),4)</f>
        <v>#VALUE!</v>
      </c>
    </row>
    <row r="25" spans="2:38" ht="12" customHeight="1">
      <c r="B25" s="222">
        <f ca="1">Fixa!B25</f>
        <v>46189</v>
      </c>
      <c r="C25" s="223">
        <f>Fixa!C25</f>
        <v>0</v>
      </c>
      <c r="D25" s="43" t="e">
        <f>ROUND(O25,2)</f>
        <v>#VALUE!</v>
      </c>
      <c r="E25" s="43">
        <f>ROUND(P25,2)</f>
        <v>0</v>
      </c>
      <c r="F25" s="43">
        <f>ROUND(Q25,2)</f>
        <v>0</v>
      </c>
      <c r="G25" s="43">
        <f>F25+E25</f>
        <v>0</v>
      </c>
      <c r="H25" s="43" t="e">
        <f ca="1">ROUND(S25,2)</f>
        <v>#VALUE!</v>
      </c>
      <c r="I25" s="43">
        <f>ROUND(T25+U25,2)</f>
        <v>0</v>
      </c>
      <c r="J25" s="43"/>
      <c r="K25" s="43" t="e">
        <f ca="1">IF(C25&gt;$AD$28,0,J25+G25+I25+H25)</f>
        <v>#VALUE!</v>
      </c>
      <c r="M25" s="224"/>
      <c r="N25" s="225" t="e">
        <f ca="1">SUM(H25+I25)</f>
        <v>#VALUE!</v>
      </c>
      <c r="O25" s="43" t="e">
        <f>ROUND(IF(Preenchimento!C88=2,"",Preenchimento!D25+SUM($AD$38:$AD$42)),$P$22)</f>
        <v>#VALUE!</v>
      </c>
      <c r="P25" s="43"/>
      <c r="Q25" s="43"/>
      <c r="R25" s="43"/>
      <c r="S25" s="43" t="e">
        <f ca="1">ROUND($AD$34*O25,$P$22)</f>
        <v>#VALUE!</v>
      </c>
      <c r="T25" s="43">
        <f>IF(C25&gt;=$AD$28,0,ROUND($AD$25*$AD$33,$P$22))</f>
        <v>0</v>
      </c>
      <c r="U25" s="226">
        <f>TRUNC(T25*Condições!$C$102,2)</f>
        <v>0</v>
      </c>
      <c r="V25" s="82">
        <f ca="1">MONTH(B25)</f>
        <v>6</v>
      </c>
      <c r="AC25" s="161" t="s">
        <v>6</v>
      </c>
      <c r="AD25" s="227">
        <f>Imovel</f>
        <v>0</v>
      </c>
      <c r="AF25" s="82">
        <v>1</v>
      </c>
      <c r="AG25" s="82" t="s">
        <v>10</v>
      </c>
      <c r="AI25" s="114">
        <f ca="1">Fixa!AG25</f>
        <v>3300</v>
      </c>
      <c r="AJ25" s="228"/>
      <c r="AL25" s="476" t="e">
        <f>-D25+Preenchimento!$I$9</f>
        <v>#VALUE!</v>
      </c>
    </row>
    <row r="26" spans="2:38" ht="12" customHeight="1">
      <c r="B26" s="222">
        <f ca="1">Fixa!B26</f>
        <v>46219</v>
      </c>
      <c r="C26" s="223" t="str">
        <f>Fixa!C26</f>
        <v/>
      </c>
      <c r="D26" s="43" t="e">
        <f>ROUND(O26,2)</f>
        <v>#VALUE!</v>
      </c>
      <c r="E26" s="43" t="e">
        <f t="shared" ref="E26:E89" si="0">ROUND(P26,2)</f>
        <v>#VALUE!</v>
      </c>
      <c r="F26" s="43" t="e">
        <f t="shared" ref="F26:F89" si="1">ROUND(Q26,2)</f>
        <v>#VALUE!</v>
      </c>
      <c r="G26" s="43" t="e">
        <f t="shared" ref="G26:G89" si="2">F26+E26</f>
        <v>#VALUE!</v>
      </c>
      <c r="H26" s="43" t="e">
        <f t="shared" ref="H26:H89" ca="1" si="3">ROUND(S26,2)</f>
        <v>#VALUE!</v>
      </c>
      <c r="I26" s="43">
        <f t="shared" ref="I26:I89" si="4">ROUND(T26+U26,2)</f>
        <v>0</v>
      </c>
      <c r="J26" s="229">
        <f>$AD$31</f>
        <v>25</v>
      </c>
      <c r="K26" s="43">
        <f>IF(C26&gt;$AD$28,0,J26+G26+I26+H26)</f>
        <v>0</v>
      </c>
      <c r="L26" s="230"/>
      <c r="M26" s="224"/>
      <c r="N26" s="225">
        <f>IF(C26&gt;$AD$28,0,(H26+I26)/(1.008^((12*(B26-$B$25))/365)))</f>
        <v>0</v>
      </c>
      <c r="O26" s="43" t="e">
        <f>ROUND((O25*(1+$AD$35)-P26),$P$22)</f>
        <v>#VALUE!</v>
      </c>
      <c r="P26" s="43" t="e">
        <f>ROUND(IF(Preenchimento!$G$39="Tabela Price",R26-Q26,(O25*(1+$AD$35))/($AD$28-C25)),$P$22)</f>
        <v>#VALUE!</v>
      </c>
      <c r="Q26" s="43" t="e">
        <f>IF(Preenchimento!$G$39="Tabela Price",O25*(1+$AD$35)*W26,O25*(1+SAC!$AD$35)*SAC!W26)</f>
        <v>#VALUE!</v>
      </c>
      <c r="R26" s="43" t="e">
        <f>IF(Preenchimento!$G$39="Tabela Price",IF(C26="","",((((((1+W26)^($Q$16-C25))*W26)/((1+W26)^($Q$16-C25)-1))*(O25*(1+$AD$35))))),Q26+P26)</f>
        <v>#VALUE!</v>
      </c>
      <c r="S26" s="43" t="e">
        <f t="shared" ref="S26:S89" ca="1" si="5">ROUND($AD$34*O26,$P$22)</f>
        <v>#VALUE!</v>
      </c>
      <c r="T26" s="43">
        <f>IF(C26&gt;=$AD$28,0,ROUND($AD$25*$AD$33,$P$22))</f>
        <v>0</v>
      </c>
      <c r="U26" s="226">
        <f>TRUNC(T26*Condições!$C$102,2)</f>
        <v>0</v>
      </c>
      <c r="V26" s="82">
        <f ca="1">MONTH(B26)</f>
        <v>7</v>
      </c>
      <c r="W26" s="231" t="str">
        <f>IF(C26="","",IF(AND(C26&gt;$AD$46,$AD$46&lt;&gt;""),$AE$29,$AD$29))</f>
        <v/>
      </c>
      <c r="X26" s="210"/>
      <c r="Y26" s="210"/>
      <c r="Z26" s="225"/>
      <c r="AC26" s="161" t="s">
        <v>32</v>
      </c>
      <c r="AD26" s="232">
        <f>Condições!C81</f>
        <v>0.35</v>
      </c>
      <c r="AF26" s="82">
        <f t="shared" ref="AF26:AF36" si="6">AF25+1</f>
        <v>2</v>
      </c>
      <c r="AG26" s="82" t="s">
        <v>11</v>
      </c>
      <c r="AI26" s="114">
        <f>IF(C26&gt;$AD$28,0,R26+S26+T26+U26+J26)</f>
        <v>0</v>
      </c>
      <c r="AJ26" s="233"/>
      <c r="AL26" s="477">
        <f ca="1">IFERROR(IF(V25&gt;$AD$28,0,R26),0)</f>
        <v>0</v>
      </c>
    </row>
    <row r="27" spans="2:38" ht="12" customHeight="1">
      <c r="B27" s="222">
        <f ca="1">Fixa!B27</f>
        <v>46250</v>
      </c>
      <c r="C27" s="223" t="str">
        <f>Fixa!C27</f>
        <v/>
      </c>
      <c r="D27" s="43" t="e">
        <f t="shared" ref="D27:D90" si="7">ROUND(O27,2)</f>
        <v>#VALUE!</v>
      </c>
      <c r="E27" s="43" t="e">
        <f t="shared" si="0"/>
        <v>#VALUE!</v>
      </c>
      <c r="F27" s="43" t="e">
        <f t="shared" si="1"/>
        <v>#VALUE!</v>
      </c>
      <c r="G27" s="43" t="e">
        <f t="shared" si="2"/>
        <v>#VALUE!</v>
      </c>
      <c r="H27" s="43" t="e">
        <f t="shared" ca="1" si="3"/>
        <v>#VALUE!</v>
      </c>
      <c r="I27" s="43">
        <f t="shared" si="4"/>
        <v>0</v>
      </c>
      <c r="J27" s="229">
        <f t="shared" ref="J27:J90" si="8">$AD$31</f>
        <v>25</v>
      </c>
      <c r="K27" s="43">
        <f t="shared" ref="K27:K90" si="9">IF(C27&gt;$AD$28,0,J27+G27+I27+H27)</f>
        <v>0</v>
      </c>
      <c r="M27" s="224"/>
      <c r="N27" s="225">
        <f t="shared" ref="N27:N90" si="10">IF(C27&gt;$AD$28,0,(H27+I27)/(1.008^((12*(B27-$B$25))/365)))</f>
        <v>0</v>
      </c>
      <c r="O27" s="43" t="e">
        <f t="shared" ref="O27:O90" si="11">ROUND((O26*(1+$AD$35)-P27),$P$22)</f>
        <v>#VALUE!</v>
      </c>
      <c r="P27" s="43" t="e">
        <f>ROUND(IF(Preenchimento!$G$39="Tabela Price",R27-Q27,(O26*(1+$AD$35))/($AD$28-C26)),$P$22)</f>
        <v>#VALUE!</v>
      </c>
      <c r="Q27" s="43" t="e">
        <f>IF(Preenchimento!$G$39="Tabela Price",O26*(1+$AD$35)*W27,O26*(1+SAC!$AD$35)*SAC!W27)</f>
        <v>#VALUE!</v>
      </c>
      <c r="R27" s="43" t="e">
        <f>IF(Preenchimento!$G$39="Tabela Price",IF(C27="","",((((((1+W27)^($Q$16-C26))*W27)/((1+W27)^($Q$16-C26)-1))*(O26*(1+$AD$35))))),Q27+P27)</f>
        <v>#VALUE!</v>
      </c>
      <c r="S27" s="43" t="e">
        <f t="shared" ca="1" si="5"/>
        <v>#VALUE!</v>
      </c>
      <c r="T27" s="43">
        <f t="shared" ref="T27:T90" si="12">IF(C27&gt;=$AD$28,0,ROUND($AD$25*$AD$33,$P$22))</f>
        <v>0</v>
      </c>
      <c r="U27" s="226">
        <f>TRUNC(T27*Condições!$C$102,2)</f>
        <v>0</v>
      </c>
      <c r="V27" s="82">
        <f t="shared" ref="V27:V90" ca="1" si="13">MONTH(B27)</f>
        <v>8</v>
      </c>
      <c r="W27" s="231" t="str">
        <f t="shared" ref="W27:W90" si="14">IF(C27="","",IF(AND(C27&gt;$AD$46,$AD$46&lt;&gt;""),$AE$29,$AD$29))</f>
        <v/>
      </c>
      <c r="X27" s="210"/>
      <c r="Y27" s="210"/>
      <c r="Z27" s="210"/>
      <c r="AC27" s="161" t="s">
        <v>23</v>
      </c>
      <c r="AD27" s="161">
        <v>480</v>
      </c>
      <c r="AF27" s="82">
        <f t="shared" si="6"/>
        <v>3</v>
      </c>
      <c r="AG27" s="82" t="s">
        <v>12</v>
      </c>
      <c r="AI27" s="114">
        <f t="shared" ref="AI27:AI90" si="15">IF(C27&gt;$AD$28,0,R27+S27+T27+U27+J27)</f>
        <v>0</v>
      </c>
      <c r="AJ27" s="113"/>
      <c r="AL27" s="477">
        <f t="shared" ref="AL27:AL90" ca="1" si="16">IFERROR(IF(V26&gt;$AD$28,0,R27),0)</f>
        <v>0</v>
      </c>
    </row>
    <row r="28" spans="2:38" ht="12" customHeight="1">
      <c r="B28" s="222">
        <f ca="1">Fixa!B28</f>
        <v>46281</v>
      </c>
      <c r="C28" s="223" t="str">
        <f>Fixa!C28</f>
        <v/>
      </c>
      <c r="D28" s="43" t="e">
        <f t="shared" si="7"/>
        <v>#VALUE!</v>
      </c>
      <c r="E28" s="43" t="e">
        <f t="shared" si="0"/>
        <v>#VALUE!</v>
      </c>
      <c r="F28" s="43" t="e">
        <f t="shared" si="1"/>
        <v>#VALUE!</v>
      </c>
      <c r="G28" s="43" t="e">
        <f t="shared" si="2"/>
        <v>#VALUE!</v>
      </c>
      <c r="H28" s="43" t="e">
        <f t="shared" ca="1" si="3"/>
        <v>#VALUE!</v>
      </c>
      <c r="I28" s="43">
        <f>ROUND(T28+U28,2)</f>
        <v>0</v>
      </c>
      <c r="J28" s="229">
        <f t="shared" si="8"/>
        <v>25</v>
      </c>
      <c r="K28" s="43">
        <f t="shared" si="9"/>
        <v>0</v>
      </c>
      <c r="M28" s="224"/>
      <c r="N28" s="225">
        <f t="shared" si="10"/>
        <v>0</v>
      </c>
      <c r="O28" s="43" t="e">
        <f t="shared" si="11"/>
        <v>#VALUE!</v>
      </c>
      <c r="P28" s="43" t="e">
        <f>ROUND(IF(Preenchimento!$G$39="Tabela Price",R28-Q28,(O27*(1+$AD$35))/($AD$28-C27)),$P$22)</f>
        <v>#VALUE!</v>
      </c>
      <c r="Q28" s="43" t="e">
        <f>IF(Preenchimento!$G$39="Tabela Price",O27*(1+$AD$35)*W28,O27*(1+SAC!$AD$35)*SAC!W28)</f>
        <v>#VALUE!</v>
      </c>
      <c r="R28" s="43" t="e">
        <f>IF(Preenchimento!$G$39="Tabela Price",IF(C28="","",((((((1+W28)^($Q$16-C27))*W28)/((1+W28)^($Q$16-C27)-1))*(O27*(1+$AD$35))))),Q28+P28)</f>
        <v>#VALUE!</v>
      </c>
      <c r="S28" s="43" t="e">
        <f t="shared" ca="1" si="5"/>
        <v>#VALUE!</v>
      </c>
      <c r="T28" s="43">
        <f t="shared" si="12"/>
        <v>0</v>
      </c>
      <c r="U28" s="226">
        <f>TRUNC(T28*Condições!$C$102,2)</f>
        <v>0</v>
      </c>
      <c r="V28" s="82">
        <f t="shared" ca="1" si="13"/>
        <v>9</v>
      </c>
      <c r="W28" s="231" t="str">
        <f t="shared" si="14"/>
        <v/>
      </c>
      <c r="X28" s="210"/>
      <c r="Y28" s="210"/>
      <c r="Z28" s="210"/>
      <c r="AC28" s="161" t="s">
        <v>4</v>
      </c>
      <c r="AD28" s="234">
        <f>IF(Apoio!$L$42=0,IF(OR(Preenchimento!D141="Sim",Preenchimento!D7="Portabilidade"),Preenchimento!D29,Preenchimento!D29*12),Apoio!$L$42)</f>
        <v>0</v>
      </c>
      <c r="AE28" s="235" t="e">
        <f ca="1">IF(AD30=AE30,1,2)</f>
        <v>#N/A</v>
      </c>
      <c r="AF28" s="82">
        <f t="shared" si="6"/>
        <v>4</v>
      </c>
      <c r="AG28" s="82" t="s">
        <v>13</v>
      </c>
      <c r="AH28" s="236"/>
      <c r="AI28" s="114">
        <f t="shared" si="15"/>
        <v>0</v>
      </c>
      <c r="AJ28" s="113"/>
      <c r="AL28" s="477">
        <f t="shared" ca="1" si="16"/>
        <v>0</v>
      </c>
    </row>
    <row r="29" spans="2:38" ht="12" customHeight="1">
      <c r="B29" s="222">
        <f ca="1">Fixa!B29</f>
        <v>46311</v>
      </c>
      <c r="C29" s="223" t="str">
        <f>Fixa!C29</f>
        <v/>
      </c>
      <c r="D29" s="43" t="e">
        <f t="shared" si="7"/>
        <v>#VALUE!</v>
      </c>
      <c r="E29" s="43" t="e">
        <f t="shared" si="0"/>
        <v>#VALUE!</v>
      </c>
      <c r="F29" s="43" t="e">
        <f t="shared" si="1"/>
        <v>#VALUE!</v>
      </c>
      <c r="G29" s="43" t="e">
        <f t="shared" si="2"/>
        <v>#VALUE!</v>
      </c>
      <c r="H29" s="43" t="e">
        <f t="shared" ca="1" si="3"/>
        <v>#VALUE!</v>
      </c>
      <c r="I29" s="43">
        <f t="shared" si="4"/>
        <v>0</v>
      </c>
      <c r="J29" s="229">
        <f t="shared" si="8"/>
        <v>25</v>
      </c>
      <c r="K29" s="43">
        <f t="shared" si="9"/>
        <v>0</v>
      </c>
      <c r="M29" s="224"/>
      <c r="N29" s="225">
        <f t="shared" si="10"/>
        <v>0</v>
      </c>
      <c r="O29" s="43" t="e">
        <f t="shared" si="11"/>
        <v>#VALUE!</v>
      </c>
      <c r="P29" s="43" t="e">
        <f>ROUND(IF(Preenchimento!$G$39="Tabela Price",R29-Q29,(O28*(1+$AD$35))/($AD$28-C28)),$P$22)</f>
        <v>#VALUE!</v>
      </c>
      <c r="Q29" s="43" t="e">
        <f>IF(Preenchimento!$G$39="Tabela Price",O28*(1+$AD$35)*W29,O28*(1+SAC!$AD$35)*SAC!W29)</f>
        <v>#VALUE!</v>
      </c>
      <c r="R29" s="43" t="e">
        <f>IF(Preenchimento!$G$39="Tabela Price",IF(C29="","",((((((1+W29)^($Q$16-C28))*W29)/((1+W29)^($Q$16-C28)-1))*(O28*(1+$AD$35))))),Q29+P29)</f>
        <v>#VALUE!</v>
      </c>
      <c r="S29" s="43" t="e">
        <f t="shared" ca="1" si="5"/>
        <v>#VALUE!</v>
      </c>
      <c r="T29" s="43">
        <f t="shared" si="12"/>
        <v>0</v>
      </c>
      <c r="U29" s="226">
        <f>TRUNC(T29*Condições!$C$102,2)</f>
        <v>0</v>
      </c>
      <c r="V29" s="82">
        <f t="shared" ca="1" si="13"/>
        <v>10</v>
      </c>
      <c r="W29" s="231" t="str">
        <f t="shared" si="14"/>
        <v/>
      </c>
      <c r="X29" s="210"/>
      <c r="Y29" s="210"/>
      <c r="Z29" s="210"/>
      <c r="AC29" s="161" t="s">
        <v>35</v>
      </c>
      <c r="AD29" s="217" t="e">
        <f ca="1">ROUND((1+AD30)^(1/12)-1,P22+2)</f>
        <v>#N/A</v>
      </c>
      <c r="AE29" s="217" t="e">
        <f ca="1">ROUND((1+AE30)^(1/12)-1,P22+2)</f>
        <v>#N/A</v>
      </c>
      <c r="AF29" s="82">
        <f t="shared" si="6"/>
        <v>5</v>
      </c>
      <c r="AG29" s="82" t="s">
        <v>14</v>
      </c>
      <c r="AH29" s="236"/>
      <c r="AI29" s="114">
        <f t="shared" si="15"/>
        <v>0</v>
      </c>
      <c r="AJ29" s="113"/>
      <c r="AL29" s="477">
        <f t="shared" ca="1" si="16"/>
        <v>0</v>
      </c>
    </row>
    <row r="30" spans="2:38" ht="12" customHeight="1">
      <c r="B30" s="222">
        <f ca="1">Fixa!B30</f>
        <v>46342</v>
      </c>
      <c r="C30" s="223" t="str">
        <f>Fixa!C30</f>
        <v/>
      </c>
      <c r="D30" s="43" t="e">
        <f t="shared" si="7"/>
        <v>#VALUE!</v>
      </c>
      <c r="E30" s="43" t="e">
        <f t="shared" si="0"/>
        <v>#VALUE!</v>
      </c>
      <c r="F30" s="43" t="e">
        <f t="shared" si="1"/>
        <v>#VALUE!</v>
      </c>
      <c r="G30" s="43" t="e">
        <f t="shared" si="2"/>
        <v>#VALUE!</v>
      </c>
      <c r="H30" s="43" t="e">
        <f t="shared" ca="1" si="3"/>
        <v>#VALUE!</v>
      </c>
      <c r="I30" s="43">
        <f t="shared" si="4"/>
        <v>0</v>
      </c>
      <c r="J30" s="229">
        <f t="shared" si="8"/>
        <v>25</v>
      </c>
      <c r="K30" s="43">
        <f t="shared" si="9"/>
        <v>0</v>
      </c>
      <c r="M30" s="224"/>
      <c r="N30" s="225">
        <f t="shared" si="10"/>
        <v>0</v>
      </c>
      <c r="O30" s="43" t="e">
        <f t="shared" si="11"/>
        <v>#VALUE!</v>
      </c>
      <c r="P30" s="43" t="e">
        <f>ROUND(IF(Preenchimento!$G$39="Tabela Price",R30-Q30,(O29*(1+$AD$35))/($AD$28-C29)),$P$22)</f>
        <v>#VALUE!</v>
      </c>
      <c r="Q30" s="43" t="e">
        <f>IF(Preenchimento!$G$39="Tabela Price",O29*(1+$AD$35)*W30,O29*(1+SAC!$AD$35)*SAC!W30)</f>
        <v>#VALUE!</v>
      </c>
      <c r="R30" s="43" t="e">
        <f>IF(Preenchimento!$G$39="Tabela Price",IF(C30="","",((((((1+W30)^($Q$16-C29))*W30)/((1+W30)^($Q$16-C29)-1))*(O29*(1+$AD$35))))),Q30+P30)</f>
        <v>#VALUE!</v>
      </c>
      <c r="S30" s="43" t="e">
        <f t="shared" ca="1" si="5"/>
        <v>#VALUE!</v>
      </c>
      <c r="T30" s="43">
        <f t="shared" si="12"/>
        <v>0</v>
      </c>
      <c r="U30" s="226">
        <f>TRUNC(T30*Condições!$C$102,2)</f>
        <v>0</v>
      </c>
      <c r="V30" s="82">
        <f t="shared" ca="1" si="13"/>
        <v>11</v>
      </c>
      <c r="W30" s="231" t="str">
        <f t="shared" si="14"/>
        <v/>
      </c>
      <c r="X30" s="210"/>
      <c r="Y30" s="210"/>
      <c r="Z30" s="210"/>
      <c r="AC30" s="161" t="s">
        <v>36</v>
      </c>
      <c r="AD30" s="217" t="e">
        <f ca="1">IF(AND(Preenchimento!D17="Clientes",Preenchimento!I38="SACRE/SAC"),Condições!#REF!,Condições!G28)</f>
        <v>#N/A</v>
      </c>
      <c r="AE30" s="237" t="e">
        <f ca="1">IF(AD30=7.95%,Condições!#REF!,Condições!H28)</f>
        <v>#N/A</v>
      </c>
      <c r="AF30" s="82">
        <f t="shared" si="6"/>
        <v>6</v>
      </c>
      <c r="AG30" s="82" t="s">
        <v>15</v>
      </c>
      <c r="AH30" s="236"/>
      <c r="AI30" s="114">
        <f t="shared" si="15"/>
        <v>0</v>
      </c>
      <c r="AJ30" s="113"/>
      <c r="AL30" s="477">
        <f t="shared" ca="1" si="16"/>
        <v>0</v>
      </c>
    </row>
    <row r="31" spans="2:38" ht="12" customHeight="1">
      <c r="B31" s="222">
        <f ca="1">Fixa!B31</f>
        <v>46372</v>
      </c>
      <c r="C31" s="223" t="str">
        <f>Fixa!C31</f>
        <v/>
      </c>
      <c r="D31" s="43" t="e">
        <f t="shared" si="7"/>
        <v>#VALUE!</v>
      </c>
      <c r="E31" s="43" t="e">
        <f t="shared" si="0"/>
        <v>#VALUE!</v>
      </c>
      <c r="F31" s="43" t="e">
        <f t="shared" si="1"/>
        <v>#VALUE!</v>
      </c>
      <c r="G31" s="43" t="e">
        <f t="shared" si="2"/>
        <v>#VALUE!</v>
      </c>
      <c r="H31" s="43" t="e">
        <f t="shared" ca="1" si="3"/>
        <v>#VALUE!</v>
      </c>
      <c r="I31" s="43">
        <f t="shared" si="4"/>
        <v>0</v>
      </c>
      <c r="J31" s="229">
        <f t="shared" si="8"/>
        <v>25</v>
      </c>
      <c r="K31" s="43">
        <f t="shared" si="9"/>
        <v>0</v>
      </c>
      <c r="M31" s="224"/>
      <c r="N31" s="225">
        <f t="shared" si="10"/>
        <v>0</v>
      </c>
      <c r="O31" s="43" t="e">
        <f t="shared" si="11"/>
        <v>#VALUE!</v>
      </c>
      <c r="P31" s="43" t="e">
        <f>ROUND(IF(Preenchimento!$G$39="Tabela Price",R31-Q31,(O30*(1+$AD$35))/($AD$28-C30)),$P$22)</f>
        <v>#VALUE!</v>
      </c>
      <c r="Q31" s="43" t="e">
        <f>IF(Preenchimento!$G$39="Tabela Price",O30*(1+$AD$35)*W31,O30*(1+SAC!$AD$35)*SAC!W31)</f>
        <v>#VALUE!</v>
      </c>
      <c r="R31" s="43" t="e">
        <f>IF(Preenchimento!$G$39="Tabela Price",IF(C31="","",((((((1+W31)^($Q$16-C30))*W31)/((1+W31)^($Q$16-C30)-1))*(O30*(1+$AD$35))))),Q31+P31)</f>
        <v>#VALUE!</v>
      </c>
      <c r="S31" s="43" t="e">
        <f t="shared" ca="1" si="5"/>
        <v>#VALUE!</v>
      </c>
      <c r="T31" s="43">
        <f t="shared" si="12"/>
        <v>0</v>
      </c>
      <c r="U31" s="226">
        <f>TRUNC(T31*Condições!$C$102,2)</f>
        <v>0</v>
      </c>
      <c r="V31" s="82">
        <f t="shared" ca="1" si="13"/>
        <v>12</v>
      </c>
      <c r="W31" s="231" t="str">
        <f t="shared" si="14"/>
        <v/>
      </c>
      <c r="X31" s="210"/>
      <c r="Y31" s="210"/>
      <c r="Z31" s="210"/>
      <c r="AC31" s="161" t="s">
        <v>24</v>
      </c>
      <c r="AD31" s="227">
        <f>IF(Preenchimento!D17="Funcionários",Condições!C106,Condições!C105)</f>
        <v>25</v>
      </c>
      <c r="AE31" s="238"/>
      <c r="AF31" s="82">
        <f t="shared" si="6"/>
        <v>7</v>
      </c>
      <c r="AG31" s="82" t="s">
        <v>16</v>
      </c>
      <c r="AH31" s="236"/>
      <c r="AI31" s="114">
        <f t="shared" si="15"/>
        <v>0</v>
      </c>
      <c r="AJ31" s="113"/>
      <c r="AL31" s="477">
        <f t="shared" ca="1" si="16"/>
        <v>0</v>
      </c>
    </row>
    <row r="32" spans="2:38" ht="12" customHeight="1">
      <c r="B32" s="222">
        <f ca="1">Fixa!B32</f>
        <v>46403</v>
      </c>
      <c r="C32" s="223" t="str">
        <f>Fixa!C32</f>
        <v/>
      </c>
      <c r="D32" s="43" t="e">
        <f t="shared" si="7"/>
        <v>#VALUE!</v>
      </c>
      <c r="E32" s="43" t="e">
        <f t="shared" si="0"/>
        <v>#VALUE!</v>
      </c>
      <c r="F32" s="43" t="e">
        <f t="shared" si="1"/>
        <v>#VALUE!</v>
      </c>
      <c r="G32" s="43" t="e">
        <f t="shared" si="2"/>
        <v>#VALUE!</v>
      </c>
      <c r="H32" s="43" t="e">
        <f t="shared" ca="1" si="3"/>
        <v>#VALUE!</v>
      </c>
      <c r="I32" s="43">
        <f t="shared" si="4"/>
        <v>0</v>
      </c>
      <c r="J32" s="229">
        <f t="shared" si="8"/>
        <v>25</v>
      </c>
      <c r="K32" s="43">
        <f t="shared" si="9"/>
        <v>0</v>
      </c>
      <c r="M32" s="224"/>
      <c r="N32" s="225">
        <f t="shared" si="10"/>
        <v>0</v>
      </c>
      <c r="O32" s="43" t="e">
        <f t="shared" si="11"/>
        <v>#VALUE!</v>
      </c>
      <c r="P32" s="43" t="e">
        <f>ROUND(IF(Preenchimento!$G$39="Tabela Price",R32-Q32,(O31*(1+$AD$35))/($AD$28-C31)),$P$22)</f>
        <v>#VALUE!</v>
      </c>
      <c r="Q32" s="43" t="e">
        <f>IF(Preenchimento!$G$39="Tabela Price",O31*(1+$AD$35)*W32,O31*(1+SAC!$AD$35)*SAC!W32)</f>
        <v>#VALUE!</v>
      </c>
      <c r="R32" s="43" t="e">
        <f>IF(Preenchimento!$G$39="Tabela Price",IF(C32="","",((((((1+W32)^($Q$16-C31))*W32)/((1+W32)^($Q$16-C31)-1))*(O31*(1+$AD$35))))),Q32+P32)</f>
        <v>#VALUE!</v>
      </c>
      <c r="S32" s="43" t="e">
        <f t="shared" ca="1" si="5"/>
        <v>#VALUE!</v>
      </c>
      <c r="T32" s="43">
        <f t="shared" si="12"/>
        <v>0</v>
      </c>
      <c r="U32" s="226">
        <f>TRUNC(T32*Condições!$C$102,2)</f>
        <v>0</v>
      </c>
      <c r="V32" s="82">
        <f t="shared" ca="1" si="13"/>
        <v>1</v>
      </c>
      <c r="W32" s="231" t="str">
        <f t="shared" si="14"/>
        <v/>
      </c>
      <c r="X32" s="210"/>
      <c r="Y32" s="210"/>
      <c r="Z32" s="210"/>
      <c r="AC32" s="161" t="s">
        <v>29</v>
      </c>
      <c r="AD32" s="161">
        <f>MAX(Preenchimento!D11:E11)</f>
        <v>0</v>
      </c>
      <c r="AF32" s="82">
        <f t="shared" si="6"/>
        <v>8</v>
      </c>
      <c r="AG32" s="82" t="s">
        <v>17</v>
      </c>
      <c r="AH32" s="236"/>
      <c r="AI32" s="114">
        <f t="shared" si="15"/>
        <v>0</v>
      </c>
      <c r="AJ32" s="113"/>
      <c r="AL32" s="477">
        <f t="shared" ca="1" si="16"/>
        <v>0</v>
      </c>
    </row>
    <row r="33" spans="2:38" ht="12" customHeight="1">
      <c r="B33" s="222">
        <f ca="1">Fixa!B33</f>
        <v>46434</v>
      </c>
      <c r="C33" s="223" t="str">
        <f>Fixa!C33</f>
        <v/>
      </c>
      <c r="D33" s="43" t="e">
        <f t="shared" si="7"/>
        <v>#VALUE!</v>
      </c>
      <c r="E33" s="43" t="e">
        <f t="shared" si="0"/>
        <v>#VALUE!</v>
      </c>
      <c r="F33" s="43" t="e">
        <f t="shared" si="1"/>
        <v>#VALUE!</v>
      </c>
      <c r="G33" s="43" t="e">
        <f t="shared" si="2"/>
        <v>#VALUE!</v>
      </c>
      <c r="H33" s="43" t="e">
        <f t="shared" ca="1" si="3"/>
        <v>#VALUE!</v>
      </c>
      <c r="I33" s="43">
        <f t="shared" si="4"/>
        <v>0</v>
      </c>
      <c r="J33" s="229">
        <f t="shared" si="8"/>
        <v>25</v>
      </c>
      <c r="K33" s="43">
        <f t="shared" si="9"/>
        <v>0</v>
      </c>
      <c r="M33" s="224"/>
      <c r="N33" s="225">
        <f t="shared" si="10"/>
        <v>0</v>
      </c>
      <c r="O33" s="43" t="e">
        <f t="shared" si="11"/>
        <v>#VALUE!</v>
      </c>
      <c r="P33" s="43" t="e">
        <f>ROUND(IF(Preenchimento!$G$39="Tabela Price",R33-Q33,(O32*(1+$AD$35))/($AD$28-C32)),$P$22)</f>
        <v>#VALUE!</v>
      </c>
      <c r="Q33" s="43" t="e">
        <f>IF(Preenchimento!$G$39="Tabela Price",O32*(1+$AD$35)*W33,O32*(1+SAC!$AD$35)*SAC!W33)</f>
        <v>#VALUE!</v>
      </c>
      <c r="R33" s="43" t="e">
        <f>IF(Preenchimento!$G$39="Tabela Price",IF(C33="","",((((((1+W33)^($Q$16-C32))*W33)/((1+W33)^($Q$16-C32)-1))*(O32*(1+$AD$35))))),Q33+P33)</f>
        <v>#VALUE!</v>
      </c>
      <c r="S33" s="43" t="e">
        <f t="shared" ca="1" si="5"/>
        <v>#VALUE!</v>
      </c>
      <c r="T33" s="43">
        <f t="shared" si="12"/>
        <v>0</v>
      </c>
      <c r="U33" s="226">
        <f>TRUNC(T33*Condições!$C$102,2)</f>
        <v>0</v>
      </c>
      <c r="V33" s="82">
        <f t="shared" ca="1" si="13"/>
        <v>2</v>
      </c>
      <c r="W33" s="231" t="str">
        <f t="shared" si="14"/>
        <v/>
      </c>
      <c r="X33" s="210"/>
      <c r="Y33" s="210"/>
      <c r="Z33" s="210"/>
      <c r="AC33" s="161" t="s">
        <v>28</v>
      </c>
      <c r="AD33" s="239">
        <f>Fixa!AC51</f>
        <v>5.0000000000000002E-5</v>
      </c>
      <c r="AF33" s="82">
        <f t="shared" si="6"/>
        <v>9</v>
      </c>
      <c r="AG33" s="82" t="s">
        <v>18</v>
      </c>
      <c r="AH33" s="236"/>
      <c r="AI33" s="114">
        <f t="shared" si="15"/>
        <v>0</v>
      </c>
      <c r="AJ33" s="113"/>
      <c r="AL33" s="477">
        <f t="shared" ca="1" si="16"/>
        <v>0</v>
      </c>
    </row>
    <row r="34" spans="2:38" ht="12" customHeight="1">
      <c r="B34" s="222">
        <f ca="1">Fixa!B34</f>
        <v>46462</v>
      </c>
      <c r="C34" s="223" t="str">
        <f>Fixa!C34</f>
        <v/>
      </c>
      <c r="D34" s="43" t="e">
        <f t="shared" si="7"/>
        <v>#VALUE!</v>
      </c>
      <c r="E34" s="43" t="e">
        <f t="shared" si="0"/>
        <v>#VALUE!</v>
      </c>
      <c r="F34" s="43" t="e">
        <f t="shared" si="1"/>
        <v>#VALUE!</v>
      </c>
      <c r="G34" s="43" t="e">
        <f t="shared" si="2"/>
        <v>#VALUE!</v>
      </c>
      <c r="H34" s="43" t="e">
        <f t="shared" ca="1" si="3"/>
        <v>#VALUE!</v>
      </c>
      <c r="I34" s="43">
        <f t="shared" si="4"/>
        <v>0</v>
      </c>
      <c r="J34" s="229">
        <f t="shared" si="8"/>
        <v>25</v>
      </c>
      <c r="K34" s="43">
        <f t="shared" si="9"/>
        <v>0</v>
      </c>
      <c r="M34" s="224"/>
      <c r="N34" s="225">
        <f t="shared" si="10"/>
        <v>0</v>
      </c>
      <c r="O34" s="43" t="e">
        <f t="shared" si="11"/>
        <v>#VALUE!</v>
      </c>
      <c r="P34" s="43" t="e">
        <f>ROUND(IF(Preenchimento!$G$39="Tabela Price",R34-Q34,(O33*(1+$AD$35))/($AD$28-C33)),$P$22)</f>
        <v>#VALUE!</v>
      </c>
      <c r="Q34" s="43" t="e">
        <f>IF(Preenchimento!$G$39="Tabela Price",O33*(1+$AD$35)*W34,O33*(1+SAC!$AD$35)*SAC!W34)</f>
        <v>#VALUE!</v>
      </c>
      <c r="R34" s="43" t="e">
        <f>IF(Preenchimento!$G$39="Tabela Price",IF(C34="","",((((((1+W34)^($Q$16-C33))*W34)/((1+W34)^($Q$16-C33)-1))*(O33*(1+$AD$35))))),Q34+P34)</f>
        <v>#VALUE!</v>
      </c>
      <c r="S34" s="43" t="e">
        <f t="shared" ca="1" si="5"/>
        <v>#VALUE!</v>
      </c>
      <c r="T34" s="43">
        <f t="shared" si="12"/>
        <v>0</v>
      </c>
      <c r="U34" s="226">
        <f>TRUNC(T34*Condições!$C$102,2)</f>
        <v>0</v>
      </c>
      <c r="V34" s="82">
        <f t="shared" ca="1" si="13"/>
        <v>3</v>
      </c>
      <c r="W34" s="231" t="str">
        <f t="shared" si="14"/>
        <v/>
      </c>
      <c r="X34" s="210"/>
      <c r="Y34" s="210"/>
      <c r="Z34" s="210"/>
      <c r="AC34" s="161" t="s">
        <v>30</v>
      </c>
      <c r="AD34" s="240">
        <f ca="1">Fixa!AC52</f>
        <v>7.1000000000000004E-3</v>
      </c>
      <c r="AF34" s="82">
        <f t="shared" si="6"/>
        <v>10</v>
      </c>
      <c r="AG34" s="82" t="s">
        <v>19</v>
      </c>
      <c r="AH34" s="236"/>
      <c r="AI34" s="114">
        <f t="shared" si="15"/>
        <v>0</v>
      </c>
      <c r="AJ34" s="113"/>
      <c r="AL34" s="477">
        <f t="shared" ca="1" si="16"/>
        <v>0</v>
      </c>
    </row>
    <row r="35" spans="2:38" ht="12" customHeight="1">
      <c r="B35" s="222">
        <f ca="1">Fixa!B35</f>
        <v>46493</v>
      </c>
      <c r="C35" s="223" t="str">
        <f>Fixa!C35</f>
        <v/>
      </c>
      <c r="D35" s="43" t="e">
        <f t="shared" si="7"/>
        <v>#VALUE!</v>
      </c>
      <c r="E35" s="43" t="e">
        <f t="shared" si="0"/>
        <v>#VALUE!</v>
      </c>
      <c r="F35" s="43" t="e">
        <f t="shared" si="1"/>
        <v>#VALUE!</v>
      </c>
      <c r="G35" s="43" t="e">
        <f t="shared" si="2"/>
        <v>#VALUE!</v>
      </c>
      <c r="H35" s="43" t="e">
        <f t="shared" ca="1" si="3"/>
        <v>#VALUE!</v>
      </c>
      <c r="I35" s="43">
        <f t="shared" si="4"/>
        <v>0</v>
      </c>
      <c r="J35" s="229">
        <f t="shared" si="8"/>
        <v>25</v>
      </c>
      <c r="K35" s="43">
        <f t="shared" si="9"/>
        <v>0</v>
      </c>
      <c r="M35" s="224"/>
      <c r="N35" s="225">
        <f t="shared" si="10"/>
        <v>0</v>
      </c>
      <c r="O35" s="43" t="e">
        <f t="shared" si="11"/>
        <v>#VALUE!</v>
      </c>
      <c r="P35" s="43" t="e">
        <f>ROUND(IF(Preenchimento!$G$39="Tabela Price",R35-Q35,(O34*(1+$AD$35))/($AD$28-C34)),$P$22)</f>
        <v>#VALUE!</v>
      </c>
      <c r="Q35" s="43" t="e">
        <f>IF(Preenchimento!$G$39="Tabela Price",O34*(1+$AD$35)*W35,O34*(1+SAC!$AD$35)*SAC!W35)</f>
        <v>#VALUE!</v>
      </c>
      <c r="R35" s="43" t="e">
        <f>IF(Preenchimento!$G$39="Tabela Price",IF(C35="","",((((((1+W35)^($Q$16-C34))*W35)/((1+W35)^($Q$16-C34)-1))*(O34*(1+$AD$35))))),Q35+P35)</f>
        <v>#VALUE!</v>
      </c>
      <c r="S35" s="43" t="e">
        <f t="shared" ca="1" si="5"/>
        <v>#VALUE!</v>
      </c>
      <c r="T35" s="43">
        <f t="shared" si="12"/>
        <v>0</v>
      </c>
      <c r="U35" s="226">
        <f>TRUNC(T35*Condições!$C$102,2)</f>
        <v>0</v>
      </c>
      <c r="V35" s="82">
        <f t="shared" ca="1" si="13"/>
        <v>4</v>
      </c>
      <c r="W35" s="231" t="str">
        <f t="shared" si="14"/>
        <v/>
      </c>
      <c r="X35" s="210"/>
      <c r="Y35" s="210"/>
      <c r="Z35" s="210"/>
      <c r="AC35" s="161" t="s">
        <v>37</v>
      </c>
      <c r="AD35" s="217">
        <f>ROUND((1+Preenchimento!D22)^(1/12)-1,9+2)</f>
        <v>0</v>
      </c>
      <c r="AF35" s="82">
        <f t="shared" si="6"/>
        <v>11</v>
      </c>
      <c r="AG35" s="82" t="s">
        <v>20</v>
      </c>
      <c r="AH35" s="236"/>
      <c r="AI35" s="114">
        <f t="shared" si="15"/>
        <v>0</v>
      </c>
      <c r="AJ35" s="113"/>
      <c r="AL35" s="477">
        <f t="shared" ca="1" si="16"/>
        <v>0</v>
      </c>
    </row>
    <row r="36" spans="2:38" ht="12" customHeight="1">
      <c r="B36" s="222">
        <f ca="1">Fixa!B36</f>
        <v>46523</v>
      </c>
      <c r="C36" s="223" t="str">
        <f>Fixa!C36</f>
        <v/>
      </c>
      <c r="D36" s="43" t="e">
        <f t="shared" si="7"/>
        <v>#VALUE!</v>
      </c>
      <c r="E36" s="43" t="e">
        <f t="shared" si="0"/>
        <v>#VALUE!</v>
      </c>
      <c r="F36" s="43" t="e">
        <f t="shared" si="1"/>
        <v>#VALUE!</v>
      </c>
      <c r="G36" s="43" t="e">
        <f t="shared" si="2"/>
        <v>#VALUE!</v>
      </c>
      <c r="H36" s="43" t="e">
        <f t="shared" ca="1" si="3"/>
        <v>#VALUE!</v>
      </c>
      <c r="I36" s="43">
        <f t="shared" si="4"/>
        <v>0</v>
      </c>
      <c r="J36" s="229">
        <f t="shared" si="8"/>
        <v>25</v>
      </c>
      <c r="K36" s="43">
        <f t="shared" si="9"/>
        <v>0</v>
      </c>
      <c r="M36" s="224"/>
      <c r="N36" s="225">
        <f t="shared" si="10"/>
        <v>0</v>
      </c>
      <c r="O36" s="43" t="e">
        <f t="shared" si="11"/>
        <v>#VALUE!</v>
      </c>
      <c r="P36" s="43" t="e">
        <f>ROUND(IF(Preenchimento!$G$39="Tabela Price",R36-Q36,(O35*(1+$AD$35))/($AD$28-C35)),$P$22)</f>
        <v>#VALUE!</v>
      </c>
      <c r="Q36" s="43" t="e">
        <f>IF(Preenchimento!$G$39="Tabela Price",O35*(1+$AD$35)*W36,O35*(1+SAC!$AD$35)*SAC!W36)</f>
        <v>#VALUE!</v>
      </c>
      <c r="R36" s="43" t="e">
        <f>IF(Preenchimento!$G$39="Tabela Price",IF(C36="","",((((((1+W36)^($Q$16-C35))*W36)/((1+W36)^($Q$16-C35)-1))*(O35*(1+$AD$35))))),Q36+P36)</f>
        <v>#VALUE!</v>
      </c>
      <c r="S36" s="43" t="e">
        <f t="shared" ca="1" si="5"/>
        <v>#VALUE!</v>
      </c>
      <c r="T36" s="43">
        <f t="shared" si="12"/>
        <v>0</v>
      </c>
      <c r="U36" s="226">
        <f>TRUNC(T36*Condições!$C$102,2)</f>
        <v>0</v>
      </c>
      <c r="V36" s="82">
        <f t="shared" ca="1" si="13"/>
        <v>5</v>
      </c>
      <c r="W36" s="231" t="str">
        <f t="shared" si="14"/>
        <v/>
      </c>
      <c r="X36" s="210"/>
      <c r="Y36" s="210"/>
      <c r="Z36" s="210"/>
      <c r="AC36" s="241"/>
      <c r="AD36" s="217"/>
      <c r="AF36" s="82">
        <f t="shared" si="6"/>
        <v>12</v>
      </c>
      <c r="AG36" s="82" t="s">
        <v>21</v>
      </c>
      <c r="AH36" s="236"/>
      <c r="AI36" s="114">
        <f t="shared" si="15"/>
        <v>0</v>
      </c>
      <c r="AJ36" s="113"/>
      <c r="AL36" s="477">
        <f t="shared" ca="1" si="16"/>
        <v>0</v>
      </c>
    </row>
    <row r="37" spans="2:38" ht="12" customHeight="1">
      <c r="B37" s="222">
        <f ca="1">Fixa!B37</f>
        <v>46554</v>
      </c>
      <c r="C37" s="223" t="str">
        <f>Fixa!C37</f>
        <v/>
      </c>
      <c r="D37" s="43" t="e">
        <f t="shared" si="7"/>
        <v>#VALUE!</v>
      </c>
      <c r="E37" s="43" t="e">
        <f t="shared" si="0"/>
        <v>#VALUE!</v>
      </c>
      <c r="F37" s="43" t="e">
        <f t="shared" si="1"/>
        <v>#VALUE!</v>
      </c>
      <c r="G37" s="43" t="e">
        <f t="shared" si="2"/>
        <v>#VALUE!</v>
      </c>
      <c r="H37" s="43" t="e">
        <f t="shared" ca="1" si="3"/>
        <v>#VALUE!</v>
      </c>
      <c r="I37" s="43">
        <f t="shared" si="4"/>
        <v>0</v>
      </c>
      <c r="J37" s="229">
        <f t="shared" si="8"/>
        <v>25</v>
      </c>
      <c r="K37" s="43">
        <f t="shared" si="9"/>
        <v>0</v>
      </c>
      <c r="M37" s="224"/>
      <c r="N37" s="225">
        <f t="shared" si="10"/>
        <v>0</v>
      </c>
      <c r="O37" s="43" t="e">
        <f t="shared" si="11"/>
        <v>#VALUE!</v>
      </c>
      <c r="P37" s="43" t="e">
        <f>ROUND(IF(Preenchimento!$G$39="Tabela Price",R37-Q37,(O36*(1+$AD$35))/($AD$28-C36)),$P$22)</f>
        <v>#VALUE!</v>
      </c>
      <c r="Q37" s="43" t="e">
        <f>IF(Preenchimento!$G$39="Tabela Price",O36*(1+$AD$35)*W37,O36*(1+SAC!$AD$35)*SAC!W37)</f>
        <v>#VALUE!</v>
      </c>
      <c r="R37" s="43" t="e">
        <f>IF(Preenchimento!$G$39="Tabela Price",IF(C37="","",((((((1+W37)^($Q$16-C36))*W37)/((1+W37)^($Q$16-C36)-1))*(O36*(1+$AD$35))))),Q37+P37)</f>
        <v>#VALUE!</v>
      </c>
      <c r="S37" s="43" t="e">
        <f t="shared" ca="1" si="5"/>
        <v>#VALUE!</v>
      </c>
      <c r="T37" s="43">
        <f t="shared" si="12"/>
        <v>0</v>
      </c>
      <c r="U37" s="226">
        <f>TRUNC(T37*Condições!$C$102,2)</f>
        <v>0</v>
      </c>
      <c r="V37" s="82">
        <f t="shared" ca="1" si="13"/>
        <v>6</v>
      </c>
      <c r="W37" s="231" t="str">
        <f t="shared" si="14"/>
        <v/>
      </c>
      <c r="X37" s="210"/>
      <c r="Y37" s="210"/>
      <c r="Z37" s="210"/>
      <c r="AC37" s="161" t="s">
        <v>63</v>
      </c>
      <c r="AD37" s="227">
        <f>Preenchimento!C72</f>
        <v>0</v>
      </c>
      <c r="AH37" s="236"/>
      <c r="AI37" s="114">
        <f t="shared" si="15"/>
        <v>0</v>
      </c>
      <c r="AJ37" s="113"/>
      <c r="AL37" s="477">
        <f t="shared" ca="1" si="16"/>
        <v>0</v>
      </c>
    </row>
    <row r="38" spans="2:38" ht="12" customHeight="1">
      <c r="B38" s="222">
        <f ca="1">Fixa!B38</f>
        <v>46584</v>
      </c>
      <c r="C38" s="223" t="str">
        <f>Fixa!C38</f>
        <v/>
      </c>
      <c r="D38" s="43" t="e">
        <f t="shared" si="7"/>
        <v>#VALUE!</v>
      </c>
      <c r="E38" s="43" t="e">
        <f t="shared" si="0"/>
        <v>#VALUE!</v>
      </c>
      <c r="F38" s="43" t="e">
        <f t="shared" si="1"/>
        <v>#VALUE!</v>
      </c>
      <c r="G38" s="43" t="e">
        <f t="shared" si="2"/>
        <v>#VALUE!</v>
      </c>
      <c r="H38" s="43" t="e">
        <f t="shared" ca="1" si="3"/>
        <v>#VALUE!</v>
      </c>
      <c r="I38" s="43">
        <f t="shared" si="4"/>
        <v>0</v>
      </c>
      <c r="J38" s="229">
        <f t="shared" si="8"/>
        <v>25</v>
      </c>
      <c r="K38" s="43">
        <f t="shared" si="9"/>
        <v>0</v>
      </c>
      <c r="M38" s="224"/>
      <c r="N38" s="225">
        <f t="shared" si="10"/>
        <v>0</v>
      </c>
      <c r="O38" s="43" t="e">
        <f t="shared" si="11"/>
        <v>#VALUE!</v>
      </c>
      <c r="P38" s="43" t="e">
        <f>ROUND(IF(Preenchimento!$G$39="Tabela Price",R38-Q38,(O37*(1+$AD$35))/($AD$28-C37)),$P$22)</f>
        <v>#VALUE!</v>
      </c>
      <c r="Q38" s="43" t="e">
        <f>IF(Preenchimento!$G$39="Tabela Price",O37*(1+$AD$35)*W38,O37*(1+SAC!$AD$35)*SAC!W38)</f>
        <v>#VALUE!</v>
      </c>
      <c r="R38" s="43" t="e">
        <f>IF(Preenchimento!$G$39="Tabela Price",IF(C38="","",((((((1+W38)^($Q$16-C37))*W38)/((1+W38)^($Q$16-C37)-1))*(O37*(1+$AD$35))))),Q38+P38)</f>
        <v>#VALUE!</v>
      </c>
      <c r="S38" s="43" t="e">
        <f t="shared" ca="1" si="5"/>
        <v>#VALUE!</v>
      </c>
      <c r="T38" s="43">
        <f t="shared" si="12"/>
        <v>0</v>
      </c>
      <c r="U38" s="226">
        <f>TRUNC(T38*Condições!$C$102,2)</f>
        <v>0</v>
      </c>
      <c r="V38" s="82">
        <f t="shared" ca="1" si="13"/>
        <v>7</v>
      </c>
      <c r="W38" s="231" t="str">
        <f t="shared" si="14"/>
        <v/>
      </c>
      <c r="X38" s="210"/>
      <c r="Y38" s="210"/>
      <c r="Z38" s="210"/>
      <c r="AC38" s="80" t="s">
        <v>60</v>
      </c>
      <c r="AD38" s="242">
        <f>Fixa!AC54</f>
        <v>0</v>
      </c>
      <c r="AE38" s="82" t="str">
        <f>Fixa!AE54</f>
        <v>FALSO</v>
      </c>
      <c r="AI38" s="114">
        <f t="shared" si="15"/>
        <v>0</v>
      </c>
      <c r="AJ38" s="113"/>
      <c r="AL38" s="477">
        <f t="shared" ca="1" si="16"/>
        <v>0</v>
      </c>
    </row>
    <row r="39" spans="2:38" ht="12" customHeight="1">
      <c r="B39" s="222">
        <f ca="1">Fixa!B39</f>
        <v>46615</v>
      </c>
      <c r="C39" s="223" t="str">
        <f>Fixa!C39</f>
        <v/>
      </c>
      <c r="D39" s="43" t="e">
        <f t="shared" si="7"/>
        <v>#VALUE!</v>
      </c>
      <c r="E39" s="43" t="e">
        <f t="shared" si="0"/>
        <v>#VALUE!</v>
      </c>
      <c r="F39" s="43" t="e">
        <f t="shared" si="1"/>
        <v>#VALUE!</v>
      </c>
      <c r="G39" s="43" t="e">
        <f t="shared" si="2"/>
        <v>#VALUE!</v>
      </c>
      <c r="H39" s="43" t="e">
        <f t="shared" ca="1" si="3"/>
        <v>#VALUE!</v>
      </c>
      <c r="I39" s="43">
        <f t="shared" si="4"/>
        <v>0</v>
      </c>
      <c r="J39" s="229">
        <f t="shared" si="8"/>
        <v>25</v>
      </c>
      <c r="K39" s="43">
        <f t="shared" si="9"/>
        <v>0</v>
      </c>
      <c r="M39" s="224"/>
      <c r="N39" s="225">
        <f t="shared" si="10"/>
        <v>0</v>
      </c>
      <c r="O39" s="43" t="e">
        <f t="shared" si="11"/>
        <v>#VALUE!</v>
      </c>
      <c r="P39" s="43" t="e">
        <f>ROUND(IF(Preenchimento!$G$39="Tabela Price",R39-Q39,(O38*(1+$AD$35))/($AD$28-C38)),$P$22)</f>
        <v>#VALUE!</v>
      </c>
      <c r="Q39" s="43" t="e">
        <f>IF(Preenchimento!$G$39="Tabela Price",O38*(1+$AD$35)*W39,O38*(1+SAC!$AD$35)*SAC!W39)</f>
        <v>#VALUE!</v>
      </c>
      <c r="R39" s="43" t="e">
        <f>IF(Preenchimento!$G$39="Tabela Price",IF(C39="","",((((((1+W39)^($Q$16-C38))*W39)/((1+W39)^($Q$16-C38)-1))*(O38*(1+$AD$35))))),Q39+P39)</f>
        <v>#VALUE!</v>
      </c>
      <c r="S39" s="43" t="e">
        <f t="shared" ca="1" si="5"/>
        <v>#VALUE!</v>
      </c>
      <c r="T39" s="43">
        <f t="shared" si="12"/>
        <v>0</v>
      </c>
      <c r="U39" s="226">
        <f>TRUNC(T39*Condições!$C$102,2)</f>
        <v>0</v>
      </c>
      <c r="V39" s="82">
        <f t="shared" ca="1" si="13"/>
        <v>8</v>
      </c>
      <c r="W39" s="231" t="str">
        <f t="shared" si="14"/>
        <v/>
      </c>
      <c r="X39" s="210"/>
      <c r="Y39" s="210"/>
      <c r="Z39" s="210"/>
      <c r="AC39" s="80" t="s">
        <v>169</v>
      </c>
      <c r="AD39" s="242">
        <f>Fixa!AC55</f>
        <v>0</v>
      </c>
      <c r="AE39" s="82" t="str">
        <f>Fixa!AE55</f>
        <v>FALSO</v>
      </c>
      <c r="AI39" s="114">
        <f t="shared" si="15"/>
        <v>0</v>
      </c>
      <c r="AJ39" s="113"/>
      <c r="AL39" s="477">
        <f t="shared" ca="1" si="16"/>
        <v>0</v>
      </c>
    </row>
    <row r="40" spans="2:38" ht="12" customHeight="1">
      <c r="B40" s="222">
        <f ca="1">Fixa!B40</f>
        <v>46646</v>
      </c>
      <c r="C40" s="223" t="str">
        <f>Fixa!C40</f>
        <v/>
      </c>
      <c r="D40" s="43" t="e">
        <f t="shared" si="7"/>
        <v>#VALUE!</v>
      </c>
      <c r="E40" s="43" t="e">
        <f t="shared" si="0"/>
        <v>#VALUE!</v>
      </c>
      <c r="F40" s="43" t="e">
        <f t="shared" si="1"/>
        <v>#VALUE!</v>
      </c>
      <c r="G40" s="43" t="e">
        <f t="shared" si="2"/>
        <v>#VALUE!</v>
      </c>
      <c r="H40" s="43" t="e">
        <f t="shared" ca="1" si="3"/>
        <v>#VALUE!</v>
      </c>
      <c r="I40" s="43">
        <f t="shared" si="4"/>
        <v>0</v>
      </c>
      <c r="J40" s="229">
        <f t="shared" si="8"/>
        <v>25</v>
      </c>
      <c r="K40" s="43">
        <f t="shared" si="9"/>
        <v>0</v>
      </c>
      <c r="M40" s="224"/>
      <c r="N40" s="225">
        <f t="shared" si="10"/>
        <v>0</v>
      </c>
      <c r="O40" s="43" t="e">
        <f t="shared" si="11"/>
        <v>#VALUE!</v>
      </c>
      <c r="P40" s="43" t="e">
        <f>ROUND(IF(Preenchimento!$G$39="Tabela Price",R40-Q40,(O39*(1+$AD$35))/($AD$28-C39)),$P$22)</f>
        <v>#VALUE!</v>
      </c>
      <c r="Q40" s="43" t="e">
        <f>IF(Preenchimento!$G$39="Tabela Price",O39*(1+$AD$35)*W40,O39*(1+SAC!$AD$35)*SAC!W40)</f>
        <v>#VALUE!</v>
      </c>
      <c r="R40" s="43" t="e">
        <f>IF(Preenchimento!$G$39="Tabela Price",IF(C40="","",((((((1+W40)^($Q$16-C39))*W40)/((1+W40)^($Q$16-C39)-1))*(O39*(1+$AD$35))))),Q40+P40)</f>
        <v>#VALUE!</v>
      </c>
      <c r="S40" s="43" t="e">
        <f t="shared" ca="1" si="5"/>
        <v>#VALUE!</v>
      </c>
      <c r="T40" s="43">
        <f t="shared" si="12"/>
        <v>0</v>
      </c>
      <c r="U40" s="226">
        <f>TRUNC(T40*Condições!$C$102,2)</f>
        <v>0</v>
      </c>
      <c r="V40" s="82">
        <f t="shared" ca="1" si="13"/>
        <v>9</v>
      </c>
      <c r="W40" s="231" t="str">
        <f t="shared" si="14"/>
        <v/>
      </c>
      <c r="X40" s="210"/>
      <c r="Y40" s="210"/>
      <c r="Z40" s="210"/>
      <c r="AC40" s="80" t="s">
        <v>348</v>
      </c>
      <c r="AD40" s="242">
        <f>Fixa!AC56</f>
        <v>0</v>
      </c>
      <c r="AE40" s="82" t="str">
        <f>Fixa!AE56</f>
        <v>FALSO</v>
      </c>
      <c r="AI40" s="114">
        <f t="shared" si="15"/>
        <v>0</v>
      </c>
      <c r="AJ40" s="113"/>
      <c r="AL40" s="477">
        <f t="shared" ca="1" si="16"/>
        <v>0</v>
      </c>
    </row>
    <row r="41" spans="2:38" ht="12" customHeight="1">
      <c r="B41" s="222">
        <f ca="1">Fixa!B41</f>
        <v>46676</v>
      </c>
      <c r="C41" s="223" t="str">
        <f>Fixa!C41</f>
        <v/>
      </c>
      <c r="D41" s="43" t="e">
        <f t="shared" si="7"/>
        <v>#VALUE!</v>
      </c>
      <c r="E41" s="43" t="e">
        <f t="shared" si="0"/>
        <v>#VALUE!</v>
      </c>
      <c r="F41" s="43" t="e">
        <f t="shared" si="1"/>
        <v>#VALUE!</v>
      </c>
      <c r="G41" s="43" t="e">
        <f t="shared" si="2"/>
        <v>#VALUE!</v>
      </c>
      <c r="H41" s="43" t="e">
        <f t="shared" ca="1" si="3"/>
        <v>#VALUE!</v>
      </c>
      <c r="I41" s="43">
        <f t="shared" si="4"/>
        <v>0</v>
      </c>
      <c r="J41" s="229">
        <f t="shared" si="8"/>
        <v>25</v>
      </c>
      <c r="K41" s="43">
        <f t="shared" si="9"/>
        <v>0</v>
      </c>
      <c r="M41" s="224"/>
      <c r="N41" s="225">
        <f t="shared" si="10"/>
        <v>0</v>
      </c>
      <c r="O41" s="43" t="e">
        <f t="shared" si="11"/>
        <v>#VALUE!</v>
      </c>
      <c r="P41" s="43" t="e">
        <f>ROUND(IF(Preenchimento!$G$39="Tabela Price",R41-Q41,(O40*(1+$AD$35))/($AD$28-C40)),$P$22)</f>
        <v>#VALUE!</v>
      </c>
      <c r="Q41" s="43" t="e">
        <f>IF(Preenchimento!$G$39="Tabela Price",O40*(1+$AD$35)*W41,O40*(1+SAC!$AD$35)*SAC!W41)</f>
        <v>#VALUE!</v>
      </c>
      <c r="R41" s="43" t="e">
        <f>IF(Preenchimento!$G$39="Tabela Price",IF(C41="","",((((((1+W41)^($Q$16-C40))*W41)/((1+W41)^($Q$16-C40)-1))*(O40*(1+$AD$35))))),Q41+P41)</f>
        <v>#VALUE!</v>
      </c>
      <c r="S41" s="43" t="e">
        <f t="shared" ca="1" si="5"/>
        <v>#VALUE!</v>
      </c>
      <c r="T41" s="43">
        <f t="shared" si="12"/>
        <v>0</v>
      </c>
      <c r="U41" s="226">
        <f>TRUNC(T41*Condições!$C$102,2)</f>
        <v>0</v>
      </c>
      <c r="V41" s="82">
        <f t="shared" ca="1" si="13"/>
        <v>10</v>
      </c>
      <c r="W41" s="231" t="str">
        <f t="shared" si="14"/>
        <v/>
      </c>
      <c r="X41" s="210"/>
      <c r="Y41" s="210"/>
      <c r="Z41" s="210"/>
      <c r="AC41" s="80" t="s">
        <v>58</v>
      </c>
      <c r="AD41" s="242">
        <f>Fixa!AC57</f>
        <v>0</v>
      </c>
      <c r="AE41" s="82" t="str">
        <f>Fixa!AE57</f>
        <v>FALSO</v>
      </c>
      <c r="AI41" s="114">
        <f t="shared" si="15"/>
        <v>0</v>
      </c>
      <c r="AJ41" s="113"/>
      <c r="AL41" s="477">
        <f t="shared" ca="1" si="16"/>
        <v>0</v>
      </c>
    </row>
    <row r="42" spans="2:38" ht="12" customHeight="1">
      <c r="B42" s="222">
        <f ca="1">Fixa!B42</f>
        <v>46707</v>
      </c>
      <c r="C42" s="223" t="str">
        <f>Fixa!C42</f>
        <v/>
      </c>
      <c r="D42" s="43" t="e">
        <f t="shared" si="7"/>
        <v>#VALUE!</v>
      </c>
      <c r="E42" s="43" t="e">
        <f t="shared" si="0"/>
        <v>#VALUE!</v>
      </c>
      <c r="F42" s="43" t="e">
        <f t="shared" si="1"/>
        <v>#VALUE!</v>
      </c>
      <c r="G42" s="43" t="e">
        <f t="shared" si="2"/>
        <v>#VALUE!</v>
      </c>
      <c r="H42" s="43" t="e">
        <f t="shared" ca="1" si="3"/>
        <v>#VALUE!</v>
      </c>
      <c r="I42" s="43">
        <f t="shared" si="4"/>
        <v>0</v>
      </c>
      <c r="J42" s="229">
        <f t="shared" si="8"/>
        <v>25</v>
      </c>
      <c r="K42" s="43">
        <f t="shared" si="9"/>
        <v>0</v>
      </c>
      <c r="M42" s="224"/>
      <c r="N42" s="225">
        <f t="shared" si="10"/>
        <v>0</v>
      </c>
      <c r="O42" s="43" t="e">
        <f t="shared" si="11"/>
        <v>#VALUE!</v>
      </c>
      <c r="P42" s="43" t="e">
        <f>ROUND(IF(Preenchimento!$G$39="Tabela Price",R42-Q42,(O41*(1+$AD$35))/($AD$28-C41)),$P$22)</f>
        <v>#VALUE!</v>
      </c>
      <c r="Q42" s="43" t="e">
        <f>IF(Preenchimento!$G$39="Tabela Price",O41*(1+$AD$35)*W42,O41*(1+SAC!$AD$35)*SAC!W42)</f>
        <v>#VALUE!</v>
      </c>
      <c r="R42" s="43" t="e">
        <f>IF(Preenchimento!$G$39="Tabela Price",IF(C42="","",((((((1+W42)^($Q$16-C41))*W42)/((1+W42)^($Q$16-C41)-1))*(O41*(1+$AD$35))))),Q42+P42)</f>
        <v>#VALUE!</v>
      </c>
      <c r="S42" s="43" t="e">
        <f t="shared" ca="1" si="5"/>
        <v>#VALUE!</v>
      </c>
      <c r="T42" s="43">
        <f t="shared" si="12"/>
        <v>0</v>
      </c>
      <c r="U42" s="226">
        <f>TRUNC(T42*Condições!$C$102,2)</f>
        <v>0</v>
      </c>
      <c r="V42" s="82">
        <f t="shared" ca="1" si="13"/>
        <v>11</v>
      </c>
      <c r="W42" s="231" t="str">
        <f t="shared" si="14"/>
        <v/>
      </c>
      <c r="X42" s="210"/>
      <c r="Y42" s="210"/>
      <c r="Z42" s="210"/>
      <c r="AC42" s="80" t="s">
        <v>61</v>
      </c>
      <c r="AD42" s="242">
        <f>Fixa!AC58</f>
        <v>0</v>
      </c>
      <c r="AE42" s="82" t="str">
        <f>Fixa!AE58</f>
        <v>FALSO</v>
      </c>
      <c r="AI42" s="114">
        <f t="shared" si="15"/>
        <v>0</v>
      </c>
      <c r="AJ42" s="113"/>
      <c r="AL42" s="477">
        <f t="shared" ca="1" si="16"/>
        <v>0</v>
      </c>
    </row>
    <row r="43" spans="2:38" ht="12" customHeight="1">
      <c r="B43" s="222">
        <f ca="1">Fixa!B43</f>
        <v>46737</v>
      </c>
      <c r="C43" s="223" t="str">
        <f>Fixa!C43</f>
        <v/>
      </c>
      <c r="D43" s="43" t="e">
        <f t="shared" si="7"/>
        <v>#VALUE!</v>
      </c>
      <c r="E43" s="43" t="e">
        <f t="shared" si="0"/>
        <v>#VALUE!</v>
      </c>
      <c r="F43" s="43" t="e">
        <f t="shared" si="1"/>
        <v>#VALUE!</v>
      </c>
      <c r="G43" s="43" t="e">
        <f t="shared" si="2"/>
        <v>#VALUE!</v>
      </c>
      <c r="H43" s="43" t="e">
        <f t="shared" ca="1" si="3"/>
        <v>#VALUE!</v>
      </c>
      <c r="I43" s="43">
        <f t="shared" si="4"/>
        <v>0</v>
      </c>
      <c r="J43" s="229">
        <f t="shared" si="8"/>
        <v>25</v>
      </c>
      <c r="K43" s="43">
        <f t="shared" si="9"/>
        <v>0</v>
      </c>
      <c r="M43" s="224"/>
      <c r="N43" s="225">
        <f t="shared" si="10"/>
        <v>0</v>
      </c>
      <c r="O43" s="43" t="e">
        <f t="shared" si="11"/>
        <v>#VALUE!</v>
      </c>
      <c r="P43" s="43" t="e">
        <f>ROUND(IF(Preenchimento!$G$39="Tabela Price",R43-Q43,(O42*(1+$AD$35))/($AD$28-C42)),$P$22)</f>
        <v>#VALUE!</v>
      </c>
      <c r="Q43" s="43" t="e">
        <f>IF(Preenchimento!$G$39="Tabela Price",O42*(1+$AD$35)*W43,O42*(1+SAC!$AD$35)*SAC!W43)</f>
        <v>#VALUE!</v>
      </c>
      <c r="R43" s="43" t="e">
        <f>IF(Preenchimento!$G$39="Tabela Price",IF(C43="","",((((((1+W43)^($Q$16-C42))*W43)/((1+W43)^($Q$16-C42)-1))*(O42*(1+$AD$35))))),Q43+P43)</f>
        <v>#VALUE!</v>
      </c>
      <c r="S43" s="43" t="e">
        <f t="shared" ca="1" si="5"/>
        <v>#VALUE!</v>
      </c>
      <c r="T43" s="43">
        <f t="shared" si="12"/>
        <v>0</v>
      </c>
      <c r="U43" s="226">
        <f>TRUNC(T43*Condições!$C$102,2)</f>
        <v>0</v>
      </c>
      <c r="V43" s="82">
        <f t="shared" ca="1" si="13"/>
        <v>12</v>
      </c>
      <c r="W43" s="231" t="str">
        <f t="shared" si="14"/>
        <v/>
      </c>
      <c r="X43" s="210"/>
      <c r="Y43" s="210"/>
      <c r="Z43" s="210"/>
      <c r="AC43" s="243" t="s">
        <v>80</v>
      </c>
      <c r="AD43" s="238" t="e">
        <f ca="1">(IF(    AND(VALUE(MID(TEXT(AI24*100,"0,0000000000000000"),(FIND(",",AI24*100)+3),1))=5,((AI24*100-(INT((AI24*100*1000))/1000))&gt;0)),ROUNDUP(AI24*100,2),    IF(   AND(VALUE(MID(TEXT(AI24*100,"0,0000000000000000"),(FIND(",",AI24*100)+3),1))=5,((AI24*100-(INT((AI24*100*100))/100))=0), VALUE(MID(TEXT(AI24*100,"0,0000000000000000"),(FIND(",",AI24*100)+2),1))&lt;&gt;ODD(VALUE(MID(TEXT(AI24*100,"0,0000000000000000"),(FIND(",",AI24*100)+2),1)))                                 ),ROUNDDOWN(AI24*100,2),      IF(   AND(VALUE(MID(TEXT(AI24*100,"0,0000000000000000"),(FIND(",",AI24*100)+3),1))=5,EVEN(VALUE(MID(TEXT(AI24*100,"0,0000000000000000"),(FIND(",",AI24*100)+2),1)))=VALUE(MID(TEXT(AI24*100,"0,0000000000000000"),(FIND(",",AI24*100)+2),1))),ROUNDDOWN(AI24*100,2),IF(VALUE(MID(TEXT(AI24*100,"0,0000000000000000"),(FIND(",",AI24*100)+3),1))&lt;5,ROUNDDOWN(AI24*100,2),ROUNDUP(AI24*100,2))))))/100</f>
        <v>#NUM!</v>
      </c>
      <c r="AI43" s="114">
        <f t="shared" si="15"/>
        <v>0</v>
      </c>
      <c r="AJ43" s="113"/>
      <c r="AL43" s="477">
        <f t="shared" ca="1" si="16"/>
        <v>0</v>
      </c>
    </row>
    <row r="44" spans="2:38" ht="12" customHeight="1">
      <c r="B44" s="222">
        <f ca="1">Fixa!B44</f>
        <v>46768</v>
      </c>
      <c r="C44" s="223" t="str">
        <f>Fixa!C44</f>
        <v/>
      </c>
      <c r="D44" s="43" t="e">
        <f t="shared" si="7"/>
        <v>#VALUE!</v>
      </c>
      <c r="E44" s="43" t="e">
        <f t="shared" si="0"/>
        <v>#VALUE!</v>
      </c>
      <c r="F44" s="43" t="e">
        <f t="shared" si="1"/>
        <v>#VALUE!</v>
      </c>
      <c r="G44" s="43" t="e">
        <f t="shared" si="2"/>
        <v>#VALUE!</v>
      </c>
      <c r="H44" s="43" t="e">
        <f t="shared" ca="1" si="3"/>
        <v>#VALUE!</v>
      </c>
      <c r="I44" s="43">
        <f t="shared" si="4"/>
        <v>0</v>
      </c>
      <c r="J44" s="229">
        <f t="shared" si="8"/>
        <v>25</v>
      </c>
      <c r="K44" s="43">
        <f t="shared" si="9"/>
        <v>0</v>
      </c>
      <c r="M44" s="224"/>
      <c r="N44" s="225">
        <f t="shared" si="10"/>
        <v>0</v>
      </c>
      <c r="O44" s="43" t="e">
        <f t="shared" si="11"/>
        <v>#VALUE!</v>
      </c>
      <c r="P44" s="43" t="e">
        <f>ROUND(IF(Preenchimento!$G$39="Tabela Price",R44-Q44,(O43*(1+$AD$35))/($AD$28-C43)),$P$22)</f>
        <v>#VALUE!</v>
      </c>
      <c r="Q44" s="43" t="e">
        <f>IF(Preenchimento!$G$39="Tabela Price",O43*(1+$AD$35)*W44,O43*(1+SAC!$AD$35)*SAC!W44)</f>
        <v>#VALUE!</v>
      </c>
      <c r="R44" s="43" t="e">
        <f>IF(Preenchimento!$G$39="Tabela Price",IF(C44="","",((((((1+W44)^($Q$16-C43))*W44)/((1+W44)^($Q$16-C43)-1))*(O43*(1+$AD$35))))),Q44+P44)</f>
        <v>#VALUE!</v>
      </c>
      <c r="S44" s="43" t="e">
        <f t="shared" ca="1" si="5"/>
        <v>#VALUE!</v>
      </c>
      <c r="T44" s="43">
        <f t="shared" si="12"/>
        <v>0</v>
      </c>
      <c r="U44" s="226">
        <f>TRUNC(T44*Condições!$C$102,2)</f>
        <v>0</v>
      </c>
      <c r="V44" s="82">
        <f t="shared" ca="1" si="13"/>
        <v>1</v>
      </c>
      <c r="W44" s="231" t="str">
        <f t="shared" si="14"/>
        <v/>
      </c>
      <c r="X44" s="210"/>
      <c r="Y44" s="210"/>
      <c r="Z44" s="210"/>
      <c r="AI44" s="114">
        <f t="shared" si="15"/>
        <v>0</v>
      </c>
      <c r="AJ44" s="113"/>
      <c r="AL44" s="477">
        <f t="shared" ca="1" si="16"/>
        <v>0</v>
      </c>
    </row>
    <row r="45" spans="2:38" ht="12" customHeight="1">
      <c r="B45" s="222">
        <f ca="1">Fixa!B45</f>
        <v>46799</v>
      </c>
      <c r="C45" s="223" t="str">
        <f>Fixa!C45</f>
        <v/>
      </c>
      <c r="D45" s="43" t="e">
        <f t="shared" si="7"/>
        <v>#VALUE!</v>
      </c>
      <c r="E45" s="43" t="e">
        <f t="shared" si="0"/>
        <v>#VALUE!</v>
      </c>
      <c r="F45" s="43" t="e">
        <f t="shared" si="1"/>
        <v>#VALUE!</v>
      </c>
      <c r="G45" s="43" t="e">
        <f t="shared" si="2"/>
        <v>#VALUE!</v>
      </c>
      <c r="H45" s="43" t="e">
        <f t="shared" ca="1" si="3"/>
        <v>#VALUE!</v>
      </c>
      <c r="I45" s="43">
        <f t="shared" si="4"/>
        <v>0</v>
      </c>
      <c r="J45" s="229">
        <f t="shared" si="8"/>
        <v>25</v>
      </c>
      <c r="K45" s="43">
        <f t="shared" si="9"/>
        <v>0</v>
      </c>
      <c r="M45" s="224"/>
      <c r="N45" s="225">
        <f t="shared" si="10"/>
        <v>0</v>
      </c>
      <c r="O45" s="43" t="e">
        <f t="shared" si="11"/>
        <v>#VALUE!</v>
      </c>
      <c r="P45" s="43" t="e">
        <f>ROUND(IF(Preenchimento!$G$39="Tabela Price",R45-Q45,(O44*(1+$AD$35))/($AD$28-C44)),$P$22)</f>
        <v>#VALUE!</v>
      </c>
      <c r="Q45" s="43" t="e">
        <f>IF(Preenchimento!$G$39="Tabela Price",O44*(1+$AD$35)*W45,O44*(1+SAC!$AD$35)*SAC!W45)</f>
        <v>#VALUE!</v>
      </c>
      <c r="R45" s="43" t="e">
        <f>IF(Preenchimento!$G$39="Tabela Price",IF(C45="","",((((((1+W45)^($Q$16-C44))*W45)/((1+W45)^($Q$16-C44)-1))*(O44*(1+$AD$35))))),Q45+P45)</f>
        <v>#VALUE!</v>
      </c>
      <c r="S45" s="43" t="e">
        <f t="shared" ca="1" si="5"/>
        <v>#VALUE!</v>
      </c>
      <c r="T45" s="43">
        <f t="shared" si="12"/>
        <v>0</v>
      </c>
      <c r="U45" s="226">
        <f>TRUNC(T45*Condições!$C$102,2)</f>
        <v>0</v>
      </c>
      <c r="V45" s="82">
        <f t="shared" ca="1" si="13"/>
        <v>2</v>
      </c>
      <c r="W45" s="231" t="str">
        <f t="shared" si="14"/>
        <v/>
      </c>
      <c r="X45" s="210"/>
      <c r="Y45" s="210"/>
      <c r="Z45" s="210"/>
      <c r="AC45" s="244" t="s">
        <v>99</v>
      </c>
      <c r="AD45" s="82">
        <v>36</v>
      </c>
      <c r="AI45" s="114">
        <f t="shared" si="15"/>
        <v>0</v>
      </c>
      <c r="AJ45" s="113"/>
      <c r="AL45" s="477">
        <f t="shared" ca="1" si="16"/>
        <v>0</v>
      </c>
    </row>
    <row r="46" spans="2:38" ht="12" customHeight="1">
      <c r="B46" s="222">
        <f ca="1">Fixa!B46</f>
        <v>46828</v>
      </c>
      <c r="C46" s="223" t="str">
        <f>Fixa!C46</f>
        <v/>
      </c>
      <c r="D46" s="43" t="e">
        <f t="shared" si="7"/>
        <v>#VALUE!</v>
      </c>
      <c r="E46" s="43" t="e">
        <f t="shared" si="0"/>
        <v>#VALUE!</v>
      </c>
      <c r="F46" s="43" t="e">
        <f t="shared" si="1"/>
        <v>#VALUE!</v>
      </c>
      <c r="G46" s="43" t="e">
        <f t="shared" si="2"/>
        <v>#VALUE!</v>
      </c>
      <c r="H46" s="43" t="e">
        <f t="shared" ca="1" si="3"/>
        <v>#VALUE!</v>
      </c>
      <c r="I46" s="43">
        <f t="shared" si="4"/>
        <v>0</v>
      </c>
      <c r="J46" s="229">
        <f t="shared" si="8"/>
        <v>25</v>
      </c>
      <c r="K46" s="43">
        <f t="shared" si="9"/>
        <v>0</v>
      </c>
      <c r="M46" s="224"/>
      <c r="N46" s="225">
        <f t="shared" si="10"/>
        <v>0</v>
      </c>
      <c r="O46" s="43" t="e">
        <f t="shared" si="11"/>
        <v>#VALUE!</v>
      </c>
      <c r="P46" s="43" t="e">
        <f>ROUND(IF(Preenchimento!$G$39="Tabela Price",R46-Q46,(O45*(1+$AD$35))/($AD$28-C45)),$P$22)</f>
        <v>#VALUE!</v>
      </c>
      <c r="Q46" s="43" t="e">
        <f>IF(Preenchimento!$G$39="Tabela Price",O45*(1+$AD$35)*W46,O45*(1+SAC!$AD$35)*SAC!W46)</f>
        <v>#VALUE!</v>
      </c>
      <c r="R46" s="43" t="e">
        <f>IF(Preenchimento!$G$39="Tabela Price",IF(C46="","",((((((1+W46)^($Q$16-C45))*W46)/((1+W46)^($Q$16-C45)-1))*(O45*(1+$AD$35))))),Q46+P46)</f>
        <v>#VALUE!</v>
      </c>
      <c r="S46" s="43" t="e">
        <f t="shared" ca="1" si="5"/>
        <v>#VALUE!</v>
      </c>
      <c r="T46" s="43">
        <f t="shared" si="12"/>
        <v>0</v>
      </c>
      <c r="U46" s="226">
        <f>TRUNC(T46*Condições!$C$102,2)</f>
        <v>0</v>
      </c>
      <c r="V46" s="82">
        <f t="shared" ca="1" si="13"/>
        <v>3</v>
      </c>
      <c r="W46" s="231" t="str">
        <f t="shared" si="14"/>
        <v/>
      </c>
      <c r="X46" s="210"/>
      <c r="Y46" s="210"/>
      <c r="Z46" s="210"/>
      <c r="AD46" s="82">
        <v>120</v>
      </c>
      <c r="AI46" s="114">
        <f t="shared" si="15"/>
        <v>0</v>
      </c>
      <c r="AJ46" s="113"/>
      <c r="AL46" s="477">
        <f t="shared" ca="1" si="16"/>
        <v>0</v>
      </c>
    </row>
    <row r="47" spans="2:38" ht="12" customHeight="1">
      <c r="B47" s="222">
        <f ca="1">Fixa!B47</f>
        <v>46859</v>
      </c>
      <c r="C47" s="223" t="str">
        <f>Fixa!C47</f>
        <v/>
      </c>
      <c r="D47" s="43" t="e">
        <f t="shared" si="7"/>
        <v>#VALUE!</v>
      </c>
      <c r="E47" s="43" t="e">
        <f t="shared" si="0"/>
        <v>#VALUE!</v>
      </c>
      <c r="F47" s="43" t="e">
        <f t="shared" si="1"/>
        <v>#VALUE!</v>
      </c>
      <c r="G47" s="43" t="e">
        <f t="shared" si="2"/>
        <v>#VALUE!</v>
      </c>
      <c r="H47" s="43" t="e">
        <f t="shared" ca="1" si="3"/>
        <v>#VALUE!</v>
      </c>
      <c r="I47" s="43">
        <f t="shared" si="4"/>
        <v>0</v>
      </c>
      <c r="J47" s="229">
        <f t="shared" si="8"/>
        <v>25</v>
      </c>
      <c r="K47" s="43">
        <f t="shared" si="9"/>
        <v>0</v>
      </c>
      <c r="M47" s="224"/>
      <c r="N47" s="225">
        <f t="shared" si="10"/>
        <v>0</v>
      </c>
      <c r="O47" s="43" t="e">
        <f t="shared" si="11"/>
        <v>#VALUE!</v>
      </c>
      <c r="P47" s="43" t="e">
        <f>ROUND(IF(Preenchimento!$G$39="Tabela Price",R47-Q47,(O46*(1+$AD$35))/($AD$28-C46)),$P$22)</f>
        <v>#VALUE!</v>
      </c>
      <c r="Q47" s="43" t="e">
        <f>IF(Preenchimento!$G$39="Tabela Price",O46*(1+$AD$35)*W47,O46*(1+SAC!$AD$35)*SAC!W47)</f>
        <v>#VALUE!</v>
      </c>
      <c r="R47" s="43" t="e">
        <f>IF(Preenchimento!$G$39="Tabela Price",IF(C47="","",((((((1+W47)^($Q$16-C46))*W47)/((1+W47)^($Q$16-C46)-1))*(O46*(1+$AD$35))))),Q47+P47)</f>
        <v>#VALUE!</v>
      </c>
      <c r="S47" s="43" t="e">
        <f t="shared" ca="1" si="5"/>
        <v>#VALUE!</v>
      </c>
      <c r="T47" s="43">
        <f t="shared" si="12"/>
        <v>0</v>
      </c>
      <c r="U47" s="226">
        <f>TRUNC(T47*Condições!$C$102,2)</f>
        <v>0</v>
      </c>
      <c r="V47" s="82">
        <f t="shared" ca="1" si="13"/>
        <v>4</v>
      </c>
      <c r="W47" s="231" t="str">
        <f t="shared" si="14"/>
        <v/>
      </c>
      <c r="X47" s="210"/>
      <c r="Y47" s="210"/>
      <c r="Z47" s="210"/>
      <c r="AI47" s="114">
        <f t="shared" si="15"/>
        <v>0</v>
      </c>
      <c r="AJ47" s="113"/>
      <c r="AL47" s="477">
        <f t="shared" ca="1" si="16"/>
        <v>0</v>
      </c>
    </row>
    <row r="48" spans="2:38" ht="12" customHeight="1">
      <c r="B48" s="222">
        <f ca="1">Fixa!B48</f>
        <v>46889</v>
      </c>
      <c r="C48" s="223" t="str">
        <f>Fixa!C48</f>
        <v/>
      </c>
      <c r="D48" s="43" t="e">
        <f t="shared" si="7"/>
        <v>#VALUE!</v>
      </c>
      <c r="E48" s="43" t="e">
        <f t="shared" si="0"/>
        <v>#VALUE!</v>
      </c>
      <c r="F48" s="43" t="e">
        <f t="shared" si="1"/>
        <v>#VALUE!</v>
      </c>
      <c r="G48" s="43" t="e">
        <f t="shared" si="2"/>
        <v>#VALUE!</v>
      </c>
      <c r="H48" s="43" t="e">
        <f t="shared" ca="1" si="3"/>
        <v>#VALUE!</v>
      </c>
      <c r="I48" s="43">
        <f t="shared" si="4"/>
        <v>0</v>
      </c>
      <c r="J48" s="229">
        <f t="shared" si="8"/>
        <v>25</v>
      </c>
      <c r="K48" s="43">
        <f t="shared" si="9"/>
        <v>0</v>
      </c>
      <c r="M48" s="224"/>
      <c r="N48" s="225">
        <f t="shared" si="10"/>
        <v>0</v>
      </c>
      <c r="O48" s="43" t="e">
        <f t="shared" si="11"/>
        <v>#VALUE!</v>
      </c>
      <c r="P48" s="43" t="e">
        <f>ROUND(IF(Preenchimento!$G$39="Tabela Price",R48-Q48,(O47*(1+$AD$35))/($AD$28-C47)),$P$22)</f>
        <v>#VALUE!</v>
      </c>
      <c r="Q48" s="43" t="e">
        <f>IF(Preenchimento!$G$39="Tabela Price",O47*(1+$AD$35)*W48,O47*(1+SAC!$AD$35)*SAC!W48)</f>
        <v>#VALUE!</v>
      </c>
      <c r="R48" s="43" t="e">
        <f>IF(Preenchimento!$G$39="Tabela Price",IF(C48="","",((((((1+W48)^($Q$16-C47))*W48)/((1+W48)^($Q$16-C47)-1))*(O47*(1+$AD$35))))),Q48+P48)</f>
        <v>#VALUE!</v>
      </c>
      <c r="S48" s="43" t="e">
        <f t="shared" ca="1" si="5"/>
        <v>#VALUE!</v>
      </c>
      <c r="T48" s="43">
        <f t="shared" si="12"/>
        <v>0</v>
      </c>
      <c r="U48" s="226">
        <f>TRUNC(T48*Condições!$C$102,2)</f>
        <v>0</v>
      </c>
      <c r="V48" s="82">
        <f t="shared" ca="1" si="13"/>
        <v>5</v>
      </c>
      <c r="W48" s="231" t="str">
        <f t="shared" si="14"/>
        <v/>
      </c>
      <c r="X48" s="210"/>
      <c r="Y48" s="210"/>
      <c r="Z48" s="210"/>
      <c r="AI48" s="114">
        <f t="shared" si="15"/>
        <v>0</v>
      </c>
      <c r="AJ48" s="113"/>
      <c r="AL48" s="477">
        <f t="shared" ca="1" si="16"/>
        <v>0</v>
      </c>
    </row>
    <row r="49" spans="2:38" ht="12" customHeight="1">
      <c r="B49" s="222">
        <f ca="1">Fixa!B49</f>
        <v>46920</v>
      </c>
      <c r="C49" s="223" t="str">
        <f>Fixa!C49</f>
        <v/>
      </c>
      <c r="D49" s="43" t="e">
        <f t="shared" si="7"/>
        <v>#VALUE!</v>
      </c>
      <c r="E49" s="43" t="e">
        <f t="shared" si="0"/>
        <v>#VALUE!</v>
      </c>
      <c r="F49" s="43" t="e">
        <f t="shared" si="1"/>
        <v>#VALUE!</v>
      </c>
      <c r="G49" s="43" t="e">
        <f t="shared" si="2"/>
        <v>#VALUE!</v>
      </c>
      <c r="H49" s="43" t="e">
        <f t="shared" ca="1" si="3"/>
        <v>#VALUE!</v>
      </c>
      <c r="I49" s="43">
        <f t="shared" si="4"/>
        <v>0</v>
      </c>
      <c r="J49" s="229">
        <f t="shared" si="8"/>
        <v>25</v>
      </c>
      <c r="K49" s="43">
        <f t="shared" si="9"/>
        <v>0</v>
      </c>
      <c r="M49" s="224"/>
      <c r="N49" s="225">
        <f t="shared" si="10"/>
        <v>0</v>
      </c>
      <c r="O49" s="43" t="e">
        <f t="shared" si="11"/>
        <v>#VALUE!</v>
      </c>
      <c r="P49" s="43" t="e">
        <f>ROUND(IF(Preenchimento!$G$39="Tabela Price",R49-Q49,(O48*(1+$AD$35))/($AD$28-C48)),$P$22)</f>
        <v>#VALUE!</v>
      </c>
      <c r="Q49" s="43" t="e">
        <f>IF(Preenchimento!$G$39="Tabela Price",O48*(1+$AD$35)*W49,O48*(1+SAC!$AD$35)*SAC!W49)</f>
        <v>#VALUE!</v>
      </c>
      <c r="R49" s="43" t="e">
        <f>IF(Preenchimento!$G$39="Tabela Price",IF(C49="","",((((((1+W49)^($Q$16-C48))*W49)/((1+W49)^($Q$16-C48)-1))*(O48*(1+$AD$35))))),Q49+P49)</f>
        <v>#VALUE!</v>
      </c>
      <c r="S49" s="43" t="e">
        <f t="shared" ca="1" si="5"/>
        <v>#VALUE!</v>
      </c>
      <c r="T49" s="43">
        <f t="shared" si="12"/>
        <v>0</v>
      </c>
      <c r="U49" s="226">
        <f>TRUNC(T49*Condições!$C$102,2)</f>
        <v>0</v>
      </c>
      <c r="V49" s="82">
        <f t="shared" ca="1" si="13"/>
        <v>6</v>
      </c>
      <c r="W49" s="231" t="str">
        <f t="shared" si="14"/>
        <v/>
      </c>
      <c r="X49" s="210"/>
      <c r="Y49" s="210"/>
      <c r="Z49" s="210"/>
      <c r="AI49" s="114">
        <f t="shared" si="15"/>
        <v>0</v>
      </c>
      <c r="AJ49" s="113"/>
      <c r="AL49" s="477">
        <f t="shared" ca="1" si="16"/>
        <v>0</v>
      </c>
    </row>
    <row r="50" spans="2:38" ht="12" customHeight="1">
      <c r="B50" s="222">
        <f ca="1">Fixa!B50</f>
        <v>46950</v>
      </c>
      <c r="C50" s="223" t="str">
        <f>Fixa!C50</f>
        <v/>
      </c>
      <c r="D50" s="43" t="e">
        <f t="shared" si="7"/>
        <v>#VALUE!</v>
      </c>
      <c r="E50" s="43" t="e">
        <f t="shared" si="0"/>
        <v>#VALUE!</v>
      </c>
      <c r="F50" s="43" t="e">
        <f t="shared" si="1"/>
        <v>#VALUE!</v>
      </c>
      <c r="G50" s="43" t="e">
        <f t="shared" si="2"/>
        <v>#VALUE!</v>
      </c>
      <c r="H50" s="43" t="e">
        <f t="shared" ca="1" si="3"/>
        <v>#VALUE!</v>
      </c>
      <c r="I50" s="43">
        <f t="shared" si="4"/>
        <v>0</v>
      </c>
      <c r="J50" s="229">
        <f t="shared" si="8"/>
        <v>25</v>
      </c>
      <c r="K50" s="43">
        <f t="shared" si="9"/>
        <v>0</v>
      </c>
      <c r="M50" s="224"/>
      <c r="N50" s="225">
        <f t="shared" si="10"/>
        <v>0</v>
      </c>
      <c r="O50" s="43" t="e">
        <f t="shared" si="11"/>
        <v>#VALUE!</v>
      </c>
      <c r="P50" s="43" t="e">
        <f>ROUND(IF(Preenchimento!$G$39="Tabela Price",R50-Q50,(O49*(1+$AD$35))/($AD$28-C49)),$P$22)</f>
        <v>#VALUE!</v>
      </c>
      <c r="Q50" s="43" t="e">
        <f>IF(Preenchimento!$G$39="Tabela Price",O49*(1+$AD$35)*W50,O49*(1+SAC!$AD$35)*SAC!W50)</f>
        <v>#VALUE!</v>
      </c>
      <c r="R50" s="43" t="e">
        <f>IF(Preenchimento!$G$39="Tabela Price",IF(C50="","",((((((1+W50)^($Q$16-C49))*W50)/((1+W50)^($Q$16-C49)-1))*(O49*(1+$AD$35))))),Q50+P50)</f>
        <v>#VALUE!</v>
      </c>
      <c r="S50" s="43" t="e">
        <f t="shared" ca="1" si="5"/>
        <v>#VALUE!</v>
      </c>
      <c r="T50" s="43">
        <f t="shared" si="12"/>
        <v>0</v>
      </c>
      <c r="U50" s="226">
        <f>TRUNC(T50*Condições!$C$102,2)</f>
        <v>0</v>
      </c>
      <c r="V50" s="82">
        <f t="shared" ca="1" si="13"/>
        <v>7</v>
      </c>
      <c r="W50" s="231" t="str">
        <f t="shared" si="14"/>
        <v/>
      </c>
      <c r="X50" s="210"/>
      <c r="Y50" s="210"/>
      <c r="Z50" s="210"/>
      <c r="AI50" s="114">
        <f t="shared" si="15"/>
        <v>0</v>
      </c>
      <c r="AJ50" s="113"/>
      <c r="AL50" s="477">
        <f t="shared" ca="1" si="16"/>
        <v>0</v>
      </c>
    </row>
    <row r="51" spans="2:38" ht="12" customHeight="1">
      <c r="B51" s="222">
        <f ca="1">Fixa!B51</f>
        <v>46981</v>
      </c>
      <c r="C51" s="223" t="str">
        <f>Fixa!C51</f>
        <v/>
      </c>
      <c r="D51" s="43" t="e">
        <f t="shared" si="7"/>
        <v>#VALUE!</v>
      </c>
      <c r="E51" s="43" t="e">
        <f t="shared" si="0"/>
        <v>#VALUE!</v>
      </c>
      <c r="F51" s="43" t="e">
        <f t="shared" si="1"/>
        <v>#VALUE!</v>
      </c>
      <c r="G51" s="43" t="e">
        <f t="shared" si="2"/>
        <v>#VALUE!</v>
      </c>
      <c r="H51" s="43" t="e">
        <f t="shared" ca="1" si="3"/>
        <v>#VALUE!</v>
      </c>
      <c r="I51" s="43">
        <f t="shared" si="4"/>
        <v>0</v>
      </c>
      <c r="J51" s="229">
        <f t="shared" si="8"/>
        <v>25</v>
      </c>
      <c r="K51" s="43">
        <f t="shared" si="9"/>
        <v>0</v>
      </c>
      <c r="M51" s="224"/>
      <c r="N51" s="225">
        <f t="shared" si="10"/>
        <v>0</v>
      </c>
      <c r="O51" s="43" t="e">
        <f t="shared" si="11"/>
        <v>#VALUE!</v>
      </c>
      <c r="P51" s="43" t="e">
        <f>ROUND(IF(Preenchimento!$G$39="Tabela Price",R51-Q51,(O50*(1+$AD$35))/($AD$28-C50)),$P$22)</f>
        <v>#VALUE!</v>
      </c>
      <c r="Q51" s="43" t="e">
        <f>IF(Preenchimento!$G$39="Tabela Price",O50*(1+$AD$35)*W51,O50*(1+SAC!$AD$35)*SAC!W51)</f>
        <v>#VALUE!</v>
      </c>
      <c r="R51" s="43" t="e">
        <f>IF(Preenchimento!$G$39="Tabela Price",IF(C51="","",((((((1+W51)^($Q$16-C50))*W51)/((1+W51)^($Q$16-C50)-1))*(O50*(1+$AD$35))))),Q51+P51)</f>
        <v>#VALUE!</v>
      </c>
      <c r="S51" s="43" t="e">
        <f t="shared" ca="1" si="5"/>
        <v>#VALUE!</v>
      </c>
      <c r="T51" s="43">
        <f t="shared" si="12"/>
        <v>0</v>
      </c>
      <c r="U51" s="226">
        <f>TRUNC(T51*Condições!$C$102,2)</f>
        <v>0</v>
      </c>
      <c r="V51" s="82">
        <f t="shared" ca="1" si="13"/>
        <v>8</v>
      </c>
      <c r="W51" s="231" t="str">
        <f t="shared" si="14"/>
        <v/>
      </c>
      <c r="X51" s="210"/>
      <c r="Y51" s="210"/>
      <c r="Z51" s="210"/>
      <c r="AI51" s="114">
        <f t="shared" si="15"/>
        <v>0</v>
      </c>
      <c r="AJ51" s="113"/>
      <c r="AL51" s="477">
        <f t="shared" ca="1" si="16"/>
        <v>0</v>
      </c>
    </row>
    <row r="52" spans="2:38" ht="12" customHeight="1">
      <c r="B52" s="222">
        <f ca="1">Fixa!B52</f>
        <v>47012</v>
      </c>
      <c r="C52" s="223" t="str">
        <f>Fixa!C52</f>
        <v/>
      </c>
      <c r="D52" s="43" t="e">
        <f t="shared" si="7"/>
        <v>#VALUE!</v>
      </c>
      <c r="E52" s="43" t="e">
        <f t="shared" si="0"/>
        <v>#VALUE!</v>
      </c>
      <c r="F52" s="43" t="e">
        <f t="shared" si="1"/>
        <v>#VALUE!</v>
      </c>
      <c r="G52" s="43" t="e">
        <f t="shared" si="2"/>
        <v>#VALUE!</v>
      </c>
      <c r="H52" s="43" t="e">
        <f t="shared" ca="1" si="3"/>
        <v>#VALUE!</v>
      </c>
      <c r="I52" s="43">
        <f t="shared" si="4"/>
        <v>0</v>
      </c>
      <c r="J52" s="229">
        <f t="shared" si="8"/>
        <v>25</v>
      </c>
      <c r="K52" s="43">
        <f t="shared" si="9"/>
        <v>0</v>
      </c>
      <c r="M52" s="224"/>
      <c r="N52" s="225">
        <f t="shared" si="10"/>
        <v>0</v>
      </c>
      <c r="O52" s="43" t="e">
        <f t="shared" si="11"/>
        <v>#VALUE!</v>
      </c>
      <c r="P52" s="43" t="e">
        <f>ROUND(IF(Preenchimento!$G$39="Tabela Price",R52-Q52,(O51*(1+$AD$35))/($AD$28-C51)),$P$22)</f>
        <v>#VALUE!</v>
      </c>
      <c r="Q52" s="43" t="e">
        <f>IF(Preenchimento!$G$39="Tabela Price",O51*(1+$AD$35)*W52,O51*(1+SAC!$AD$35)*SAC!W52)</f>
        <v>#VALUE!</v>
      </c>
      <c r="R52" s="43" t="e">
        <f>IF(Preenchimento!$G$39="Tabela Price",IF(C52="","",((((((1+W52)^($Q$16-C51))*W52)/((1+W52)^($Q$16-C51)-1))*(O51*(1+$AD$35))))),Q52+P52)</f>
        <v>#VALUE!</v>
      </c>
      <c r="S52" s="43" t="e">
        <f t="shared" ca="1" si="5"/>
        <v>#VALUE!</v>
      </c>
      <c r="T52" s="43">
        <f t="shared" si="12"/>
        <v>0</v>
      </c>
      <c r="U52" s="226">
        <f>TRUNC(T52*Condições!$C$102,2)</f>
        <v>0</v>
      </c>
      <c r="V52" s="82">
        <f t="shared" ca="1" si="13"/>
        <v>9</v>
      </c>
      <c r="W52" s="231" t="str">
        <f t="shared" si="14"/>
        <v/>
      </c>
      <c r="X52" s="210"/>
      <c r="Y52" s="210"/>
      <c r="Z52" s="210"/>
      <c r="AI52" s="114">
        <f t="shared" si="15"/>
        <v>0</v>
      </c>
      <c r="AJ52" s="113"/>
      <c r="AL52" s="477">
        <f t="shared" ca="1" si="16"/>
        <v>0</v>
      </c>
    </row>
    <row r="53" spans="2:38" ht="12" customHeight="1">
      <c r="B53" s="222">
        <f ca="1">Fixa!B53</f>
        <v>47042</v>
      </c>
      <c r="C53" s="223" t="str">
        <f>Fixa!C53</f>
        <v/>
      </c>
      <c r="D53" s="43" t="e">
        <f t="shared" si="7"/>
        <v>#VALUE!</v>
      </c>
      <c r="E53" s="43" t="e">
        <f t="shared" si="0"/>
        <v>#VALUE!</v>
      </c>
      <c r="F53" s="43" t="e">
        <f t="shared" si="1"/>
        <v>#VALUE!</v>
      </c>
      <c r="G53" s="43" t="e">
        <f t="shared" si="2"/>
        <v>#VALUE!</v>
      </c>
      <c r="H53" s="43" t="e">
        <f t="shared" ca="1" si="3"/>
        <v>#VALUE!</v>
      </c>
      <c r="I53" s="43">
        <f t="shared" si="4"/>
        <v>0</v>
      </c>
      <c r="J53" s="229">
        <f t="shared" si="8"/>
        <v>25</v>
      </c>
      <c r="K53" s="43">
        <f t="shared" si="9"/>
        <v>0</v>
      </c>
      <c r="M53" s="224"/>
      <c r="N53" s="225">
        <f t="shared" si="10"/>
        <v>0</v>
      </c>
      <c r="O53" s="43" t="e">
        <f t="shared" si="11"/>
        <v>#VALUE!</v>
      </c>
      <c r="P53" s="43" t="e">
        <f>ROUND(IF(Preenchimento!$G$39="Tabela Price",R53-Q53,(O52*(1+$AD$35))/($AD$28-C52)),$P$22)</f>
        <v>#VALUE!</v>
      </c>
      <c r="Q53" s="43" t="e">
        <f>IF(Preenchimento!$G$39="Tabela Price",O52*(1+$AD$35)*W53,O52*(1+SAC!$AD$35)*SAC!W53)</f>
        <v>#VALUE!</v>
      </c>
      <c r="R53" s="43" t="e">
        <f>IF(Preenchimento!$G$39="Tabela Price",IF(C53="","",((((((1+W53)^($Q$16-C52))*W53)/((1+W53)^($Q$16-C52)-1))*(O52*(1+$AD$35))))),Q53+P53)</f>
        <v>#VALUE!</v>
      </c>
      <c r="S53" s="43" t="e">
        <f t="shared" ca="1" si="5"/>
        <v>#VALUE!</v>
      </c>
      <c r="T53" s="43">
        <f t="shared" si="12"/>
        <v>0</v>
      </c>
      <c r="U53" s="226">
        <f>TRUNC(T53*Condições!$C$102,2)</f>
        <v>0</v>
      </c>
      <c r="V53" s="82">
        <f t="shared" ca="1" si="13"/>
        <v>10</v>
      </c>
      <c r="W53" s="231" t="str">
        <f t="shared" si="14"/>
        <v/>
      </c>
      <c r="X53" s="210"/>
      <c r="Y53" s="210"/>
      <c r="Z53" s="210"/>
      <c r="AI53" s="114">
        <f t="shared" si="15"/>
        <v>0</v>
      </c>
      <c r="AJ53" s="113"/>
      <c r="AL53" s="477">
        <f t="shared" ca="1" si="16"/>
        <v>0</v>
      </c>
    </row>
    <row r="54" spans="2:38" ht="12" customHeight="1">
      <c r="B54" s="222">
        <f ca="1">Fixa!B54</f>
        <v>47073</v>
      </c>
      <c r="C54" s="223" t="str">
        <f>Fixa!C54</f>
        <v/>
      </c>
      <c r="D54" s="43" t="e">
        <f t="shared" si="7"/>
        <v>#VALUE!</v>
      </c>
      <c r="E54" s="43" t="e">
        <f t="shared" si="0"/>
        <v>#VALUE!</v>
      </c>
      <c r="F54" s="43" t="e">
        <f t="shared" si="1"/>
        <v>#VALUE!</v>
      </c>
      <c r="G54" s="43" t="e">
        <f t="shared" si="2"/>
        <v>#VALUE!</v>
      </c>
      <c r="H54" s="43" t="e">
        <f t="shared" ca="1" si="3"/>
        <v>#VALUE!</v>
      </c>
      <c r="I54" s="43">
        <f t="shared" si="4"/>
        <v>0</v>
      </c>
      <c r="J54" s="229">
        <f t="shared" si="8"/>
        <v>25</v>
      </c>
      <c r="K54" s="43">
        <f t="shared" si="9"/>
        <v>0</v>
      </c>
      <c r="M54" s="224"/>
      <c r="N54" s="225">
        <f t="shared" si="10"/>
        <v>0</v>
      </c>
      <c r="O54" s="43" t="e">
        <f t="shared" si="11"/>
        <v>#VALUE!</v>
      </c>
      <c r="P54" s="43" t="e">
        <f>ROUND(IF(Preenchimento!$G$39="Tabela Price",R54-Q54,(O53*(1+$AD$35))/($AD$28-C53)),$P$22)</f>
        <v>#VALUE!</v>
      </c>
      <c r="Q54" s="43" t="e">
        <f>IF(Preenchimento!$G$39="Tabela Price",O53*(1+$AD$35)*W54,O53*(1+SAC!$AD$35)*SAC!W54)</f>
        <v>#VALUE!</v>
      </c>
      <c r="R54" s="43" t="e">
        <f>IF(Preenchimento!$G$39="Tabela Price",IF(C54="","",((((((1+W54)^($Q$16-C53))*W54)/((1+W54)^($Q$16-C53)-1))*(O53*(1+$AD$35))))),Q54+P54)</f>
        <v>#VALUE!</v>
      </c>
      <c r="S54" s="43" t="e">
        <f t="shared" ca="1" si="5"/>
        <v>#VALUE!</v>
      </c>
      <c r="T54" s="43">
        <f t="shared" si="12"/>
        <v>0</v>
      </c>
      <c r="U54" s="226">
        <f>TRUNC(T54*Condições!$C$102,2)</f>
        <v>0</v>
      </c>
      <c r="V54" s="82">
        <f t="shared" ca="1" si="13"/>
        <v>11</v>
      </c>
      <c r="W54" s="231" t="str">
        <f t="shared" si="14"/>
        <v/>
      </c>
      <c r="X54" s="210"/>
      <c r="Y54" s="210"/>
      <c r="Z54" s="210"/>
      <c r="AI54" s="114">
        <f t="shared" si="15"/>
        <v>0</v>
      </c>
      <c r="AJ54" s="113"/>
      <c r="AL54" s="477">
        <f t="shared" ca="1" si="16"/>
        <v>0</v>
      </c>
    </row>
    <row r="55" spans="2:38" ht="12" customHeight="1">
      <c r="B55" s="222">
        <f ca="1">Fixa!B55</f>
        <v>47103</v>
      </c>
      <c r="C55" s="223" t="str">
        <f>Fixa!C55</f>
        <v/>
      </c>
      <c r="D55" s="43" t="e">
        <f t="shared" si="7"/>
        <v>#VALUE!</v>
      </c>
      <c r="E55" s="43" t="e">
        <f t="shared" si="0"/>
        <v>#VALUE!</v>
      </c>
      <c r="F55" s="43" t="e">
        <f t="shared" si="1"/>
        <v>#VALUE!</v>
      </c>
      <c r="G55" s="43" t="e">
        <f t="shared" si="2"/>
        <v>#VALUE!</v>
      </c>
      <c r="H55" s="43" t="e">
        <f t="shared" ca="1" si="3"/>
        <v>#VALUE!</v>
      </c>
      <c r="I55" s="43">
        <f t="shared" si="4"/>
        <v>0</v>
      </c>
      <c r="J55" s="229">
        <f t="shared" si="8"/>
        <v>25</v>
      </c>
      <c r="K55" s="43">
        <f t="shared" si="9"/>
        <v>0</v>
      </c>
      <c r="M55" s="224"/>
      <c r="N55" s="225">
        <f t="shared" si="10"/>
        <v>0</v>
      </c>
      <c r="O55" s="43" t="e">
        <f t="shared" si="11"/>
        <v>#VALUE!</v>
      </c>
      <c r="P55" s="43" t="e">
        <f>ROUND(IF(Preenchimento!$G$39="Tabela Price",R55-Q55,(O54*(1+$AD$35))/($AD$28-C54)),$P$22)</f>
        <v>#VALUE!</v>
      </c>
      <c r="Q55" s="43" t="e">
        <f>IF(Preenchimento!$G$39="Tabela Price",O54*(1+$AD$35)*W55,O54*(1+SAC!$AD$35)*SAC!W55)</f>
        <v>#VALUE!</v>
      </c>
      <c r="R55" s="43" t="e">
        <f>IF(Preenchimento!$G$39="Tabela Price",IF(C55="","",((((((1+W55)^($Q$16-C54))*W55)/((1+W55)^($Q$16-C54)-1))*(O54*(1+$AD$35))))),Q55+P55)</f>
        <v>#VALUE!</v>
      </c>
      <c r="S55" s="43" t="e">
        <f t="shared" ca="1" si="5"/>
        <v>#VALUE!</v>
      </c>
      <c r="T55" s="43">
        <f t="shared" si="12"/>
        <v>0</v>
      </c>
      <c r="U55" s="226">
        <f>TRUNC(T55*Condições!$C$102,2)</f>
        <v>0</v>
      </c>
      <c r="V55" s="82">
        <f t="shared" ca="1" si="13"/>
        <v>12</v>
      </c>
      <c r="W55" s="231" t="str">
        <f t="shared" si="14"/>
        <v/>
      </c>
      <c r="X55" s="210"/>
      <c r="Y55" s="210"/>
      <c r="Z55" s="210"/>
      <c r="AI55" s="114">
        <f t="shared" si="15"/>
        <v>0</v>
      </c>
      <c r="AJ55" s="113"/>
      <c r="AL55" s="477">
        <f t="shared" ca="1" si="16"/>
        <v>0</v>
      </c>
    </row>
    <row r="56" spans="2:38" ht="12" customHeight="1">
      <c r="B56" s="222">
        <f ca="1">Fixa!B56</f>
        <v>47134</v>
      </c>
      <c r="C56" s="223" t="str">
        <f>Fixa!C56</f>
        <v/>
      </c>
      <c r="D56" s="43" t="e">
        <f t="shared" si="7"/>
        <v>#VALUE!</v>
      </c>
      <c r="E56" s="43" t="e">
        <f t="shared" si="0"/>
        <v>#VALUE!</v>
      </c>
      <c r="F56" s="43" t="e">
        <f t="shared" si="1"/>
        <v>#VALUE!</v>
      </c>
      <c r="G56" s="43" t="e">
        <f t="shared" si="2"/>
        <v>#VALUE!</v>
      </c>
      <c r="H56" s="43" t="e">
        <f t="shared" ca="1" si="3"/>
        <v>#VALUE!</v>
      </c>
      <c r="I56" s="43">
        <f t="shared" si="4"/>
        <v>0</v>
      </c>
      <c r="J56" s="229">
        <f t="shared" si="8"/>
        <v>25</v>
      </c>
      <c r="K56" s="43">
        <f t="shared" si="9"/>
        <v>0</v>
      </c>
      <c r="M56" s="224"/>
      <c r="N56" s="225">
        <f t="shared" si="10"/>
        <v>0</v>
      </c>
      <c r="O56" s="43" t="e">
        <f t="shared" si="11"/>
        <v>#VALUE!</v>
      </c>
      <c r="P56" s="43" t="e">
        <f>ROUND(IF(Preenchimento!$G$39="Tabela Price",R56-Q56,(O55*(1+$AD$35))/($AD$28-C55)),$P$22)</f>
        <v>#VALUE!</v>
      </c>
      <c r="Q56" s="43" t="e">
        <f>IF(Preenchimento!$G$39="Tabela Price",O55*(1+$AD$35)*W56,O55*(1+SAC!$AD$35)*SAC!W56)</f>
        <v>#VALUE!</v>
      </c>
      <c r="R56" s="43" t="e">
        <f>IF(Preenchimento!$G$39="Tabela Price",IF(C56="","",((((((1+W56)^($Q$16-C55))*W56)/((1+W56)^($Q$16-C55)-1))*(O55*(1+$AD$35))))),Q56+P56)</f>
        <v>#VALUE!</v>
      </c>
      <c r="S56" s="43" t="e">
        <f t="shared" ca="1" si="5"/>
        <v>#VALUE!</v>
      </c>
      <c r="T56" s="43">
        <f t="shared" si="12"/>
        <v>0</v>
      </c>
      <c r="U56" s="226">
        <f>TRUNC(T56*Condições!$C$102,2)</f>
        <v>0</v>
      </c>
      <c r="V56" s="82">
        <f t="shared" ca="1" si="13"/>
        <v>1</v>
      </c>
      <c r="W56" s="231" t="str">
        <f t="shared" si="14"/>
        <v/>
      </c>
      <c r="X56" s="210"/>
      <c r="Y56" s="210"/>
      <c r="Z56" s="210"/>
      <c r="AI56" s="114">
        <f t="shared" si="15"/>
        <v>0</v>
      </c>
      <c r="AJ56" s="113"/>
      <c r="AL56" s="477">
        <f t="shared" ca="1" si="16"/>
        <v>0</v>
      </c>
    </row>
    <row r="57" spans="2:38" ht="12" customHeight="1">
      <c r="B57" s="222">
        <f ca="1">Fixa!B57</f>
        <v>47165</v>
      </c>
      <c r="C57" s="223" t="str">
        <f>Fixa!C57</f>
        <v/>
      </c>
      <c r="D57" s="43" t="e">
        <f t="shared" si="7"/>
        <v>#VALUE!</v>
      </c>
      <c r="E57" s="43" t="e">
        <f t="shared" si="0"/>
        <v>#VALUE!</v>
      </c>
      <c r="F57" s="43" t="e">
        <f t="shared" si="1"/>
        <v>#VALUE!</v>
      </c>
      <c r="G57" s="43" t="e">
        <f t="shared" si="2"/>
        <v>#VALUE!</v>
      </c>
      <c r="H57" s="43" t="e">
        <f t="shared" ca="1" si="3"/>
        <v>#VALUE!</v>
      </c>
      <c r="I57" s="43">
        <f t="shared" si="4"/>
        <v>0</v>
      </c>
      <c r="J57" s="229">
        <f t="shared" si="8"/>
        <v>25</v>
      </c>
      <c r="K57" s="43">
        <f t="shared" si="9"/>
        <v>0</v>
      </c>
      <c r="M57" s="224"/>
      <c r="N57" s="225">
        <f t="shared" si="10"/>
        <v>0</v>
      </c>
      <c r="O57" s="43" t="e">
        <f t="shared" si="11"/>
        <v>#VALUE!</v>
      </c>
      <c r="P57" s="43" t="e">
        <f>ROUND(IF(Preenchimento!$G$39="Tabela Price",R57-Q57,(O56*(1+$AD$35))/($AD$28-C56)),$P$22)</f>
        <v>#VALUE!</v>
      </c>
      <c r="Q57" s="43" t="e">
        <f>IF(Preenchimento!$G$39="Tabela Price",O56*(1+$AD$35)*W57,O56*(1+SAC!$AD$35)*SAC!W57)</f>
        <v>#VALUE!</v>
      </c>
      <c r="R57" s="43" t="e">
        <f>IF(Preenchimento!$G$39="Tabela Price",IF(C57="","",((((((1+W57)^($Q$16-C56))*W57)/((1+W57)^($Q$16-C56)-1))*(O56*(1+$AD$35))))),Q57+P57)</f>
        <v>#VALUE!</v>
      </c>
      <c r="S57" s="43" t="e">
        <f t="shared" ca="1" si="5"/>
        <v>#VALUE!</v>
      </c>
      <c r="T57" s="43">
        <f t="shared" si="12"/>
        <v>0</v>
      </c>
      <c r="U57" s="226">
        <f>TRUNC(T57*Condições!$C$102,2)</f>
        <v>0</v>
      </c>
      <c r="V57" s="82">
        <f t="shared" ca="1" si="13"/>
        <v>2</v>
      </c>
      <c r="W57" s="231" t="str">
        <f t="shared" si="14"/>
        <v/>
      </c>
      <c r="X57" s="210"/>
      <c r="Y57" s="210"/>
      <c r="Z57" s="210"/>
      <c r="AI57" s="114">
        <f t="shared" si="15"/>
        <v>0</v>
      </c>
      <c r="AJ57" s="113"/>
      <c r="AL57" s="477">
        <f t="shared" ca="1" si="16"/>
        <v>0</v>
      </c>
    </row>
    <row r="58" spans="2:38" ht="12" customHeight="1">
      <c r="B58" s="222">
        <f ca="1">Fixa!B58</f>
        <v>47193</v>
      </c>
      <c r="C58" s="223" t="str">
        <f>Fixa!C58</f>
        <v/>
      </c>
      <c r="D58" s="43" t="e">
        <f t="shared" si="7"/>
        <v>#VALUE!</v>
      </c>
      <c r="E58" s="43" t="e">
        <f t="shared" si="0"/>
        <v>#VALUE!</v>
      </c>
      <c r="F58" s="43" t="e">
        <f t="shared" si="1"/>
        <v>#VALUE!</v>
      </c>
      <c r="G58" s="43" t="e">
        <f t="shared" si="2"/>
        <v>#VALUE!</v>
      </c>
      <c r="H58" s="43" t="e">
        <f t="shared" ca="1" si="3"/>
        <v>#VALUE!</v>
      </c>
      <c r="I58" s="43">
        <f t="shared" si="4"/>
        <v>0</v>
      </c>
      <c r="J58" s="229">
        <f t="shared" si="8"/>
        <v>25</v>
      </c>
      <c r="K58" s="43">
        <f t="shared" si="9"/>
        <v>0</v>
      </c>
      <c r="M58" s="224"/>
      <c r="N58" s="225">
        <f t="shared" si="10"/>
        <v>0</v>
      </c>
      <c r="O58" s="43" t="e">
        <f t="shared" si="11"/>
        <v>#VALUE!</v>
      </c>
      <c r="P58" s="43" t="e">
        <f>ROUND(IF(Preenchimento!$G$39="Tabela Price",R58-Q58,(O57*(1+$AD$35))/($AD$28-C57)),$P$22)</f>
        <v>#VALUE!</v>
      </c>
      <c r="Q58" s="43" t="e">
        <f>IF(Preenchimento!$G$39="Tabela Price",O57*(1+$AD$35)*W58,O57*(1+SAC!$AD$35)*SAC!W58)</f>
        <v>#VALUE!</v>
      </c>
      <c r="R58" s="43" t="e">
        <f>IF(Preenchimento!$G$39="Tabela Price",IF(C58="","",((((((1+W58)^($Q$16-C57))*W58)/((1+W58)^($Q$16-C57)-1))*(O57*(1+$AD$35))))),Q58+P58)</f>
        <v>#VALUE!</v>
      </c>
      <c r="S58" s="43" t="e">
        <f t="shared" ca="1" si="5"/>
        <v>#VALUE!</v>
      </c>
      <c r="T58" s="43">
        <f t="shared" si="12"/>
        <v>0</v>
      </c>
      <c r="U58" s="226">
        <f>TRUNC(T58*Condições!$C$102,2)</f>
        <v>0</v>
      </c>
      <c r="V58" s="82">
        <f t="shared" ca="1" si="13"/>
        <v>3</v>
      </c>
      <c r="W58" s="231" t="str">
        <f t="shared" si="14"/>
        <v/>
      </c>
      <c r="X58" s="210"/>
      <c r="Y58" s="210"/>
      <c r="Z58" s="210"/>
      <c r="AI58" s="114">
        <f t="shared" si="15"/>
        <v>0</v>
      </c>
      <c r="AJ58" s="113"/>
      <c r="AL58" s="477">
        <f t="shared" ca="1" si="16"/>
        <v>0</v>
      </c>
    </row>
    <row r="59" spans="2:38" ht="12" customHeight="1">
      <c r="B59" s="222">
        <f ca="1">Fixa!B59</f>
        <v>47224</v>
      </c>
      <c r="C59" s="223" t="str">
        <f>Fixa!C59</f>
        <v/>
      </c>
      <c r="D59" s="43" t="e">
        <f t="shared" si="7"/>
        <v>#VALUE!</v>
      </c>
      <c r="E59" s="43" t="e">
        <f t="shared" si="0"/>
        <v>#VALUE!</v>
      </c>
      <c r="F59" s="43" t="e">
        <f t="shared" si="1"/>
        <v>#VALUE!</v>
      </c>
      <c r="G59" s="43" t="e">
        <f t="shared" si="2"/>
        <v>#VALUE!</v>
      </c>
      <c r="H59" s="43" t="e">
        <f t="shared" ca="1" si="3"/>
        <v>#VALUE!</v>
      </c>
      <c r="I59" s="43">
        <f t="shared" si="4"/>
        <v>0</v>
      </c>
      <c r="J59" s="229">
        <f t="shared" si="8"/>
        <v>25</v>
      </c>
      <c r="K59" s="43">
        <f t="shared" si="9"/>
        <v>0</v>
      </c>
      <c r="M59" s="224"/>
      <c r="N59" s="225">
        <f t="shared" si="10"/>
        <v>0</v>
      </c>
      <c r="O59" s="43" t="e">
        <f t="shared" si="11"/>
        <v>#VALUE!</v>
      </c>
      <c r="P59" s="43" t="e">
        <f>ROUND(IF(Preenchimento!$G$39="Tabela Price",R59-Q59,(O58*(1+$AD$35))/($AD$28-C58)),$P$22)</f>
        <v>#VALUE!</v>
      </c>
      <c r="Q59" s="43" t="e">
        <f>IF(Preenchimento!$G$39="Tabela Price",O58*(1+$AD$35)*W59,O58*(1+SAC!$AD$35)*SAC!W59)</f>
        <v>#VALUE!</v>
      </c>
      <c r="R59" s="43" t="e">
        <f>IF(Preenchimento!$G$39="Tabela Price",IF(C59="","",((((((1+W59)^($Q$16-C58))*W59)/((1+W59)^($Q$16-C58)-1))*(O58*(1+$AD$35))))),Q59+P59)</f>
        <v>#VALUE!</v>
      </c>
      <c r="S59" s="43" t="e">
        <f t="shared" ca="1" si="5"/>
        <v>#VALUE!</v>
      </c>
      <c r="T59" s="43">
        <f t="shared" si="12"/>
        <v>0</v>
      </c>
      <c r="U59" s="226">
        <f>TRUNC(T59*Condições!$C$102,2)</f>
        <v>0</v>
      </c>
      <c r="V59" s="82">
        <f t="shared" ca="1" si="13"/>
        <v>4</v>
      </c>
      <c r="W59" s="231" t="str">
        <f t="shared" si="14"/>
        <v/>
      </c>
      <c r="X59" s="210"/>
      <c r="Y59" s="210"/>
      <c r="Z59" s="210"/>
      <c r="AI59" s="114">
        <f t="shared" si="15"/>
        <v>0</v>
      </c>
      <c r="AJ59" s="113"/>
      <c r="AL59" s="477">
        <f t="shared" ca="1" si="16"/>
        <v>0</v>
      </c>
    </row>
    <row r="60" spans="2:38" ht="12" customHeight="1">
      <c r="B60" s="222">
        <f ca="1">Fixa!B60</f>
        <v>47254</v>
      </c>
      <c r="C60" s="223" t="str">
        <f>Fixa!C60</f>
        <v/>
      </c>
      <c r="D60" s="43" t="e">
        <f t="shared" si="7"/>
        <v>#VALUE!</v>
      </c>
      <c r="E60" s="43" t="e">
        <f t="shared" si="0"/>
        <v>#VALUE!</v>
      </c>
      <c r="F60" s="43" t="e">
        <f t="shared" si="1"/>
        <v>#VALUE!</v>
      </c>
      <c r="G60" s="43" t="e">
        <f t="shared" si="2"/>
        <v>#VALUE!</v>
      </c>
      <c r="H60" s="43" t="e">
        <f t="shared" ca="1" si="3"/>
        <v>#VALUE!</v>
      </c>
      <c r="I60" s="43">
        <f t="shared" si="4"/>
        <v>0</v>
      </c>
      <c r="J60" s="229">
        <f t="shared" si="8"/>
        <v>25</v>
      </c>
      <c r="K60" s="43">
        <f t="shared" si="9"/>
        <v>0</v>
      </c>
      <c r="M60" s="224"/>
      <c r="N60" s="225">
        <f t="shared" si="10"/>
        <v>0</v>
      </c>
      <c r="O60" s="43" t="e">
        <f t="shared" si="11"/>
        <v>#VALUE!</v>
      </c>
      <c r="P60" s="43" t="e">
        <f>ROUND(IF(Preenchimento!$G$39="Tabela Price",R60-Q60,(O59*(1+$AD$35))/($AD$28-C59)),$P$22)</f>
        <v>#VALUE!</v>
      </c>
      <c r="Q60" s="43" t="e">
        <f>IF(Preenchimento!$G$39="Tabela Price",O59*(1+$AD$35)*W60,O59*(1+SAC!$AD$35)*SAC!W60)</f>
        <v>#VALUE!</v>
      </c>
      <c r="R60" s="43" t="e">
        <f>IF(Preenchimento!$G$39="Tabela Price",IF(C60="","",((((((1+W60)^($Q$16-C59))*W60)/((1+W60)^($Q$16-C59)-1))*(O59*(1+$AD$35))))),Q60+P60)</f>
        <v>#VALUE!</v>
      </c>
      <c r="S60" s="43" t="e">
        <f t="shared" ca="1" si="5"/>
        <v>#VALUE!</v>
      </c>
      <c r="T60" s="43">
        <f t="shared" si="12"/>
        <v>0</v>
      </c>
      <c r="U60" s="226">
        <f>TRUNC(T60*Condições!$C$102,2)</f>
        <v>0</v>
      </c>
      <c r="V60" s="82">
        <f t="shared" ca="1" si="13"/>
        <v>5</v>
      </c>
      <c r="W60" s="231" t="str">
        <f t="shared" si="14"/>
        <v/>
      </c>
      <c r="X60" s="210"/>
      <c r="Y60" s="210"/>
      <c r="Z60" s="210"/>
      <c r="AI60" s="114">
        <f t="shared" si="15"/>
        <v>0</v>
      </c>
      <c r="AJ60" s="113"/>
      <c r="AL60" s="477">
        <f t="shared" ca="1" si="16"/>
        <v>0</v>
      </c>
    </row>
    <row r="61" spans="2:38" ht="12" customHeight="1">
      <c r="B61" s="222">
        <f ca="1">Fixa!B61</f>
        <v>47285</v>
      </c>
      <c r="C61" s="223" t="str">
        <f>Fixa!C61</f>
        <v/>
      </c>
      <c r="D61" s="43" t="e">
        <f t="shared" si="7"/>
        <v>#VALUE!</v>
      </c>
      <c r="E61" s="43" t="e">
        <f t="shared" si="0"/>
        <v>#VALUE!</v>
      </c>
      <c r="F61" s="43" t="e">
        <f t="shared" si="1"/>
        <v>#VALUE!</v>
      </c>
      <c r="G61" s="43" t="e">
        <f t="shared" si="2"/>
        <v>#VALUE!</v>
      </c>
      <c r="H61" s="43" t="e">
        <f t="shared" ca="1" si="3"/>
        <v>#VALUE!</v>
      </c>
      <c r="I61" s="43">
        <f t="shared" si="4"/>
        <v>0</v>
      </c>
      <c r="J61" s="229">
        <f t="shared" si="8"/>
        <v>25</v>
      </c>
      <c r="K61" s="43">
        <f t="shared" si="9"/>
        <v>0</v>
      </c>
      <c r="M61" s="224"/>
      <c r="N61" s="225">
        <f t="shared" si="10"/>
        <v>0</v>
      </c>
      <c r="O61" s="43" t="e">
        <f t="shared" si="11"/>
        <v>#VALUE!</v>
      </c>
      <c r="P61" s="43" t="e">
        <f>ROUND(IF(Preenchimento!$G$39="Tabela Price",R61-Q61,(O60*(1+$AD$35))/($AD$28-C60)),$P$22)</f>
        <v>#VALUE!</v>
      </c>
      <c r="Q61" s="43" t="e">
        <f>IF(Preenchimento!$G$39="Tabela Price",O60*(1+$AD$35)*W61,O60*(1+SAC!$AD$35)*SAC!W61)</f>
        <v>#VALUE!</v>
      </c>
      <c r="R61" s="43" t="e">
        <f>IF(Preenchimento!$G$39="Tabela Price",IF(C61="","",((((((1+W61)^($Q$16-C60))*W61)/((1+W61)^($Q$16-C60)-1))*(O60*(1+$AD$35))))),Q61+P61)</f>
        <v>#VALUE!</v>
      </c>
      <c r="S61" s="43" t="e">
        <f t="shared" ca="1" si="5"/>
        <v>#VALUE!</v>
      </c>
      <c r="T61" s="43">
        <f t="shared" si="12"/>
        <v>0</v>
      </c>
      <c r="U61" s="226">
        <f>TRUNC(T61*Condições!$C$102,2)</f>
        <v>0</v>
      </c>
      <c r="V61" s="82">
        <f t="shared" ca="1" si="13"/>
        <v>6</v>
      </c>
      <c r="W61" s="231" t="str">
        <f t="shared" si="14"/>
        <v/>
      </c>
      <c r="X61" s="210"/>
      <c r="Y61" s="210"/>
      <c r="Z61" s="210"/>
      <c r="AI61" s="114">
        <f t="shared" si="15"/>
        <v>0</v>
      </c>
      <c r="AJ61" s="113"/>
      <c r="AL61" s="477">
        <f t="shared" ca="1" si="16"/>
        <v>0</v>
      </c>
    </row>
    <row r="62" spans="2:38" ht="12" customHeight="1">
      <c r="B62" s="222">
        <f ca="1">Fixa!B62</f>
        <v>47315</v>
      </c>
      <c r="C62" s="223" t="str">
        <f>Fixa!C62</f>
        <v/>
      </c>
      <c r="D62" s="43" t="e">
        <f t="shared" si="7"/>
        <v>#VALUE!</v>
      </c>
      <c r="E62" s="43" t="e">
        <f t="shared" si="0"/>
        <v>#VALUE!</v>
      </c>
      <c r="F62" s="43" t="e">
        <f t="shared" si="1"/>
        <v>#VALUE!</v>
      </c>
      <c r="G62" s="43" t="e">
        <f t="shared" si="2"/>
        <v>#VALUE!</v>
      </c>
      <c r="H62" s="43" t="e">
        <f t="shared" ca="1" si="3"/>
        <v>#VALUE!</v>
      </c>
      <c r="I62" s="43">
        <f t="shared" si="4"/>
        <v>0</v>
      </c>
      <c r="J62" s="229">
        <f t="shared" si="8"/>
        <v>25</v>
      </c>
      <c r="K62" s="43">
        <f t="shared" si="9"/>
        <v>0</v>
      </c>
      <c r="M62" s="224"/>
      <c r="N62" s="225">
        <f t="shared" si="10"/>
        <v>0</v>
      </c>
      <c r="O62" s="43" t="e">
        <f t="shared" si="11"/>
        <v>#VALUE!</v>
      </c>
      <c r="P62" s="43" t="e">
        <f>ROUND(IF(Preenchimento!$G$39="Tabela Price",R62-Q62,(O61*(1+$AD$35))/($AD$28-C61)),$P$22)</f>
        <v>#VALUE!</v>
      </c>
      <c r="Q62" s="43" t="e">
        <f>IF(Preenchimento!$G$39="Tabela Price",O61*(1+$AD$35)*W62,O61*(1+SAC!$AD$35)*SAC!W62)</f>
        <v>#VALUE!</v>
      </c>
      <c r="R62" s="43" t="e">
        <f>IF(Preenchimento!$G$39="Tabela Price",IF(C62="","",((((((1+W62)^($Q$16-C61))*W62)/((1+W62)^($Q$16-C61)-1))*(O61*(1+$AD$35))))),Q62+P62)</f>
        <v>#VALUE!</v>
      </c>
      <c r="S62" s="43" t="e">
        <f t="shared" ca="1" si="5"/>
        <v>#VALUE!</v>
      </c>
      <c r="T62" s="43">
        <f t="shared" si="12"/>
        <v>0</v>
      </c>
      <c r="U62" s="226">
        <f>TRUNC(T62*Condições!$C$102,2)</f>
        <v>0</v>
      </c>
      <c r="V62" s="82">
        <f t="shared" ca="1" si="13"/>
        <v>7</v>
      </c>
      <c r="W62" s="231" t="str">
        <f t="shared" si="14"/>
        <v/>
      </c>
      <c r="X62" s="210"/>
      <c r="Y62" s="210"/>
      <c r="Z62" s="210"/>
      <c r="AI62" s="114">
        <f t="shared" si="15"/>
        <v>0</v>
      </c>
      <c r="AJ62" s="113"/>
      <c r="AL62" s="477">
        <f t="shared" ca="1" si="16"/>
        <v>0</v>
      </c>
    </row>
    <row r="63" spans="2:38" ht="12" customHeight="1">
      <c r="B63" s="222">
        <f ca="1">Fixa!B63</f>
        <v>47346</v>
      </c>
      <c r="C63" s="223" t="str">
        <f>Fixa!C63</f>
        <v/>
      </c>
      <c r="D63" s="43" t="e">
        <f t="shared" si="7"/>
        <v>#VALUE!</v>
      </c>
      <c r="E63" s="43" t="e">
        <f t="shared" si="0"/>
        <v>#VALUE!</v>
      </c>
      <c r="F63" s="43" t="e">
        <f t="shared" si="1"/>
        <v>#VALUE!</v>
      </c>
      <c r="G63" s="43" t="e">
        <f t="shared" si="2"/>
        <v>#VALUE!</v>
      </c>
      <c r="H63" s="43" t="e">
        <f t="shared" ca="1" si="3"/>
        <v>#VALUE!</v>
      </c>
      <c r="I63" s="43">
        <f t="shared" si="4"/>
        <v>0</v>
      </c>
      <c r="J63" s="229">
        <f t="shared" si="8"/>
        <v>25</v>
      </c>
      <c r="K63" s="43">
        <f t="shared" si="9"/>
        <v>0</v>
      </c>
      <c r="M63" s="224"/>
      <c r="N63" s="225">
        <f t="shared" si="10"/>
        <v>0</v>
      </c>
      <c r="O63" s="43" t="e">
        <f t="shared" si="11"/>
        <v>#VALUE!</v>
      </c>
      <c r="P63" s="43" t="e">
        <f>ROUND(IF(Preenchimento!$G$39="Tabela Price",R63-Q63,(O62*(1+$AD$35))/($AD$28-C62)),$P$22)</f>
        <v>#VALUE!</v>
      </c>
      <c r="Q63" s="43" t="e">
        <f>IF(Preenchimento!$G$39="Tabela Price",O62*(1+$AD$35)*W63,O62*(1+SAC!$AD$35)*SAC!W63)</f>
        <v>#VALUE!</v>
      </c>
      <c r="R63" s="43" t="e">
        <f>IF(Preenchimento!$G$39="Tabela Price",IF(C63="","",((((((1+W63)^($Q$16-C62))*W63)/((1+W63)^($Q$16-C62)-1))*(O62*(1+$AD$35))))),Q63+P63)</f>
        <v>#VALUE!</v>
      </c>
      <c r="S63" s="43" t="e">
        <f t="shared" ca="1" si="5"/>
        <v>#VALUE!</v>
      </c>
      <c r="T63" s="43">
        <f t="shared" si="12"/>
        <v>0</v>
      </c>
      <c r="U63" s="226">
        <f>TRUNC(T63*Condições!$C$102,2)</f>
        <v>0</v>
      </c>
      <c r="V63" s="82">
        <f t="shared" ca="1" si="13"/>
        <v>8</v>
      </c>
      <c r="W63" s="231" t="str">
        <f t="shared" si="14"/>
        <v/>
      </c>
      <c r="X63" s="210"/>
      <c r="Y63" s="210"/>
      <c r="Z63" s="210"/>
      <c r="AI63" s="114">
        <f t="shared" si="15"/>
        <v>0</v>
      </c>
      <c r="AJ63" s="113"/>
      <c r="AL63" s="477">
        <f t="shared" ca="1" si="16"/>
        <v>0</v>
      </c>
    </row>
    <row r="64" spans="2:38" ht="12" customHeight="1">
      <c r="B64" s="222">
        <f ca="1">Fixa!B64</f>
        <v>47377</v>
      </c>
      <c r="C64" s="223" t="str">
        <f>Fixa!C64</f>
        <v/>
      </c>
      <c r="D64" s="43" t="e">
        <f t="shared" si="7"/>
        <v>#VALUE!</v>
      </c>
      <c r="E64" s="43" t="e">
        <f t="shared" si="0"/>
        <v>#VALUE!</v>
      </c>
      <c r="F64" s="43" t="e">
        <f t="shared" si="1"/>
        <v>#VALUE!</v>
      </c>
      <c r="G64" s="43" t="e">
        <f t="shared" si="2"/>
        <v>#VALUE!</v>
      </c>
      <c r="H64" s="43" t="e">
        <f t="shared" ca="1" si="3"/>
        <v>#VALUE!</v>
      </c>
      <c r="I64" s="43">
        <f t="shared" si="4"/>
        <v>0</v>
      </c>
      <c r="J64" s="229">
        <f t="shared" si="8"/>
        <v>25</v>
      </c>
      <c r="K64" s="43">
        <f t="shared" si="9"/>
        <v>0</v>
      </c>
      <c r="M64" s="224"/>
      <c r="N64" s="225">
        <f t="shared" si="10"/>
        <v>0</v>
      </c>
      <c r="O64" s="43" t="e">
        <f t="shared" si="11"/>
        <v>#VALUE!</v>
      </c>
      <c r="P64" s="43" t="e">
        <f>ROUND(IF(Preenchimento!$G$39="Tabela Price",R64-Q64,(O63*(1+$AD$35))/($AD$28-C63)),$P$22)</f>
        <v>#VALUE!</v>
      </c>
      <c r="Q64" s="43" t="e">
        <f>IF(Preenchimento!$G$39="Tabela Price",O63*(1+$AD$35)*W64,O63*(1+SAC!$AD$35)*SAC!W64)</f>
        <v>#VALUE!</v>
      </c>
      <c r="R64" s="43" t="e">
        <f>IF(Preenchimento!$G$39="Tabela Price",IF(C64="","",((((((1+W64)^($Q$16-C63))*W64)/((1+W64)^($Q$16-C63)-1))*(O63*(1+$AD$35))))),Q64+P64)</f>
        <v>#VALUE!</v>
      </c>
      <c r="S64" s="43" t="e">
        <f t="shared" ca="1" si="5"/>
        <v>#VALUE!</v>
      </c>
      <c r="T64" s="43">
        <f t="shared" si="12"/>
        <v>0</v>
      </c>
      <c r="U64" s="226">
        <f>TRUNC(T64*Condições!$C$102,2)</f>
        <v>0</v>
      </c>
      <c r="V64" s="82">
        <f t="shared" ca="1" si="13"/>
        <v>9</v>
      </c>
      <c r="W64" s="231" t="str">
        <f t="shared" si="14"/>
        <v/>
      </c>
      <c r="X64" s="210"/>
      <c r="Y64" s="210"/>
      <c r="Z64" s="210"/>
      <c r="AI64" s="114">
        <f t="shared" si="15"/>
        <v>0</v>
      </c>
      <c r="AJ64" s="113"/>
      <c r="AL64" s="477">
        <f t="shared" ca="1" si="16"/>
        <v>0</v>
      </c>
    </row>
    <row r="65" spans="2:38" ht="12" customHeight="1">
      <c r="B65" s="222">
        <f ca="1">Fixa!B65</f>
        <v>47407</v>
      </c>
      <c r="C65" s="223" t="str">
        <f>Fixa!C65</f>
        <v/>
      </c>
      <c r="D65" s="43" t="e">
        <f t="shared" si="7"/>
        <v>#VALUE!</v>
      </c>
      <c r="E65" s="43" t="e">
        <f t="shared" si="0"/>
        <v>#VALUE!</v>
      </c>
      <c r="F65" s="43" t="e">
        <f t="shared" si="1"/>
        <v>#VALUE!</v>
      </c>
      <c r="G65" s="43" t="e">
        <f t="shared" si="2"/>
        <v>#VALUE!</v>
      </c>
      <c r="H65" s="43" t="e">
        <f t="shared" ca="1" si="3"/>
        <v>#VALUE!</v>
      </c>
      <c r="I65" s="43">
        <f t="shared" si="4"/>
        <v>0</v>
      </c>
      <c r="J65" s="229">
        <f t="shared" si="8"/>
        <v>25</v>
      </c>
      <c r="K65" s="43">
        <f t="shared" si="9"/>
        <v>0</v>
      </c>
      <c r="M65" s="224"/>
      <c r="N65" s="225">
        <f t="shared" si="10"/>
        <v>0</v>
      </c>
      <c r="O65" s="43" t="e">
        <f t="shared" si="11"/>
        <v>#VALUE!</v>
      </c>
      <c r="P65" s="43" t="e">
        <f>ROUND(IF(Preenchimento!$G$39="Tabela Price",R65-Q65,(O64*(1+$AD$35))/($AD$28-C64)),$P$22)</f>
        <v>#VALUE!</v>
      </c>
      <c r="Q65" s="43" t="e">
        <f>IF(Preenchimento!$G$39="Tabela Price",O64*(1+$AD$35)*W65,O64*(1+SAC!$AD$35)*SAC!W65)</f>
        <v>#VALUE!</v>
      </c>
      <c r="R65" s="43" t="e">
        <f>IF(Preenchimento!$G$39="Tabela Price",IF(C65="","",((((((1+W65)^($Q$16-C64))*W65)/((1+W65)^($Q$16-C64)-1))*(O64*(1+$AD$35))))),Q65+P65)</f>
        <v>#VALUE!</v>
      </c>
      <c r="S65" s="43" t="e">
        <f t="shared" ca="1" si="5"/>
        <v>#VALUE!</v>
      </c>
      <c r="T65" s="43">
        <f t="shared" si="12"/>
        <v>0</v>
      </c>
      <c r="U65" s="226">
        <f>TRUNC(T65*Condições!$C$102,2)</f>
        <v>0</v>
      </c>
      <c r="V65" s="82">
        <f t="shared" ca="1" si="13"/>
        <v>10</v>
      </c>
      <c r="W65" s="231" t="str">
        <f t="shared" si="14"/>
        <v/>
      </c>
      <c r="X65" s="210"/>
      <c r="Y65" s="210"/>
      <c r="Z65" s="210"/>
      <c r="AI65" s="114">
        <f t="shared" si="15"/>
        <v>0</v>
      </c>
      <c r="AJ65" s="113"/>
      <c r="AL65" s="477">
        <f t="shared" ca="1" si="16"/>
        <v>0</v>
      </c>
    </row>
    <row r="66" spans="2:38" ht="12" customHeight="1">
      <c r="B66" s="222">
        <f ca="1">Fixa!B66</f>
        <v>47438</v>
      </c>
      <c r="C66" s="223" t="str">
        <f>Fixa!C66</f>
        <v/>
      </c>
      <c r="D66" s="43" t="e">
        <f t="shared" si="7"/>
        <v>#VALUE!</v>
      </c>
      <c r="E66" s="43" t="e">
        <f t="shared" si="0"/>
        <v>#VALUE!</v>
      </c>
      <c r="F66" s="43" t="e">
        <f t="shared" si="1"/>
        <v>#VALUE!</v>
      </c>
      <c r="G66" s="43" t="e">
        <f t="shared" si="2"/>
        <v>#VALUE!</v>
      </c>
      <c r="H66" s="43" t="e">
        <f t="shared" ca="1" si="3"/>
        <v>#VALUE!</v>
      </c>
      <c r="I66" s="43">
        <f t="shared" si="4"/>
        <v>0</v>
      </c>
      <c r="J66" s="229">
        <f t="shared" si="8"/>
        <v>25</v>
      </c>
      <c r="K66" s="43">
        <f t="shared" si="9"/>
        <v>0</v>
      </c>
      <c r="M66" s="224"/>
      <c r="N66" s="225">
        <f t="shared" si="10"/>
        <v>0</v>
      </c>
      <c r="O66" s="43" t="e">
        <f t="shared" si="11"/>
        <v>#VALUE!</v>
      </c>
      <c r="P66" s="43" t="e">
        <f>ROUND(IF(Preenchimento!$G$39="Tabela Price",R66-Q66,(O65*(1+$AD$35))/($AD$28-C65)),$P$22)</f>
        <v>#VALUE!</v>
      </c>
      <c r="Q66" s="43" t="e">
        <f>IF(Preenchimento!$G$39="Tabela Price",O65*(1+$AD$35)*W66,O65*(1+SAC!$AD$35)*SAC!W66)</f>
        <v>#VALUE!</v>
      </c>
      <c r="R66" s="43" t="e">
        <f>IF(Preenchimento!$G$39="Tabela Price",IF(C66="","",((((((1+W66)^($Q$16-C65))*W66)/((1+W66)^($Q$16-C65)-1))*(O65*(1+$AD$35))))),Q66+P66)</f>
        <v>#VALUE!</v>
      </c>
      <c r="S66" s="43" t="e">
        <f t="shared" ca="1" si="5"/>
        <v>#VALUE!</v>
      </c>
      <c r="T66" s="43">
        <f t="shared" si="12"/>
        <v>0</v>
      </c>
      <c r="U66" s="226">
        <f>TRUNC(T66*Condições!$C$102,2)</f>
        <v>0</v>
      </c>
      <c r="V66" s="82">
        <f t="shared" ca="1" si="13"/>
        <v>11</v>
      </c>
      <c r="W66" s="231" t="str">
        <f t="shared" si="14"/>
        <v/>
      </c>
      <c r="X66" s="210"/>
      <c r="Y66" s="210"/>
      <c r="Z66" s="210"/>
      <c r="AI66" s="114">
        <f t="shared" si="15"/>
        <v>0</v>
      </c>
      <c r="AJ66" s="113"/>
      <c r="AL66" s="477">
        <f t="shared" ca="1" si="16"/>
        <v>0</v>
      </c>
    </row>
    <row r="67" spans="2:38" ht="12" customHeight="1">
      <c r="B67" s="222">
        <f ca="1">Fixa!B67</f>
        <v>47468</v>
      </c>
      <c r="C67" s="223" t="str">
        <f>Fixa!C67</f>
        <v/>
      </c>
      <c r="D67" s="43" t="e">
        <f t="shared" si="7"/>
        <v>#VALUE!</v>
      </c>
      <c r="E67" s="43" t="e">
        <f t="shared" si="0"/>
        <v>#VALUE!</v>
      </c>
      <c r="F67" s="43" t="e">
        <f t="shared" si="1"/>
        <v>#VALUE!</v>
      </c>
      <c r="G67" s="43" t="e">
        <f t="shared" si="2"/>
        <v>#VALUE!</v>
      </c>
      <c r="H67" s="43" t="e">
        <f t="shared" ca="1" si="3"/>
        <v>#VALUE!</v>
      </c>
      <c r="I67" s="43">
        <f t="shared" si="4"/>
        <v>0</v>
      </c>
      <c r="J67" s="229">
        <f t="shared" si="8"/>
        <v>25</v>
      </c>
      <c r="K67" s="43">
        <f t="shared" si="9"/>
        <v>0</v>
      </c>
      <c r="M67" s="224"/>
      <c r="N67" s="225">
        <f t="shared" si="10"/>
        <v>0</v>
      </c>
      <c r="O67" s="43" t="e">
        <f t="shared" si="11"/>
        <v>#VALUE!</v>
      </c>
      <c r="P67" s="43" t="e">
        <f>ROUND(IF(Preenchimento!$G$39="Tabela Price",R67-Q67,(O66*(1+$AD$35))/($AD$28-C66)),$P$22)</f>
        <v>#VALUE!</v>
      </c>
      <c r="Q67" s="43" t="e">
        <f>IF(Preenchimento!$G$39="Tabela Price",O66*(1+$AD$35)*W67,O66*(1+SAC!$AD$35)*SAC!W67)</f>
        <v>#VALUE!</v>
      </c>
      <c r="R67" s="43" t="e">
        <f>IF(Preenchimento!$G$39="Tabela Price",IF(C67="","",((((((1+W67)^($Q$16-C66))*W67)/((1+W67)^($Q$16-C66)-1))*(O66*(1+$AD$35))))),Q67+P67)</f>
        <v>#VALUE!</v>
      </c>
      <c r="S67" s="43" t="e">
        <f t="shared" ca="1" si="5"/>
        <v>#VALUE!</v>
      </c>
      <c r="T67" s="43">
        <f t="shared" si="12"/>
        <v>0</v>
      </c>
      <c r="U67" s="226">
        <f>TRUNC(T67*Condições!$C$102,2)</f>
        <v>0</v>
      </c>
      <c r="V67" s="82">
        <f t="shared" ca="1" si="13"/>
        <v>12</v>
      </c>
      <c r="W67" s="231" t="str">
        <f t="shared" si="14"/>
        <v/>
      </c>
      <c r="X67" s="210"/>
      <c r="Y67" s="210"/>
      <c r="Z67" s="210"/>
      <c r="AI67" s="114">
        <f t="shared" si="15"/>
        <v>0</v>
      </c>
      <c r="AJ67" s="113"/>
      <c r="AL67" s="477">
        <f t="shared" ca="1" si="16"/>
        <v>0</v>
      </c>
    </row>
    <row r="68" spans="2:38" ht="12" customHeight="1">
      <c r="B68" s="222">
        <f ca="1">Fixa!B68</f>
        <v>47499</v>
      </c>
      <c r="C68" s="223" t="str">
        <f>Fixa!C68</f>
        <v/>
      </c>
      <c r="D68" s="43" t="e">
        <f t="shared" si="7"/>
        <v>#VALUE!</v>
      </c>
      <c r="E68" s="43" t="e">
        <f t="shared" si="0"/>
        <v>#VALUE!</v>
      </c>
      <c r="F68" s="43" t="e">
        <f t="shared" si="1"/>
        <v>#VALUE!</v>
      </c>
      <c r="G68" s="43" t="e">
        <f t="shared" si="2"/>
        <v>#VALUE!</v>
      </c>
      <c r="H68" s="43" t="e">
        <f t="shared" ca="1" si="3"/>
        <v>#VALUE!</v>
      </c>
      <c r="I68" s="43">
        <f t="shared" si="4"/>
        <v>0</v>
      </c>
      <c r="J68" s="229">
        <f t="shared" si="8"/>
        <v>25</v>
      </c>
      <c r="K68" s="43">
        <f t="shared" si="9"/>
        <v>0</v>
      </c>
      <c r="M68" s="224"/>
      <c r="N68" s="225">
        <f t="shared" si="10"/>
        <v>0</v>
      </c>
      <c r="O68" s="43" t="e">
        <f t="shared" si="11"/>
        <v>#VALUE!</v>
      </c>
      <c r="P68" s="43" t="e">
        <f>ROUND(IF(Preenchimento!$G$39="Tabela Price",R68-Q68,(O67*(1+$AD$35))/($AD$28-C67)),$P$22)</f>
        <v>#VALUE!</v>
      </c>
      <c r="Q68" s="43" t="e">
        <f>IF(Preenchimento!$G$39="Tabela Price",O67*(1+$AD$35)*W68,O67*(1+SAC!$AD$35)*SAC!W68)</f>
        <v>#VALUE!</v>
      </c>
      <c r="R68" s="43" t="e">
        <f>IF(Preenchimento!$G$39="Tabela Price",IF(C68="","",((((((1+W68)^($Q$16-C67))*W68)/((1+W68)^($Q$16-C67)-1))*(O67*(1+$AD$35))))),Q68+P68)</f>
        <v>#VALUE!</v>
      </c>
      <c r="S68" s="43" t="e">
        <f t="shared" ca="1" si="5"/>
        <v>#VALUE!</v>
      </c>
      <c r="T68" s="43">
        <f t="shared" si="12"/>
        <v>0</v>
      </c>
      <c r="U68" s="226">
        <f>TRUNC(T68*Condições!$C$102,2)</f>
        <v>0</v>
      </c>
      <c r="V68" s="82">
        <f t="shared" ca="1" si="13"/>
        <v>1</v>
      </c>
      <c r="W68" s="231" t="str">
        <f t="shared" si="14"/>
        <v/>
      </c>
      <c r="X68" s="210"/>
      <c r="Y68" s="210"/>
      <c r="Z68" s="210"/>
      <c r="AI68" s="114">
        <f t="shared" si="15"/>
        <v>0</v>
      </c>
      <c r="AJ68" s="113"/>
      <c r="AL68" s="477">
        <f t="shared" ca="1" si="16"/>
        <v>0</v>
      </c>
    </row>
    <row r="69" spans="2:38" ht="12" customHeight="1">
      <c r="B69" s="222">
        <f ca="1">Fixa!B69</f>
        <v>47530</v>
      </c>
      <c r="C69" s="223" t="str">
        <f>Fixa!C69</f>
        <v/>
      </c>
      <c r="D69" s="43" t="e">
        <f t="shared" si="7"/>
        <v>#VALUE!</v>
      </c>
      <c r="E69" s="43" t="e">
        <f t="shared" si="0"/>
        <v>#VALUE!</v>
      </c>
      <c r="F69" s="43" t="e">
        <f t="shared" si="1"/>
        <v>#VALUE!</v>
      </c>
      <c r="G69" s="43" t="e">
        <f t="shared" si="2"/>
        <v>#VALUE!</v>
      </c>
      <c r="H69" s="43" t="e">
        <f t="shared" ca="1" si="3"/>
        <v>#VALUE!</v>
      </c>
      <c r="I69" s="43">
        <f t="shared" si="4"/>
        <v>0</v>
      </c>
      <c r="J69" s="229">
        <f t="shared" si="8"/>
        <v>25</v>
      </c>
      <c r="K69" s="43">
        <f t="shared" si="9"/>
        <v>0</v>
      </c>
      <c r="M69" s="224"/>
      <c r="N69" s="225">
        <f t="shared" si="10"/>
        <v>0</v>
      </c>
      <c r="O69" s="43" t="e">
        <f t="shared" si="11"/>
        <v>#VALUE!</v>
      </c>
      <c r="P69" s="43" t="e">
        <f>ROUND(IF(Preenchimento!$G$39="Tabela Price",R69-Q69,(O68*(1+$AD$35))/($AD$28-C68)),$P$22)</f>
        <v>#VALUE!</v>
      </c>
      <c r="Q69" s="43" t="e">
        <f>IF(Preenchimento!$G$39="Tabela Price",O68*(1+$AD$35)*W69,O68*(1+SAC!$AD$35)*SAC!W69)</f>
        <v>#VALUE!</v>
      </c>
      <c r="R69" s="43" t="e">
        <f>IF(Preenchimento!$G$39="Tabela Price",IF(C69="","",((((((1+W69)^($Q$16-C68))*W69)/((1+W69)^($Q$16-C68)-1))*(O68*(1+$AD$35))))),Q69+P69)</f>
        <v>#VALUE!</v>
      </c>
      <c r="S69" s="43" t="e">
        <f t="shared" ca="1" si="5"/>
        <v>#VALUE!</v>
      </c>
      <c r="T69" s="43">
        <f t="shared" si="12"/>
        <v>0</v>
      </c>
      <c r="U69" s="226">
        <f>TRUNC(T69*Condições!$C$102,2)</f>
        <v>0</v>
      </c>
      <c r="V69" s="82">
        <f t="shared" ca="1" si="13"/>
        <v>2</v>
      </c>
      <c r="W69" s="231" t="str">
        <f t="shared" si="14"/>
        <v/>
      </c>
      <c r="X69" s="210"/>
      <c r="Y69" s="210"/>
      <c r="Z69" s="210"/>
      <c r="AI69" s="114">
        <f t="shared" si="15"/>
        <v>0</v>
      </c>
      <c r="AJ69" s="113"/>
      <c r="AL69" s="477">
        <f t="shared" ca="1" si="16"/>
        <v>0</v>
      </c>
    </row>
    <row r="70" spans="2:38" ht="12" customHeight="1">
      <c r="B70" s="222">
        <f ca="1">Fixa!B70</f>
        <v>47558</v>
      </c>
      <c r="C70" s="223" t="str">
        <f>Fixa!C70</f>
        <v/>
      </c>
      <c r="D70" s="43" t="e">
        <f t="shared" si="7"/>
        <v>#VALUE!</v>
      </c>
      <c r="E70" s="43" t="e">
        <f t="shared" si="0"/>
        <v>#VALUE!</v>
      </c>
      <c r="F70" s="43" t="e">
        <f t="shared" si="1"/>
        <v>#VALUE!</v>
      </c>
      <c r="G70" s="43" t="e">
        <f t="shared" si="2"/>
        <v>#VALUE!</v>
      </c>
      <c r="H70" s="43" t="e">
        <f t="shared" ca="1" si="3"/>
        <v>#VALUE!</v>
      </c>
      <c r="I70" s="43">
        <f t="shared" si="4"/>
        <v>0</v>
      </c>
      <c r="J70" s="229">
        <f t="shared" si="8"/>
        <v>25</v>
      </c>
      <c r="K70" s="43">
        <f t="shared" si="9"/>
        <v>0</v>
      </c>
      <c r="M70" s="224"/>
      <c r="N70" s="225">
        <f t="shared" si="10"/>
        <v>0</v>
      </c>
      <c r="O70" s="43" t="e">
        <f t="shared" si="11"/>
        <v>#VALUE!</v>
      </c>
      <c r="P70" s="43" t="e">
        <f>ROUND(IF(Preenchimento!$G$39="Tabela Price",R70-Q70,(O69*(1+$AD$35))/($AD$28-C69)),$P$22)</f>
        <v>#VALUE!</v>
      </c>
      <c r="Q70" s="43" t="e">
        <f>IF(Preenchimento!$G$39="Tabela Price",O69*(1+$AD$35)*W70,O69*(1+SAC!$AD$35)*SAC!W70)</f>
        <v>#VALUE!</v>
      </c>
      <c r="R70" s="43" t="e">
        <f>IF(Preenchimento!$G$39="Tabela Price",IF(C70="","",((((((1+W70)^($Q$16-C69))*W70)/((1+W70)^($Q$16-C69)-1))*(O69*(1+$AD$35))))),Q70+P70)</f>
        <v>#VALUE!</v>
      </c>
      <c r="S70" s="43" t="e">
        <f t="shared" ca="1" si="5"/>
        <v>#VALUE!</v>
      </c>
      <c r="T70" s="43">
        <f t="shared" si="12"/>
        <v>0</v>
      </c>
      <c r="U70" s="226">
        <f>TRUNC(T70*Condições!$C$102,2)</f>
        <v>0</v>
      </c>
      <c r="V70" s="82">
        <f t="shared" ca="1" si="13"/>
        <v>3</v>
      </c>
      <c r="W70" s="231" t="str">
        <f t="shared" si="14"/>
        <v/>
      </c>
      <c r="X70" s="210"/>
      <c r="Y70" s="210"/>
      <c r="Z70" s="210"/>
      <c r="AI70" s="114">
        <f t="shared" si="15"/>
        <v>0</v>
      </c>
      <c r="AJ70" s="113"/>
      <c r="AL70" s="477">
        <f t="shared" ca="1" si="16"/>
        <v>0</v>
      </c>
    </row>
    <row r="71" spans="2:38" ht="12" customHeight="1">
      <c r="B71" s="222">
        <f ca="1">Fixa!B71</f>
        <v>47589</v>
      </c>
      <c r="C71" s="223" t="str">
        <f>Fixa!C71</f>
        <v/>
      </c>
      <c r="D71" s="43" t="e">
        <f t="shared" si="7"/>
        <v>#VALUE!</v>
      </c>
      <c r="E71" s="43" t="e">
        <f t="shared" si="0"/>
        <v>#VALUE!</v>
      </c>
      <c r="F71" s="43" t="e">
        <f t="shared" si="1"/>
        <v>#VALUE!</v>
      </c>
      <c r="G71" s="43" t="e">
        <f t="shared" si="2"/>
        <v>#VALUE!</v>
      </c>
      <c r="H71" s="43" t="e">
        <f t="shared" ca="1" si="3"/>
        <v>#VALUE!</v>
      </c>
      <c r="I71" s="43">
        <f t="shared" si="4"/>
        <v>0</v>
      </c>
      <c r="J71" s="229">
        <f t="shared" si="8"/>
        <v>25</v>
      </c>
      <c r="K71" s="43">
        <f t="shared" si="9"/>
        <v>0</v>
      </c>
      <c r="M71" s="224"/>
      <c r="N71" s="225">
        <f t="shared" si="10"/>
        <v>0</v>
      </c>
      <c r="O71" s="43" t="e">
        <f t="shared" si="11"/>
        <v>#VALUE!</v>
      </c>
      <c r="P71" s="43" t="e">
        <f>ROUND(IF(Preenchimento!$G$39="Tabela Price",R71-Q71,(O70*(1+$AD$35))/($AD$28-C70)),$P$22)</f>
        <v>#VALUE!</v>
      </c>
      <c r="Q71" s="43" t="e">
        <f>IF(Preenchimento!$G$39="Tabela Price",O70*(1+$AD$35)*W71,O70*(1+SAC!$AD$35)*SAC!W71)</f>
        <v>#VALUE!</v>
      </c>
      <c r="R71" s="43" t="e">
        <f>IF(Preenchimento!$G$39="Tabela Price",IF(C71="","",((((((1+W71)^($Q$16-C70))*W71)/((1+W71)^($Q$16-C70)-1))*(O70*(1+$AD$35))))),Q71+P71)</f>
        <v>#VALUE!</v>
      </c>
      <c r="S71" s="43" t="e">
        <f t="shared" ca="1" si="5"/>
        <v>#VALUE!</v>
      </c>
      <c r="T71" s="43">
        <f t="shared" si="12"/>
        <v>0</v>
      </c>
      <c r="U71" s="226">
        <f>TRUNC(T71*Condições!$C$102,2)</f>
        <v>0</v>
      </c>
      <c r="V71" s="82">
        <f t="shared" ca="1" si="13"/>
        <v>4</v>
      </c>
      <c r="W71" s="231" t="str">
        <f t="shared" si="14"/>
        <v/>
      </c>
      <c r="X71" s="210"/>
      <c r="Y71" s="210"/>
      <c r="Z71" s="210"/>
      <c r="AI71" s="114">
        <f t="shared" si="15"/>
        <v>0</v>
      </c>
      <c r="AJ71" s="113"/>
      <c r="AL71" s="477">
        <f t="shared" ca="1" si="16"/>
        <v>0</v>
      </c>
    </row>
    <row r="72" spans="2:38" ht="12" customHeight="1">
      <c r="B72" s="222">
        <f ca="1">Fixa!B72</f>
        <v>47619</v>
      </c>
      <c r="C72" s="223" t="str">
        <f>Fixa!C72</f>
        <v/>
      </c>
      <c r="D72" s="43" t="e">
        <f t="shared" si="7"/>
        <v>#VALUE!</v>
      </c>
      <c r="E72" s="43" t="e">
        <f t="shared" si="0"/>
        <v>#VALUE!</v>
      </c>
      <c r="F72" s="43" t="e">
        <f t="shared" si="1"/>
        <v>#VALUE!</v>
      </c>
      <c r="G72" s="43" t="e">
        <f t="shared" si="2"/>
        <v>#VALUE!</v>
      </c>
      <c r="H72" s="43" t="e">
        <f t="shared" ca="1" si="3"/>
        <v>#VALUE!</v>
      </c>
      <c r="I72" s="43">
        <f t="shared" si="4"/>
        <v>0</v>
      </c>
      <c r="J72" s="229">
        <f t="shared" si="8"/>
        <v>25</v>
      </c>
      <c r="K72" s="43">
        <f t="shared" si="9"/>
        <v>0</v>
      </c>
      <c r="M72" s="224"/>
      <c r="N72" s="225">
        <f t="shared" si="10"/>
        <v>0</v>
      </c>
      <c r="O72" s="43" t="e">
        <f t="shared" si="11"/>
        <v>#VALUE!</v>
      </c>
      <c r="P72" s="43" t="e">
        <f>ROUND(IF(Preenchimento!$G$39="Tabela Price",R72-Q72,(O71*(1+$AD$35))/($AD$28-C71)),$P$22)</f>
        <v>#VALUE!</v>
      </c>
      <c r="Q72" s="43" t="e">
        <f>IF(Preenchimento!$G$39="Tabela Price",O71*(1+$AD$35)*W72,O71*(1+SAC!$AD$35)*SAC!W72)</f>
        <v>#VALUE!</v>
      </c>
      <c r="R72" s="43" t="e">
        <f>IF(Preenchimento!$G$39="Tabela Price",IF(C72="","",((((((1+W72)^($Q$16-C71))*W72)/((1+W72)^($Q$16-C71)-1))*(O71*(1+$AD$35))))),Q72+P72)</f>
        <v>#VALUE!</v>
      </c>
      <c r="S72" s="43" t="e">
        <f t="shared" ca="1" si="5"/>
        <v>#VALUE!</v>
      </c>
      <c r="T72" s="43">
        <f t="shared" si="12"/>
        <v>0</v>
      </c>
      <c r="U72" s="226">
        <f>TRUNC(T72*Condições!$C$102,2)</f>
        <v>0</v>
      </c>
      <c r="V72" s="82">
        <f t="shared" ca="1" si="13"/>
        <v>5</v>
      </c>
      <c r="W72" s="231" t="str">
        <f t="shared" si="14"/>
        <v/>
      </c>
      <c r="X72" s="210"/>
      <c r="Y72" s="210"/>
      <c r="Z72" s="210"/>
      <c r="AI72" s="114">
        <f t="shared" si="15"/>
        <v>0</v>
      </c>
      <c r="AJ72" s="113"/>
      <c r="AL72" s="477">
        <f t="shared" ca="1" si="16"/>
        <v>0</v>
      </c>
    </row>
    <row r="73" spans="2:38" ht="12" customHeight="1">
      <c r="B73" s="222">
        <f ca="1">Fixa!B73</f>
        <v>47650</v>
      </c>
      <c r="C73" s="223" t="str">
        <f>Fixa!C73</f>
        <v/>
      </c>
      <c r="D73" s="43" t="e">
        <f t="shared" si="7"/>
        <v>#VALUE!</v>
      </c>
      <c r="E73" s="43" t="e">
        <f t="shared" si="0"/>
        <v>#VALUE!</v>
      </c>
      <c r="F73" s="43" t="e">
        <f t="shared" si="1"/>
        <v>#VALUE!</v>
      </c>
      <c r="G73" s="43" t="e">
        <f t="shared" si="2"/>
        <v>#VALUE!</v>
      </c>
      <c r="H73" s="43" t="e">
        <f t="shared" ca="1" si="3"/>
        <v>#VALUE!</v>
      </c>
      <c r="I73" s="43">
        <f t="shared" si="4"/>
        <v>0</v>
      </c>
      <c r="J73" s="229">
        <f t="shared" si="8"/>
        <v>25</v>
      </c>
      <c r="K73" s="43">
        <f t="shared" si="9"/>
        <v>0</v>
      </c>
      <c r="M73" s="224"/>
      <c r="N73" s="225">
        <f t="shared" si="10"/>
        <v>0</v>
      </c>
      <c r="O73" s="43" t="e">
        <f t="shared" si="11"/>
        <v>#VALUE!</v>
      </c>
      <c r="P73" s="43" t="e">
        <f>ROUND(IF(Preenchimento!$G$39="Tabela Price",R73-Q73,(O72*(1+$AD$35))/($AD$28-C72)),$P$22)</f>
        <v>#VALUE!</v>
      </c>
      <c r="Q73" s="43" t="e">
        <f>IF(Preenchimento!$G$39="Tabela Price",O72*(1+$AD$35)*W73,O72*(1+SAC!$AD$35)*SAC!W73)</f>
        <v>#VALUE!</v>
      </c>
      <c r="R73" s="43" t="e">
        <f>IF(Preenchimento!$G$39="Tabela Price",IF(C73="","",((((((1+W73)^($Q$16-C72))*W73)/((1+W73)^($Q$16-C72)-1))*(O72*(1+$AD$35))))),Q73+P73)</f>
        <v>#VALUE!</v>
      </c>
      <c r="S73" s="43" t="e">
        <f t="shared" ca="1" si="5"/>
        <v>#VALUE!</v>
      </c>
      <c r="T73" s="43">
        <f t="shared" si="12"/>
        <v>0</v>
      </c>
      <c r="U73" s="226">
        <f>TRUNC(T73*Condições!$C$102,2)</f>
        <v>0</v>
      </c>
      <c r="V73" s="82">
        <f t="shared" ca="1" si="13"/>
        <v>6</v>
      </c>
      <c r="W73" s="231" t="str">
        <f t="shared" si="14"/>
        <v/>
      </c>
      <c r="X73" s="210"/>
      <c r="Y73" s="210"/>
      <c r="Z73" s="210"/>
      <c r="AI73" s="114">
        <f t="shared" si="15"/>
        <v>0</v>
      </c>
      <c r="AJ73" s="113"/>
      <c r="AL73" s="477">
        <f t="shared" ca="1" si="16"/>
        <v>0</v>
      </c>
    </row>
    <row r="74" spans="2:38" ht="12" customHeight="1">
      <c r="B74" s="222">
        <f ca="1">Fixa!B74</f>
        <v>47680</v>
      </c>
      <c r="C74" s="223" t="str">
        <f>Fixa!C74</f>
        <v/>
      </c>
      <c r="D74" s="43" t="e">
        <f t="shared" si="7"/>
        <v>#VALUE!</v>
      </c>
      <c r="E74" s="43" t="e">
        <f t="shared" si="0"/>
        <v>#VALUE!</v>
      </c>
      <c r="F74" s="43" t="e">
        <f t="shared" si="1"/>
        <v>#VALUE!</v>
      </c>
      <c r="G74" s="43" t="e">
        <f t="shared" si="2"/>
        <v>#VALUE!</v>
      </c>
      <c r="H74" s="43" t="e">
        <f t="shared" ca="1" si="3"/>
        <v>#VALUE!</v>
      </c>
      <c r="I74" s="43">
        <f t="shared" si="4"/>
        <v>0</v>
      </c>
      <c r="J74" s="229">
        <f t="shared" si="8"/>
        <v>25</v>
      </c>
      <c r="K74" s="43">
        <f t="shared" si="9"/>
        <v>0</v>
      </c>
      <c r="M74" s="224"/>
      <c r="N74" s="225">
        <f t="shared" si="10"/>
        <v>0</v>
      </c>
      <c r="O74" s="43" t="e">
        <f t="shared" si="11"/>
        <v>#VALUE!</v>
      </c>
      <c r="P74" s="43" t="e">
        <f>ROUND(IF(Preenchimento!$G$39="Tabela Price",R74-Q74,(O73*(1+$AD$35))/($AD$28-C73)),$P$22)</f>
        <v>#VALUE!</v>
      </c>
      <c r="Q74" s="43" t="e">
        <f>IF(Preenchimento!$G$39="Tabela Price",O73*(1+$AD$35)*W74,O73*(1+SAC!$AD$35)*SAC!W74)</f>
        <v>#VALUE!</v>
      </c>
      <c r="R74" s="43" t="e">
        <f>IF(Preenchimento!$G$39="Tabela Price",IF(C74="","",((((((1+W74)^($Q$16-C73))*W74)/((1+W74)^($Q$16-C73)-1))*(O73*(1+$AD$35))))),Q74+P74)</f>
        <v>#VALUE!</v>
      </c>
      <c r="S74" s="43" t="e">
        <f t="shared" ca="1" si="5"/>
        <v>#VALUE!</v>
      </c>
      <c r="T74" s="43">
        <f t="shared" si="12"/>
        <v>0</v>
      </c>
      <c r="U74" s="226">
        <f>TRUNC(T74*Condições!$C$102,2)</f>
        <v>0</v>
      </c>
      <c r="V74" s="82">
        <f t="shared" ca="1" si="13"/>
        <v>7</v>
      </c>
      <c r="W74" s="231" t="str">
        <f t="shared" si="14"/>
        <v/>
      </c>
      <c r="X74" s="210"/>
      <c r="Y74" s="210"/>
      <c r="Z74" s="210"/>
      <c r="AI74" s="114">
        <f t="shared" si="15"/>
        <v>0</v>
      </c>
      <c r="AJ74" s="113"/>
      <c r="AL74" s="477">
        <f t="shared" ca="1" si="16"/>
        <v>0</v>
      </c>
    </row>
    <row r="75" spans="2:38" ht="12" customHeight="1">
      <c r="B75" s="222">
        <f ca="1">Fixa!B75</f>
        <v>47711</v>
      </c>
      <c r="C75" s="223" t="str">
        <f>Fixa!C75</f>
        <v/>
      </c>
      <c r="D75" s="43" t="e">
        <f t="shared" si="7"/>
        <v>#VALUE!</v>
      </c>
      <c r="E75" s="43" t="e">
        <f t="shared" si="0"/>
        <v>#VALUE!</v>
      </c>
      <c r="F75" s="43" t="e">
        <f t="shared" si="1"/>
        <v>#VALUE!</v>
      </c>
      <c r="G75" s="43" t="e">
        <f t="shared" si="2"/>
        <v>#VALUE!</v>
      </c>
      <c r="H75" s="43" t="e">
        <f t="shared" ca="1" si="3"/>
        <v>#VALUE!</v>
      </c>
      <c r="I75" s="43">
        <f t="shared" si="4"/>
        <v>0</v>
      </c>
      <c r="J75" s="229">
        <f t="shared" si="8"/>
        <v>25</v>
      </c>
      <c r="K75" s="43">
        <f t="shared" si="9"/>
        <v>0</v>
      </c>
      <c r="M75" s="224"/>
      <c r="N75" s="225">
        <f t="shared" si="10"/>
        <v>0</v>
      </c>
      <c r="O75" s="43" t="e">
        <f t="shared" si="11"/>
        <v>#VALUE!</v>
      </c>
      <c r="P75" s="43" t="e">
        <f>ROUND(IF(Preenchimento!$G$39="Tabela Price",R75-Q75,(O74*(1+$AD$35))/($AD$28-C74)),$P$22)</f>
        <v>#VALUE!</v>
      </c>
      <c r="Q75" s="43" t="e">
        <f>IF(Preenchimento!$G$39="Tabela Price",O74*(1+$AD$35)*W75,O74*(1+SAC!$AD$35)*SAC!W75)</f>
        <v>#VALUE!</v>
      </c>
      <c r="R75" s="43" t="e">
        <f>IF(Preenchimento!$G$39="Tabela Price",IF(C75="","",((((((1+W75)^($Q$16-C74))*W75)/((1+W75)^($Q$16-C74)-1))*(O74*(1+$AD$35))))),Q75+P75)</f>
        <v>#VALUE!</v>
      </c>
      <c r="S75" s="43" t="e">
        <f t="shared" ca="1" si="5"/>
        <v>#VALUE!</v>
      </c>
      <c r="T75" s="43">
        <f t="shared" si="12"/>
        <v>0</v>
      </c>
      <c r="U75" s="226">
        <f>TRUNC(T75*Condições!$C$102,2)</f>
        <v>0</v>
      </c>
      <c r="V75" s="82">
        <f t="shared" ca="1" si="13"/>
        <v>8</v>
      </c>
      <c r="W75" s="231" t="str">
        <f t="shared" si="14"/>
        <v/>
      </c>
      <c r="X75" s="210"/>
      <c r="Y75" s="210"/>
      <c r="Z75" s="210"/>
      <c r="AI75" s="114">
        <f t="shared" si="15"/>
        <v>0</v>
      </c>
      <c r="AJ75" s="113"/>
      <c r="AL75" s="477">
        <f t="shared" ca="1" si="16"/>
        <v>0</v>
      </c>
    </row>
    <row r="76" spans="2:38" ht="12" customHeight="1">
      <c r="B76" s="222">
        <f ca="1">Fixa!B76</f>
        <v>47742</v>
      </c>
      <c r="C76" s="223" t="str">
        <f>Fixa!C76</f>
        <v/>
      </c>
      <c r="D76" s="43" t="e">
        <f t="shared" si="7"/>
        <v>#VALUE!</v>
      </c>
      <c r="E76" s="43" t="e">
        <f t="shared" si="0"/>
        <v>#VALUE!</v>
      </c>
      <c r="F76" s="43" t="e">
        <f t="shared" si="1"/>
        <v>#VALUE!</v>
      </c>
      <c r="G76" s="43" t="e">
        <f t="shared" si="2"/>
        <v>#VALUE!</v>
      </c>
      <c r="H76" s="43" t="e">
        <f t="shared" ca="1" si="3"/>
        <v>#VALUE!</v>
      </c>
      <c r="I76" s="43">
        <f t="shared" si="4"/>
        <v>0</v>
      </c>
      <c r="J76" s="229">
        <f t="shared" si="8"/>
        <v>25</v>
      </c>
      <c r="K76" s="43">
        <f t="shared" si="9"/>
        <v>0</v>
      </c>
      <c r="M76" s="224"/>
      <c r="N76" s="225">
        <f t="shared" si="10"/>
        <v>0</v>
      </c>
      <c r="O76" s="43" t="e">
        <f t="shared" si="11"/>
        <v>#VALUE!</v>
      </c>
      <c r="P76" s="43" t="e">
        <f>ROUND(IF(Preenchimento!$G$39="Tabela Price",R76-Q76,(O75*(1+$AD$35))/($AD$28-C75)),$P$22)</f>
        <v>#VALUE!</v>
      </c>
      <c r="Q76" s="43" t="e">
        <f>IF(Preenchimento!$G$39="Tabela Price",O75*(1+$AD$35)*W76,O75*(1+SAC!$AD$35)*SAC!W76)</f>
        <v>#VALUE!</v>
      </c>
      <c r="R76" s="43" t="e">
        <f>IF(Preenchimento!$G$39="Tabela Price",IF(C76="","",((((((1+W76)^($Q$16-C75))*W76)/((1+W76)^($Q$16-C75)-1))*(O75*(1+$AD$35))))),Q76+P76)</f>
        <v>#VALUE!</v>
      </c>
      <c r="S76" s="43" t="e">
        <f t="shared" ca="1" si="5"/>
        <v>#VALUE!</v>
      </c>
      <c r="T76" s="43">
        <f t="shared" si="12"/>
        <v>0</v>
      </c>
      <c r="U76" s="226">
        <f>TRUNC(T76*Condições!$C$102,2)</f>
        <v>0</v>
      </c>
      <c r="V76" s="82">
        <f t="shared" ca="1" si="13"/>
        <v>9</v>
      </c>
      <c r="W76" s="231" t="str">
        <f t="shared" si="14"/>
        <v/>
      </c>
      <c r="X76" s="210"/>
      <c r="Y76" s="210"/>
      <c r="Z76" s="210"/>
      <c r="AI76" s="114">
        <f t="shared" si="15"/>
        <v>0</v>
      </c>
      <c r="AJ76" s="113"/>
      <c r="AL76" s="477">
        <f t="shared" ca="1" si="16"/>
        <v>0</v>
      </c>
    </row>
    <row r="77" spans="2:38" ht="12" customHeight="1">
      <c r="B77" s="222">
        <f ca="1">Fixa!B77</f>
        <v>47772</v>
      </c>
      <c r="C77" s="223" t="str">
        <f>Fixa!C77</f>
        <v/>
      </c>
      <c r="D77" s="43" t="e">
        <f t="shared" si="7"/>
        <v>#VALUE!</v>
      </c>
      <c r="E77" s="43" t="e">
        <f t="shared" si="0"/>
        <v>#VALUE!</v>
      </c>
      <c r="F77" s="43" t="e">
        <f t="shared" si="1"/>
        <v>#VALUE!</v>
      </c>
      <c r="G77" s="43" t="e">
        <f t="shared" si="2"/>
        <v>#VALUE!</v>
      </c>
      <c r="H77" s="43" t="e">
        <f t="shared" ca="1" si="3"/>
        <v>#VALUE!</v>
      </c>
      <c r="I77" s="43">
        <f t="shared" si="4"/>
        <v>0</v>
      </c>
      <c r="J77" s="229">
        <f t="shared" si="8"/>
        <v>25</v>
      </c>
      <c r="K77" s="43">
        <f t="shared" si="9"/>
        <v>0</v>
      </c>
      <c r="M77" s="224"/>
      <c r="N77" s="225">
        <f t="shared" si="10"/>
        <v>0</v>
      </c>
      <c r="O77" s="43" t="e">
        <f t="shared" si="11"/>
        <v>#VALUE!</v>
      </c>
      <c r="P77" s="43" t="e">
        <f>ROUND(IF(Preenchimento!$G$39="Tabela Price",R77-Q77,(O76*(1+$AD$35))/($AD$28-C76)),$P$22)</f>
        <v>#VALUE!</v>
      </c>
      <c r="Q77" s="43" t="e">
        <f>IF(Preenchimento!$G$39="Tabela Price",O76*(1+$AD$35)*W77,O76*(1+SAC!$AD$35)*SAC!W77)</f>
        <v>#VALUE!</v>
      </c>
      <c r="R77" s="43" t="e">
        <f>IF(Preenchimento!$G$39="Tabela Price",IF(C77="","",((((((1+W77)^($Q$16-C76))*W77)/((1+W77)^($Q$16-C76)-1))*(O76*(1+$AD$35))))),Q77+P77)</f>
        <v>#VALUE!</v>
      </c>
      <c r="S77" s="43" t="e">
        <f t="shared" ca="1" si="5"/>
        <v>#VALUE!</v>
      </c>
      <c r="T77" s="43">
        <f t="shared" si="12"/>
        <v>0</v>
      </c>
      <c r="U77" s="226">
        <f>TRUNC(T77*Condições!$C$102,2)</f>
        <v>0</v>
      </c>
      <c r="V77" s="82">
        <f t="shared" ca="1" si="13"/>
        <v>10</v>
      </c>
      <c r="W77" s="231" t="str">
        <f t="shared" si="14"/>
        <v/>
      </c>
      <c r="X77" s="210"/>
      <c r="Y77" s="210"/>
      <c r="Z77" s="210"/>
      <c r="AI77" s="114">
        <f t="shared" si="15"/>
        <v>0</v>
      </c>
      <c r="AJ77" s="113"/>
      <c r="AL77" s="477">
        <f t="shared" ca="1" si="16"/>
        <v>0</v>
      </c>
    </row>
    <row r="78" spans="2:38" ht="12" customHeight="1">
      <c r="B78" s="222">
        <f ca="1">Fixa!B78</f>
        <v>47803</v>
      </c>
      <c r="C78" s="223" t="str">
        <f>Fixa!C78</f>
        <v/>
      </c>
      <c r="D78" s="43" t="e">
        <f t="shared" si="7"/>
        <v>#VALUE!</v>
      </c>
      <c r="E78" s="43" t="e">
        <f t="shared" si="0"/>
        <v>#VALUE!</v>
      </c>
      <c r="F78" s="43" t="e">
        <f t="shared" si="1"/>
        <v>#VALUE!</v>
      </c>
      <c r="G78" s="43" t="e">
        <f t="shared" si="2"/>
        <v>#VALUE!</v>
      </c>
      <c r="H78" s="43" t="e">
        <f t="shared" ca="1" si="3"/>
        <v>#VALUE!</v>
      </c>
      <c r="I78" s="43">
        <f t="shared" si="4"/>
        <v>0</v>
      </c>
      <c r="J78" s="229">
        <f t="shared" si="8"/>
        <v>25</v>
      </c>
      <c r="K78" s="43">
        <f t="shared" si="9"/>
        <v>0</v>
      </c>
      <c r="M78" s="224"/>
      <c r="N78" s="225">
        <f t="shared" si="10"/>
        <v>0</v>
      </c>
      <c r="O78" s="43" t="e">
        <f t="shared" si="11"/>
        <v>#VALUE!</v>
      </c>
      <c r="P78" s="43" t="e">
        <f>ROUND(IF(Preenchimento!$G$39="Tabela Price",R78-Q78,(O77*(1+$AD$35))/($AD$28-C77)),$P$22)</f>
        <v>#VALUE!</v>
      </c>
      <c r="Q78" s="43" t="e">
        <f>IF(Preenchimento!$G$39="Tabela Price",O77*(1+$AD$35)*W78,O77*(1+SAC!$AD$35)*SAC!W78)</f>
        <v>#VALUE!</v>
      </c>
      <c r="R78" s="43" t="e">
        <f>IF(Preenchimento!$G$39="Tabela Price",IF(C78="","",((((((1+W78)^($Q$16-C77))*W78)/((1+W78)^($Q$16-C77)-1))*(O77*(1+$AD$35))))),Q78+P78)</f>
        <v>#VALUE!</v>
      </c>
      <c r="S78" s="43" t="e">
        <f t="shared" ca="1" si="5"/>
        <v>#VALUE!</v>
      </c>
      <c r="T78" s="43">
        <f t="shared" si="12"/>
        <v>0</v>
      </c>
      <c r="U78" s="226">
        <f>TRUNC(T78*Condições!$C$102,2)</f>
        <v>0</v>
      </c>
      <c r="V78" s="82">
        <f t="shared" ca="1" si="13"/>
        <v>11</v>
      </c>
      <c r="W78" s="231" t="str">
        <f t="shared" si="14"/>
        <v/>
      </c>
      <c r="X78" s="210"/>
      <c r="Y78" s="210"/>
      <c r="Z78" s="210"/>
      <c r="AI78" s="114">
        <f t="shared" si="15"/>
        <v>0</v>
      </c>
      <c r="AJ78" s="113"/>
      <c r="AL78" s="477">
        <f t="shared" ca="1" si="16"/>
        <v>0</v>
      </c>
    </row>
    <row r="79" spans="2:38" ht="12" customHeight="1">
      <c r="B79" s="222">
        <f ca="1">Fixa!B79</f>
        <v>47833</v>
      </c>
      <c r="C79" s="223" t="str">
        <f>Fixa!C79</f>
        <v/>
      </c>
      <c r="D79" s="43" t="e">
        <f t="shared" si="7"/>
        <v>#VALUE!</v>
      </c>
      <c r="E79" s="43" t="e">
        <f t="shared" si="0"/>
        <v>#VALUE!</v>
      </c>
      <c r="F79" s="43" t="e">
        <f t="shared" si="1"/>
        <v>#VALUE!</v>
      </c>
      <c r="G79" s="43" t="e">
        <f t="shared" si="2"/>
        <v>#VALUE!</v>
      </c>
      <c r="H79" s="43" t="e">
        <f t="shared" ca="1" si="3"/>
        <v>#VALUE!</v>
      </c>
      <c r="I79" s="43">
        <f t="shared" si="4"/>
        <v>0</v>
      </c>
      <c r="J79" s="229">
        <f t="shared" si="8"/>
        <v>25</v>
      </c>
      <c r="K79" s="43">
        <f t="shared" si="9"/>
        <v>0</v>
      </c>
      <c r="M79" s="224"/>
      <c r="N79" s="225">
        <f t="shared" si="10"/>
        <v>0</v>
      </c>
      <c r="O79" s="43" t="e">
        <f t="shared" si="11"/>
        <v>#VALUE!</v>
      </c>
      <c r="P79" s="43" t="e">
        <f>ROUND(IF(Preenchimento!$G$39="Tabela Price",R79-Q79,(O78*(1+$AD$35))/($AD$28-C78)),$P$22)</f>
        <v>#VALUE!</v>
      </c>
      <c r="Q79" s="43" t="e">
        <f>IF(Preenchimento!$G$39="Tabela Price",O78*(1+$AD$35)*W79,O78*(1+SAC!$AD$35)*SAC!W79)</f>
        <v>#VALUE!</v>
      </c>
      <c r="R79" s="43" t="e">
        <f>IF(Preenchimento!$G$39="Tabela Price",IF(C79="","",((((((1+W79)^($Q$16-C78))*W79)/((1+W79)^($Q$16-C78)-1))*(O78*(1+$AD$35))))),Q79+P79)</f>
        <v>#VALUE!</v>
      </c>
      <c r="S79" s="43" t="e">
        <f t="shared" ca="1" si="5"/>
        <v>#VALUE!</v>
      </c>
      <c r="T79" s="43">
        <f t="shared" si="12"/>
        <v>0</v>
      </c>
      <c r="U79" s="226">
        <f>TRUNC(T79*Condições!$C$102,2)</f>
        <v>0</v>
      </c>
      <c r="V79" s="82">
        <f t="shared" ca="1" si="13"/>
        <v>12</v>
      </c>
      <c r="W79" s="231" t="str">
        <f t="shared" si="14"/>
        <v/>
      </c>
      <c r="X79" s="210"/>
      <c r="Y79" s="210"/>
      <c r="Z79" s="210"/>
      <c r="AI79" s="114">
        <f t="shared" si="15"/>
        <v>0</v>
      </c>
      <c r="AJ79" s="113"/>
      <c r="AL79" s="477">
        <f t="shared" ca="1" si="16"/>
        <v>0</v>
      </c>
    </row>
    <row r="80" spans="2:38" ht="12" customHeight="1">
      <c r="B80" s="222">
        <f ca="1">Fixa!B80</f>
        <v>47864</v>
      </c>
      <c r="C80" s="223" t="str">
        <f>Fixa!C80</f>
        <v/>
      </c>
      <c r="D80" s="43" t="e">
        <f t="shared" si="7"/>
        <v>#VALUE!</v>
      </c>
      <c r="E80" s="43" t="e">
        <f t="shared" si="0"/>
        <v>#VALUE!</v>
      </c>
      <c r="F80" s="43" t="e">
        <f t="shared" si="1"/>
        <v>#VALUE!</v>
      </c>
      <c r="G80" s="43" t="e">
        <f t="shared" si="2"/>
        <v>#VALUE!</v>
      </c>
      <c r="H80" s="43" t="e">
        <f t="shared" ca="1" si="3"/>
        <v>#VALUE!</v>
      </c>
      <c r="I80" s="43">
        <f t="shared" si="4"/>
        <v>0</v>
      </c>
      <c r="J80" s="229">
        <f t="shared" si="8"/>
        <v>25</v>
      </c>
      <c r="K80" s="43">
        <f t="shared" si="9"/>
        <v>0</v>
      </c>
      <c r="M80" s="224"/>
      <c r="N80" s="225">
        <f t="shared" si="10"/>
        <v>0</v>
      </c>
      <c r="O80" s="43" t="e">
        <f t="shared" si="11"/>
        <v>#VALUE!</v>
      </c>
      <c r="P80" s="43" t="e">
        <f>ROUND(IF(Preenchimento!$G$39="Tabela Price",R80-Q80,(O79*(1+$AD$35))/($AD$28-C79)),$P$22)</f>
        <v>#VALUE!</v>
      </c>
      <c r="Q80" s="43" t="e">
        <f>IF(Preenchimento!$G$39="Tabela Price",O79*(1+$AD$35)*W80,O79*(1+SAC!$AD$35)*SAC!W80)</f>
        <v>#VALUE!</v>
      </c>
      <c r="R80" s="43" t="e">
        <f>IF(Preenchimento!$G$39="Tabela Price",IF(C80="","",((((((1+W80)^($Q$16-C79))*W80)/((1+W80)^($Q$16-C79)-1))*(O79*(1+$AD$35))))),Q80+P80)</f>
        <v>#VALUE!</v>
      </c>
      <c r="S80" s="43" t="e">
        <f t="shared" ca="1" si="5"/>
        <v>#VALUE!</v>
      </c>
      <c r="T80" s="43">
        <f t="shared" si="12"/>
        <v>0</v>
      </c>
      <c r="U80" s="226">
        <f>TRUNC(T80*Condições!$C$102,2)</f>
        <v>0</v>
      </c>
      <c r="V80" s="82">
        <f t="shared" ca="1" si="13"/>
        <v>1</v>
      </c>
      <c r="W80" s="231" t="str">
        <f t="shared" si="14"/>
        <v/>
      </c>
      <c r="X80" s="210"/>
      <c r="Y80" s="210"/>
      <c r="Z80" s="210"/>
      <c r="AI80" s="114">
        <f t="shared" si="15"/>
        <v>0</v>
      </c>
      <c r="AJ80" s="113"/>
      <c r="AL80" s="477">
        <f t="shared" ca="1" si="16"/>
        <v>0</v>
      </c>
    </row>
    <row r="81" spans="2:38" ht="12" customHeight="1">
      <c r="B81" s="222">
        <f ca="1">Fixa!B81</f>
        <v>47895</v>
      </c>
      <c r="C81" s="223" t="str">
        <f>Fixa!C81</f>
        <v/>
      </c>
      <c r="D81" s="43" t="e">
        <f t="shared" si="7"/>
        <v>#VALUE!</v>
      </c>
      <c r="E81" s="43" t="e">
        <f t="shared" si="0"/>
        <v>#VALUE!</v>
      </c>
      <c r="F81" s="43" t="e">
        <f t="shared" si="1"/>
        <v>#VALUE!</v>
      </c>
      <c r="G81" s="43" t="e">
        <f t="shared" si="2"/>
        <v>#VALUE!</v>
      </c>
      <c r="H81" s="43" t="e">
        <f t="shared" ca="1" si="3"/>
        <v>#VALUE!</v>
      </c>
      <c r="I81" s="43">
        <f t="shared" si="4"/>
        <v>0</v>
      </c>
      <c r="J81" s="229">
        <f t="shared" si="8"/>
        <v>25</v>
      </c>
      <c r="K81" s="43">
        <f t="shared" si="9"/>
        <v>0</v>
      </c>
      <c r="M81" s="224"/>
      <c r="N81" s="225">
        <f t="shared" si="10"/>
        <v>0</v>
      </c>
      <c r="O81" s="43" t="e">
        <f t="shared" si="11"/>
        <v>#VALUE!</v>
      </c>
      <c r="P81" s="43" t="e">
        <f>ROUND(IF(Preenchimento!$G$39="Tabela Price",R81-Q81,(O80*(1+$AD$35))/($AD$28-C80)),$P$22)</f>
        <v>#VALUE!</v>
      </c>
      <c r="Q81" s="43" t="e">
        <f>IF(Preenchimento!$G$39="Tabela Price",O80*(1+$AD$35)*W81,O80*(1+SAC!$AD$35)*SAC!W81)</f>
        <v>#VALUE!</v>
      </c>
      <c r="R81" s="43" t="e">
        <f>IF(Preenchimento!$G$39="Tabela Price",IF(C81="","",((((((1+W81)^($Q$16-C80))*W81)/((1+W81)^($Q$16-C80)-1))*(O80*(1+$AD$35))))),Q81+P81)</f>
        <v>#VALUE!</v>
      </c>
      <c r="S81" s="43" t="e">
        <f t="shared" ca="1" si="5"/>
        <v>#VALUE!</v>
      </c>
      <c r="T81" s="43">
        <f t="shared" si="12"/>
        <v>0</v>
      </c>
      <c r="U81" s="226">
        <f>TRUNC(T81*Condições!$C$102,2)</f>
        <v>0</v>
      </c>
      <c r="V81" s="82">
        <f t="shared" ca="1" si="13"/>
        <v>2</v>
      </c>
      <c r="W81" s="231" t="str">
        <f t="shared" si="14"/>
        <v/>
      </c>
      <c r="X81" s="210"/>
      <c r="Y81" s="210"/>
      <c r="Z81" s="210"/>
      <c r="AI81" s="114">
        <f t="shared" si="15"/>
        <v>0</v>
      </c>
      <c r="AJ81" s="113"/>
      <c r="AL81" s="477">
        <f t="shared" ca="1" si="16"/>
        <v>0</v>
      </c>
    </row>
    <row r="82" spans="2:38" ht="12" customHeight="1">
      <c r="B82" s="222">
        <f ca="1">Fixa!B82</f>
        <v>47923</v>
      </c>
      <c r="C82" s="223" t="str">
        <f>Fixa!C82</f>
        <v/>
      </c>
      <c r="D82" s="43" t="e">
        <f t="shared" si="7"/>
        <v>#VALUE!</v>
      </c>
      <c r="E82" s="43" t="e">
        <f t="shared" si="0"/>
        <v>#VALUE!</v>
      </c>
      <c r="F82" s="43" t="e">
        <f t="shared" si="1"/>
        <v>#VALUE!</v>
      </c>
      <c r="G82" s="43" t="e">
        <f t="shared" si="2"/>
        <v>#VALUE!</v>
      </c>
      <c r="H82" s="43" t="e">
        <f t="shared" ca="1" si="3"/>
        <v>#VALUE!</v>
      </c>
      <c r="I82" s="43">
        <f t="shared" si="4"/>
        <v>0</v>
      </c>
      <c r="J82" s="229">
        <f t="shared" si="8"/>
        <v>25</v>
      </c>
      <c r="K82" s="43">
        <f t="shared" si="9"/>
        <v>0</v>
      </c>
      <c r="M82" s="224"/>
      <c r="N82" s="225">
        <f t="shared" si="10"/>
        <v>0</v>
      </c>
      <c r="O82" s="43" t="e">
        <f t="shared" si="11"/>
        <v>#VALUE!</v>
      </c>
      <c r="P82" s="43" t="e">
        <f>ROUND(IF(Preenchimento!$G$39="Tabela Price",R82-Q82,(O81*(1+$AD$35))/($AD$28-C81)),$P$22)</f>
        <v>#VALUE!</v>
      </c>
      <c r="Q82" s="43" t="e">
        <f>IF(Preenchimento!$G$39="Tabela Price",O81*(1+$AD$35)*W82,O81*(1+SAC!$AD$35)*SAC!W82)</f>
        <v>#VALUE!</v>
      </c>
      <c r="R82" s="43" t="e">
        <f>IF(Preenchimento!$G$39="Tabela Price",IF(C82="","",((((((1+W82)^($Q$16-C81))*W82)/((1+W82)^($Q$16-C81)-1))*(O81*(1+$AD$35))))),Q82+P82)</f>
        <v>#VALUE!</v>
      </c>
      <c r="S82" s="43" t="e">
        <f t="shared" ca="1" si="5"/>
        <v>#VALUE!</v>
      </c>
      <c r="T82" s="43">
        <f t="shared" si="12"/>
        <v>0</v>
      </c>
      <c r="U82" s="226">
        <f>TRUNC(T82*Condições!$C$102,2)</f>
        <v>0</v>
      </c>
      <c r="V82" s="82">
        <f t="shared" ca="1" si="13"/>
        <v>3</v>
      </c>
      <c r="W82" s="231" t="str">
        <f t="shared" si="14"/>
        <v/>
      </c>
      <c r="X82" s="210"/>
      <c r="Y82" s="210"/>
      <c r="Z82" s="210"/>
      <c r="AI82" s="114">
        <f t="shared" si="15"/>
        <v>0</v>
      </c>
      <c r="AJ82" s="113"/>
      <c r="AL82" s="477">
        <f t="shared" ca="1" si="16"/>
        <v>0</v>
      </c>
    </row>
    <row r="83" spans="2:38" ht="12" customHeight="1">
      <c r="B83" s="222">
        <f ca="1">Fixa!B83</f>
        <v>47954</v>
      </c>
      <c r="C83" s="223" t="str">
        <f>Fixa!C83</f>
        <v/>
      </c>
      <c r="D83" s="43" t="e">
        <f t="shared" si="7"/>
        <v>#VALUE!</v>
      </c>
      <c r="E83" s="43" t="e">
        <f t="shared" si="0"/>
        <v>#VALUE!</v>
      </c>
      <c r="F83" s="43" t="e">
        <f t="shared" si="1"/>
        <v>#VALUE!</v>
      </c>
      <c r="G83" s="43" t="e">
        <f t="shared" si="2"/>
        <v>#VALUE!</v>
      </c>
      <c r="H83" s="43" t="e">
        <f t="shared" ca="1" si="3"/>
        <v>#VALUE!</v>
      </c>
      <c r="I83" s="43">
        <f t="shared" si="4"/>
        <v>0</v>
      </c>
      <c r="J83" s="229">
        <f t="shared" si="8"/>
        <v>25</v>
      </c>
      <c r="K83" s="43">
        <f t="shared" si="9"/>
        <v>0</v>
      </c>
      <c r="M83" s="224"/>
      <c r="N83" s="225">
        <f t="shared" si="10"/>
        <v>0</v>
      </c>
      <c r="O83" s="43" t="e">
        <f t="shared" si="11"/>
        <v>#VALUE!</v>
      </c>
      <c r="P83" s="43" t="e">
        <f>ROUND(IF(Preenchimento!$G$39="Tabela Price",R83-Q83,(O82*(1+$AD$35))/($AD$28-C82)),$P$22)</f>
        <v>#VALUE!</v>
      </c>
      <c r="Q83" s="43" t="e">
        <f>IF(Preenchimento!$G$39="Tabela Price",O82*(1+$AD$35)*W83,O82*(1+SAC!$AD$35)*SAC!W83)</f>
        <v>#VALUE!</v>
      </c>
      <c r="R83" s="43" t="e">
        <f>IF(Preenchimento!$G$39="Tabela Price",IF(C83="","",((((((1+W83)^($Q$16-C82))*W83)/((1+W83)^($Q$16-C82)-1))*(O82*(1+$AD$35))))),Q83+P83)</f>
        <v>#VALUE!</v>
      </c>
      <c r="S83" s="43" t="e">
        <f t="shared" ca="1" si="5"/>
        <v>#VALUE!</v>
      </c>
      <c r="T83" s="43">
        <f t="shared" si="12"/>
        <v>0</v>
      </c>
      <c r="U83" s="226">
        <f>TRUNC(T83*Condições!$C$102,2)</f>
        <v>0</v>
      </c>
      <c r="V83" s="82">
        <f t="shared" ca="1" si="13"/>
        <v>4</v>
      </c>
      <c r="W83" s="231" t="str">
        <f t="shared" si="14"/>
        <v/>
      </c>
      <c r="X83" s="210"/>
      <c r="Y83" s="210"/>
      <c r="Z83" s="210"/>
      <c r="AI83" s="114">
        <f t="shared" si="15"/>
        <v>0</v>
      </c>
      <c r="AJ83" s="113"/>
      <c r="AL83" s="477">
        <f t="shared" ca="1" si="16"/>
        <v>0</v>
      </c>
    </row>
    <row r="84" spans="2:38" ht="12" customHeight="1">
      <c r="B84" s="222">
        <f ca="1">Fixa!B84</f>
        <v>47984</v>
      </c>
      <c r="C84" s="223" t="str">
        <f>Fixa!C84</f>
        <v/>
      </c>
      <c r="D84" s="43" t="e">
        <f t="shared" si="7"/>
        <v>#VALUE!</v>
      </c>
      <c r="E84" s="43" t="e">
        <f t="shared" si="0"/>
        <v>#VALUE!</v>
      </c>
      <c r="F84" s="43" t="e">
        <f t="shared" si="1"/>
        <v>#VALUE!</v>
      </c>
      <c r="G84" s="43" t="e">
        <f t="shared" si="2"/>
        <v>#VALUE!</v>
      </c>
      <c r="H84" s="43" t="e">
        <f t="shared" ca="1" si="3"/>
        <v>#VALUE!</v>
      </c>
      <c r="I84" s="43">
        <f t="shared" si="4"/>
        <v>0</v>
      </c>
      <c r="J84" s="229">
        <f t="shared" si="8"/>
        <v>25</v>
      </c>
      <c r="K84" s="43">
        <f t="shared" si="9"/>
        <v>0</v>
      </c>
      <c r="M84" s="224"/>
      <c r="N84" s="225">
        <f t="shared" si="10"/>
        <v>0</v>
      </c>
      <c r="O84" s="43" t="e">
        <f t="shared" si="11"/>
        <v>#VALUE!</v>
      </c>
      <c r="P84" s="43" t="e">
        <f>ROUND(IF(Preenchimento!$G$39="Tabela Price",R84-Q84,(O83*(1+$AD$35))/($AD$28-C83)),$P$22)</f>
        <v>#VALUE!</v>
      </c>
      <c r="Q84" s="43" t="e">
        <f>IF(Preenchimento!$G$39="Tabela Price",O83*(1+$AD$35)*W84,O83*(1+SAC!$AD$35)*SAC!W84)</f>
        <v>#VALUE!</v>
      </c>
      <c r="R84" s="43" t="e">
        <f>IF(Preenchimento!$G$39="Tabela Price",IF(C84="","",((((((1+W84)^($Q$16-C83))*W84)/((1+W84)^($Q$16-C83)-1))*(O83*(1+$AD$35))))),Q84+P84)</f>
        <v>#VALUE!</v>
      </c>
      <c r="S84" s="43" t="e">
        <f t="shared" ca="1" si="5"/>
        <v>#VALUE!</v>
      </c>
      <c r="T84" s="43">
        <f t="shared" si="12"/>
        <v>0</v>
      </c>
      <c r="U84" s="226">
        <f>TRUNC(T84*Condições!$C$102,2)</f>
        <v>0</v>
      </c>
      <c r="V84" s="82">
        <f t="shared" ca="1" si="13"/>
        <v>5</v>
      </c>
      <c r="W84" s="231" t="str">
        <f t="shared" si="14"/>
        <v/>
      </c>
      <c r="X84" s="210"/>
      <c r="Y84" s="210"/>
      <c r="Z84" s="210"/>
      <c r="AI84" s="114">
        <f t="shared" si="15"/>
        <v>0</v>
      </c>
      <c r="AJ84" s="113"/>
      <c r="AL84" s="477">
        <f t="shared" ca="1" si="16"/>
        <v>0</v>
      </c>
    </row>
    <row r="85" spans="2:38" ht="12" customHeight="1">
      <c r="B85" s="222">
        <f ca="1">Fixa!B85</f>
        <v>48015</v>
      </c>
      <c r="C85" s="223" t="str">
        <f>Fixa!C85</f>
        <v/>
      </c>
      <c r="D85" s="43" t="e">
        <f t="shared" si="7"/>
        <v>#VALUE!</v>
      </c>
      <c r="E85" s="43" t="e">
        <f t="shared" si="0"/>
        <v>#VALUE!</v>
      </c>
      <c r="F85" s="43" t="e">
        <f t="shared" si="1"/>
        <v>#VALUE!</v>
      </c>
      <c r="G85" s="43" t="e">
        <f t="shared" si="2"/>
        <v>#VALUE!</v>
      </c>
      <c r="H85" s="43" t="e">
        <f t="shared" ca="1" si="3"/>
        <v>#VALUE!</v>
      </c>
      <c r="I85" s="43">
        <f t="shared" si="4"/>
        <v>0</v>
      </c>
      <c r="J85" s="229">
        <f t="shared" si="8"/>
        <v>25</v>
      </c>
      <c r="K85" s="43">
        <f t="shared" si="9"/>
        <v>0</v>
      </c>
      <c r="M85" s="224"/>
      <c r="N85" s="225">
        <f t="shared" si="10"/>
        <v>0</v>
      </c>
      <c r="O85" s="43" t="e">
        <f t="shared" si="11"/>
        <v>#VALUE!</v>
      </c>
      <c r="P85" s="43" t="e">
        <f>ROUND(IF(Preenchimento!$G$39="Tabela Price",R85-Q85,(O84*(1+$AD$35))/($AD$28-C84)),$P$22)</f>
        <v>#VALUE!</v>
      </c>
      <c r="Q85" s="43" t="e">
        <f>IF(Preenchimento!$G$39="Tabela Price",O84*(1+$AD$35)*W85,O84*(1+SAC!$AD$35)*SAC!W85)</f>
        <v>#VALUE!</v>
      </c>
      <c r="R85" s="43" t="e">
        <f>IF(Preenchimento!$G$39="Tabela Price",IF(C85="","",((((((1+W85)^($Q$16-C84))*W85)/((1+W85)^($Q$16-C84)-1))*(O84*(1+$AD$35))))),Q85+P85)</f>
        <v>#VALUE!</v>
      </c>
      <c r="S85" s="43" t="e">
        <f t="shared" ca="1" si="5"/>
        <v>#VALUE!</v>
      </c>
      <c r="T85" s="43">
        <f t="shared" si="12"/>
        <v>0</v>
      </c>
      <c r="U85" s="226">
        <f>TRUNC(T85*Condições!$C$102,2)</f>
        <v>0</v>
      </c>
      <c r="V85" s="82">
        <f t="shared" ca="1" si="13"/>
        <v>6</v>
      </c>
      <c r="W85" s="231" t="str">
        <f t="shared" si="14"/>
        <v/>
      </c>
      <c r="X85" s="210"/>
      <c r="Y85" s="210"/>
      <c r="Z85" s="210"/>
      <c r="AI85" s="114">
        <f t="shared" si="15"/>
        <v>0</v>
      </c>
      <c r="AJ85" s="113"/>
      <c r="AL85" s="477">
        <f t="shared" ca="1" si="16"/>
        <v>0</v>
      </c>
    </row>
    <row r="86" spans="2:38" ht="12" customHeight="1">
      <c r="B86" s="222">
        <f ca="1">Fixa!B86</f>
        <v>48045</v>
      </c>
      <c r="C86" s="223" t="str">
        <f>Fixa!C86</f>
        <v/>
      </c>
      <c r="D86" s="43" t="e">
        <f t="shared" si="7"/>
        <v>#VALUE!</v>
      </c>
      <c r="E86" s="43" t="e">
        <f t="shared" si="0"/>
        <v>#VALUE!</v>
      </c>
      <c r="F86" s="43" t="e">
        <f t="shared" si="1"/>
        <v>#VALUE!</v>
      </c>
      <c r="G86" s="43" t="e">
        <f t="shared" si="2"/>
        <v>#VALUE!</v>
      </c>
      <c r="H86" s="43" t="e">
        <f t="shared" ca="1" si="3"/>
        <v>#VALUE!</v>
      </c>
      <c r="I86" s="43">
        <f t="shared" si="4"/>
        <v>0</v>
      </c>
      <c r="J86" s="229">
        <f t="shared" si="8"/>
        <v>25</v>
      </c>
      <c r="K86" s="43">
        <f t="shared" si="9"/>
        <v>0</v>
      </c>
      <c r="M86" s="224"/>
      <c r="N86" s="225">
        <f t="shared" si="10"/>
        <v>0</v>
      </c>
      <c r="O86" s="43" t="e">
        <f t="shared" si="11"/>
        <v>#VALUE!</v>
      </c>
      <c r="P86" s="43" t="e">
        <f>ROUND(IF(Preenchimento!$G$39="Tabela Price",R86-Q86,(O85*(1+$AD$35))/($AD$28-C85)),$P$22)</f>
        <v>#VALUE!</v>
      </c>
      <c r="Q86" s="43" t="e">
        <f>IF(Preenchimento!$G$39="Tabela Price",O85*(1+$AD$35)*W86,O85*(1+SAC!$AD$35)*SAC!W86)</f>
        <v>#VALUE!</v>
      </c>
      <c r="R86" s="43" t="e">
        <f>IF(Preenchimento!$G$39="Tabela Price",IF(C86="","",((((((1+W86)^($Q$16-C85))*W86)/((1+W86)^($Q$16-C85)-1))*(O85*(1+$AD$35))))),Q86+P86)</f>
        <v>#VALUE!</v>
      </c>
      <c r="S86" s="43" t="e">
        <f t="shared" ca="1" si="5"/>
        <v>#VALUE!</v>
      </c>
      <c r="T86" s="43">
        <f t="shared" si="12"/>
        <v>0</v>
      </c>
      <c r="U86" s="226">
        <f>TRUNC(T86*Condições!$C$102,2)</f>
        <v>0</v>
      </c>
      <c r="V86" s="82">
        <f t="shared" ca="1" si="13"/>
        <v>7</v>
      </c>
      <c r="W86" s="231" t="str">
        <f t="shared" si="14"/>
        <v/>
      </c>
      <c r="X86" s="210"/>
      <c r="Y86" s="210"/>
      <c r="Z86" s="210"/>
      <c r="AI86" s="114">
        <f t="shared" si="15"/>
        <v>0</v>
      </c>
      <c r="AJ86" s="113"/>
      <c r="AL86" s="477">
        <f t="shared" ca="1" si="16"/>
        <v>0</v>
      </c>
    </row>
    <row r="87" spans="2:38" ht="12" customHeight="1">
      <c r="B87" s="222">
        <f ca="1">Fixa!B87</f>
        <v>48076</v>
      </c>
      <c r="C87" s="223" t="str">
        <f>Fixa!C87</f>
        <v/>
      </c>
      <c r="D87" s="43" t="e">
        <f t="shared" si="7"/>
        <v>#VALUE!</v>
      </c>
      <c r="E87" s="43" t="e">
        <f t="shared" si="0"/>
        <v>#VALUE!</v>
      </c>
      <c r="F87" s="43" t="e">
        <f t="shared" si="1"/>
        <v>#VALUE!</v>
      </c>
      <c r="G87" s="43" t="e">
        <f t="shared" si="2"/>
        <v>#VALUE!</v>
      </c>
      <c r="H87" s="43" t="e">
        <f t="shared" ca="1" si="3"/>
        <v>#VALUE!</v>
      </c>
      <c r="I87" s="43">
        <f t="shared" si="4"/>
        <v>0</v>
      </c>
      <c r="J87" s="229">
        <f t="shared" si="8"/>
        <v>25</v>
      </c>
      <c r="K87" s="43">
        <f t="shared" si="9"/>
        <v>0</v>
      </c>
      <c r="M87" s="224"/>
      <c r="N87" s="225">
        <f t="shared" si="10"/>
        <v>0</v>
      </c>
      <c r="O87" s="43" t="e">
        <f t="shared" si="11"/>
        <v>#VALUE!</v>
      </c>
      <c r="P87" s="43" t="e">
        <f>ROUND(IF(Preenchimento!$G$39="Tabela Price",R87-Q87,(O86*(1+$AD$35))/($AD$28-C86)),$P$22)</f>
        <v>#VALUE!</v>
      </c>
      <c r="Q87" s="43" t="e">
        <f>IF(Preenchimento!$G$39="Tabela Price",O86*(1+$AD$35)*W87,O86*(1+SAC!$AD$35)*SAC!W87)</f>
        <v>#VALUE!</v>
      </c>
      <c r="R87" s="43" t="e">
        <f>IF(Preenchimento!$G$39="Tabela Price",IF(C87="","",((((((1+W87)^($Q$16-C86))*W87)/((1+W87)^($Q$16-C86)-1))*(O86*(1+$AD$35))))),Q87+P87)</f>
        <v>#VALUE!</v>
      </c>
      <c r="S87" s="43" t="e">
        <f t="shared" ca="1" si="5"/>
        <v>#VALUE!</v>
      </c>
      <c r="T87" s="43">
        <f t="shared" si="12"/>
        <v>0</v>
      </c>
      <c r="U87" s="226">
        <f>TRUNC(T87*Condições!$C$102,2)</f>
        <v>0</v>
      </c>
      <c r="V87" s="82">
        <f t="shared" ca="1" si="13"/>
        <v>8</v>
      </c>
      <c r="W87" s="231" t="str">
        <f t="shared" si="14"/>
        <v/>
      </c>
      <c r="X87" s="210"/>
      <c r="Y87" s="210"/>
      <c r="Z87" s="210"/>
      <c r="AI87" s="114">
        <f t="shared" si="15"/>
        <v>0</v>
      </c>
      <c r="AJ87" s="113"/>
      <c r="AL87" s="477">
        <f t="shared" ca="1" si="16"/>
        <v>0</v>
      </c>
    </row>
    <row r="88" spans="2:38" ht="12" customHeight="1">
      <c r="B88" s="222">
        <f ca="1">Fixa!B88</f>
        <v>48107</v>
      </c>
      <c r="C88" s="223" t="str">
        <f>Fixa!C88</f>
        <v/>
      </c>
      <c r="D88" s="43" t="e">
        <f t="shared" si="7"/>
        <v>#VALUE!</v>
      </c>
      <c r="E88" s="43" t="e">
        <f t="shared" si="0"/>
        <v>#VALUE!</v>
      </c>
      <c r="F88" s="43" t="e">
        <f t="shared" si="1"/>
        <v>#VALUE!</v>
      </c>
      <c r="G88" s="43" t="e">
        <f t="shared" si="2"/>
        <v>#VALUE!</v>
      </c>
      <c r="H88" s="43" t="e">
        <f t="shared" ca="1" si="3"/>
        <v>#VALUE!</v>
      </c>
      <c r="I88" s="43">
        <f t="shared" si="4"/>
        <v>0</v>
      </c>
      <c r="J88" s="229">
        <f t="shared" si="8"/>
        <v>25</v>
      </c>
      <c r="K88" s="43">
        <f t="shared" si="9"/>
        <v>0</v>
      </c>
      <c r="M88" s="224"/>
      <c r="N88" s="225">
        <f t="shared" si="10"/>
        <v>0</v>
      </c>
      <c r="O88" s="43" t="e">
        <f t="shared" si="11"/>
        <v>#VALUE!</v>
      </c>
      <c r="P88" s="43" t="e">
        <f>ROUND(IF(Preenchimento!$G$39="Tabela Price",R88-Q88,(O87*(1+$AD$35))/($AD$28-C87)),$P$22)</f>
        <v>#VALUE!</v>
      </c>
      <c r="Q88" s="43" t="e">
        <f>IF(Preenchimento!$G$39="Tabela Price",O87*(1+$AD$35)*W88,O87*(1+SAC!$AD$35)*SAC!W88)</f>
        <v>#VALUE!</v>
      </c>
      <c r="R88" s="43" t="e">
        <f>IF(Preenchimento!$G$39="Tabela Price",IF(C88="","",((((((1+W88)^($Q$16-C87))*W88)/((1+W88)^($Q$16-C87)-1))*(O87*(1+$AD$35))))),Q88+P88)</f>
        <v>#VALUE!</v>
      </c>
      <c r="S88" s="43" t="e">
        <f t="shared" ca="1" si="5"/>
        <v>#VALUE!</v>
      </c>
      <c r="T88" s="43">
        <f t="shared" si="12"/>
        <v>0</v>
      </c>
      <c r="U88" s="226">
        <f>TRUNC(T88*Condições!$C$102,2)</f>
        <v>0</v>
      </c>
      <c r="V88" s="82">
        <f t="shared" ca="1" si="13"/>
        <v>9</v>
      </c>
      <c r="W88" s="231" t="str">
        <f t="shared" si="14"/>
        <v/>
      </c>
      <c r="X88" s="210"/>
      <c r="Y88" s="210"/>
      <c r="Z88" s="210"/>
      <c r="AI88" s="114">
        <f t="shared" si="15"/>
        <v>0</v>
      </c>
      <c r="AJ88" s="113"/>
      <c r="AL88" s="477">
        <f t="shared" ca="1" si="16"/>
        <v>0</v>
      </c>
    </row>
    <row r="89" spans="2:38" ht="12" customHeight="1">
      <c r="B89" s="222">
        <f ca="1">Fixa!B89</f>
        <v>48137</v>
      </c>
      <c r="C89" s="223" t="str">
        <f>Fixa!C89</f>
        <v/>
      </c>
      <c r="D89" s="43" t="e">
        <f t="shared" si="7"/>
        <v>#VALUE!</v>
      </c>
      <c r="E89" s="43" t="e">
        <f t="shared" si="0"/>
        <v>#VALUE!</v>
      </c>
      <c r="F89" s="43" t="e">
        <f t="shared" si="1"/>
        <v>#VALUE!</v>
      </c>
      <c r="G89" s="43" t="e">
        <f t="shared" si="2"/>
        <v>#VALUE!</v>
      </c>
      <c r="H89" s="43" t="e">
        <f t="shared" ca="1" si="3"/>
        <v>#VALUE!</v>
      </c>
      <c r="I89" s="43">
        <f t="shared" si="4"/>
        <v>0</v>
      </c>
      <c r="J89" s="229">
        <f t="shared" si="8"/>
        <v>25</v>
      </c>
      <c r="K89" s="43">
        <f t="shared" si="9"/>
        <v>0</v>
      </c>
      <c r="M89" s="224"/>
      <c r="N89" s="225">
        <f t="shared" si="10"/>
        <v>0</v>
      </c>
      <c r="O89" s="43" t="e">
        <f t="shared" si="11"/>
        <v>#VALUE!</v>
      </c>
      <c r="P89" s="43" t="e">
        <f>ROUND(IF(Preenchimento!$G$39="Tabela Price",R89-Q89,(O88*(1+$AD$35))/($AD$28-C88)),$P$22)</f>
        <v>#VALUE!</v>
      </c>
      <c r="Q89" s="43" t="e">
        <f>IF(Preenchimento!$G$39="Tabela Price",O88*(1+$AD$35)*W89,O88*(1+SAC!$AD$35)*SAC!W89)</f>
        <v>#VALUE!</v>
      </c>
      <c r="R89" s="43" t="e">
        <f>IF(Preenchimento!$G$39="Tabela Price",IF(C89="","",((((((1+W89)^($Q$16-C88))*W89)/((1+W89)^($Q$16-C88)-1))*(O88*(1+$AD$35))))),Q89+P89)</f>
        <v>#VALUE!</v>
      </c>
      <c r="S89" s="43" t="e">
        <f t="shared" ca="1" si="5"/>
        <v>#VALUE!</v>
      </c>
      <c r="T89" s="43">
        <f t="shared" si="12"/>
        <v>0</v>
      </c>
      <c r="U89" s="226">
        <f>TRUNC(T89*Condições!$C$102,2)</f>
        <v>0</v>
      </c>
      <c r="V89" s="82">
        <f t="shared" ca="1" si="13"/>
        <v>10</v>
      </c>
      <c r="W89" s="231" t="str">
        <f t="shared" si="14"/>
        <v/>
      </c>
      <c r="X89" s="210"/>
      <c r="Y89" s="210"/>
      <c r="Z89" s="210"/>
      <c r="AI89" s="114">
        <f t="shared" si="15"/>
        <v>0</v>
      </c>
      <c r="AJ89" s="113"/>
      <c r="AL89" s="477">
        <f t="shared" ca="1" si="16"/>
        <v>0</v>
      </c>
    </row>
    <row r="90" spans="2:38" ht="12" customHeight="1">
      <c r="B90" s="222">
        <f ca="1">Fixa!B90</f>
        <v>48168</v>
      </c>
      <c r="C90" s="223" t="str">
        <f>Fixa!C90</f>
        <v/>
      </c>
      <c r="D90" s="43" t="e">
        <f t="shared" si="7"/>
        <v>#VALUE!</v>
      </c>
      <c r="E90" s="43" t="e">
        <f t="shared" ref="E90:E153" si="17">ROUND(P90,2)</f>
        <v>#VALUE!</v>
      </c>
      <c r="F90" s="43" t="e">
        <f t="shared" ref="F90:F153" si="18">ROUND(Q90,2)</f>
        <v>#VALUE!</v>
      </c>
      <c r="G90" s="43" t="e">
        <f t="shared" ref="G90:G153" si="19">F90+E90</f>
        <v>#VALUE!</v>
      </c>
      <c r="H90" s="43" t="e">
        <f t="shared" ref="H90:H153" ca="1" si="20">ROUND(S90,2)</f>
        <v>#VALUE!</v>
      </c>
      <c r="I90" s="43">
        <f t="shared" ref="I90:I153" si="21">ROUND(T90+U90,2)</f>
        <v>0</v>
      </c>
      <c r="J90" s="229">
        <f t="shared" si="8"/>
        <v>25</v>
      </c>
      <c r="K90" s="43">
        <f t="shared" si="9"/>
        <v>0</v>
      </c>
      <c r="M90" s="224"/>
      <c r="N90" s="225">
        <f t="shared" si="10"/>
        <v>0</v>
      </c>
      <c r="O90" s="43" t="e">
        <f t="shared" si="11"/>
        <v>#VALUE!</v>
      </c>
      <c r="P90" s="43" t="e">
        <f>ROUND(IF(Preenchimento!$G$39="Tabela Price",R90-Q90,(O89*(1+$AD$35))/($AD$28-C89)),$P$22)</f>
        <v>#VALUE!</v>
      </c>
      <c r="Q90" s="43" t="e">
        <f>IF(Preenchimento!$G$39="Tabela Price",O89*(1+$AD$35)*W90,O89*(1+SAC!$AD$35)*SAC!W90)</f>
        <v>#VALUE!</v>
      </c>
      <c r="R90" s="43" t="e">
        <f>IF(Preenchimento!$G$39="Tabela Price",IF(C90="","",((((((1+W90)^($Q$16-C89))*W90)/((1+W90)^($Q$16-C89)-1))*(O89*(1+$AD$35))))),Q90+P90)</f>
        <v>#VALUE!</v>
      </c>
      <c r="S90" s="43" t="e">
        <f t="shared" ref="S90:S153" ca="1" si="22">ROUND($AD$34*O90,$P$22)</f>
        <v>#VALUE!</v>
      </c>
      <c r="T90" s="43">
        <f t="shared" si="12"/>
        <v>0</v>
      </c>
      <c r="U90" s="226">
        <f>TRUNC(T90*Condições!$C$102,2)</f>
        <v>0</v>
      </c>
      <c r="V90" s="82">
        <f t="shared" ca="1" si="13"/>
        <v>11</v>
      </c>
      <c r="W90" s="231" t="str">
        <f t="shared" si="14"/>
        <v/>
      </c>
      <c r="X90" s="210"/>
      <c r="Y90" s="210"/>
      <c r="Z90" s="210"/>
      <c r="AI90" s="114">
        <f t="shared" si="15"/>
        <v>0</v>
      </c>
      <c r="AJ90" s="113"/>
      <c r="AL90" s="477">
        <f t="shared" ca="1" si="16"/>
        <v>0</v>
      </c>
    </row>
    <row r="91" spans="2:38" ht="12" customHeight="1">
      <c r="B91" s="222">
        <f ca="1">Fixa!B91</f>
        <v>48198</v>
      </c>
      <c r="C91" s="223" t="str">
        <f>Fixa!C91</f>
        <v/>
      </c>
      <c r="D91" s="43" t="e">
        <f t="shared" ref="D91:D154" si="23">ROUND(O91,2)</f>
        <v>#VALUE!</v>
      </c>
      <c r="E91" s="43" t="e">
        <f t="shared" si="17"/>
        <v>#VALUE!</v>
      </c>
      <c r="F91" s="43" t="e">
        <f t="shared" si="18"/>
        <v>#VALUE!</v>
      </c>
      <c r="G91" s="43" t="e">
        <f t="shared" si="19"/>
        <v>#VALUE!</v>
      </c>
      <c r="H91" s="43" t="e">
        <f t="shared" ca="1" si="20"/>
        <v>#VALUE!</v>
      </c>
      <c r="I91" s="43">
        <f t="shared" si="21"/>
        <v>0</v>
      </c>
      <c r="J91" s="229">
        <f t="shared" ref="J91:J154" si="24">$AD$31</f>
        <v>25</v>
      </c>
      <c r="K91" s="43">
        <f t="shared" ref="K91:K154" si="25">IF(C91&gt;$AD$28,0,J91+G91+I91+H91)</f>
        <v>0</v>
      </c>
      <c r="M91" s="224"/>
      <c r="N91" s="225">
        <f t="shared" ref="N91:N154" si="26">IF(C91&gt;$AD$28,0,(H91+I91)/(1.008^((12*(B91-$B$25))/365)))</f>
        <v>0</v>
      </c>
      <c r="O91" s="43" t="e">
        <f t="shared" ref="O91:O154" si="27">ROUND((O90*(1+$AD$35)-P91),$P$22)</f>
        <v>#VALUE!</v>
      </c>
      <c r="P91" s="43" t="e">
        <f>ROUND(IF(Preenchimento!$G$39="Tabela Price",R91-Q91,(O90*(1+$AD$35))/($AD$28-C90)),$P$22)</f>
        <v>#VALUE!</v>
      </c>
      <c r="Q91" s="43" t="e">
        <f>IF(Preenchimento!$G$39="Tabela Price",O90*(1+$AD$35)*W91,O90*(1+SAC!$AD$35)*SAC!W91)</f>
        <v>#VALUE!</v>
      </c>
      <c r="R91" s="43" t="e">
        <f>IF(Preenchimento!$G$39="Tabela Price",IF(C91="","",((((((1+W91)^($Q$16-C90))*W91)/((1+W91)^($Q$16-C90)-1))*(O90*(1+$AD$35))))),Q91+P91)</f>
        <v>#VALUE!</v>
      </c>
      <c r="S91" s="43" t="e">
        <f t="shared" ca="1" si="22"/>
        <v>#VALUE!</v>
      </c>
      <c r="T91" s="43">
        <f t="shared" ref="T91:T154" si="28">IF(C91&gt;=$AD$28,0,ROUND($AD$25*$AD$33,$P$22))</f>
        <v>0</v>
      </c>
      <c r="U91" s="226">
        <f>TRUNC(T91*Condições!$C$102,2)</f>
        <v>0</v>
      </c>
      <c r="V91" s="82">
        <f t="shared" ref="V91:V154" ca="1" si="29">MONTH(B91)</f>
        <v>12</v>
      </c>
      <c r="W91" s="231" t="str">
        <f t="shared" ref="W91:W154" si="30">IF(C91="","",IF(AND(C91&gt;$AD$46,$AD$46&lt;&gt;""),$AE$29,$AD$29))</f>
        <v/>
      </c>
      <c r="X91" s="210"/>
      <c r="Y91" s="210"/>
      <c r="Z91" s="210"/>
      <c r="AI91" s="114">
        <f t="shared" ref="AI91:AI154" si="31">IF(C91&gt;$AD$28,0,R91+S91+T91+U91+J91)</f>
        <v>0</v>
      </c>
      <c r="AJ91" s="113"/>
      <c r="AL91" s="477">
        <f t="shared" ref="AL91:AL154" ca="1" si="32">IFERROR(IF(V90&gt;$AD$28,0,R91),0)</f>
        <v>0</v>
      </c>
    </row>
    <row r="92" spans="2:38" ht="12" customHeight="1">
      <c r="B92" s="222">
        <f ca="1">Fixa!B92</f>
        <v>48229</v>
      </c>
      <c r="C92" s="223" t="str">
        <f>Fixa!C92</f>
        <v/>
      </c>
      <c r="D92" s="43" t="e">
        <f t="shared" si="23"/>
        <v>#VALUE!</v>
      </c>
      <c r="E92" s="43" t="e">
        <f t="shared" si="17"/>
        <v>#VALUE!</v>
      </c>
      <c r="F92" s="43" t="e">
        <f t="shared" si="18"/>
        <v>#VALUE!</v>
      </c>
      <c r="G92" s="43" t="e">
        <f t="shared" si="19"/>
        <v>#VALUE!</v>
      </c>
      <c r="H92" s="43" t="e">
        <f t="shared" ca="1" si="20"/>
        <v>#VALUE!</v>
      </c>
      <c r="I92" s="43">
        <f t="shared" si="21"/>
        <v>0</v>
      </c>
      <c r="J92" s="229">
        <f t="shared" si="24"/>
        <v>25</v>
      </c>
      <c r="K92" s="43">
        <f t="shared" si="25"/>
        <v>0</v>
      </c>
      <c r="M92" s="224"/>
      <c r="N92" s="225">
        <f t="shared" si="26"/>
        <v>0</v>
      </c>
      <c r="O92" s="43" t="e">
        <f t="shared" si="27"/>
        <v>#VALUE!</v>
      </c>
      <c r="P92" s="43" t="e">
        <f>ROUND(IF(Preenchimento!$G$39="Tabela Price",R92-Q92,(O91*(1+$AD$35))/($AD$28-C91)),$P$22)</f>
        <v>#VALUE!</v>
      </c>
      <c r="Q92" s="43" t="e">
        <f>IF(Preenchimento!$G$39="Tabela Price",O91*(1+$AD$35)*W92,O91*(1+SAC!$AD$35)*SAC!W92)</f>
        <v>#VALUE!</v>
      </c>
      <c r="R92" s="43" t="e">
        <f>IF(Preenchimento!$G$39="Tabela Price",IF(C92="","",((((((1+W92)^($Q$16-C91))*W92)/((1+W92)^($Q$16-C91)-1))*(O91*(1+$AD$35))))),Q92+P92)</f>
        <v>#VALUE!</v>
      </c>
      <c r="S92" s="43" t="e">
        <f t="shared" ca="1" si="22"/>
        <v>#VALUE!</v>
      </c>
      <c r="T92" s="43">
        <f t="shared" si="28"/>
        <v>0</v>
      </c>
      <c r="U92" s="226">
        <f>TRUNC(T92*Condições!$C$102,2)</f>
        <v>0</v>
      </c>
      <c r="V92" s="82">
        <f t="shared" ca="1" si="29"/>
        <v>1</v>
      </c>
      <c r="W92" s="231" t="str">
        <f t="shared" si="30"/>
        <v/>
      </c>
      <c r="X92" s="210"/>
      <c r="Y92" s="210"/>
      <c r="Z92" s="210"/>
      <c r="AI92" s="114">
        <f t="shared" si="31"/>
        <v>0</v>
      </c>
      <c r="AJ92" s="113"/>
      <c r="AL92" s="477">
        <f t="shared" ca="1" si="32"/>
        <v>0</v>
      </c>
    </row>
    <row r="93" spans="2:38" ht="12" customHeight="1">
      <c r="B93" s="222">
        <f ca="1">Fixa!B93</f>
        <v>48260</v>
      </c>
      <c r="C93" s="223" t="str">
        <f>Fixa!C93</f>
        <v/>
      </c>
      <c r="D93" s="43" t="e">
        <f t="shared" si="23"/>
        <v>#VALUE!</v>
      </c>
      <c r="E93" s="43" t="e">
        <f t="shared" si="17"/>
        <v>#VALUE!</v>
      </c>
      <c r="F93" s="43" t="e">
        <f t="shared" si="18"/>
        <v>#VALUE!</v>
      </c>
      <c r="G93" s="43" t="e">
        <f t="shared" si="19"/>
        <v>#VALUE!</v>
      </c>
      <c r="H93" s="43" t="e">
        <f t="shared" ca="1" si="20"/>
        <v>#VALUE!</v>
      </c>
      <c r="I93" s="43">
        <f t="shared" si="21"/>
        <v>0</v>
      </c>
      <c r="J93" s="229">
        <f t="shared" si="24"/>
        <v>25</v>
      </c>
      <c r="K93" s="43">
        <f t="shared" si="25"/>
        <v>0</v>
      </c>
      <c r="M93" s="224"/>
      <c r="N93" s="225">
        <f t="shared" si="26"/>
        <v>0</v>
      </c>
      <c r="O93" s="43" t="e">
        <f t="shared" si="27"/>
        <v>#VALUE!</v>
      </c>
      <c r="P93" s="43" t="e">
        <f>ROUND(IF(Preenchimento!$G$39="Tabela Price",R93-Q93,(O92*(1+$AD$35))/($AD$28-C92)),$P$22)</f>
        <v>#VALUE!</v>
      </c>
      <c r="Q93" s="43" t="e">
        <f>IF(Preenchimento!$G$39="Tabela Price",O92*(1+$AD$35)*W93,O92*(1+SAC!$AD$35)*SAC!W93)</f>
        <v>#VALUE!</v>
      </c>
      <c r="R93" s="43" t="e">
        <f>IF(Preenchimento!$G$39="Tabela Price",IF(C93="","",((((((1+W93)^($Q$16-C92))*W93)/((1+W93)^($Q$16-C92)-1))*(O92*(1+$AD$35))))),Q93+P93)</f>
        <v>#VALUE!</v>
      </c>
      <c r="S93" s="43" t="e">
        <f t="shared" ca="1" si="22"/>
        <v>#VALUE!</v>
      </c>
      <c r="T93" s="43">
        <f t="shared" si="28"/>
        <v>0</v>
      </c>
      <c r="U93" s="226">
        <f>TRUNC(T93*Condições!$C$102,2)</f>
        <v>0</v>
      </c>
      <c r="V93" s="82">
        <f t="shared" ca="1" si="29"/>
        <v>2</v>
      </c>
      <c r="W93" s="231" t="str">
        <f t="shared" si="30"/>
        <v/>
      </c>
      <c r="X93" s="210"/>
      <c r="Y93" s="210"/>
      <c r="Z93" s="210"/>
      <c r="AI93" s="114">
        <f t="shared" si="31"/>
        <v>0</v>
      </c>
      <c r="AJ93" s="113"/>
      <c r="AL93" s="477">
        <f t="shared" ca="1" si="32"/>
        <v>0</v>
      </c>
    </row>
    <row r="94" spans="2:38" ht="12" customHeight="1">
      <c r="B94" s="222">
        <f ca="1">Fixa!B94</f>
        <v>48289</v>
      </c>
      <c r="C94" s="223" t="str">
        <f>Fixa!C94</f>
        <v/>
      </c>
      <c r="D94" s="43" t="e">
        <f t="shared" si="23"/>
        <v>#VALUE!</v>
      </c>
      <c r="E94" s="43" t="e">
        <f t="shared" si="17"/>
        <v>#VALUE!</v>
      </c>
      <c r="F94" s="43" t="e">
        <f t="shared" si="18"/>
        <v>#VALUE!</v>
      </c>
      <c r="G94" s="43" t="e">
        <f t="shared" si="19"/>
        <v>#VALUE!</v>
      </c>
      <c r="H94" s="43" t="e">
        <f t="shared" ca="1" si="20"/>
        <v>#VALUE!</v>
      </c>
      <c r="I94" s="43">
        <f t="shared" si="21"/>
        <v>0</v>
      </c>
      <c r="J94" s="229">
        <f t="shared" si="24"/>
        <v>25</v>
      </c>
      <c r="K94" s="43">
        <f t="shared" si="25"/>
        <v>0</v>
      </c>
      <c r="M94" s="224"/>
      <c r="N94" s="225">
        <f t="shared" si="26"/>
        <v>0</v>
      </c>
      <c r="O94" s="43" t="e">
        <f t="shared" si="27"/>
        <v>#VALUE!</v>
      </c>
      <c r="P94" s="43" t="e">
        <f>ROUND(IF(Preenchimento!$G$39="Tabela Price",R94-Q94,(O93*(1+$AD$35))/($AD$28-C93)),$P$22)</f>
        <v>#VALUE!</v>
      </c>
      <c r="Q94" s="43" t="e">
        <f>IF(Preenchimento!$G$39="Tabela Price",O93*(1+$AD$35)*W94,O93*(1+SAC!$AD$35)*SAC!W94)</f>
        <v>#VALUE!</v>
      </c>
      <c r="R94" s="43" t="e">
        <f>IF(Preenchimento!$G$39="Tabela Price",IF(C94="","",((((((1+W94)^($Q$16-C93))*W94)/((1+W94)^($Q$16-C93)-1))*(O93*(1+$AD$35))))),Q94+P94)</f>
        <v>#VALUE!</v>
      </c>
      <c r="S94" s="43" t="e">
        <f t="shared" ca="1" si="22"/>
        <v>#VALUE!</v>
      </c>
      <c r="T94" s="43">
        <f t="shared" si="28"/>
        <v>0</v>
      </c>
      <c r="U94" s="226">
        <f>TRUNC(T94*Condições!$C$102,2)</f>
        <v>0</v>
      </c>
      <c r="V94" s="82">
        <f t="shared" ca="1" si="29"/>
        <v>3</v>
      </c>
      <c r="W94" s="231" t="str">
        <f t="shared" si="30"/>
        <v/>
      </c>
      <c r="X94" s="210"/>
      <c r="Y94" s="210"/>
      <c r="Z94" s="210"/>
      <c r="AI94" s="114">
        <f t="shared" si="31"/>
        <v>0</v>
      </c>
      <c r="AJ94" s="113"/>
      <c r="AL94" s="477">
        <f t="shared" ca="1" si="32"/>
        <v>0</v>
      </c>
    </row>
    <row r="95" spans="2:38" ht="12" customHeight="1">
      <c r="B95" s="222">
        <f ca="1">Fixa!B95</f>
        <v>48320</v>
      </c>
      <c r="C95" s="223" t="str">
        <f>Fixa!C95</f>
        <v/>
      </c>
      <c r="D95" s="43" t="e">
        <f t="shared" si="23"/>
        <v>#VALUE!</v>
      </c>
      <c r="E95" s="43" t="e">
        <f t="shared" si="17"/>
        <v>#VALUE!</v>
      </c>
      <c r="F95" s="43" t="e">
        <f t="shared" si="18"/>
        <v>#VALUE!</v>
      </c>
      <c r="G95" s="43" t="e">
        <f t="shared" si="19"/>
        <v>#VALUE!</v>
      </c>
      <c r="H95" s="43" t="e">
        <f t="shared" ca="1" si="20"/>
        <v>#VALUE!</v>
      </c>
      <c r="I95" s="43">
        <f t="shared" si="21"/>
        <v>0</v>
      </c>
      <c r="J95" s="229">
        <f t="shared" si="24"/>
        <v>25</v>
      </c>
      <c r="K95" s="43">
        <f t="shared" si="25"/>
        <v>0</v>
      </c>
      <c r="M95" s="224"/>
      <c r="N95" s="225">
        <f t="shared" si="26"/>
        <v>0</v>
      </c>
      <c r="O95" s="43" t="e">
        <f t="shared" si="27"/>
        <v>#VALUE!</v>
      </c>
      <c r="P95" s="43" t="e">
        <f>ROUND(IF(Preenchimento!$G$39="Tabela Price",R95-Q95,(O94*(1+$AD$35))/($AD$28-C94)),$P$22)</f>
        <v>#VALUE!</v>
      </c>
      <c r="Q95" s="43" t="e">
        <f>IF(Preenchimento!$G$39="Tabela Price",O94*(1+$AD$35)*W95,O94*(1+SAC!$AD$35)*SAC!W95)</f>
        <v>#VALUE!</v>
      </c>
      <c r="R95" s="43" t="e">
        <f>IF(Preenchimento!$G$39="Tabela Price",IF(C95="","",((((((1+W95)^($Q$16-C94))*W95)/((1+W95)^($Q$16-C94)-1))*(O94*(1+$AD$35))))),Q95+P95)</f>
        <v>#VALUE!</v>
      </c>
      <c r="S95" s="43" t="e">
        <f t="shared" ca="1" si="22"/>
        <v>#VALUE!</v>
      </c>
      <c r="T95" s="43">
        <f t="shared" si="28"/>
        <v>0</v>
      </c>
      <c r="U95" s="226">
        <f>TRUNC(T95*Condições!$C$102,2)</f>
        <v>0</v>
      </c>
      <c r="V95" s="82">
        <f t="shared" ca="1" si="29"/>
        <v>4</v>
      </c>
      <c r="W95" s="231" t="str">
        <f t="shared" si="30"/>
        <v/>
      </c>
      <c r="X95" s="210"/>
      <c r="Y95" s="210"/>
      <c r="Z95" s="210"/>
      <c r="AI95" s="114">
        <f t="shared" si="31"/>
        <v>0</v>
      </c>
      <c r="AJ95" s="113"/>
      <c r="AL95" s="477">
        <f t="shared" ca="1" si="32"/>
        <v>0</v>
      </c>
    </row>
    <row r="96" spans="2:38" ht="12" customHeight="1">
      <c r="B96" s="222">
        <f ca="1">Fixa!B96</f>
        <v>48350</v>
      </c>
      <c r="C96" s="223" t="str">
        <f>Fixa!C96</f>
        <v/>
      </c>
      <c r="D96" s="43" t="e">
        <f t="shared" si="23"/>
        <v>#VALUE!</v>
      </c>
      <c r="E96" s="43" t="e">
        <f t="shared" si="17"/>
        <v>#VALUE!</v>
      </c>
      <c r="F96" s="43" t="e">
        <f t="shared" si="18"/>
        <v>#VALUE!</v>
      </c>
      <c r="G96" s="43" t="e">
        <f t="shared" si="19"/>
        <v>#VALUE!</v>
      </c>
      <c r="H96" s="43" t="e">
        <f t="shared" ca="1" si="20"/>
        <v>#VALUE!</v>
      </c>
      <c r="I96" s="43">
        <f t="shared" si="21"/>
        <v>0</v>
      </c>
      <c r="J96" s="229">
        <f t="shared" si="24"/>
        <v>25</v>
      </c>
      <c r="K96" s="43">
        <f t="shared" si="25"/>
        <v>0</v>
      </c>
      <c r="M96" s="224"/>
      <c r="N96" s="225">
        <f t="shared" si="26"/>
        <v>0</v>
      </c>
      <c r="O96" s="43" t="e">
        <f t="shared" si="27"/>
        <v>#VALUE!</v>
      </c>
      <c r="P96" s="43" t="e">
        <f>ROUND(IF(Preenchimento!$G$39="Tabela Price",R96-Q96,(O95*(1+$AD$35))/($AD$28-C95)),$P$22)</f>
        <v>#VALUE!</v>
      </c>
      <c r="Q96" s="43" t="e">
        <f>IF(Preenchimento!$G$39="Tabela Price",O95*(1+$AD$35)*W96,O95*(1+SAC!$AD$35)*SAC!W96)</f>
        <v>#VALUE!</v>
      </c>
      <c r="R96" s="43" t="e">
        <f>IF(Preenchimento!$G$39="Tabela Price",IF(C96="","",((((((1+W96)^($Q$16-C95))*W96)/((1+W96)^($Q$16-C95)-1))*(O95*(1+$AD$35))))),Q96+P96)</f>
        <v>#VALUE!</v>
      </c>
      <c r="S96" s="43" t="e">
        <f t="shared" ca="1" si="22"/>
        <v>#VALUE!</v>
      </c>
      <c r="T96" s="43">
        <f t="shared" si="28"/>
        <v>0</v>
      </c>
      <c r="U96" s="226">
        <f>TRUNC(T96*Condições!$C$102,2)</f>
        <v>0</v>
      </c>
      <c r="V96" s="82">
        <f t="shared" ca="1" si="29"/>
        <v>5</v>
      </c>
      <c r="W96" s="231" t="str">
        <f t="shared" si="30"/>
        <v/>
      </c>
      <c r="X96" s="210"/>
      <c r="Y96" s="210"/>
      <c r="Z96" s="210"/>
      <c r="AI96" s="114">
        <f t="shared" si="31"/>
        <v>0</v>
      </c>
      <c r="AJ96" s="113"/>
      <c r="AL96" s="477">
        <f t="shared" ca="1" si="32"/>
        <v>0</v>
      </c>
    </row>
    <row r="97" spans="2:38" ht="12" customHeight="1">
      <c r="B97" s="222">
        <f ca="1">Fixa!B97</f>
        <v>48381</v>
      </c>
      <c r="C97" s="223" t="str">
        <f>Fixa!C97</f>
        <v/>
      </c>
      <c r="D97" s="43" t="e">
        <f t="shared" si="23"/>
        <v>#VALUE!</v>
      </c>
      <c r="E97" s="43" t="e">
        <f t="shared" si="17"/>
        <v>#VALUE!</v>
      </c>
      <c r="F97" s="43" t="e">
        <f t="shared" si="18"/>
        <v>#VALUE!</v>
      </c>
      <c r="G97" s="43" t="e">
        <f t="shared" si="19"/>
        <v>#VALUE!</v>
      </c>
      <c r="H97" s="43" t="e">
        <f t="shared" ca="1" si="20"/>
        <v>#VALUE!</v>
      </c>
      <c r="I97" s="43">
        <f t="shared" si="21"/>
        <v>0</v>
      </c>
      <c r="J97" s="229">
        <f t="shared" si="24"/>
        <v>25</v>
      </c>
      <c r="K97" s="43">
        <f t="shared" si="25"/>
        <v>0</v>
      </c>
      <c r="M97" s="224"/>
      <c r="N97" s="225">
        <f t="shared" si="26"/>
        <v>0</v>
      </c>
      <c r="O97" s="43" t="e">
        <f t="shared" si="27"/>
        <v>#VALUE!</v>
      </c>
      <c r="P97" s="43" t="e">
        <f>ROUND(IF(Preenchimento!$G$39="Tabela Price",R97-Q97,(O96*(1+$AD$35))/($AD$28-C96)),$P$22)</f>
        <v>#VALUE!</v>
      </c>
      <c r="Q97" s="43" t="e">
        <f>IF(Preenchimento!$G$39="Tabela Price",O96*(1+$AD$35)*W97,O96*(1+SAC!$AD$35)*SAC!W97)</f>
        <v>#VALUE!</v>
      </c>
      <c r="R97" s="43" t="e">
        <f>IF(Preenchimento!$G$39="Tabela Price",IF(C97="","",((((((1+W97)^($Q$16-C96))*W97)/((1+W97)^($Q$16-C96)-1))*(O96*(1+$AD$35))))),Q97+P97)</f>
        <v>#VALUE!</v>
      </c>
      <c r="S97" s="43" t="e">
        <f t="shared" ca="1" si="22"/>
        <v>#VALUE!</v>
      </c>
      <c r="T97" s="43">
        <f t="shared" si="28"/>
        <v>0</v>
      </c>
      <c r="U97" s="226">
        <f>TRUNC(T97*Condições!$C$102,2)</f>
        <v>0</v>
      </c>
      <c r="V97" s="82">
        <f t="shared" ca="1" si="29"/>
        <v>6</v>
      </c>
      <c r="W97" s="231" t="str">
        <f t="shared" si="30"/>
        <v/>
      </c>
      <c r="X97" s="210"/>
      <c r="Y97" s="210"/>
      <c r="Z97" s="210"/>
      <c r="AI97" s="114">
        <f t="shared" si="31"/>
        <v>0</v>
      </c>
      <c r="AJ97" s="113"/>
      <c r="AL97" s="477">
        <f t="shared" ca="1" si="32"/>
        <v>0</v>
      </c>
    </row>
    <row r="98" spans="2:38" ht="12" customHeight="1">
      <c r="B98" s="222">
        <f ca="1">Fixa!B98</f>
        <v>48411</v>
      </c>
      <c r="C98" s="223" t="str">
        <f>Fixa!C98</f>
        <v/>
      </c>
      <c r="D98" s="43" t="e">
        <f t="shared" si="23"/>
        <v>#VALUE!</v>
      </c>
      <c r="E98" s="43" t="e">
        <f t="shared" si="17"/>
        <v>#VALUE!</v>
      </c>
      <c r="F98" s="43" t="e">
        <f t="shared" si="18"/>
        <v>#VALUE!</v>
      </c>
      <c r="G98" s="43" t="e">
        <f t="shared" si="19"/>
        <v>#VALUE!</v>
      </c>
      <c r="H98" s="43" t="e">
        <f t="shared" ca="1" si="20"/>
        <v>#VALUE!</v>
      </c>
      <c r="I98" s="43">
        <f t="shared" si="21"/>
        <v>0</v>
      </c>
      <c r="J98" s="229">
        <f t="shared" si="24"/>
        <v>25</v>
      </c>
      <c r="K98" s="43">
        <f t="shared" si="25"/>
        <v>0</v>
      </c>
      <c r="M98" s="224"/>
      <c r="N98" s="225">
        <f t="shared" si="26"/>
        <v>0</v>
      </c>
      <c r="O98" s="43" t="e">
        <f t="shared" si="27"/>
        <v>#VALUE!</v>
      </c>
      <c r="P98" s="43" t="e">
        <f>ROUND(IF(Preenchimento!$G$39="Tabela Price",R98-Q98,(O97*(1+$AD$35))/($AD$28-C97)),$P$22)</f>
        <v>#VALUE!</v>
      </c>
      <c r="Q98" s="43" t="e">
        <f>IF(Preenchimento!$G$39="Tabela Price",O97*(1+$AD$35)*W98,O97*(1+SAC!$AD$35)*SAC!W98)</f>
        <v>#VALUE!</v>
      </c>
      <c r="R98" s="43" t="e">
        <f>IF(Preenchimento!$G$39="Tabela Price",IF(C98="","",((((((1+W98)^($Q$16-C97))*W98)/((1+W98)^($Q$16-C97)-1))*(O97*(1+$AD$35))))),Q98+P98)</f>
        <v>#VALUE!</v>
      </c>
      <c r="S98" s="43" t="e">
        <f t="shared" ca="1" si="22"/>
        <v>#VALUE!</v>
      </c>
      <c r="T98" s="43">
        <f t="shared" si="28"/>
        <v>0</v>
      </c>
      <c r="U98" s="226">
        <f>TRUNC(T98*Condições!$C$102,2)</f>
        <v>0</v>
      </c>
      <c r="V98" s="82">
        <f t="shared" ca="1" si="29"/>
        <v>7</v>
      </c>
      <c r="W98" s="231" t="str">
        <f t="shared" si="30"/>
        <v/>
      </c>
      <c r="X98" s="210"/>
      <c r="Y98" s="210"/>
      <c r="Z98" s="210"/>
      <c r="AI98" s="114">
        <f t="shared" si="31"/>
        <v>0</v>
      </c>
      <c r="AJ98" s="113"/>
      <c r="AL98" s="477">
        <f t="shared" ca="1" si="32"/>
        <v>0</v>
      </c>
    </row>
    <row r="99" spans="2:38" ht="12" customHeight="1">
      <c r="B99" s="222">
        <f ca="1">Fixa!B99</f>
        <v>48442</v>
      </c>
      <c r="C99" s="223" t="str">
        <f>Fixa!C99</f>
        <v/>
      </c>
      <c r="D99" s="43" t="e">
        <f t="shared" si="23"/>
        <v>#VALUE!</v>
      </c>
      <c r="E99" s="43" t="e">
        <f t="shared" si="17"/>
        <v>#VALUE!</v>
      </c>
      <c r="F99" s="43" t="e">
        <f t="shared" si="18"/>
        <v>#VALUE!</v>
      </c>
      <c r="G99" s="43" t="e">
        <f t="shared" si="19"/>
        <v>#VALUE!</v>
      </c>
      <c r="H99" s="43" t="e">
        <f t="shared" ca="1" si="20"/>
        <v>#VALUE!</v>
      </c>
      <c r="I99" s="43">
        <f t="shared" si="21"/>
        <v>0</v>
      </c>
      <c r="J99" s="229">
        <f t="shared" si="24"/>
        <v>25</v>
      </c>
      <c r="K99" s="43">
        <f t="shared" si="25"/>
        <v>0</v>
      </c>
      <c r="M99" s="224"/>
      <c r="N99" s="225">
        <f t="shared" si="26"/>
        <v>0</v>
      </c>
      <c r="O99" s="43" t="e">
        <f t="shared" si="27"/>
        <v>#VALUE!</v>
      </c>
      <c r="P99" s="43" t="e">
        <f>ROUND(IF(Preenchimento!$G$39="Tabela Price",R99-Q99,(O98*(1+$AD$35))/($AD$28-C98)),$P$22)</f>
        <v>#VALUE!</v>
      </c>
      <c r="Q99" s="43" t="e">
        <f>IF(Preenchimento!$G$39="Tabela Price",O98*(1+$AD$35)*W99,O98*(1+SAC!$AD$35)*SAC!W99)</f>
        <v>#VALUE!</v>
      </c>
      <c r="R99" s="43" t="e">
        <f>IF(Preenchimento!$G$39="Tabela Price",IF(C99="","",((((((1+W99)^($Q$16-C98))*W99)/((1+W99)^($Q$16-C98)-1))*(O98*(1+$AD$35))))),Q99+P99)</f>
        <v>#VALUE!</v>
      </c>
      <c r="S99" s="43" t="e">
        <f t="shared" ca="1" si="22"/>
        <v>#VALUE!</v>
      </c>
      <c r="T99" s="43">
        <f t="shared" si="28"/>
        <v>0</v>
      </c>
      <c r="U99" s="226">
        <f>TRUNC(T99*Condições!$C$102,2)</f>
        <v>0</v>
      </c>
      <c r="V99" s="82">
        <f t="shared" ca="1" si="29"/>
        <v>8</v>
      </c>
      <c r="W99" s="231" t="str">
        <f t="shared" si="30"/>
        <v/>
      </c>
      <c r="X99" s="210"/>
      <c r="Y99" s="210"/>
      <c r="Z99" s="210"/>
      <c r="AI99" s="114">
        <f t="shared" si="31"/>
        <v>0</v>
      </c>
      <c r="AJ99" s="113"/>
      <c r="AL99" s="477">
        <f t="shared" ca="1" si="32"/>
        <v>0</v>
      </c>
    </row>
    <row r="100" spans="2:38" ht="12" customHeight="1">
      <c r="B100" s="222">
        <f ca="1">Fixa!B100</f>
        <v>48473</v>
      </c>
      <c r="C100" s="223" t="str">
        <f>Fixa!C100</f>
        <v/>
      </c>
      <c r="D100" s="43" t="e">
        <f t="shared" si="23"/>
        <v>#VALUE!</v>
      </c>
      <c r="E100" s="43" t="e">
        <f t="shared" si="17"/>
        <v>#VALUE!</v>
      </c>
      <c r="F100" s="43" t="e">
        <f t="shared" si="18"/>
        <v>#VALUE!</v>
      </c>
      <c r="G100" s="43" t="e">
        <f t="shared" si="19"/>
        <v>#VALUE!</v>
      </c>
      <c r="H100" s="43" t="e">
        <f t="shared" ca="1" si="20"/>
        <v>#VALUE!</v>
      </c>
      <c r="I100" s="43">
        <f t="shared" si="21"/>
        <v>0</v>
      </c>
      <c r="J100" s="229">
        <f t="shared" si="24"/>
        <v>25</v>
      </c>
      <c r="K100" s="43">
        <f t="shared" si="25"/>
        <v>0</v>
      </c>
      <c r="M100" s="224"/>
      <c r="N100" s="225">
        <f t="shared" si="26"/>
        <v>0</v>
      </c>
      <c r="O100" s="43" t="e">
        <f t="shared" si="27"/>
        <v>#VALUE!</v>
      </c>
      <c r="P100" s="43" t="e">
        <f>ROUND(IF(Preenchimento!$G$39="Tabela Price",R100-Q100,(O99*(1+$AD$35))/($AD$28-C99)),$P$22)</f>
        <v>#VALUE!</v>
      </c>
      <c r="Q100" s="43" t="e">
        <f>IF(Preenchimento!$G$39="Tabela Price",O99*(1+$AD$35)*W100,O99*(1+SAC!$AD$35)*SAC!W100)</f>
        <v>#VALUE!</v>
      </c>
      <c r="R100" s="43" t="e">
        <f>IF(Preenchimento!$G$39="Tabela Price",IF(C100="","",((((((1+W100)^($Q$16-C99))*W100)/((1+W100)^($Q$16-C99)-1))*(O99*(1+$AD$35))))),Q100+P100)</f>
        <v>#VALUE!</v>
      </c>
      <c r="S100" s="43" t="e">
        <f t="shared" ca="1" si="22"/>
        <v>#VALUE!</v>
      </c>
      <c r="T100" s="43">
        <f t="shared" si="28"/>
        <v>0</v>
      </c>
      <c r="U100" s="226">
        <f>TRUNC(T100*Condições!$C$102,2)</f>
        <v>0</v>
      </c>
      <c r="V100" s="82">
        <f t="shared" ca="1" si="29"/>
        <v>9</v>
      </c>
      <c r="W100" s="231" t="str">
        <f t="shared" si="30"/>
        <v/>
      </c>
      <c r="X100" s="210"/>
      <c r="Y100" s="210"/>
      <c r="Z100" s="210"/>
      <c r="AI100" s="114">
        <f t="shared" si="31"/>
        <v>0</v>
      </c>
      <c r="AJ100" s="113"/>
      <c r="AL100" s="477">
        <f t="shared" ca="1" si="32"/>
        <v>0</v>
      </c>
    </row>
    <row r="101" spans="2:38" ht="12" customHeight="1">
      <c r="B101" s="222">
        <f ca="1">Fixa!B101</f>
        <v>48503</v>
      </c>
      <c r="C101" s="223" t="str">
        <f>Fixa!C101</f>
        <v/>
      </c>
      <c r="D101" s="43" t="e">
        <f t="shared" si="23"/>
        <v>#VALUE!</v>
      </c>
      <c r="E101" s="43" t="e">
        <f t="shared" si="17"/>
        <v>#VALUE!</v>
      </c>
      <c r="F101" s="43" t="e">
        <f t="shared" si="18"/>
        <v>#VALUE!</v>
      </c>
      <c r="G101" s="43" t="e">
        <f t="shared" si="19"/>
        <v>#VALUE!</v>
      </c>
      <c r="H101" s="43" t="e">
        <f t="shared" ca="1" si="20"/>
        <v>#VALUE!</v>
      </c>
      <c r="I101" s="43">
        <f t="shared" si="21"/>
        <v>0</v>
      </c>
      <c r="J101" s="229">
        <f t="shared" si="24"/>
        <v>25</v>
      </c>
      <c r="K101" s="43">
        <f t="shared" si="25"/>
        <v>0</v>
      </c>
      <c r="M101" s="224"/>
      <c r="N101" s="225">
        <f t="shared" si="26"/>
        <v>0</v>
      </c>
      <c r="O101" s="43" t="e">
        <f t="shared" si="27"/>
        <v>#VALUE!</v>
      </c>
      <c r="P101" s="43" t="e">
        <f>ROUND(IF(Preenchimento!$G$39="Tabela Price",R101-Q101,(O100*(1+$AD$35))/($AD$28-C100)),$P$22)</f>
        <v>#VALUE!</v>
      </c>
      <c r="Q101" s="43" t="e">
        <f>IF(Preenchimento!$G$39="Tabela Price",O100*(1+$AD$35)*W101,O100*(1+SAC!$AD$35)*SAC!W101)</f>
        <v>#VALUE!</v>
      </c>
      <c r="R101" s="43" t="e">
        <f>IF(Preenchimento!$G$39="Tabela Price",IF(C101="","",((((((1+W101)^($Q$16-C100))*W101)/((1+W101)^($Q$16-C100)-1))*(O100*(1+$AD$35))))),Q101+P101)</f>
        <v>#VALUE!</v>
      </c>
      <c r="S101" s="43" t="e">
        <f t="shared" ca="1" si="22"/>
        <v>#VALUE!</v>
      </c>
      <c r="T101" s="43">
        <f t="shared" si="28"/>
        <v>0</v>
      </c>
      <c r="U101" s="226">
        <f>TRUNC(T101*Condições!$C$102,2)</f>
        <v>0</v>
      </c>
      <c r="V101" s="82">
        <f t="shared" ca="1" si="29"/>
        <v>10</v>
      </c>
      <c r="W101" s="231" t="str">
        <f t="shared" si="30"/>
        <v/>
      </c>
      <c r="X101" s="210"/>
      <c r="Y101" s="210"/>
      <c r="Z101" s="210"/>
      <c r="AI101" s="114">
        <f t="shared" si="31"/>
        <v>0</v>
      </c>
      <c r="AJ101" s="113"/>
      <c r="AL101" s="477">
        <f t="shared" ca="1" si="32"/>
        <v>0</v>
      </c>
    </row>
    <row r="102" spans="2:38" ht="12" customHeight="1">
      <c r="B102" s="222">
        <f ca="1">Fixa!B102</f>
        <v>48534</v>
      </c>
      <c r="C102" s="223" t="str">
        <f>Fixa!C102</f>
        <v/>
      </c>
      <c r="D102" s="43" t="e">
        <f t="shared" si="23"/>
        <v>#VALUE!</v>
      </c>
      <c r="E102" s="43" t="e">
        <f t="shared" si="17"/>
        <v>#VALUE!</v>
      </c>
      <c r="F102" s="43" t="e">
        <f t="shared" si="18"/>
        <v>#VALUE!</v>
      </c>
      <c r="G102" s="43" t="e">
        <f t="shared" si="19"/>
        <v>#VALUE!</v>
      </c>
      <c r="H102" s="43" t="e">
        <f t="shared" ca="1" si="20"/>
        <v>#VALUE!</v>
      </c>
      <c r="I102" s="43">
        <f t="shared" si="21"/>
        <v>0</v>
      </c>
      <c r="J102" s="229">
        <f t="shared" si="24"/>
        <v>25</v>
      </c>
      <c r="K102" s="43">
        <f t="shared" si="25"/>
        <v>0</v>
      </c>
      <c r="M102" s="224"/>
      <c r="N102" s="225">
        <f t="shared" si="26"/>
        <v>0</v>
      </c>
      <c r="O102" s="43" t="e">
        <f t="shared" si="27"/>
        <v>#VALUE!</v>
      </c>
      <c r="P102" s="43" t="e">
        <f>ROUND(IF(Preenchimento!$G$39="Tabela Price",R102-Q102,(O101*(1+$AD$35))/($AD$28-C101)),$P$22)</f>
        <v>#VALUE!</v>
      </c>
      <c r="Q102" s="43" t="e">
        <f>IF(Preenchimento!$G$39="Tabela Price",O101*(1+$AD$35)*W102,O101*(1+SAC!$AD$35)*SAC!W102)</f>
        <v>#VALUE!</v>
      </c>
      <c r="R102" s="43" t="e">
        <f>IF(Preenchimento!$G$39="Tabela Price",IF(C102="","",((((((1+W102)^($Q$16-C101))*W102)/((1+W102)^($Q$16-C101)-1))*(O101*(1+$AD$35))))),Q102+P102)</f>
        <v>#VALUE!</v>
      </c>
      <c r="S102" s="43" t="e">
        <f t="shared" ca="1" si="22"/>
        <v>#VALUE!</v>
      </c>
      <c r="T102" s="43">
        <f t="shared" si="28"/>
        <v>0</v>
      </c>
      <c r="U102" s="226">
        <f>TRUNC(T102*Condições!$C$102,2)</f>
        <v>0</v>
      </c>
      <c r="V102" s="82">
        <f t="shared" ca="1" si="29"/>
        <v>11</v>
      </c>
      <c r="W102" s="231" t="str">
        <f t="shared" si="30"/>
        <v/>
      </c>
      <c r="X102" s="210"/>
      <c r="Y102" s="210"/>
      <c r="Z102" s="210"/>
      <c r="AI102" s="114">
        <f t="shared" si="31"/>
        <v>0</v>
      </c>
      <c r="AJ102" s="113"/>
      <c r="AL102" s="477">
        <f t="shared" ca="1" si="32"/>
        <v>0</v>
      </c>
    </row>
    <row r="103" spans="2:38" ht="12" customHeight="1">
      <c r="B103" s="222">
        <f ca="1">Fixa!B103</f>
        <v>48564</v>
      </c>
      <c r="C103" s="223" t="str">
        <f>Fixa!C103</f>
        <v/>
      </c>
      <c r="D103" s="43" t="e">
        <f t="shared" si="23"/>
        <v>#VALUE!</v>
      </c>
      <c r="E103" s="43" t="e">
        <f t="shared" si="17"/>
        <v>#VALUE!</v>
      </c>
      <c r="F103" s="43" t="e">
        <f t="shared" si="18"/>
        <v>#VALUE!</v>
      </c>
      <c r="G103" s="43" t="e">
        <f t="shared" si="19"/>
        <v>#VALUE!</v>
      </c>
      <c r="H103" s="43" t="e">
        <f t="shared" ca="1" si="20"/>
        <v>#VALUE!</v>
      </c>
      <c r="I103" s="43">
        <f t="shared" si="21"/>
        <v>0</v>
      </c>
      <c r="J103" s="229">
        <f t="shared" si="24"/>
        <v>25</v>
      </c>
      <c r="K103" s="43">
        <f t="shared" si="25"/>
        <v>0</v>
      </c>
      <c r="M103" s="224"/>
      <c r="N103" s="225">
        <f t="shared" si="26"/>
        <v>0</v>
      </c>
      <c r="O103" s="43" t="e">
        <f t="shared" si="27"/>
        <v>#VALUE!</v>
      </c>
      <c r="P103" s="43" t="e">
        <f>ROUND(IF(Preenchimento!$G$39="Tabela Price",R103-Q103,(O102*(1+$AD$35))/($AD$28-C102)),$P$22)</f>
        <v>#VALUE!</v>
      </c>
      <c r="Q103" s="43" t="e">
        <f>IF(Preenchimento!$G$39="Tabela Price",O102*(1+$AD$35)*W103,O102*(1+SAC!$AD$35)*SAC!W103)</f>
        <v>#VALUE!</v>
      </c>
      <c r="R103" s="43" t="e">
        <f>IF(Preenchimento!$G$39="Tabela Price",IF(C103="","",((((((1+W103)^($Q$16-C102))*W103)/((1+W103)^($Q$16-C102)-1))*(O102*(1+$AD$35))))),Q103+P103)</f>
        <v>#VALUE!</v>
      </c>
      <c r="S103" s="43" t="e">
        <f t="shared" ca="1" si="22"/>
        <v>#VALUE!</v>
      </c>
      <c r="T103" s="43">
        <f t="shared" si="28"/>
        <v>0</v>
      </c>
      <c r="U103" s="226">
        <f>TRUNC(T103*Condições!$C$102,2)</f>
        <v>0</v>
      </c>
      <c r="V103" s="82">
        <f t="shared" ca="1" si="29"/>
        <v>12</v>
      </c>
      <c r="W103" s="231" t="str">
        <f t="shared" si="30"/>
        <v/>
      </c>
      <c r="X103" s="210"/>
      <c r="Y103" s="210"/>
      <c r="Z103" s="210"/>
      <c r="AI103" s="114">
        <f t="shared" si="31"/>
        <v>0</v>
      </c>
      <c r="AJ103" s="113"/>
      <c r="AL103" s="477">
        <f t="shared" ca="1" si="32"/>
        <v>0</v>
      </c>
    </row>
    <row r="104" spans="2:38" ht="12" customHeight="1">
      <c r="B104" s="222">
        <f ca="1">Fixa!B104</f>
        <v>48595</v>
      </c>
      <c r="C104" s="223" t="str">
        <f>Fixa!C104</f>
        <v/>
      </c>
      <c r="D104" s="43" t="e">
        <f t="shared" si="23"/>
        <v>#VALUE!</v>
      </c>
      <c r="E104" s="43" t="e">
        <f t="shared" si="17"/>
        <v>#VALUE!</v>
      </c>
      <c r="F104" s="43" t="e">
        <f t="shared" si="18"/>
        <v>#VALUE!</v>
      </c>
      <c r="G104" s="43" t="e">
        <f t="shared" si="19"/>
        <v>#VALUE!</v>
      </c>
      <c r="H104" s="43" t="e">
        <f t="shared" ca="1" si="20"/>
        <v>#VALUE!</v>
      </c>
      <c r="I104" s="43">
        <f t="shared" si="21"/>
        <v>0</v>
      </c>
      <c r="J104" s="229">
        <f t="shared" si="24"/>
        <v>25</v>
      </c>
      <c r="K104" s="43">
        <f t="shared" si="25"/>
        <v>0</v>
      </c>
      <c r="M104" s="224"/>
      <c r="N104" s="225">
        <f t="shared" si="26"/>
        <v>0</v>
      </c>
      <c r="O104" s="43" t="e">
        <f t="shared" si="27"/>
        <v>#VALUE!</v>
      </c>
      <c r="P104" s="43" t="e">
        <f>ROUND(IF(Preenchimento!$G$39="Tabela Price",R104-Q104,(O103*(1+$AD$35))/($AD$28-C103)),$P$22)</f>
        <v>#VALUE!</v>
      </c>
      <c r="Q104" s="43" t="e">
        <f>IF(Preenchimento!$G$39="Tabela Price",O103*(1+$AD$35)*W104,O103*(1+SAC!$AD$35)*SAC!W104)</f>
        <v>#VALUE!</v>
      </c>
      <c r="R104" s="43" t="e">
        <f>IF(Preenchimento!$G$39="Tabela Price",IF(C104="","",((((((1+W104)^($Q$16-C103))*W104)/((1+W104)^($Q$16-C103)-1))*(O103*(1+$AD$35))))),Q104+P104)</f>
        <v>#VALUE!</v>
      </c>
      <c r="S104" s="43" t="e">
        <f t="shared" ca="1" si="22"/>
        <v>#VALUE!</v>
      </c>
      <c r="T104" s="43">
        <f t="shared" si="28"/>
        <v>0</v>
      </c>
      <c r="U104" s="226">
        <f>TRUNC(T104*Condições!$C$102,2)</f>
        <v>0</v>
      </c>
      <c r="V104" s="82">
        <f t="shared" ca="1" si="29"/>
        <v>1</v>
      </c>
      <c r="W104" s="231" t="str">
        <f t="shared" si="30"/>
        <v/>
      </c>
      <c r="X104" s="210"/>
      <c r="Y104" s="210"/>
      <c r="Z104" s="210"/>
      <c r="AI104" s="114">
        <f t="shared" si="31"/>
        <v>0</v>
      </c>
      <c r="AJ104" s="113"/>
      <c r="AL104" s="477">
        <f t="shared" ca="1" si="32"/>
        <v>0</v>
      </c>
    </row>
    <row r="105" spans="2:38" ht="12" customHeight="1">
      <c r="B105" s="222">
        <f ca="1">Fixa!B105</f>
        <v>48626</v>
      </c>
      <c r="C105" s="223" t="str">
        <f>Fixa!C105</f>
        <v/>
      </c>
      <c r="D105" s="43" t="e">
        <f t="shared" si="23"/>
        <v>#VALUE!</v>
      </c>
      <c r="E105" s="43" t="e">
        <f t="shared" si="17"/>
        <v>#VALUE!</v>
      </c>
      <c r="F105" s="43" t="e">
        <f t="shared" si="18"/>
        <v>#VALUE!</v>
      </c>
      <c r="G105" s="43" t="e">
        <f t="shared" si="19"/>
        <v>#VALUE!</v>
      </c>
      <c r="H105" s="43" t="e">
        <f t="shared" ca="1" si="20"/>
        <v>#VALUE!</v>
      </c>
      <c r="I105" s="43">
        <f t="shared" si="21"/>
        <v>0</v>
      </c>
      <c r="J105" s="229">
        <f t="shared" si="24"/>
        <v>25</v>
      </c>
      <c r="K105" s="43">
        <f t="shared" si="25"/>
        <v>0</v>
      </c>
      <c r="M105" s="224"/>
      <c r="N105" s="225">
        <f t="shared" si="26"/>
        <v>0</v>
      </c>
      <c r="O105" s="43" t="e">
        <f t="shared" si="27"/>
        <v>#VALUE!</v>
      </c>
      <c r="P105" s="43" t="e">
        <f>ROUND(IF(Preenchimento!$G$39="Tabela Price",R105-Q105,(O104*(1+$AD$35))/($AD$28-C104)),$P$22)</f>
        <v>#VALUE!</v>
      </c>
      <c r="Q105" s="43" t="e">
        <f>IF(Preenchimento!$G$39="Tabela Price",O104*(1+$AD$35)*W105,O104*(1+SAC!$AD$35)*SAC!W105)</f>
        <v>#VALUE!</v>
      </c>
      <c r="R105" s="43" t="e">
        <f>IF(Preenchimento!$G$39="Tabela Price",IF(C105="","",((((((1+W105)^($Q$16-C104))*W105)/((1+W105)^($Q$16-C104)-1))*(O104*(1+$AD$35))))),Q105+P105)</f>
        <v>#VALUE!</v>
      </c>
      <c r="S105" s="43" t="e">
        <f t="shared" ca="1" si="22"/>
        <v>#VALUE!</v>
      </c>
      <c r="T105" s="43">
        <f t="shared" si="28"/>
        <v>0</v>
      </c>
      <c r="U105" s="226">
        <f>TRUNC(T105*Condições!$C$102,2)</f>
        <v>0</v>
      </c>
      <c r="V105" s="82">
        <f t="shared" ca="1" si="29"/>
        <v>2</v>
      </c>
      <c r="W105" s="231" t="str">
        <f t="shared" si="30"/>
        <v/>
      </c>
      <c r="X105" s="210"/>
      <c r="Y105" s="210"/>
      <c r="Z105" s="210"/>
      <c r="AI105" s="114">
        <f t="shared" si="31"/>
        <v>0</v>
      </c>
      <c r="AJ105" s="113"/>
      <c r="AL105" s="477">
        <f t="shared" ca="1" si="32"/>
        <v>0</v>
      </c>
    </row>
    <row r="106" spans="2:38" ht="12" customHeight="1">
      <c r="B106" s="222">
        <f ca="1">Fixa!B106</f>
        <v>48654</v>
      </c>
      <c r="C106" s="223" t="str">
        <f>Fixa!C106</f>
        <v/>
      </c>
      <c r="D106" s="43" t="e">
        <f t="shared" si="23"/>
        <v>#VALUE!</v>
      </c>
      <c r="E106" s="43" t="e">
        <f t="shared" si="17"/>
        <v>#VALUE!</v>
      </c>
      <c r="F106" s="43" t="e">
        <f t="shared" si="18"/>
        <v>#VALUE!</v>
      </c>
      <c r="G106" s="43" t="e">
        <f t="shared" si="19"/>
        <v>#VALUE!</v>
      </c>
      <c r="H106" s="43" t="e">
        <f t="shared" ca="1" si="20"/>
        <v>#VALUE!</v>
      </c>
      <c r="I106" s="43">
        <f t="shared" si="21"/>
        <v>0</v>
      </c>
      <c r="J106" s="229">
        <f t="shared" si="24"/>
        <v>25</v>
      </c>
      <c r="K106" s="43">
        <f t="shared" si="25"/>
        <v>0</v>
      </c>
      <c r="M106" s="224"/>
      <c r="N106" s="225">
        <f t="shared" si="26"/>
        <v>0</v>
      </c>
      <c r="O106" s="43" t="e">
        <f t="shared" si="27"/>
        <v>#VALUE!</v>
      </c>
      <c r="P106" s="43" t="e">
        <f>ROUND(IF(Preenchimento!$G$39="Tabela Price",R106-Q106,(O105*(1+$AD$35))/($AD$28-C105)),$P$22)</f>
        <v>#VALUE!</v>
      </c>
      <c r="Q106" s="43" t="e">
        <f>IF(Preenchimento!$G$39="Tabela Price",O105*(1+$AD$35)*W106,O105*(1+SAC!$AD$35)*SAC!W106)</f>
        <v>#VALUE!</v>
      </c>
      <c r="R106" s="43" t="e">
        <f>IF(Preenchimento!$G$39="Tabela Price",IF(C106="","",((((((1+W106)^($Q$16-C105))*W106)/((1+W106)^($Q$16-C105)-1))*(O105*(1+$AD$35))))),Q106+P106)</f>
        <v>#VALUE!</v>
      </c>
      <c r="S106" s="43" t="e">
        <f t="shared" ca="1" si="22"/>
        <v>#VALUE!</v>
      </c>
      <c r="T106" s="43">
        <f t="shared" si="28"/>
        <v>0</v>
      </c>
      <c r="U106" s="226">
        <f>TRUNC(T106*Condições!$C$102,2)</f>
        <v>0</v>
      </c>
      <c r="V106" s="82">
        <f t="shared" ca="1" si="29"/>
        <v>3</v>
      </c>
      <c r="W106" s="231" t="str">
        <f t="shared" si="30"/>
        <v/>
      </c>
      <c r="X106" s="210"/>
      <c r="Y106" s="210"/>
      <c r="Z106" s="210"/>
      <c r="AI106" s="114">
        <f t="shared" si="31"/>
        <v>0</v>
      </c>
      <c r="AJ106" s="113"/>
      <c r="AL106" s="477">
        <f t="shared" ca="1" si="32"/>
        <v>0</v>
      </c>
    </row>
    <row r="107" spans="2:38" ht="12" customHeight="1">
      <c r="B107" s="222">
        <f ca="1">Fixa!B107</f>
        <v>48685</v>
      </c>
      <c r="C107" s="223" t="str">
        <f>Fixa!C107</f>
        <v/>
      </c>
      <c r="D107" s="43" t="e">
        <f t="shared" si="23"/>
        <v>#VALUE!</v>
      </c>
      <c r="E107" s="43" t="e">
        <f t="shared" si="17"/>
        <v>#VALUE!</v>
      </c>
      <c r="F107" s="43" t="e">
        <f t="shared" si="18"/>
        <v>#VALUE!</v>
      </c>
      <c r="G107" s="43" t="e">
        <f t="shared" si="19"/>
        <v>#VALUE!</v>
      </c>
      <c r="H107" s="43" t="e">
        <f t="shared" ca="1" si="20"/>
        <v>#VALUE!</v>
      </c>
      <c r="I107" s="43">
        <f t="shared" si="21"/>
        <v>0</v>
      </c>
      <c r="J107" s="229">
        <f t="shared" si="24"/>
        <v>25</v>
      </c>
      <c r="K107" s="43">
        <f t="shared" si="25"/>
        <v>0</v>
      </c>
      <c r="M107" s="224"/>
      <c r="N107" s="225">
        <f t="shared" si="26"/>
        <v>0</v>
      </c>
      <c r="O107" s="43" t="e">
        <f t="shared" si="27"/>
        <v>#VALUE!</v>
      </c>
      <c r="P107" s="43" t="e">
        <f>ROUND(IF(Preenchimento!$G$39="Tabela Price",R107-Q107,(O106*(1+$AD$35))/($AD$28-C106)),$P$22)</f>
        <v>#VALUE!</v>
      </c>
      <c r="Q107" s="43" t="e">
        <f>IF(Preenchimento!$G$39="Tabela Price",O106*(1+$AD$35)*W107,O106*(1+SAC!$AD$35)*SAC!W107)</f>
        <v>#VALUE!</v>
      </c>
      <c r="R107" s="43" t="e">
        <f>IF(Preenchimento!$G$39="Tabela Price",IF(C107="","",((((((1+W107)^($Q$16-C106))*W107)/((1+W107)^($Q$16-C106)-1))*(O106*(1+$AD$35))))),Q107+P107)</f>
        <v>#VALUE!</v>
      </c>
      <c r="S107" s="43" t="e">
        <f t="shared" ca="1" si="22"/>
        <v>#VALUE!</v>
      </c>
      <c r="T107" s="43">
        <f t="shared" si="28"/>
        <v>0</v>
      </c>
      <c r="U107" s="226">
        <f>TRUNC(T107*Condições!$C$102,2)</f>
        <v>0</v>
      </c>
      <c r="V107" s="82">
        <f t="shared" ca="1" si="29"/>
        <v>4</v>
      </c>
      <c r="W107" s="231" t="str">
        <f t="shared" si="30"/>
        <v/>
      </c>
      <c r="X107" s="210"/>
      <c r="Y107" s="210"/>
      <c r="Z107" s="210"/>
      <c r="AI107" s="114">
        <f t="shared" si="31"/>
        <v>0</v>
      </c>
      <c r="AJ107" s="113"/>
      <c r="AL107" s="477">
        <f t="shared" ca="1" si="32"/>
        <v>0</v>
      </c>
    </row>
    <row r="108" spans="2:38" ht="12" customHeight="1">
      <c r="B108" s="222">
        <f ca="1">Fixa!B108</f>
        <v>48715</v>
      </c>
      <c r="C108" s="223" t="str">
        <f>Fixa!C108</f>
        <v/>
      </c>
      <c r="D108" s="43" t="e">
        <f t="shared" si="23"/>
        <v>#VALUE!</v>
      </c>
      <c r="E108" s="43" t="e">
        <f t="shared" si="17"/>
        <v>#VALUE!</v>
      </c>
      <c r="F108" s="43" t="e">
        <f t="shared" si="18"/>
        <v>#VALUE!</v>
      </c>
      <c r="G108" s="43" t="e">
        <f t="shared" si="19"/>
        <v>#VALUE!</v>
      </c>
      <c r="H108" s="43" t="e">
        <f t="shared" ca="1" si="20"/>
        <v>#VALUE!</v>
      </c>
      <c r="I108" s="43">
        <f t="shared" si="21"/>
        <v>0</v>
      </c>
      <c r="J108" s="229">
        <f t="shared" si="24"/>
        <v>25</v>
      </c>
      <c r="K108" s="43">
        <f t="shared" si="25"/>
        <v>0</v>
      </c>
      <c r="M108" s="224"/>
      <c r="N108" s="225">
        <f t="shared" si="26"/>
        <v>0</v>
      </c>
      <c r="O108" s="43" t="e">
        <f t="shared" si="27"/>
        <v>#VALUE!</v>
      </c>
      <c r="P108" s="43" t="e">
        <f>ROUND(IF(Preenchimento!$G$39="Tabela Price",R108-Q108,(O107*(1+$AD$35))/($AD$28-C107)),$P$22)</f>
        <v>#VALUE!</v>
      </c>
      <c r="Q108" s="43" t="e">
        <f>IF(Preenchimento!$G$39="Tabela Price",O107*(1+$AD$35)*W108,O107*(1+SAC!$AD$35)*SAC!W108)</f>
        <v>#VALUE!</v>
      </c>
      <c r="R108" s="43" t="e">
        <f>IF(Preenchimento!$G$39="Tabela Price",IF(C108="","",((((((1+W108)^($Q$16-C107))*W108)/((1+W108)^($Q$16-C107)-1))*(O107*(1+$AD$35))))),Q108+P108)</f>
        <v>#VALUE!</v>
      </c>
      <c r="S108" s="43" t="e">
        <f t="shared" ca="1" si="22"/>
        <v>#VALUE!</v>
      </c>
      <c r="T108" s="43">
        <f t="shared" si="28"/>
        <v>0</v>
      </c>
      <c r="U108" s="226">
        <f>TRUNC(T108*Condições!$C$102,2)</f>
        <v>0</v>
      </c>
      <c r="V108" s="82">
        <f t="shared" ca="1" si="29"/>
        <v>5</v>
      </c>
      <c r="W108" s="231" t="str">
        <f t="shared" si="30"/>
        <v/>
      </c>
      <c r="X108" s="210"/>
      <c r="Y108" s="210"/>
      <c r="Z108" s="210"/>
      <c r="AI108" s="114">
        <f t="shared" si="31"/>
        <v>0</v>
      </c>
      <c r="AJ108" s="113"/>
      <c r="AL108" s="477">
        <f t="shared" ca="1" si="32"/>
        <v>0</v>
      </c>
    </row>
    <row r="109" spans="2:38" ht="12" customHeight="1">
      <c r="B109" s="222">
        <f ca="1">Fixa!B109</f>
        <v>48746</v>
      </c>
      <c r="C109" s="223" t="str">
        <f>Fixa!C109</f>
        <v/>
      </c>
      <c r="D109" s="43" t="e">
        <f t="shared" si="23"/>
        <v>#VALUE!</v>
      </c>
      <c r="E109" s="43" t="e">
        <f t="shared" si="17"/>
        <v>#VALUE!</v>
      </c>
      <c r="F109" s="43" t="e">
        <f t="shared" si="18"/>
        <v>#VALUE!</v>
      </c>
      <c r="G109" s="43" t="e">
        <f t="shared" si="19"/>
        <v>#VALUE!</v>
      </c>
      <c r="H109" s="43" t="e">
        <f t="shared" ca="1" si="20"/>
        <v>#VALUE!</v>
      </c>
      <c r="I109" s="43">
        <f t="shared" si="21"/>
        <v>0</v>
      </c>
      <c r="J109" s="229">
        <f t="shared" si="24"/>
        <v>25</v>
      </c>
      <c r="K109" s="43">
        <f t="shared" si="25"/>
        <v>0</v>
      </c>
      <c r="M109" s="224"/>
      <c r="N109" s="225">
        <f t="shared" si="26"/>
        <v>0</v>
      </c>
      <c r="O109" s="43" t="e">
        <f t="shared" si="27"/>
        <v>#VALUE!</v>
      </c>
      <c r="P109" s="43" t="e">
        <f>ROUND(IF(Preenchimento!$G$39="Tabela Price",R109-Q109,(O108*(1+$AD$35))/($AD$28-C108)),$P$22)</f>
        <v>#VALUE!</v>
      </c>
      <c r="Q109" s="43" t="e">
        <f>IF(Preenchimento!$G$39="Tabela Price",O108*(1+$AD$35)*W109,O108*(1+SAC!$AD$35)*SAC!W109)</f>
        <v>#VALUE!</v>
      </c>
      <c r="R109" s="43" t="e">
        <f>IF(Preenchimento!$G$39="Tabela Price",IF(C109="","",((((((1+W109)^($Q$16-C108))*W109)/((1+W109)^($Q$16-C108)-1))*(O108*(1+$AD$35))))),Q109+P109)</f>
        <v>#VALUE!</v>
      </c>
      <c r="S109" s="43" t="e">
        <f t="shared" ca="1" si="22"/>
        <v>#VALUE!</v>
      </c>
      <c r="T109" s="43">
        <f t="shared" si="28"/>
        <v>0</v>
      </c>
      <c r="U109" s="226">
        <f>TRUNC(T109*Condições!$C$102,2)</f>
        <v>0</v>
      </c>
      <c r="V109" s="82">
        <f t="shared" ca="1" si="29"/>
        <v>6</v>
      </c>
      <c r="W109" s="231" t="str">
        <f t="shared" si="30"/>
        <v/>
      </c>
      <c r="X109" s="210"/>
      <c r="Y109" s="210"/>
      <c r="Z109" s="210"/>
      <c r="AI109" s="114">
        <f t="shared" si="31"/>
        <v>0</v>
      </c>
      <c r="AJ109" s="113"/>
      <c r="AL109" s="477">
        <f t="shared" ca="1" si="32"/>
        <v>0</v>
      </c>
    </row>
    <row r="110" spans="2:38" ht="12" customHeight="1">
      <c r="B110" s="222">
        <f ca="1">Fixa!B110</f>
        <v>48776</v>
      </c>
      <c r="C110" s="223" t="str">
        <f>Fixa!C110</f>
        <v/>
      </c>
      <c r="D110" s="43" t="e">
        <f t="shared" si="23"/>
        <v>#VALUE!</v>
      </c>
      <c r="E110" s="43" t="e">
        <f t="shared" si="17"/>
        <v>#VALUE!</v>
      </c>
      <c r="F110" s="43" t="e">
        <f t="shared" si="18"/>
        <v>#VALUE!</v>
      </c>
      <c r="G110" s="43" t="e">
        <f t="shared" si="19"/>
        <v>#VALUE!</v>
      </c>
      <c r="H110" s="43" t="e">
        <f t="shared" ca="1" si="20"/>
        <v>#VALUE!</v>
      </c>
      <c r="I110" s="43">
        <f t="shared" si="21"/>
        <v>0</v>
      </c>
      <c r="J110" s="229">
        <f t="shared" si="24"/>
        <v>25</v>
      </c>
      <c r="K110" s="43">
        <f t="shared" si="25"/>
        <v>0</v>
      </c>
      <c r="M110" s="224"/>
      <c r="N110" s="225">
        <f t="shared" si="26"/>
        <v>0</v>
      </c>
      <c r="O110" s="43" t="e">
        <f t="shared" si="27"/>
        <v>#VALUE!</v>
      </c>
      <c r="P110" s="43" t="e">
        <f>ROUND(IF(Preenchimento!$G$39="Tabela Price",R110-Q110,(O109*(1+$AD$35))/($AD$28-C109)),$P$22)</f>
        <v>#VALUE!</v>
      </c>
      <c r="Q110" s="43" t="e">
        <f>IF(Preenchimento!$G$39="Tabela Price",O109*(1+$AD$35)*W110,O109*(1+SAC!$AD$35)*SAC!W110)</f>
        <v>#VALUE!</v>
      </c>
      <c r="R110" s="43" t="e">
        <f>IF(Preenchimento!$G$39="Tabela Price",IF(C110="","",((((((1+W110)^($Q$16-C109))*W110)/((1+W110)^($Q$16-C109)-1))*(O109*(1+$AD$35))))),Q110+P110)</f>
        <v>#VALUE!</v>
      </c>
      <c r="S110" s="43" t="e">
        <f t="shared" ca="1" si="22"/>
        <v>#VALUE!</v>
      </c>
      <c r="T110" s="43">
        <f t="shared" si="28"/>
        <v>0</v>
      </c>
      <c r="U110" s="226">
        <f>TRUNC(T110*Condições!$C$102,2)</f>
        <v>0</v>
      </c>
      <c r="V110" s="82">
        <f t="shared" ca="1" si="29"/>
        <v>7</v>
      </c>
      <c r="W110" s="231" t="str">
        <f t="shared" si="30"/>
        <v/>
      </c>
      <c r="X110" s="210"/>
      <c r="Y110" s="210"/>
      <c r="Z110" s="210"/>
      <c r="AI110" s="114">
        <f t="shared" si="31"/>
        <v>0</v>
      </c>
      <c r="AJ110" s="113"/>
      <c r="AL110" s="477">
        <f t="shared" ca="1" si="32"/>
        <v>0</v>
      </c>
    </row>
    <row r="111" spans="2:38" ht="12" customHeight="1">
      <c r="B111" s="222">
        <f ca="1">Fixa!B111</f>
        <v>48807</v>
      </c>
      <c r="C111" s="223" t="str">
        <f>Fixa!C111</f>
        <v/>
      </c>
      <c r="D111" s="43" t="e">
        <f t="shared" si="23"/>
        <v>#VALUE!</v>
      </c>
      <c r="E111" s="43" t="e">
        <f t="shared" si="17"/>
        <v>#VALUE!</v>
      </c>
      <c r="F111" s="43" t="e">
        <f t="shared" si="18"/>
        <v>#VALUE!</v>
      </c>
      <c r="G111" s="43" t="e">
        <f t="shared" si="19"/>
        <v>#VALUE!</v>
      </c>
      <c r="H111" s="43" t="e">
        <f t="shared" ca="1" si="20"/>
        <v>#VALUE!</v>
      </c>
      <c r="I111" s="43">
        <f t="shared" si="21"/>
        <v>0</v>
      </c>
      <c r="J111" s="229">
        <f t="shared" si="24"/>
        <v>25</v>
      </c>
      <c r="K111" s="43">
        <f t="shared" si="25"/>
        <v>0</v>
      </c>
      <c r="M111" s="224"/>
      <c r="N111" s="225">
        <f t="shared" si="26"/>
        <v>0</v>
      </c>
      <c r="O111" s="43" t="e">
        <f t="shared" si="27"/>
        <v>#VALUE!</v>
      </c>
      <c r="P111" s="43" t="e">
        <f>ROUND(IF(Preenchimento!$G$39="Tabela Price",R111-Q111,(O110*(1+$AD$35))/($AD$28-C110)),$P$22)</f>
        <v>#VALUE!</v>
      </c>
      <c r="Q111" s="43" t="e">
        <f>IF(Preenchimento!$G$39="Tabela Price",O110*(1+$AD$35)*W111,O110*(1+SAC!$AD$35)*SAC!W111)</f>
        <v>#VALUE!</v>
      </c>
      <c r="R111" s="43" t="e">
        <f>IF(Preenchimento!$G$39="Tabela Price",IF(C111="","",((((((1+W111)^($Q$16-C110))*W111)/((1+W111)^($Q$16-C110)-1))*(O110*(1+$AD$35))))),Q111+P111)</f>
        <v>#VALUE!</v>
      </c>
      <c r="S111" s="43" t="e">
        <f t="shared" ca="1" si="22"/>
        <v>#VALUE!</v>
      </c>
      <c r="T111" s="43">
        <f t="shared" si="28"/>
        <v>0</v>
      </c>
      <c r="U111" s="226">
        <f>TRUNC(T111*Condições!$C$102,2)</f>
        <v>0</v>
      </c>
      <c r="V111" s="82">
        <f t="shared" ca="1" si="29"/>
        <v>8</v>
      </c>
      <c r="W111" s="231" t="str">
        <f t="shared" si="30"/>
        <v/>
      </c>
      <c r="X111" s="210"/>
      <c r="Y111" s="210"/>
      <c r="Z111" s="210"/>
      <c r="AI111" s="114">
        <f t="shared" si="31"/>
        <v>0</v>
      </c>
      <c r="AJ111" s="113"/>
      <c r="AL111" s="477">
        <f t="shared" ca="1" si="32"/>
        <v>0</v>
      </c>
    </row>
    <row r="112" spans="2:38" ht="12" customHeight="1">
      <c r="B112" s="222">
        <f ca="1">Fixa!B112</f>
        <v>48838</v>
      </c>
      <c r="C112" s="223" t="str">
        <f>Fixa!C112</f>
        <v/>
      </c>
      <c r="D112" s="43" t="e">
        <f t="shared" si="23"/>
        <v>#VALUE!</v>
      </c>
      <c r="E112" s="43" t="e">
        <f t="shared" si="17"/>
        <v>#VALUE!</v>
      </c>
      <c r="F112" s="43" t="e">
        <f t="shared" si="18"/>
        <v>#VALUE!</v>
      </c>
      <c r="G112" s="43" t="e">
        <f t="shared" si="19"/>
        <v>#VALUE!</v>
      </c>
      <c r="H112" s="43" t="e">
        <f t="shared" ca="1" si="20"/>
        <v>#VALUE!</v>
      </c>
      <c r="I112" s="43">
        <f t="shared" si="21"/>
        <v>0</v>
      </c>
      <c r="J112" s="229">
        <f t="shared" si="24"/>
        <v>25</v>
      </c>
      <c r="K112" s="43">
        <f t="shared" si="25"/>
        <v>0</v>
      </c>
      <c r="M112" s="224"/>
      <c r="N112" s="225">
        <f t="shared" si="26"/>
        <v>0</v>
      </c>
      <c r="O112" s="43" t="e">
        <f t="shared" si="27"/>
        <v>#VALUE!</v>
      </c>
      <c r="P112" s="43" t="e">
        <f>ROUND(IF(Preenchimento!$G$39="Tabela Price",R112-Q112,(O111*(1+$AD$35))/($AD$28-C111)),$P$22)</f>
        <v>#VALUE!</v>
      </c>
      <c r="Q112" s="43" t="e">
        <f>IF(Preenchimento!$G$39="Tabela Price",O111*(1+$AD$35)*W112,O111*(1+SAC!$AD$35)*SAC!W112)</f>
        <v>#VALUE!</v>
      </c>
      <c r="R112" s="43" t="e">
        <f>IF(Preenchimento!$G$39="Tabela Price",IF(C112="","",((((((1+W112)^($Q$16-C111))*W112)/((1+W112)^($Q$16-C111)-1))*(O111*(1+$AD$35))))),Q112+P112)</f>
        <v>#VALUE!</v>
      </c>
      <c r="S112" s="43" t="e">
        <f t="shared" ca="1" si="22"/>
        <v>#VALUE!</v>
      </c>
      <c r="T112" s="43">
        <f t="shared" si="28"/>
        <v>0</v>
      </c>
      <c r="U112" s="226">
        <f>TRUNC(T112*Condições!$C$102,2)</f>
        <v>0</v>
      </c>
      <c r="V112" s="82">
        <f t="shared" ca="1" si="29"/>
        <v>9</v>
      </c>
      <c r="W112" s="231" t="str">
        <f t="shared" si="30"/>
        <v/>
      </c>
      <c r="X112" s="210"/>
      <c r="Y112" s="210"/>
      <c r="Z112" s="210"/>
      <c r="AI112" s="114">
        <f t="shared" si="31"/>
        <v>0</v>
      </c>
      <c r="AJ112" s="113"/>
      <c r="AL112" s="477">
        <f t="shared" ca="1" si="32"/>
        <v>0</v>
      </c>
    </row>
    <row r="113" spans="2:38" ht="12" customHeight="1">
      <c r="B113" s="222">
        <f ca="1">Fixa!B113</f>
        <v>48868</v>
      </c>
      <c r="C113" s="223" t="str">
        <f>Fixa!C113</f>
        <v/>
      </c>
      <c r="D113" s="43" t="e">
        <f t="shared" si="23"/>
        <v>#VALUE!</v>
      </c>
      <c r="E113" s="43" t="e">
        <f t="shared" si="17"/>
        <v>#VALUE!</v>
      </c>
      <c r="F113" s="43" t="e">
        <f t="shared" si="18"/>
        <v>#VALUE!</v>
      </c>
      <c r="G113" s="43" t="e">
        <f t="shared" si="19"/>
        <v>#VALUE!</v>
      </c>
      <c r="H113" s="43" t="e">
        <f t="shared" ca="1" si="20"/>
        <v>#VALUE!</v>
      </c>
      <c r="I113" s="43">
        <f t="shared" si="21"/>
        <v>0</v>
      </c>
      <c r="J113" s="229">
        <f t="shared" si="24"/>
        <v>25</v>
      </c>
      <c r="K113" s="43">
        <f t="shared" si="25"/>
        <v>0</v>
      </c>
      <c r="M113" s="224"/>
      <c r="N113" s="225">
        <f t="shared" si="26"/>
        <v>0</v>
      </c>
      <c r="O113" s="43" t="e">
        <f t="shared" si="27"/>
        <v>#VALUE!</v>
      </c>
      <c r="P113" s="43" t="e">
        <f>ROUND(IF(Preenchimento!$G$39="Tabela Price",R113-Q113,(O112*(1+$AD$35))/($AD$28-C112)),$P$22)</f>
        <v>#VALUE!</v>
      </c>
      <c r="Q113" s="43" t="e">
        <f>IF(Preenchimento!$G$39="Tabela Price",O112*(1+$AD$35)*W113,O112*(1+SAC!$AD$35)*SAC!W113)</f>
        <v>#VALUE!</v>
      </c>
      <c r="R113" s="43" t="e">
        <f>IF(Preenchimento!$G$39="Tabela Price",IF(C113="","",((((((1+W113)^($Q$16-C112))*W113)/((1+W113)^($Q$16-C112)-1))*(O112*(1+$AD$35))))),Q113+P113)</f>
        <v>#VALUE!</v>
      </c>
      <c r="S113" s="43" t="e">
        <f t="shared" ca="1" si="22"/>
        <v>#VALUE!</v>
      </c>
      <c r="T113" s="43">
        <f t="shared" si="28"/>
        <v>0</v>
      </c>
      <c r="U113" s="226">
        <f>TRUNC(T113*Condições!$C$102,2)</f>
        <v>0</v>
      </c>
      <c r="V113" s="82">
        <f t="shared" ca="1" si="29"/>
        <v>10</v>
      </c>
      <c r="W113" s="231" t="str">
        <f t="shared" si="30"/>
        <v/>
      </c>
      <c r="X113" s="210"/>
      <c r="Y113" s="210"/>
      <c r="Z113" s="210"/>
      <c r="AI113" s="114">
        <f t="shared" si="31"/>
        <v>0</v>
      </c>
      <c r="AJ113" s="113"/>
      <c r="AL113" s="477">
        <f t="shared" ca="1" si="32"/>
        <v>0</v>
      </c>
    </row>
    <row r="114" spans="2:38" ht="12" customHeight="1">
      <c r="B114" s="222">
        <f ca="1">Fixa!B114</f>
        <v>48899</v>
      </c>
      <c r="C114" s="223" t="str">
        <f>Fixa!C114</f>
        <v/>
      </c>
      <c r="D114" s="43" t="e">
        <f t="shared" si="23"/>
        <v>#VALUE!</v>
      </c>
      <c r="E114" s="43" t="e">
        <f t="shared" si="17"/>
        <v>#VALUE!</v>
      </c>
      <c r="F114" s="43" t="e">
        <f t="shared" si="18"/>
        <v>#VALUE!</v>
      </c>
      <c r="G114" s="43" t="e">
        <f t="shared" si="19"/>
        <v>#VALUE!</v>
      </c>
      <c r="H114" s="43" t="e">
        <f t="shared" ca="1" si="20"/>
        <v>#VALUE!</v>
      </c>
      <c r="I114" s="43">
        <f t="shared" si="21"/>
        <v>0</v>
      </c>
      <c r="J114" s="229">
        <f t="shared" si="24"/>
        <v>25</v>
      </c>
      <c r="K114" s="43">
        <f t="shared" si="25"/>
        <v>0</v>
      </c>
      <c r="M114" s="224"/>
      <c r="N114" s="225">
        <f t="shared" si="26"/>
        <v>0</v>
      </c>
      <c r="O114" s="43" t="e">
        <f t="shared" si="27"/>
        <v>#VALUE!</v>
      </c>
      <c r="P114" s="43" t="e">
        <f>ROUND(IF(Preenchimento!$G$39="Tabela Price",R114-Q114,(O113*(1+$AD$35))/($AD$28-C113)),$P$22)</f>
        <v>#VALUE!</v>
      </c>
      <c r="Q114" s="43" t="e">
        <f>IF(Preenchimento!$G$39="Tabela Price",O113*(1+$AD$35)*W114,O113*(1+SAC!$AD$35)*SAC!W114)</f>
        <v>#VALUE!</v>
      </c>
      <c r="R114" s="43" t="e">
        <f>IF(Preenchimento!$G$39="Tabela Price",IF(C114="","",((((((1+W114)^($Q$16-C113))*W114)/((1+W114)^($Q$16-C113)-1))*(O113*(1+$AD$35))))),Q114+P114)</f>
        <v>#VALUE!</v>
      </c>
      <c r="S114" s="43" t="e">
        <f t="shared" ca="1" si="22"/>
        <v>#VALUE!</v>
      </c>
      <c r="T114" s="43">
        <f t="shared" si="28"/>
        <v>0</v>
      </c>
      <c r="U114" s="226">
        <f>TRUNC(T114*Condições!$C$102,2)</f>
        <v>0</v>
      </c>
      <c r="V114" s="82">
        <f t="shared" ca="1" si="29"/>
        <v>11</v>
      </c>
      <c r="W114" s="231" t="str">
        <f t="shared" si="30"/>
        <v/>
      </c>
      <c r="X114" s="210"/>
      <c r="Y114" s="210"/>
      <c r="Z114" s="210"/>
      <c r="AI114" s="114">
        <f t="shared" si="31"/>
        <v>0</v>
      </c>
      <c r="AJ114" s="113"/>
      <c r="AL114" s="477">
        <f t="shared" ca="1" si="32"/>
        <v>0</v>
      </c>
    </row>
    <row r="115" spans="2:38" ht="12" customHeight="1">
      <c r="B115" s="222">
        <f ca="1">Fixa!B115</f>
        <v>48929</v>
      </c>
      <c r="C115" s="223" t="str">
        <f>Fixa!C115</f>
        <v/>
      </c>
      <c r="D115" s="43" t="e">
        <f t="shared" si="23"/>
        <v>#VALUE!</v>
      </c>
      <c r="E115" s="43" t="e">
        <f t="shared" si="17"/>
        <v>#VALUE!</v>
      </c>
      <c r="F115" s="43" t="e">
        <f t="shared" si="18"/>
        <v>#VALUE!</v>
      </c>
      <c r="G115" s="43" t="e">
        <f t="shared" si="19"/>
        <v>#VALUE!</v>
      </c>
      <c r="H115" s="43" t="e">
        <f t="shared" ca="1" si="20"/>
        <v>#VALUE!</v>
      </c>
      <c r="I115" s="43">
        <f t="shared" si="21"/>
        <v>0</v>
      </c>
      <c r="J115" s="229">
        <f t="shared" si="24"/>
        <v>25</v>
      </c>
      <c r="K115" s="43">
        <f t="shared" si="25"/>
        <v>0</v>
      </c>
      <c r="M115" s="224"/>
      <c r="N115" s="225">
        <f t="shared" si="26"/>
        <v>0</v>
      </c>
      <c r="O115" s="43" t="e">
        <f t="shared" si="27"/>
        <v>#VALUE!</v>
      </c>
      <c r="P115" s="43" t="e">
        <f>ROUND(IF(Preenchimento!$G$39="Tabela Price",R115-Q115,(O114*(1+$AD$35))/($AD$28-C114)),$P$22)</f>
        <v>#VALUE!</v>
      </c>
      <c r="Q115" s="43" t="e">
        <f>IF(Preenchimento!$G$39="Tabela Price",O114*(1+$AD$35)*W115,O114*(1+SAC!$AD$35)*SAC!W115)</f>
        <v>#VALUE!</v>
      </c>
      <c r="R115" s="43" t="e">
        <f>IF(Preenchimento!$G$39="Tabela Price",IF(C115="","",((((((1+W115)^($Q$16-C114))*W115)/((1+W115)^($Q$16-C114)-1))*(O114*(1+$AD$35))))),Q115+P115)</f>
        <v>#VALUE!</v>
      </c>
      <c r="S115" s="43" t="e">
        <f t="shared" ca="1" si="22"/>
        <v>#VALUE!</v>
      </c>
      <c r="T115" s="43">
        <f t="shared" si="28"/>
        <v>0</v>
      </c>
      <c r="U115" s="226">
        <f>TRUNC(T115*Condições!$C$102,2)</f>
        <v>0</v>
      </c>
      <c r="V115" s="82">
        <f t="shared" ca="1" si="29"/>
        <v>12</v>
      </c>
      <c r="W115" s="231" t="str">
        <f t="shared" si="30"/>
        <v/>
      </c>
      <c r="X115" s="210"/>
      <c r="Y115" s="210"/>
      <c r="Z115" s="210"/>
      <c r="AI115" s="114">
        <f t="shared" si="31"/>
        <v>0</v>
      </c>
      <c r="AJ115" s="113"/>
      <c r="AL115" s="477">
        <f t="shared" ca="1" si="32"/>
        <v>0</v>
      </c>
    </row>
    <row r="116" spans="2:38" ht="12" customHeight="1">
      <c r="B116" s="222">
        <f ca="1">Fixa!B116</f>
        <v>48960</v>
      </c>
      <c r="C116" s="223" t="str">
        <f>Fixa!C116</f>
        <v/>
      </c>
      <c r="D116" s="43" t="e">
        <f t="shared" si="23"/>
        <v>#VALUE!</v>
      </c>
      <c r="E116" s="43" t="e">
        <f t="shared" si="17"/>
        <v>#VALUE!</v>
      </c>
      <c r="F116" s="43" t="e">
        <f t="shared" si="18"/>
        <v>#VALUE!</v>
      </c>
      <c r="G116" s="43" t="e">
        <f t="shared" si="19"/>
        <v>#VALUE!</v>
      </c>
      <c r="H116" s="43" t="e">
        <f t="shared" ca="1" si="20"/>
        <v>#VALUE!</v>
      </c>
      <c r="I116" s="43">
        <f t="shared" si="21"/>
        <v>0</v>
      </c>
      <c r="J116" s="229">
        <f t="shared" si="24"/>
        <v>25</v>
      </c>
      <c r="K116" s="43">
        <f t="shared" si="25"/>
        <v>0</v>
      </c>
      <c r="M116" s="224"/>
      <c r="N116" s="225">
        <f t="shared" si="26"/>
        <v>0</v>
      </c>
      <c r="O116" s="43" t="e">
        <f t="shared" si="27"/>
        <v>#VALUE!</v>
      </c>
      <c r="P116" s="43" t="e">
        <f>ROUND(IF(Preenchimento!$G$39="Tabela Price",R116-Q116,(O115*(1+$AD$35))/($AD$28-C115)),$P$22)</f>
        <v>#VALUE!</v>
      </c>
      <c r="Q116" s="43" t="e">
        <f>IF(Preenchimento!$G$39="Tabela Price",O115*(1+$AD$35)*W116,O115*(1+SAC!$AD$35)*SAC!W116)</f>
        <v>#VALUE!</v>
      </c>
      <c r="R116" s="43" t="e">
        <f>IF(Preenchimento!$G$39="Tabela Price",IF(C116="","",((((((1+W116)^($Q$16-C115))*W116)/((1+W116)^($Q$16-C115)-1))*(O115*(1+$AD$35))))),Q116+P116)</f>
        <v>#VALUE!</v>
      </c>
      <c r="S116" s="43" t="e">
        <f t="shared" ca="1" si="22"/>
        <v>#VALUE!</v>
      </c>
      <c r="T116" s="43">
        <f t="shared" si="28"/>
        <v>0</v>
      </c>
      <c r="U116" s="226">
        <f>TRUNC(T116*Condições!$C$102,2)</f>
        <v>0</v>
      </c>
      <c r="V116" s="82">
        <f t="shared" ca="1" si="29"/>
        <v>1</v>
      </c>
      <c r="W116" s="231" t="str">
        <f t="shared" si="30"/>
        <v/>
      </c>
      <c r="X116" s="210"/>
      <c r="Y116" s="210"/>
      <c r="Z116" s="210"/>
      <c r="AI116" s="114">
        <f t="shared" si="31"/>
        <v>0</v>
      </c>
      <c r="AJ116" s="113"/>
      <c r="AL116" s="477">
        <f t="shared" ca="1" si="32"/>
        <v>0</v>
      </c>
    </row>
    <row r="117" spans="2:38" ht="12" customHeight="1">
      <c r="B117" s="222">
        <f ca="1">Fixa!B117</f>
        <v>48991</v>
      </c>
      <c r="C117" s="223" t="str">
        <f>Fixa!C117</f>
        <v/>
      </c>
      <c r="D117" s="43" t="e">
        <f t="shared" si="23"/>
        <v>#VALUE!</v>
      </c>
      <c r="E117" s="43" t="e">
        <f t="shared" si="17"/>
        <v>#VALUE!</v>
      </c>
      <c r="F117" s="43" t="e">
        <f t="shared" si="18"/>
        <v>#VALUE!</v>
      </c>
      <c r="G117" s="43" t="e">
        <f t="shared" si="19"/>
        <v>#VALUE!</v>
      </c>
      <c r="H117" s="43" t="e">
        <f t="shared" ca="1" si="20"/>
        <v>#VALUE!</v>
      </c>
      <c r="I117" s="43">
        <f t="shared" si="21"/>
        <v>0</v>
      </c>
      <c r="J117" s="229">
        <f t="shared" si="24"/>
        <v>25</v>
      </c>
      <c r="K117" s="43">
        <f t="shared" si="25"/>
        <v>0</v>
      </c>
      <c r="M117" s="224"/>
      <c r="N117" s="225">
        <f t="shared" si="26"/>
        <v>0</v>
      </c>
      <c r="O117" s="43" t="e">
        <f t="shared" si="27"/>
        <v>#VALUE!</v>
      </c>
      <c r="P117" s="43" t="e">
        <f>ROUND(IF(Preenchimento!$G$39="Tabela Price",R117-Q117,(O116*(1+$AD$35))/($AD$28-C116)),$P$22)</f>
        <v>#VALUE!</v>
      </c>
      <c r="Q117" s="43" t="e">
        <f>IF(Preenchimento!$G$39="Tabela Price",O116*(1+$AD$35)*W117,O116*(1+SAC!$AD$35)*SAC!W117)</f>
        <v>#VALUE!</v>
      </c>
      <c r="R117" s="43" t="e">
        <f>IF(Preenchimento!$G$39="Tabela Price",IF(C117="","",((((((1+W117)^($Q$16-C116))*W117)/((1+W117)^($Q$16-C116)-1))*(O116*(1+$AD$35))))),Q117+P117)</f>
        <v>#VALUE!</v>
      </c>
      <c r="S117" s="43" t="e">
        <f t="shared" ca="1" si="22"/>
        <v>#VALUE!</v>
      </c>
      <c r="T117" s="43">
        <f t="shared" si="28"/>
        <v>0</v>
      </c>
      <c r="U117" s="226">
        <f>TRUNC(T117*Condições!$C$102,2)</f>
        <v>0</v>
      </c>
      <c r="V117" s="82">
        <f t="shared" ca="1" si="29"/>
        <v>2</v>
      </c>
      <c r="W117" s="231" t="str">
        <f t="shared" si="30"/>
        <v/>
      </c>
      <c r="X117" s="210"/>
      <c r="Y117" s="210"/>
      <c r="Z117" s="210"/>
      <c r="AI117" s="114">
        <f t="shared" si="31"/>
        <v>0</v>
      </c>
      <c r="AJ117" s="113"/>
      <c r="AL117" s="477">
        <f t="shared" ca="1" si="32"/>
        <v>0</v>
      </c>
    </row>
    <row r="118" spans="2:38" ht="12" customHeight="1">
      <c r="B118" s="222">
        <f ca="1">Fixa!B118</f>
        <v>49019</v>
      </c>
      <c r="C118" s="223" t="str">
        <f>Fixa!C118</f>
        <v/>
      </c>
      <c r="D118" s="43" t="e">
        <f t="shared" si="23"/>
        <v>#VALUE!</v>
      </c>
      <c r="E118" s="43" t="e">
        <f t="shared" si="17"/>
        <v>#VALUE!</v>
      </c>
      <c r="F118" s="43" t="e">
        <f t="shared" si="18"/>
        <v>#VALUE!</v>
      </c>
      <c r="G118" s="43" t="e">
        <f t="shared" si="19"/>
        <v>#VALUE!</v>
      </c>
      <c r="H118" s="43" t="e">
        <f t="shared" ca="1" si="20"/>
        <v>#VALUE!</v>
      </c>
      <c r="I118" s="43">
        <f t="shared" si="21"/>
        <v>0</v>
      </c>
      <c r="J118" s="229">
        <f t="shared" si="24"/>
        <v>25</v>
      </c>
      <c r="K118" s="43">
        <f t="shared" si="25"/>
        <v>0</v>
      </c>
      <c r="M118" s="224"/>
      <c r="N118" s="225">
        <f t="shared" si="26"/>
        <v>0</v>
      </c>
      <c r="O118" s="43" t="e">
        <f t="shared" si="27"/>
        <v>#VALUE!</v>
      </c>
      <c r="P118" s="43" t="e">
        <f>ROUND(IF(Preenchimento!$G$39="Tabela Price",R118-Q118,(O117*(1+$AD$35))/($AD$28-C117)),$P$22)</f>
        <v>#VALUE!</v>
      </c>
      <c r="Q118" s="43" t="e">
        <f>IF(Preenchimento!$G$39="Tabela Price",O117*(1+$AD$35)*W118,O117*(1+SAC!$AD$35)*SAC!W118)</f>
        <v>#VALUE!</v>
      </c>
      <c r="R118" s="43" t="e">
        <f>IF(Preenchimento!$G$39="Tabela Price",IF(C118="","",((((((1+W118)^($Q$16-C117))*W118)/((1+W118)^($Q$16-C117)-1))*(O117*(1+$AD$35))))),Q118+P118)</f>
        <v>#VALUE!</v>
      </c>
      <c r="S118" s="43" t="e">
        <f t="shared" ca="1" si="22"/>
        <v>#VALUE!</v>
      </c>
      <c r="T118" s="43">
        <f t="shared" si="28"/>
        <v>0</v>
      </c>
      <c r="U118" s="226">
        <f>TRUNC(T118*Condições!$C$102,2)</f>
        <v>0</v>
      </c>
      <c r="V118" s="82">
        <f t="shared" ca="1" si="29"/>
        <v>3</v>
      </c>
      <c r="W118" s="231" t="str">
        <f t="shared" si="30"/>
        <v/>
      </c>
      <c r="X118" s="210"/>
      <c r="Y118" s="210"/>
      <c r="Z118" s="210"/>
      <c r="AI118" s="114">
        <f t="shared" si="31"/>
        <v>0</v>
      </c>
      <c r="AJ118" s="113"/>
      <c r="AL118" s="477">
        <f t="shared" ca="1" si="32"/>
        <v>0</v>
      </c>
    </row>
    <row r="119" spans="2:38" ht="12" customHeight="1">
      <c r="B119" s="222">
        <f ca="1">Fixa!B119</f>
        <v>49050</v>
      </c>
      <c r="C119" s="223" t="str">
        <f>Fixa!C119</f>
        <v/>
      </c>
      <c r="D119" s="43" t="e">
        <f t="shared" si="23"/>
        <v>#VALUE!</v>
      </c>
      <c r="E119" s="43" t="e">
        <f t="shared" si="17"/>
        <v>#VALUE!</v>
      </c>
      <c r="F119" s="43" t="e">
        <f t="shared" si="18"/>
        <v>#VALUE!</v>
      </c>
      <c r="G119" s="43" t="e">
        <f t="shared" si="19"/>
        <v>#VALUE!</v>
      </c>
      <c r="H119" s="43" t="e">
        <f t="shared" ca="1" si="20"/>
        <v>#VALUE!</v>
      </c>
      <c r="I119" s="43">
        <f t="shared" si="21"/>
        <v>0</v>
      </c>
      <c r="J119" s="229">
        <f t="shared" si="24"/>
        <v>25</v>
      </c>
      <c r="K119" s="43">
        <f t="shared" si="25"/>
        <v>0</v>
      </c>
      <c r="M119" s="224"/>
      <c r="N119" s="225">
        <f t="shared" si="26"/>
        <v>0</v>
      </c>
      <c r="O119" s="43" t="e">
        <f t="shared" si="27"/>
        <v>#VALUE!</v>
      </c>
      <c r="P119" s="43" t="e">
        <f>ROUND(IF(Preenchimento!$G$39="Tabela Price",R119-Q119,(O118*(1+$AD$35))/($AD$28-C118)),$P$22)</f>
        <v>#VALUE!</v>
      </c>
      <c r="Q119" s="43" t="e">
        <f>IF(Preenchimento!$G$39="Tabela Price",O118*(1+$AD$35)*W119,O118*(1+SAC!$AD$35)*SAC!W119)</f>
        <v>#VALUE!</v>
      </c>
      <c r="R119" s="43" t="e">
        <f>IF(Preenchimento!$G$39="Tabela Price",IF(C119="","",((((((1+W119)^($Q$16-C118))*W119)/((1+W119)^($Q$16-C118)-1))*(O118*(1+$AD$35))))),Q119+P119)</f>
        <v>#VALUE!</v>
      </c>
      <c r="S119" s="43" t="e">
        <f t="shared" ca="1" si="22"/>
        <v>#VALUE!</v>
      </c>
      <c r="T119" s="43">
        <f t="shared" si="28"/>
        <v>0</v>
      </c>
      <c r="U119" s="226">
        <f>TRUNC(T119*Condições!$C$102,2)</f>
        <v>0</v>
      </c>
      <c r="V119" s="82">
        <f t="shared" ca="1" si="29"/>
        <v>4</v>
      </c>
      <c r="W119" s="231" t="str">
        <f t="shared" si="30"/>
        <v/>
      </c>
      <c r="X119" s="210"/>
      <c r="Y119" s="210"/>
      <c r="Z119" s="210"/>
      <c r="AI119" s="114">
        <f t="shared" si="31"/>
        <v>0</v>
      </c>
      <c r="AJ119" s="113"/>
      <c r="AL119" s="477">
        <f t="shared" ca="1" si="32"/>
        <v>0</v>
      </c>
    </row>
    <row r="120" spans="2:38" ht="12" customHeight="1">
      <c r="B120" s="222">
        <f ca="1">Fixa!B120</f>
        <v>49080</v>
      </c>
      <c r="C120" s="223" t="str">
        <f>Fixa!C120</f>
        <v/>
      </c>
      <c r="D120" s="43" t="e">
        <f t="shared" si="23"/>
        <v>#VALUE!</v>
      </c>
      <c r="E120" s="43" t="e">
        <f t="shared" si="17"/>
        <v>#VALUE!</v>
      </c>
      <c r="F120" s="43" t="e">
        <f t="shared" si="18"/>
        <v>#VALUE!</v>
      </c>
      <c r="G120" s="43" t="e">
        <f t="shared" si="19"/>
        <v>#VALUE!</v>
      </c>
      <c r="H120" s="43" t="e">
        <f t="shared" ca="1" si="20"/>
        <v>#VALUE!</v>
      </c>
      <c r="I120" s="43">
        <f t="shared" si="21"/>
        <v>0</v>
      </c>
      <c r="J120" s="229">
        <f t="shared" si="24"/>
        <v>25</v>
      </c>
      <c r="K120" s="43">
        <f t="shared" si="25"/>
        <v>0</v>
      </c>
      <c r="M120" s="224"/>
      <c r="N120" s="225">
        <f t="shared" si="26"/>
        <v>0</v>
      </c>
      <c r="O120" s="43" t="e">
        <f t="shared" si="27"/>
        <v>#VALUE!</v>
      </c>
      <c r="P120" s="43" t="e">
        <f>ROUND(IF(Preenchimento!$G$39="Tabela Price",R120-Q120,(O119*(1+$AD$35))/($AD$28-C119)),$P$22)</f>
        <v>#VALUE!</v>
      </c>
      <c r="Q120" s="43" t="e">
        <f>IF(Preenchimento!$G$39="Tabela Price",O119*(1+$AD$35)*W120,O119*(1+SAC!$AD$35)*SAC!W120)</f>
        <v>#VALUE!</v>
      </c>
      <c r="R120" s="43" t="e">
        <f>IF(Preenchimento!$G$39="Tabela Price",IF(C120="","",((((((1+W120)^($Q$16-C119))*W120)/((1+W120)^($Q$16-C119)-1))*(O119*(1+$AD$35))))),Q120+P120)</f>
        <v>#VALUE!</v>
      </c>
      <c r="S120" s="43" t="e">
        <f t="shared" ca="1" si="22"/>
        <v>#VALUE!</v>
      </c>
      <c r="T120" s="43">
        <f t="shared" si="28"/>
        <v>0</v>
      </c>
      <c r="U120" s="226">
        <f>TRUNC(T120*Condições!$C$102,2)</f>
        <v>0</v>
      </c>
      <c r="V120" s="82">
        <f t="shared" ca="1" si="29"/>
        <v>5</v>
      </c>
      <c r="W120" s="231" t="str">
        <f t="shared" si="30"/>
        <v/>
      </c>
      <c r="X120" s="210"/>
      <c r="Y120" s="210"/>
      <c r="Z120" s="210"/>
      <c r="AI120" s="114">
        <f t="shared" si="31"/>
        <v>0</v>
      </c>
      <c r="AJ120" s="113"/>
      <c r="AL120" s="477">
        <f t="shared" ca="1" si="32"/>
        <v>0</v>
      </c>
    </row>
    <row r="121" spans="2:38" ht="12" customHeight="1">
      <c r="B121" s="222">
        <f ca="1">Fixa!B121</f>
        <v>49111</v>
      </c>
      <c r="C121" s="223" t="str">
        <f>Fixa!C121</f>
        <v/>
      </c>
      <c r="D121" s="43" t="e">
        <f t="shared" si="23"/>
        <v>#VALUE!</v>
      </c>
      <c r="E121" s="43" t="e">
        <f t="shared" si="17"/>
        <v>#VALUE!</v>
      </c>
      <c r="F121" s="43" t="e">
        <f t="shared" si="18"/>
        <v>#VALUE!</v>
      </c>
      <c r="G121" s="43" t="e">
        <f t="shared" si="19"/>
        <v>#VALUE!</v>
      </c>
      <c r="H121" s="43" t="e">
        <f t="shared" ca="1" si="20"/>
        <v>#VALUE!</v>
      </c>
      <c r="I121" s="43">
        <f t="shared" si="21"/>
        <v>0</v>
      </c>
      <c r="J121" s="229">
        <f t="shared" si="24"/>
        <v>25</v>
      </c>
      <c r="K121" s="43">
        <f t="shared" si="25"/>
        <v>0</v>
      </c>
      <c r="M121" s="224"/>
      <c r="N121" s="225">
        <f t="shared" si="26"/>
        <v>0</v>
      </c>
      <c r="O121" s="43" t="e">
        <f t="shared" si="27"/>
        <v>#VALUE!</v>
      </c>
      <c r="P121" s="43" t="e">
        <f>ROUND(IF(Preenchimento!$G$39="Tabela Price",R121-Q121,(O120*(1+$AD$35))/($AD$28-C120)),$P$22)</f>
        <v>#VALUE!</v>
      </c>
      <c r="Q121" s="43" t="e">
        <f>IF(Preenchimento!$G$39="Tabela Price",O120*(1+$AD$35)*W121,O120*(1+SAC!$AD$35)*SAC!W121)</f>
        <v>#VALUE!</v>
      </c>
      <c r="R121" s="43" t="e">
        <f>IF(Preenchimento!$G$39="Tabela Price",IF(C121="","",((((((1+W121)^($Q$16-C120))*W121)/((1+W121)^($Q$16-C120)-1))*(O120*(1+$AD$35))))),Q121+P121)</f>
        <v>#VALUE!</v>
      </c>
      <c r="S121" s="43" t="e">
        <f t="shared" ca="1" si="22"/>
        <v>#VALUE!</v>
      </c>
      <c r="T121" s="43">
        <f t="shared" si="28"/>
        <v>0</v>
      </c>
      <c r="U121" s="226">
        <f>TRUNC(T121*Condições!$C$102,2)</f>
        <v>0</v>
      </c>
      <c r="V121" s="82">
        <f t="shared" ca="1" si="29"/>
        <v>6</v>
      </c>
      <c r="W121" s="231" t="str">
        <f t="shared" si="30"/>
        <v/>
      </c>
      <c r="X121" s="210"/>
      <c r="Y121" s="210"/>
      <c r="Z121" s="210"/>
      <c r="AI121" s="114">
        <f t="shared" si="31"/>
        <v>0</v>
      </c>
      <c r="AJ121" s="113"/>
      <c r="AL121" s="477">
        <f t="shared" ca="1" si="32"/>
        <v>0</v>
      </c>
    </row>
    <row r="122" spans="2:38" ht="12" customHeight="1">
      <c r="B122" s="222">
        <f ca="1">Fixa!B122</f>
        <v>49141</v>
      </c>
      <c r="C122" s="223" t="str">
        <f>Fixa!C122</f>
        <v/>
      </c>
      <c r="D122" s="43" t="e">
        <f t="shared" si="23"/>
        <v>#VALUE!</v>
      </c>
      <c r="E122" s="43" t="e">
        <f t="shared" si="17"/>
        <v>#VALUE!</v>
      </c>
      <c r="F122" s="43" t="e">
        <f t="shared" si="18"/>
        <v>#VALUE!</v>
      </c>
      <c r="G122" s="43" t="e">
        <f t="shared" si="19"/>
        <v>#VALUE!</v>
      </c>
      <c r="H122" s="43" t="e">
        <f t="shared" ca="1" si="20"/>
        <v>#VALUE!</v>
      </c>
      <c r="I122" s="43">
        <f t="shared" si="21"/>
        <v>0</v>
      </c>
      <c r="J122" s="229">
        <f t="shared" si="24"/>
        <v>25</v>
      </c>
      <c r="K122" s="43">
        <f t="shared" si="25"/>
        <v>0</v>
      </c>
      <c r="M122" s="224"/>
      <c r="N122" s="225">
        <f t="shared" si="26"/>
        <v>0</v>
      </c>
      <c r="O122" s="43" t="e">
        <f t="shared" si="27"/>
        <v>#VALUE!</v>
      </c>
      <c r="P122" s="43" t="e">
        <f>ROUND(IF(Preenchimento!$G$39="Tabela Price",R122-Q122,(O121*(1+$AD$35))/($AD$28-C121)),$P$22)</f>
        <v>#VALUE!</v>
      </c>
      <c r="Q122" s="43" t="e">
        <f>IF(Preenchimento!$G$39="Tabela Price",O121*(1+$AD$35)*W122,O121*(1+SAC!$AD$35)*SAC!W122)</f>
        <v>#VALUE!</v>
      </c>
      <c r="R122" s="43" t="e">
        <f>IF(Preenchimento!$G$39="Tabela Price",IF(C122="","",((((((1+W122)^($Q$16-C121))*W122)/((1+W122)^($Q$16-C121)-1))*(O121*(1+$AD$35))))),Q122+P122)</f>
        <v>#VALUE!</v>
      </c>
      <c r="S122" s="43" t="e">
        <f t="shared" ca="1" si="22"/>
        <v>#VALUE!</v>
      </c>
      <c r="T122" s="43">
        <f t="shared" si="28"/>
        <v>0</v>
      </c>
      <c r="U122" s="226">
        <f>TRUNC(T122*Condições!$C$102,2)</f>
        <v>0</v>
      </c>
      <c r="V122" s="82">
        <f t="shared" ca="1" si="29"/>
        <v>7</v>
      </c>
      <c r="W122" s="231" t="str">
        <f t="shared" si="30"/>
        <v/>
      </c>
      <c r="X122" s="210"/>
      <c r="Y122" s="210"/>
      <c r="Z122" s="210"/>
      <c r="AI122" s="114">
        <f t="shared" si="31"/>
        <v>0</v>
      </c>
      <c r="AJ122" s="113"/>
      <c r="AL122" s="477">
        <f t="shared" ca="1" si="32"/>
        <v>0</v>
      </c>
    </row>
    <row r="123" spans="2:38" ht="12" customHeight="1">
      <c r="B123" s="222">
        <f ca="1">Fixa!B123</f>
        <v>49172</v>
      </c>
      <c r="C123" s="223" t="str">
        <f>Fixa!C123</f>
        <v/>
      </c>
      <c r="D123" s="43" t="e">
        <f t="shared" si="23"/>
        <v>#VALUE!</v>
      </c>
      <c r="E123" s="43" t="e">
        <f t="shared" si="17"/>
        <v>#VALUE!</v>
      </c>
      <c r="F123" s="43" t="e">
        <f t="shared" si="18"/>
        <v>#VALUE!</v>
      </c>
      <c r="G123" s="43" t="e">
        <f t="shared" si="19"/>
        <v>#VALUE!</v>
      </c>
      <c r="H123" s="43" t="e">
        <f t="shared" ca="1" si="20"/>
        <v>#VALUE!</v>
      </c>
      <c r="I123" s="43">
        <f t="shared" si="21"/>
        <v>0</v>
      </c>
      <c r="J123" s="229">
        <f t="shared" si="24"/>
        <v>25</v>
      </c>
      <c r="K123" s="43">
        <f t="shared" si="25"/>
        <v>0</v>
      </c>
      <c r="M123" s="224"/>
      <c r="N123" s="225">
        <f t="shared" si="26"/>
        <v>0</v>
      </c>
      <c r="O123" s="43" t="e">
        <f t="shared" si="27"/>
        <v>#VALUE!</v>
      </c>
      <c r="P123" s="43" t="e">
        <f>ROUND(IF(Preenchimento!$G$39="Tabela Price",R123-Q123,(O122*(1+$AD$35))/($AD$28-C122)),$P$22)</f>
        <v>#VALUE!</v>
      </c>
      <c r="Q123" s="43" t="e">
        <f>IF(Preenchimento!$G$39="Tabela Price",O122*(1+$AD$35)*W123,O122*(1+SAC!$AD$35)*SAC!W123)</f>
        <v>#VALUE!</v>
      </c>
      <c r="R123" s="43" t="e">
        <f>IF(Preenchimento!$G$39="Tabela Price",IF(C123="","",((((((1+W123)^($Q$16-C122))*W123)/((1+W123)^($Q$16-C122)-1))*(O122*(1+$AD$35))))),Q123+P123)</f>
        <v>#VALUE!</v>
      </c>
      <c r="S123" s="43" t="e">
        <f t="shared" ca="1" si="22"/>
        <v>#VALUE!</v>
      </c>
      <c r="T123" s="43">
        <f t="shared" si="28"/>
        <v>0</v>
      </c>
      <c r="U123" s="226">
        <f>TRUNC(T123*Condições!$C$102,2)</f>
        <v>0</v>
      </c>
      <c r="V123" s="82">
        <f t="shared" ca="1" si="29"/>
        <v>8</v>
      </c>
      <c r="W123" s="231" t="str">
        <f t="shared" si="30"/>
        <v/>
      </c>
      <c r="X123" s="210"/>
      <c r="Y123" s="210"/>
      <c r="Z123" s="210"/>
      <c r="AI123" s="114">
        <f t="shared" si="31"/>
        <v>0</v>
      </c>
      <c r="AJ123" s="113"/>
      <c r="AL123" s="477">
        <f t="shared" ca="1" si="32"/>
        <v>0</v>
      </c>
    </row>
    <row r="124" spans="2:38" ht="12" customHeight="1">
      <c r="B124" s="222">
        <f ca="1">Fixa!B124</f>
        <v>49203</v>
      </c>
      <c r="C124" s="223" t="str">
        <f>Fixa!C124</f>
        <v/>
      </c>
      <c r="D124" s="43" t="e">
        <f t="shared" si="23"/>
        <v>#VALUE!</v>
      </c>
      <c r="E124" s="43" t="e">
        <f t="shared" si="17"/>
        <v>#VALUE!</v>
      </c>
      <c r="F124" s="43" t="e">
        <f t="shared" si="18"/>
        <v>#VALUE!</v>
      </c>
      <c r="G124" s="43" t="e">
        <f t="shared" si="19"/>
        <v>#VALUE!</v>
      </c>
      <c r="H124" s="43" t="e">
        <f t="shared" ca="1" si="20"/>
        <v>#VALUE!</v>
      </c>
      <c r="I124" s="43">
        <f t="shared" si="21"/>
        <v>0</v>
      </c>
      <c r="J124" s="229">
        <f t="shared" si="24"/>
        <v>25</v>
      </c>
      <c r="K124" s="43">
        <f t="shared" si="25"/>
        <v>0</v>
      </c>
      <c r="M124" s="224"/>
      <c r="N124" s="225">
        <f t="shared" si="26"/>
        <v>0</v>
      </c>
      <c r="O124" s="43" t="e">
        <f t="shared" si="27"/>
        <v>#VALUE!</v>
      </c>
      <c r="P124" s="43" t="e">
        <f>ROUND(IF(Preenchimento!$G$39="Tabela Price",R124-Q124,(O123*(1+$AD$35))/($AD$28-C123)),$P$22)</f>
        <v>#VALUE!</v>
      </c>
      <c r="Q124" s="43" t="e">
        <f>IF(Preenchimento!$G$39="Tabela Price",O123*(1+$AD$35)*W124,O123*(1+SAC!$AD$35)*SAC!W124)</f>
        <v>#VALUE!</v>
      </c>
      <c r="R124" s="43" t="e">
        <f>IF(Preenchimento!$G$39="Tabela Price",IF(C124="","",((((((1+W124)^($Q$16-C123))*W124)/((1+W124)^($Q$16-C123)-1))*(O123*(1+$AD$35))))),Q124+P124)</f>
        <v>#VALUE!</v>
      </c>
      <c r="S124" s="43" t="e">
        <f t="shared" ca="1" si="22"/>
        <v>#VALUE!</v>
      </c>
      <c r="T124" s="43">
        <f t="shared" si="28"/>
        <v>0</v>
      </c>
      <c r="U124" s="226">
        <f>TRUNC(T124*Condições!$C$102,2)</f>
        <v>0</v>
      </c>
      <c r="V124" s="82">
        <f t="shared" ca="1" si="29"/>
        <v>9</v>
      </c>
      <c r="W124" s="231" t="str">
        <f t="shared" si="30"/>
        <v/>
      </c>
      <c r="X124" s="210"/>
      <c r="Y124" s="210"/>
      <c r="Z124" s="210"/>
      <c r="AI124" s="114">
        <f t="shared" si="31"/>
        <v>0</v>
      </c>
      <c r="AJ124" s="113"/>
      <c r="AL124" s="477">
        <f t="shared" ca="1" si="32"/>
        <v>0</v>
      </c>
    </row>
    <row r="125" spans="2:38" ht="12" customHeight="1">
      <c r="B125" s="222">
        <f ca="1">Fixa!B125</f>
        <v>49233</v>
      </c>
      <c r="C125" s="223" t="str">
        <f>Fixa!C125</f>
        <v/>
      </c>
      <c r="D125" s="43" t="e">
        <f t="shared" si="23"/>
        <v>#VALUE!</v>
      </c>
      <c r="E125" s="43" t="e">
        <f t="shared" si="17"/>
        <v>#VALUE!</v>
      </c>
      <c r="F125" s="43" t="e">
        <f t="shared" si="18"/>
        <v>#VALUE!</v>
      </c>
      <c r="G125" s="43" t="e">
        <f t="shared" si="19"/>
        <v>#VALUE!</v>
      </c>
      <c r="H125" s="43" t="e">
        <f t="shared" ca="1" si="20"/>
        <v>#VALUE!</v>
      </c>
      <c r="I125" s="43">
        <f t="shared" si="21"/>
        <v>0</v>
      </c>
      <c r="J125" s="229">
        <f t="shared" si="24"/>
        <v>25</v>
      </c>
      <c r="K125" s="43">
        <f t="shared" si="25"/>
        <v>0</v>
      </c>
      <c r="M125" s="224"/>
      <c r="N125" s="225">
        <f t="shared" si="26"/>
        <v>0</v>
      </c>
      <c r="O125" s="43" t="e">
        <f t="shared" si="27"/>
        <v>#VALUE!</v>
      </c>
      <c r="P125" s="43" t="e">
        <f>ROUND(IF(Preenchimento!$G$39="Tabela Price",R125-Q125,(O124*(1+$AD$35))/($AD$28-C124)),$P$22)</f>
        <v>#VALUE!</v>
      </c>
      <c r="Q125" s="43" t="e">
        <f>IF(Preenchimento!$G$39="Tabela Price",O124*(1+$AD$35)*W125,O124*(1+SAC!$AD$35)*SAC!W125)</f>
        <v>#VALUE!</v>
      </c>
      <c r="R125" s="43" t="e">
        <f>IF(Preenchimento!$G$39="Tabela Price",IF(C125="","",((((((1+W125)^($Q$16-C124))*W125)/((1+W125)^($Q$16-C124)-1))*(O124*(1+$AD$35))))),Q125+P125)</f>
        <v>#VALUE!</v>
      </c>
      <c r="S125" s="43" t="e">
        <f t="shared" ca="1" si="22"/>
        <v>#VALUE!</v>
      </c>
      <c r="T125" s="43">
        <f t="shared" si="28"/>
        <v>0</v>
      </c>
      <c r="U125" s="226">
        <f>TRUNC(T125*Condições!$C$102,2)</f>
        <v>0</v>
      </c>
      <c r="V125" s="82">
        <f t="shared" ca="1" si="29"/>
        <v>10</v>
      </c>
      <c r="W125" s="231" t="str">
        <f t="shared" si="30"/>
        <v/>
      </c>
      <c r="X125" s="210"/>
      <c r="Y125" s="210"/>
      <c r="Z125" s="210"/>
      <c r="AI125" s="114">
        <f t="shared" si="31"/>
        <v>0</v>
      </c>
      <c r="AJ125" s="113"/>
      <c r="AL125" s="477">
        <f t="shared" ca="1" si="32"/>
        <v>0</v>
      </c>
    </row>
    <row r="126" spans="2:38" ht="12" customHeight="1">
      <c r="B126" s="222">
        <f ca="1">Fixa!B126</f>
        <v>49264</v>
      </c>
      <c r="C126" s="223" t="str">
        <f>Fixa!C126</f>
        <v/>
      </c>
      <c r="D126" s="43" t="e">
        <f t="shared" si="23"/>
        <v>#VALUE!</v>
      </c>
      <c r="E126" s="43" t="e">
        <f t="shared" si="17"/>
        <v>#VALUE!</v>
      </c>
      <c r="F126" s="43" t="e">
        <f t="shared" si="18"/>
        <v>#VALUE!</v>
      </c>
      <c r="G126" s="43" t="e">
        <f t="shared" si="19"/>
        <v>#VALUE!</v>
      </c>
      <c r="H126" s="43" t="e">
        <f t="shared" ca="1" si="20"/>
        <v>#VALUE!</v>
      </c>
      <c r="I126" s="43">
        <f t="shared" si="21"/>
        <v>0</v>
      </c>
      <c r="J126" s="229">
        <f t="shared" si="24"/>
        <v>25</v>
      </c>
      <c r="K126" s="43">
        <f t="shared" si="25"/>
        <v>0</v>
      </c>
      <c r="M126" s="224"/>
      <c r="N126" s="225">
        <f t="shared" si="26"/>
        <v>0</v>
      </c>
      <c r="O126" s="43" t="e">
        <f t="shared" si="27"/>
        <v>#VALUE!</v>
      </c>
      <c r="P126" s="43" t="e">
        <f>ROUND(IF(Preenchimento!$G$39="Tabela Price",R126-Q126,(O125*(1+$AD$35))/($AD$28-C125)),$P$22)</f>
        <v>#VALUE!</v>
      </c>
      <c r="Q126" s="43" t="e">
        <f>IF(Preenchimento!$G$39="Tabela Price",O125*(1+$AD$35)*W126,O125*(1+SAC!$AD$35)*SAC!W126)</f>
        <v>#VALUE!</v>
      </c>
      <c r="R126" s="43" t="e">
        <f>IF(Preenchimento!$G$39="Tabela Price",IF(C126="","",((((((1+W126)^($Q$16-C125))*W126)/((1+W126)^($Q$16-C125)-1))*(O125*(1+$AD$35))))),Q126+P126)</f>
        <v>#VALUE!</v>
      </c>
      <c r="S126" s="43" t="e">
        <f t="shared" ca="1" si="22"/>
        <v>#VALUE!</v>
      </c>
      <c r="T126" s="43">
        <f t="shared" si="28"/>
        <v>0</v>
      </c>
      <c r="U126" s="226">
        <f>TRUNC(T126*Condições!$C$102,2)</f>
        <v>0</v>
      </c>
      <c r="V126" s="82">
        <f t="shared" ca="1" si="29"/>
        <v>11</v>
      </c>
      <c r="W126" s="231" t="str">
        <f t="shared" si="30"/>
        <v/>
      </c>
      <c r="X126" s="210"/>
      <c r="Y126" s="210"/>
      <c r="Z126" s="210"/>
      <c r="AI126" s="114">
        <f t="shared" si="31"/>
        <v>0</v>
      </c>
      <c r="AJ126" s="113"/>
      <c r="AL126" s="477">
        <f t="shared" ca="1" si="32"/>
        <v>0</v>
      </c>
    </row>
    <row r="127" spans="2:38" ht="12" customHeight="1">
      <c r="B127" s="222">
        <f ca="1">Fixa!B127</f>
        <v>49294</v>
      </c>
      <c r="C127" s="223" t="str">
        <f>Fixa!C127</f>
        <v/>
      </c>
      <c r="D127" s="43" t="e">
        <f t="shared" si="23"/>
        <v>#VALUE!</v>
      </c>
      <c r="E127" s="43" t="e">
        <f t="shared" si="17"/>
        <v>#VALUE!</v>
      </c>
      <c r="F127" s="43" t="e">
        <f t="shared" si="18"/>
        <v>#VALUE!</v>
      </c>
      <c r="G127" s="43" t="e">
        <f t="shared" si="19"/>
        <v>#VALUE!</v>
      </c>
      <c r="H127" s="43" t="e">
        <f t="shared" ca="1" si="20"/>
        <v>#VALUE!</v>
      </c>
      <c r="I127" s="43">
        <f t="shared" si="21"/>
        <v>0</v>
      </c>
      <c r="J127" s="229">
        <f t="shared" si="24"/>
        <v>25</v>
      </c>
      <c r="K127" s="43">
        <f t="shared" si="25"/>
        <v>0</v>
      </c>
      <c r="M127" s="224"/>
      <c r="N127" s="225">
        <f t="shared" si="26"/>
        <v>0</v>
      </c>
      <c r="O127" s="43" t="e">
        <f t="shared" si="27"/>
        <v>#VALUE!</v>
      </c>
      <c r="P127" s="43" t="e">
        <f>ROUND(IF(Preenchimento!$G$39="Tabela Price",R127-Q127,(O126*(1+$AD$35))/($AD$28-C126)),$P$22)</f>
        <v>#VALUE!</v>
      </c>
      <c r="Q127" s="43" t="e">
        <f>IF(Preenchimento!$G$39="Tabela Price",O126*(1+$AD$35)*W127,O126*(1+SAC!$AD$35)*SAC!W127)</f>
        <v>#VALUE!</v>
      </c>
      <c r="R127" s="43" t="e">
        <f>IF(Preenchimento!$G$39="Tabela Price",IF(C127="","",((((((1+W127)^($Q$16-C126))*W127)/((1+W127)^($Q$16-C126)-1))*(O126*(1+$AD$35))))),Q127+P127)</f>
        <v>#VALUE!</v>
      </c>
      <c r="S127" s="43" t="e">
        <f t="shared" ca="1" si="22"/>
        <v>#VALUE!</v>
      </c>
      <c r="T127" s="43">
        <f t="shared" si="28"/>
        <v>0</v>
      </c>
      <c r="U127" s="226">
        <f>TRUNC(T127*Condições!$C$102,2)</f>
        <v>0</v>
      </c>
      <c r="V127" s="82">
        <f t="shared" ca="1" si="29"/>
        <v>12</v>
      </c>
      <c r="W127" s="231" t="str">
        <f t="shared" si="30"/>
        <v/>
      </c>
      <c r="X127" s="210"/>
      <c r="Y127" s="210"/>
      <c r="Z127" s="210"/>
      <c r="AI127" s="114">
        <f t="shared" si="31"/>
        <v>0</v>
      </c>
      <c r="AJ127" s="113"/>
      <c r="AL127" s="477">
        <f t="shared" ca="1" si="32"/>
        <v>0</v>
      </c>
    </row>
    <row r="128" spans="2:38" ht="12" customHeight="1">
      <c r="B128" s="222">
        <f ca="1">Fixa!B128</f>
        <v>49325</v>
      </c>
      <c r="C128" s="223" t="str">
        <f>Fixa!C128</f>
        <v/>
      </c>
      <c r="D128" s="43" t="e">
        <f t="shared" si="23"/>
        <v>#VALUE!</v>
      </c>
      <c r="E128" s="43" t="e">
        <f t="shared" si="17"/>
        <v>#VALUE!</v>
      </c>
      <c r="F128" s="43" t="e">
        <f t="shared" si="18"/>
        <v>#VALUE!</v>
      </c>
      <c r="G128" s="43" t="e">
        <f t="shared" si="19"/>
        <v>#VALUE!</v>
      </c>
      <c r="H128" s="43" t="e">
        <f t="shared" ca="1" si="20"/>
        <v>#VALUE!</v>
      </c>
      <c r="I128" s="43">
        <f t="shared" si="21"/>
        <v>0</v>
      </c>
      <c r="J128" s="229">
        <f t="shared" si="24"/>
        <v>25</v>
      </c>
      <c r="K128" s="43">
        <f t="shared" si="25"/>
        <v>0</v>
      </c>
      <c r="M128" s="224"/>
      <c r="N128" s="225">
        <f t="shared" si="26"/>
        <v>0</v>
      </c>
      <c r="O128" s="43" t="e">
        <f t="shared" si="27"/>
        <v>#VALUE!</v>
      </c>
      <c r="P128" s="43" t="e">
        <f>ROUND(IF(Preenchimento!$G$39="Tabela Price",R128-Q128,(O127*(1+$AD$35))/($AD$28-C127)),$P$22)</f>
        <v>#VALUE!</v>
      </c>
      <c r="Q128" s="43" t="e">
        <f>IF(Preenchimento!$G$39="Tabela Price",O127*(1+$AD$35)*W128,O127*(1+SAC!$AD$35)*SAC!W128)</f>
        <v>#VALUE!</v>
      </c>
      <c r="R128" s="43" t="e">
        <f>IF(Preenchimento!$G$39="Tabela Price",IF(C128="","",((((((1+W128)^($Q$16-C127))*W128)/((1+W128)^($Q$16-C127)-1))*(O127*(1+$AD$35))))),Q128+P128)</f>
        <v>#VALUE!</v>
      </c>
      <c r="S128" s="43" t="e">
        <f t="shared" ca="1" si="22"/>
        <v>#VALUE!</v>
      </c>
      <c r="T128" s="43">
        <f t="shared" si="28"/>
        <v>0</v>
      </c>
      <c r="U128" s="226">
        <f>TRUNC(T128*Condições!$C$102,2)</f>
        <v>0</v>
      </c>
      <c r="V128" s="82">
        <f t="shared" ca="1" si="29"/>
        <v>1</v>
      </c>
      <c r="W128" s="231" t="str">
        <f t="shared" si="30"/>
        <v/>
      </c>
      <c r="X128" s="210"/>
      <c r="Y128" s="210"/>
      <c r="Z128" s="210"/>
      <c r="AI128" s="114">
        <f t="shared" si="31"/>
        <v>0</v>
      </c>
      <c r="AJ128" s="113"/>
      <c r="AL128" s="477">
        <f t="shared" ca="1" si="32"/>
        <v>0</v>
      </c>
    </row>
    <row r="129" spans="2:38" ht="12" customHeight="1">
      <c r="B129" s="222">
        <f ca="1">Fixa!B129</f>
        <v>49356</v>
      </c>
      <c r="C129" s="223" t="str">
        <f>Fixa!C129</f>
        <v/>
      </c>
      <c r="D129" s="43" t="e">
        <f t="shared" si="23"/>
        <v>#VALUE!</v>
      </c>
      <c r="E129" s="43" t="e">
        <f t="shared" si="17"/>
        <v>#VALUE!</v>
      </c>
      <c r="F129" s="43" t="e">
        <f t="shared" si="18"/>
        <v>#VALUE!</v>
      </c>
      <c r="G129" s="43" t="e">
        <f t="shared" si="19"/>
        <v>#VALUE!</v>
      </c>
      <c r="H129" s="43" t="e">
        <f t="shared" ca="1" si="20"/>
        <v>#VALUE!</v>
      </c>
      <c r="I129" s="43">
        <f t="shared" si="21"/>
        <v>0</v>
      </c>
      <c r="J129" s="229">
        <f t="shared" si="24"/>
        <v>25</v>
      </c>
      <c r="K129" s="43">
        <f t="shared" si="25"/>
        <v>0</v>
      </c>
      <c r="M129" s="224"/>
      <c r="N129" s="225">
        <f t="shared" si="26"/>
        <v>0</v>
      </c>
      <c r="O129" s="43" t="e">
        <f t="shared" si="27"/>
        <v>#VALUE!</v>
      </c>
      <c r="P129" s="43" t="e">
        <f>ROUND(IF(Preenchimento!$G$39="Tabela Price",R129-Q129,(O128*(1+$AD$35))/($AD$28-C128)),$P$22)</f>
        <v>#VALUE!</v>
      </c>
      <c r="Q129" s="43" t="e">
        <f>IF(Preenchimento!$G$39="Tabela Price",O128*(1+$AD$35)*W129,O128*(1+SAC!$AD$35)*SAC!W129)</f>
        <v>#VALUE!</v>
      </c>
      <c r="R129" s="43" t="e">
        <f>IF(Preenchimento!$G$39="Tabela Price",IF(C129="","",((((((1+W129)^($Q$16-C128))*W129)/((1+W129)^($Q$16-C128)-1))*(O128*(1+$AD$35))))),Q129+P129)</f>
        <v>#VALUE!</v>
      </c>
      <c r="S129" s="43" t="e">
        <f t="shared" ca="1" si="22"/>
        <v>#VALUE!</v>
      </c>
      <c r="T129" s="43">
        <f t="shared" si="28"/>
        <v>0</v>
      </c>
      <c r="U129" s="226">
        <f>TRUNC(T129*Condições!$C$102,2)</f>
        <v>0</v>
      </c>
      <c r="V129" s="82">
        <f t="shared" ca="1" si="29"/>
        <v>2</v>
      </c>
      <c r="W129" s="231" t="str">
        <f t="shared" si="30"/>
        <v/>
      </c>
      <c r="X129" s="210"/>
      <c r="Y129" s="210"/>
      <c r="Z129" s="210"/>
      <c r="AI129" s="114">
        <f t="shared" si="31"/>
        <v>0</v>
      </c>
      <c r="AJ129" s="113"/>
      <c r="AL129" s="477">
        <f t="shared" ca="1" si="32"/>
        <v>0</v>
      </c>
    </row>
    <row r="130" spans="2:38" ht="12" customHeight="1">
      <c r="B130" s="222">
        <f ca="1">Fixa!B130</f>
        <v>49384</v>
      </c>
      <c r="C130" s="223" t="str">
        <f>Fixa!C130</f>
        <v/>
      </c>
      <c r="D130" s="43" t="e">
        <f t="shared" si="23"/>
        <v>#VALUE!</v>
      </c>
      <c r="E130" s="43" t="e">
        <f t="shared" si="17"/>
        <v>#VALUE!</v>
      </c>
      <c r="F130" s="43" t="e">
        <f t="shared" si="18"/>
        <v>#VALUE!</v>
      </c>
      <c r="G130" s="43" t="e">
        <f t="shared" si="19"/>
        <v>#VALUE!</v>
      </c>
      <c r="H130" s="43" t="e">
        <f t="shared" ca="1" si="20"/>
        <v>#VALUE!</v>
      </c>
      <c r="I130" s="43">
        <f t="shared" si="21"/>
        <v>0</v>
      </c>
      <c r="J130" s="229">
        <f t="shared" si="24"/>
        <v>25</v>
      </c>
      <c r="K130" s="43">
        <f t="shared" si="25"/>
        <v>0</v>
      </c>
      <c r="M130" s="224"/>
      <c r="N130" s="225">
        <f t="shared" si="26"/>
        <v>0</v>
      </c>
      <c r="O130" s="43" t="e">
        <f t="shared" si="27"/>
        <v>#VALUE!</v>
      </c>
      <c r="P130" s="43" t="e">
        <f>ROUND(IF(Preenchimento!$G$39="Tabela Price",R130-Q130,(O129*(1+$AD$35))/($AD$28-C129)),$P$22)</f>
        <v>#VALUE!</v>
      </c>
      <c r="Q130" s="43" t="e">
        <f>IF(Preenchimento!$G$39="Tabela Price",O129*(1+$AD$35)*W130,O129*(1+SAC!$AD$35)*SAC!W130)</f>
        <v>#VALUE!</v>
      </c>
      <c r="R130" s="43" t="e">
        <f>IF(Preenchimento!$G$39="Tabela Price",IF(C130="","",((((((1+W130)^($Q$16-C129))*W130)/((1+W130)^($Q$16-C129)-1))*(O129*(1+$AD$35))))),Q130+P130)</f>
        <v>#VALUE!</v>
      </c>
      <c r="S130" s="43" t="e">
        <f t="shared" ca="1" si="22"/>
        <v>#VALUE!</v>
      </c>
      <c r="T130" s="43">
        <f t="shared" si="28"/>
        <v>0</v>
      </c>
      <c r="U130" s="226">
        <f>TRUNC(T130*Condições!$C$102,2)</f>
        <v>0</v>
      </c>
      <c r="V130" s="82">
        <f t="shared" ca="1" si="29"/>
        <v>3</v>
      </c>
      <c r="W130" s="231" t="str">
        <f t="shared" si="30"/>
        <v/>
      </c>
      <c r="X130" s="210"/>
      <c r="Y130" s="210"/>
      <c r="Z130" s="210"/>
      <c r="AI130" s="114">
        <f t="shared" si="31"/>
        <v>0</v>
      </c>
      <c r="AJ130" s="113"/>
      <c r="AL130" s="477">
        <f t="shared" ca="1" si="32"/>
        <v>0</v>
      </c>
    </row>
    <row r="131" spans="2:38" ht="12" customHeight="1">
      <c r="B131" s="222">
        <f ca="1">Fixa!B131</f>
        <v>49415</v>
      </c>
      <c r="C131" s="223" t="str">
        <f>Fixa!C131</f>
        <v/>
      </c>
      <c r="D131" s="43" t="e">
        <f t="shared" si="23"/>
        <v>#VALUE!</v>
      </c>
      <c r="E131" s="43" t="e">
        <f t="shared" si="17"/>
        <v>#VALUE!</v>
      </c>
      <c r="F131" s="43" t="e">
        <f t="shared" si="18"/>
        <v>#VALUE!</v>
      </c>
      <c r="G131" s="43" t="e">
        <f t="shared" si="19"/>
        <v>#VALUE!</v>
      </c>
      <c r="H131" s="43" t="e">
        <f t="shared" ca="1" si="20"/>
        <v>#VALUE!</v>
      </c>
      <c r="I131" s="43">
        <f t="shared" si="21"/>
        <v>0</v>
      </c>
      <c r="J131" s="229">
        <f t="shared" si="24"/>
        <v>25</v>
      </c>
      <c r="K131" s="43">
        <f t="shared" si="25"/>
        <v>0</v>
      </c>
      <c r="M131" s="224"/>
      <c r="N131" s="225">
        <f t="shared" si="26"/>
        <v>0</v>
      </c>
      <c r="O131" s="43" t="e">
        <f t="shared" si="27"/>
        <v>#VALUE!</v>
      </c>
      <c r="P131" s="43" t="e">
        <f>ROUND(IF(Preenchimento!$G$39="Tabela Price",R131-Q131,(O130*(1+$AD$35))/($AD$28-C130)),$P$22)</f>
        <v>#VALUE!</v>
      </c>
      <c r="Q131" s="43" t="e">
        <f>IF(Preenchimento!$G$39="Tabela Price",O130*(1+$AD$35)*W131,O130*(1+SAC!$AD$35)*SAC!W131)</f>
        <v>#VALUE!</v>
      </c>
      <c r="R131" s="43" t="e">
        <f>IF(Preenchimento!$G$39="Tabela Price",IF(C131="","",((((((1+W131)^($Q$16-C130))*W131)/((1+W131)^($Q$16-C130)-1))*(O130*(1+$AD$35))))),Q131+P131)</f>
        <v>#VALUE!</v>
      </c>
      <c r="S131" s="43" t="e">
        <f t="shared" ca="1" si="22"/>
        <v>#VALUE!</v>
      </c>
      <c r="T131" s="43">
        <f t="shared" si="28"/>
        <v>0</v>
      </c>
      <c r="U131" s="226">
        <f>TRUNC(T131*Condições!$C$102,2)</f>
        <v>0</v>
      </c>
      <c r="V131" s="82">
        <f t="shared" ca="1" si="29"/>
        <v>4</v>
      </c>
      <c r="W131" s="231" t="str">
        <f t="shared" si="30"/>
        <v/>
      </c>
      <c r="X131" s="210"/>
      <c r="Y131" s="210"/>
      <c r="Z131" s="210"/>
      <c r="AI131" s="114">
        <f t="shared" si="31"/>
        <v>0</v>
      </c>
      <c r="AJ131" s="113"/>
      <c r="AL131" s="477">
        <f t="shared" ca="1" si="32"/>
        <v>0</v>
      </c>
    </row>
    <row r="132" spans="2:38" ht="12" customHeight="1">
      <c r="B132" s="222">
        <f ca="1">Fixa!B132</f>
        <v>49445</v>
      </c>
      <c r="C132" s="223" t="str">
        <f>Fixa!C132</f>
        <v/>
      </c>
      <c r="D132" s="43" t="e">
        <f t="shared" si="23"/>
        <v>#VALUE!</v>
      </c>
      <c r="E132" s="43" t="e">
        <f t="shared" si="17"/>
        <v>#VALUE!</v>
      </c>
      <c r="F132" s="43" t="e">
        <f t="shared" si="18"/>
        <v>#VALUE!</v>
      </c>
      <c r="G132" s="43" t="e">
        <f t="shared" si="19"/>
        <v>#VALUE!</v>
      </c>
      <c r="H132" s="43" t="e">
        <f t="shared" ca="1" si="20"/>
        <v>#VALUE!</v>
      </c>
      <c r="I132" s="43">
        <f t="shared" si="21"/>
        <v>0</v>
      </c>
      <c r="J132" s="229">
        <f t="shared" si="24"/>
        <v>25</v>
      </c>
      <c r="K132" s="43">
        <f t="shared" si="25"/>
        <v>0</v>
      </c>
      <c r="M132" s="224"/>
      <c r="N132" s="225">
        <f t="shared" si="26"/>
        <v>0</v>
      </c>
      <c r="O132" s="43" t="e">
        <f t="shared" si="27"/>
        <v>#VALUE!</v>
      </c>
      <c r="P132" s="43" t="e">
        <f>ROUND(IF(Preenchimento!$G$39="Tabela Price",R132-Q132,(O131*(1+$AD$35))/($AD$28-C131)),$P$22)</f>
        <v>#VALUE!</v>
      </c>
      <c r="Q132" s="43" t="e">
        <f>IF(Preenchimento!$G$39="Tabela Price",O131*(1+$AD$35)*W132,O131*(1+SAC!$AD$35)*SAC!W132)</f>
        <v>#VALUE!</v>
      </c>
      <c r="R132" s="43" t="e">
        <f>IF(Preenchimento!$G$39="Tabela Price",IF(C132="","",((((((1+W132)^($Q$16-C131))*W132)/((1+W132)^($Q$16-C131)-1))*(O131*(1+$AD$35))))),Q132+P132)</f>
        <v>#VALUE!</v>
      </c>
      <c r="S132" s="43" t="e">
        <f t="shared" ca="1" si="22"/>
        <v>#VALUE!</v>
      </c>
      <c r="T132" s="43">
        <f t="shared" si="28"/>
        <v>0</v>
      </c>
      <c r="U132" s="226">
        <f>TRUNC(T132*Condições!$C$102,2)</f>
        <v>0</v>
      </c>
      <c r="V132" s="82">
        <f t="shared" ca="1" si="29"/>
        <v>5</v>
      </c>
      <c r="W132" s="231" t="str">
        <f t="shared" si="30"/>
        <v/>
      </c>
      <c r="X132" s="210"/>
      <c r="Y132" s="210"/>
      <c r="Z132" s="210"/>
      <c r="AI132" s="114">
        <f t="shared" si="31"/>
        <v>0</v>
      </c>
      <c r="AJ132" s="113"/>
      <c r="AL132" s="477">
        <f t="shared" ca="1" si="32"/>
        <v>0</v>
      </c>
    </row>
    <row r="133" spans="2:38" ht="12" customHeight="1">
      <c r="B133" s="222">
        <f ca="1">Fixa!B133</f>
        <v>49476</v>
      </c>
      <c r="C133" s="223" t="str">
        <f>Fixa!C133</f>
        <v/>
      </c>
      <c r="D133" s="43" t="e">
        <f t="shared" si="23"/>
        <v>#VALUE!</v>
      </c>
      <c r="E133" s="43" t="e">
        <f t="shared" si="17"/>
        <v>#VALUE!</v>
      </c>
      <c r="F133" s="43" t="e">
        <f t="shared" si="18"/>
        <v>#VALUE!</v>
      </c>
      <c r="G133" s="43" t="e">
        <f t="shared" si="19"/>
        <v>#VALUE!</v>
      </c>
      <c r="H133" s="43" t="e">
        <f t="shared" ca="1" si="20"/>
        <v>#VALUE!</v>
      </c>
      <c r="I133" s="43">
        <f t="shared" si="21"/>
        <v>0</v>
      </c>
      <c r="J133" s="229">
        <f t="shared" si="24"/>
        <v>25</v>
      </c>
      <c r="K133" s="43">
        <f t="shared" si="25"/>
        <v>0</v>
      </c>
      <c r="M133" s="224"/>
      <c r="N133" s="225">
        <f t="shared" si="26"/>
        <v>0</v>
      </c>
      <c r="O133" s="43" t="e">
        <f t="shared" si="27"/>
        <v>#VALUE!</v>
      </c>
      <c r="P133" s="43" t="e">
        <f>ROUND(IF(Preenchimento!$G$39="Tabela Price",R133-Q133,(O132*(1+$AD$35))/($AD$28-C132)),$P$22)</f>
        <v>#VALUE!</v>
      </c>
      <c r="Q133" s="43" t="e">
        <f>IF(Preenchimento!$G$39="Tabela Price",O132*(1+$AD$35)*W133,O132*(1+SAC!$AD$35)*SAC!W133)</f>
        <v>#VALUE!</v>
      </c>
      <c r="R133" s="43" t="e">
        <f>IF(Preenchimento!$G$39="Tabela Price",IF(C133="","",((((((1+W133)^($Q$16-C132))*W133)/((1+W133)^($Q$16-C132)-1))*(O132*(1+$AD$35))))),Q133+P133)</f>
        <v>#VALUE!</v>
      </c>
      <c r="S133" s="43" t="e">
        <f t="shared" ca="1" si="22"/>
        <v>#VALUE!</v>
      </c>
      <c r="T133" s="43">
        <f t="shared" si="28"/>
        <v>0</v>
      </c>
      <c r="U133" s="226">
        <f>TRUNC(T133*Condições!$C$102,2)</f>
        <v>0</v>
      </c>
      <c r="V133" s="82">
        <f t="shared" ca="1" si="29"/>
        <v>6</v>
      </c>
      <c r="W133" s="231" t="str">
        <f t="shared" si="30"/>
        <v/>
      </c>
      <c r="X133" s="210"/>
      <c r="Y133" s="210"/>
      <c r="Z133" s="210"/>
      <c r="AI133" s="114">
        <f t="shared" si="31"/>
        <v>0</v>
      </c>
      <c r="AJ133" s="113"/>
      <c r="AL133" s="477">
        <f t="shared" ca="1" si="32"/>
        <v>0</v>
      </c>
    </row>
    <row r="134" spans="2:38" ht="12" customHeight="1">
      <c r="B134" s="222">
        <f ca="1">Fixa!B134</f>
        <v>49506</v>
      </c>
      <c r="C134" s="223" t="str">
        <f>Fixa!C134</f>
        <v/>
      </c>
      <c r="D134" s="43" t="e">
        <f t="shared" si="23"/>
        <v>#VALUE!</v>
      </c>
      <c r="E134" s="43" t="e">
        <f t="shared" si="17"/>
        <v>#VALUE!</v>
      </c>
      <c r="F134" s="43" t="e">
        <f t="shared" si="18"/>
        <v>#VALUE!</v>
      </c>
      <c r="G134" s="43" t="e">
        <f t="shared" si="19"/>
        <v>#VALUE!</v>
      </c>
      <c r="H134" s="43" t="e">
        <f t="shared" ca="1" si="20"/>
        <v>#VALUE!</v>
      </c>
      <c r="I134" s="43">
        <f t="shared" si="21"/>
        <v>0</v>
      </c>
      <c r="J134" s="229">
        <f t="shared" si="24"/>
        <v>25</v>
      </c>
      <c r="K134" s="43">
        <f t="shared" si="25"/>
        <v>0</v>
      </c>
      <c r="M134" s="224"/>
      <c r="N134" s="225">
        <f t="shared" si="26"/>
        <v>0</v>
      </c>
      <c r="O134" s="43" t="e">
        <f t="shared" si="27"/>
        <v>#VALUE!</v>
      </c>
      <c r="P134" s="43" t="e">
        <f>ROUND(IF(Preenchimento!$G$39="Tabela Price",R134-Q134,(O133*(1+$AD$35))/($AD$28-C133)),$P$22)</f>
        <v>#VALUE!</v>
      </c>
      <c r="Q134" s="43" t="e">
        <f>IF(Preenchimento!$G$39="Tabela Price",O133*(1+$AD$35)*W134,O133*(1+SAC!$AD$35)*SAC!W134)</f>
        <v>#VALUE!</v>
      </c>
      <c r="R134" s="43" t="e">
        <f>IF(Preenchimento!$G$39="Tabela Price",IF(C134="","",((((((1+W134)^($Q$16-C133))*W134)/((1+W134)^($Q$16-C133)-1))*(O133*(1+$AD$35))))),Q134+P134)</f>
        <v>#VALUE!</v>
      </c>
      <c r="S134" s="43" t="e">
        <f t="shared" ca="1" si="22"/>
        <v>#VALUE!</v>
      </c>
      <c r="T134" s="43">
        <f t="shared" si="28"/>
        <v>0</v>
      </c>
      <c r="U134" s="226">
        <f>TRUNC(T134*Condições!$C$102,2)</f>
        <v>0</v>
      </c>
      <c r="V134" s="82">
        <f t="shared" ca="1" si="29"/>
        <v>7</v>
      </c>
      <c r="W134" s="231" t="str">
        <f t="shared" si="30"/>
        <v/>
      </c>
      <c r="X134" s="210"/>
      <c r="Y134" s="210"/>
      <c r="Z134" s="210"/>
      <c r="AI134" s="114">
        <f t="shared" si="31"/>
        <v>0</v>
      </c>
      <c r="AJ134" s="113"/>
      <c r="AL134" s="477">
        <f t="shared" ca="1" si="32"/>
        <v>0</v>
      </c>
    </row>
    <row r="135" spans="2:38" ht="12" customHeight="1">
      <c r="B135" s="222">
        <f ca="1">Fixa!B135</f>
        <v>49537</v>
      </c>
      <c r="C135" s="223" t="str">
        <f>Fixa!C135</f>
        <v/>
      </c>
      <c r="D135" s="43" t="e">
        <f t="shared" si="23"/>
        <v>#VALUE!</v>
      </c>
      <c r="E135" s="43" t="e">
        <f t="shared" si="17"/>
        <v>#VALUE!</v>
      </c>
      <c r="F135" s="43" t="e">
        <f t="shared" si="18"/>
        <v>#VALUE!</v>
      </c>
      <c r="G135" s="43" t="e">
        <f t="shared" si="19"/>
        <v>#VALUE!</v>
      </c>
      <c r="H135" s="43" t="e">
        <f t="shared" ca="1" si="20"/>
        <v>#VALUE!</v>
      </c>
      <c r="I135" s="43">
        <f t="shared" si="21"/>
        <v>0</v>
      </c>
      <c r="J135" s="229">
        <f t="shared" si="24"/>
        <v>25</v>
      </c>
      <c r="K135" s="43">
        <f t="shared" si="25"/>
        <v>0</v>
      </c>
      <c r="M135" s="224"/>
      <c r="N135" s="225">
        <f t="shared" si="26"/>
        <v>0</v>
      </c>
      <c r="O135" s="43" t="e">
        <f t="shared" si="27"/>
        <v>#VALUE!</v>
      </c>
      <c r="P135" s="43" t="e">
        <f>ROUND(IF(Preenchimento!$G$39="Tabela Price",R135-Q135,(O134*(1+$AD$35))/($AD$28-C134)),$P$22)</f>
        <v>#VALUE!</v>
      </c>
      <c r="Q135" s="43" t="e">
        <f>IF(Preenchimento!$G$39="Tabela Price",O134*(1+$AD$35)*W135,O134*(1+SAC!$AD$35)*SAC!W135)</f>
        <v>#VALUE!</v>
      </c>
      <c r="R135" s="43" t="e">
        <f>IF(Preenchimento!$G$39="Tabela Price",IF(C135="","",((((((1+W135)^($Q$16-C134))*W135)/((1+W135)^($Q$16-C134)-1))*(O134*(1+$AD$35))))),Q135+P135)</f>
        <v>#VALUE!</v>
      </c>
      <c r="S135" s="43" t="e">
        <f t="shared" ca="1" si="22"/>
        <v>#VALUE!</v>
      </c>
      <c r="T135" s="43">
        <f t="shared" si="28"/>
        <v>0</v>
      </c>
      <c r="U135" s="226">
        <f>TRUNC(T135*Condições!$C$102,2)</f>
        <v>0</v>
      </c>
      <c r="V135" s="82">
        <f t="shared" ca="1" si="29"/>
        <v>8</v>
      </c>
      <c r="W135" s="231" t="str">
        <f t="shared" si="30"/>
        <v/>
      </c>
      <c r="X135" s="210"/>
      <c r="Y135" s="210"/>
      <c r="Z135" s="210"/>
      <c r="AI135" s="114">
        <f t="shared" si="31"/>
        <v>0</v>
      </c>
      <c r="AJ135" s="113"/>
      <c r="AL135" s="477">
        <f t="shared" ca="1" si="32"/>
        <v>0</v>
      </c>
    </row>
    <row r="136" spans="2:38" ht="12" customHeight="1">
      <c r="B136" s="222">
        <f ca="1">Fixa!B136</f>
        <v>49568</v>
      </c>
      <c r="C136" s="223" t="str">
        <f>Fixa!C136</f>
        <v/>
      </c>
      <c r="D136" s="43" t="e">
        <f t="shared" si="23"/>
        <v>#VALUE!</v>
      </c>
      <c r="E136" s="43" t="e">
        <f t="shared" si="17"/>
        <v>#VALUE!</v>
      </c>
      <c r="F136" s="43" t="e">
        <f t="shared" si="18"/>
        <v>#VALUE!</v>
      </c>
      <c r="G136" s="43" t="e">
        <f t="shared" si="19"/>
        <v>#VALUE!</v>
      </c>
      <c r="H136" s="43" t="e">
        <f t="shared" ca="1" si="20"/>
        <v>#VALUE!</v>
      </c>
      <c r="I136" s="43">
        <f t="shared" si="21"/>
        <v>0</v>
      </c>
      <c r="J136" s="229">
        <f t="shared" si="24"/>
        <v>25</v>
      </c>
      <c r="K136" s="43">
        <f t="shared" si="25"/>
        <v>0</v>
      </c>
      <c r="M136" s="224"/>
      <c r="N136" s="225">
        <f t="shared" si="26"/>
        <v>0</v>
      </c>
      <c r="O136" s="43" t="e">
        <f t="shared" si="27"/>
        <v>#VALUE!</v>
      </c>
      <c r="P136" s="43" t="e">
        <f>ROUND(IF(Preenchimento!$G$39="Tabela Price",R136-Q136,(O135*(1+$AD$35))/($AD$28-C135)),$P$22)</f>
        <v>#VALUE!</v>
      </c>
      <c r="Q136" s="43" t="e">
        <f>IF(Preenchimento!$G$39="Tabela Price",O135*(1+$AD$35)*W136,O135*(1+SAC!$AD$35)*SAC!W136)</f>
        <v>#VALUE!</v>
      </c>
      <c r="R136" s="43" t="e">
        <f>IF(Preenchimento!$G$39="Tabela Price",IF(C136="","",((((((1+W136)^($Q$16-C135))*W136)/((1+W136)^($Q$16-C135)-1))*(O135*(1+$AD$35))))),Q136+P136)</f>
        <v>#VALUE!</v>
      </c>
      <c r="S136" s="43" t="e">
        <f t="shared" ca="1" si="22"/>
        <v>#VALUE!</v>
      </c>
      <c r="T136" s="43">
        <f t="shared" si="28"/>
        <v>0</v>
      </c>
      <c r="U136" s="226">
        <f>TRUNC(T136*Condições!$C$102,2)</f>
        <v>0</v>
      </c>
      <c r="V136" s="82">
        <f t="shared" ca="1" si="29"/>
        <v>9</v>
      </c>
      <c r="W136" s="231" t="str">
        <f t="shared" si="30"/>
        <v/>
      </c>
      <c r="X136" s="210"/>
      <c r="Y136" s="210"/>
      <c r="Z136" s="210"/>
      <c r="AI136" s="114">
        <f t="shared" si="31"/>
        <v>0</v>
      </c>
      <c r="AJ136" s="113"/>
      <c r="AL136" s="477">
        <f t="shared" ca="1" si="32"/>
        <v>0</v>
      </c>
    </row>
    <row r="137" spans="2:38" ht="12" customHeight="1">
      <c r="B137" s="222">
        <f ca="1">Fixa!B137</f>
        <v>49598</v>
      </c>
      <c r="C137" s="223" t="str">
        <f>Fixa!C137</f>
        <v/>
      </c>
      <c r="D137" s="43" t="e">
        <f t="shared" si="23"/>
        <v>#VALUE!</v>
      </c>
      <c r="E137" s="43" t="e">
        <f t="shared" si="17"/>
        <v>#VALUE!</v>
      </c>
      <c r="F137" s="43" t="e">
        <f t="shared" si="18"/>
        <v>#VALUE!</v>
      </c>
      <c r="G137" s="43" t="e">
        <f t="shared" si="19"/>
        <v>#VALUE!</v>
      </c>
      <c r="H137" s="43" t="e">
        <f t="shared" ca="1" si="20"/>
        <v>#VALUE!</v>
      </c>
      <c r="I137" s="43">
        <f t="shared" si="21"/>
        <v>0</v>
      </c>
      <c r="J137" s="229">
        <f t="shared" si="24"/>
        <v>25</v>
      </c>
      <c r="K137" s="43">
        <f t="shared" si="25"/>
        <v>0</v>
      </c>
      <c r="M137" s="224"/>
      <c r="N137" s="225">
        <f t="shared" si="26"/>
        <v>0</v>
      </c>
      <c r="O137" s="43" t="e">
        <f t="shared" si="27"/>
        <v>#VALUE!</v>
      </c>
      <c r="P137" s="43" t="e">
        <f>ROUND(IF(Preenchimento!$G$39="Tabela Price",R137-Q137,(O136*(1+$AD$35))/($AD$28-C136)),$P$22)</f>
        <v>#VALUE!</v>
      </c>
      <c r="Q137" s="43" t="e">
        <f>IF(Preenchimento!$G$39="Tabela Price",O136*(1+$AD$35)*W137,O136*(1+SAC!$AD$35)*SAC!W137)</f>
        <v>#VALUE!</v>
      </c>
      <c r="R137" s="43" t="e">
        <f>IF(Preenchimento!$G$39="Tabela Price",IF(C137="","",((((((1+W137)^($Q$16-C136))*W137)/((1+W137)^($Q$16-C136)-1))*(O136*(1+$AD$35))))),Q137+P137)</f>
        <v>#VALUE!</v>
      </c>
      <c r="S137" s="43" t="e">
        <f t="shared" ca="1" si="22"/>
        <v>#VALUE!</v>
      </c>
      <c r="T137" s="43">
        <f t="shared" si="28"/>
        <v>0</v>
      </c>
      <c r="U137" s="226">
        <f>TRUNC(T137*Condições!$C$102,2)</f>
        <v>0</v>
      </c>
      <c r="V137" s="82">
        <f t="shared" ca="1" si="29"/>
        <v>10</v>
      </c>
      <c r="W137" s="231" t="str">
        <f t="shared" si="30"/>
        <v/>
      </c>
      <c r="X137" s="210"/>
      <c r="Y137" s="210"/>
      <c r="Z137" s="210"/>
      <c r="AI137" s="114">
        <f t="shared" si="31"/>
        <v>0</v>
      </c>
      <c r="AJ137" s="113"/>
      <c r="AL137" s="477">
        <f t="shared" ca="1" si="32"/>
        <v>0</v>
      </c>
    </row>
    <row r="138" spans="2:38" ht="12" customHeight="1">
      <c r="B138" s="222">
        <f ca="1">Fixa!B138</f>
        <v>49629</v>
      </c>
      <c r="C138" s="223" t="str">
        <f>Fixa!C138</f>
        <v/>
      </c>
      <c r="D138" s="43" t="e">
        <f t="shared" si="23"/>
        <v>#VALUE!</v>
      </c>
      <c r="E138" s="43" t="e">
        <f t="shared" si="17"/>
        <v>#VALUE!</v>
      </c>
      <c r="F138" s="43" t="e">
        <f t="shared" si="18"/>
        <v>#VALUE!</v>
      </c>
      <c r="G138" s="43" t="e">
        <f t="shared" si="19"/>
        <v>#VALUE!</v>
      </c>
      <c r="H138" s="43" t="e">
        <f t="shared" ca="1" si="20"/>
        <v>#VALUE!</v>
      </c>
      <c r="I138" s="43">
        <f t="shared" si="21"/>
        <v>0</v>
      </c>
      <c r="J138" s="229">
        <f t="shared" si="24"/>
        <v>25</v>
      </c>
      <c r="K138" s="43">
        <f t="shared" si="25"/>
        <v>0</v>
      </c>
      <c r="M138" s="224"/>
      <c r="N138" s="225">
        <f t="shared" si="26"/>
        <v>0</v>
      </c>
      <c r="O138" s="43" t="e">
        <f t="shared" si="27"/>
        <v>#VALUE!</v>
      </c>
      <c r="P138" s="43" t="e">
        <f>ROUND(IF(Preenchimento!$G$39="Tabela Price",R138-Q138,(O137*(1+$AD$35))/($AD$28-C137)),$P$22)</f>
        <v>#VALUE!</v>
      </c>
      <c r="Q138" s="43" t="e">
        <f>IF(Preenchimento!$G$39="Tabela Price",O137*(1+$AD$35)*W138,O137*(1+SAC!$AD$35)*SAC!W138)</f>
        <v>#VALUE!</v>
      </c>
      <c r="R138" s="43" t="e">
        <f>IF(Preenchimento!$G$39="Tabela Price",IF(C138="","",((((((1+W138)^($Q$16-C137))*W138)/((1+W138)^($Q$16-C137)-1))*(O137*(1+$AD$35))))),Q138+P138)</f>
        <v>#VALUE!</v>
      </c>
      <c r="S138" s="43" t="e">
        <f t="shared" ca="1" si="22"/>
        <v>#VALUE!</v>
      </c>
      <c r="T138" s="43">
        <f t="shared" si="28"/>
        <v>0</v>
      </c>
      <c r="U138" s="226">
        <f>TRUNC(T138*Condições!$C$102,2)</f>
        <v>0</v>
      </c>
      <c r="V138" s="82">
        <f t="shared" ca="1" si="29"/>
        <v>11</v>
      </c>
      <c r="W138" s="231" t="str">
        <f t="shared" si="30"/>
        <v/>
      </c>
      <c r="X138" s="210"/>
      <c r="Y138" s="210"/>
      <c r="Z138" s="210"/>
      <c r="AI138" s="114">
        <f t="shared" si="31"/>
        <v>0</v>
      </c>
      <c r="AJ138" s="113"/>
      <c r="AL138" s="477">
        <f t="shared" ca="1" si="32"/>
        <v>0</v>
      </c>
    </row>
    <row r="139" spans="2:38" ht="12" customHeight="1">
      <c r="B139" s="222">
        <f ca="1">Fixa!B139</f>
        <v>49659</v>
      </c>
      <c r="C139" s="223" t="str">
        <f>Fixa!C139</f>
        <v/>
      </c>
      <c r="D139" s="43" t="e">
        <f t="shared" si="23"/>
        <v>#VALUE!</v>
      </c>
      <c r="E139" s="43" t="e">
        <f t="shared" si="17"/>
        <v>#VALUE!</v>
      </c>
      <c r="F139" s="43" t="e">
        <f t="shared" si="18"/>
        <v>#VALUE!</v>
      </c>
      <c r="G139" s="43" t="e">
        <f t="shared" si="19"/>
        <v>#VALUE!</v>
      </c>
      <c r="H139" s="43" t="e">
        <f t="shared" ca="1" si="20"/>
        <v>#VALUE!</v>
      </c>
      <c r="I139" s="43">
        <f t="shared" si="21"/>
        <v>0</v>
      </c>
      <c r="J139" s="229">
        <f t="shared" si="24"/>
        <v>25</v>
      </c>
      <c r="K139" s="43">
        <f t="shared" si="25"/>
        <v>0</v>
      </c>
      <c r="M139" s="224"/>
      <c r="N139" s="225">
        <f t="shared" si="26"/>
        <v>0</v>
      </c>
      <c r="O139" s="43" t="e">
        <f t="shared" si="27"/>
        <v>#VALUE!</v>
      </c>
      <c r="P139" s="43" t="e">
        <f>ROUND(IF(Preenchimento!$G$39="Tabela Price",R139-Q139,(O138*(1+$AD$35))/($AD$28-C138)),$P$22)</f>
        <v>#VALUE!</v>
      </c>
      <c r="Q139" s="43" t="e">
        <f>IF(Preenchimento!$G$39="Tabela Price",O138*(1+$AD$35)*W139,O138*(1+SAC!$AD$35)*SAC!W139)</f>
        <v>#VALUE!</v>
      </c>
      <c r="R139" s="43" t="e">
        <f>IF(Preenchimento!$G$39="Tabela Price",IF(C139="","",((((((1+W139)^($Q$16-C138))*W139)/((1+W139)^($Q$16-C138)-1))*(O138*(1+$AD$35))))),Q139+P139)</f>
        <v>#VALUE!</v>
      </c>
      <c r="S139" s="43" t="e">
        <f t="shared" ca="1" si="22"/>
        <v>#VALUE!</v>
      </c>
      <c r="T139" s="43">
        <f t="shared" si="28"/>
        <v>0</v>
      </c>
      <c r="U139" s="226">
        <f>TRUNC(T139*Condições!$C$102,2)</f>
        <v>0</v>
      </c>
      <c r="V139" s="82">
        <f t="shared" ca="1" si="29"/>
        <v>12</v>
      </c>
      <c r="W139" s="231" t="str">
        <f t="shared" si="30"/>
        <v/>
      </c>
      <c r="X139" s="210"/>
      <c r="Y139" s="210"/>
      <c r="Z139" s="210"/>
      <c r="AI139" s="114">
        <f t="shared" si="31"/>
        <v>0</v>
      </c>
      <c r="AJ139" s="113"/>
      <c r="AL139" s="477">
        <f t="shared" ca="1" si="32"/>
        <v>0</v>
      </c>
    </row>
    <row r="140" spans="2:38" ht="12" customHeight="1">
      <c r="B140" s="222">
        <f ca="1">Fixa!B140</f>
        <v>49690</v>
      </c>
      <c r="C140" s="223" t="str">
        <f>Fixa!C140</f>
        <v/>
      </c>
      <c r="D140" s="43" t="e">
        <f t="shared" si="23"/>
        <v>#VALUE!</v>
      </c>
      <c r="E140" s="43" t="e">
        <f t="shared" si="17"/>
        <v>#VALUE!</v>
      </c>
      <c r="F140" s="43" t="e">
        <f t="shared" si="18"/>
        <v>#VALUE!</v>
      </c>
      <c r="G140" s="43" t="e">
        <f t="shared" si="19"/>
        <v>#VALUE!</v>
      </c>
      <c r="H140" s="43" t="e">
        <f t="shared" ca="1" si="20"/>
        <v>#VALUE!</v>
      </c>
      <c r="I140" s="43">
        <f t="shared" si="21"/>
        <v>0</v>
      </c>
      <c r="J140" s="229">
        <f t="shared" si="24"/>
        <v>25</v>
      </c>
      <c r="K140" s="43">
        <f t="shared" si="25"/>
        <v>0</v>
      </c>
      <c r="M140" s="224"/>
      <c r="N140" s="225">
        <f t="shared" si="26"/>
        <v>0</v>
      </c>
      <c r="O140" s="43" t="e">
        <f t="shared" si="27"/>
        <v>#VALUE!</v>
      </c>
      <c r="P140" s="43" t="e">
        <f>ROUND(IF(Preenchimento!$G$39="Tabela Price",R140-Q140,(O139*(1+$AD$35))/($AD$28-C139)),$P$22)</f>
        <v>#VALUE!</v>
      </c>
      <c r="Q140" s="43" t="e">
        <f>IF(Preenchimento!$G$39="Tabela Price",O139*(1+$AD$35)*W140,O139*(1+SAC!$AD$35)*SAC!W140)</f>
        <v>#VALUE!</v>
      </c>
      <c r="R140" s="43" t="e">
        <f>IF(Preenchimento!$G$39="Tabela Price",IF(C140="","",((((((1+W140)^($Q$16-C139))*W140)/((1+W140)^($Q$16-C139)-1))*(O139*(1+$AD$35))))),Q140+P140)</f>
        <v>#VALUE!</v>
      </c>
      <c r="S140" s="43" t="e">
        <f t="shared" ca="1" si="22"/>
        <v>#VALUE!</v>
      </c>
      <c r="T140" s="43">
        <f t="shared" si="28"/>
        <v>0</v>
      </c>
      <c r="U140" s="226">
        <f>TRUNC(T140*Condições!$C$102,2)</f>
        <v>0</v>
      </c>
      <c r="V140" s="82">
        <f t="shared" ca="1" si="29"/>
        <v>1</v>
      </c>
      <c r="W140" s="231" t="str">
        <f t="shared" si="30"/>
        <v/>
      </c>
      <c r="X140" s="210"/>
      <c r="Y140" s="210"/>
      <c r="Z140" s="210"/>
      <c r="AI140" s="114">
        <f t="shared" si="31"/>
        <v>0</v>
      </c>
      <c r="AJ140" s="113"/>
      <c r="AL140" s="477">
        <f t="shared" ca="1" si="32"/>
        <v>0</v>
      </c>
    </row>
    <row r="141" spans="2:38" ht="12" customHeight="1">
      <c r="B141" s="222">
        <f ca="1">Fixa!B141</f>
        <v>49721</v>
      </c>
      <c r="C141" s="223" t="str">
        <f>Fixa!C141</f>
        <v/>
      </c>
      <c r="D141" s="43" t="e">
        <f t="shared" si="23"/>
        <v>#VALUE!</v>
      </c>
      <c r="E141" s="43" t="e">
        <f t="shared" si="17"/>
        <v>#VALUE!</v>
      </c>
      <c r="F141" s="43" t="e">
        <f t="shared" si="18"/>
        <v>#VALUE!</v>
      </c>
      <c r="G141" s="43" t="e">
        <f t="shared" si="19"/>
        <v>#VALUE!</v>
      </c>
      <c r="H141" s="43" t="e">
        <f t="shared" ca="1" si="20"/>
        <v>#VALUE!</v>
      </c>
      <c r="I141" s="43">
        <f t="shared" si="21"/>
        <v>0</v>
      </c>
      <c r="J141" s="229">
        <f t="shared" si="24"/>
        <v>25</v>
      </c>
      <c r="K141" s="43">
        <f t="shared" si="25"/>
        <v>0</v>
      </c>
      <c r="M141" s="224"/>
      <c r="N141" s="225">
        <f t="shared" si="26"/>
        <v>0</v>
      </c>
      <c r="O141" s="43" t="e">
        <f t="shared" si="27"/>
        <v>#VALUE!</v>
      </c>
      <c r="P141" s="43" t="e">
        <f>ROUND(IF(Preenchimento!$G$39="Tabela Price",R141-Q141,(O140*(1+$AD$35))/($AD$28-C140)),$P$22)</f>
        <v>#VALUE!</v>
      </c>
      <c r="Q141" s="43" t="e">
        <f>IF(Preenchimento!$G$39="Tabela Price",O140*(1+$AD$35)*W141,O140*(1+SAC!$AD$35)*SAC!W141)</f>
        <v>#VALUE!</v>
      </c>
      <c r="R141" s="43" t="e">
        <f>IF(Preenchimento!$G$39="Tabela Price",IF(C141="","",((((((1+W141)^($Q$16-C140))*W141)/((1+W141)^($Q$16-C140)-1))*(O140*(1+$AD$35))))),Q141+P141)</f>
        <v>#VALUE!</v>
      </c>
      <c r="S141" s="43" t="e">
        <f t="shared" ca="1" si="22"/>
        <v>#VALUE!</v>
      </c>
      <c r="T141" s="43">
        <f t="shared" si="28"/>
        <v>0</v>
      </c>
      <c r="U141" s="226">
        <f>TRUNC(T141*Condições!$C$102,2)</f>
        <v>0</v>
      </c>
      <c r="V141" s="82">
        <f t="shared" ca="1" si="29"/>
        <v>2</v>
      </c>
      <c r="W141" s="231" t="str">
        <f t="shared" si="30"/>
        <v/>
      </c>
      <c r="X141" s="210"/>
      <c r="Y141" s="210"/>
      <c r="Z141" s="210"/>
      <c r="AI141" s="114">
        <f t="shared" si="31"/>
        <v>0</v>
      </c>
      <c r="AJ141" s="113"/>
      <c r="AL141" s="477">
        <f t="shared" ca="1" si="32"/>
        <v>0</v>
      </c>
    </row>
    <row r="142" spans="2:38" ht="12" customHeight="1">
      <c r="B142" s="222">
        <f ca="1">Fixa!B142</f>
        <v>49750</v>
      </c>
      <c r="C142" s="223" t="str">
        <f>Fixa!C142</f>
        <v/>
      </c>
      <c r="D142" s="43" t="e">
        <f t="shared" si="23"/>
        <v>#VALUE!</v>
      </c>
      <c r="E142" s="43" t="e">
        <f t="shared" si="17"/>
        <v>#VALUE!</v>
      </c>
      <c r="F142" s="43" t="e">
        <f t="shared" si="18"/>
        <v>#VALUE!</v>
      </c>
      <c r="G142" s="43" t="e">
        <f t="shared" si="19"/>
        <v>#VALUE!</v>
      </c>
      <c r="H142" s="43" t="e">
        <f t="shared" ca="1" si="20"/>
        <v>#VALUE!</v>
      </c>
      <c r="I142" s="43">
        <f t="shared" si="21"/>
        <v>0</v>
      </c>
      <c r="J142" s="229">
        <f t="shared" si="24"/>
        <v>25</v>
      </c>
      <c r="K142" s="43">
        <f t="shared" si="25"/>
        <v>0</v>
      </c>
      <c r="M142" s="224"/>
      <c r="N142" s="225">
        <f t="shared" si="26"/>
        <v>0</v>
      </c>
      <c r="O142" s="43" t="e">
        <f t="shared" si="27"/>
        <v>#VALUE!</v>
      </c>
      <c r="P142" s="43" t="e">
        <f>ROUND(IF(Preenchimento!$G$39="Tabela Price",R142-Q142,(O141*(1+$AD$35))/($AD$28-C141)),$P$22)</f>
        <v>#VALUE!</v>
      </c>
      <c r="Q142" s="43" t="e">
        <f>IF(Preenchimento!$G$39="Tabela Price",O141*(1+$AD$35)*W142,O141*(1+SAC!$AD$35)*SAC!W142)</f>
        <v>#VALUE!</v>
      </c>
      <c r="R142" s="43" t="e">
        <f>IF(Preenchimento!$G$39="Tabela Price",IF(C142="","",((((((1+W142)^($Q$16-C141))*W142)/((1+W142)^($Q$16-C141)-1))*(O141*(1+$AD$35))))),Q142+P142)</f>
        <v>#VALUE!</v>
      </c>
      <c r="S142" s="43" t="e">
        <f t="shared" ca="1" si="22"/>
        <v>#VALUE!</v>
      </c>
      <c r="T142" s="43">
        <f t="shared" si="28"/>
        <v>0</v>
      </c>
      <c r="U142" s="226">
        <f>TRUNC(T142*Condições!$C$102,2)</f>
        <v>0</v>
      </c>
      <c r="V142" s="82">
        <f t="shared" ca="1" si="29"/>
        <v>3</v>
      </c>
      <c r="W142" s="231" t="str">
        <f t="shared" si="30"/>
        <v/>
      </c>
      <c r="X142" s="210"/>
      <c r="Y142" s="210"/>
      <c r="Z142" s="210"/>
      <c r="AI142" s="114">
        <f t="shared" si="31"/>
        <v>0</v>
      </c>
      <c r="AJ142" s="113"/>
      <c r="AL142" s="477">
        <f t="shared" ca="1" si="32"/>
        <v>0</v>
      </c>
    </row>
    <row r="143" spans="2:38" ht="12" customHeight="1">
      <c r="B143" s="222">
        <f ca="1">Fixa!B143</f>
        <v>49781</v>
      </c>
      <c r="C143" s="223" t="str">
        <f>Fixa!C143</f>
        <v/>
      </c>
      <c r="D143" s="43" t="e">
        <f t="shared" si="23"/>
        <v>#VALUE!</v>
      </c>
      <c r="E143" s="43" t="e">
        <f t="shared" si="17"/>
        <v>#VALUE!</v>
      </c>
      <c r="F143" s="43" t="e">
        <f t="shared" si="18"/>
        <v>#VALUE!</v>
      </c>
      <c r="G143" s="43" t="e">
        <f t="shared" si="19"/>
        <v>#VALUE!</v>
      </c>
      <c r="H143" s="43" t="e">
        <f t="shared" ca="1" si="20"/>
        <v>#VALUE!</v>
      </c>
      <c r="I143" s="43">
        <f t="shared" si="21"/>
        <v>0</v>
      </c>
      <c r="J143" s="229">
        <f t="shared" si="24"/>
        <v>25</v>
      </c>
      <c r="K143" s="43">
        <f t="shared" si="25"/>
        <v>0</v>
      </c>
      <c r="M143" s="224"/>
      <c r="N143" s="225">
        <f t="shared" si="26"/>
        <v>0</v>
      </c>
      <c r="O143" s="43" t="e">
        <f t="shared" si="27"/>
        <v>#VALUE!</v>
      </c>
      <c r="P143" s="43" t="e">
        <f>ROUND(IF(Preenchimento!$G$39="Tabela Price",R143-Q143,(O142*(1+$AD$35))/($AD$28-C142)),$P$22)</f>
        <v>#VALUE!</v>
      </c>
      <c r="Q143" s="43" t="e">
        <f>IF(Preenchimento!$G$39="Tabela Price",O142*(1+$AD$35)*W143,O142*(1+SAC!$AD$35)*SAC!W143)</f>
        <v>#VALUE!</v>
      </c>
      <c r="R143" s="43" t="e">
        <f>IF(Preenchimento!$G$39="Tabela Price",IF(C143="","",((((((1+W143)^($Q$16-C142))*W143)/((1+W143)^($Q$16-C142)-1))*(O142*(1+$AD$35))))),Q143+P143)</f>
        <v>#VALUE!</v>
      </c>
      <c r="S143" s="43" t="e">
        <f t="shared" ca="1" si="22"/>
        <v>#VALUE!</v>
      </c>
      <c r="T143" s="43">
        <f t="shared" si="28"/>
        <v>0</v>
      </c>
      <c r="U143" s="226">
        <f>TRUNC(T143*Condições!$C$102,2)</f>
        <v>0</v>
      </c>
      <c r="V143" s="82">
        <f t="shared" ca="1" si="29"/>
        <v>4</v>
      </c>
      <c r="W143" s="231" t="str">
        <f t="shared" si="30"/>
        <v/>
      </c>
      <c r="X143" s="210"/>
      <c r="Y143" s="210"/>
      <c r="Z143" s="210"/>
      <c r="AI143" s="114">
        <f t="shared" si="31"/>
        <v>0</v>
      </c>
      <c r="AJ143" s="113"/>
      <c r="AL143" s="477">
        <f t="shared" ca="1" si="32"/>
        <v>0</v>
      </c>
    </row>
    <row r="144" spans="2:38" ht="12" customHeight="1">
      <c r="B144" s="222">
        <f ca="1">Fixa!B144</f>
        <v>49811</v>
      </c>
      <c r="C144" s="223" t="str">
        <f>Fixa!C144</f>
        <v/>
      </c>
      <c r="D144" s="43" t="e">
        <f t="shared" si="23"/>
        <v>#VALUE!</v>
      </c>
      <c r="E144" s="43" t="e">
        <f t="shared" si="17"/>
        <v>#VALUE!</v>
      </c>
      <c r="F144" s="43" t="e">
        <f t="shared" si="18"/>
        <v>#VALUE!</v>
      </c>
      <c r="G144" s="43" t="e">
        <f t="shared" si="19"/>
        <v>#VALUE!</v>
      </c>
      <c r="H144" s="43" t="e">
        <f t="shared" ca="1" si="20"/>
        <v>#VALUE!</v>
      </c>
      <c r="I144" s="43">
        <f t="shared" si="21"/>
        <v>0</v>
      </c>
      <c r="J144" s="229">
        <f t="shared" si="24"/>
        <v>25</v>
      </c>
      <c r="K144" s="43">
        <f t="shared" si="25"/>
        <v>0</v>
      </c>
      <c r="M144" s="224"/>
      <c r="N144" s="225">
        <f t="shared" si="26"/>
        <v>0</v>
      </c>
      <c r="O144" s="43" t="e">
        <f t="shared" si="27"/>
        <v>#VALUE!</v>
      </c>
      <c r="P144" s="43" t="e">
        <f>ROUND(IF(Preenchimento!$G$39="Tabela Price",R144-Q144,(O143*(1+$AD$35))/($AD$28-C143)),$P$22)</f>
        <v>#VALUE!</v>
      </c>
      <c r="Q144" s="43" t="e">
        <f>IF(Preenchimento!$G$39="Tabela Price",O143*(1+$AD$35)*W144,O143*(1+SAC!$AD$35)*SAC!W144)</f>
        <v>#VALUE!</v>
      </c>
      <c r="R144" s="43" t="e">
        <f>IF(Preenchimento!$G$39="Tabela Price",IF(C144="","",((((((1+W144)^($Q$16-C143))*W144)/((1+W144)^($Q$16-C143)-1))*(O143*(1+$AD$35))))),Q144+P144)</f>
        <v>#VALUE!</v>
      </c>
      <c r="S144" s="43" t="e">
        <f t="shared" ca="1" si="22"/>
        <v>#VALUE!</v>
      </c>
      <c r="T144" s="43">
        <f t="shared" si="28"/>
        <v>0</v>
      </c>
      <c r="U144" s="226">
        <f>TRUNC(T144*Condições!$C$102,2)</f>
        <v>0</v>
      </c>
      <c r="V144" s="82">
        <f t="shared" ca="1" si="29"/>
        <v>5</v>
      </c>
      <c r="W144" s="231" t="str">
        <f t="shared" si="30"/>
        <v/>
      </c>
      <c r="X144" s="210"/>
      <c r="Y144" s="210"/>
      <c r="Z144" s="210"/>
      <c r="AI144" s="114">
        <f t="shared" si="31"/>
        <v>0</v>
      </c>
      <c r="AJ144" s="113"/>
      <c r="AL144" s="477">
        <f t="shared" ca="1" si="32"/>
        <v>0</v>
      </c>
    </row>
    <row r="145" spans="2:38" ht="12" customHeight="1">
      <c r="B145" s="222">
        <f ca="1">Fixa!B145</f>
        <v>49842</v>
      </c>
      <c r="C145" s="223" t="str">
        <f>Fixa!C145</f>
        <v/>
      </c>
      <c r="D145" s="43" t="e">
        <f t="shared" si="23"/>
        <v>#VALUE!</v>
      </c>
      <c r="E145" s="43" t="e">
        <f t="shared" si="17"/>
        <v>#VALUE!</v>
      </c>
      <c r="F145" s="43" t="e">
        <f t="shared" si="18"/>
        <v>#VALUE!</v>
      </c>
      <c r="G145" s="43" t="e">
        <f t="shared" si="19"/>
        <v>#VALUE!</v>
      </c>
      <c r="H145" s="43" t="e">
        <f t="shared" ca="1" si="20"/>
        <v>#VALUE!</v>
      </c>
      <c r="I145" s="43">
        <f t="shared" si="21"/>
        <v>0</v>
      </c>
      <c r="J145" s="229">
        <f t="shared" si="24"/>
        <v>25</v>
      </c>
      <c r="K145" s="43">
        <f t="shared" si="25"/>
        <v>0</v>
      </c>
      <c r="M145" s="224"/>
      <c r="N145" s="225">
        <f t="shared" si="26"/>
        <v>0</v>
      </c>
      <c r="O145" s="43" t="e">
        <f t="shared" si="27"/>
        <v>#VALUE!</v>
      </c>
      <c r="P145" s="43" t="e">
        <f>ROUND(IF(Preenchimento!$G$39="Tabela Price",R145-Q145,(O144*(1+$AD$35))/($AD$28-C144)),$P$22)</f>
        <v>#VALUE!</v>
      </c>
      <c r="Q145" s="43" t="e">
        <f>IF(Preenchimento!$G$39="Tabela Price",O144*(1+$AD$35)*W145,O144*(1+SAC!$AD$35)*SAC!W145)</f>
        <v>#VALUE!</v>
      </c>
      <c r="R145" s="43" t="e">
        <f>IF(Preenchimento!$G$39="Tabela Price",IF(C145="","",((((((1+W145)^($Q$16-C144))*W145)/((1+W145)^($Q$16-C144)-1))*(O144*(1+$AD$35))))),Q145+P145)</f>
        <v>#VALUE!</v>
      </c>
      <c r="S145" s="43" t="e">
        <f t="shared" ca="1" si="22"/>
        <v>#VALUE!</v>
      </c>
      <c r="T145" s="43">
        <f t="shared" si="28"/>
        <v>0</v>
      </c>
      <c r="U145" s="226">
        <f>TRUNC(T145*Condições!$C$102,2)</f>
        <v>0</v>
      </c>
      <c r="V145" s="82">
        <f t="shared" ca="1" si="29"/>
        <v>6</v>
      </c>
      <c r="W145" s="231" t="str">
        <f t="shared" si="30"/>
        <v/>
      </c>
      <c r="X145" s="210"/>
      <c r="Y145" s="210"/>
      <c r="Z145" s="210"/>
      <c r="AI145" s="114">
        <f t="shared" si="31"/>
        <v>0</v>
      </c>
      <c r="AJ145" s="113"/>
      <c r="AL145" s="477">
        <f t="shared" ca="1" si="32"/>
        <v>0</v>
      </c>
    </row>
    <row r="146" spans="2:38" ht="12" customHeight="1">
      <c r="B146" s="222">
        <f ca="1">Fixa!B146</f>
        <v>49872</v>
      </c>
      <c r="C146" s="223" t="str">
        <f>Fixa!C146</f>
        <v/>
      </c>
      <c r="D146" s="43" t="e">
        <f t="shared" si="23"/>
        <v>#VALUE!</v>
      </c>
      <c r="E146" s="43" t="e">
        <f t="shared" si="17"/>
        <v>#VALUE!</v>
      </c>
      <c r="F146" s="43" t="e">
        <f t="shared" si="18"/>
        <v>#VALUE!</v>
      </c>
      <c r="G146" s="43" t="e">
        <f t="shared" si="19"/>
        <v>#VALUE!</v>
      </c>
      <c r="H146" s="43" t="e">
        <f t="shared" ca="1" si="20"/>
        <v>#VALUE!</v>
      </c>
      <c r="I146" s="43">
        <f t="shared" si="21"/>
        <v>0</v>
      </c>
      <c r="J146" s="229">
        <f t="shared" si="24"/>
        <v>25</v>
      </c>
      <c r="K146" s="43">
        <f t="shared" si="25"/>
        <v>0</v>
      </c>
      <c r="M146" s="224"/>
      <c r="N146" s="225">
        <f t="shared" si="26"/>
        <v>0</v>
      </c>
      <c r="O146" s="43" t="e">
        <f t="shared" si="27"/>
        <v>#VALUE!</v>
      </c>
      <c r="P146" s="43" t="e">
        <f>ROUND(IF(Preenchimento!$G$39="Tabela Price",R146-Q146,(O145*(1+$AD$35))/($AD$28-C145)),$P$22)</f>
        <v>#VALUE!</v>
      </c>
      <c r="Q146" s="43" t="e">
        <f>IF(Preenchimento!$G$39="Tabela Price",O145*(1+$AD$35)*W146,O145*(1+SAC!$AD$35)*SAC!W146)</f>
        <v>#VALUE!</v>
      </c>
      <c r="R146" s="43" t="e">
        <f>IF(Preenchimento!$G$39="Tabela Price",IF(C146="","",((((((1+W146)^($Q$16-C145))*W146)/((1+W146)^($Q$16-C145)-1))*(O145*(1+$AD$35))))),Q146+P146)</f>
        <v>#VALUE!</v>
      </c>
      <c r="S146" s="43" t="e">
        <f t="shared" ca="1" si="22"/>
        <v>#VALUE!</v>
      </c>
      <c r="T146" s="43">
        <f t="shared" si="28"/>
        <v>0</v>
      </c>
      <c r="U146" s="226">
        <f>TRUNC(T146*Condições!$C$102,2)</f>
        <v>0</v>
      </c>
      <c r="V146" s="82">
        <f t="shared" ca="1" si="29"/>
        <v>7</v>
      </c>
      <c r="W146" s="231" t="str">
        <f t="shared" si="30"/>
        <v/>
      </c>
      <c r="X146" s="210"/>
      <c r="Y146" s="210"/>
      <c r="Z146" s="210"/>
      <c r="AI146" s="114">
        <f t="shared" si="31"/>
        <v>0</v>
      </c>
      <c r="AJ146" s="113"/>
      <c r="AL146" s="477">
        <f t="shared" ca="1" si="32"/>
        <v>0</v>
      </c>
    </row>
    <row r="147" spans="2:38" ht="12" customHeight="1">
      <c r="B147" s="222">
        <f ca="1">Fixa!B147</f>
        <v>49903</v>
      </c>
      <c r="C147" s="223" t="str">
        <f>Fixa!C147</f>
        <v/>
      </c>
      <c r="D147" s="43" t="e">
        <f t="shared" si="23"/>
        <v>#VALUE!</v>
      </c>
      <c r="E147" s="43" t="e">
        <f t="shared" si="17"/>
        <v>#VALUE!</v>
      </c>
      <c r="F147" s="43" t="e">
        <f t="shared" si="18"/>
        <v>#VALUE!</v>
      </c>
      <c r="G147" s="43" t="e">
        <f t="shared" si="19"/>
        <v>#VALUE!</v>
      </c>
      <c r="H147" s="43" t="e">
        <f t="shared" ca="1" si="20"/>
        <v>#VALUE!</v>
      </c>
      <c r="I147" s="43">
        <f t="shared" si="21"/>
        <v>0</v>
      </c>
      <c r="J147" s="229">
        <f t="shared" si="24"/>
        <v>25</v>
      </c>
      <c r="K147" s="43">
        <f t="shared" si="25"/>
        <v>0</v>
      </c>
      <c r="M147" s="224"/>
      <c r="N147" s="225">
        <f t="shared" si="26"/>
        <v>0</v>
      </c>
      <c r="O147" s="43" t="e">
        <f t="shared" si="27"/>
        <v>#VALUE!</v>
      </c>
      <c r="P147" s="43" t="e">
        <f>ROUND(IF(Preenchimento!$G$39="Tabela Price",R147-Q147,(O146*(1+$AD$35))/($AD$28-C146)),$P$22)</f>
        <v>#VALUE!</v>
      </c>
      <c r="Q147" s="43" t="e">
        <f>IF(Preenchimento!$G$39="Tabela Price",O146*(1+$AD$35)*W147,O146*(1+SAC!$AD$35)*SAC!W147)</f>
        <v>#VALUE!</v>
      </c>
      <c r="R147" s="43" t="e">
        <f>IF(Preenchimento!$G$39="Tabela Price",IF(C147="","",((((((1+W147)^($Q$16-C146))*W147)/((1+W147)^($Q$16-C146)-1))*(O146*(1+$AD$35))))),Q147+P147)</f>
        <v>#VALUE!</v>
      </c>
      <c r="S147" s="43" t="e">
        <f t="shared" ca="1" si="22"/>
        <v>#VALUE!</v>
      </c>
      <c r="T147" s="43">
        <f t="shared" si="28"/>
        <v>0</v>
      </c>
      <c r="U147" s="226">
        <f>TRUNC(T147*Condições!$C$102,2)</f>
        <v>0</v>
      </c>
      <c r="V147" s="82">
        <f t="shared" ca="1" si="29"/>
        <v>8</v>
      </c>
      <c r="W147" s="231" t="str">
        <f t="shared" si="30"/>
        <v/>
      </c>
      <c r="X147" s="210"/>
      <c r="Y147" s="210"/>
      <c r="Z147" s="210"/>
      <c r="AI147" s="114">
        <f t="shared" si="31"/>
        <v>0</v>
      </c>
      <c r="AJ147" s="113"/>
      <c r="AL147" s="477">
        <f t="shared" ca="1" si="32"/>
        <v>0</v>
      </c>
    </row>
    <row r="148" spans="2:38" ht="12" customHeight="1">
      <c r="B148" s="222">
        <f ca="1">Fixa!B148</f>
        <v>49934</v>
      </c>
      <c r="C148" s="223" t="str">
        <f>Fixa!C148</f>
        <v/>
      </c>
      <c r="D148" s="43" t="e">
        <f t="shared" si="23"/>
        <v>#VALUE!</v>
      </c>
      <c r="E148" s="43" t="e">
        <f t="shared" si="17"/>
        <v>#VALUE!</v>
      </c>
      <c r="F148" s="43" t="e">
        <f t="shared" si="18"/>
        <v>#VALUE!</v>
      </c>
      <c r="G148" s="43" t="e">
        <f t="shared" si="19"/>
        <v>#VALUE!</v>
      </c>
      <c r="H148" s="43" t="e">
        <f t="shared" ca="1" si="20"/>
        <v>#VALUE!</v>
      </c>
      <c r="I148" s="43">
        <f t="shared" si="21"/>
        <v>0</v>
      </c>
      <c r="J148" s="229">
        <f t="shared" si="24"/>
        <v>25</v>
      </c>
      <c r="K148" s="43">
        <f t="shared" si="25"/>
        <v>0</v>
      </c>
      <c r="M148" s="224"/>
      <c r="N148" s="225">
        <f t="shared" si="26"/>
        <v>0</v>
      </c>
      <c r="O148" s="43" t="e">
        <f t="shared" si="27"/>
        <v>#VALUE!</v>
      </c>
      <c r="P148" s="43" t="e">
        <f>ROUND(IF(Preenchimento!$G$39="Tabela Price",R148-Q148,(O147*(1+$AD$35))/($AD$28-C147)),$P$22)</f>
        <v>#VALUE!</v>
      </c>
      <c r="Q148" s="43" t="e">
        <f>IF(Preenchimento!$G$39="Tabela Price",O147*(1+$AD$35)*W148,O147*(1+SAC!$AD$35)*SAC!W148)</f>
        <v>#VALUE!</v>
      </c>
      <c r="R148" s="43" t="e">
        <f>IF(Preenchimento!$G$39="Tabela Price",IF(C148="","",((((((1+W148)^($Q$16-C147))*W148)/((1+W148)^($Q$16-C147)-1))*(O147*(1+$AD$35))))),Q148+P148)</f>
        <v>#VALUE!</v>
      </c>
      <c r="S148" s="43" t="e">
        <f t="shared" ca="1" si="22"/>
        <v>#VALUE!</v>
      </c>
      <c r="T148" s="43">
        <f t="shared" si="28"/>
        <v>0</v>
      </c>
      <c r="U148" s="226">
        <f>TRUNC(T148*Condições!$C$102,2)</f>
        <v>0</v>
      </c>
      <c r="V148" s="82">
        <f t="shared" ca="1" si="29"/>
        <v>9</v>
      </c>
      <c r="W148" s="231" t="str">
        <f t="shared" si="30"/>
        <v/>
      </c>
      <c r="X148" s="210"/>
      <c r="Y148" s="210"/>
      <c r="Z148" s="210"/>
      <c r="AI148" s="114">
        <f t="shared" si="31"/>
        <v>0</v>
      </c>
      <c r="AJ148" s="113"/>
      <c r="AL148" s="477">
        <f t="shared" ca="1" si="32"/>
        <v>0</v>
      </c>
    </row>
    <row r="149" spans="2:38" ht="12" customHeight="1">
      <c r="B149" s="222">
        <f ca="1">Fixa!B149</f>
        <v>49964</v>
      </c>
      <c r="C149" s="223" t="str">
        <f>Fixa!C149</f>
        <v/>
      </c>
      <c r="D149" s="43" t="e">
        <f t="shared" si="23"/>
        <v>#VALUE!</v>
      </c>
      <c r="E149" s="43" t="e">
        <f t="shared" si="17"/>
        <v>#VALUE!</v>
      </c>
      <c r="F149" s="43" t="e">
        <f t="shared" si="18"/>
        <v>#VALUE!</v>
      </c>
      <c r="G149" s="43" t="e">
        <f t="shared" si="19"/>
        <v>#VALUE!</v>
      </c>
      <c r="H149" s="43" t="e">
        <f t="shared" ca="1" si="20"/>
        <v>#VALUE!</v>
      </c>
      <c r="I149" s="43">
        <f t="shared" si="21"/>
        <v>0</v>
      </c>
      <c r="J149" s="229">
        <f t="shared" si="24"/>
        <v>25</v>
      </c>
      <c r="K149" s="43">
        <f t="shared" si="25"/>
        <v>0</v>
      </c>
      <c r="M149" s="224"/>
      <c r="N149" s="225">
        <f t="shared" si="26"/>
        <v>0</v>
      </c>
      <c r="O149" s="43" t="e">
        <f t="shared" si="27"/>
        <v>#VALUE!</v>
      </c>
      <c r="P149" s="43" t="e">
        <f>ROUND(IF(Preenchimento!$G$39="Tabela Price",R149-Q149,(O148*(1+$AD$35))/($AD$28-C148)),$P$22)</f>
        <v>#VALUE!</v>
      </c>
      <c r="Q149" s="43" t="e">
        <f>IF(Preenchimento!$G$39="Tabela Price",O148*(1+$AD$35)*W149,O148*(1+SAC!$AD$35)*SAC!W149)</f>
        <v>#VALUE!</v>
      </c>
      <c r="R149" s="43" t="e">
        <f>IF(Preenchimento!$G$39="Tabela Price",IF(C149="","",((((((1+W149)^($Q$16-C148))*W149)/((1+W149)^($Q$16-C148)-1))*(O148*(1+$AD$35))))),Q149+P149)</f>
        <v>#VALUE!</v>
      </c>
      <c r="S149" s="43" t="e">
        <f t="shared" ca="1" si="22"/>
        <v>#VALUE!</v>
      </c>
      <c r="T149" s="43">
        <f t="shared" si="28"/>
        <v>0</v>
      </c>
      <c r="U149" s="226">
        <f>TRUNC(T149*Condições!$C$102,2)</f>
        <v>0</v>
      </c>
      <c r="V149" s="82">
        <f t="shared" ca="1" si="29"/>
        <v>10</v>
      </c>
      <c r="W149" s="231" t="str">
        <f t="shared" si="30"/>
        <v/>
      </c>
      <c r="X149" s="210"/>
      <c r="Y149" s="210"/>
      <c r="Z149" s="210"/>
      <c r="AI149" s="114">
        <f t="shared" si="31"/>
        <v>0</v>
      </c>
      <c r="AJ149" s="113"/>
      <c r="AL149" s="477">
        <f t="shared" ca="1" si="32"/>
        <v>0</v>
      </c>
    </row>
    <row r="150" spans="2:38" ht="12" customHeight="1">
      <c r="B150" s="222">
        <f ca="1">Fixa!B150</f>
        <v>49995</v>
      </c>
      <c r="C150" s="223" t="str">
        <f>Fixa!C150</f>
        <v/>
      </c>
      <c r="D150" s="43" t="e">
        <f t="shared" si="23"/>
        <v>#VALUE!</v>
      </c>
      <c r="E150" s="43" t="e">
        <f t="shared" si="17"/>
        <v>#VALUE!</v>
      </c>
      <c r="F150" s="43" t="e">
        <f t="shared" si="18"/>
        <v>#VALUE!</v>
      </c>
      <c r="G150" s="43" t="e">
        <f t="shared" si="19"/>
        <v>#VALUE!</v>
      </c>
      <c r="H150" s="43" t="e">
        <f t="shared" ca="1" si="20"/>
        <v>#VALUE!</v>
      </c>
      <c r="I150" s="43">
        <f t="shared" si="21"/>
        <v>0</v>
      </c>
      <c r="J150" s="229">
        <f t="shared" si="24"/>
        <v>25</v>
      </c>
      <c r="K150" s="43">
        <f t="shared" si="25"/>
        <v>0</v>
      </c>
      <c r="M150" s="224"/>
      <c r="N150" s="225">
        <f t="shared" si="26"/>
        <v>0</v>
      </c>
      <c r="O150" s="43" t="e">
        <f t="shared" si="27"/>
        <v>#VALUE!</v>
      </c>
      <c r="P150" s="43" t="e">
        <f>ROUND(IF(Preenchimento!$G$39="Tabela Price",R150-Q150,(O149*(1+$AD$35))/($AD$28-C149)),$P$22)</f>
        <v>#VALUE!</v>
      </c>
      <c r="Q150" s="43" t="e">
        <f>IF(Preenchimento!$G$39="Tabela Price",O149*(1+$AD$35)*W150,O149*(1+SAC!$AD$35)*SAC!W150)</f>
        <v>#VALUE!</v>
      </c>
      <c r="R150" s="43" t="e">
        <f>IF(Preenchimento!$G$39="Tabela Price",IF(C150="","",((((((1+W150)^($Q$16-C149))*W150)/((1+W150)^($Q$16-C149)-1))*(O149*(1+$AD$35))))),Q150+P150)</f>
        <v>#VALUE!</v>
      </c>
      <c r="S150" s="43" t="e">
        <f t="shared" ca="1" si="22"/>
        <v>#VALUE!</v>
      </c>
      <c r="T150" s="43">
        <f t="shared" si="28"/>
        <v>0</v>
      </c>
      <c r="U150" s="226">
        <f>TRUNC(T150*Condições!$C$102,2)</f>
        <v>0</v>
      </c>
      <c r="V150" s="82">
        <f t="shared" ca="1" si="29"/>
        <v>11</v>
      </c>
      <c r="W150" s="231" t="str">
        <f t="shared" si="30"/>
        <v/>
      </c>
      <c r="X150" s="210"/>
      <c r="Y150" s="210"/>
      <c r="Z150" s="210"/>
      <c r="AI150" s="114">
        <f t="shared" si="31"/>
        <v>0</v>
      </c>
      <c r="AJ150" s="113"/>
      <c r="AL150" s="477">
        <f t="shared" ca="1" si="32"/>
        <v>0</v>
      </c>
    </row>
    <row r="151" spans="2:38" ht="12" customHeight="1">
      <c r="B151" s="222">
        <f ca="1">Fixa!B151</f>
        <v>50025</v>
      </c>
      <c r="C151" s="223" t="str">
        <f>Fixa!C151</f>
        <v/>
      </c>
      <c r="D151" s="43" t="e">
        <f t="shared" si="23"/>
        <v>#VALUE!</v>
      </c>
      <c r="E151" s="43" t="e">
        <f t="shared" si="17"/>
        <v>#VALUE!</v>
      </c>
      <c r="F151" s="43" t="e">
        <f t="shared" si="18"/>
        <v>#VALUE!</v>
      </c>
      <c r="G151" s="43" t="e">
        <f t="shared" si="19"/>
        <v>#VALUE!</v>
      </c>
      <c r="H151" s="43" t="e">
        <f t="shared" ca="1" si="20"/>
        <v>#VALUE!</v>
      </c>
      <c r="I151" s="43">
        <f t="shared" si="21"/>
        <v>0</v>
      </c>
      <c r="J151" s="229">
        <f t="shared" si="24"/>
        <v>25</v>
      </c>
      <c r="K151" s="43">
        <f t="shared" si="25"/>
        <v>0</v>
      </c>
      <c r="M151" s="224"/>
      <c r="N151" s="225">
        <f t="shared" si="26"/>
        <v>0</v>
      </c>
      <c r="O151" s="43" t="e">
        <f t="shared" si="27"/>
        <v>#VALUE!</v>
      </c>
      <c r="P151" s="43" t="e">
        <f>ROUND(IF(Preenchimento!$G$39="Tabela Price",R151-Q151,(O150*(1+$AD$35))/($AD$28-C150)),$P$22)</f>
        <v>#VALUE!</v>
      </c>
      <c r="Q151" s="43" t="e">
        <f>IF(Preenchimento!$G$39="Tabela Price",O150*(1+$AD$35)*W151,O150*(1+SAC!$AD$35)*SAC!W151)</f>
        <v>#VALUE!</v>
      </c>
      <c r="R151" s="43" t="e">
        <f>IF(Preenchimento!$G$39="Tabela Price",IF(C151="","",((((((1+W151)^($Q$16-C150))*W151)/((1+W151)^($Q$16-C150)-1))*(O150*(1+$AD$35))))),Q151+P151)</f>
        <v>#VALUE!</v>
      </c>
      <c r="S151" s="43" t="e">
        <f t="shared" ca="1" si="22"/>
        <v>#VALUE!</v>
      </c>
      <c r="T151" s="43">
        <f t="shared" si="28"/>
        <v>0</v>
      </c>
      <c r="U151" s="226">
        <f>TRUNC(T151*Condições!$C$102,2)</f>
        <v>0</v>
      </c>
      <c r="V151" s="82">
        <f t="shared" ca="1" si="29"/>
        <v>12</v>
      </c>
      <c r="W151" s="231" t="str">
        <f t="shared" si="30"/>
        <v/>
      </c>
      <c r="X151" s="210"/>
      <c r="Y151" s="210"/>
      <c r="Z151" s="210"/>
      <c r="AI151" s="114">
        <f t="shared" si="31"/>
        <v>0</v>
      </c>
      <c r="AJ151" s="113"/>
      <c r="AL151" s="477">
        <f t="shared" ca="1" si="32"/>
        <v>0</v>
      </c>
    </row>
    <row r="152" spans="2:38" ht="12" customHeight="1">
      <c r="B152" s="222">
        <f ca="1">Fixa!B152</f>
        <v>50056</v>
      </c>
      <c r="C152" s="223" t="str">
        <f>Fixa!C152</f>
        <v/>
      </c>
      <c r="D152" s="43" t="e">
        <f t="shared" si="23"/>
        <v>#VALUE!</v>
      </c>
      <c r="E152" s="43" t="e">
        <f t="shared" si="17"/>
        <v>#VALUE!</v>
      </c>
      <c r="F152" s="43" t="e">
        <f t="shared" si="18"/>
        <v>#VALUE!</v>
      </c>
      <c r="G152" s="43" t="e">
        <f t="shared" si="19"/>
        <v>#VALUE!</v>
      </c>
      <c r="H152" s="43" t="e">
        <f t="shared" ca="1" si="20"/>
        <v>#VALUE!</v>
      </c>
      <c r="I152" s="43">
        <f t="shared" si="21"/>
        <v>0</v>
      </c>
      <c r="J152" s="229">
        <f t="shared" si="24"/>
        <v>25</v>
      </c>
      <c r="K152" s="43">
        <f t="shared" si="25"/>
        <v>0</v>
      </c>
      <c r="M152" s="224"/>
      <c r="N152" s="225">
        <f t="shared" si="26"/>
        <v>0</v>
      </c>
      <c r="O152" s="43" t="e">
        <f t="shared" si="27"/>
        <v>#VALUE!</v>
      </c>
      <c r="P152" s="43" t="e">
        <f>ROUND(IF(Preenchimento!$G$39="Tabela Price",R152-Q152,(O151*(1+$AD$35))/($AD$28-C151)),$P$22)</f>
        <v>#VALUE!</v>
      </c>
      <c r="Q152" s="43" t="e">
        <f>IF(Preenchimento!$G$39="Tabela Price",O151*(1+$AD$35)*W152,O151*(1+SAC!$AD$35)*SAC!W152)</f>
        <v>#VALUE!</v>
      </c>
      <c r="R152" s="43" t="e">
        <f>IF(Preenchimento!$G$39="Tabela Price",IF(C152="","",((((((1+W152)^($Q$16-C151))*W152)/((1+W152)^($Q$16-C151)-1))*(O151*(1+$AD$35))))),Q152+P152)</f>
        <v>#VALUE!</v>
      </c>
      <c r="S152" s="43" t="e">
        <f t="shared" ca="1" si="22"/>
        <v>#VALUE!</v>
      </c>
      <c r="T152" s="43">
        <f t="shared" si="28"/>
        <v>0</v>
      </c>
      <c r="U152" s="226">
        <f>TRUNC(T152*Condições!$C$102,2)</f>
        <v>0</v>
      </c>
      <c r="V152" s="82">
        <f t="shared" ca="1" si="29"/>
        <v>1</v>
      </c>
      <c r="W152" s="231" t="str">
        <f t="shared" si="30"/>
        <v/>
      </c>
      <c r="X152" s="210"/>
      <c r="Y152" s="210"/>
      <c r="Z152" s="210"/>
      <c r="AI152" s="114">
        <f t="shared" si="31"/>
        <v>0</v>
      </c>
      <c r="AJ152" s="113"/>
      <c r="AL152" s="477">
        <f t="shared" ca="1" si="32"/>
        <v>0</v>
      </c>
    </row>
    <row r="153" spans="2:38" ht="12" customHeight="1">
      <c r="B153" s="222">
        <f ca="1">Fixa!B153</f>
        <v>50087</v>
      </c>
      <c r="C153" s="223" t="str">
        <f>Fixa!C153</f>
        <v/>
      </c>
      <c r="D153" s="43" t="e">
        <f t="shared" si="23"/>
        <v>#VALUE!</v>
      </c>
      <c r="E153" s="43" t="e">
        <f t="shared" si="17"/>
        <v>#VALUE!</v>
      </c>
      <c r="F153" s="43" t="e">
        <f t="shared" si="18"/>
        <v>#VALUE!</v>
      </c>
      <c r="G153" s="43" t="e">
        <f t="shared" si="19"/>
        <v>#VALUE!</v>
      </c>
      <c r="H153" s="43" t="e">
        <f t="shared" ca="1" si="20"/>
        <v>#VALUE!</v>
      </c>
      <c r="I153" s="43">
        <f t="shared" si="21"/>
        <v>0</v>
      </c>
      <c r="J153" s="229">
        <f t="shared" si="24"/>
        <v>25</v>
      </c>
      <c r="K153" s="43">
        <f t="shared" si="25"/>
        <v>0</v>
      </c>
      <c r="M153" s="224"/>
      <c r="N153" s="225">
        <f t="shared" si="26"/>
        <v>0</v>
      </c>
      <c r="O153" s="43" t="e">
        <f t="shared" si="27"/>
        <v>#VALUE!</v>
      </c>
      <c r="P153" s="43" t="e">
        <f>ROUND(IF(Preenchimento!$G$39="Tabela Price",R153-Q153,(O152*(1+$AD$35))/($AD$28-C152)),$P$22)</f>
        <v>#VALUE!</v>
      </c>
      <c r="Q153" s="43" t="e">
        <f>IF(Preenchimento!$G$39="Tabela Price",O152*(1+$AD$35)*W153,O152*(1+SAC!$AD$35)*SAC!W153)</f>
        <v>#VALUE!</v>
      </c>
      <c r="R153" s="43" t="e">
        <f>IF(Preenchimento!$G$39="Tabela Price",IF(C153="","",((((((1+W153)^($Q$16-C152))*W153)/((1+W153)^($Q$16-C152)-1))*(O152*(1+$AD$35))))),Q153+P153)</f>
        <v>#VALUE!</v>
      </c>
      <c r="S153" s="43" t="e">
        <f t="shared" ca="1" si="22"/>
        <v>#VALUE!</v>
      </c>
      <c r="T153" s="43">
        <f t="shared" si="28"/>
        <v>0</v>
      </c>
      <c r="U153" s="226">
        <f>TRUNC(T153*Condições!$C$102,2)</f>
        <v>0</v>
      </c>
      <c r="V153" s="82">
        <f t="shared" ca="1" si="29"/>
        <v>2</v>
      </c>
      <c r="W153" s="231" t="str">
        <f t="shared" si="30"/>
        <v/>
      </c>
      <c r="X153" s="210"/>
      <c r="Y153" s="210"/>
      <c r="Z153" s="210"/>
      <c r="AI153" s="114">
        <f t="shared" si="31"/>
        <v>0</v>
      </c>
      <c r="AJ153" s="113"/>
      <c r="AL153" s="477">
        <f t="shared" ca="1" si="32"/>
        <v>0</v>
      </c>
    </row>
    <row r="154" spans="2:38" ht="12" customHeight="1">
      <c r="B154" s="222">
        <f ca="1">Fixa!B154</f>
        <v>50115</v>
      </c>
      <c r="C154" s="223" t="str">
        <f>Fixa!C154</f>
        <v/>
      </c>
      <c r="D154" s="43" t="e">
        <f t="shared" si="23"/>
        <v>#VALUE!</v>
      </c>
      <c r="E154" s="43" t="e">
        <f t="shared" ref="E154:E217" si="33">ROUND(P154,2)</f>
        <v>#VALUE!</v>
      </c>
      <c r="F154" s="43" t="e">
        <f t="shared" ref="F154:F217" si="34">ROUND(Q154,2)</f>
        <v>#VALUE!</v>
      </c>
      <c r="G154" s="43" t="e">
        <f t="shared" ref="G154:G217" si="35">F154+E154</f>
        <v>#VALUE!</v>
      </c>
      <c r="H154" s="43" t="e">
        <f t="shared" ref="H154:H217" ca="1" si="36">ROUND(S154,2)</f>
        <v>#VALUE!</v>
      </c>
      <c r="I154" s="43">
        <f t="shared" ref="I154:I217" si="37">ROUND(T154+U154,2)</f>
        <v>0</v>
      </c>
      <c r="J154" s="229">
        <f t="shared" si="24"/>
        <v>25</v>
      </c>
      <c r="K154" s="43">
        <f t="shared" si="25"/>
        <v>0</v>
      </c>
      <c r="M154" s="224"/>
      <c r="N154" s="225">
        <f t="shared" si="26"/>
        <v>0</v>
      </c>
      <c r="O154" s="43" t="e">
        <f t="shared" si="27"/>
        <v>#VALUE!</v>
      </c>
      <c r="P154" s="43" t="e">
        <f>ROUND(IF(Preenchimento!$G$39="Tabela Price",R154-Q154,(O153*(1+$AD$35))/($AD$28-C153)),$P$22)</f>
        <v>#VALUE!</v>
      </c>
      <c r="Q154" s="43" t="e">
        <f>IF(Preenchimento!$G$39="Tabela Price",O153*(1+$AD$35)*W154,O153*(1+SAC!$AD$35)*SAC!W154)</f>
        <v>#VALUE!</v>
      </c>
      <c r="R154" s="43" t="e">
        <f>IF(Preenchimento!$G$39="Tabela Price",IF(C154="","",((((((1+W154)^($Q$16-C153))*W154)/((1+W154)^($Q$16-C153)-1))*(O153*(1+$AD$35))))),Q154+P154)</f>
        <v>#VALUE!</v>
      </c>
      <c r="S154" s="43" t="e">
        <f t="shared" ref="S154:S217" ca="1" si="38">ROUND($AD$34*O154,$P$22)</f>
        <v>#VALUE!</v>
      </c>
      <c r="T154" s="43">
        <f t="shared" si="28"/>
        <v>0</v>
      </c>
      <c r="U154" s="226">
        <f>TRUNC(T154*Condições!$C$102,2)</f>
        <v>0</v>
      </c>
      <c r="V154" s="82">
        <f t="shared" ca="1" si="29"/>
        <v>3</v>
      </c>
      <c r="W154" s="231" t="str">
        <f t="shared" si="30"/>
        <v/>
      </c>
      <c r="X154" s="210"/>
      <c r="Y154" s="210"/>
      <c r="Z154" s="210"/>
      <c r="AI154" s="114">
        <f t="shared" si="31"/>
        <v>0</v>
      </c>
      <c r="AJ154" s="113"/>
      <c r="AL154" s="477">
        <f t="shared" ca="1" si="32"/>
        <v>0</v>
      </c>
    </row>
    <row r="155" spans="2:38" ht="12" customHeight="1">
      <c r="B155" s="222">
        <f ca="1">Fixa!B155</f>
        <v>50146</v>
      </c>
      <c r="C155" s="223" t="str">
        <f>Fixa!C155</f>
        <v/>
      </c>
      <c r="D155" s="43" t="e">
        <f t="shared" ref="D155:D218" si="39">ROUND(O155,2)</f>
        <v>#VALUE!</v>
      </c>
      <c r="E155" s="43" t="e">
        <f t="shared" si="33"/>
        <v>#VALUE!</v>
      </c>
      <c r="F155" s="43" t="e">
        <f t="shared" si="34"/>
        <v>#VALUE!</v>
      </c>
      <c r="G155" s="43" t="e">
        <f t="shared" si="35"/>
        <v>#VALUE!</v>
      </c>
      <c r="H155" s="43" t="e">
        <f t="shared" ca="1" si="36"/>
        <v>#VALUE!</v>
      </c>
      <c r="I155" s="43">
        <f t="shared" si="37"/>
        <v>0</v>
      </c>
      <c r="J155" s="229">
        <f t="shared" ref="J155:J218" si="40">$AD$31</f>
        <v>25</v>
      </c>
      <c r="K155" s="43">
        <f t="shared" ref="K155:K218" si="41">IF(C155&gt;$AD$28,0,J155+G155+I155+H155)</f>
        <v>0</v>
      </c>
      <c r="M155" s="224"/>
      <c r="N155" s="225">
        <f t="shared" ref="N155:N218" si="42">IF(C155&gt;$AD$28,0,(H155+I155)/(1.008^((12*(B155-$B$25))/365)))</f>
        <v>0</v>
      </c>
      <c r="O155" s="43" t="e">
        <f t="shared" ref="O155:O218" si="43">ROUND((O154*(1+$AD$35)-P155),$P$22)</f>
        <v>#VALUE!</v>
      </c>
      <c r="P155" s="43" t="e">
        <f>ROUND(IF(Preenchimento!$G$39="Tabela Price",R155-Q155,(O154*(1+$AD$35))/($AD$28-C154)),$P$22)</f>
        <v>#VALUE!</v>
      </c>
      <c r="Q155" s="43" t="e">
        <f>IF(Preenchimento!$G$39="Tabela Price",O154*(1+$AD$35)*W155,O154*(1+SAC!$AD$35)*SAC!W155)</f>
        <v>#VALUE!</v>
      </c>
      <c r="R155" s="43" t="e">
        <f>IF(Preenchimento!$G$39="Tabela Price",IF(C155="","",((((((1+W155)^($Q$16-C154))*W155)/((1+W155)^($Q$16-C154)-1))*(O154*(1+$AD$35))))),Q155+P155)</f>
        <v>#VALUE!</v>
      </c>
      <c r="S155" s="43" t="e">
        <f t="shared" ca="1" si="38"/>
        <v>#VALUE!</v>
      </c>
      <c r="T155" s="43">
        <f t="shared" ref="T155:T218" si="44">IF(C155&gt;=$AD$28,0,ROUND($AD$25*$AD$33,$P$22))</f>
        <v>0</v>
      </c>
      <c r="U155" s="226">
        <f>TRUNC(T155*Condições!$C$102,2)</f>
        <v>0</v>
      </c>
      <c r="V155" s="82">
        <f t="shared" ref="V155:V218" ca="1" si="45">MONTH(B155)</f>
        <v>4</v>
      </c>
      <c r="W155" s="231" t="str">
        <f t="shared" ref="W155:W218" si="46">IF(C155="","",IF(AND(C155&gt;$AD$46,$AD$46&lt;&gt;""),$AE$29,$AD$29))</f>
        <v/>
      </c>
      <c r="X155" s="210"/>
      <c r="Y155" s="210"/>
      <c r="Z155" s="210"/>
      <c r="AI155" s="114">
        <f t="shared" ref="AI155:AI218" si="47">IF(C155&gt;$AD$28,0,R155+S155+T155+U155+J155)</f>
        <v>0</v>
      </c>
      <c r="AJ155" s="113"/>
      <c r="AL155" s="477">
        <f t="shared" ref="AL155:AL218" ca="1" si="48">IFERROR(IF(V154&gt;$AD$28,0,R155),0)</f>
        <v>0</v>
      </c>
    </row>
    <row r="156" spans="2:38" ht="12" customHeight="1">
      <c r="B156" s="222">
        <f ca="1">Fixa!B156</f>
        <v>50176</v>
      </c>
      <c r="C156" s="223" t="str">
        <f>Fixa!C156</f>
        <v/>
      </c>
      <c r="D156" s="43" t="e">
        <f t="shared" si="39"/>
        <v>#VALUE!</v>
      </c>
      <c r="E156" s="43" t="e">
        <f t="shared" si="33"/>
        <v>#VALUE!</v>
      </c>
      <c r="F156" s="43" t="e">
        <f t="shared" si="34"/>
        <v>#VALUE!</v>
      </c>
      <c r="G156" s="43" t="e">
        <f t="shared" si="35"/>
        <v>#VALUE!</v>
      </c>
      <c r="H156" s="43" t="e">
        <f t="shared" ca="1" si="36"/>
        <v>#VALUE!</v>
      </c>
      <c r="I156" s="43">
        <f t="shared" si="37"/>
        <v>0</v>
      </c>
      <c r="J156" s="229">
        <f t="shared" si="40"/>
        <v>25</v>
      </c>
      <c r="K156" s="43">
        <f t="shared" si="41"/>
        <v>0</v>
      </c>
      <c r="M156" s="224"/>
      <c r="N156" s="225">
        <f t="shared" si="42"/>
        <v>0</v>
      </c>
      <c r="O156" s="43" t="e">
        <f t="shared" si="43"/>
        <v>#VALUE!</v>
      </c>
      <c r="P156" s="43" t="e">
        <f>ROUND(IF(Preenchimento!$G$39="Tabela Price",R156-Q156,(O155*(1+$AD$35))/($AD$28-C155)),$P$22)</f>
        <v>#VALUE!</v>
      </c>
      <c r="Q156" s="43" t="e">
        <f>IF(Preenchimento!$G$39="Tabela Price",O155*(1+$AD$35)*W156,O155*(1+SAC!$AD$35)*SAC!W156)</f>
        <v>#VALUE!</v>
      </c>
      <c r="R156" s="43" t="e">
        <f>IF(Preenchimento!$G$39="Tabela Price",IF(C156="","",((((((1+W156)^($Q$16-C155))*W156)/((1+W156)^($Q$16-C155)-1))*(O155*(1+$AD$35))))),Q156+P156)</f>
        <v>#VALUE!</v>
      </c>
      <c r="S156" s="43" t="e">
        <f t="shared" ca="1" si="38"/>
        <v>#VALUE!</v>
      </c>
      <c r="T156" s="43">
        <f t="shared" si="44"/>
        <v>0</v>
      </c>
      <c r="U156" s="226">
        <f>TRUNC(T156*Condições!$C$102,2)</f>
        <v>0</v>
      </c>
      <c r="V156" s="82">
        <f t="shared" ca="1" si="45"/>
        <v>5</v>
      </c>
      <c r="W156" s="231" t="str">
        <f t="shared" si="46"/>
        <v/>
      </c>
      <c r="X156" s="210"/>
      <c r="Y156" s="210"/>
      <c r="Z156" s="210"/>
      <c r="AI156" s="114">
        <f t="shared" si="47"/>
        <v>0</v>
      </c>
      <c r="AJ156" s="113"/>
      <c r="AL156" s="477">
        <f t="shared" ca="1" si="48"/>
        <v>0</v>
      </c>
    </row>
    <row r="157" spans="2:38" ht="12" customHeight="1">
      <c r="B157" s="222">
        <f ca="1">Fixa!B157</f>
        <v>50207</v>
      </c>
      <c r="C157" s="223" t="str">
        <f>Fixa!C157</f>
        <v/>
      </c>
      <c r="D157" s="43" t="e">
        <f t="shared" si="39"/>
        <v>#VALUE!</v>
      </c>
      <c r="E157" s="43" t="e">
        <f t="shared" si="33"/>
        <v>#VALUE!</v>
      </c>
      <c r="F157" s="43" t="e">
        <f t="shared" si="34"/>
        <v>#VALUE!</v>
      </c>
      <c r="G157" s="43" t="e">
        <f t="shared" si="35"/>
        <v>#VALUE!</v>
      </c>
      <c r="H157" s="43" t="e">
        <f t="shared" ca="1" si="36"/>
        <v>#VALUE!</v>
      </c>
      <c r="I157" s="43">
        <f t="shared" si="37"/>
        <v>0</v>
      </c>
      <c r="J157" s="229">
        <f t="shared" si="40"/>
        <v>25</v>
      </c>
      <c r="K157" s="43">
        <f t="shared" si="41"/>
        <v>0</v>
      </c>
      <c r="M157" s="224"/>
      <c r="N157" s="225">
        <f t="shared" si="42"/>
        <v>0</v>
      </c>
      <c r="O157" s="43" t="e">
        <f t="shared" si="43"/>
        <v>#VALUE!</v>
      </c>
      <c r="P157" s="43" t="e">
        <f>ROUND(IF(Preenchimento!$G$39="Tabela Price",R157-Q157,(O156*(1+$AD$35))/($AD$28-C156)),$P$22)</f>
        <v>#VALUE!</v>
      </c>
      <c r="Q157" s="43" t="e">
        <f>IF(Preenchimento!$G$39="Tabela Price",O156*(1+$AD$35)*W157,O156*(1+SAC!$AD$35)*SAC!W157)</f>
        <v>#VALUE!</v>
      </c>
      <c r="R157" s="43" t="e">
        <f>IF(Preenchimento!$G$39="Tabela Price",IF(C157="","",((((((1+W157)^($Q$16-C156))*W157)/((1+W157)^($Q$16-C156)-1))*(O156*(1+$AD$35))))),Q157+P157)</f>
        <v>#VALUE!</v>
      </c>
      <c r="S157" s="43" t="e">
        <f t="shared" ca="1" si="38"/>
        <v>#VALUE!</v>
      </c>
      <c r="T157" s="43">
        <f t="shared" si="44"/>
        <v>0</v>
      </c>
      <c r="U157" s="226">
        <f>TRUNC(T157*Condições!$C$102,2)</f>
        <v>0</v>
      </c>
      <c r="V157" s="82">
        <f t="shared" ca="1" si="45"/>
        <v>6</v>
      </c>
      <c r="W157" s="231" t="str">
        <f t="shared" si="46"/>
        <v/>
      </c>
      <c r="X157" s="210"/>
      <c r="Y157" s="210"/>
      <c r="Z157" s="210"/>
      <c r="AI157" s="114">
        <f t="shared" si="47"/>
        <v>0</v>
      </c>
      <c r="AJ157" s="113"/>
      <c r="AL157" s="477">
        <f t="shared" ca="1" si="48"/>
        <v>0</v>
      </c>
    </row>
    <row r="158" spans="2:38" ht="12" customHeight="1">
      <c r="B158" s="222">
        <f ca="1">Fixa!B158</f>
        <v>50237</v>
      </c>
      <c r="C158" s="223" t="str">
        <f>Fixa!C158</f>
        <v/>
      </c>
      <c r="D158" s="43" t="e">
        <f t="shared" si="39"/>
        <v>#VALUE!</v>
      </c>
      <c r="E158" s="43" t="e">
        <f t="shared" si="33"/>
        <v>#VALUE!</v>
      </c>
      <c r="F158" s="43" t="e">
        <f t="shared" si="34"/>
        <v>#VALUE!</v>
      </c>
      <c r="G158" s="43" t="e">
        <f t="shared" si="35"/>
        <v>#VALUE!</v>
      </c>
      <c r="H158" s="43" t="e">
        <f t="shared" ca="1" si="36"/>
        <v>#VALUE!</v>
      </c>
      <c r="I158" s="43">
        <f t="shared" si="37"/>
        <v>0</v>
      </c>
      <c r="J158" s="229">
        <f t="shared" si="40"/>
        <v>25</v>
      </c>
      <c r="K158" s="43">
        <f t="shared" si="41"/>
        <v>0</v>
      </c>
      <c r="M158" s="224"/>
      <c r="N158" s="225">
        <f t="shared" si="42"/>
        <v>0</v>
      </c>
      <c r="O158" s="43" t="e">
        <f t="shared" si="43"/>
        <v>#VALUE!</v>
      </c>
      <c r="P158" s="43" t="e">
        <f>ROUND(IF(Preenchimento!$G$39="Tabela Price",R158-Q158,(O157*(1+$AD$35))/($AD$28-C157)),$P$22)</f>
        <v>#VALUE!</v>
      </c>
      <c r="Q158" s="43" t="e">
        <f>IF(Preenchimento!$G$39="Tabela Price",O157*(1+$AD$35)*W158,O157*(1+SAC!$AD$35)*SAC!W158)</f>
        <v>#VALUE!</v>
      </c>
      <c r="R158" s="43" t="e">
        <f>IF(Preenchimento!$G$39="Tabela Price",IF(C158="","",((((((1+W158)^($Q$16-C157))*W158)/((1+W158)^($Q$16-C157)-1))*(O157*(1+$AD$35))))),Q158+P158)</f>
        <v>#VALUE!</v>
      </c>
      <c r="S158" s="43" t="e">
        <f t="shared" ca="1" si="38"/>
        <v>#VALUE!</v>
      </c>
      <c r="T158" s="43">
        <f t="shared" si="44"/>
        <v>0</v>
      </c>
      <c r="U158" s="226">
        <f>TRUNC(T158*Condições!$C$102,2)</f>
        <v>0</v>
      </c>
      <c r="V158" s="82">
        <f t="shared" ca="1" si="45"/>
        <v>7</v>
      </c>
      <c r="W158" s="231" t="str">
        <f t="shared" si="46"/>
        <v/>
      </c>
      <c r="X158" s="210"/>
      <c r="Y158" s="210"/>
      <c r="Z158" s="210"/>
      <c r="AI158" s="114">
        <f t="shared" si="47"/>
        <v>0</v>
      </c>
      <c r="AJ158" s="113"/>
      <c r="AL158" s="477">
        <f t="shared" ca="1" si="48"/>
        <v>0</v>
      </c>
    </row>
    <row r="159" spans="2:38" ht="12" customHeight="1">
      <c r="B159" s="222">
        <f ca="1">Fixa!B159</f>
        <v>50268</v>
      </c>
      <c r="C159" s="223" t="str">
        <f>Fixa!C159</f>
        <v/>
      </c>
      <c r="D159" s="43" t="e">
        <f t="shared" si="39"/>
        <v>#VALUE!</v>
      </c>
      <c r="E159" s="43" t="e">
        <f t="shared" si="33"/>
        <v>#VALUE!</v>
      </c>
      <c r="F159" s="43" t="e">
        <f t="shared" si="34"/>
        <v>#VALUE!</v>
      </c>
      <c r="G159" s="43" t="e">
        <f t="shared" si="35"/>
        <v>#VALUE!</v>
      </c>
      <c r="H159" s="43" t="e">
        <f t="shared" ca="1" si="36"/>
        <v>#VALUE!</v>
      </c>
      <c r="I159" s="43">
        <f t="shared" si="37"/>
        <v>0</v>
      </c>
      <c r="J159" s="229">
        <f t="shared" si="40"/>
        <v>25</v>
      </c>
      <c r="K159" s="43">
        <f t="shared" si="41"/>
        <v>0</v>
      </c>
      <c r="M159" s="224"/>
      <c r="N159" s="225">
        <f t="shared" si="42"/>
        <v>0</v>
      </c>
      <c r="O159" s="43" t="e">
        <f t="shared" si="43"/>
        <v>#VALUE!</v>
      </c>
      <c r="P159" s="43" t="e">
        <f>ROUND(IF(Preenchimento!$G$39="Tabela Price",R159-Q159,(O158*(1+$AD$35))/($AD$28-C158)),$P$22)</f>
        <v>#VALUE!</v>
      </c>
      <c r="Q159" s="43" t="e">
        <f>IF(Preenchimento!$G$39="Tabela Price",O158*(1+$AD$35)*W159,O158*(1+SAC!$AD$35)*SAC!W159)</f>
        <v>#VALUE!</v>
      </c>
      <c r="R159" s="43" t="e">
        <f>IF(Preenchimento!$G$39="Tabela Price",IF(C159="","",((((((1+W159)^($Q$16-C158))*W159)/((1+W159)^($Q$16-C158)-1))*(O158*(1+$AD$35))))),Q159+P159)</f>
        <v>#VALUE!</v>
      </c>
      <c r="S159" s="43" t="e">
        <f t="shared" ca="1" si="38"/>
        <v>#VALUE!</v>
      </c>
      <c r="T159" s="43">
        <f t="shared" si="44"/>
        <v>0</v>
      </c>
      <c r="U159" s="226">
        <f>TRUNC(T159*Condições!$C$102,2)</f>
        <v>0</v>
      </c>
      <c r="V159" s="82">
        <f t="shared" ca="1" si="45"/>
        <v>8</v>
      </c>
      <c r="W159" s="231" t="str">
        <f t="shared" si="46"/>
        <v/>
      </c>
      <c r="X159" s="210"/>
      <c r="Y159" s="210"/>
      <c r="Z159" s="210"/>
      <c r="AI159" s="114">
        <f t="shared" si="47"/>
        <v>0</v>
      </c>
      <c r="AJ159" s="113"/>
      <c r="AL159" s="477">
        <f t="shared" ca="1" si="48"/>
        <v>0</v>
      </c>
    </row>
    <row r="160" spans="2:38" ht="12" customHeight="1">
      <c r="B160" s="222">
        <f ca="1">Fixa!B160</f>
        <v>50299</v>
      </c>
      <c r="C160" s="223" t="str">
        <f>Fixa!C160</f>
        <v/>
      </c>
      <c r="D160" s="43" t="e">
        <f t="shared" si="39"/>
        <v>#VALUE!</v>
      </c>
      <c r="E160" s="43" t="e">
        <f t="shared" si="33"/>
        <v>#VALUE!</v>
      </c>
      <c r="F160" s="43" t="e">
        <f t="shared" si="34"/>
        <v>#VALUE!</v>
      </c>
      <c r="G160" s="43" t="e">
        <f t="shared" si="35"/>
        <v>#VALUE!</v>
      </c>
      <c r="H160" s="43" t="e">
        <f t="shared" ca="1" si="36"/>
        <v>#VALUE!</v>
      </c>
      <c r="I160" s="43">
        <f t="shared" si="37"/>
        <v>0</v>
      </c>
      <c r="J160" s="229">
        <f t="shared" si="40"/>
        <v>25</v>
      </c>
      <c r="K160" s="43">
        <f t="shared" si="41"/>
        <v>0</v>
      </c>
      <c r="M160" s="224"/>
      <c r="N160" s="225">
        <f t="shared" si="42"/>
        <v>0</v>
      </c>
      <c r="O160" s="43" t="e">
        <f t="shared" si="43"/>
        <v>#VALUE!</v>
      </c>
      <c r="P160" s="43" t="e">
        <f>ROUND(IF(Preenchimento!$G$39="Tabela Price",R160-Q160,(O159*(1+$AD$35))/($AD$28-C159)),$P$22)</f>
        <v>#VALUE!</v>
      </c>
      <c r="Q160" s="43" t="e">
        <f>IF(Preenchimento!$G$39="Tabela Price",O159*(1+$AD$35)*W160,O159*(1+SAC!$AD$35)*SAC!W160)</f>
        <v>#VALUE!</v>
      </c>
      <c r="R160" s="43" t="e">
        <f>IF(Preenchimento!$G$39="Tabela Price",IF(C160="","",((((((1+W160)^($Q$16-C159))*W160)/((1+W160)^($Q$16-C159)-1))*(O159*(1+$AD$35))))),Q160+P160)</f>
        <v>#VALUE!</v>
      </c>
      <c r="S160" s="43" t="e">
        <f t="shared" ca="1" si="38"/>
        <v>#VALUE!</v>
      </c>
      <c r="T160" s="43">
        <f t="shared" si="44"/>
        <v>0</v>
      </c>
      <c r="U160" s="226">
        <f>TRUNC(T160*Condições!$C$102,2)</f>
        <v>0</v>
      </c>
      <c r="V160" s="82">
        <f t="shared" ca="1" si="45"/>
        <v>9</v>
      </c>
      <c r="W160" s="231" t="str">
        <f t="shared" si="46"/>
        <v/>
      </c>
      <c r="X160" s="210"/>
      <c r="Y160" s="210"/>
      <c r="Z160" s="210"/>
      <c r="AI160" s="114">
        <f t="shared" si="47"/>
        <v>0</v>
      </c>
      <c r="AJ160" s="113"/>
      <c r="AL160" s="477">
        <f t="shared" ca="1" si="48"/>
        <v>0</v>
      </c>
    </row>
    <row r="161" spans="2:38" ht="12" customHeight="1">
      <c r="B161" s="222">
        <f ca="1">Fixa!B161</f>
        <v>50329</v>
      </c>
      <c r="C161" s="223" t="str">
        <f>Fixa!C161</f>
        <v/>
      </c>
      <c r="D161" s="43" t="e">
        <f t="shared" si="39"/>
        <v>#VALUE!</v>
      </c>
      <c r="E161" s="43" t="e">
        <f t="shared" si="33"/>
        <v>#VALUE!</v>
      </c>
      <c r="F161" s="43" t="e">
        <f t="shared" si="34"/>
        <v>#VALUE!</v>
      </c>
      <c r="G161" s="43" t="e">
        <f t="shared" si="35"/>
        <v>#VALUE!</v>
      </c>
      <c r="H161" s="43" t="e">
        <f t="shared" ca="1" si="36"/>
        <v>#VALUE!</v>
      </c>
      <c r="I161" s="43">
        <f t="shared" si="37"/>
        <v>0</v>
      </c>
      <c r="J161" s="229">
        <f t="shared" si="40"/>
        <v>25</v>
      </c>
      <c r="K161" s="43">
        <f t="shared" si="41"/>
        <v>0</v>
      </c>
      <c r="M161" s="224"/>
      <c r="N161" s="225">
        <f t="shared" si="42"/>
        <v>0</v>
      </c>
      <c r="O161" s="43" t="e">
        <f t="shared" si="43"/>
        <v>#VALUE!</v>
      </c>
      <c r="P161" s="43" t="e">
        <f>ROUND(IF(Preenchimento!$G$39="Tabela Price",R161-Q161,(O160*(1+$AD$35))/($AD$28-C160)),$P$22)</f>
        <v>#VALUE!</v>
      </c>
      <c r="Q161" s="43" t="e">
        <f>IF(Preenchimento!$G$39="Tabela Price",O160*(1+$AD$35)*W161,O160*(1+SAC!$AD$35)*SAC!W161)</f>
        <v>#VALUE!</v>
      </c>
      <c r="R161" s="43" t="e">
        <f>IF(Preenchimento!$G$39="Tabela Price",IF(C161="","",((((((1+W161)^($Q$16-C160))*W161)/((1+W161)^($Q$16-C160)-1))*(O160*(1+$AD$35))))),Q161+P161)</f>
        <v>#VALUE!</v>
      </c>
      <c r="S161" s="43" t="e">
        <f t="shared" ca="1" si="38"/>
        <v>#VALUE!</v>
      </c>
      <c r="T161" s="43">
        <f t="shared" si="44"/>
        <v>0</v>
      </c>
      <c r="U161" s="226">
        <f>TRUNC(T161*Condições!$C$102,2)</f>
        <v>0</v>
      </c>
      <c r="V161" s="82">
        <f t="shared" ca="1" si="45"/>
        <v>10</v>
      </c>
      <c r="W161" s="231" t="str">
        <f t="shared" si="46"/>
        <v/>
      </c>
      <c r="X161" s="210"/>
      <c r="Y161" s="210"/>
      <c r="Z161" s="210"/>
      <c r="AI161" s="114">
        <f t="shared" si="47"/>
        <v>0</v>
      </c>
      <c r="AJ161" s="113"/>
      <c r="AL161" s="477">
        <f t="shared" ca="1" si="48"/>
        <v>0</v>
      </c>
    </row>
    <row r="162" spans="2:38" ht="12" customHeight="1">
      <c r="B162" s="222">
        <f ca="1">Fixa!B162</f>
        <v>50360</v>
      </c>
      <c r="C162" s="223" t="str">
        <f>Fixa!C162</f>
        <v/>
      </c>
      <c r="D162" s="43" t="e">
        <f t="shared" si="39"/>
        <v>#VALUE!</v>
      </c>
      <c r="E162" s="43" t="e">
        <f t="shared" si="33"/>
        <v>#VALUE!</v>
      </c>
      <c r="F162" s="43" t="e">
        <f t="shared" si="34"/>
        <v>#VALUE!</v>
      </c>
      <c r="G162" s="43" t="e">
        <f t="shared" si="35"/>
        <v>#VALUE!</v>
      </c>
      <c r="H162" s="43" t="e">
        <f t="shared" ca="1" si="36"/>
        <v>#VALUE!</v>
      </c>
      <c r="I162" s="43">
        <f t="shared" si="37"/>
        <v>0</v>
      </c>
      <c r="J162" s="229">
        <f t="shared" si="40"/>
        <v>25</v>
      </c>
      <c r="K162" s="43">
        <f t="shared" si="41"/>
        <v>0</v>
      </c>
      <c r="M162" s="224"/>
      <c r="N162" s="225">
        <f t="shared" si="42"/>
        <v>0</v>
      </c>
      <c r="O162" s="43" t="e">
        <f t="shared" si="43"/>
        <v>#VALUE!</v>
      </c>
      <c r="P162" s="43" t="e">
        <f>ROUND(IF(Preenchimento!$G$39="Tabela Price",R162-Q162,(O161*(1+$AD$35))/($AD$28-C161)),$P$22)</f>
        <v>#VALUE!</v>
      </c>
      <c r="Q162" s="43" t="e">
        <f>IF(Preenchimento!$G$39="Tabela Price",O161*(1+$AD$35)*W162,O161*(1+SAC!$AD$35)*SAC!W162)</f>
        <v>#VALUE!</v>
      </c>
      <c r="R162" s="43" t="e">
        <f>IF(Preenchimento!$G$39="Tabela Price",IF(C162="","",((((((1+W162)^($Q$16-C161))*W162)/((1+W162)^($Q$16-C161)-1))*(O161*(1+$AD$35))))),Q162+P162)</f>
        <v>#VALUE!</v>
      </c>
      <c r="S162" s="43" t="e">
        <f t="shared" ca="1" si="38"/>
        <v>#VALUE!</v>
      </c>
      <c r="T162" s="43">
        <f t="shared" si="44"/>
        <v>0</v>
      </c>
      <c r="U162" s="226">
        <f>TRUNC(T162*Condições!$C$102,2)</f>
        <v>0</v>
      </c>
      <c r="V162" s="82">
        <f t="shared" ca="1" si="45"/>
        <v>11</v>
      </c>
      <c r="W162" s="231" t="str">
        <f t="shared" si="46"/>
        <v/>
      </c>
      <c r="X162" s="210"/>
      <c r="Y162" s="210"/>
      <c r="Z162" s="210"/>
      <c r="AI162" s="114">
        <f t="shared" si="47"/>
        <v>0</v>
      </c>
      <c r="AJ162" s="113"/>
      <c r="AL162" s="477">
        <f t="shared" ca="1" si="48"/>
        <v>0</v>
      </c>
    </row>
    <row r="163" spans="2:38" ht="12" customHeight="1">
      <c r="B163" s="222">
        <f ca="1">Fixa!B163</f>
        <v>50390</v>
      </c>
      <c r="C163" s="223" t="str">
        <f>Fixa!C163</f>
        <v/>
      </c>
      <c r="D163" s="43" t="e">
        <f t="shared" si="39"/>
        <v>#VALUE!</v>
      </c>
      <c r="E163" s="43" t="e">
        <f t="shared" si="33"/>
        <v>#VALUE!</v>
      </c>
      <c r="F163" s="43" t="e">
        <f t="shared" si="34"/>
        <v>#VALUE!</v>
      </c>
      <c r="G163" s="43" t="e">
        <f t="shared" si="35"/>
        <v>#VALUE!</v>
      </c>
      <c r="H163" s="43" t="e">
        <f t="shared" ca="1" si="36"/>
        <v>#VALUE!</v>
      </c>
      <c r="I163" s="43">
        <f t="shared" si="37"/>
        <v>0</v>
      </c>
      <c r="J163" s="229">
        <f t="shared" si="40"/>
        <v>25</v>
      </c>
      <c r="K163" s="43">
        <f t="shared" si="41"/>
        <v>0</v>
      </c>
      <c r="M163" s="224"/>
      <c r="N163" s="225">
        <f t="shared" si="42"/>
        <v>0</v>
      </c>
      <c r="O163" s="43" t="e">
        <f t="shared" si="43"/>
        <v>#VALUE!</v>
      </c>
      <c r="P163" s="43" t="e">
        <f>ROUND(IF(Preenchimento!$G$39="Tabela Price",R163-Q163,(O162*(1+$AD$35))/($AD$28-C162)),$P$22)</f>
        <v>#VALUE!</v>
      </c>
      <c r="Q163" s="43" t="e">
        <f>IF(Preenchimento!$G$39="Tabela Price",O162*(1+$AD$35)*W163,O162*(1+SAC!$AD$35)*SAC!W163)</f>
        <v>#VALUE!</v>
      </c>
      <c r="R163" s="43" t="e">
        <f>IF(Preenchimento!$G$39="Tabela Price",IF(C163="","",((((((1+W163)^($Q$16-C162))*W163)/((1+W163)^($Q$16-C162)-1))*(O162*(1+$AD$35))))),Q163+P163)</f>
        <v>#VALUE!</v>
      </c>
      <c r="S163" s="43" t="e">
        <f t="shared" ca="1" si="38"/>
        <v>#VALUE!</v>
      </c>
      <c r="T163" s="43">
        <f t="shared" si="44"/>
        <v>0</v>
      </c>
      <c r="U163" s="226">
        <f>TRUNC(T163*Condições!$C$102,2)</f>
        <v>0</v>
      </c>
      <c r="V163" s="82">
        <f t="shared" ca="1" si="45"/>
        <v>12</v>
      </c>
      <c r="W163" s="231" t="str">
        <f t="shared" si="46"/>
        <v/>
      </c>
      <c r="X163" s="210"/>
      <c r="Y163" s="210"/>
      <c r="Z163" s="210"/>
      <c r="AI163" s="114">
        <f t="shared" si="47"/>
        <v>0</v>
      </c>
      <c r="AJ163" s="113"/>
      <c r="AL163" s="477">
        <f t="shared" ca="1" si="48"/>
        <v>0</v>
      </c>
    </row>
    <row r="164" spans="2:38" ht="12" customHeight="1">
      <c r="B164" s="222">
        <f ca="1">Fixa!B164</f>
        <v>50421</v>
      </c>
      <c r="C164" s="223" t="str">
        <f>Fixa!C164</f>
        <v/>
      </c>
      <c r="D164" s="43" t="e">
        <f t="shared" si="39"/>
        <v>#VALUE!</v>
      </c>
      <c r="E164" s="43" t="e">
        <f t="shared" si="33"/>
        <v>#VALUE!</v>
      </c>
      <c r="F164" s="43" t="e">
        <f t="shared" si="34"/>
        <v>#VALUE!</v>
      </c>
      <c r="G164" s="43" t="e">
        <f t="shared" si="35"/>
        <v>#VALUE!</v>
      </c>
      <c r="H164" s="43" t="e">
        <f t="shared" ca="1" si="36"/>
        <v>#VALUE!</v>
      </c>
      <c r="I164" s="43">
        <f t="shared" si="37"/>
        <v>0</v>
      </c>
      <c r="J164" s="229">
        <f t="shared" si="40"/>
        <v>25</v>
      </c>
      <c r="K164" s="43">
        <f t="shared" si="41"/>
        <v>0</v>
      </c>
      <c r="M164" s="224"/>
      <c r="N164" s="225">
        <f t="shared" si="42"/>
        <v>0</v>
      </c>
      <c r="O164" s="43" t="e">
        <f t="shared" si="43"/>
        <v>#VALUE!</v>
      </c>
      <c r="P164" s="43" t="e">
        <f>ROUND(IF(Preenchimento!$G$39="Tabela Price",R164-Q164,(O163*(1+$AD$35))/($AD$28-C163)),$P$22)</f>
        <v>#VALUE!</v>
      </c>
      <c r="Q164" s="43" t="e">
        <f>IF(Preenchimento!$G$39="Tabela Price",O163*(1+$AD$35)*W164,O163*(1+SAC!$AD$35)*SAC!W164)</f>
        <v>#VALUE!</v>
      </c>
      <c r="R164" s="43" t="e">
        <f>IF(Preenchimento!$G$39="Tabela Price",IF(C164="","",((((((1+W164)^($Q$16-C163))*W164)/((1+W164)^($Q$16-C163)-1))*(O163*(1+$AD$35))))),Q164+P164)</f>
        <v>#VALUE!</v>
      </c>
      <c r="S164" s="43" t="e">
        <f t="shared" ca="1" si="38"/>
        <v>#VALUE!</v>
      </c>
      <c r="T164" s="43">
        <f t="shared" si="44"/>
        <v>0</v>
      </c>
      <c r="U164" s="226">
        <f>TRUNC(T164*Condições!$C$102,2)</f>
        <v>0</v>
      </c>
      <c r="V164" s="82">
        <f t="shared" ca="1" si="45"/>
        <v>1</v>
      </c>
      <c r="W164" s="231" t="str">
        <f t="shared" si="46"/>
        <v/>
      </c>
      <c r="X164" s="210"/>
      <c r="Y164" s="210"/>
      <c r="Z164" s="210"/>
      <c r="AI164" s="114">
        <f t="shared" si="47"/>
        <v>0</v>
      </c>
      <c r="AJ164" s="113"/>
      <c r="AL164" s="477">
        <f t="shared" ca="1" si="48"/>
        <v>0</v>
      </c>
    </row>
    <row r="165" spans="2:38" ht="12" customHeight="1">
      <c r="B165" s="222">
        <f ca="1">Fixa!B165</f>
        <v>50452</v>
      </c>
      <c r="C165" s="223" t="str">
        <f>Fixa!C165</f>
        <v/>
      </c>
      <c r="D165" s="43" t="e">
        <f t="shared" si="39"/>
        <v>#VALUE!</v>
      </c>
      <c r="E165" s="43" t="e">
        <f t="shared" si="33"/>
        <v>#VALUE!</v>
      </c>
      <c r="F165" s="43" t="e">
        <f t="shared" si="34"/>
        <v>#VALUE!</v>
      </c>
      <c r="G165" s="43" t="e">
        <f t="shared" si="35"/>
        <v>#VALUE!</v>
      </c>
      <c r="H165" s="43" t="e">
        <f t="shared" ca="1" si="36"/>
        <v>#VALUE!</v>
      </c>
      <c r="I165" s="43">
        <f t="shared" si="37"/>
        <v>0</v>
      </c>
      <c r="J165" s="229">
        <f t="shared" si="40"/>
        <v>25</v>
      </c>
      <c r="K165" s="43">
        <f t="shared" si="41"/>
        <v>0</v>
      </c>
      <c r="M165" s="224"/>
      <c r="N165" s="225">
        <f t="shared" si="42"/>
        <v>0</v>
      </c>
      <c r="O165" s="43" t="e">
        <f t="shared" si="43"/>
        <v>#VALUE!</v>
      </c>
      <c r="P165" s="43" t="e">
        <f>ROUND(IF(Preenchimento!$G$39="Tabela Price",R165-Q165,(O164*(1+$AD$35))/($AD$28-C164)),$P$22)</f>
        <v>#VALUE!</v>
      </c>
      <c r="Q165" s="43" t="e">
        <f>IF(Preenchimento!$G$39="Tabela Price",O164*(1+$AD$35)*W165,O164*(1+SAC!$AD$35)*SAC!W165)</f>
        <v>#VALUE!</v>
      </c>
      <c r="R165" s="43" t="e">
        <f>IF(Preenchimento!$G$39="Tabela Price",IF(C165="","",((((((1+W165)^($Q$16-C164))*W165)/((1+W165)^($Q$16-C164)-1))*(O164*(1+$AD$35))))),Q165+P165)</f>
        <v>#VALUE!</v>
      </c>
      <c r="S165" s="43" t="e">
        <f t="shared" ca="1" si="38"/>
        <v>#VALUE!</v>
      </c>
      <c r="T165" s="43">
        <f t="shared" si="44"/>
        <v>0</v>
      </c>
      <c r="U165" s="226">
        <f>TRUNC(T165*Condições!$C$102,2)</f>
        <v>0</v>
      </c>
      <c r="V165" s="82">
        <f t="shared" ca="1" si="45"/>
        <v>2</v>
      </c>
      <c r="W165" s="231" t="str">
        <f t="shared" si="46"/>
        <v/>
      </c>
      <c r="X165" s="210"/>
      <c r="Y165" s="210"/>
      <c r="Z165" s="210"/>
      <c r="AI165" s="114">
        <f t="shared" si="47"/>
        <v>0</v>
      </c>
      <c r="AJ165" s="113"/>
      <c r="AL165" s="477">
        <f t="shared" ca="1" si="48"/>
        <v>0</v>
      </c>
    </row>
    <row r="166" spans="2:38" ht="12" customHeight="1">
      <c r="B166" s="222">
        <f ca="1">Fixa!B166</f>
        <v>50480</v>
      </c>
      <c r="C166" s="223" t="str">
        <f>Fixa!C166</f>
        <v/>
      </c>
      <c r="D166" s="43" t="e">
        <f t="shared" si="39"/>
        <v>#VALUE!</v>
      </c>
      <c r="E166" s="43" t="e">
        <f t="shared" si="33"/>
        <v>#VALUE!</v>
      </c>
      <c r="F166" s="43" t="e">
        <f t="shared" si="34"/>
        <v>#VALUE!</v>
      </c>
      <c r="G166" s="43" t="e">
        <f t="shared" si="35"/>
        <v>#VALUE!</v>
      </c>
      <c r="H166" s="43" t="e">
        <f t="shared" ca="1" si="36"/>
        <v>#VALUE!</v>
      </c>
      <c r="I166" s="43">
        <f t="shared" si="37"/>
        <v>0</v>
      </c>
      <c r="J166" s="229">
        <f t="shared" si="40"/>
        <v>25</v>
      </c>
      <c r="K166" s="43">
        <f t="shared" si="41"/>
        <v>0</v>
      </c>
      <c r="M166" s="224"/>
      <c r="N166" s="225">
        <f t="shared" si="42"/>
        <v>0</v>
      </c>
      <c r="O166" s="43" t="e">
        <f t="shared" si="43"/>
        <v>#VALUE!</v>
      </c>
      <c r="P166" s="43" t="e">
        <f>ROUND(IF(Preenchimento!$G$39="Tabela Price",R166-Q166,(O165*(1+$AD$35))/($AD$28-C165)),$P$22)</f>
        <v>#VALUE!</v>
      </c>
      <c r="Q166" s="43" t="e">
        <f>IF(Preenchimento!$G$39="Tabela Price",O165*(1+$AD$35)*W166,O165*(1+SAC!$AD$35)*SAC!W166)</f>
        <v>#VALUE!</v>
      </c>
      <c r="R166" s="43" t="e">
        <f>IF(Preenchimento!$G$39="Tabela Price",IF(C166="","",((((((1+W166)^($Q$16-C165))*W166)/((1+W166)^($Q$16-C165)-1))*(O165*(1+$AD$35))))),Q166+P166)</f>
        <v>#VALUE!</v>
      </c>
      <c r="S166" s="43" t="e">
        <f t="shared" ca="1" si="38"/>
        <v>#VALUE!</v>
      </c>
      <c r="T166" s="43">
        <f t="shared" si="44"/>
        <v>0</v>
      </c>
      <c r="U166" s="226">
        <f>TRUNC(T166*Condições!$C$102,2)</f>
        <v>0</v>
      </c>
      <c r="V166" s="82">
        <f t="shared" ca="1" si="45"/>
        <v>3</v>
      </c>
      <c r="W166" s="231" t="str">
        <f t="shared" si="46"/>
        <v/>
      </c>
      <c r="X166" s="210"/>
      <c r="Y166" s="210"/>
      <c r="Z166" s="210"/>
      <c r="AI166" s="114">
        <f t="shared" si="47"/>
        <v>0</v>
      </c>
      <c r="AJ166" s="113"/>
      <c r="AL166" s="477">
        <f t="shared" ca="1" si="48"/>
        <v>0</v>
      </c>
    </row>
    <row r="167" spans="2:38" ht="12" customHeight="1">
      <c r="B167" s="222">
        <f ca="1">Fixa!B167</f>
        <v>50511</v>
      </c>
      <c r="C167" s="223" t="str">
        <f>Fixa!C167</f>
        <v/>
      </c>
      <c r="D167" s="43" t="e">
        <f t="shared" si="39"/>
        <v>#VALUE!</v>
      </c>
      <c r="E167" s="43" t="e">
        <f t="shared" si="33"/>
        <v>#VALUE!</v>
      </c>
      <c r="F167" s="43" t="e">
        <f t="shared" si="34"/>
        <v>#VALUE!</v>
      </c>
      <c r="G167" s="43" t="e">
        <f t="shared" si="35"/>
        <v>#VALUE!</v>
      </c>
      <c r="H167" s="43" t="e">
        <f t="shared" ca="1" si="36"/>
        <v>#VALUE!</v>
      </c>
      <c r="I167" s="43">
        <f t="shared" si="37"/>
        <v>0</v>
      </c>
      <c r="J167" s="229">
        <f t="shared" si="40"/>
        <v>25</v>
      </c>
      <c r="K167" s="43">
        <f t="shared" si="41"/>
        <v>0</v>
      </c>
      <c r="M167" s="224"/>
      <c r="N167" s="225">
        <f t="shared" si="42"/>
        <v>0</v>
      </c>
      <c r="O167" s="43" t="e">
        <f t="shared" si="43"/>
        <v>#VALUE!</v>
      </c>
      <c r="P167" s="43" t="e">
        <f>ROUND(IF(Preenchimento!$G$39="Tabela Price",R167-Q167,(O166*(1+$AD$35))/($AD$28-C166)),$P$22)</f>
        <v>#VALUE!</v>
      </c>
      <c r="Q167" s="43" t="e">
        <f>IF(Preenchimento!$G$39="Tabela Price",O166*(1+$AD$35)*W167,O166*(1+SAC!$AD$35)*SAC!W167)</f>
        <v>#VALUE!</v>
      </c>
      <c r="R167" s="43" t="e">
        <f>IF(Preenchimento!$G$39="Tabela Price",IF(C167="","",((((((1+W167)^($Q$16-C166))*W167)/((1+W167)^($Q$16-C166)-1))*(O166*(1+$AD$35))))),Q167+P167)</f>
        <v>#VALUE!</v>
      </c>
      <c r="S167" s="43" t="e">
        <f t="shared" ca="1" si="38"/>
        <v>#VALUE!</v>
      </c>
      <c r="T167" s="43">
        <f t="shared" si="44"/>
        <v>0</v>
      </c>
      <c r="U167" s="226">
        <f>TRUNC(T167*Condições!$C$102,2)</f>
        <v>0</v>
      </c>
      <c r="V167" s="82">
        <f t="shared" ca="1" si="45"/>
        <v>4</v>
      </c>
      <c r="W167" s="231" t="str">
        <f t="shared" si="46"/>
        <v/>
      </c>
      <c r="X167" s="210"/>
      <c r="Y167" s="210"/>
      <c r="Z167" s="210"/>
      <c r="AI167" s="114">
        <f t="shared" si="47"/>
        <v>0</v>
      </c>
      <c r="AJ167" s="113"/>
      <c r="AL167" s="477">
        <f t="shared" ca="1" si="48"/>
        <v>0</v>
      </c>
    </row>
    <row r="168" spans="2:38" ht="12" customHeight="1">
      <c r="B168" s="222">
        <f ca="1">Fixa!B168</f>
        <v>50541</v>
      </c>
      <c r="C168" s="223" t="str">
        <f>Fixa!C168</f>
        <v/>
      </c>
      <c r="D168" s="43" t="e">
        <f t="shared" si="39"/>
        <v>#VALUE!</v>
      </c>
      <c r="E168" s="43" t="e">
        <f t="shared" si="33"/>
        <v>#VALUE!</v>
      </c>
      <c r="F168" s="43" t="e">
        <f t="shared" si="34"/>
        <v>#VALUE!</v>
      </c>
      <c r="G168" s="43" t="e">
        <f t="shared" si="35"/>
        <v>#VALUE!</v>
      </c>
      <c r="H168" s="43" t="e">
        <f t="shared" ca="1" si="36"/>
        <v>#VALUE!</v>
      </c>
      <c r="I168" s="43">
        <f t="shared" si="37"/>
        <v>0</v>
      </c>
      <c r="J168" s="229">
        <f t="shared" si="40"/>
        <v>25</v>
      </c>
      <c r="K168" s="43">
        <f t="shared" si="41"/>
        <v>0</v>
      </c>
      <c r="M168" s="224"/>
      <c r="N168" s="225">
        <f t="shared" si="42"/>
        <v>0</v>
      </c>
      <c r="O168" s="43" t="e">
        <f t="shared" si="43"/>
        <v>#VALUE!</v>
      </c>
      <c r="P168" s="43" t="e">
        <f>ROUND(IF(Preenchimento!$G$39="Tabela Price",R168-Q168,(O167*(1+$AD$35))/($AD$28-C167)),$P$22)</f>
        <v>#VALUE!</v>
      </c>
      <c r="Q168" s="43" t="e">
        <f>IF(Preenchimento!$G$39="Tabela Price",O167*(1+$AD$35)*W168,O167*(1+SAC!$AD$35)*SAC!W168)</f>
        <v>#VALUE!</v>
      </c>
      <c r="R168" s="43" t="e">
        <f>IF(Preenchimento!$G$39="Tabela Price",IF(C168="","",((((((1+W168)^($Q$16-C167))*W168)/((1+W168)^($Q$16-C167)-1))*(O167*(1+$AD$35))))),Q168+P168)</f>
        <v>#VALUE!</v>
      </c>
      <c r="S168" s="43" t="e">
        <f t="shared" ca="1" si="38"/>
        <v>#VALUE!</v>
      </c>
      <c r="T168" s="43">
        <f t="shared" si="44"/>
        <v>0</v>
      </c>
      <c r="U168" s="226">
        <f>TRUNC(T168*Condições!$C$102,2)</f>
        <v>0</v>
      </c>
      <c r="V168" s="82">
        <f t="shared" ca="1" si="45"/>
        <v>5</v>
      </c>
      <c r="W168" s="231" t="str">
        <f t="shared" si="46"/>
        <v/>
      </c>
      <c r="X168" s="210"/>
      <c r="Y168" s="210"/>
      <c r="Z168" s="210"/>
      <c r="AI168" s="114">
        <f t="shared" si="47"/>
        <v>0</v>
      </c>
      <c r="AJ168" s="113"/>
      <c r="AL168" s="477">
        <f t="shared" ca="1" si="48"/>
        <v>0</v>
      </c>
    </row>
    <row r="169" spans="2:38" ht="12" customHeight="1">
      <c r="B169" s="222">
        <f ca="1">Fixa!B169</f>
        <v>50572</v>
      </c>
      <c r="C169" s="223" t="str">
        <f>Fixa!C169</f>
        <v/>
      </c>
      <c r="D169" s="43" t="e">
        <f t="shared" si="39"/>
        <v>#VALUE!</v>
      </c>
      <c r="E169" s="43" t="e">
        <f t="shared" si="33"/>
        <v>#VALUE!</v>
      </c>
      <c r="F169" s="43" t="e">
        <f t="shared" si="34"/>
        <v>#VALUE!</v>
      </c>
      <c r="G169" s="43" t="e">
        <f t="shared" si="35"/>
        <v>#VALUE!</v>
      </c>
      <c r="H169" s="43" t="e">
        <f t="shared" ca="1" si="36"/>
        <v>#VALUE!</v>
      </c>
      <c r="I169" s="43">
        <f t="shared" si="37"/>
        <v>0</v>
      </c>
      <c r="J169" s="229">
        <f t="shared" si="40"/>
        <v>25</v>
      </c>
      <c r="K169" s="43">
        <f t="shared" si="41"/>
        <v>0</v>
      </c>
      <c r="M169" s="224"/>
      <c r="N169" s="225">
        <f t="shared" si="42"/>
        <v>0</v>
      </c>
      <c r="O169" s="43" t="e">
        <f t="shared" si="43"/>
        <v>#VALUE!</v>
      </c>
      <c r="P169" s="43" t="e">
        <f>ROUND(IF(Preenchimento!$G$39="Tabela Price",R169-Q169,(O168*(1+$AD$35))/($AD$28-C168)),$P$22)</f>
        <v>#VALUE!</v>
      </c>
      <c r="Q169" s="43" t="e">
        <f>IF(Preenchimento!$G$39="Tabela Price",O168*(1+$AD$35)*W169,O168*(1+SAC!$AD$35)*SAC!W169)</f>
        <v>#VALUE!</v>
      </c>
      <c r="R169" s="43" t="e">
        <f>IF(Preenchimento!$G$39="Tabela Price",IF(C169="","",((((((1+W169)^($Q$16-C168))*W169)/((1+W169)^($Q$16-C168)-1))*(O168*(1+$AD$35))))),Q169+P169)</f>
        <v>#VALUE!</v>
      </c>
      <c r="S169" s="43" t="e">
        <f t="shared" ca="1" si="38"/>
        <v>#VALUE!</v>
      </c>
      <c r="T169" s="43">
        <f t="shared" si="44"/>
        <v>0</v>
      </c>
      <c r="U169" s="226">
        <f>TRUNC(T169*Condições!$C$102,2)</f>
        <v>0</v>
      </c>
      <c r="V169" s="82">
        <f t="shared" ca="1" si="45"/>
        <v>6</v>
      </c>
      <c r="W169" s="231" t="str">
        <f t="shared" si="46"/>
        <v/>
      </c>
      <c r="X169" s="210"/>
      <c r="Y169" s="210"/>
      <c r="Z169" s="210"/>
      <c r="AI169" s="114">
        <f t="shared" si="47"/>
        <v>0</v>
      </c>
      <c r="AJ169" s="113"/>
      <c r="AL169" s="477">
        <f t="shared" ca="1" si="48"/>
        <v>0</v>
      </c>
    </row>
    <row r="170" spans="2:38" ht="12" customHeight="1">
      <c r="B170" s="222">
        <f ca="1">Fixa!B170</f>
        <v>50602</v>
      </c>
      <c r="C170" s="223" t="str">
        <f>Fixa!C170</f>
        <v/>
      </c>
      <c r="D170" s="43" t="e">
        <f t="shared" si="39"/>
        <v>#VALUE!</v>
      </c>
      <c r="E170" s="43" t="e">
        <f t="shared" si="33"/>
        <v>#VALUE!</v>
      </c>
      <c r="F170" s="43" t="e">
        <f t="shared" si="34"/>
        <v>#VALUE!</v>
      </c>
      <c r="G170" s="43" t="e">
        <f t="shared" si="35"/>
        <v>#VALUE!</v>
      </c>
      <c r="H170" s="43" t="e">
        <f t="shared" ca="1" si="36"/>
        <v>#VALUE!</v>
      </c>
      <c r="I170" s="43">
        <f t="shared" si="37"/>
        <v>0</v>
      </c>
      <c r="J170" s="229">
        <f t="shared" si="40"/>
        <v>25</v>
      </c>
      <c r="K170" s="43">
        <f t="shared" si="41"/>
        <v>0</v>
      </c>
      <c r="M170" s="224"/>
      <c r="N170" s="225">
        <f t="shared" si="42"/>
        <v>0</v>
      </c>
      <c r="O170" s="43" t="e">
        <f t="shared" si="43"/>
        <v>#VALUE!</v>
      </c>
      <c r="P170" s="43" t="e">
        <f>ROUND(IF(Preenchimento!$G$39="Tabela Price",R170-Q170,(O169*(1+$AD$35))/($AD$28-C169)),$P$22)</f>
        <v>#VALUE!</v>
      </c>
      <c r="Q170" s="43" t="e">
        <f>IF(Preenchimento!$G$39="Tabela Price",O169*(1+$AD$35)*W170,O169*(1+SAC!$AD$35)*SAC!W170)</f>
        <v>#VALUE!</v>
      </c>
      <c r="R170" s="43" t="e">
        <f>IF(Preenchimento!$G$39="Tabela Price",IF(C170="","",((((((1+W170)^($Q$16-C169))*W170)/((1+W170)^($Q$16-C169)-1))*(O169*(1+$AD$35))))),Q170+P170)</f>
        <v>#VALUE!</v>
      </c>
      <c r="S170" s="43" t="e">
        <f t="shared" ca="1" si="38"/>
        <v>#VALUE!</v>
      </c>
      <c r="T170" s="43">
        <f t="shared" si="44"/>
        <v>0</v>
      </c>
      <c r="U170" s="226">
        <f>TRUNC(T170*Condições!$C$102,2)</f>
        <v>0</v>
      </c>
      <c r="V170" s="82">
        <f t="shared" ca="1" si="45"/>
        <v>7</v>
      </c>
      <c r="W170" s="231" t="str">
        <f t="shared" si="46"/>
        <v/>
      </c>
      <c r="X170" s="210"/>
      <c r="Y170" s="210"/>
      <c r="Z170" s="210"/>
      <c r="AI170" s="114">
        <f t="shared" si="47"/>
        <v>0</v>
      </c>
      <c r="AJ170" s="113"/>
      <c r="AL170" s="477">
        <f t="shared" ca="1" si="48"/>
        <v>0</v>
      </c>
    </row>
    <row r="171" spans="2:38" ht="12" customHeight="1">
      <c r="B171" s="222">
        <f ca="1">Fixa!B171</f>
        <v>50633</v>
      </c>
      <c r="C171" s="223" t="str">
        <f>Fixa!C171</f>
        <v/>
      </c>
      <c r="D171" s="43" t="e">
        <f t="shared" si="39"/>
        <v>#VALUE!</v>
      </c>
      <c r="E171" s="43" t="e">
        <f t="shared" si="33"/>
        <v>#VALUE!</v>
      </c>
      <c r="F171" s="43" t="e">
        <f t="shared" si="34"/>
        <v>#VALUE!</v>
      </c>
      <c r="G171" s="43" t="e">
        <f t="shared" si="35"/>
        <v>#VALUE!</v>
      </c>
      <c r="H171" s="43" t="e">
        <f t="shared" ca="1" si="36"/>
        <v>#VALUE!</v>
      </c>
      <c r="I171" s="43">
        <f t="shared" si="37"/>
        <v>0</v>
      </c>
      <c r="J171" s="229">
        <f t="shared" si="40"/>
        <v>25</v>
      </c>
      <c r="K171" s="43">
        <f t="shared" si="41"/>
        <v>0</v>
      </c>
      <c r="M171" s="224"/>
      <c r="N171" s="225">
        <f t="shared" si="42"/>
        <v>0</v>
      </c>
      <c r="O171" s="43" t="e">
        <f t="shared" si="43"/>
        <v>#VALUE!</v>
      </c>
      <c r="P171" s="43" t="e">
        <f>ROUND(IF(Preenchimento!$G$39="Tabela Price",R171-Q171,(O170*(1+$AD$35))/($AD$28-C170)),$P$22)</f>
        <v>#VALUE!</v>
      </c>
      <c r="Q171" s="43" t="e">
        <f>IF(Preenchimento!$G$39="Tabela Price",O170*(1+$AD$35)*W171,O170*(1+SAC!$AD$35)*SAC!W171)</f>
        <v>#VALUE!</v>
      </c>
      <c r="R171" s="43" t="e">
        <f>IF(Preenchimento!$G$39="Tabela Price",IF(C171="","",((((((1+W171)^($Q$16-C170))*W171)/((1+W171)^($Q$16-C170)-1))*(O170*(1+$AD$35))))),Q171+P171)</f>
        <v>#VALUE!</v>
      </c>
      <c r="S171" s="43" t="e">
        <f t="shared" ca="1" si="38"/>
        <v>#VALUE!</v>
      </c>
      <c r="T171" s="43">
        <f t="shared" si="44"/>
        <v>0</v>
      </c>
      <c r="U171" s="226">
        <f>TRUNC(T171*Condições!$C$102,2)</f>
        <v>0</v>
      </c>
      <c r="V171" s="82">
        <f t="shared" ca="1" si="45"/>
        <v>8</v>
      </c>
      <c r="W171" s="231" t="str">
        <f t="shared" si="46"/>
        <v/>
      </c>
      <c r="X171" s="210"/>
      <c r="Y171" s="210"/>
      <c r="Z171" s="210"/>
      <c r="AI171" s="114">
        <f t="shared" si="47"/>
        <v>0</v>
      </c>
      <c r="AJ171" s="113"/>
      <c r="AL171" s="477">
        <f t="shared" ca="1" si="48"/>
        <v>0</v>
      </c>
    </row>
    <row r="172" spans="2:38" ht="12" customHeight="1">
      <c r="B172" s="222">
        <f ca="1">Fixa!B172</f>
        <v>50664</v>
      </c>
      <c r="C172" s="223" t="str">
        <f>Fixa!C172</f>
        <v/>
      </c>
      <c r="D172" s="43" t="e">
        <f t="shared" si="39"/>
        <v>#VALUE!</v>
      </c>
      <c r="E172" s="43" t="e">
        <f t="shared" si="33"/>
        <v>#VALUE!</v>
      </c>
      <c r="F172" s="43" t="e">
        <f t="shared" si="34"/>
        <v>#VALUE!</v>
      </c>
      <c r="G172" s="43" t="e">
        <f t="shared" si="35"/>
        <v>#VALUE!</v>
      </c>
      <c r="H172" s="43" t="e">
        <f t="shared" ca="1" si="36"/>
        <v>#VALUE!</v>
      </c>
      <c r="I172" s="43">
        <f t="shared" si="37"/>
        <v>0</v>
      </c>
      <c r="J172" s="229">
        <f t="shared" si="40"/>
        <v>25</v>
      </c>
      <c r="K172" s="43">
        <f t="shared" si="41"/>
        <v>0</v>
      </c>
      <c r="M172" s="224"/>
      <c r="N172" s="225">
        <f t="shared" si="42"/>
        <v>0</v>
      </c>
      <c r="O172" s="43" t="e">
        <f t="shared" si="43"/>
        <v>#VALUE!</v>
      </c>
      <c r="P172" s="43" t="e">
        <f>ROUND(IF(Preenchimento!$G$39="Tabela Price",R172-Q172,(O171*(1+$AD$35))/($AD$28-C171)),$P$22)</f>
        <v>#VALUE!</v>
      </c>
      <c r="Q172" s="43" t="e">
        <f>IF(Preenchimento!$G$39="Tabela Price",O171*(1+$AD$35)*W172,O171*(1+SAC!$AD$35)*SAC!W172)</f>
        <v>#VALUE!</v>
      </c>
      <c r="R172" s="43" t="e">
        <f>IF(Preenchimento!$G$39="Tabela Price",IF(C172="","",((((((1+W172)^($Q$16-C171))*W172)/((1+W172)^($Q$16-C171)-1))*(O171*(1+$AD$35))))),Q172+P172)</f>
        <v>#VALUE!</v>
      </c>
      <c r="S172" s="43" t="e">
        <f t="shared" ca="1" si="38"/>
        <v>#VALUE!</v>
      </c>
      <c r="T172" s="43">
        <f t="shared" si="44"/>
        <v>0</v>
      </c>
      <c r="U172" s="226">
        <f>TRUNC(T172*Condições!$C$102,2)</f>
        <v>0</v>
      </c>
      <c r="V172" s="82">
        <f t="shared" ca="1" si="45"/>
        <v>9</v>
      </c>
      <c r="W172" s="231" t="str">
        <f t="shared" si="46"/>
        <v/>
      </c>
      <c r="X172" s="210"/>
      <c r="Y172" s="210"/>
      <c r="Z172" s="210"/>
      <c r="AI172" s="114">
        <f t="shared" si="47"/>
        <v>0</v>
      </c>
      <c r="AJ172" s="113"/>
      <c r="AL172" s="477">
        <f t="shared" ca="1" si="48"/>
        <v>0</v>
      </c>
    </row>
    <row r="173" spans="2:38" ht="12" customHeight="1">
      <c r="B173" s="222">
        <f ca="1">Fixa!B173</f>
        <v>50694</v>
      </c>
      <c r="C173" s="223" t="str">
        <f>Fixa!C173</f>
        <v/>
      </c>
      <c r="D173" s="43" t="e">
        <f t="shared" si="39"/>
        <v>#VALUE!</v>
      </c>
      <c r="E173" s="43" t="e">
        <f t="shared" si="33"/>
        <v>#VALUE!</v>
      </c>
      <c r="F173" s="43" t="e">
        <f t="shared" si="34"/>
        <v>#VALUE!</v>
      </c>
      <c r="G173" s="43" t="e">
        <f t="shared" si="35"/>
        <v>#VALUE!</v>
      </c>
      <c r="H173" s="43" t="e">
        <f t="shared" ca="1" si="36"/>
        <v>#VALUE!</v>
      </c>
      <c r="I173" s="43">
        <f t="shared" si="37"/>
        <v>0</v>
      </c>
      <c r="J173" s="229">
        <f t="shared" si="40"/>
        <v>25</v>
      </c>
      <c r="K173" s="43">
        <f t="shared" si="41"/>
        <v>0</v>
      </c>
      <c r="M173" s="224"/>
      <c r="N173" s="225">
        <f t="shared" si="42"/>
        <v>0</v>
      </c>
      <c r="O173" s="43" t="e">
        <f t="shared" si="43"/>
        <v>#VALUE!</v>
      </c>
      <c r="P173" s="43" t="e">
        <f>ROUND(IF(Preenchimento!$G$39="Tabela Price",R173-Q173,(O172*(1+$AD$35))/($AD$28-C172)),$P$22)</f>
        <v>#VALUE!</v>
      </c>
      <c r="Q173" s="43" t="e">
        <f>IF(Preenchimento!$G$39="Tabela Price",O172*(1+$AD$35)*W173,O172*(1+SAC!$AD$35)*SAC!W173)</f>
        <v>#VALUE!</v>
      </c>
      <c r="R173" s="43" t="e">
        <f>IF(Preenchimento!$G$39="Tabela Price",IF(C173="","",((((((1+W173)^($Q$16-C172))*W173)/((1+W173)^($Q$16-C172)-1))*(O172*(1+$AD$35))))),Q173+P173)</f>
        <v>#VALUE!</v>
      </c>
      <c r="S173" s="43" t="e">
        <f t="shared" ca="1" si="38"/>
        <v>#VALUE!</v>
      </c>
      <c r="T173" s="43">
        <f t="shared" si="44"/>
        <v>0</v>
      </c>
      <c r="U173" s="226">
        <f>TRUNC(T173*Condições!$C$102,2)</f>
        <v>0</v>
      </c>
      <c r="V173" s="82">
        <f t="shared" ca="1" si="45"/>
        <v>10</v>
      </c>
      <c r="W173" s="231" t="str">
        <f t="shared" si="46"/>
        <v/>
      </c>
      <c r="X173" s="210"/>
      <c r="Y173" s="210"/>
      <c r="Z173" s="210"/>
      <c r="AI173" s="114">
        <f t="shared" si="47"/>
        <v>0</v>
      </c>
      <c r="AJ173" s="113"/>
      <c r="AL173" s="477">
        <f t="shared" ca="1" si="48"/>
        <v>0</v>
      </c>
    </row>
    <row r="174" spans="2:38" ht="12" customHeight="1">
      <c r="B174" s="222">
        <f ca="1">Fixa!B174</f>
        <v>50725</v>
      </c>
      <c r="C174" s="223" t="str">
        <f>Fixa!C174</f>
        <v/>
      </c>
      <c r="D174" s="43" t="e">
        <f t="shared" si="39"/>
        <v>#VALUE!</v>
      </c>
      <c r="E174" s="43" t="e">
        <f t="shared" si="33"/>
        <v>#VALUE!</v>
      </c>
      <c r="F174" s="43" t="e">
        <f t="shared" si="34"/>
        <v>#VALUE!</v>
      </c>
      <c r="G174" s="43" t="e">
        <f t="shared" si="35"/>
        <v>#VALUE!</v>
      </c>
      <c r="H174" s="43" t="e">
        <f t="shared" ca="1" si="36"/>
        <v>#VALUE!</v>
      </c>
      <c r="I174" s="43">
        <f t="shared" si="37"/>
        <v>0</v>
      </c>
      <c r="J174" s="229">
        <f t="shared" si="40"/>
        <v>25</v>
      </c>
      <c r="K174" s="43">
        <f t="shared" si="41"/>
        <v>0</v>
      </c>
      <c r="M174" s="224"/>
      <c r="N174" s="225">
        <f t="shared" si="42"/>
        <v>0</v>
      </c>
      <c r="O174" s="43" t="e">
        <f t="shared" si="43"/>
        <v>#VALUE!</v>
      </c>
      <c r="P174" s="43" t="e">
        <f>ROUND(IF(Preenchimento!$G$39="Tabela Price",R174-Q174,(O173*(1+$AD$35))/($AD$28-C173)),$P$22)</f>
        <v>#VALUE!</v>
      </c>
      <c r="Q174" s="43" t="e">
        <f>IF(Preenchimento!$G$39="Tabela Price",O173*(1+$AD$35)*W174,O173*(1+SAC!$AD$35)*SAC!W174)</f>
        <v>#VALUE!</v>
      </c>
      <c r="R174" s="43" t="e">
        <f>IF(Preenchimento!$G$39="Tabela Price",IF(C174="","",((((((1+W174)^($Q$16-C173))*W174)/((1+W174)^($Q$16-C173)-1))*(O173*(1+$AD$35))))),Q174+P174)</f>
        <v>#VALUE!</v>
      </c>
      <c r="S174" s="43" t="e">
        <f t="shared" ca="1" si="38"/>
        <v>#VALUE!</v>
      </c>
      <c r="T174" s="43">
        <f t="shared" si="44"/>
        <v>0</v>
      </c>
      <c r="U174" s="226">
        <f>TRUNC(T174*Condições!$C$102,2)</f>
        <v>0</v>
      </c>
      <c r="V174" s="82">
        <f t="shared" ca="1" si="45"/>
        <v>11</v>
      </c>
      <c r="W174" s="231" t="str">
        <f t="shared" si="46"/>
        <v/>
      </c>
      <c r="X174" s="210"/>
      <c r="Y174" s="210"/>
      <c r="Z174" s="210"/>
      <c r="AI174" s="114">
        <f t="shared" si="47"/>
        <v>0</v>
      </c>
      <c r="AJ174" s="113"/>
      <c r="AL174" s="477">
        <f t="shared" ca="1" si="48"/>
        <v>0</v>
      </c>
    </row>
    <row r="175" spans="2:38" ht="12" customHeight="1">
      <c r="B175" s="222">
        <f ca="1">Fixa!B175</f>
        <v>50755</v>
      </c>
      <c r="C175" s="223" t="str">
        <f>Fixa!C175</f>
        <v/>
      </c>
      <c r="D175" s="43" t="e">
        <f t="shared" si="39"/>
        <v>#VALUE!</v>
      </c>
      <c r="E175" s="43" t="e">
        <f t="shared" si="33"/>
        <v>#VALUE!</v>
      </c>
      <c r="F175" s="43" t="e">
        <f t="shared" si="34"/>
        <v>#VALUE!</v>
      </c>
      <c r="G175" s="43" t="e">
        <f t="shared" si="35"/>
        <v>#VALUE!</v>
      </c>
      <c r="H175" s="43" t="e">
        <f t="shared" ca="1" si="36"/>
        <v>#VALUE!</v>
      </c>
      <c r="I175" s="43">
        <f t="shared" si="37"/>
        <v>0</v>
      </c>
      <c r="J175" s="229">
        <f t="shared" si="40"/>
        <v>25</v>
      </c>
      <c r="K175" s="43">
        <f t="shared" si="41"/>
        <v>0</v>
      </c>
      <c r="M175" s="224"/>
      <c r="N175" s="225">
        <f t="shared" si="42"/>
        <v>0</v>
      </c>
      <c r="O175" s="43" t="e">
        <f t="shared" si="43"/>
        <v>#VALUE!</v>
      </c>
      <c r="P175" s="43" t="e">
        <f>ROUND(IF(Preenchimento!$G$39="Tabela Price",R175-Q175,(O174*(1+$AD$35))/($AD$28-C174)),$P$22)</f>
        <v>#VALUE!</v>
      </c>
      <c r="Q175" s="43" t="e">
        <f>IF(Preenchimento!$G$39="Tabela Price",O174*(1+$AD$35)*W175,O174*(1+SAC!$AD$35)*SAC!W175)</f>
        <v>#VALUE!</v>
      </c>
      <c r="R175" s="43" t="e">
        <f>IF(Preenchimento!$G$39="Tabela Price",IF(C175="","",((((((1+W175)^($Q$16-C174))*W175)/((1+W175)^($Q$16-C174)-1))*(O174*(1+$AD$35))))),Q175+P175)</f>
        <v>#VALUE!</v>
      </c>
      <c r="S175" s="43" t="e">
        <f t="shared" ca="1" si="38"/>
        <v>#VALUE!</v>
      </c>
      <c r="T175" s="43">
        <f t="shared" si="44"/>
        <v>0</v>
      </c>
      <c r="U175" s="226">
        <f>TRUNC(T175*Condições!$C$102,2)</f>
        <v>0</v>
      </c>
      <c r="V175" s="82">
        <f t="shared" ca="1" si="45"/>
        <v>12</v>
      </c>
      <c r="W175" s="231" t="str">
        <f t="shared" si="46"/>
        <v/>
      </c>
      <c r="X175" s="210"/>
      <c r="Y175" s="210"/>
      <c r="Z175" s="210"/>
      <c r="AI175" s="114">
        <f t="shared" si="47"/>
        <v>0</v>
      </c>
      <c r="AJ175" s="113"/>
      <c r="AL175" s="477">
        <f t="shared" ca="1" si="48"/>
        <v>0</v>
      </c>
    </row>
    <row r="176" spans="2:38" ht="12" customHeight="1">
      <c r="B176" s="222">
        <f ca="1">Fixa!B176</f>
        <v>50786</v>
      </c>
      <c r="C176" s="223" t="str">
        <f>Fixa!C176</f>
        <v/>
      </c>
      <c r="D176" s="43" t="e">
        <f t="shared" si="39"/>
        <v>#VALUE!</v>
      </c>
      <c r="E176" s="43" t="e">
        <f t="shared" si="33"/>
        <v>#VALUE!</v>
      </c>
      <c r="F176" s="43" t="e">
        <f t="shared" si="34"/>
        <v>#VALUE!</v>
      </c>
      <c r="G176" s="43" t="e">
        <f t="shared" si="35"/>
        <v>#VALUE!</v>
      </c>
      <c r="H176" s="43" t="e">
        <f t="shared" ca="1" si="36"/>
        <v>#VALUE!</v>
      </c>
      <c r="I176" s="43">
        <f t="shared" si="37"/>
        <v>0</v>
      </c>
      <c r="J176" s="229">
        <f t="shared" si="40"/>
        <v>25</v>
      </c>
      <c r="K176" s="43">
        <f t="shared" si="41"/>
        <v>0</v>
      </c>
      <c r="M176" s="224"/>
      <c r="N176" s="225">
        <f t="shared" si="42"/>
        <v>0</v>
      </c>
      <c r="O176" s="43" t="e">
        <f t="shared" si="43"/>
        <v>#VALUE!</v>
      </c>
      <c r="P176" s="43" t="e">
        <f>ROUND(IF(Preenchimento!$G$39="Tabela Price",R176-Q176,(O175*(1+$AD$35))/($AD$28-C175)),$P$22)</f>
        <v>#VALUE!</v>
      </c>
      <c r="Q176" s="43" t="e">
        <f>IF(Preenchimento!$G$39="Tabela Price",O175*(1+$AD$35)*W176,O175*(1+SAC!$AD$35)*SAC!W176)</f>
        <v>#VALUE!</v>
      </c>
      <c r="R176" s="43" t="e">
        <f>IF(Preenchimento!$G$39="Tabela Price",IF(C176="","",((((((1+W176)^($Q$16-C175))*W176)/((1+W176)^($Q$16-C175)-1))*(O175*(1+$AD$35))))),Q176+P176)</f>
        <v>#VALUE!</v>
      </c>
      <c r="S176" s="43" t="e">
        <f t="shared" ca="1" si="38"/>
        <v>#VALUE!</v>
      </c>
      <c r="T176" s="43">
        <f t="shared" si="44"/>
        <v>0</v>
      </c>
      <c r="U176" s="226">
        <f>TRUNC(T176*Condições!$C$102,2)</f>
        <v>0</v>
      </c>
      <c r="V176" s="82">
        <f t="shared" ca="1" si="45"/>
        <v>1</v>
      </c>
      <c r="W176" s="231" t="str">
        <f t="shared" si="46"/>
        <v/>
      </c>
      <c r="X176" s="210"/>
      <c r="Y176" s="210"/>
      <c r="Z176" s="210"/>
      <c r="AI176" s="114">
        <f t="shared" si="47"/>
        <v>0</v>
      </c>
      <c r="AJ176" s="113"/>
      <c r="AL176" s="477">
        <f t="shared" ca="1" si="48"/>
        <v>0</v>
      </c>
    </row>
    <row r="177" spans="2:38" ht="12" customHeight="1">
      <c r="B177" s="222">
        <f ca="1">Fixa!B177</f>
        <v>50817</v>
      </c>
      <c r="C177" s="223" t="str">
        <f>Fixa!C177</f>
        <v/>
      </c>
      <c r="D177" s="43" t="e">
        <f t="shared" si="39"/>
        <v>#VALUE!</v>
      </c>
      <c r="E177" s="43" t="e">
        <f t="shared" si="33"/>
        <v>#VALUE!</v>
      </c>
      <c r="F177" s="43" t="e">
        <f t="shared" si="34"/>
        <v>#VALUE!</v>
      </c>
      <c r="G177" s="43" t="e">
        <f t="shared" si="35"/>
        <v>#VALUE!</v>
      </c>
      <c r="H177" s="43" t="e">
        <f t="shared" ca="1" si="36"/>
        <v>#VALUE!</v>
      </c>
      <c r="I177" s="43">
        <f t="shared" si="37"/>
        <v>0</v>
      </c>
      <c r="J177" s="229">
        <f t="shared" si="40"/>
        <v>25</v>
      </c>
      <c r="K177" s="43">
        <f t="shared" si="41"/>
        <v>0</v>
      </c>
      <c r="M177" s="224"/>
      <c r="N177" s="225">
        <f t="shared" si="42"/>
        <v>0</v>
      </c>
      <c r="O177" s="43" t="e">
        <f t="shared" si="43"/>
        <v>#VALUE!</v>
      </c>
      <c r="P177" s="43" t="e">
        <f>ROUND(IF(Preenchimento!$G$39="Tabela Price",R177-Q177,(O176*(1+$AD$35))/($AD$28-C176)),$P$22)</f>
        <v>#VALUE!</v>
      </c>
      <c r="Q177" s="43" t="e">
        <f>IF(Preenchimento!$G$39="Tabela Price",O176*(1+$AD$35)*W177,O176*(1+SAC!$AD$35)*SAC!W177)</f>
        <v>#VALUE!</v>
      </c>
      <c r="R177" s="43" t="e">
        <f>IF(Preenchimento!$G$39="Tabela Price",IF(C177="","",((((((1+W177)^($Q$16-C176))*W177)/((1+W177)^($Q$16-C176)-1))*(O176*(1+$AD$35))))),Q177+P177)</f>
        <v>#VALUE!</v>
      </c>
      <c r="S177" s="43" t="e">
        <f t="shared" ca="1" si="38"/>
        <v>#VALUE!</v>
      </c>
      <c r="T177" s="43">
        <f t="shared" si="44"/>
        <v>0</v>
      </c>
      <c r="U177" s="226">
        <f>TRUNC(T177*Condições!$C$102,2)</f>
        <v>0</v>
      </c>
      <c r="V177" s="82">
        <f t="shared" ca="1" si="45"/>
        <v>2</v>
      </c>
      <c r="W177" s="231" t="str">
        <f t="shared" si="46"/>
        <v/>
      </c>
      <c r="X177" s="210"/>
      <c r="Y177" s="210"/>
      <c r="Z177" s="210"/>
      <c r="AI177" s="114">
        <f t="shared" si="47"/>
        <v>0</v>
      </c>
      <c r="AJ177" s="113"/>
      <c r="AL177" s="477">
        <f t="shared" ca="1" si="48"/>
        <v>0</v>
      </c>
    </row>
    <row r="178" spans="2:38" ht="12" customHeight="1">
      <c r="B178" s="222">
        <f ca="1">Fixa!B178</f>
        <v>50845</v>
      </c>
      <c r="C178" s="223" t="str">
        <f>Fixa!C178</f>
        <v/>
      </c>
      <c r="D178" s="43" t="e">
        <f t="shared" si="39"/>
        <v>#VALUE!</v>
      </c>
      <c r="E178" s="43" t="e">
        <f t="shared" si="33"/>
        <v>#VALUE!</v>
      </c>
      <c r="F178" s="43" t="e">
        <f t="shared" si="34"/>
        <v>#VALUE!</v>
      </c>
      <c r="G178" s="43" t="e">
        <f t="shared" si="35"/>
        <v>#VALUE!</v>
      </c>
      <c r="H178" s="43" t="e">
        <f t="shared" ca="1" si="36"/>
        <v>#VALUE!</v>
      </c>
      <c r="I178" s="43">
        <f t="shared" si="37"/>
        <v>0</v>
      </c>
      <c r="J178" s="229">
        <f t="shared" si="40"/>
        <v>25</v>
      </c>
      <c r="K178" s="43">
        <f t="shared" si="41"/>
        <v>0</v>
      </c>
      <c r="M178" s="224"/>
      <c r="N178" s="225">
        <f t="shared" si="42"/>
        <v>0</v>
      </c>
      <c r="O178" s="43" t="e">
        <f t="shared" si="43"/>
        <v>#VALUE!</v>
      </c>
      <c r="P178" s="43" t="e">
        <f>ROUND(IF(Preenchimento!$G$39="Tabela Price",R178-Q178,(O177*(1+$AD$35))/($AD$28-C177)),$P$22)</f>
        <v>#VALUE!</v>
      </c>
      <c r="Q178" s="43" t="e">
        <f>IF(Preenchimento!$G$39="Tabela Price",O177*(1+$AD$35)*W178,O177*(1+SAC!$AD$35)*SAC!W178)</f>
        <v>#VALUE!</v>
      </c>
      <c r="R178" s="43" t="e">
        <f>IF(Preenchimento!$G$39="Tabela Price",IF(C178="","",((((((1+W178)^($Q$16-C177))*W178)/((1+W178)^($Q$16-C177)-1))*(O177*(1+$AD$35))))),Q178+P178)</f>
        <v>#VALUE!</v>
      </c>
      <c r="S178" s="43" t="e">
        <f t="shared" ca="1" si="38"/>
        <v>#VALUE!</v>
      </c>
      <c r="T178" s="43">
        <f t="shared" si="44"/>
        <v>0</v>
      </c>
      <c r="U178" s="226">
        <f>TRUNC(T178*Condições!$C$102,2)</f>
        <v>0</v>
      </c>
      <c r="V178" s="82">
        <f t="shared" ca="1" si="45"/>
        <v>3</v>
      </c>
      <c r="W178" s="231" t="str">
        <f t="shared" si="46"/>
        <v/>
      </c>
      <c r="X178" s="210"/>
      <c r="Y178" s="210"/>
      <c r="Z178" s="210"/>
      <c r="AI178" s="114">
        <f t="shared" si="47"/>
        <v>0</v>
      </c>
      <c r="AJ178" s="113"/>
      <c r="AL178" s="477">
        <f t="shared" ca="1" si="48"/>
        <v>0</v>
      </c>
    </row>
    <row r="179" spans="2:38" ht="12" customHeight="1">
      <c r="B179" s="222">
        <f ca="1">Fixa!B179</f>
        <v>50876</v>
      </c>
      <c r="C179" s="223" t="str">
        <f>Fixa!C179</f>
        <v/>
      </c>
      <c r="D179" s="43" t="e">
        <f t="shared" si="39"/>
        <v>#VALUE!</v>
      </c>
      <c r="E179" s="43" t="e">
        <f t="shared" si="33"/>
        <v>#VALUE!</v>
      </c>
      <c r="F179" s="43" t="e">
        <f t="shared" si="34"/>
        <v>#VALUE!</v>
      </c>
      <c r="G179" s="43" t="e">
        <f t="shared" si="35"/>
        <v>#VALUE!</v>
      </c>
      <c r="H179" s="43" t="e">
        <f t="shared" ca="1" si="36"/>
        <v>#VALUE!</v>
      </c>
      <c r="I179" s="43">
        <f t="shared" si="37"/>
        <v>0</v>
      </c>
      <c r="J179" s="229">
        <f t="shared" si="40"/>
        <v>25</v>
      </c>
      <c r="K179" s="43">
        <f t="shared" si="41"/>
        <v>0</v>
      </c>
      <c r="M179" s="224"/>
      <c r="N179" s="225">
        <f t="shared" si="42"/>
        <v>0</v>
      </c>
      <c r="O179" s="43" t="e">
        <f t="shared" si="43"/>
        <v>#VALUE!</v>
      </c>
      <c r="P179" s="43" t="e">
        <f>ROUND(IF(Preenchimento!$G$39="Tabela Price",R179-Q179,(O178*(1+$AD$35))/($AD$28-C178)),$P$22)</f>
        <v>#VALUE!</v>
      </c>
      <c r="Q179" s="43" t="e">
        <f>IF(Preenchimento!$G$39="Tabela Price",O178*(1+$AD$35)*W179,O178*(1+SAC!$AD$35)*SAC!W179)</f>
        <v>#VALUE!</v>
      </c>
      <c r="R179" s="43" t="e">
        <f>IF(Preenchimento!$G$39="Tabela Price",IF(C179="","",((((((1+W179)^($Q$16-C178))*W179)/((1+W179)^($Q$16-C178)-1))*(O178*(1+$AD$35))))),Q179+P179)</f>
        <v>#VALUE!</v>
      </c>
      <c r="S179" s="43" t="e">
        <f t="shared" ca="1" si="38"/>
        <v>#VALUE!</v>
      </c>
      <c r="T179" s="43">
        <f t="shared" si="44"/>
        <v>0</v>
      </c>
      <c r="U179" s="226">
        <f>TRUNC(T179*Condições!$C$102,2)</f>
        <v>0</v>
      </c>
      <c r="V179" s="82">
        <f t="shared" ca="1" si="45"/>
        <v>4</v>
      </c>
      <c r="W179" s="231" t="str">
        <f t="shared" si="46"/>
        <v/>
      </c>
      <c r="X179" s="210"/>
      <c r="Y179" s="210"/>
      <c r="Z179" s="210"/>
      <c r="AI179" s="114">
        <f t="shared" si="47"/>
        <v>0</v>
      </c>
      <c r="AJ179" s="113"/>
      <c r="AL179" s="477">
        <f t="shared" ca="1" si="48"/>
        <v>0</v>
      </c>
    </row>
    <row r="180" spans="2:38" ht="12" customHeight="1">
      <c r="B180" s="222">
        <f ca="1">Fixa!B180</f>
        <v>50906</v>
      </c>
      <c r="C180" s="223" t="str">
        <f>Fixa!C180</f>
        <v/>
      </c>
      <c r="D180" s="43" t="e">
        <f t="shared" si="39"/>
        <v>#VALUE!</v>
      </c>
      <c r="E180" s="43" t="e">
        <f t="shared" si="33"/>
        <v>#VALUE!</v>
      </c>
      <c r="F180" s="43" t="e">
        <f t="shared" si="34"/>
        <v>#VALUE!</v>
      </c>
      <c r="G180" s="43" t="e">
        <f t="shared" si="35"/>
        <v>#VALUE!</v>
      </c>
      <c r="H180" s="43" t="e">
        <f t="shared" ca="1" si="36"/>
        <v>#VALUE!</v>
      </c>
      <c r="I180" s="43">
        <f t="shared" si="37"/>
        <v>0</v>
      </c>
      <c r="J180" s="229">
        <f t="shared" si="40"/>
        <v>25</v>
      </c>
      <c r="K180" s="43">
        <f t="shared" si="41"/>
        <v>0</v>
      </c>
      <c r="M180" s="224"/>
      <c r="N180" s="225">
        <f t="shared" si="42"/>
        <v>0</v>
      </c>
      <c r="O180" s="43" t="e">
        <f t="shared" si="43"/>
        <v>#VALUE!</v>
      </c>
      <c r="P180" s="43" t="e">
        <f>ROUND(IF(Preenchimento!$G$39="Tabela Price",R180-Q180,(O179*(1+$AD$35))/($AD$28-C179)),$P$22)</f>
        <v>#VALUE!</v>
      </c>
      <c r="Q180" s="43" t="e">
        <f>IF(Preenchimento!$G$39="Tabela Price",O179*(1+$AD$35)*W180,O179*(1+SAC!$AD$35)*SAC!W180)</f>
        <v>#VALUE!</v>
      </c>
      <c r="R180" s="43" t="e">
        <f>IF(Preenchimento!$G$39="Tabela Price",IF(C180="","",((((((1+W180)^($Q$16-C179))*W180)/((1+W180)^($Q$16-C179)-1))*(O179*(1+$AD$35))))),Q180+P180)</f>
        <v>#VALUE!</v>
      </c>
      <c r="S180" s="43" t="e">
        <f t="shared" ca="1" si="38"/>
        <v>#VALUE!</v>
      </c>
      <c r="T180" s="43">
        <f t="shared" si="44"/>
        <v>0</v>
      </c>
      <c r="U180" s="226">
        <f>TRUNC(T180*Condições!$C$102,2)</f>
        <v>0</v>
      </c>
      <c r="V180" s="82">
        <f t="shared" ca="1" si="45"/>
        <v>5</v>
      </c>
      <c r="W180" s="231" t="str">
        <f t="shared" si="46"/>
        <v/>
      </c>
      <c r="X180" s="210"/>
      <c r="Y180" s="210"/>
      <c r="Z180" s="210"/>
      <c r="AI180" s="114">
        <f t="shared" si="47"/>
        <v>0</v>
      </c>
      <c r="AJ180" s="113"/>
      <c r="AL180" s="477">
        <f t="shared" ca="1" si="48"/>
        <v>0</v>
      </c>
    </row>
    <row r="181" spans="2:38" ht="12" customHeight="1">
      <c r="B181" s="222">
        <f ca="1">Fixa!B181</f>
        <v>50937</v>
      </c>
      <c r="C181" s="223" t="str">
        <f>Fixa!C181</f>
        <v/>
      </c>
      <c r="D181" s="43" t="e">
        <f t="shared" si="39"/>
        <v>#VALUE!</v>
      </c>
      <c r="E181" s="43" t="e">
        <f t="shared" si="33"/>
        <v>#VALUE!</v>
      </c>
      <c r="F181" s="43" t="e">
        <f t="shared" si="34"/>
        <v>#VALUE!</v>
      </c>
      <c r="G181" s="43" t="e">
        <f t="shared" si="35"/>
        <v>#VALUE!</v>
      </c>
      <c r="H181" s="43" t="e">
        <f t="shared" ca="1" si="36"/>
        <v>#VALUE!</v>
      </c>
      <c r="I181" s="43">
        <f t="shared" si="37"/>
        <v>0</v>
      </c>
      <c r="J181" s="229">
        <f t="shared" si="40"/>
        <v>25</v>
      </c>
      <c r="K181" s="43">
        <f t="shared" si="41"/>
        <v>0</v>
      </c>
      <c r="M181" s="224"/>
      <c r="N181" s="225">
        <f t="shared" si="42"/>
        <v>0</v>
      </c>
      <c r="O181" s="43" t="e">
        <f t="shared" si="43"/>
        <v>#VALUE!</v>
      </c>
      <c r="P181" s="43" t="e">
        <f>ROUND(IF(Preenchimento!$G$39="Tabela Price",R181-Q181,(O180*(1+$AD$35))/($AD$28-C180)),$P$22)</f>
        <v>#VALUE!</v>
      </c>
      <c r="Q181" s="43" t="e">
        <f>IF(Preenchimento!$G$39="Tabela Price",O180*(1+$AD$35)*W181,O180*(1+SAC!$AD$35)*SAC!W181)</f>
        <v>#VALUE!</v>
      </c>
      <c r="R181" s="43" t="e">
        <f>IF(Preenchimento!$G$39="Tabela Price",IF(C181="","",((((((1+W181)^($Q$16-C180))*W181)/((1+W181)^($Q$16-C180)-1))*(O180*(1+$AD$35))))),Q181+P181)</f>
        <v>#VALUE!</v>
      </c>
      <c r="S181" s="43" t="e">
        <f t="shared" ca="1" si="38"/>
        <v>#VALUE!</v>
      </c>
      <c r="T181" s="43">
        <f t="shared" si="44"/>
        <v>0</v>
      </c>
      <c r="U181" s="226">
        <f>TRUNC(T181*Condições!$C$102,2)</f>
        <v>0</v>
      </c>
      <c r="V181" s="82">
        <f t="shared" ca="1" si="45"/>
        <v>6</v>
      </c>
      <c r="W181" s="231" t="str">
        <f t="shared" si="46"/>
        <v/>
      </c>
      <c r="X181" s="210"/>
      <c r="Y181" s="210"/>
      <c r="Z181" s="210"/>
      <c r="AI181" s="114">
        <f t="shared" si="47"/>
        <v>0</v>
      </c>
      <c r="AJ181" s="113"/>
      <c r="AL181" s="477">
        <f t="shared" ca="1" si="48"/>
        <v>0</v>
      </c>
    </row>
    <row r="182" spans="2:38" ht="12" customHeight="1">
      <c r="B182" s="222">
        <f ca="1">Fixa!B182</f>
        <v>50967</v>
      </c>
      <c r="C182" s="223" t="str">
        <f>Fixa!C182</f>
        <v/>
      </c>
      <c r="D182" s="43" t="e">
        <f t="shared" si="39"/>
        <v>#VALUE!</v>
      </c>
      <c r="E182" s="43" t="e">
        <f t="shared" si="33"/>
        <v>#VALUE!</v>
      </c>
      <c r="F182" s="43" t="e">
        <f t="shared" si="34"/>
        <v>#VALUE!</v>
      </c>
      <c r="G182" s="43" t="e">
        <f t="shared" si="35"/>
        <v>#VALUE!</v>
      </c>
      <c r="H182" s="43" t="e">
        <f t="shared" ca="1" si="36"/>
        <v>#VALUE!</v>
      </c>
      <c r="I182" s="43">
        <f t="shared" si="37"/>
        <v>0</v>
      </c>
      <c r="J182" s="229">
        <f t="shared" si="40"/>
        <v>25</v>
      </c>
      <c r="K182" s="43">
        <f t="shared" si="41"/>
        <v>0</v>
      </c>
      <c r="M182" s="224"/>
      <c r="N182" s="225">
        <f t="shared" si="42"/>
        <v>0</v>
      </c>
      <c r="O182" s="43" t="e">
        <f t="shared" si="43"/>
        <v>#VALUE!</v>
      </c>
      <c r="P182" s="43" t="e">
        <f>ROUND(IF(Preenchimento!$G$39="Tabela Price",R182-Q182,(O181*(1+$AD$35))/($AD$28-C181)),$P$22)</f>
        <v>#VALUE!</v>
      </c>
      <c r="Q182" s="43" t="e">
        <f>IF(Preenchimento!$G$39="Tabela Price",O181*(1+$AD$35)*W182,O181*(1+SAC!$AD$35)*SAC!W182)</f>
        <v>#VALUE!</v>
      </c>
      <c r="R182" s="43" t="e">
        <f>IF(Preenchimento!$G$39="Tabela Price",IF(C182="","",((((((1+W182)^($Q$16-C181))*W182)/((1+W182)^($Q$16-C181)-1))*(O181*(1+$AD$35))))),Q182+P182)</f>
        <v>#VALUE!</v>
      </c>
      <c r="S182" s="43" t="e">
        <f t="shared" ca="1" si="38"/>
        <v>#VALUE!</v>
      </c>
      <c r="T182" s="43">
        <f t="shared" si="44"/>
        <v>0</v>
      </c>
      <c r="U182" s="226">
        <f>TRUNC(T182*Condições!$C$102,2)</f>
        <v>0</v>
      </c>
      <c r="V182" s="82">
        <f t="shared" ca="1" si="45"/>
        <v>7</v>
      </c>
      <c r="W182" s="231" t="str">
        <f t="shared" si="46"/>
        <v/>
      </c>
      <c r="X182" s="210"/>
      <c r="Y182" s="210"/>
      <c r="Z182" s="210"/>
      <c r="AI182" s="114">
        <f t="shared" si="47"/>
        <v>0</v>
      </c>
      <c r="AJ182" s="113"/>
      <c r="AL182" s="477">
        <f t="shared" ca="1" si="48"/>
        <v>0</v>
      </c>
    </row>
    <row r="183" spans="2:38" ht="12" customHeight="1">
      <c r="B183" s="222">
        <f ca="1">Fixa!B183</f>
        <v>50998</v>
      </c>
      <c r="C183" s="223" t="str">
        <f>Fixa!C183</f>
        <v/>
      </c>
      <c r="D183" s="43" t="e">
        <f t="shared" si="39"/>
        <v>#VALUE!</v>
      </c>
      <c r="E183" s="43" t="e">
        <f t="shared" si="33"/>
        <v>#VALUE!</v>
      </c>
      <c r="F183" s="43" t="e">
        <f t="shared" si="34"/>
        <v>#VALUE!</v>
      </c>
      <c r="G183" s="43" t="e">
        <f t="shared" si="35"/>
        <v>#VALUE!</v>
      </c>
      <c r="H183" s="43" t="e">
        <f t="shared" ca="1" si="36"/>
        <v>#VALUE!</v>
      </c>
      <c r="I183" s="43">
        <f t="shared" si="37"/>
        <v>0</v>
      </c>
      <c r="J183" s="229">
        <f t="shared" si="40"/>
        <v>25</v>
      </c>
      <c r="K183" s="43">
        <f t="shared" si="41"/>
        <v>0</v>
      </c>
      <c r="M183" s="224"/>
      <c r="N183" s="225">
        <f t="shared" si="42"/>
        <v>0</v>
      </c>
      <c r="O183" s="43" t="e">
        <f t="shared" si="43"/>
        <v>#VALUE!</v>
      </c>
      <c r="P183" s="43" t="e">
        <f>ROUND(IF(Preenchimento!$G$39="Tabela Price",R183-Q183,(O182*(1+$AD$35))/($AD$28-C182)),$P$22)</f>
        <v>#VALUE!</v>
      </c>
      <c r="Q183" s="43" t="e">
        <f>IF(Preenchimento!$G$39="Tabela Price",O182*(1+$AD$35)*W183,O182*(1+SAC!$AD$35)*SAC!W183)</f>
        <v>#VALUE!</v>
      </c>
      <c r="R183" s="43" t="e">
        <f>IF(Preenchimento!$G$39="Tabela Price",IF(C183="","",((((((1+W183)^($Q$16-C182))*W183)/((1+W183)^($Q$16-C182)-1))*(O182*(1+$AD$35))))),Q183+P183)</f>
        <v>#VALUE!</v>
      </c>
      <c r="S183" s="43" t="e">
        <f t="shared" ca="1" si="38"/>
        <v>#VALUE!</v>
      </c>
      <c r="T183" s="43">
        <f t="shared" si="44"/>
        <v>0</v>
      </c>
      <c r="U183" s="226">
        <f>TRUNC(T183*Condições!$C$102,2)</f>
        <v>0</v>
      </c>
      <c r="V183" s="82">
        <f t="shared" ca="1" si="45"/>
        <v>8</v>
      </c>
      <c r="W183" s="231" t="str">
        <f t="shared" si="46"/>
        <v/>
      </c>
      <c r="X183" s="210"/>
      <c r="Y183" s="210"/>
      <c r="Z183" s="210"/>
      <c r="AI183" s="114">
        <f t="shared" si="47"/>
        <v>0</v>
      </c>
      <c r="AJ183" s="113"/>
      <c r="AL183" s="477">
        <f t="shared" ca="1" si="48"/>
        <v>0</v>
      </c>
    </row>
    <row r="184" spans="2:38" ht="12" customHeight="1">
      <c r="B184" s="222">
        <f ca="1">Fixa!B184</f>
        <v>51029</v>
      </c>
      <c r="C184" s="223" t="str">
        <f>Fixa!C184</f>
        <v/>
      </c>
      <c r="D184" s="43" t="e">
        <f t="shared" si="39"/>
        <v>#VALUE!</v>
      </c>
      <c r="E184" s="43" t="e">
        <f t="shared" si="33"/>
        <v>#VALUE!</v>
      </c>
      <c r="F184" s="43" t="e">
        <f t="shared" si="34"/>
        <v>#VALUE!</v>
      </c>
      <c r="G184" s="43" t="e">
        <f t="shared" si="35"/>
        <v>#VALUE!</v>
      </c>
      <c r="H184" s="43" t="e">
        <f t="shared" ca="1" si="36"/>
        <v>#VALUE!</v>
      </c>
      <c r="I184" s="43">
        <f t="shared" si="37"/>
        <v>0</v>
      </c>
      <c r="J184" s="229">
        <f t="shared" si="40"/>
        <v>25</v>
      </c>
      <c r="K184" s="43">
        <f t="shared" si="41"/>
        <v>0</v>
      </c>
      <c r="M184" s="224"/>
      <c r="N184" s="225">
        <f t="shared" si="42"/>
        <v>0</v>
      </c>
      <c r="O184" s="43" t="e">
        <f t="shared" si="43"/>
        <v>#VALUE!</v>
      </c>
      <c r="P184" s="43" t="e">
        <f>ROUND(IF(Preenchimento!$G$39="Tabela Price",R184-Q184,(O183*(1+$AD$35))/($AD$28-C183)),$P$22)</f>
        <v>#VALUE!</v>
      </c>
      <c r="Q184" s="43" t="e">
        <f>IF(Preenchimento!$G$39="Tabela Price",O183*(1+$AD$35)*W184,O183*(1+SAC!$AD$35)*SAC!W184)</f>
        <v>#VALUE!</v>
      </c>
      <c r="R184" s="43" t="e">
        <f>IF(Preenchimento!$G$39="Tabela Price",IF(C184="","",((((((1+W184)^($Q$16-C183))*W184)/((1+W184)^($Q$16-C183)-1))*(O183*(1+$AD$35))))),Q184+P184)</f>
        <v>#VALUE!</v>
      </c>
      <c r="S184" s="43" t="e">
        <f t="shared" ca="1" si="38"/>
        <v>#VALUE!</v>
      </c>
      <c r="T184" s="43">
        <f t="shared" si="44"/>
        <v>0</v>
      </c>
      <c r="U184" s="226">
        <f>TRUNC(T184*Condições!$C$102,2)</f>
        <v>0</v>
      </c>
      <c r="V184" s="82">
        <f t="shared" ca="1" si="45"/>
        <v>9</v>
      </c>
      <c r="W184" s="231" t="str">
        <f t="shared" si="46"/>
        <v/>
      </c>
      <c r="X184" s="210"/>
      <c r="Y184" s="210"/>
      <c r="Z184" s="210"/>
      <c r="AI184" s="114">
        <f t="shared" si="47"/>
        <v>0</v>
      </c>
      <c r="AJ184" s="113"/>
      <c r="AL184" s="477">
        <f t="shared" ca="1" si="48"/>
        <v>0</v>
      </c>
    </row>
    <row r="185" spans="2:38" ht="12" customHeight="1">
      <c r="B185" s="222">
        <f ca="1">Fixa!B185</f>
        <v>51059</v>
      </c>
      <c r="C185" s="223" t="str">
        <f>Fixa!C185</f>
        <v/>
      </c>
      <c r="D185" s="43" t="e">
        <f t="shared" si="39"/>
        <v>#VALUE!</v>
      </c>
      <c r="E185" s="43" t="e">
        <f t="shared" si="33"/>
        <v>#VALUE!</v>
      </c>
      <c r="F185" s="43" t="e">
        <f t="shared" si="34"/>
        <v>#VALUE!</v>
      </c>
      <c r="G185" s="43" t="e">
        <f t="shared" si="35"/>
        <v>#VALUE!</v>
      </c>
      <c r="H185" s="43" t="e">
        <f t="shared" ca="1" si="36"/>
        <v>#VALUE!</v>
      </c>
      <c r="I185" s="43">
        <f t="shared" si="37"/>
        <v>0</v>
      </c>
      <c r="J185" s="229">
        <f t="shared" si="40"/>
        <v>25</v>
      </c>
      <c r="K185" s="43">
        <f t="shared" si="41"/>
        <v>0</v>
      </c>
      <c r="M185" s="224"/>
      <c r="N185" s="225">
        <f t="shared" si="42"/>
        <v>0</v>
      </c>
      <c r="O185" s="43" t="e">
        <f t="shared" si="43"/>
        <v>#VALUE!</v>
      </c>
      <c r="P185" s="43" t="e">
        <f>ROUND(IF(Preenchimento!$G$39="Tabela Price",R185-Q185,(O184*(1+$AD$35))/($AD$28-C184)),$P$22)</f>
        <v>#VALUE!</v>
      </c>
      <c r="Q185" s="43" t="e">
        <f>IF(Preenchimento!$G$39="Tabela Price",O184*(1+$AD$35)*W185,O184*(1+SAC!$AD$35)*SAC!W185)</f>
        <v>#VALUE!</v>
      </c>
      <c r="R185" s="43" t="e">
        <f>IF(Preenchimento!$G$39="Tabela Price",IF(C185="","",((((((1+W185)^($Q$16-C184))*W185)/((1+W185)^($Q$16-C184)-1))*(O184*(1+$AD$35))))),Q185+P185)</f>
        <v>#VALUE!</v>
      </c>
      <c r="S185" s="43" t="e">
        <f t="shared" ca="1" si="38"/>
        <v>#VALUE!</v>
      </c>
      <c r="T185" s="43">
        <f t="shared" si="44"/>
        <v>0</v>
      </c>
      <c r="U185" s="226">
        <f>TRUNC(T185*Condições!$C$102,2)</f>
        <v>0</v>
      </c>
      <c r="V185" s="82">
        <f t="shared" ca="1" si="45"/>
        <v>10</v>
      </c>
      <c r="W185" s="231" t="str">
        <f t="shared" si="46"/>
        <v/>
      </c>
      <c r="X185" s="210"/>
      <c r="Y185" s="210"/>
      <c r="Z185" s="210"/>
      <c r="AI185" s="114">
        <f t="shared" si="47"/>
        <v>0</v>
      </c>
      <c r="AJ185" s="113"/>
      <c r="AL185" s="477">
        <f t="shared" ca="1" si="48"/>
        <v>0</v>
      </c>
    </row>
    <row r="186" spans="2:38" ht="12" customHeight="1">
      <c r="B186" s="222">
        <f ca="1">Fixa!B186</f>
        <v>51090</v>
      </c>
      <c r="C186" s="223" t="str">
        <f>Fixa!C186</f>
        <v/>
      </c>
      <c r="D186" s="43" t="e">
        <f t="shared" si="39"/>
        <v>#VALUE!</v>
      </c>
      <c r="E186" s="43" t="e">
        <f t="shared" si="33"/>
        <v>#VALUE!</v>
      </c>
      <c r="F186" s="43" t="e">
        <f t="shared" si="34"/>
        <v>#VALUE!</v>
      </c>
      <c r="G186" s="43" t="e">
        <f t="shared" si="35"/>
        <v>#VALUE!</v>
      </c>
      <c r="H186" s="43" t="e">
        <f t="shared" ca="1" si="36"/>
        <v>#VALUE!</v>
      </c>
      <c r="I186" s="43">
        <f t="shared" si="37"/>
        <v>0</v>
      </c>
      <c r="J186" s="229">
        <f t="shared" si="40"/>
        <v>25</v>
      </c>
      <c r="K186" s="43">
        <f t="shared" si="41"/>
        <v>0</v>
      </c>
      <c r="M186" s="224"/>
      <c r="N186" s="225">
        <f t="shared" si="42"/>
        <v>0</v>
      </c>
      <c r="O186" s="43" t="e">
        <f t="shared" si="43"/>
        <v>#VALUE!</v>
      </c>
      <c r="P186" s="43" t="e">
        <f>ROUND(IF(Preenchimento!$G$39="Tabela Price",R186-Q186,(O185*(1+$AD$35))/($AD$28-C185)),$P$22)</f>
        <v>#VALUE!</v>
      </c>
      <c r="Q186" s="43" t="e">
        <f>IF(Preenchimento!$G$39="Tabela Price",O185*(1+$AD$35)*W186,O185*(1+SAC!$AD$35)*SAC!W186)</f>
        <v>#VALUE!</v>
      </c>
      <c r="R186" s="43" t="e">
        <f>IF(Preenchimento!$G$39="Tabela Price",IF(C186="","",((((((1+W186)^($Q$16-C185))*W186)/((1+W186)^($Q$16-C185)-1))*(O185*(1+$AD$35))))),Q186+P186)</f>
        <v>#VALUE!</v>
      </c>
      <c r="S186" s="43" t="e">
        <f t="shared" ca="1" si="38"/>
        <v>#VALUE!</v>
      </c>
      <c r="T186" s="43">
        <f t="shared" si="44"/>
        <v>0</v>
      </c>
      <c r="U186" s="226">
        <f>TRUNC(T186*Condições!$C$102,2)</f>
        <v>0</v>
      </c>
      <c r="V186" s="82">
        <f t="shared" ca="1" si="45"/>
        <v>11</v>
      </c>
      <c r="W186" s="231" t="str">
        <f t="shared" si="46"/>
        <v/>
      </c>
      <c r="X186" s="210"/>
      <c r="Y186" s="210"/>
      <c r="Z186" s="210"/>
      <c r="AI186" s="114">
        <f t="shared" si="47"/>
        <v>0</v>
      </c>
      <c r="AJ186" s="113"/>
      <c r="AL186" s="477">
        <f t="shared" ca="1" si="48"/>
        <v>0</v>
      </c>
    </row>
    <row r="187" spans="2:38" ht="12" customHeight="1">
      <c r="B187" s="222">
        <f ca="1">Fixa!B187</f>
        <v>51120</v>
      </c>
      <c r="C187" s="223" t="str">
        <f>Fixa!C187</f>
        <v/>
      </c>
      <c r="D187" s="43" t="e">
        <f t="shared" si="39"/>
        <v>#VALUE!</v>
      </c>
      <c r="E187" s="43" t="e">
        <f t="shared" si="33"/>
        <v>#VALUE!</v>
      </c>
      <c r="F187" s="43" t="e">
        <f t="shared" si="34"/>
        <v>#VALUE!</v>
      </c>
      <c r="G187" s="43" t="e">
        <f t="shared" si="35"/>
        <v>#VALUE!</v>
      </c>
      <c r="H187" s="43" t="e">
        <f t="shared" ca="1" si="36"/>
        <v>#VALUE!</v>
      </c>
      <c r="I187" s="43">
        <f t="shared" si="37"/>
        <v>0</v>
      </c>
      <c r="J187" s="229">
        <f t="shared" si="40"/>
        <v>25</v>
      </c>
      <c r="K187" s="43">
        <f t="shared" si="41"/>
        <v>0</v>
      </c>
      <c r="M187" s="224"/>
      <c r="N187" s="225">
        <f t="shared" si="42"/>
        <v>0</v>
      </c>
      <c r="O187" s="43" t="e">
        <f t="shared" si="43"/>
        <v>#VALUE!</v>
      </c>
      <c r="P187" s="43" t="e">
        <f>ROUND(IF(Preenchimento!$G$39="Tabela Price",R187-Q187,(O186*(1+$AD$35))/($AD$28-C186)),$P$22)</f>
        <v>#VALUE!</v>
      </c>
      <c r="Q187" s="43" t="e">
        <f>IF(Preenchimento!$G$39="Tabela Price",O186*(1+$AD$35)*W187,O186*(1+SAC!$AD$35)*SAC!W187)</f>
        <v>#VALUE!</v>
      </c>
      <c r="R187" s="43" t="e">
        <f>IF(Preenchimento!$G$39="Tabela Price",IF(C187="","",((((((1+W187)^($Q$16-C186))*W187)/((1+W187)^($Q$16-C186)-1))*(O186*(1+$AD$35))))),Q187+P187)</f>
        <v>#VALUE!</v>
      </c>
      <c r="S187" s="43" t="e">
        <f t="shared" ca="1" si="38"/>
        <v>#VALUE!</v>
      </c>
      <c r="T187" s="43">
        <f t="shared" si="44"/>
        <v>0</v>
      </c>
      <c r="U187" s="226">
        <f>TRUNC(T187*Condições!$C$102,2)</f>
        <v>0</v>
      </c>
      <c r="V187" s="82">
        <f t="shared" ca="1" si="45"/>
        <v>12</v>
      </c>
      <c r="W187" s="231" t="str">
        <f t="shared" si="46"/>
        <v/>
      </c>
      <c r="X187" s="210"/>
      <c r="Y187" s="210"/>
      <c r="Z187" s="210"/>
      <c r="AI187" s="114">
        <f t="shared" si="47"/>
        <v>0</v>
      </c>
      <c r="AJ187" s="113"/>
      <c r="AL187" s="477">
        <f t="shared" ca="1" si="48"/>
        <v>0</v>
      </c>
    </row>
    <row r="188" spans="2:38" ht="12" customHeight="1">
      <c r="B188" s="222">
        <f ca="1">Fixa!B188</f>
        <v>51151</v>
      </c>
      <c r="C188" s="223" t="str">
        <f>Fixa!C188</f>
        <v/>
      </c>
      <c r="D188" s="43" t="e">
        <f t="shared" si="39"/>
        <v>#VALUE!</v>
      </c>
      <c r="E188" s="43" t="e">
        <f t="shared" si="33"/>
        <v>#VALUE!</v>
      </c>
      <c r="F188" s="43" t="e">
        <f t="shared" si="34"/>
        <v>#VALUE!</v>
      </c>
      <c r="G188" s="43" t="e">
        <f t="shared" si="35"/>
        <v>#VALUE!</v>
      </c>
      <c r="H188" s="43" t="e">
        <f t="shared" ca="1" si="36"/>
        <v>#VALUE!</v>
      </c>
      <c r="I188" s="43">
        <f t="shared" si="37"/>
        <v>0</v>
      </c>
      <c r="J188" s="229">
        <f t="shared" si="40"/>
        <v>25</v>
      </c>
      <c r="K188" s="43">
        <f t="shared" si="41"/>
        <v>0</v>
      </c>
      <c r="M188" s="224"/>
      <c r="N188" s="225">
        <f t="shared" si="42"/>
        <v>0</v>
      </c>
      <c r="O188" s="43" t="e">
        <f t="shared" si="43"/>
        <v>#VALUE!</v>
      </c>
      <c r="P188" s="43" t="e">
        <f>ROUND(IF(Preenchimento!$G$39="Tabela Price",R188-Q188,(O187*(1+$AD$35))/($AD$28-C187)),$P$22)</f>
        <v>#VALUE!</v>
      </c>
      <c r="Q188" s="43" t="e">
        <f>IF(Preenchimento!$G$39="Tabela Price",O187*(1+$AD$35)*W188,O187*(1+SAC!$AD$35)*SAC!W188)</f>
        <v>#VALUE!</v>
      </c>
      <c r="R188" s="43" t="e">
        <f>IF(Preenchimento!$G$39="Tabela Price",IF(C188="","",((((((1+W188)^($Q$16-C187))*W188)/((1+W188)^($Q$16-C187)-1))*(O187*(1+$AD$35))))),Q188+P188)</f>
        <v>#VALUE!</v>
      </c>
      <c r="S188" s="43" t="e">
        <f t="shared" ca="1" si="38"/>
        <v>#VALUE!</v>
      </c>
      <c r="T188" s="43">
        <f t="shared" si="44"/>
        <v>0</v>
      </c>
      <c r="U188" s="226">
        <f>TRUNC(T188*Condições!$C$102,2)</f>
        <v>0</v>
      </c>
      <c r="V188" s="82">
        <f t="shared" ca="1" si="45"/>
        <v>1</v>
      </c>
      <c r="W188" s="231" t="str">
        <f t="shared" si="46"/>
        <v/>
      </c>
      <c r="X188" s="210"/>
      <c r="Y188" s="210"/>
      <c r="Z188" s="210"/>
      <c r="AI188" s="114">
        <f t="shared" si="47"/>
        <v>0</v>
      </c>
      <c r="AJ188" s="113"/>
      <c r="AL188" s="477">
        <f t="shared" ca="1" si="48"/>
        <v>0</v>
      </c>
    </row>
    <row r="189" spans="2:38" ht="12" customHeight="1">
      <c r="B189" s="222">
        <f ca="1">Fixa!B189</f>
        <v>51182</v>
      </c>
      <c r="C189" s="223" t="str">
        <f>Fixa!C189</f>
        <v/>
      </c>
      <c r="D189" s="43" t="e">
        <f t="shared" si="39"/>
        <v>#VALUE!</v>
      </c>
      <c r="E189" s="43" t="e">
        <f t="shared" si="33"/>
        <v>#VALUE!</v>
      </c>
      <c r="F189" s="43" t="e">
        <f t="shared" si="34"/>
        <v>#VALUE!</v>
      </c>
      <c r="G189" s="43" t="e">
        <f t="shared" si="35"/>
        <v>#VALUE!</v>
      </c>
      <c r="H189" s="43" t="e">
        <f t="shared" ca="1" si="36"/>
        <v>#VALUE!</v>
      </c>
      <c r="I189" s="43">
        <f t="shared" si="37"/>
        <v>0</v>
      </c>
      <c r="J189" s="229">
        <f t="shared" si="40"/>
        <v>25</v>
      </c>
      <c r="K189" s="43">
        <f t="shared" si="41"/>
        <v>0</v>
      </c>
      <c r="M189" s="224"/>
      <c r="N189" s="225">
        <f t="shared" si="42"/>
        <v>0</v>
      </c>
      <c r="O189" s="43" t="e">
        <f t="shared" si="43"/>
        <v>#VALUE!</v>
      </c>
      <c r="P189" s="43" t="e">
        <f>ROUND(IF(Preenchimento!$G$39="Tabela Price",R189-Q189,(O188*(1+$AD$35))/($AD$28-C188)),$P$22)</f>
        <v>#VALUE!</v>
      </c>
      <c r="Q189" s="43" t="e">
        <f>IF(Preenchimento!$G$39="Tabela Price",O188*(1+$AD$35)*W189,O188*(1+SAC!$AD$35)*SAC!W189)</f>
        <v>#VALUE!</v>
      </c>
      <c r="R189" s="43" t="e">
        <f>IF(Preenchimento!$G$39="Tabela Price",IF(C189="","",((((((1+W189)^($Q$16-C188))*W189)/((1+W189)^($Q$16-C188)-1))*(O188*(1+$AD$35))))),Q189+P189)</f>
        <v>#VALUE!</v>
      </c>
      <c r="S189" s="43" t="e">
        <f t="shared" ca="1" si="38"/>
        <v>#VALUE!</v>
      </c>
      <c r="T189" s="43">
        <f t="shared" si="44"/>
        <v>0</v>
      </c>
      <c r="U189" s="226">
        <f>TRUNC(T189*Condições!$C$102,2)</f>
        <v>0</v>
      </c>
      <c r="V189" s="82">
        <f t="shared" ca="1" si="45"/>
        <v>2</v>
      </c>
      <c r="W189" s="231" t="str">
        <f t="shared" si="46"/>
        <v/>
      </c>
      <c r="X189" s="210"/>
      <c r="Y189" s="210"/>
      <c r="Z189" s="210"/>
      <c r="AI189" s="114">
        <f t="shared" si="47"/>
        <v>0</v>
      </c>
      <c r="AJ189" s="113"/>
      <c r="AL189" s="477">
        <f t="shared" ca="1" si="48"/>
        <v>0</v>
      </c>
    </row>
    <row r="190" spans="2:38" ht="12" customHeight="1">
      <c r="B190" s="222">
        <f ca="1">Fixa!B190</f>
        <v>51211</v>
      </c>
      <c r="C190" s="223" t="str">
        <f>Fixa!C190</f>
        <v/>
      </c>
      <c r="D190" s="43" t="e">
        <f t="shared" si="39"/>
        <v>#VALUE!</v>
      </c>
      <c r="E190" s="43" t="e">
        <f t="shared" si="33"/>
        <v>#VALUE!</v>
      </c>
      <c r="F190" s="43" t="e">
        <f t="shared" si="34"/>
        <v>#VALUE!</v>
      </c>
      <c r="G190" s="43" t="e">
        <f t="shared" si="35"/>
        <v>#VALUE!</v>
      </c>
      <c r="H190" s="43" t="e">
        <f t="shared" ca="1" si="36"/>
        <v>#VALUE!</v>
      </c>
      <c r="I190" s="43">
        <f t="shared" si="37"/>
        <v>0</v>
      </c>
      <c r="J190" s="229">
        <f t="shared" si="40"/>
        <v>25</v>
      </c>
      <c r="K190" s="43">
        <f t="shared" si="41"/>
        <v>0</v>
      </c>
      <c r="M190" s="224"/>
      <c r="N190" s="225">
        <f t="shared" si="42"/>
        <v>0</v>
      </c>
      <c r="O190" s="43" t="e">
        <f t="shared" si="43"/>
        <v>#VALUE!</v>
      </c>
      <c r="P190" s="43" t="e">
        <f>ROUND(IF(Preenchimento!$G$39="Tabela Price",R190-Q190,(O189*(1+$AD$35))/($AD$28-C189)),$P$22)</f>
        <v>#VALUE!</v>
      </c>
      <c r="Q190" s="43" t="e">
        <f>IF(Preenchimento!$G$39="Tabela Price",O189*(1+$AD$35)*W190,O189*(1+SAC!$AD$35)*SAC!W190)</f>
        <v>#VALUE!</v>
      </c>
      <c r="R190" s="43" t="e">
        <f>IF(Preenchimento!$G$39="Tabela Price",IF(C190="","",((((((1+W190)^($Q$16-C189))*W190)/((1+W190)^($Q$16-C189)-1))*(O189*(1+$AD$35))))),Q190+P190)</f>
        <v>#VALUE!</v>
      </c>
      <c r="S190" s="43" t="e">
        <f t="shared" ca="1" si="38"/>
        <v>#VALUE!</v>
      </c>
      <c r="T190" s="43">
        <f t="shared" si="44"/>
        <v>0</v>
      </c>
      <c r="U190" s="226">
        <f>TRUNC(T190*Condições!$C$102,2)</f>
        <v>0</v>
      </c>
      <c r="V190" s="82">
        <f t="shared" ca="1" si="45"/>
        <v>3</v>
      </c>
      <c r="W190" s="231" t="str">
        <f t="shared" si="46"/>
        <v/>
      </c>
      <c r="X190" s="210"/>
      <c r="Y190" s="210"/>
      <c r="Z190" s="210"/>
      <c r="AI190" s="114">
        <f t="shared" si="47"/>
        <v>0</v>
      </c>
      <c r="AJ190" s="113"/>
      <c r="AL190" s="477">
        <f t="shared" ca="1" si="48"/>
        <v>0</v>
      </c>
    </row>
    <row r="191" spans="2:38" ht="12" customHeight="1">
      <c r="B191" s="222">
        <f ca="1">Fixa!B191</f>
        <v>51242</v>
      </c>
      <c r="C191" s="223" t="str">
        <f>Fixa!C191</f>
        <v/>
      </c>
      <c r="D191" s="43" t="e">
        <f t="shared" si="39"/>
        <v>#VALUE!</v>
      </c>
      <c r="E191" s="43" t="e">
        <f t="shared" si="33"/>
        <v>#VALUE!</v>
      </c>
      <c r="F191" s="43" t="e">
        <f t="shared" si="34"/>
        <v>#VALUE!</v>
      </c>
      <c r="G191" s="43" t="e">
        <f t="shared" si="35"/>
        <v>#VALUE!</v>
      </c>
      <c r="H191" s="43" t="e">
        <f t="shared" ca="1" si="36"/>
        <v>#VALUE!</v>
      </c>
      <c r="I191" s="43">
        <f t="shared" si="37"/>
        <v>0</v>
      </c>
      <c r="J191" s="229">
        <f t="shared" si="40"/>
        <v>25</v>
      </c>
      <c r="K191" s="43">
        <f t="shared" si="41"/>
        <v>0</v>
      </c>
      <c r="M191" s="224"/>
      <c r="N191" s="225">
        <f t="shared" si="42"/>
        <v>0</v>
      </c>
      <c r="O191" s="43" t="e">
        <f t="shared" si="43"/>
        <v>#VALUE!</v>
      </c>
      <c r="P191" s="43" t="e">
        <f>ROUND(IF(Preenchimento!$G$39="Tabela Price",R191-Q191,(O190*(1+$AD$35))/($AD$28-C190)),$P$22)</f>
        <v>#VALUE!</v>
      </c>
      <c r="Q191" s="43" t="e">
        <f>IF(Preenchimento!$G$39="Tabela Price",O190*(1+$AD$35)*W191,O190*(1+SAC!$AD$35)*SAC!W191)</f>
        <v>#VALUE!</v>
      </c>
      <c r="R191" s="43" t="e">
        <f>IF(Preenchimento!$G$39="Tabela Price",IF(C191="","",((((((1+W191)^($Q$16-C190))*W191)/((1+W191)^($Q$16-C190)-1))*(O190*(1+$AD$35))))),Q191+P191)</f>
        <v>#VALUE!</v>
      </c>
      <c r="S191" s="43" t="e">
        <f t="shared" ca="1" si="38"/>
        <v>#VALUE!</v>
      </c>
      <c r="T191" s="43">
        <f t="shared" si="44"/>
        <v>0</v>
      </c>
      <c r="U191" s="226">
        <f>TRUNC(T191*Condições!$C$102,2)</f>
        <v>0</v>
      </c>
      <c r="V191" s="82">
        <f t="shared" ca="1" si="45"/>
        <v>4</v>
      </c>
      <c r="W191" s="231" t="str">
        <f t="shared" si="46"/>
        <v/>
      </c>
      <c r="X191" s="210"/>
      <c r="Y191" s="210"/>
      <c r="Z191" s="210"/>
      <c r="AI191" s="114">
        <f t="shared" si="47"/>
        <v>0</v>
      </c>
      <c r="AJ191" s="113"/>
      <c r="AL191" s="477">
        <f t="shared" ca="1" si="48"/>
        <v>0</v>
      </c>
    </row>
    <row r="192" spans="2:38" ht="12" customHeight="1">
      <c r="B192" s="222">
        <f ca="1">Fixa!B192</f>
        <v>51272</v>
      </c>
      <c r="C192" s="223" t="str">
        <f>Fixa!C192</f>
        <v/>
      </c>
      <c r="D192" s="43" t="e">
        <f t="shared" si="39"/>
        <v>#VALUE!</v>
      </c>
      <c r="E192" s="43" t="e">
        <f t="shared" si="33"/>
        <v>#VALUE!</v>
      </c>
      <c r="F192" s="43" t="e">
        <f t="shared" si="34"/>
        <v>#VALUE!</v>
      </c>
      <c r="G192" s="43" t="e">
        <f t="shared" si="35"/>
        <v>#VALUE!</v>
      </c>
      <c r="H192" s="43" t="e">
        <f t="shared" ca="1" si="36"/>
        <v>#VALUE!</v>
      </c>
      <c r="I192" s="43">
        <f t="shared" si="37"/>
        <v>0</v>
      </c>
      <c r="J192" s="229">
        <f t="shared" si="40"/>
        <v>25</v>
      </c>
      <c r="K192" s="43">
        <f t="shared" si="41"/>
        <v>0</v>
      </c>
      <c r="M192" s="224"/>
      <c r="N192" s="225">
        <f t="shared" si="42"/>
        <v>0</v>
      </c>
      <c r="O192" s="43" t="e">
        <f t="shared" si="43"/>
        <v>#VALUE!</v>
      </c>
      <c r="P192" s="43" t="e">
        <f>ROUND(IF(Preenchimento!$G$39="Tabela Price",R192-Q192,(O191*(1+$AD$35))/($AD$28-C191)),$P$22)</f>
        <v>#VALUE!</v>
      </c>
      <c r="Q192" s="43" t="e">
        <f>IF(Preenchimento!$G$39="Tabela Price",O191*(1+$AD$35)*W192,O191*(1+SAC!$AD$35)*SAC!W192)</f>
        <v>#VALUE!</v>
      </c>
      <c r="R192" s="43" t="e">
        <f>IF(Preenchimento!$G$39="Tabela Price",IF(C192="","",((((((1+W192)^($Q$16-C191))*W192)/((1+W192)^($Q$16-C191)-1))*(O191*(1+$AD$35))))),Q192+P192)</f>
        <v>#VALUE!</v>
      </c>
      <c r="S192" s="43" t="e">
        <f t="shared" ca="1" si="38"/>
        <v>#VALUE!</v>
      </c>
      <c r="T192" s="43">
        <f t="shared" si="44"/>
        <v>0</v>
      </c>
      <c r="U192" s="226">
        <f>TRUNC(T192*Condições!$C$102,2)</f>
        <v>0</v>
      </c>
      <c r="V192" s="82">
        <f t="shared" ca="1" si="45"/>
        <v>5</v>
      </c>
      <c r="W192" s="231" t="str">
        <f t="shared" si="46"/>
        <v/>
      </c>
      <c r="X192" s="210"/>
      <c r="Y192" s="210"/>
      <c r="Z192" s="210"/>
      <c r="AI192" s="114">
        <f t="shared" si="47"/>
        <v>0</v>
      </c>
      <c r="AJ192" s="113"/>
      <c r="AL192" s="477">
        <f t="shared" ca="1" si="48"/>
        <v>0</v>
      </c>
    </row>
    <row r="193" spans="2:38" ht="12" customHeight="1">
      <c r="B193" s="222">
        <f ca="1">Fixa!B193</f>
        <v>51303</v>
      </c>
      <c r="C193" s="223" t="str">
        <f>Fixa!C193</f>
        <v/>
      </c>
      <c r="D193" s="43" t="e">
        <f t="shared" si="39"/>
        <v>#VALUE!</v>
      </c>
      <c r="E193" s="43" t="e">
        <f t="shared" si="33"/>
        <v>#VALUE!</v>
      </c>
      <c r="F193" s="43" t="e">
        <f t="shared" si="34"/>
        <v>#VALUE!</v>
      </c>
      <c r="G193" s="43" t="e">
        <f t="shared" si="35"/>
        <v>#VALUE!</v>
      </c>
      <c r="H193" s="43" t="e">
        <f t="shared" ca="1" si="36"/>
        <v>#VALUE!</v>
      </c>
      <c r="I193" s="43">
        <f t="shared" si="37"/>
        <v>0</v>
      </c>
      <c r="J193" s="229">
        <f t="shared" si="40"/>
        <v>25</v>
      </c>
      <c r="K193" s="43">
        <f t="shared" si="41"/>
        <v>0</v>
      </c>
      <c r="M193" s="224"/>
      <c r="N193" s="225">
        <f t="shared" si="42"/>
        <v>0</v>
      </c>
      <c r="O193" s="43" t="e">
        <f t="shared" si="43"/>
        <v>#VALUE!</v>
      </c>
      <c r="P193" s="43" t="e">
        <f>ROUND(IF(Preenchimento!$G$39="Tabela Price",R193-Q193,(O192*(1+$AD$35))/($AD$28-C192)),$P$22)</f>
        <v>#VALUE!</v>
      </c>
      <c r="Q193" s="43" t="e">
        <f>IF(Preenchimento!$G$39="Tabela Price",O192*(1+$AD$35)*W193,O192*(1+SAC!$AD$35)*SAC!W193)</f>
        <v>#VALUE!</v>
      </c>
      <c r="R193" s="43" t="e">
        <f>IF(Preenchimento!$G$39="Tabela Price",IF(C193="","",((((((1+W193)^($Q$16-C192))*W193)/((1+W193)^($Q$16-C192)-1))*(O192*(1+$AD$35))))),Q193+P193)</f>
        <v>#VALUE!</v>
      </c>
      <c r="S193" s="43" t="e">
        <f t="shared" ca="1" si="38"/>
        <v>#VALUE!</v>
      </c>
      <c r="T193" s="43">
        <f t="shared" si="44"/>
        <v>0</v>
      </c>
      <c r="U193" s="226">
        <f>TRUNC(T193*Condições!$C$102,2)</f>
        <v>0</v>
      </c>
      <c r="V193" s="82">
        <f t="shared" ca="1" si="45"/>
        <v>6</v>
      </c>
      <c r="W193" s="231" t="str">
        <f t="shared" si="46"/>
        <v/>
      </c>
      <c r="X193" s="210"/>
      <c r="Y193" s="210"/>
      <c r="Z193" s="210"/>
      <c r="AI193" s="114">
        <f t="shared" si="47"/>
        <v>0</v>
      </c>
      <c r="AJ193" s="113"/>
      <c r="AL193" s="477">
        <f t="shared" ca="1" si="48"/>
        <v>0</v>
      </c>
    </row>
    <row r="194" spans="2:38" ht="12" customHeight="1">
      <c r="B194" s="222">
        <f ca="1">Fixa!B194</f>
        <v>51333</v>
      </c>
      <c r="C194" s="223" t="str">
        <f>Fixa!C194</f>
        <v/>
      </c>
      <c r="D194" s="43" t="e">
        <f t="shared" si="39"/>
        <v>#VALUE!</v>
      </c>
      <c r="E194" s="43" t="e">
        <f t="shared" si="33"/>
        <v>#VALUE!</v>
      </c>
      <c r="F194" s="43" t="e">
        <f t="shared" si="34"/>
        <v>#VALUE!</v>
      </c>
      <c r="G194" s="43" t="e">
        <f t="shared" si="35"/>
        <v>#VALUE!</v>
      </c>
      <c r="H194" s="43" t="e">
        <f t="shared" ca="1" si="36"/>
        <v>#VALUE!</v>
      </c>
      <c r="I194" s="43">
        <f t="shared" si="37"/>
        <v>0</v>
      </c>
      <c r="J194" s="229">
        <f t="shared" si="40"/>
        <v>25</v>
      </c>
      <c r="K194" s="43">
        <f t="shared" si="41"/>
        <v>0</v>
      </c>
      <c r="M194" s="224"/>
      <c r="N194" s="225">
        <f t="shared" si="42"/>
        <v>0</v>
      </c>
      <c r="O194" s="43" t="e">
        <f t="shared" si="43"/>
        <v>#VALUE!</v>
      </c>
      <c r="P194" s="43" t="e">
        <f>ROUND(IF(Preenchimento!$G$39="Tabela Price",R194-Q194,(O193*(1+$AD$35))/($AD$28-C193)),$P$22)</f>
        <v>#VALUE!</v>
      </c>
      <c r="Q194" s="43" t="e">
        <f>IF(Preenchimento!$G$39="Tabela Price",O193*(1+$AD$35)*W194,O193*(1+SAC!$AD$35)*SAC!W194)</f>
        <v>#VALUE!</v>
      </c>
      <c r="R194" s="43" t="e">
        <f>IF(Preenchimento!$G$39="Tabela Price",IF(C194="","",((((((1+W194)^($Q$16-C193))*W194)/((1+W194)^($Q$16-C193)-1))*(O193*(1+$AD$35))))),Q194+P194)</f>
        <v>#VALUE!</v>
      </c>
      <c r="S194" s="43" t="e">
        <f t="shared" ca="1" si="38"/>
        <v>#VALUE!</v>
      </c>
      <c r="T194" s="43">
        <f t="shared" si="44"/>
        <v>0</v>
      </c>
      <c r="U194" s="226">
        <f>TRUNC(T194*Condições!$C$102,2)</f>
        <v>0</v>
      </c>
      <c r="V194" s="82">
        <f t="shared" ca="1" si="45"/>
        <v>7</v>
      </c>
      <c r="W194" s="231" t="str">
        <f t="shared" si="46"/>
        <v/>
      </c>
      <c r="X194" s="210"/>
      <c r="Y194" s="210"/>
      <c r="Z194" s="210"/>
      <c r="AI194" s="114">
        <f t="shared" si="47"/>
        <v>0</v>
      </c>
      <c r="AJ194" s="113"/>
      <c r="AL194" s="477">
        <f t="shared" ca="1" si="48"/>
        <v>0</v>
      </c>
    </row>
    <row r="195" spans="2:38" ht="12" customHeight="1">
      <c r="B195" s="222">
        <f ca="1">Fixa!B195</f>
        <v>51364</v>
      </c>
      <c r="C195" s="223" t="str">
        <f>Fixa!C195</f>
        <v/>
      </c>
      <c r="D195" s="43" t="e">
        <f t="shared" si="39"/>
        <v>#VALUE!</v>
      </c>
      <c r="E195" s="43" t="e">
        <f t="shared" si="33"/>
        <v>#VALUE!</v>
      </c>
      <c r="F195" s="43" t="e">
        <f t="shared" si="34"/>
        <v>#VALUE!</v>
      </c>
      <c r="G195" s="43" t="e">
        <f t="shared" si="35"/>
        <v>#VALUE!</v>
      </c>
      <c r="H195" s="43" t="e">
        <f t="shared" ca="1" si="36"/>
        <v>#VALUE!</v>
      </c>
      <c r="I195" s="43">
        <f t="shared" si="37"/>
        <v>0</v>
      </c>
      <c r="J195" s="229">
        <f t="shared" si="40"/>
        <v>25</v>
      </c>
      <c r="K195" s="43">
        <f t="shared" si="41"/>
        <v>0</v>
      </c>
      <c r="M195" s="224"/>
      <c r="N195" s="225">
        <f t="shared" si="42"/>
        <v>0</v>
      </c>
      <c r="O195" s="43" t="e">
        <f t="shared" si="43"/>
        <v>#VALUE!</v>
      </c>
      <c r="P195" s="43" t="e">
        <f>ROUND(IF(Preenchimento!$G$39="Tabela Price",R195-Q195,(O194*(1+$AD$35))/($AD$28-C194)),$P$22)</f>
        <v>#VALUE!</v>
      </c>
      <c r="Q195" s="43" t="e">
        <f>IF(Preenchimento!$G$39="Tabela Price",O194*(1+$AD$35)*W195,O194*(1+SAC!$AD$35)*SAC!W195)</f>
        <v>#VALUE!</v>
      </c>
      <c r="R195" s="43" t="e">
        <f>IF(Preenchimento!$G$39="Tabela Price",IF(C195="","",((((((1+W195)^($Q$16-C194))*W195)/((1+W195)^($Q$16-C194)-1))*(O194*(1+$AD$35))))),Q195+P195)</f>
        <v>#VALUE!</v>
      </c>
      <c r="S195" s="43" t="e">
        <f t="shared" ca="1" si="38"/>
        <v>#VALUE!</v>
      </c>
      <c r="T195" s="43">
        <f t="shared" si="44"/>
        <v>0</v>
      </c>
      <c r="U195" s="226">
        <f>TRUNC(T195*Condições!$C$102,2)</f>
        <v>0</v>
      </c>
      <c r="V195" s="82">
        <f t="shared" ca="1" si="45"/>
        <v>8</v>
      </c>
      <c r="W195" s="231" t="str">
        <f t="shared" si="46"/>
        <v/>
      </c>
      <c r="X195" s="210"/>
      <c r="Y195" s="210"/>
      <c r="Z195" s="210"/>
      <c r="AI195" s="114">
        <f t="shared" si="47"/>
        <v>0</v>
      </c>
      <c r="AJ195" s="113"/>
      <c r="AL195" s="477">
        <f t="shared" ca="1" si="48"/>
        <v>0</v>
      </c>
    </row>
    <row r="196" spans="2:38" ht="12" customHeight="1">
      <c r="B196" s="222">
        <f ca="1">Fixa!B196</f>
        <v>51395</v>
      </c>
      <c r="C196" s="223" t="str">
        <f>Fixa!C196</f>
        <v/>
      </c>
      <c r="D196" s="43" t="e">
        <f t="shared" si="39"/>
        <v>#VALUE!</v>
      </c>
      <c r="E196" s="43" t="e">
        <f t="shared" si="33"/>
        <v>#VALUE!</v>
      </c>
      <c r="F196" s="43" t="e">
        <f t="shared" si="34"/>
        <v>#VALUE!</v>
      </c>
      <c r="G196" s="43" t="e">
        <f t="shared" si="35"/>
        <v>#VALUE!</v>
      </c>
      <c r="H196" s="43" t="e">
        <f t="shared" ca="1" si="36"/>
        <v>#VALUE!</v>
      </c>
      <c r="I196" s="43">
        <f t="shared" si="37"/>
        <v>0</v>
      </c>
      <c r="J196" s="229">
        <f t="shared" si="40"/>
        <v>25</v>
      </c>
      <c r="K196" s="43">
        <f t="shared" si="41"/>
        <v>0</v>
      </c>
      <c r="M196" s="224"/>
      <c r="N196" s="225">
        <f t="shared" si="42"/>
        <v>0</v>
      </c>
      <c r="O196" s="43" t="e">
        <f t="shared" si="43"/>
        <v>#VALUE!</v>
      </c>
      <c r="P196" s="43" t="e">
        <f>ROUND(IF(Preenchimento!$G$39="Tabela Price",R196-Q196,(O195*(1+$AD$35))/($AD$28-C195)),$P$22)</f>
        <v>#VALUE!</v>
      </c>
      <c r="Q196" s="43" t="e">
        <f>IF(Preenchimento!$G$39="Tabela Price",O195*(1+$AD$35)*W196,O195*(1+SAC!$AD$35)*SAC!W196)</f>
        <v>#VALUE!</v>
      </c>
      <c r="R196" s="43" t="e">
        <f>IF(Preenchimento!$G$39="Tabela Price",IF(C196="","",((((((1+W196)^($Q$16-C195))*W196)/((1+W196)^($Q$16-C195)-1))*(O195*(1+$AD$35))))),Q196+P196)</f>
        <v>#VALUE!</v>
      </c>
      <c r="S196" s="43" t="e">
        <f t="shared" ca="1" si="38"/>
        <v>#VALUE!</v>
      </c>
      <c r="T196" s="43">
        <f t="shared" si="44"/>
        <v>0</v>
      </c>
      <c r="U196" s="226">
        <f>TRUNC(T196*Condições!$C$102,2)</f>
        <v>0</v>
      </c>
      <c r="V196" s="82">
        <f t="shared" ca="1" si="45"/>
        <v>9</v>
      </c>
      <c r="W196" s="231" t="str">
        <f t="shared" si="46"/>
        <v/>
      </c>
      <c r="X196" s="210"/>
      <c r="Y196" s="210"/>
      <c r="Z196" s="210"/>
      <c r="AI196" s="114">
        <f t="shared" si="47"/>
        <v>0</v>
      </c>
      <c r="AJ196" s="113"/>
      <c r="AL196" s="477">
        <f t="shared" ca="1" si="48"/>
        <v>0</v>
      </c>
    </row>
    <row r="197" spans="2:38" ht="12" customHeight="1">
      <c r="B197" s="222">
        <f ca="1">Fixa!B197</f>
        <v>51425</v>
      </c>
      <c r="C197" s="223" t="str">
        <f>Fixa!C197</f>
        <v/>
      </c>
      <c r="D197" s="43" t="e">
        <f t="shared" si="39"/>
        <v>#VALUE!</v>
      </c>
      <c r="E197" s="43" t="e">
        <f t="shared" si="33"/>
        <v>#VALUE!</v>
      </c>
      <c r="F197" s="43" t="e">
        <f t="shared" si="34"/>
        <v>#VALUE!</v>
      </c>
      <c r="G197" s="43" t="e">
        <f t="shared" si="35"/>
        <v>#VALUE!</v>
      </c>
      <c r="H197" s="43" t="e">
        <f t="shared" ca="1" si="36"/>
        <v>#VALUE!</v>
      </c>
      <c r="I197" s="43">
        <f t="shared" si="37"/>
        <v>0</v>
      </c>
      <c r="J197" s="229">
        <f t="shared" si="40"/>
        <v>25</v>
      </c>
      <c r="K197" s="43">
        <f t="shared" si="41"/>
        <v>0</v>
      </c>
      <c r="M197" s="224"/>
      <c r="N197" s="225">
        <f t="shared" si="42"/>
        <v>0</v>
      </c>
      <c r="O197" s="43" t="e">
        <f t="shared" si="43"/>
        <v>#VALUE!</v>
      </c>
      <c r="P197" s="43" t="e">
        <f>ROUND(IF(Preenchimento!$G$39="Tabela Price",R197-Q197,(O196*(1+$AD$35))/($AD$28-C196)),$P$22)</f>
        <v>#VALUE!</v>
      </c>
      <c r="Q197" s="43" t="e">
        <f>IF(Preenchimento!$G$39="Tabela Price",O196*(1+$AD$35)*W197,O196*(1+SAC!$AD$35)*SAC!W197)</f>
        <v>#VALUE!</v>
      </c>
      <c r="R197" s="43" t="e">
        <f>IF(Preenchimento!$G$39="Tabela Price",IF(C197="","",((((((1+W197)^($Q$16-C196))*W197)/((1+W197)^($Q$16-C196)-1))*(O196*(1+$AD$35))))),Q197+P197)</f>
        <v>#VALUE!</v>
      </c>
      <c r="S197" s="43" t="e">
        <f t="shared" ca="1" si="38"/>
        <v>#VALUE!</v>
      </c>
      <c r="T197" s="43">
        <f t="shared" si="44"/>
        <v>0</v>
      </c>
      <c r="U197" s="226">
        <f>TRUNC(T197*Condições!$C$102,2)</f>
        <v>0</v>
      </c>
      <c r="V197" s="82">
        <f t="shared" ca="1" si="45"/>
        <v>10</v>
      </c>
      <c r="W197" s="231" t="str">
        <f t="shared" si="46"/>
        <v/>
      </c>
      <c r="X197" s="210"/>
      <c r="Y197" s="210"/>
      <c r="Z197" s="210"/>
      <c r="AI197" s="114">
        <f t="shared" si="47"/>
        <v>0</v>
      </c>
      <c r="AJ197" s="113"/>
      <c r="AL197" s="477">
        <f t="shared" ca="1" si="48"/>
        <v>0</v>
      </c>
    </row>
    <row r="198" spans="2:38" ht="12" customHeight="1">
      <c r="B198" s="222">
        <f ca="1">Fixa!B198</f>
        <v>51456</v>
      </c>
      <c r="C198" s="223" t="str">
        <f>Fixa!C198</f>
        <v/>
      </c>
      <c r="D198" s="43" t="e">
        <f t="shared" si="39"/>
        <v>#VALUE!</v>
      </c>
      <c r="E198" s="43" t="e">
        <f t="shared" si="33"/>
        <v>#VALUE!</v>
      </c>
      <c r="F198" s="43" t="e">
        <f t="shared" si="34"/>
        <v>#VALUE!</v>
      </c>
      <c r="G198" s="43" t="e">
        <f t="shared" si="35"/>
        <v>#VALUE!</v>
      </c>
      <c r="H198" s="43" t="e">
        <f t="shared" ca="1" si="36"/>
        <v>#VALUE!</v>
      </c>
      <c r="I198" s="43">
        <f t="shared" si="37"/>
        <v>0</v>
      </c>
      <c r="J198" s="229">
        <f t="shared" si="40"/>
        <v>25</v>
      </c>
      <c r="K198" s="43">
        <f t="shared" si="41"/>
        <v>0</v>
      </c>
      <c r="M198" s="224"/>
      <c r="N198" s="225">
        <f t="shared" si="42"/>
        <v>0</v>
      </c>
      <c r="O198" s="43" t="e">
        <f t="shared" si="43"/>
        <v>#VALUE!</v>
      </c>
      <c r="P198" s="43" t="e">
        <f>ROUND(IF(Preenchimento!$G$39="Tabela Price",R198-Q198,(O197*(1+$AD$35))/($AD$28-C197)),$P$22)</f>
        <v>#VALUE!</v>
      </c>
      <c r="Q198" s="43" t="e">
        <f>IF(Preenchimento!$G$39="Tabela Price",O197*(1+$AD$35)*W198,O197*(1+SAC!$AD$35)*SAC!W198)</f>
        <v>#VALUE!</v>
      </c>
      <c r="R198" s="43" t="e">
        <f>IF(Preenchimento!$G$39="Tabela Price",IF(C198="","",((((((1+W198)^($Q$16-C197))*W198)/((1+W198)^($Q$16-C197)-1))*(O197*(1+$AD$35))))),Q198+P198)</f>
        <v>#VALUE!</v>
      </c>
      <c r="S198" s="43" t="e">
        <f t="shared" ca="1" si="38"/>
        <v>#VALUE!</v>
      </c>
      <c r="T198" s="43">
        <f t="shared" si="44"/>
        <v>0</v>
      </c>
      <c r="U198" s="226">
        <f>TRUNC(T198*Condições!$C$102,2)</f>
        <v>0</v>
      </c>
      <c r="V198" s="82">
        <f t="shared" ca="1" si="45"/>
        <v>11</v>
      </c>
      <c r="W198" s="231" t="str">
        <f t="shared" si="46"/>
        <v/>
      </c>
      <c r="X198" s="210"/>
      <c r="Y198" s="210"/>
      <c r="Z198" s="210"/>
      <c r="AI198" s="114">
        <f t="shared" si="47"/>
        <v>0</v>
      </c>
      <c r="AJ198" s="113"/>
      <c r="AL198" s="477">
        <f t="shared" ca="1" si="48"/>
        <v>0</v>
      </c>
    </row>
    <row r="199" spans="2:38" ht="12" customHeight="1">
      <c r="B199" s="222">
        <f ca="1">Fixa!B199</f>
        <v>51486</v>
      </c>
      <c r="C199" s="223" t="str">
        <f>Fixa!C199</f>
        <v/>
      </c>
      <c r="D199" s="43" t="e">
        <f t="shared" si="39"/>
        <v>#VALUE!</v>
      </c>
      <c r="E199" s="43" t="e">
        <f t="shared" si="33"/>
        <v>#VALUE!</v>
      </c>
      <c r="F199" s="43" t="e">
        <f t="shared" si="34"/>
        <v>#VALUE!</v>
      </c>
      <c r="G199" s="43" t="e">
        <f t="shared" si="35"/>
        <v>#VALUE!</v>
      </c>
      <c r="H199" s="43" t="e">
        <f t="shared" ca="1" si="36"/>
        <v>#VALUE!</v>
      </c>
      <c r="I199" s="43">
        <f t="shared" si="37"/>
        <v>0</v>
      </c>
      <c r="J199" s="229">
        <f t="shared" si="40"/>
        <v>25</v>
      </c>
      <c r="K199" s="43">
        <f t="shared" si="41"/>
        <v>0</v>
      </c>
      <c r="M199" s="224"/>
      <c r="N199" s="225">
        <f t="shared" si="42"/>
        <v>0</v>
      </c>
      <c r="O199" s="43" t="e">
        <f t="shared" si="43"/>
        <v>#VALUE!</v>
      </c>
      <c r="P199" s="43" t="e">
        <f>ROUND(IF(Preenchimento!$G$39="Tabela Price",R199-Q199,(O198*(1+$AD$35))/($AD$28-C198)),$P$22)</f>
        <v>#VALUE!</v>
      </c>
      <c r="Q199" s="43" t="e">
        <f>IF(Preenchimento!$G$39="Tabela Price",O198*(1+$AD$35)*W199,O198*(1+SAC!$AD$35)*SAC!W199)</f>
        <v>#VALUE!</v>
      </c>
      <c r="R199" s="43" t="e">
        <f>IF(Preenchimento!$G$39="Tabela Price",IF(C199="","",((((((1+W199)^($Q$16-C198))*W199)/((1+W199)^($Q$16-C198)-1))*(O198*(1+$AD$35))))),Q199+P199)</f>
        <v>#VALUE!</v>
      </c>
      <c r="S199" s="43" t="e">
        <f t="shared" ca="1" si="38"/>
        <v>#VALUE!</v>
      </c>
      <c r="T199" s="43">
        <f t="shared" si="44"/>
        <v>0</v>
      </c>
      <c r="U199" s="226">
        <f>TRUNC(T199*Condições!$C$102,2)</f>
        <v>0</v>
      </c>
      <c r="V199" s="82">
        <f t="shared" ca="1" si="45"/>
        <v>12</v>
      </c>
      <c r="W199" s="231" t="str">
        <f t="shared" si="46"/>
        <v/>
      </c>
      <c r="X199" s="210"/>
      <c r="Y199" s="210"/>
      <c r="Z199" s="210"/>
      <c r="AI199" s="114">
        <f t="shared" si="47"/>
        <v>0</v>
      </c>
      <c r="AJ199" s="113"/>
      <c r="AL199" s="477">
        <f t="shared" ca="1" si="48"/>
        <v>0</v>
      </c>
    </row>
    <row r="200" spans="2:38" ht="12" customHeight="1">
      <c r="B200" s="222">
        <f ca="1">Fixa!B200</f>
        <v>51517</v>
      </c>
      <c r="C200" s="223" t="str">
        <f>Fixa!C200</f>
        <v/>
      </c>
      <c r="D200" s="43" t="e">
        <f t="shared" si="39"/>
        <v>#VALUE!</v>
      </c>
      <c r="E200" s="43" t="e">
        <f t="shared" si="33"/>
        <v>#VALUE!</v>
      </c>
      <c r="F200" s="43" t="e">
        <f t="shared" si="34"/>
        <v>#VALUE!</v>
      </c>
      <c r="G200" s="43" t="e">
        <f t="shared" si="35"/>
        <v>#VALUE!</v>
      </c>
      <c r="H200" s="43" t="e">
        <f t="shared" ca="1" si="36"/>
        <v>#VALUE!</v>
      </c>
      <c r="I200" s="43">
        <f t="shared" si="37"/>
        <v>0</v>
      </c>
      <c r="J200" s="229">
        <f t="shared" si="40"/>
        <v>25</v>
      </c>
      <c r="K200" s="43">
        <f t="shared" si="41"/>
        <v>0</v>
      </c>
      <c r="M200" s="224"/>
      <c r="N200" s="225">
        <f t="shared" si="42"/>
        <v>0</v>
      </c>
      <c r="O200" s="43" t="e">
        <f t="shared" si="43"/>
        <v>#VALUE!</v>
      </c>
      <c r="P200" s="43" t="e">
        <f>ROUND(IF(Preenchimento!$G$39="Tabela Price",R200-Q200,(O199*(1+$AD$35))/($AD$28-C199)),$P$22)</f>
        <v>#VALUE!</v>
      </c>
      <c r="Q200" s="43" t="e">
        <f>IF(Preenchimento!$G$39="Tabela Price",O199*(1+$AD$35)*W200,O199*(1+SAC!$AD$35)*SAC!W200)</f>
        <v>#VALUE!</v>
      </c>
      <c r="R200" s="43" t="e">
        <f>IF(Preenchimento!$G$39="Tabela Price",IF(C200="","",((((((1+W200)^($Q$16-C199))*W200)/((1+W200)^($Q$16-C199)-1))*(O199*(1+$AD$35))))),Q200+P200)</f>
        <v>#VALUE!</v>
      </c>
      <c r="S200" s="43" t="e">
        <f t="shared" ca="1" si="38"/>
        <v>#VALUE!</v>
      </c>
      <c r="T200" s="43">
        <f t="shared" si="44"/>
        <v>0</v>
      </c>
      <c r="U200" s="226">
        <f>TRUNC(T200*Condições!$C$102,2)</f>
        <v>0</v>
      </c>
      <c r="V200" s="82">
        <f t="shared" ca="1" si="45"/>
        <v>1</v>
      </c>
      <c r="W200" s="231" t="str">
        <f t="shared" si="46"/>
        <v/>
      </c>
      <c r="X200" s="210"/>
      <c r="Y200" s="210"/>
      <c r="Z200" s="210"/>
      <c r="AI200" s="114">
        <f t="shared" si="47"/>
        <v>0</v>
      </c>
      <c r="AJ200" s="113"/>
      <c r="AL200" s="477">
        <f t="shared" ca="1" si="48"/>
        <v>0</v>
      </c>
    </row>
    <row r="201" spans="2:38" ht="12" customHeight="1">
      <c r="B201" s="222">
        <f ca="1">Fixa!B201</f>
        <v>51548</v>
      </c>
      <c r="C201" s="223" t="str">
        <f>Fixa!C201</f>
        <v/>
      </c>
      <c r="D201" s="43" t="e">
        <f t="shared" si="39"/>
        <v>#VALUE!</v>
      </c>
      <c r="E201" s="43" t="e">
        <f t="shared" si="33"/>
        <v>#VALUE!</v>
      </c>
      <c r="F201" s="43" t="e">
        <f t="shared" si="34"/>
        <v>#VALUE!</v>
      </c>
      <c r="G201" s="43" t="e">
        <f t="shared" si="35"/>
        <v>#VALUE!</v>
      </c>
      <c r="H201" s="43" t="e">
        <f t="shared" ca="1" si="36"/>
        <v>#VALUE!</v>
      </c>
      <c r="I201" s="43">
        <f t="shared" si="37"/>
        <v>0</v>
      </c>
      <c r="J201" s="229">
        <f t="shared" si="40"/>
        <v>25</v>
      </c>
      <c r="K201" s="43">
        <f t="shared" si="41"/>
        <v>0</v>
      </c>
      <c r="M201" s="224"/>
      <c r="N201" s="225">
        <f t="shared" si="42"/>
        <v>0</v>
      </c>
      <c r="O201" s="43" t="e">
        <f t="shared" si="43"/>
        <v>#VALUE!</v>
      </c>
      <c r="P201" s="43" t="e">
        <f>ROUND(IF(Preenchimento!$G$39="Tabela Price",R201-Q201,(O200*(1+$AD$35))/($AD$28-C200)),$P$22)</f>
        <v>#VALUE!</v>
      </c>
      <c r="Q201" s="43" t="e">
        <f>IF(Preenchimento!$G$39="Tabela Price",O200*(1+$AD$35)*W201,O200*(1+SAC!$AD$35)*SAC!W201)</f>
        <v>#VALUE!</v>
      </c>
      <c r="R201" s="43" t="e">
        <f>IF(Preenchimento!$G$39="Tabela Price",IF(C201="","",((((((1+W201)^($Q$16-C200))*W201)/((1+W201)^($Q$16-C200)-1))*(O200*(1+$AD$35))))),Q201+P201)</f>
        <v>#VALUE!</v>
      </c>
      <c r="S201" s="43" t="e">
        <f t="shared" ca="1" si="38"/>
        <v>#VALUE!</v>
      </c>
      <c r="T201" s="43">
        <f t="shared" si="44"/>
        <v>0</v>
      </c>
      <c r="U201" s="226">
        <f>TRUNC(T201*Condições!$C$102,2)</f>
        <v>0</v>
      </c>
      <c r="V201" s="82">
        <f t="shared" ca="1" si="45"/>
        <v>2</v>
      </c>
      <c r="W201" s="231" t="str">
        <f t="shared" si="46"/>
        <v/>
      </c>
      <c r="X201" s="210"/>
      <c r="Y201" s="210"/>
      <c r="Z201" s="210"/>
      <c r="AI201" s="114">
        <f t="shared" si="47"/>
        <v>0</v>
      </c>
      <c r="AJ201" s="113"/>
      <c r="AL201" s="477">
        <f t="shared" ca="1" si="48"/>
        <v>0</v>
      </c>
    </row>
    <row r="202" spans="2:38" ht="12" customHeight="1">
      <c r="B202" s="222">
        <f ca="1">Fixa!B202</f>
        <v>51576</v>
      </c>
      <c r="C202" s="223" t="str">
        <f>Fixa!C202</f>
        <v/>
      </c>
      <c r="D202" s="43" t="e">
        <f t="shared" si="39"/>
        <v>#VALUE!</v>
      </c>
      <c r="E202" s="43" t="e">
        <f t="shared" si="33"/>
        <v>#VALUE!</v>
      </c>
      <c r="F202" s="43" t="e">
        <f t="shared" si="34"/>
        <v>#VALUE!</v>
      </c>
      <c r="G202" s="43" t="e">
        <f t="shared" si="35"/>
        <v>#VALUE!</v>
      </c>
      <c r="H202" s="43" t="e">
        <f t="shared" ca="1" si="36"/>
        <v>#VALUE!</v>
      </c>
      <c r="I202" s="43">
        <f t="shared" si="37"/>
        <v>0</v>
      </c>
      <c r="J202" s="229">
        <f t="shared" si="40"/>
        <v>25</v>
      </c>
      <c r="K202" s="43">
        <f t="shared" si="41"/>
        <v>0</v>
      </c>
      <c r="M202" s="224"/>
      <c r="N202" s="225">
        <f t="shared" si="42"/>
        <v>0</v>
      </c>
      <c r="O202" s="43" t="e">
        <f t="shared" si="43"/>
        <v>#VALUE!</v>
      </c>
      <c r="P202" s="43" t="e">
        <f>ROUND(IF(Preenchimento!$G$39="Tabela Price",R202-Q202,(O201*(1+$AD$35))/($AD$28-C201)),$P$22)</f>
        <v>#VALUE!</v>
      </c>
      <c r="Q202" s="43" t="e">
        <f>IF(Preenchimento!$G$39="Tabela Price",O201*(1+$AD$35)*W202,O201*(1+SAC!$AD$35)*SAC!W202)</f>
        <v>#VALUE!</v>
      </c>
      <c r="R202" s="43" t="e">
        <f>IF(Preenchimento!$G$39="Tabela Price",IF(C202="","",((((((1+W202)^($Q$16-C201))*W202)/((1+W202)^($Q$16-C201)-1))*(O201*(1+$AD$35))))),Q202+P202)</f>
        <v>#VALUE!</v>
      </c>
      <c r="S202" s="43" t="e">
        <f t="shared" ca="1" si="38"/>
        <v>#VALUE!</v>
      </c>
      <c r="T202" s="43">
        <f t="shared" si="44"/>
        <v>0</v>
      </c>
      <c r="U202" s="226">
        <f>TRUNC(T202*Condições!$C$102,2)</f>
        <v>0</v>
      </c>
      <c r="V202" s="82">
        <f t="shared" ca="1" si="45"/>
        <v>3</v>
      </c>
      <c r="W202" s="231" t="str">
        <f t="shared" si="46"/>
        <v/>
      </c>
      <c r="X202" s="210"/>
      <c r="Y202" s="210"/>
      <c r="Z202" s="210"/>
      <c r="AI202" s="114">
        <f t="shared" si="47"/>
        <v>0</v>
      </c>
      <c r="AJ202" s="113"/>
      <c r="AL202" s="477">
        <f t="shared" ca="1" si="48"/>
        <v>0</v>
      </c>
    </row>
    <row r="203" spans="2:38" ht="12" customHeight="1">
      <c r="B203" s="222">
        <f ca="1">Fixa!B203</f>
        <v>51607</v>
      </c>
      <c r="C203" s="223" t="str">
        <f>Fixa!C203</f>
        <v/>
      </c>
      <c r="D203" s="43" t="e">
        <f t="shared" si="39"/>
        <v>#VALUE!</v>
      </c>
      <c r="E203" s="43" t="e">
        <f t="shared" si="33"/>
        <v>#VALUE!</v>
      </c>
      <c r="F203" s="43" t="e">
        <f t="shared" si="34"/>
        <v>#VALUE!</v>
      </c>
      <c r="G203" s="43" t="e">
        <f t="shared" si="35"/>
        <v>#VALUE!</v>
      </c>
      <c r="H203" s="43" t="e">
        <f t="shared" ca="1" si="36"/>
        <v>#VALUE!</v>
      </c>
      <c r="I203" s="43">
        <f t="shared" si="37"/>
        <v>0</v>
      </c>
      <c r="J203" s="229">
        <f t="shared" si="40"/>
        <v>25</v>
      </c>
      <c r="K203" s="43">
        <f t="shared" si="41"/>
        <v>0</v>
      </c>
      <c r="M203" s="224"/>
      <c r="N203" s="225">
        <f t="shared" si="42"/>
        <v>0</v>
      </c>
      <c r="O203" s="43" t="e">
        <f t="shared" si="43"/>
        <v>#VALUE!</v>
      </c>
      <c r="P203" s="43" t="e">
        <f>ROUND(IF(Preenchimento!$G$39="Tabela Price",R203-Q203,(O202*(1+$AD$35))/($AD$28-C202)),$P$22)</f>
        <v>#VALUE!</v>
      </c>
      <c r="Q203" s="43" t="e">
        <f>IF(Preenchimento!$G$39="Tabela Price",O202*(1+$AD$35)*W203,O202*(1+SAC!$AD$35)*SAC!W203)</f>
        <v>#VALUE!</v>
      </c>
      <c r="R203" s="43" t="e">
        <f>IF(Preenchimento!$G$39="Tabela Price",IF(C203="","",((((((1+W203)^($Q$16-C202))*W203)/((1+W203)^($Q$16-C202)-1))*(O202*(1+$AD$35))))),Q203+P203)</f>
        <v>#VALUE!</v>
      </c>
      <c r="S203" s="43" t="e">
        <f t="shared" ca="1" si="38"/>
        <v>#VALUE!</v>
      </c>
      <c r="T203" s="43">
        <f t="shared" si="44"/>
        <v>0</v>
      </c>
      <c r="U203" s="226">
        <f>TRUNC(T203*Condições!$C$102,2)</f>
        <v>0</v>
      </c>
      <c r="V203" s="82">
        <f t="shared" ca="1" si="45"/>
        <v>4</v>
      </c>
      <c r="W203" s="231" t="str">
        <f t="shared" si="46"/>
        <v/>
      </c>
      <c r="X203" s="210"/>
      <c r="Y203" s="210"/>
      <c r="Z203" s="210"/>
      <c r="AI203" s="114">
        <f t="shared" si="47"/>
        <v>0</v>
      </c>
      <c r="AJ203" s="113"/>
      <c r="AL203" s="477">
        <f t="shared" ca="1" si="48"/>
        <v>0</v>
      </c>
    </row>
    <row r="204" spans="2:38" ht="12" customHeight="1">
      <c r="B204" s="222">
        <f ca="1">Fixa!B204</f>
        <v>51637</v>
      </c>
      <c r="C204" s="223" t="str">
        <f>Fixa!C204</f>
        <v/>
      </c>
      <c r="D204" s="43" t="e">
        <f t="shared" si="39"/>
        <v>#VALUE!</v>
      </c>
      <c r="E204" s="43" t="e">
        <f t="shared" si="33"/>
        <v>#VALUE!</v>
      </c>
      <c r="F204" s="43" t="e">
        <f t="shared" si="34"/>
        <v>#VALUE!</v>
      </c>
      <c r="G204" s="43" t="e">
        <f t="shared" si="35"/>
        <v>#VALUE!</v>
      </c>
      <c r="H204" s="43" t="e">
        <f t="shared" ca="1" si="36"/>
        <v>#VALUE!</v>
      </c>
      <c r="I204" s="43">
        <f t="shared" si="37"/>
        <v>0</v>
      </c>
      <c r="J204" s="229">
        <f t="shared" si="40"/>
        <v>25</v>
      </c>
      <c r="K204" s="43">
        <f t="shared" si="41"/>
        <v>0</v>
      </c>
      <c r="M204" s="224"/>
      <c r="N204" s="225">
        <f t="shared" si="42"/>
        <v>0</v>
      </c>
      <c r="O204" s="43" t="e">
        <f t="shared" si="43"/>
        <v>#VALUE!</v>
      </c>
      <c r="P204" s="43" t="e">
        <f>ROUND(IF(Preenchimento!$G$39="Tabela Price",R204-Q204,(O203*(1+$AD$35))/($AD$28-C203)),$P$22)</f>
        <v>#VALUE!</v>
      </c>
      <c r="Q204" s="43" t="e">
        <f>IF(Preenchimento!$G$39="Tabela Price",O203*(1+$AD$35)*W204,O203*(1+SAC!$AD$35)*SAC!W204)</f>
        <v>#VALUE!</v>
      </c>
      <c r="R204" s="43" t="e">
        <f>IF(Preenchimento!$G$39="Tabela Price",IF(C204="","",((((((1+W204)^($Q$16-C203))*W204)/((1+W204)^($Q$16-C203)-1))*(O203*(1+$AD$35))))),Q204+P204)</f>
        <v>#VALUE!</v>
      </c>
      <c r="S204" s="43" t="e">
        <f t="shared" ca="1" si="38"/>
        <v>#VALUE!</v>
      </c>
      <c r="T204" s="43">
        <f t="shared" si="44"/>
        <v>0</v>
      </c>
      <c r="U204" s="226">
        <f>TRUNC(T204*Condições!$C$102,2)</f>
        <v>0</v>
      </c>
      <c r="V204" s="82">
        <f t="shared" ca="1" si="45"/>
        <v>5</v>
      </c>
      <c r="W204" s="231" t="str">
        <f t="shared" si="46"/>
        <v/>
      </c>
      <c r="X204" s="210"/>
      <c r="Y204" s="210"/>
      <c r="Z204" s="210"/>
      <c r="AI204" s="114">
        <f t="shared" si="47"/>
        <v>0</v>
      </c>
      <c r="AJ204" s="113"/>
      <c r="AL204" s="477">
        <f t="shared" ca="1" si="48"/>
        <v>0</v>
      </c>
    </row>
    <row r="205" spans="2:38" ht="12" customHeight="1">
      <c r="B205" s="222">
        <f ca="1">Fixa!B205</f>
        <v>51668</v>
      </c>
      <c r="C205" s="223" t="str">
        <f>Fixa!C205</f>
        <v/>
      </c>
      <c r="D205" s="43" t="e">
        <f t="shared" si="39"/>
        <v>#VALUE!</v>
      </c>
      <c r="E205" s="43" t="e">
        <f t="shared" si="33"/>
        <v>#VALUE!</v>
      </c>
      <c r="F205" s="43" t="e">
        <f t="shared" si="34"/>
        <v>#VALUE!</v>
      </c>
      <c r="G205" s="43" t="e">
        <f t="shared" si="35"/>
        <v>#VALUE!</v>
      </c>
      <c r="H205" s="43" t="e">
        <f t="shared" ca="1" si="36"/>
        <v>#VALUE!</v>
      </c>
      <c r="I205" s="43">
        <f t="shared" si="37"/>
        <v>0</v>
      </c>
      <c r="J205" s="229">
        <f t="shared" si="40"/>
        <v>25</v>
      </c>
      <c r="K205" s="43">
        <f t="shared" si="41"/>
        <v>0</v>
      </c>
      <c r="M205" s="224"/>
      <c r="N205" s="225">
        <f t="shared" si="42"/>
        <v>0</v>
      </c>
      <c r="O205" s="43" t="e">
        <f t="shared" si="43"/>
        <v>#VALUE!</v>
      </c>
      <c r="P205" s="43" t="e">
        <f>ROUND(IF(Preenchimento!$G$39="Tabela Price",R205-Q205,(O204*(1+$AD$35))/($AD$28-C204)),$P$22)</f>
        <v>#VALUE!</v>
      </c>
      <c r="Q205" s="43" t="e">
        <f>IF(Preenchimento!$G$39="Tabela Price",O204*(1+$AD$35)*W205,O204*(1+SAC!$AD$35)*SAC!W205)</f>
        <v>#VALUE!</v>
      </c>
      <c r="R205" s="43" t="e">
        <f>IF(Preenchimento!$G$39="Tabela Price",IF(C205="","",((((((1+W205)^($Q$16-C204))*W205)/((1+W205)^($Q$16-C204)-1))*(O204*(1+$AD$35))))),Q205+P205)</f>
        <v>#VALUE!</v>
      </c>
      <c r="S205" s="43" t="e">
        <f t="shared" ca="1" si="38"/>
        <v>#VALUE!</v>
      </c>
      <c r="T205" s="43">
        <f t="shared" si="44"/>
        <v>0</v>
      </c>
      <c r="U205" s="226">
        <f>TRUNC(T205*Condições!$C$102,2)</f>
        <v>0</v>
      </c>
      <c r="V205" s="82">
        <f t="shared" ca="1" si="45"/>
        <v>6</v>
      </c>
      <c r="W205" s="231" t="str">
        <f t="shared" si="46"/>
        <v/>
      </c>
      <c r="X205" s="210"/>
      <c r="Y205" s="210"/>
      <c r="Z205" s="210"/>
      <c r="AI205" s="114">
        <f t="shared" si="47"/>
        <v>0</v>
      </c>
      <c r="AJ205" s="113"/>
      <c r="AL205" s="477">
        <f t="shared" ca="1" si="48"/>
        <v>0</v>
      </c>
    </row>
    <row r="206" spans="2:38" ht="12" customHeight="1">
      <c r="B206" s="222">
        <f ca="1">Fixa!B206</f>
        <v>51698</v>
      </c>
      <c r="C206" s="223" t="str">
        <f>Fixa!C206</f>
        <v/>
      </c>
      <c r="D206" s="43" t="e">
        <f t="shared" si="39"/>
        <v>#VALUE!</v>
      </c>
      <c r="E206" s="43" t="e">
        <f t="shared" si="33"/>
        <v>#VALUE!</v>
      </c>
      <c r="F206" s="43" t="e">
        <f t="shared" si="34"/>
        <v>#VALUE!</v>
      </c>
      <c r="G206" s="43" t="e">
        <f t="shared" si="35"/>
        <v>#VALUE!</v>
      </c>
      <c r="H206" s="43" t="e">
        <f t="shared" ca="1" si="36"/>
        <v>#VALUE!</v>
      </c>
      <c r="I206" s="43">
        <f t="shared" si="37"/>
        <v>0</v>
      </c>
      <c r="J206" s="229">
        <f t="shared" si="40"/>
        <v>25</v>
      </c>
      <c r="K206" s="43">
        <f t="shared" si="41"/>
        <v>0</v>
      </c>
      <c r="M206" s="224"/>
      <c r="N206" s="225">
        <f t="shared" si="42"/>
        <v>0</v>
      </c>
      <c r="O206" s="43" t="e">
        <f t="shared" si="43"/>
        <v>#VALUE!</v>
      </c>
      <c r="P206" s="43" t="e">
        <f>ROUND(IF(Preenchimento!$G$39="Tabela Price",R206-Q206,(O205*(1+$AD$35))/($AD$28-C205)),$P$22)</f>
        <v>#VALUE!</v>
      </c>
      <c r="Q206" s="43" t="e">
        <f>IF(Preenchimento!$G$39="Tabela Price",O205*(1+$AD$35)*W206,O205*(1+SAC!$AD$35)*SAC!W206)</f>
        <v>#VALUE!</v>
      </c>
      <c r="R206" s="43" t="e">
        <f>IF(Preenchimento!$G$39="Tabela Price",IF(C206="","",((((((1+W206)^($Q$16-C205))*W206)/((1+W206)^($Q$16-C205)-1))*(O205*(1+$AD$35))))),Q206+P206)</f>
        <v>#VALUE!</v>
      </c>
      <c r="S206" s="43" t="e">
        <f t="shared" ca="1" si="38"/>
        <v>#VALUE!</v>
      </c>
      <c r="T206" s="43">
        <f t="shared" si="44"/>
        <v>0</v>
      </c>
      <c r="U206" s="226">
        <f>TRUNC(T206*Condições!$C$102,2)</f>
        <v>0</v>
      </c>
      <c r="V206" s="82">
        <f t="shared" ca="1" si="45"/>
        <v>7</v>
      </c>
      <c r="W206" s="231" t="str">
        <f t="shared" si="46"/>
        <v/>
      </c>
      <c r="X206" s="210"/>
      <c r="Y206" s="210"/>
      <c r="Z206" s="210"/>
      <c r="AI206" s="114">
        <f t="shared" si="47"/>
        <v>0</v>
      </c>
      <c r="AJ206" s="113"/>
      <c r="AL206" s="477">
        <f t="shared" ca="1" si="48"/>
        <v>0</v>
      </c>
    </row>
    <row r="207" spans="2:38" ht="12" customHeight="1">
      <c r="B207" s="222">
        <f ca="1">Fixa!B207</f>
        <v>51729</v>
      </c>
      <c r="C207" s="223" t="str">
        <f>Fixa!C207</f>
        <v/>
      </c>
      <c r="D207" s="43" t="e">
        <f t="shared" si="39"/>
        <v>#VALUE!</v>
      </c>
      <c r="E207" s="43" t="e">
        <f t="shared" si="33"/>
        <v>#VALUE!</v>
      </c>
      <c r="F207" s="43" t="e">
        <f t="shared" si="34"/>
        <v>#VALUE!</v>
      </c>
      <c r="G207" s="43" t="e">
        <f t="shared" si="35"/>
        <v>#VALUE!</v>
      </c>
      <c r="H207" s="43" t="e">
        <f t="shared" ca="1" si="36"/>
        <v>#VALUE!</v>
      </c>
      <c r="I207" s="43">
        <f t="shared" si="37"/>
        <v>0</v>
      </c>
      <c r="J207" s="229">
        <f t="shared" si="40"/>
        <v>25</v>
      </c>
      <c r="K207" s="43">
        <f t="shared" si="41"/>
        <v>0</v>
      </c>
      <c r="M207" s="224"/>
      <c r="N207" s="225">
        <f t="shared" si="42"/>
        <v>0</v>
      </c>
      <c r="O207" s="43" t="e">
        <f t="shared" si="43"/>
        <v>#VALUE!</v>
      </c>
      <c r="P207" s="43" t="e">
        <f>ROUND(IF(Preenchimento!$G$39="Tabela Price",R207-Q207,(O206*(1+$AD$35))/($AD$28-C206)),$P$22)</f>
        <v>#VALUE!</v>
      </c>
      <c r="Q207" s="43" t="e">
        <f>IF(Preenchimento!$G$39="Tabela Price",O206*(1+$AD$35)*W207,O206*(1+SAC!$AD$35)*SAC!W207)</f>
        <v>#VALUE!</v>
      </c>
      <c r="R207" s="43" t="e">
        <f>IF(Preenchimento!$G$39="Tabela Price",IF(C207="","",((((((1+W207)^($Q$16-C206))*W207)/((1+W207)^($Q$16-C206)-1))*(O206*(1+$AD$35))))),Q207+P207)</f>
        <v>#VALUE!</v>
      </c>
      <c r="S207" s="43" t="e">
        <f t="shared" ca="1" si="38"/>
        <v>#VALUE!</v>
      </c>
      <c r="T207" s="43">
        <f t="shared" si="44"/>
        <v>0</v>
      </c>
      <c r="U207" s="226">
        <f>TRUNC(T207*Condições!$C$102,2)</f>
        <v>0</v>
      </c>
      <c r="V207" s="82">
        <f t="shared" ca="1" si="45"/>
        <v>8</v>
      </c>
      <c r="W207" s="231" t="str">
        <f t="shared" si="46"/>
        <v/>
      </c>
      <c r="X207" s="210"/>
      <c r="Y207" s="210"/>
      <c r="Z207" s="210"/>
      <c r="AI207" s="114">
        <f t="shared" si="47"/>
        <v>0</v>
      </c>
      <c r="AJ207" s="113"/>
      <c r="AL207" s="477">
        <f t="shared" ca="1" si="48"/>
        <v>0</v>
      </c>
    </row>
    <row r="208" spans="2:38" ht="12" customHeight="1">
      <c r="B208" s="222">
        <f ca="1">Fixa!B208</f>
        <v>51760</v>
      </c>
      <c r="C208" s="223" t="str">
        <f>Fixa!C208</f>
        <v/>
      </c>
      <c r="D208" s="43" t="e">
        <f t="shared" si="39"/>
        <v>#VALUE!</v>
      </c>
      <c r="E208" s="43" t="e">
        <f t="shared" si="33"/>
        <v>#VALUE!</v>
      </c>
      <c r="F208" s="43" t="e">
        <f t="shared" si="34"/>
        <v>#VALUE!</v>
      </c>
      <c r="G208" s="43" t="e">
        <f t="shared" si="35"/>
        <v>#VALUE!</v>
      </c>
      <c r="H208" s="43" t="e">
        <f t="shared" ca="1" si="36"/>
        <v>#VALUE!</v>
      </c>
      <c r="I208" s="43">
        <f t="shared" si="37"/>
        <v>0</v>
      </c>
      <c r="J208" s="229">
        <f t="shared" si="40"/>
        <v>25</v>
      </c>
      <c r="K208" s="43">
        <f t="shared" si="41"/>
        <v>0</v>
      </c>
      <c r="M208" s="224"/>
      <c r="N208" s="225">
        <f t="shared" si="42"/>
        <v>0</v>
      </c>
      <c r="O208" s="43" t="e">
        <f t="shared" si="43"/>
        <v>#VALUE!</v>
      </c>
      <c r="P208" s="43" t="e">
        <f>ROUND(IF(Preenchimento!$G$39="Tabela Price",R208-Q208,(O207*(1+$AD$35))/($AD$28-C207)),$P$22)</f>
        <v>#VALUE!</v>
      </c>
      <c r="Q208" s="43" t="e">
        <f>IF(Preenchimento!$G$39="Tabela Price",O207*(1+$AD$35)*W208,O207*(1+SAC!$AD$35)*SAC!W208)</f>
        <v>#VALUE!</v>
      </c>
      <c r="R208" s="43" t="e">
        <f>IF(Preenchimento!$G$39="Tabela Price",IF(C208="","",((((((1+W208)^($Q$16-C207))*W208)/((1+W208)^($Q$16-C207)-1))*(O207*(1+$AD$35))))),Q208+P208)</f>
        <v>#VALUE!</v>
      </c>
      <c r="S208" s="43" t="e">
        <f t="shared" ca="1" si="38"/>
        <v>#VALUE!</v>
      </c>
      <c r="T208" s="43">
        <f t="shared" si="44"/>
        <v>0</v>
      </c>
      <c r="U208" s="226">
        <f>TRUNC(T208*Condições!$C$102,2)</f>
        <v>0</v>
      </c>
      <c r="V208" s="82">
        <f t="shared" ca="1" si="45"/>
        <v>9</v>
      </c>
      <c r="W208" s="231" t="str">
        <f t="shared" si="46"/>
        <v/>
      </c>
      <c r="X208" s="210"/>
      <c r="Y208" s="210"/>
      <c r="Z208" s="210"/>
      <c r="AI208" s="114">
        <f t="shared" si="47"/>
        <v>0</v>
      </c>
      <c r="AJ208" s="113"/>
      <c r="AL208" s="477">
        <f t="shared" ca="1" si="48"/>
        <v>0</v>
      </c>
    </row>
    <row r="209" spans="2:38" ht="12" customHeight="1">
      <c r="B209" s="222">
        <f ca="1">Fixa!B209</f>
        <v>51790</v>
      </c>
      <c r="C209" s="223" t="str">
        <f>Fixa!C209</f>
        <v/>
      </c>
      <c r="D209" s="43" t="e">
        <f t="shared" si="39"/>
        <v>#VALUE!</v>
      </c>
      <c r="E209" s="43" t="e">
        <f t="shared" si="33"/>
        <v>#VALUE!</v>
      </c>
      <c r="F209" s="43" t="e">
        <f t="shared" si="34"/>
        <v>#VALUE!</v>
      </c>
      <c r="G209" s="43" t="e">
        <f t="shared" si="35"/>
        <v>#VALUE!</v>
      </c>
      <c r="H209" s="43" t="e">
        <f t="shared" ca="1" si="36"/>
        <v>#VALUE!</v>
      </c>
      <c r="I209" s="43">
        <f t="shared" si="37"/>
        <v>0</v>
      </c>
      <c r="J209" s="229">
        <f t="shared" si="40"/>
        <v>25</v>
      </c>
      <c r="K209" s="43">
        <f t="shared" si="41"/>
        <v>0</v>
      </c>
      <c r="M209" s="224"/>
      <c r="N209" s="225">
        <f t="shared" si="42"/>
        <v>0</v>
      </c>
      <c r="O209" s="43" t="e">
        <f t="shared" si="43"/>
        <v>#VALUE!</v>
      </c>
      <c r="P209" s="43" t="e">
        <f>ROUND(IF(Preenchimento!$G$39="Tabela Price",R209-Q209,(O208*(1+$AD$35))/($AD$28-C208)),$P$22)</f>
        <v>#VALUE!</v>
      </c>
      <c r="Q209" s="43" t="e">
        <f>IF(Preenchimento!$G$39="Tabela Price",O208*(1+$AD$35)*W209,O208*(1+SAC!$AD$35)*SAC!W209)</f>
        <v>#VALUE!</v>
      </c>
      <c r="R209" s="43" t="e">
        <f>IF(Preenchimento!$G$39="Tabela Price",IF(C209="","",((((((1+W209)^($Q$16-C208))*W209)/((1+W209)^($Q$16-C208)-1))*(O208*(1+$AD$35))))),Q209+P209)</f>
        <v>#VALUE!</v>
      </c>
      <c r="S209" s="43" t="e">
        <f t="shared" ca="1" si="38"/>
        <v>#VALUE!</v>
      </c>
      <c r="T209" s="43">
        <f t="shared" si="44"/>
        <v>0</v>
      </c>
      <c r="U209" s="226">
        <f>TRUNC(T209*Condições!$C$102,2)</f>
        <v>0</v>
      </c>
      <c r="V209" s="82">
        <f t="shared" ca="1" si="45"/>
        <v>10</v>
      </c>
      <c r="W209" s="231" t="str">
        <f t="shared" si="46"/>
        <v/>
      </c>
      <c r="X209" s="210"/>
      <c r="Y209" s="210"/>
      <c r="Z209" s="210"/>
      <c r="AI209" s="114">
        <f t="shared" si="47"/>
        <v>0</v>
      </c>
      <c r="AJ209" s="113"/>
      <c r="AL209" s="477">
        <f t="shared" ca="1" si="48"/>
        <v>0</v>
      </c>
    </row>
    <row r="210" spans="2:38" ht="12" customHeight="1">
      <c r="B210" s="222">
        <f ca="1">Fixa!B210</f>
        <v>51821</v>
      </c>
      <c r="C210" s="223" t="str">
        <f>Fixa!C210</f>
        <v/>
      </c>
      <c r="D210" s="43" t="e">
        <f t="shared" si="39"/>
        <v>#VALUE!</v>
      </c>
      <c r="E210" s="43" t="e">
        <f t="shared" si="33"/>
        <v>#VALUE!</v>
      </c>
      <c r="F210" s="43" t="e">
        <f t="shared" si="34"/>
        <v>#VALUE!</v>
      </c>
      <c r="G210" s="43" t="e">
        <f t="shared" si="35"/>
        <v>#VALUE!</v>
      </c>
      <c r="H210" s="43" t="e">
        <f t="shared" ca="1" si="36"/>
        <v>#VALUE!</v>
      </c>
      <c r="I210" s="43">
        <f t="shared" si="37"/>
        <v>0</v>
      </c>
      <c r="J210" s="229">
        <f t="shared" si="40"/>
        <v>25</v>
      </c>
      <c r="K210" s="43">
        <f t="shared" si="41"/>
        <v>0</v>
      </c>
      <c r="M210" s="224"/>
      <c r="N210" s="225">
        <f t="shared" si="42"/>
        <v>0</v>
      </c>
      <c r="O210" s="43" t="e">
        <f t="shared" si="43"/>
        <v>#VALUE!</v>
      </c>
      <c r="P210" s="43" t="e">
        <f>ROUND(IF(Preenchimento!$G$39="Tabela Price",R210-Q210,(O209*(1+$AD$35))/($AD$28-C209)),$P$22)</f>
        <v>#VALUE!</v>
      </c>
      <c r="Q210" s="43" t="e">
        <f>IF(Preenchimento!$G$39="Tabela Price",O209*(1+$AD$35)*W210,O209*(1+SAC!$AD$35)*SAC!W210)</f>
        <v>#VALUE!</v>
      </c>
      <c r="R210" s="43" t="e">
        <f>IF(Preenchimento!$G$39="Tabela Price",IF(C210="","",((((((1+W210)^($Q$16-C209))*W210)/((1+W210)^($Q$16-C209)-1))*(O209*(1+$AD$35))))),Q210+P210)</f>
        <v>#VALUE!</v>
      </c>
      <c r="S210" s="43" t="e">
        <f t="shared" ca="1" si="38"/>
        <v>#VALUE!</v>
      </c>
      <c r="T210" s="43">
        <f t="shared" si="44"/>
        <v>0</v>
      </c>
      <c r="U210" s="226">
        <f>TRUNC(T210*Condições!$C$102,2)</f>
        <v>0</v>
      </c>
      <c r="V210" s="82">
        <f t="shared" ca="1" si="45"/>
        <v>11</v>
      </c>
      <c r="W210" s="231" t="str">
        <f t="shared" si="46"/>
        <v/>
      </c>
      <c r="X210" s="210"/>
      <c r="Y210" s="210"/>
      <c r="Z210" s="210"/>
      <c r="AI210" s="114">
        <f t="shared" si="47"/>
        <v>0</v>
      </c>
      <c r="AJ210" s="113"/>
      <c r="AL210" s="477">
        <f t="shared" ca="1" si="48"/>
        <v>0</v>
      </c>
    </row>
    <row r="211" spans="2:38" ht="12" customHeight="1">
      <c r="B211" s="222">
        <f ca="1">Fixa!B211</f>
        <v>51851</v>
      </c>
      <c r="C211" s="223" t="str">
        <f>Fixa!C211</f>
        <v/>
      </c>
      <c r="D211" s="43" t="e">
        <f t="shared" si="39"/>
        <v>#VALUE!</v>
      </c>
      <c r="E211" s="43" t="e">
        <f t="shared" si="33"/>
        <v>#VALUE!</v>
      </c>
      <c r="F211" s="43" t="e">
        <f t="shared" si="34"/>
        <v>#VALUE!</v>
      </c>
      <c r="G211" s="43" t="e">
        <f t="shared" si="35"/>
        <v>#VALUE!</v>
      </c>
      <c r="H211" s="43" t="e">
        <f t="shared" ca="1" si="36"/>
        <v>#VALUE!</v>
      </c>
      <c r="I211" s="43">
        <f t="shared" si="37"/>
        <v>0</v>
      </c>
      <c r="J211" s="229">
        <f t="shared" si="40"/>
        <v>25</v>
      </c>
      <c r="K211" s="43">
        <f t="shared" si="41"/>
        <v>0</v>
      </c>
      <c r="M211" s="224"/>
      <c r="N211" s="225">
        <f t="shared" si="42"/>
        <v>0</v>
      </c>
      <c r="O211" s="43" t="e">
        <f t="shared" si="43"/>
        <v>#VALUE!</v>
      </c>
      <c r="P211" s="43" t="e">
        <f>ROUND(IF(Preenchimento!$G$39="Tabela Price",R211-Q211,(O210*(1+$AD$35))/($AD$28-C210)),$P$22)</f>
        <v>#VALUE!</v>
      </c>
      <c r="Q211" s="43" t="e">
        <f>IF(Preenchimento!$G$39="Tabela Price",O210*(1+$AD$35)*W211,O210*(1+SAC!$AD$35)*SAC!W211)</f>
        <v>#VALUE!</v>
      </c>
      <c r="R211" s="43" t="e">
        <f>IF(Preenchimento!$G$39="Tabela Price",IF(C211="","",((((((1+W211)^($Q$16-C210))*W211)/((1+W211)^($Q$16-C210)-1))*(O210*(1+$AD$35))))),Q211+P211)</f>
        <v>#VALUE!</v>
      </c>
      <c r="S211" s="43" t="e">
        <f t="shared" ca="1" si="38"/>
        <v>#VALUE!</v>
      </c>
      <c r="T211" s="43">
        <f t="shared" si="44"/>
        <v>0</v>
      </c>
      <c r="U211" s="226">
        <f>TRUNC(T211*Condições!$C$102,2)</f>
        <v>0</v>
      </c>
      <c r="V211" s="82">
        <f t="shared" ca="1" si="45"/>
        <v>12</v>
      </c>
      <c r="W211" s="231" t="str">
        <f t="shared" si="46"/>
        <v/>
      </c>
      <c r="X211" s="210"/>
      <c r="Y211" s="210"/>
      <c r="Z211" s="210"/>
      <c r="AI211" s="114">
        <f t="shared" si="47"/>
        <v>0</v>
      </c>
      <c r="AJ211" s="113"/>
      <c r="AL211" s="477">
        <f t="shared" ca="1" si="48"/>
        <v>0</v>
      </c>
    </row>
    <row r="212" spans="2:38" ht="12" customHeight="1">
      <c r="B212" s="222">
        <f ca="1">Fixa!B212</f>
        <v>51882</v>
      </c>
      <c r="C212" s="223" t="str">
        <f>Fixa!C212</f>
        <v/>
      </c>
      <c r="D212" s="43" t="e">
        <f t="shared" si="39"/>
        <v>#VALUE!</v>
      </c>
      <c r="E212" s="43" t="e">
        <f t="shared" si="33"/>
        <v>#VALUE!</v>
      </c>
      <c r="F212" s="43" t="e">
        <f t="shared" si="34"/>
        <v>#VALUE!</v>
      </c>
      <c r="G212" s="43" t="e">
        <f t="shared" si="35"/>
        <v>#VALUE!</v>
      </c>
      <c r="H212" s="43" t="e">
        <f t="shared" ca="1" si="36"/>
        <v>#VALUE!</v>
      </c>
      <c r="I212" s="43">
        <f t="shared" si="37"/>
        <v>0</v>
      </c>
      <c r="J212" s="229">
        <f t="shared" si="40"/>
        <v>25</v>
      </c>
      <c r="K212" s="43">
        <f t="shared" si="41"/>
        <v>0</v>
      </c>
      <c r="M212" s="224"/>
      <c r="N212" s="225">
        <f t="shared" si="42"/>
        <v>0</v>
      </c>
      <c r="O212" s="43" t="e">
        <f t="shared" si="43"/>
        <v>#VALUE!</v>
      </c>
      <c r="P212" s="43" t="e">
        <f>ROUND(IF(Preenchimento!$G$39="Tabela Price",R212-Q212,(O211*(1+$AD$35))/($AD$28-C211)),$P$22)</f>
        <v>#VALUE!</v>
      </c>
      <c r="Q212" s="43" t="e">
        <f>IF(Preenchimento!$G$39="Tabela Price",O211*(1+$AD$35)*W212,O211*(1+SAC!$AD$35)*SAC!W212)</f>
        <v>#VALUE!</v>
      </c>
      <c r="R212" s="43" t="e">
        <f>IF(Preenchimento!$G$39="Tabela Price",IF(C212="","",((((((1+W212)^($Q$16-C211))*W212)/((1+W212)^($Q$16-C211)-1))*(O211*(1+$AD$35))))),Q212+P212)</f>
        <v>#VALUE!</v>
      </c>
      <c r="S212" s="43" t="e">
        <f t="shared" ca="1" si="38"/>
        <v>#VALUE!</v>
      </c>
      <c r="T212" s="43">
        <f t="shared" si="44"/>
        <v>0</v>
      </c>
      <c r="U212" s="226">
        <f>TRUNC(T212*Condições!$C$102,2)</f>
        <v>0</v>
      </c>
      <c r="V212" s="82">
        <f t="shared" ca="1" si="45"/>
        <v>1</v>
      </c>
      <c r="W212" s="231" t="str">
        <f t="shared" si="46"/>
        <v/>
      </c>
      <c r="X212" s="210"/>
      <c r="Y212" s="210"/>
      <c r="Z212" s="210"/>
      <c r="AI212" s="114">
        <f t="shared" si="47"/>
        <v>0</v>
      </c>
      <c r="AJ212" s="113"/>
      <c r="AL212" s="477">
        <f t="shared" ca="1" si="48"/>
        <v>0</v>
      </c>
    </row>
    <row r="213" spans="2:38" ht="12" customHeight="1">
      <c r="B213" s="222">
        <f ca="1">Fixa!B213</f>
        <v>51913</v>
      </c>
      <c r="C213" s="223" t="str">
        <f>Fixa!C213</f>
        <v/>
      </c>
      <c r="D213" s="43" t="e">
        <f t="shared" si="39"/>
        <v>#VALUE!</v>
      </c>
      <c r="E213" s="43" t="e">
        <f t="shared" si="33"/>
        <v>#VALUE!</v>
      </c>
      <c r="F213" s="43" t="e">
        <f t="shared" si="34"/>
        <v>#VALUE!</v>
      </c>
      <c r="G213" s="43" t="e">
        <f t="shared" si="35"/>
        <v>#VALUE!</v>
      </c>
      <c r="H213" s="43" t="e">
        <f t="shared" ca="1" si="36"/>
        <v>#VALUE!</v>
      </c>
      <c r="I213" s="43">
        <f t="shared" si="37"/>
        <v>0</v>
      </c>
      <c r="J213" s="229">
        <f t="shared" si="40"/>
        <v>25</v>
      </c>
      <c r="K213" s="43">
        <f t="shared" si="41"/>
        <v>0</v>
      </c>
      <c r="M213" s="224"/>
      <c r="N213" s="225">
        <f t="shared" si="42"/>
        <v>0</v>
      </c>
      <c r="O213" s="43" t="e">
        <f t="shared" si="43"/>
        <v>#VALUE!</v>
      </c>
      <c r="P213" s="43" t="e">
        <f>ROUND(IF(Preenchimento!$G$39="Tabela Price",R213-Q213,(O212*(1+$AD$35))/($AD$28-C212)),$P$22)</f>
        <v>#VALUE!</v>
      </c>
      <c r="Q213" s="43" t="e">
        <f>IF(Preenchimento!$G$39="Tabela Price",O212*(1+$AD$35)*W213,O212*(1+SAC!$AD$35)*SAC!W213)</f>
        <v>#VALUE!</v>
      </c>
      <c r="R213" s="43" t="e">
        <f>IF(Preenchimento!$G$39="Tabela Price",IF(C213="","",((((((1+W213)^($Q$16-C212))*W213)/((1+W213)^($Q$16-C212)-1))*(O212*(1+$AD$35))))),Q213+P213)</f>
        <v>#VALUE!</v>
      </c>
      <c r="S213" s="43" t="e">
        <f t="shared" ca="1" si="38"/>
        <v>#VALUE!</v>
      </c>
      <c r="T213" s="43">
        <f t="shared" si="44"/>
        <v>0</v>
      </c>
      <c r="U213" s="226">
        <f>TRUNC(T213*Condições!$C$102,2)</f>
        <v>0</v>
      </c>
      <c r="V213" s="82">
        <f t="shared" ca="1" si="45"/>
        <v>2</v>
      </c>
      <c r="W213" s="231" t="str">
        <f t="shared" si="46"/>
        <v/>
      </c>
      <c r="X213" s="210"/>
      <c r="Y213" s="210"/>
      <c r="Z213" s="210"/>
      <c r="AI213" s="114">
        <f t="shared" si="47"/>
        <v>0</v>
      </c>
      <c r="AJ213" s="113"/>
      <c r="AL213" s="477">
        <f t="shared" ca="1" si="48"/>
        <v>0</v>
      </c>
    </row>
    <row r="214" spans="2:38" ht="12" customHeight="1">
      <c r="B214" s="222">
        <f ca="1">Fixa!B214</f>
        <v>51941</v>
      </c>
      <c r="C214" s="223" t="str">
        <f>Fixa!C214</f>
        <v/>
      </c>
      <c r="D214" s="43" t="e">
        <f t="shared" si="39"/>
        <v>#VALUE!</v>
      </c>
      <c r="E214" s="43" t="e">
        <f t="shared" si="33"/>
        <v>#VALUE!</v>
      </c>
      <c r="F214" s="43" t="e">
        <f t="shared" si="34"/>
        <v>#VALUE!</v>
      </c>
      <c r="G214" s="43" t="e">
        <f t="shared" si="35"/>
        <v>#VALUE!</v>
      </c>
      <c r="H214" s="43" t="e">
        <f t="shared" ca="1" si="36"/>
        <v>#VALUE!</v>
      </c>
      <c r="I214" s="43">
        <f t="shared" si="37"/>
        <v>0</v>
      </c>
      <c r="J214" s="229">
        <f t="shared" si="40"/>
        <v>25</v>
      </c>
      <c r="K214" s="43">
        <f t="shared" si="41"/>
        <v>0</v>
      </c>
      <c r="M214" s="224"/>
      <c r="N214" s="225">
        <f t="shared" si="42"/>
        <v>0</v>
      </c>
      <c r="O214" s="43" t="e">
        <f t="shared" si="43"/>
        <v>#VALUE!</v>
      </c>
      <c r="P214" s="43" t="e">
        <f>ROUND(IF(Preenchimento!$G$39="Tabela Price",R214-Q214,(O213*(1+$AD$35))/($AD$28-C213)),$P$22)</f>
        <v>#VALUE!</v>
      </c>
      <c r="Q214" s="43" t="e">
        <f>IF(Preenchimento!$G$39="Tabela Price",O213*(1+$AD$35)*W214,O213*(1+SAC!$AD$35)*SAC!W214)</f>
        <v>#VALUE!</v>
      </c>
      <c r="R214" s="43" t="e">
        <f>IF(Preenchimento!$G$39="Tabela Price",IF(C214="","",((((((1+W214)^($Q$16-C213))*W214)/((1+W214)^($Q$16-C213)-1))*(O213*(1+$AD$35))))),Q214+P214)</f>
        <v>#VALUE!</v>
      </c>
      <c r="S214" s="43" t="e">
        <f t="shared" ca="1" si="38"/>
        <v>#VALUE!</v>
      </c>
      <c r="T214" s="43">
        <f t="shared" si="44"/>
        <v>0</v>
      </c>
      <c r="U214" s="226">
        <f>TRUNC(T214*Condições!$C$102,2)</f>
        <v>0</v>
      </c>
      <c r="V214" s="82">
        <f t="shared" ca="1" si="45"/>
        <v>3</v>
      </c>
      <c r="W214" s="231" t="str">
        <f t="shared" si="46"/>
        <v/>
      </c>
      <c r="X214" s="210"/>
      <c r="Y214" s="210"/>
      <c r="Z214" s="210"/>
      <c r="AI214" s="114">
        <f t="shared" si="47"/>
        <v>0</v>
      </c>
      <c r="AJ214" s="113"/>
      <c r="AL214" s="477">
        <f t="shared" ca="1" si="48"/>
        <v>0</v>
      </c>
    </row>
    <row r="215" spans="2:38" ht="12" customHeight="1">
      <c r="B215" s="222">
        <f ca="1">Fixa!B215</f>
        <v>51972</v>
      </c>
      <c r="C215" s="223" t="str">
        <f>Fixa!C215</f>
        <v/>
      </c>
      <c r="D215" s="43" t="e">
        <f t="shared" si="39"/>
        <v>#VALUE!</v>
      </c>
      <c r="E215" s="43" t="e">
        <f t="shared" si="33"/>
        <v>#VALUE!</v>
      </c>
      <c r="F215" s="43" t="e">
        <f t="shared" si="34"/>
        <v>#VALUE!</v>
      </c>
      <c r="G215" s="43" t="e">
        <f t="shared" si="35"/>
        <v>#VALUE!</v>
      </c>
      <c r="H215" s="43" t="e">
        <f t="shared" ca="1" si="36"/>
        <v>#VALUE!</v>
      </c>
      <c r="I215" s="43">
        <f t="shared" si="37"/>
        <v>0</v>
      </c>
      <c r="J215" s="229">
        <f t="shared" si="40"/>
        <v>25</v>
      </c>
      <c r="K215" s="43">
        <f t="shared" si="41"/>
        <v>0</v>
      </c>
      <c r="M215" s="224"/>
      <c r="N215" s="225">
        <f t="shared" si="42"/>
        <v>0</v>
      </c>
      <c r="O215" s="43" t="e">
        <f t="shared" si="43"/>
        <v>#VALUE!</v>
      </c>
      <c r="P215" s="43" t="e">
        <f>ROUND(IF(Preenchimento!$G$39="Tabela Price",R215-Q215,(O214*(1+$AD$35))/($AD$28-C214)),$P$22)</f>
        <v>#VALUE!</v>
      </c>
      <c r="Q215" s="43" t="e">
        <f>IF(Preenchimento!$G$39="Tabela Price",O214*(1+$AD$35)*W215,O214*(1+SAC!$AD$35)*SAC!W215)</f>
        <v>#VALUE!</v>
      </c>
      <c r="R215" s="43" t="e">
        <f>IF(Preenchimento!$G$39="Tabela Price",IF(C215="","",((((((1+W215)^($Q$16-C214))*W215)/((1+W215)^($Q$16-C214)-1))*(O214*(1+$AD$35))))),Q215+P215)</f>
        <v>#VALUE!</v>
      </c>
      <c r="S215" s="43" t="e">
        <f t="shared" ca="1" si="38"/>
        <v>#VALUE!</v>
      </c>
      <c r="T215" s="43">
        <f t="shared" si="44"/>
        <v>0</v>
      </c>
      <c r="U215" s="226">
        <f>TRUNC(T215*Condições!$C$102,2)</f>
        <v>0</v>
      </c>
      <c r="V215" s="82">
        <f t="shared" ca="1" si="45"/>
        <v>4</v>
      </c>
      <c r="W215" s="231" t="str">
        <f t="shared" si="46"/>
        <v/>
      </c>
      <c r="X215" s="210"/>
      <c r="Y215" s="210"/>
      <c r="Z215" s="210"/>
      <c r="AI215" s="114">
        <f t="shared" si="47"/>
        <v>0</v>
      </c>
      <c r="AJ215" s="113"/>
      <c r="AL215" s="477">
        <f t="shared" ca="1" si="48"/>
        <v>0</v>
      </c>
    </row>
    <row r="216" spans="2:38" ht="12" customHeight="1">
      <c r="B216" s="222">
        <f ca="1">Fixa!B216</f>
        <v>52002</v>
      </c>
      <c r="C216" s="223" t="str">
        <f>Fixa!C216</f>
        <v/>
      </c>
      <c r="D216" s="43" t="e">
        <f t="shared" si="39"/>
        <v>#VALUE!</v>
      </c>
      <c r="E216" s="43" t="e">
        <f t="shared" si="33"/>
        <v>#VALUE!</v>
      </c>
      <c r="F216" s="43" t="e">
        <f t="shared" si="34"/>
        <v>#VALUE!</v>
      </c>
      <c r="G216" s="43" t="e">
        <f t="shared" si="35"/>
        <v>#VALUE!</v>
      </c>
      <c r="H216" s="43" t="e">
        <f t="shared" ca="1" si="36"/>
        <v>#VALUE!</v>
      </c>
      <c r="I216" s="43">
        <f t="shared" si="37"/>
        <v>0</v>
      </c>
      <c r="J216" s="229">
        <f t="shared" si="40"/>
        <v>25</v>
      </c>
      <c r="K216" s="43">
        <f t="shared" si="41"/>
        <v>0</v>
      </c>
      <c r="M216" s="224"/>
      <c r="N216" s="225">
        <f t="shared" si="42"/>
        <v>0</v>
      </c>
      <c r="O216" s="43" t="e">
        <f t="shared" si="43"/>
        <v>#VALUE!</v>
      </c>
      <c r="P216" s="43" t="e">
        <f>ROUND(IF(Preenchimento!$G$39="Tabela Price",R216-Q216,(O215*(1+$AD$35))/($AD$28-C215)),$P$22)</f>
        <v>#VALUE!</v>
      </c>
      <c r="Q216" s="43" t="e">
        <f>IF(Preenchimento!$G$39="Tabela Price",O215*(1+$AD$35)*W216,O215*(1+SAC!$AD$35)*SAC!W216)</f>
        <v>#VALUE!</v>
      </c>
      <c r="R216" s="43" t="e">
        <f>IF(Preenchimento!$G$39="Tabela Price",IF(C216="","",((((((1+W216)^($Q$16-C215))*W216)/((1+W216)^($Q$16-C215)-1))*(O215*(1+$AD$35))))),Q216+P216)</f>
        <v>#VALUE!</v>
      </c>
      <c r="S216" s="43" t="e">
        <f t="shared" ca="1" si="38"/>
        <v>#VALUE!</v>
      </c>
      <c r="T216" s="43">
        <f t="shared" si="44"/>
        <v>0</v>
      </c>
      <c r="U216" s="226">
        <f>TRUNC(T216*Condições!$C$102,2)</f>
        <v>0</v>
      </c>
      <c r="V216" s="82">
        <f t="shared" ca="1" si="45"/>
        <v>5</v>
      </c>
      <c r="W216" s="231" t="str">
        <f t="shared" si="46"/>
        <v/>
      </c>
      <c r="X216" s="210"/>
      <c r="Y216" s="210"/>
      <c r="Z216" s="210"/>
      <c r="AI216" s="114">
        <f t="shared" si="47"/>
        <v>0</v>
      </c>
      <c r="AJ216" s="113"/>
      <c r="AL216" s="477">
        <f t="shared" ca="1" si="48"/>
        <v>0</v>
      </c>
    </row>
    <row r="217" spans="2:38" ht="12" customHeight="1">
      <c r="B217" s="222">
        <f ca="1">Fixa!B217</f>
        <v>52033</v>
      </c>
      <c r="C217" s="223" t="str">
        <f>Fixa!C217</f>
        <v/>
      </c>
      <c r="D217" s="43" t="e">
        <f t="shared" si="39"/>
        <v>#VALUE!</v>
      </c>
      <c r="E217" s="43" t="e">
        <f t="shared" si="33"/>
        <v>#VALUE!</v>
      </c>
      <c r="F217" s="43" t="e">
        <f t="shared" si="34"/>
        <v>#VALUE!</v>
      </c>
      <c r="G217" s="43" t="e">
        <f t="shared" si="35"/>
        <v>#VALUE!</v>
      </c>
      <c r="H217" s="43" t="e">
        <f t="shared" ca="1" si="36"/>
        <v>#VALUE!</v>
      </c>
      <c r="I217" s="43">
        <f t="shared" si="37"/>
        <v>0</v>
      </c>
      <c r="J217" s="229">
        <f t="shared" si="40"/>
        <v>25</v>
      </c>
      <c r="K217" s="43">
        <f t="shared" si="41"/>
        <v>0</v>
      </c>
      <c r="M217" s="224"/>
      <c r="N217" s="225">
        <f t="shared" si="42"/>
        <v>0</v>
      </c>
      <c r="O217" s="43" t="e">
        <f t="shared" si="43"/>
        <v>#VALUE!</v>
      </c>
      <c r="P217" s="43" t="e">
        <f>ROUND(IF(Preenchimento!$G$39="Tabela Price",R217-Q217,(O216*(1+$AD$35))/($AD$28-C216)),$P$22)</f>
        <v>#VALUE!</v>
      </c>
      <c r="Q217" s="43" t="e">
        <f>IF(Preenchimento!$G$39="Tabela Price",O216*(1+$AD$35)*W217,O216*(1+SAC!$AD$35)*SAC!W217)</f>
        <v>#VALUE!</v>
      </c>
      <c r="R217" s="43" t="e">
        <f>IF(Preenchimento!$G$39="Tabela Price",IF(C217="","",((((((1+W217)^($Q$16-C216))*W217)/((1+W217)^($Q$16-C216)-1))*(O216*(1+$AD$35))))),Q217+P217)</f>
        <v>#VALUE!</v>
      </c>
      <c r="S217" s="43" t="e">
        <f t="shared" ca="1" si="38"/>
        <v>#VALUE!</v>
      </c>
      <c r="T217" s="43">
        <f t="shared" si="44"/>
        <v>0</v>
      </c>
      <c r="U217" s="226">
        <f>TRUNC(T217*Condições!$C$102,2)</f>
        <v>0</v>
      </c>
      <c r="V217" s="82">
        <f t="shared" ca="1" si="45"/>
        <v>6</v>
      </c>
      <c r="W217" s="231" t="str">
        <f t="shared" si="46"/>
        <v/>
      </c>
      <c r="X217" s="210"/>
      <c r="Y217" s="210"/>
      <c r="Z217" s="210"/>
      <c r="AI217" s="114">
        <f t="shared" si="47"/>
        <v>0</v>
      </c>
      <c r="AJ217" s="113"/>
      <c r="AL217" s="477">
        <f t="shared" ca="1" si="48"/>
        <v>0</v>
      </c>
    </row>
    <row r="218" spans="2:38" ht="12" customHeight="1">
      <c r="B218" s="222">
        <f ca="1">Fixa!B218</f>
        <v>52063</v>
      </c>
      <c r="C218" s="223" t="str">
        <f>Fixa!C218</f>
        <v/>
      </c>
      <c r="D218" s="43" t="e">
        <f t="shared" si="39"/>
        <v>#VALUE!</v>
      </c>
      <c r="E218" s="43" t="e">
        <f t="shared" ref="E218:E281" si="49">ROUND(P218,2)</f>
        <v>#VALUE!</v>
      </c>
      <c r="F218" s="43" t="e">
        <f t="shared" ref="F218:F281" si="50">ROUND(Q218,2)</f>
        <v>#VALUE!</v>
      </c>
      <c r="G218" s="43" t="e">
        <f t="shared" ref="G218:G281" si="51">F218+E218</f>
        <v>#VALUE!</v>
      </c>
      <c r="H218" s="43" t="e">
        <f t="shared" ref="H218:H281" ca="1" si="52">ROUND(S218,2)</f>
        <v>#VALUE!</v>
      </c>
      <c r="I218" s="43">
        <f t="shared" ref="I218:I281" si="53">ROUND(T218+U218,2)</f>
        <v>0</v>
      </c>
      <c r="J218" s="229">
        <f t="shared" si="40"/>
        <v>25</v>
      </c>
      <c r="K218" s="43">
        <f t="shared" si="41"/>
        <v>0</v>
      </c>
      <c r="M218" s="224"/>
      <c r="N218" s="225">
        <f t="shared" si="42"/>
        <v>0</v>
      </c>
      <c r="O218" s="43" t="e">
        <f t="shared" si="43"/>
        <v>#VALUE!</v>
      </c>
      <c r="P218" s="43" t="e">
        <f>ROUND(IF(Preenchimento!$G$39="Tabela Price",R218-Q218,(O217*(1+$AD$35))/($AD$28-C217)),$P$22)</f>
        <v>#VALUE!</v>
      </c>
      <c r="Q218" s="43" t="e">
        <f>IF(Preenchimento!$G$39="Tabela Price",O217*(1+$AD$35)*W218,O217*(1+SAC!$AD$35)*SAC!W218)</f>
        <v>#VALUE!</v>
      </c>
      <c r="R218" s="43" t="e">
        <f>IF(Preenchimento!$G$39="Tabela Price",IF(C218="","",((((((1+W218)^($Q$16-C217))*W218)/((1+W218)^($Q$16-C217)-1))*(O217*(1+$AD$35))))),Q218+P218)</f>
        <v>#VALUE!</v>
      </c>
      <c r="S218" s="43" t="e">
        <f t="shared" ref="S218:S281" ca="1" si="54">ROUND($AD$34*O218,$P$22)</f>
        <v>#VALUE!</v>
      </c>
      <c r="T218" s="43">
        <f t="shared" si="44"/>
        <v>0</v>
      </c>
      <c r="U218" s="226">
        <f>TRUNC(T218*Condições!$C$102,2)</f>
        <v>0</v>
      </c>
      <c r="V218" s="82">
        <f t="shared" ca="1" si="45"/>
        <v>7</v>
      </c>
      <c r="W218" s="231" t="str">
        <f t="shared" si="46"/>
        <v/>
      </c>
      <c r="X218" s="210"/>
      <c r="Y218" s="210"/>
      <c r="Z218" s="210"/>
      <c r="AI218" s="114">
        <f t="shared" si="47"/>
        <v>0</v>
      </c>
      <c r="AJ218" s="113"/>
      <c r="AL218" s="477">
        <f t="shared" ca="1" si="48"/>
        <v>0</v>
      </c>
    </row>
    <row r="219" spans="2:38" ht="12" customHeight="1">
      <c r="B219" s="222">
        <f ca="1">Fixa!B219</f>
        <v>52094</v>
      </c>
      <c r="C219" s="223" t="str">
        <f>Fixa!C219</f>
        <v/>
      </c>
      <c r="D219" s="43" t="e">
        <f t="shared" ref="D219:D282" si="55">ROUND(O219,2)</f>
        <v>#VALUE!</v>
      </c>
      <c r="E219" s="43" t="e">
        <f t="shared" si="49"/>
        <v>#VALUE!</v>
      </c>
      <c r="F219" s="43" t="e">
        <f t="shared" si="50"/>
        <v>#VALUE!</v>
      </c>
      <c r="G219" s="43" t="e">
        <f t="shared" si="51"/>
        <v>#VALUE!</v>
      </c>
      <c r="H219" s="43" t="e">
        <f t="shared" ca="1" si="52"/>
        <v>#VALUE!</v>
      </c>
      <c r="I219" s="43">
        <f t="shared" si="53"/>
        <v>0</v>
      </c>
      <c r="J219" s="229">
        <f t="shared" ref="J219:J282" si="56">$AD$31</f>
        <v>25</v>
      </c>
      <c r="K219" s="43">
        <f t="shared" ref="K219:K282" si="57">IF(C219&gt;$AD$28,0,J219+G219+I219+H219)</f>
        <v>0</v>
      </c>
      <c r="M219" s="224"/>
      <c r="N219" s="225">
        <f t="shared" ref="N219:N282" si="58">IF(C219&gt;$AD$28,0,(H219+I219)/(1.008^((12*(B219-$B$25))/365)))</f>
        <v>0</v>
      </c>
      <c r="O219" s="43" t="e">
        <f t="shared" ref="O219:O282" si="59">ROUND((O218*(1+$AD$35)-P219),$P$22)</f>
        <v>#VALUE!</v>
      </c>
      <c r="P219" s="43" t="e">
        <f>ROUND(IF(Preenchimento!$G$39="Tabela Price",R219-Q219,(O218*(1+$AD$35))/($AD$28-C218)),$P$22)</f>
        <v>#VALUE!</v>
      </c>
      <c r="Q219" s="43" t="e">
        <f>IF(Preenchimento!$G$39="Tabela Price",O218*(1+$AD$35)*W219,O218*(1+SAC!$AD$35)*SAC!W219)</f>
        <v>#VALUE!</v>
      </c>
      <c r="R219" s="43" t="e">
        <f>IF(Preenchimento!$G$39="Tabela Price",IF(C219="","",((((((1+W219)^($Q$16-C218))*W219)/((1+W219)^($Q$16-C218)-1))*(O218*(1+$AD$35))))),Q219+P219)</f>
        <v>#VALUE!</v>
      </c>
      <c r="S219" s="43" t="e">
        <f t="shared" ca="1" si="54"/>
        <v>#VALUE!</v>
      </c>
      <c r="T219" s="43">
        <f t="shared" ref="T219:T282" si="60">IF(C219&gt;=$AD$28,0,ROUND($AD$25*$AD$33,$P$22))</f>
        <v>0</v>
      </c>
      <c r="U219" s="226">
        <f>TRUNC(T219*Condições!$C$102,2)</f>
        <v>0</v>
      </c>
      <c r="V219" s="82">
        <f t="shared" ref="V219:V282" ca="1" si="61">MONTH(B219)</f>
        <v>8</v>
      </c>
      <c r="W219" s="231" t="str">
        <f t="shared" ref="W219:W282" si="62">IF(C219="","",IF(AND(C219&gt;$AD$46,$AD$46&lt;&gt;""),$AE$29,$AD$29))</f>
        <v/>
      </c>
      <c r="X219" s="210"/>
      <c r="Y219" s="210"/>
      <c r="Z219" s="210"/>
      <c r="AI219" s="114">
        <f t="shared" ref="AI219:AI282" si="63">IF(C219&gt;$AD$28,0,R219+S219+T219+U219+J219)</f>
        <v>0</v>
      </c>
      <c r="AJ219" s="113"/>
      <c r="AL219" s="477">
        <f t="shared" ref="AL219:AL282" ca="1" si="64">IFERROR(IF(V218&gt;$AD$28,0,R219),0)</f>
        <v>0</v>
      </c>
    </row>
    <row r="220" spans="2:38" ht="12" customHeight="1">
      <c r="B220" s="222">
        <f ca="1">Fixa!B220</f>
        <v>52125</v>
      </c>
      <c r="C220" s="223" t="str">
        <f>Fixa!C220</f>
        <v/>
      </c>
      <c r="D220" s="43" t="e">
        <f t="shared" si="55"/>
        <v>#VALUE!</v>
      </c>
      <c r="E220" s="43" t="e">
        <f t="shared" si="49"/>
        <v>#VALUE!</v>
      </c>
      <c r="F220" s="43" t="e">
        <f t="shared" si="50"/>
        <v>#VALUE!</v>
      </c>
      <c r="G220" s="43" t="e">
        <f t="shared" si="51"/>
        <v>#VALUE!</v>
      </c>
      <c r="H220" s="43" t="e">
        <f t="shared" ca="1" si="52"/>
        <v>#VALUE!</v>
      </c>
      <c r="I220" s="43">
        <f t="shared" si="53"/>
        <v>0</v>
      </c>
      <c r="J220" s="229">
        <f t="shared" si="56"/>
        <v>25</v>
      </c>
      <c r="K220" s="43">
        <f t="shared" si="57"/>
        <v>0</v>
      </c>
      <c r="M220" s="224"/>
      <c r="N220" s="225">
        <f t="shared" si="58"/>
        <v>0</v>
      </c>
      <c r="O220" s="43" t="e">
        <f t="shared" si="59"/>
        <v>#VALUE!</v>
      </c>
      <c r="P220" s="43" t="e">
        <f>ROUND(IF(Preenchimento!$G$39="Tabela Price",R220-Q220,(O219*(1+$AD$35))/($AD$28-C219)),$P$22)</f>
        <v>#VALUE!</v>
      </c>
      <c r="Q220" s="43" t="e">
        <f>IF(Preenchimento!$G$39="Tabela Price",O219*(1+$AD$35)*W220,O219*(1+SAC!$AD$35)*SAC!W220)</f>
        <v>#VALUE!</v>
      </c>
      <c r="R220" s="43" t="e">
        <f>IF(Preenchimento!$G$39="Tabela Price",IF(C220="","",((((((1+W220)^($Q$16-C219))*W220)/((1+W220)^($Q$16-C219)-1))*(O219*(1+$AD$35))))),Q220+P220)</f>
        <v>#VALUE!</v>
      </c>
      <c r="S220" s="43" t="e">
        <f t="shared" ca="1" si="54"/>
        <v>#VALUE!</v>
      </c>
      <c r="T220" s="43">
        <f t="shared" si="60"/>
        <v>0</v>
      </c>
      <c r="U220" s="226">
        <f>TRUNC(T220*Condições!$C$102,2)</f>
        <v>0</v>
      </c>
      <c r="V220" s="82">
        <f t="shared" ca="1" si="61"/>
        <v>9</v>
      </c>
      <c r="W220" s="231" t="str">
        <f t="shared" si="62"/>
        <v/>
      </c>
      <c r="X220" s="210"/>
      <c r="Y220" s="210"/>
      <c r="Z220" s="210"/>
      <c r="AI220" s="114">
        <f t="shared" si="63"/>
        <v>0</v>
      </c>
      <c r="AJ220" s="113"/>
      <c r="AL220" s="477">
        <f t="shared" ca="1" si="64"/>
        <v>0</v>
      </c>
    </row>
    <row r="221" spans="2:38" ht="12" customHeight="1">
      <c r="B221" s="222">
        <f ca="1">Fixa!B221</f>
        <v>52155</v>
      </c>
      <c r="C221" s="223" t="str">
        <f>Fixa!C221</f>
        <v/>
      </c>
      <c r="D221" s="43" t="e">
        <f t="shared" si="55"/>
        <v>#VALUE!</v>
      </c>
      <c r="E221" s="43" t="e">
        <f t="shared" si="49"/>
        <v>#VALUE!</v>
      </c>
      <c r="F221" s="43" t="e">
        <f t="shared" si="50"/>
        <v>#VALUE!</v>
      </c>
      <c r="G221" s="43" t="e">
        <f t="shared" si="51"/>
        <v>#VALUE!</v>
      </c>
      <c r="H221" s="43" t="e">
        <f t="shared" ca="1" si="52"/>
        <v>#VALUE!</v>
      </c>
      <c r="I221" s="43">
        <f t="shared" si="53"/>
        <v>0</v>
      </c>
      <c r="J221" s="229">
        <f t="shared" si="56"/>
        <v>25</v>
      </c>
      <c r="K221" s="43">
        <f t="shared" si="57"/>
        <v>0</v>
      </c>
      <c r="M221" s="224"/>
      <c r="N221" s="225">
        <f t="shared" si="58"/>
        <v>0</v>
      </c>
      <c r="O221" s="43" t="e">
        <f t="shared" si="59"/>
        <v>#VALUE!</v>
      </c>
      <c r="P221" s="43" t="e">
        <f>ROUND(IF(Preenchimento!$G$39="Tabela Price",R221-Q221,(O220*(1+$AD$35))/($AD$28-C220)),$P$22)</f>
        <v>#VALUE!</v>
      </c>
      <c r="Q221" s="43" t="e">
        <f>IF(Preenchimento!$G$39="Tabela Price",O220*(1+$AD$35)*W221,O220*(1+SAC!$AD$35)*SAC!W221)</f>
        <v>#VALUE!</v>
      </c>
      <c r="R221" s="43" t="e">
        <f>IF(Preenchimento!$G$39="Tabela Price",IF(C221="","",((((((1+W221)^($Q$16-C220))*W221)/((1+W221)^($Q$16-C220)-1))*(O220*(1+$AD$35))))),Q221+P221)</f>
        <v>#VALUE!</v>
      </c>
      <c r="S221" s="43" t="e">
        <f t="shared" ca="1" si="54"/>
        <v>#VALUE!</v>
      </c>
      <c r="T221" s="43">
        <f t="shared" si="60"/>
        <v>0</v>
      </c>
      <c r="U221" s="226">
        <f>TRUNC(T221*Condições!$C$102,2)</f>
        <v>0</v>
      </c>
      <c r="V221" s="82">
        <f t="shared" ca="1" si="61"/>
        <v>10</v>
      </c>
      <c r="W221" s="231" t="str">
        <f t="shared" si="62"/>
        <v/>
      </c>
      <c r="X221" s="210"/>
      <c r="Y221" s="210"/>
      <c r="Z221" s="210"/>
      <c r="AI221" s="114">
        <f t="shared" si="63"/>
        <v>0</v>
      </c>
      <c r="AJ221" s="113"/>
      <c r="AL221" s="477">
        <f t="shared" ca="1" si="64"/>
        <v>0</v>
      </c>
    </row>
    <row r="222" spans="2:38" ht="12" customHeight="1">
      <c r="B222" s="222">
        <f ca="1">Fixa!B222</f>
        <v>52186</v>
      </c>
      <c r="C222" s="223" t="str">
        <f>Fixa!C222</f>
        <v/>
      </c>
      <c r="D222" s="43" t="e">
        <f t="shared" si="55"/>
        <v>#VALUE!</v>
      </c>
      <c r="E222" s="43" t="e">
        <f t="shared" si="49"/>
        <v>#VALUE!</v>
      </c>
      <c r="F222" s="43" t="e">
        <f t="shared" si="50"/>
        <v>#VALUE!</v>
      </c>
      <c r="G222" s="43" t="e">
        <f t="shared" si="51"/>
        <v>#VALUE!</v>
      </c>
      <c r="H222" s="43" t="e">
        <f t="shared" ca="1" si="52"/>
        <v>#VALUE!</v>
      </c>
      <c r="I222" s="43">
        <f t="shared" si="53"/>
        <v>0</v>
      </c>
      <c r="J222" s="229">
        <f t="shared" si="56"/>
        <v>25</v>
      </c>
      <c r="K222" s="43">
        <f t="shared" si="57"/>
        <v>0</v>
      </c>
      <c r="M222" s="224"/>
      <c r="N222" s="225">
        <f t="shared" si="58"/>
        <v>0</v>
      </c>
      <c r="O222" s="43" t="e">
        <f t="shared" si="59"/>
        <v>#VALUE!</v>
      </c>
      <c r="P222" s="43" t="e">
        <f>ROUND(IF(Preenchimento!$G$39="Tabela Price",R222-Q222,(O221*(1+$AD$35))/($AD$28-C221)),$P$22)</f>
        <v>#VALUE!</v>
      </c>
      <c r="Q222" s="43" t="e">
        <f>IF(Preenchimento!$G$39="Tabela Price",O221*(1+$AD$35)*W222,O221*(1+SAC!$AD$35)*SAC!W222)</f>
        <v>#VALUE!</v>
      </c>
      <c r="R222" s="43" t="e">
        <f>IF(Preenchimento!$G$39="Tabela Price",IF(C222="","",((((((1+W222)^($Q$16-C221))*W222)/((1+W222)^($Q$16-C221)-1))*(O221*(1+$AD$35))))),Q222+P222)</f>
        <v>#VALUE!</v>
      </c>
      <c r="S222" s="43" t="e">
        <f t="shared" ca="1" si="54"/>
        <v>#VALUE!</v>
      </c>
      <c r="T222" s="43">
        <f t="shared" si="60"/>
        <v>0</v>
      </c>
      <c r="U222" s="226">
        <f>TRUNC(T222*Condições!$C$102,2)</f>
        <v>0</v>
      </c>
      <c r="V222" s="82">
        <f t="shared" ca="1" si="61"/>
        <v>11</v>
      </c>
      <c r="W222" s="231" t="str">
        <f t="shared" si="62"/>
        <v/>
      </c>
      <c r="X222" s="210"/>
      <c r="Y222" s="210"/>
      <c r="Z222" s="210"/>
      <c r="AI222" s="114">
        <f t="shared" si="63"/>
        <v>0</v>
      </c>
      <c r="AJ222" s="113"/>
      <c r="AL222" s="477">
        <f t="shared" ca="1" si="64"/>
        <v>0</v>
      </c>
    </row>
    <row r="223" spans="2:38" ht="12" customHeight="1">
      <c r="B223" s="222">
        <f ca="1">Fixa!B223</f>
        <v>52216</v>
      </c>
      <c r="C223" s="223" t="str">
        <f>Fixa!C223</f>
        <v/>
      </c>
      <c r="D223" s="43" t="e">
        <f t="shared" si="55"/>
        <v>#VALUE!</v>
      </c>
      <c r="E223" s="43" t="e">
        <f t="shared" si="49"/>
        <v>#VALUE!</v>
      </c>
      <c r="F223" s="43" t="e">
        <f t="shared" si="50"/>
        <v>#VALUE!</v>
      </c>
      <c r="G223" s="43" t="e">
        <f t="shared" si="51"/>
        <v>#VALUE!</v>
      </c>
      <c r="H223" s="43" t="e">
        <f t="shared" ca="1" si="52"/>
        <v>#VALUE!</v>
      </c>
      <c r="I223" s="43">
        <f t="shared" si="53"/>
        <v>0</v>
      </c>
      <c r="J223" s="229">
        <f t="shared" si="56"/>
        <v>25</v>
      </c>
      <c r="K223" s="43">
        <f t="shared" si="57"/>
        <v>0</v>
      </c>
      <c r="M223" s="224"/>
      <c r="N223" s="225">
        <f t="shared" si="58"/>
        <v>0</v>
      </c>
      <c r="O223" s="43" t="e">
        <f t="shared" si="59"/>
        <v>#VALUE!</v>
      </c>
      <c r="P223" s="43" t="e">
        <f>ROUND(IF(Preenchimento!$G$39="Tabela Price",R223-Q223,(O222*(1+$AD$35))/($AD$28-C222)),$P$22)</f>
        <v>#VALUE!</v>
      </c>
      <c r="Q223" s="43" t="e">
        <f>IF(Preenchimento!$G$39="Tabela Price",O222*(1+$AD$35)*W223,O222*(1+SAC!$AD$35)*SAC!W223)</f>
        <v>#VALUE!</v>
      </c>
      <c r="R223" s="43" t="e">
        <f>IF(Preenchimento!$G$39="Tabela Price",IF(C223="","",((((((1+W223)^($Q$16-C222))*W223)/((1+W223)^($Q$16-C222)-1))*(O222*(1+$AD$35))))),Q223+P223)</f>
        <v>#VALUE!</v>
      </c>
      <c r="S223" s="43" t="e">
        <f t="shared" ca="1" si="54"/>
        <v>#VALUE!</v>
      </c>
      <c r="T223" s="43">
        <f t="shared" si="60"/>
        <v>0</v>
      </c>
      <c r="U223" s="226">
        <f>TRUNC(T223*Condições!$C$102,2)</f>
        <v>0</v>
      </c>
      <c r="V223" s="82">
        <f t="shared" ca="1" si="61"/>
        <v>12</v>
      </c>
      <c r="W223" s="231" t="str">
        <f t="shared" si="62"/>
        <v/>
      </c>
      <c r="X223" s="210"/>
      <c r="Y223" s="210"/>
      <c r="Z223" s="210"/>
      <c r="AI223" s="114">
        <f t="shared" si="63"/>
        <v>0</v>
      </c>
      <c r="AJ223" s="113"/>
      <c r="AL223" s="477">
        <f t="shared" ca="1" si="64"/>
        <v>0</v>
      </c>
    </row>
    <row r="224" spans="2:38" ht="12" customHeight="1">
      <c r="B224" s="222">
        <f ca="1">Fixa!B224</f>
        <v>52247</v>
      </c>
      <c r="C224" s="223" t="str">
        <f>Fixa!C224</f>
        <v/>
      </c>
      <c r="D224" s="43" t="e">
        <f t="shared" si="55"/>
        <v>#VALUE!</v>
      </c>
      <c r="E224" s="43" t="e">
        <f t="shared" si="49"/>
        <v>#VALUE!</v>
      </c>
      <c r="F224" s="43" t="e">
        <f t="shared" si="50"/>
        <v>#VALUE!</v>
      </c>
      <c r="G224" s="43" t="e">
        <f t="shared" si="51"/>
        <v>#VALUE!</v>
      </c>
      <c r="H224" s="43" t="e">
        <f t="shared" ca="1" si="52"/>
        <v>#VALUE!</v>
      </c>
      <c r="I224" s="43">
        <f t="shared" si="53"/>
        <v>0</v>
      </c>
      <c r="J224" s="229">
        <f t="shared" si="56"/>
        <v>25</v>
      </c>
      <c r="K224" s="43">
        <f t="shared" si="57"/>
        <v>0</v>
      </c>
      <c r="M224" s="224"/>
      <c r="N224" s="225">
        <f t="shared" si="58"/>
        <v>0</v>
      </c>
      <c r="O224" s="43" t="e">
        <f t="shared" si="59"/>
        <v>#VALUE!</v>
      </c>
      <c r="P224" s="43" t="e">
        <f>ROUND(IF(Preenchimento!$G$39="Tabela Price",R224-Q224,(O223*(1+$AD$35))/($AD$28-C223)),$P$22)</f>
        <v>#VALUE!</v>
      </c>
      <c r="Q224" s="43" t="e">
        <f>IF(Preenchimento!$G$39="Tabela Price",O223*(1+$AD$35)*W224,O223*(1+SAC!$AD$35)*SAC!W224)</f>
        <v>#VALUE!</v>
      </c>
      <c r="R224" s="43" t="e">
        <f>IF(Preenchimento!$G$39="Tabela Price",IF(C224="","",((((((1+W224)^($Q$16-C223))*W224)/((1+W224)^($Q$16-C223)-1))*(O223*(1+$AD$35))))),Q224+P224)</f>
        <v>#VALUE!</v>
      </c>
      <c r="S224" s="43" t="e">
        <f t="shared" ca="1" si="54"/>
        <v>#VALUE!</v>
      </c>
      <c r="T224" s="43">
        <f t="shared" si="60"/>
        <v>0</v>
      </c>
      <c r="U224" s="226">
        <f>TRUNC(T224*Condições!$C$102,2)</f>
        <v>0</v>
      </c>
      <c r="V224" s="82">
        <f t="shared" ca="1" si="61"/>
        <v>1</v>
      </c>
      <c r="W224" s="231" t="str">
        <f t="shared" si="62"/>
        <v/>
      </c>
      <c r="X224" s="210"/>
      <c r="Y224" s="210"/>
      <c r="Z224" s="210"/>
      <c r="AI224" s="114">
        <f t="shared" si="63"/>
        <v>0</v>
      </c>
      <c r="AJ224" s="113"/>
      <c r="AL224" s="477">
        <f t="shared" ca="1" si="64"/>
        <v>0</v>
      </c>
    </row>
    <row r="225" spans="2:38" ht="12" customHeight="1">
      <c r="B225" s="222">
        <f ca="1">Fixa!B225</f>
        <v>52278</v>
      </c>
      <c r="C225" s="223" t="str">
        <f>Fixa!C225</f>
        <v/>
      </c>
      <c r="D225" s="43" t="e">
        <f t="shared" si="55"/>
        <v>#VALUE!</v>
      </c>
      <c r="E225" s="43" t="e">
        <f t="shared" si="49"/>
        <v>#VALUE!</v>
      </c>
      <c r="F225" s="43" t="e">
        <f t="shared" si="50"/>
        <v>#VALUE!</v>
      </c>
      <c r="G225" s="43" t="e">
        <f t="shared" si="51"/>
        <v>#VALUE!</v>
      </c>
      <c r="H225" s="43" t="e">
        <f t="shared" ca="1" si="52"/>
        <v>#VALUE!</v>
      </c>
      <c r="I225" s="43">
        <f t="shared" si="53"/>
        <v>0</v>
      </c>
      <c r="J225" s="229">
        <f t="shared" si="56"/>
        <v>25</v>
      </c>
      <c r="K225" s="43">
        <f t="shared" si="57"/>
        <v>0</v>
      </c>
      <c r="M225" s="224"/>
      <c r="N225" s="225">
        <f t="shared" si="58"/>
        <v>0</v>
      </c>
      <c r="O225" s="43" t="e">
        <f t="shared" si="59"/>
        <v>#VALUE!</v>
      </c>
      <c r="P225" s="43" t="e">
        <f>ROUND(IF(Preenchimento!$G$39="Tabela Price",R225-Q225,(O224*(1+$AD$35))/($AD$28-C224)),$P$22)</f>
        <v>#VALUE!</v>
      </c>
      <c r="Q225" s="43" t="e">
        <f>IF(Preenchimento!$G$39="Tabela Price",O224*(1+$AD$35)*W225,O224*(1+SAC!$AD$35)*SAC!W225)</f>
        <v>#VALUE!</v>
      </c>
      <c r="R225" s="43" t="e">
        <f>IF(Preenchimento!$G$39="Tabela Price",IF(C225="","",((((((1+W225)^($Q$16-C224))*W225)/((1+W225)^($Q$16-C224)-1))*(O224*(1+$AD$35))))),Q225+P225)</f>
        <v>#VALUE!</v>
      </c>
      <c r="S225" s="43" t="e">
        <f t="shared" ca="1" si="54"/>
        <v>#VALUE!</v>
      </c>
      <c r="T225" s="43">
        <f t="shared" si="60"/>
        <v>0</v>
      </c>
      <c r="U225" s="226">
        <f>TRUNC(T225*Condições!$C$102,2)</f>
        <v>0</v>
      </c>
      <c r="V225" s="82">
        <f t="shared" ca="1" si="61"/>
        <v>2</v>
      </c>
      <c r="W225" s="231" t="str">
        <f t="shared" si="62"/>
        <v/>
      </c>
      <c r="X225" s="210"/>
      <c r="Y225" s="210"/>
      <c r="Z225" s="210"/>
      <c r="AI225" s="114">
        <f t="shared" si="63"/>
        <v>0</v>
      </c>
      <c r="AJ225" s="113"/>
      <c r="AL225" s="477">
        <f t="shared" ca="1" si="64"/>
        <v>0</v>
      </c>
    </row>
    <row r="226" spans="2:38" ht="12" customHeight="1">
      <c r="B226" s="222">
        <f ca="1">Fixa!B226</f>
        <v>52306</v>
      </c>
      <c r="C226" s="223" t="str">
        <f>Fixa!C226</f>
        <v/>
      </c>
      <c r="D226" s="43" t="e">
        <f t="shared" si="55"/>
        <v>#VALUE!</v>
      </c>
      <c r="E226" s="43" t="e">
        <f t="shared" si="49"/>
        <v>#VALUE!</v>
      </c>
      <c r="F226" s="43" t="e">
        <f t="shared" si="50"/>
        <v>#VALUE!</v>
      </c>
      <c r="G226" s="43" t="e">
        <f t="shared" si="51"/>
        <v>#VALUE!</v>
      </c>
      <c r="H226" s="43" t="e">
        <f t="shared" ca="1" si="52"/>
        <v>#VALUE!</v>
      </c>
      <c r="I226" s="43">
        <f t="shared" si="53"/>
        <v>0</v>
      </c>
      <c r="J226" s="229">
        <f t="shared" si="56"/>
        <v>25</v>
      </c>
      <c r="K226" s="43">
        <f t="shared" si="57"/>
        <v>0</v>
      </c>
      <c r="M226" s="224"/>
      <c r="N226" s="225">
        <f t="shared" si="58"/>
        <v>0</v>
      </c>
      <c r="O226" s="43" t="e">
        <f t="shared" si="59"/>
        <v>#VALUE!</v>
      </c>
      <c r="P226" s="43" t="e">
        <f>ROUND(IF(Preenchimento!$G$39="Tabela Price",R226-Q226,(O225*(1+$AD$35))/($AD$28-C225)),$P$22)</f>
        <v>#VALUE!</v>
      </c>
      <c r="Q226" s="43" t="e">
        <f>IF(Preenchimento!$G$39="Tabela Price",O225*(1+$AD$35)*W226,O225*(1+SAC!$AD$35)*SAC!W226)</f>
        <v>#VALUE!</v>
      </c>
      <c r="R226" s="43" t="e">
        <f>IF(Preenchimento!$G$39="Tabela Price",IF(C226="","",((((((1+W226)^($Q$16-C225))*W226)/((1+W226)^($Q$16-C225)-1))*(O225*(1+$AD$35))))),Q226+P226)</f>
        <v>#VALUE!</v>
      </c>
      <c r="S226" s="43" t="e">
        <f t="shared" ca="1" si="54"/>
        <v>#VALUE!</v>
      </c>
      <c r="T226" s="43">
        <f t="shared" si="60"/>
        <v>0</v>
      </c>
      <c r="U226" s="226">
        <f>TRUNC(T226*Condições!$C$102,2)</f>
        <v>0</v>
      </c>
      <c r="V226" s="82">
        <f t="shared" ca="1" si="61"/>
        <v>3</v>
      </c>
      <c r="W226" s="231" t="str">
        <f t="shared" si="62"/>
        <v/>
      </c>
      <c r="X226" s="210"/>
      <c r="Y226" s="210"/>
      <c r="Z226" s="210"/>
      <c r="AI226" s="114">
        <f t="shared" si="63"/>
        <v>0</v>
      </c>
      <c r="AJ226" s="113"/>
      <c r="AL226" s="477">
        <f t="shared" ca="1" si="64"/>
        <v>0</v>
      </c>
    </row>
    <row r="227" spans="2:38" ht="12" customHeight="1">
      <c r="B227" s="222">
        <f ca="1">Fixa!B227</f>
        <v>52337</v>
      </c>
      <c r="C227" s="223" t="str">
        <f>Fixa!C227</f>
        <v/>
      </c>
      <c r="D227" s="43" t="e">
        <f t="shared" si="55"/>
        <v>#VALUE!</v>
      </c>
      <c r="E227" s="43" t="e">
        <f t="shared" si="49"/>
        <v>#VALUE!</v>
      </c>
      <c r="F227" s="43" t="e">
        <f t="shared" si="50"/>
        <v>#VALUE!</v>
      </c>
      <c r="G227" s="43" t="e">
        <f t="shared" si="51"/>
        <v>#VALUE!</v>
      </c>
      <c r="H227" s="43" t="e">
        <f t="shared" ca="1" si="52"/>
        <v>#VALUE!</v>
      </c>
      <c r="I227" s="43">
        <f t="shared" si="53"/>
        <v>0</v>
      </c>
      <c r="J227" s="229">
        <f t="shared" si="56"/>
        <v>25</v>
      </c>
      <c r="K227" s="43">
        <f t="shared" si="57"/>
        <v>0</v>
      </c>
      <c r="M227" s="224"/>
      <c r="N227" s="225">
        <f t="shared" si="58"/>
        <v>0</v>
      </c>
      <c r="O227" s="43" t="e">
        <f t="shared" si="59"/>
        <v>#VALUE!</v>
      </c>
      <c r="P227" s="43" t="e">
        <f>ROUND(IF(Preenchimento!$G$39="Tabela Price",R227-Q227,(O226*(1+$AD$35))/($AD$28-C226)),$P$22)</f>
        <v>#VALUE!</v>
      </c>
      <c r="Q227" s="43" t="e">
        <f>IF(Preenchimento!$G$39="Tabela Price",O226*(1+$AD$35)*W227,O226*(1+SAC!$AD$35)*SAC!W227)</f>
        <v>#VALUE!</v>
      </c>
      <c r="R227" s="43" t="e">
        <f>IF(Preenchimento!$G$39="Tabela Price",IF(C227="","",((((((1+W227)^($Q$16-C226))*W227)/((1+W227)^($Q$16-C226)-1))*(O226*(1+$AD$35))))),Q227+P227)</f>
        <v>#VALUE!</v>
      </c>
      <c r="S227" s="43" t="e">
        <f t="shared" ca="1" si="54"/>
        <v>#VALUE!</v>
      </c>
      <c r="T227" s="43">
        <f t="shared" si="60"/>
        <v>0</v>
      </c>
      <c r="U227" s="226">
        <f>TRUNC(T227*Condições!$C$102,2)</f>
        <v>0</v>
      </c>
      <c r="V227" s="82">
        <f t="shared" ca="1" si="61"/>
        <v>4</v>
      </c>
      <c r="W227" s="231" t="str">
        <f t="shared" si="62"/>
        <v/>
      </c>
      <c r="X227" s="210"/>
      <c r="Y227" s="210"/>
      <c r="Z227" s="210"/>
      <c r="AI227" s="114">
        <f t="shared" si="63"/>
        <v>0</v>
      </c>
      <c r="AJ227" s="113"/>
      <c r="AL227" s="477">
        <f t="shared" ca="1" si="64"/>
        <v>0</v>
      </c>
    </row>
    <row r="228" spans="2:38" ht="12" customHeight="1">
      <c r="B228" s="222">
        <f ca="1">Fixa!B228</f>
        <v>52367</v>
      </c>
      <c r="C228" s="223" t="str">
        <f>Fixa!C228</f>
        <v/>
      </c>
      <c r="D228" s="43" t="e">
        <f t="shared" si="55"/>
        <v>#VALUE!</v>
      </c>
      <c r="E228" s="43" t="e">
        <f t="shared" si="49"/>
        <v>#VALUE!</v>
      </c>
      <c r="F228" s="43" t="e">
        <f t="shared" si="50"/>
        <v>#VALUE!</v>
      </c>
      <c r="G228" s="43" t="e">
        <f t="shared" si="51"/>
        <v>#VALUE!</v>
      </c>
      <c r="H228" s="43" t="e">
        <f t="shared" ca="1" si="52"/>
        <v>#VALUE!</v>
      </c>
      <c r="I228" s="43">
        <f t="shared" si="53"/>
        <v>0</v>
      </c>
      <c r="J228" s="229">
        <f t="shared" si="56"/>
        <v>25</v>
      </c>
      <c r="K228" s="43">
        <f t="shared" si="57"/>
        <v>0</v>
      </c>
      <c r="M228" s="224"/>
      <c r="N228" s="225">
        <f t="shared" si="58"/>
        <v>0</v>
      </c>
      <c r="O228" s="43" t="e">
        <f t="shared" si="59"/>
        <v>#VALUE!</v>
      </c>
      <c r="P228" s="43" t="e">
        <f>ROUND(IF(Preenchimento!$G$39="Tabela Price",R228-Q228,(O227*(1+$AD$35))/($AD$28-C227)),$P$22)</f>
        <v>#VALUE!</v>
      </c>
      <c r="Q228" s="43" t="e">
        <f>IF(Preenchimento!$G$39="Tabela Price",O227*(1+$AD$35)*W228,O227*(1+SAC!$AD$35)*SAC!W228)</f>
        <v>#VALUE!</v>
      </c>
      <c r="R228" s="43" t="e">
        <f>IF(Preenchimento!$G$39="Tabela Price",IF(C228="","",((((((1+W228)^($Q$16-C227))*W228)/((1+W228)^($Q$16-C227)-1))*(O227*(1+$AD$35))))),Q228+P228)</f>
        <v>#VALUE!</v>
      </c>
      <c r="S228" s="43" t="e">
        <f t="shared" ca="1" si="54"/>
        <v>#VALUE!</v>
      </c>
      <c r="T228" s="43">
        <f t="shared" si="60"/>
        <v>0</v>
      </c>
      <c r="U228" s="226">
        <f>TRUNC(T228*Condições!$C$102,2)</f>
        <v>0</v>
      </c>
      <c r="V228" s="82">
        <f t="shared" ca="1" si="61"/>
        <v>5</v>
      </c>
      <c r="W228" s="231" t="str">
        <f t="shared" si="62"/>
        <v/>
      </c>
      <c r="X228" s="210"/>
      <c r="Y228" s="210"/>
      <c r="Z228" s="210"/>
      <c r="AI228" s="114">
        <f t="shared" si="63"/>
        <v>0</v>
      </c>
      <c r="AJ228" s="113"/>
      <c r="AL228" s="477">
        <f t="shared" ca="1" si="64"/>
        <v>0</v>
      </c>
    </row>
    <row r="229" spans="2:38" ht="12" customHeight="1">
      <c r="B229" s="222">
        <f ca="1">Fixa!B229</f>
        <v>52398</v>
      </c>
      <c r="C229" s="223" t="str">
        <f>Fixa!C229</f>
        <v/>
      </c>
      <c r="D229" s="43" t="e">
        <f t="shared" si="55"/>
        <v>#VALUE!</v>
      </c>
      <c r="E229" s="43" t="e">
        <f t="shared" si="49"/>
        <v>#VALUE!</v>
      </c>
      <c r="F229" s="43" t="e">
        <f t="shared" si="50"/>
        <v>#VALUE!</v>
      </c>
      <c r="G229" s="43" t="e">
        <f t="shared" si="51"/>
        <v>#VALUE!</v>
      </c>
      <c r="H229" s="43" t="e">
        <f t="shared" ca="1" si="52"/>
        <v>#VALUE!</v>
      </c>
      <c r="I229" s="43">
        <f t="shared" si="53"/>
        <v>0</v>
      </c>
      <c r="J229" s="229">
        <f t="shared" si="56"/>
        <v>25</v>
      </c>
      <c r="K229" s="43">
        <f t="shared" si="57"/>
        <v>0</v>
      </c>
      <c r="M229" s="224"/>
      <c r="N229" s="225">
        <f t="shared" si="58"/>
        <v>0</v>
      </c>
      <c r="O229" s="43" t="e">
        <f t="shared" si="59"/>
        <v>#VALUE!</v>
      </c>
      <c r="P229" s="43" t="e">
        <f>ROUND(IF(Preenchimento!$G$39="Tabela Price",R229-Q229,(O228*(1+$AD$35))/($AD$28-C228)),$P$22)</f>
        <v>#VALUE!</v>
      </c>
      <c r="Q229" s="43" t="e">
        <f>IF(Preenchimento!$G$39="Tabela Price",O228*(1+$AD$35)*W229,O228*(1+SAC!$AD$35)*SAC!W229)</f>
        <v>#VALUE!</v>
      </c>
      <c r="R229" s="43" t="e">
        <f>IF(Preenchimento!$G$39="Tabela Price",IF(C229="","",((((((1+W229)^($Q$16-C228))*W229)/((1+W229)^($Q$16-C228)-1))*(O228*(1+$AD$35))))),Q229+P229)</f>
        <v>#VALUE!</v>
      </c>
      <c r="S229" s="43" t="e">
        <f t="shared" ca="1" si="54"/>
        <v>#VALUE!</v>
      </c>
      <c r="T229" s="43">
        <f t="shared" si="60"/>
        <v>0</v>
      </c>
      <c r="U229" s="226">
        <f>TRUNC(T229*Condições!$C$102,2)</f>
        <v>0</v>
      </c>
      <c r="V229" s="82">
        <f t="shared" ca="1" si="61"/>
        <v>6</v>
      </c>
      <c r="W229" s="231" t="str">
        <f t="shared" si="62"/>
        <v/>
      </c>
      <c r="X229" s="210"/>
      <c r="Y229" s="210"/>
      <c r="Z229" s="210"/>
      <c r="AI229" s="114">
        <f t="shared" si="63"/>
        <v>0</v>
      </c>
      <c r="AJ229" s="113"/>
      <c r="AL229" s="477">
        <f t="shared" ca="1" si="64"/>
        <v>0</v>
      </c>
    </row>
    <row r="230" spans="2:38" ht="12" customHeight="1">
      <c r="B230" s="222">
        <f ca="1">Fixa!B230</f>
        <v>52428</v>
      </c>
      <c r="C230" s="223" t="str">
        <f>Fixa!C230</f>
        <v/>
      </c>
      <c r="D230" s="43" t="e">
        <f t="shared" si="55"/>
        <v>#VALUE!</v>
      </c>
      <c r="E230" s="43" t="e">
        <f t="shared" si="49"/>
        <v>#VALUE!</v>
      </c>
      <c r="F230" s="43" t="e">
        <f t="shared" si="50"/>
        <v>#VALUE!</v>
      </c>
      <c r="G230" s="43" t="e">
        <f t="shared" si="51"/>
        <v>#VALUE!</v>
      </c>
      <c r="H230" s="43" t="e">
        <f t="shared" ca="1" si="52"/>
        <v>#VALUE!</v>
      </c>
      <c r="I230" s="43">
        <f t="shared" si="53"/>
        <v>0</v>
      </c>
      <c r="J230" s="229">
        <f t="shared" si="56"/>
        <v>25</v>
      </c>
      <c r="K230" s="43">
        <f t="shared" si="57"/>
        <v>0</v>
      </c>
      <c r="M230" s="224"/>
      <c r="N230" s="225">
        <f t="shared" si="58"/>
        <v>0</v>
      </c>
      <c r="O230" s="43" t="e">
        <f t="shared" si="59"/>
        <v>#VALUE!</v>
      </c>
      <c r="P230" s="43" t="e">
        <f>ROUND(IF(Preenchimento!$G$39="Tabela Price",R230-Q230,(O229*(1+$AD$35))/($AD$28-C229)),$P$22)</f>
        <v>#VALUE!</v>
      </c>
      <c r="Q230" s="43" t="e">
        <f>IF(Preenchimento!$G$39="Tabela Price",O229*(1+$AD$35)*W230,O229*(1+SAC!$AD$35)*SAC!W230)</f>
        <v>#VALUE!</v>
      </c>
      <c r="R230" s="43" t="e">
        <f>IF(Preenchimento!$G$39="Tabela Price",IF(C230="","",((((((1+W230)^($Q$16-C229))*W230)/((1+W230)^($Q$16-C229)-1))*(O229*(1+$AD$35))))),Q230+P230)</f>
        <v>#VALUE!</v>
      </c>
      <c r="S230" s="43" t="e">
        <f t="shared" ca="1" si="54"/>
        <v>#VALUE!</v>
      </c>
      <c r="T230" s="43">
        <f t="shared" si="60"/>
        <v>0</v>
      </c>
      <c r="U230" s="226">
        <f>TRUNC(T230*Condições!$C$102,2)</f>
        <v>0</v>
      </c>
      <c r="V230" s="82">
        <f t="shared" ca="1" si="61"/>
        <v>7</v>
      </c>
      <c r="W230" s="231" t="str">
        <f t="shared" si="62"/>
        <v/>
      </c>
      <c r="X230" s="210"/>
      <c r="Y230" s="210"/>
      <c r="Z230" s="210"/>
      <c r="AI230" s="114">
        <f t="shared" si="63"/>
        <v>0</v>
      </c>
      <c r="AJ230" s="113"/>
      <c r="AL230" s="477">
        <f t="shared" ca="1" si="64"/>
        <v>0</v>
      </c>
    </row>
    <row r="231" spans="2:38" ht="12" customHeight="1">
      <c r="B231" s="222">
        <f ca="1">Fixa!B231</f>
        <v>52459</v>
      </c>
      <c r="C231" s="223" t="str">
        <f>Fixa!C231</f>
        <v/>
      </c>
      <c r="D231" s="43" t="e">
        <f t="shared" si="55"/>
        <v>#VALUE!</v>
      </c>
      <c r="E231" s="43" t="e">
        <f t="shared" si="49"/>
        <v>#VALUE!</v>
      </c>
      <c r="F231" s="43" t="e">
        <f t="shared" si="50"/>
        <v>#VALUE!</v>
      </c>
      <c r="G231" s="43" t="e">
        <f t="shared" si="51"/>
        <v>#VALUE!</v>
      </c>
      <c r="H231" s="43" t="e">
        <f t="shared" ca="1" si="52"/>
        <v>#VALUE!</v>
      </c>
      <c r="I231" s="43">
        <f t="shared" si="53"/>
        <v>0</v>
      </c>
      <c r="J231" s="229">
        <f t="shared" si="56"/>
        <v>25</v>
      </c>
      <c r="K231" s="43">
        <f t="shared" si="57"/>
        <v>0</v>
      </c>
      <c r="M231" s="224"/>
      <c r="N231" s="225">
        <f t="shared" si="58"/>
        <v>0</v>
      </c>
      <c r="O231" s="43" t="e">
        <f t="shared" si="59"/>
        <v>#VALUE!</v>
      </c>
      <c r="P231" s="43" t="e">
        <f>ROUND(IF(Preenchimento!$G$39="Tabela Price",R231-Q231,(O230*(1+$AD$35))/($AD$28-C230)),$P$22)</f>
        <v>#VALUE!</v>
      </c>
      <c r="Q231" s="43" t="e">
        <f>IF(Preenchimento!$G$39="Tabela Price",O230*(1+$AD$35)*W231,O230*(1+SAC!$AD$35)*SAC!W231)</f>
        <v>#VALUE!</v>
      </c>
      <c r="R231" s="43" t="e">
        <f>IF(Preenchimento!$G$39="Tabela Price",IF(C231="","",((((((1+W231)^($Q$16-C230))*W231)/((1+W231)^($Q$16-C230)-1))*(O230*(1+$AD$35))))),Q231+P231)</f>
        <v>#VALUE!</v>
      </c>
      <c r="S231" s="43" t="e">
        <f t="shared" ca="1" si="54"/>
        <v>#VALUE!</v>
      </c>
      <c r="T231" s="43">
        <f t="shared" si="60"/>
        <v>0</v>
      </c>
      <c r="U231" s="226">
        <f>TRUNC(T231*Condições!$C$102,2)</f>
        <v>0</v>
      </c>
      <c r="V231" s="82">
        <f t="shared" ca="1" si="61"/>
        <v>8</v>
      </c>
      <c r="W231" s="231" t="str">
        <f t="shared" si="62"/>
        <v/>
      </c>
      <c r="X231" s="210"/>
      <c r="Y231" s="210"/>
      <c r="Z231" s="210"/>
      <c r="AI231" s="114">
        <f t="shared" si="63"/>
        <v>0</v>
      </c>
      <c r="AJ231" s="113"/>
      <c r="AL231" s="477">
        <f t="shared" ca="1" si="64"/>
        <v>0</v>
      </c>
    </row>
    <row r="232" spans="2:38" ht="12" customHeight="1">
      <c r="B232" s="222">
        <f ca="1">Fixa!B232</f>
        <v>52490</v>
      </c>
      <c r="C232" s="223" t="str">
        <f>Fixa!C232</f>
        <v/>
      </c>
      <c r="D232" s="43" t="e">
        <f t="shared" si="55"/>
        <v>#VALUE!</v>
      </c>
      <c r="E232" s="43" t="e">
        <f t="shared" si="49"/>
        <v>#VALUE!</v>
      </c>
      <c r="F232" s="43" t="e">
        <f t="shared" si="50"/>
        <v>#VALUE!</v>
      </c>
      <c r="G232" s="43" t="e">
        <f t="shared" si="51"/>
        <v>#VALUE!</v>
      </c>
      <c r="H232" s="43" t="e">
        <f t="shared" ca="1" si="52"/>
        <v>#VALUE!</v>
      </c>
      <c r="I232" s="43">
        <f t="shared" si="53"/>
        <v>0</v>
      </c>
      <c r="J232" s="229">
        <f t="shared" si="56"/>
        <v>25</v>
      </c>
      <c r="K232" s="43">
        <f t="shared" si="57"/>
        <v>0</v>
      </c>
      <c r="M232" s="224"/>
      <c r="N232" s="225">
        <f t="shared" si="58"/>
        <v>0</v>
      </c>
      <c r="O232" s="43" t="e">
        <f t="shared" si="59"/>
        <v>#VALUE!</v>
      </c>
      <c r="P232" s="43" t="e">
        <f>ROUND(IF(Preenchimento!$G$39="Tabela Price",R232-Q232,(O231*(1+$AD$35))/($AD$28-C231)),$P$22)</f>
        <v>#VALUE!</v>
      </c>
      <c r="Q232" s="43" t="e">
        <f>IF(Preenchimento!$G$39="Tabela Price",O231*(1+$AD$35)*W232,O231*(1+SAC!$AD$35)*SAC!W232)</f>
        <v>#VALUE!</v>
      </c>
      <c r="R232" s="43" t="e">
        <f>IF(Preenchimento!$G$39="Tabela Price",IF(C232="","",((((((1+W232)^($Q$16-C231))*W232)/((1+W232)^($Q$16-C231)-1))*(O231*(1+$AD$35))))),Q232+P232)</f>
        <v>#VALUE!</v>
      </c>
      <c r="S232" s="43" t="e">
        <f t="shared" ca="1" si="54"/>
        <v>#VALUE!</v>
      </c>
      <c r="T232" s="43">
        <f t="shared" si="60"/>
        <v>0</v>
      </c>
      <c r="U232" s="226">
        <f>TRUNC(T232*Condições!$C$102,2)</f>
        <v>0</v>
      </c>
      <c r="V232" s="82">
        <f t="shared" ca="1" si="61"/>
        <v>9</v>
      </c>
      <c r="W232" s="231" t="str">
        <f t="shared" si="62"/>
        <v/>
      </c>
      <c r="X232" s="210"/>
      <c r="Y232" s="210"/>
      <c r="Z232" s="210"/>
      <c r="AI232" s="114">
        <f t="shared" si="63"/>
        <v>0</v>
      </c>
      <c r="AJ232" s="113"/>
      <c r="AL232" s="477">
        <f t="shared" ca="1" si="64"/>
        <v>0</v>
      </c>
    </row>
    <row r="233" spans="2:38" ht="12" customHeight="1">
      <c r="B233" s="222">
        <f ca="1">Fixa!B233</f>
        <v>52520</v>
      </c>
      <c r="C233" s="223" t="str">
        <f>Fixa!C233</f>
        <v/>
      </c>
      <c r="D233" s="43" t="e">
        <f t="shared" si="55"/>
        <v>#VALUE!</v>
      </c>
      <c r="E233" s="43" t="e">
        <f t="shared" si="49"/>
        <v>#VALUE!</v>
      </c>
      <c r="F233" s="43" t="e">
        <f t="shared" si="50"/>
        <v>#VALUE!</v>
      </c>
      <c r="G233" s="43" t="e">
        <f t="shared" si="51"/>
        <v>#VALUE!</v>
      </c>
      <c r="H233" s="43" t="e">
        <f t="shared" ca="1" si="52"/>
        <v>#VALUE!</v>
      </c>
      <c r="I233" s="43">
        <f t="shared" si="53"/>
        <v>0</v>
      </c>
      <c r="J233" s="229">
        <f t="shared" si="56"/>
        <v>25</v>
      </c>
      <c r="K233" s="43">
        <f t="shared" si="57"/>
        <v>0</v>
      </c>
      <c r="M233" s="224"/>
      <c r="N233" s="225">
        <f t="shared" si="58"/>
        <v>0</v>
      </c>
      <c r="O233" s="43" t="e">
        <f t="shared" si="59"/>
        <v>#VALUE!</v>
      </c>
      <c r="P233" s="43" t="e">
        <f>ROUND(IF(Preenchimento!$G$39="Tabela Price",R233-Q233,(O232*(1+$AD$35))/($AD$28-C232)),$P$22)</f>
        <v>#VALUE!</v>
      </c>
      <c r="Q233" s="43" t="e">
        <f>IF(Preenchimento!$G$39="Tabela Price",O232*(1+$AD$35)*W233,O232*(1+SAC!$AD$35)*SAC!W233)</f>
        <v>#VALUE!</v>
      </c>
      <c r="R233" s="43" t="e">
        <f>IF(Preenchimento!$G$39="Tabela Price",IF(C233="","",((((((1+W233)^($Q$16-C232))*W233)/((1+W233)^($Q$16-C232)-1))*(O232*(1+$AD$35))))),Q233+P233)</f>
        <v>#VALUE!</v>
      </c>
      <c r="S233" s="43" t="e">
        <f t="shared" ca="1" si="54"/>
        <v>#VALUE!</v>
      </c>
      <c r="T233" s="43">
        <f t="shared" si="60"/>
        <v>0</v>
      </c>
      <c r="U233" s="226">
        <f>TRUNC(T233*Condições!$C$102,2)</f>
        <v>0</v>
      </c>
      <c r="V233" s="82">
        <f t="shared" ca="1" si="61"/>
        <v>10</v>
      </c>
      <c r="W233" s="231" t="str">
        <f t="shared" si="62"/>
        <v/>
      </c>
      <c r="X233" s="210"/>
      <c r="Y233" s="210"/>
      <c r="Z233" s="210"/>
      <c r="AI233" s="114">
        <f t="shared" si="63"/>
        <v>0</v>
      </c>
      <c r="AJ233" s="113"/>
      <c r="AL233" s="477">
        <f t="shared" ca="1" si="64"/>
        <v>0</v>
      </c>
    </row>
    <row r="234" spans="2:38" ht="12" customHeight="1">
      <c r="B234" s="222">
        <f ca="1">Fixa!B234</f>
        <v>52551</v>
      </c>
      <c r="C234" s="223" t="str">
        <f>Fixa!C234</f>
        <v/>
      </c>
      <c r="D234" s="43" t="e">
        <f t="shared" si="55"/>
        <v>#VALUE!</v>
      </c>
      <c r="E234" s="43" t="e">
        <f t="shared" si="49"/>
        <v>#VALUE!</v>
      </c>
      <c r="F234" s="43" t="e">
        <f t="shared" si="50"/>
        <v>#VALUE!</v>
      </c>
      <c r="G234" s="43" t="e">
        <f t="shared" si="51"/>
        <v>#VALUE!</v>
      </c>
      <c r="H234" s="43" t="e">
        <f t="shared" ca="1" si="52"/>
        <v>#VALUE!</v>
      </c>
      <c r="I234" s="43">
        <f t="shared" si="53"/>
        <v>0</v>
      </c>
      <c r="J234" s="229">
        <f t="shared" si="56"/>
        <v>25</v>
      </c>
      <c r="K234" s="43">
        <f t="shared" si="57"/>
        <v>0</v>
      </c>
      <c r="M234" s="224"/>
      <c r="N234" s="225">
        <f t="shared" si="58"/>
        <v>0</v>
      </c>
      <c r="O234" s="43" t="e">
        <f t="shared" si="59"/>
        <v>#VALUE!</v>
      </c>
      <c r="P234" s="43" t="e">
        <f>ROUND(IF(Preenchimento!$G$39="Tabela Price",R234-Q234,(O233*(1+$AD$35))/($AD$28-C233)),$P$22)</f>
        <v>#VALUE!</v>
      </c>
      <c r="Q234" s="43" t="e">
        <f>IF(Preenchimento!$G$39="Tabela Price",O233*(1+$AD$35)*W234,O233*(1+SAC!$AD$35)*SAC!W234)</f>
        <v>#VALUE!</v>
      </c>
      <c r="R234" s="43" t="e">
        <f>IF(Preenchimento!$G$39="Tabela Price",IF(C234="","",((((((1+W234)^($Q$16-C233))*W234)/((1+W234)^($Q$16-C233)-1))*(O233*(1+$AD$35))))),Q234+P234)</f>
        <v>#VALUE!</v>
      </c>
      <c r="S234" s="43" t="e">
        <f t="shared" ca="1" si="54"/>
        <v>#VALUE!</v>
      </c>
      <c r="T234" s="43">
        <f t="shared" si="60"/>
        <v>0</v>
      </c>
      <c r="U234" s="226">
        <f>TRUNC(T234*Condições!$C$102,2)</f>
        <v>0</v>
      </c>
      <c r="V234" s="82">
        <f t="shared" ca="1" si="61"/>
        <v>11</v>
      </c>
      <c r="W234" s="231" t="str">
        <f t="shared" si="62"/>
        <v/>
      </c>
      <c r="X234" s="210"/>
      <c r="Y234" s="210"/>
      <c r="Z234" s="210"/>
      <c r="AI234" s="114">
        <f t="shared" si="63"/>
        <v>0</v>
      </c>
      <c r="AJ234" s="113"/>
      <c r="AL234" s="477">
        <f t="shared" ca="1" si="64"/>
        <v>0</v>
      </c>
    </row>
    <row r="235" spans="2:38" ht="12" customHeight="1">
      <c r="B235" s="222">
        <f ca="1">Fixa!B235</f>
        <v>52581</v>
      </c>
      <c r="C235" s="223" t="str">
        <f>Fixa!C235</f>
        <v/>
      </c>
      <c r="D235" s="43" t="e">
        <f t="shared" si="55"/>
        <v>#VALUE!</v>
      </c>
      <c r="E235" s="43" t="e">
        <f t="shared" si="49"/>
        <v>#VALUE!</v>
      </c>
      <c r="F235" s="43" t="e">
        <f t="shared" si="50"/>
        <v>#VALUE!</v>
      </c>
      <c r="G235" s="43" t="e">
        <f t="shared" si="51"/>
        <v>#VALUE!</v>
      </c>
      <c r="H235" s="43" t="e">
        <f t="shared" ca="1" si="52"/>
        <v>#VALUE!</v>
      </c>
      <c r="I235" s="43">
        <f t="shared" si="53"/>
        <v>0</v>
      </c>
      <c r="J235" s="229">
        <f t="shared" si="56"/>
        <v>25</v>
      </c>
      <c r="K235" s="43">
        <f t="shared" si="57"/>
        <v>0</v>
      </c>
      <c r="M235" s="224"/>
      <c r="N235" s="225">
        <f t="shared" si="58"/>
        <v>0</v>
      </c>
      <c r="O235" s="43" t="e">
        <f t="shared" si="59"/>
        <v>#VALUE!</v>
      </c>
      <c r="P235" s="43" t="e">
        <f>ROUND(IF(Preenchimento!$G$39="Tabela Price",R235-Q235,(O234*(1+$AD$35))/($AD$28-C234)),$P$22)</f>
        <v>#VALUE!</v>
      </c>
      <c r="Q235" s="43" t="e">
        <f>IF(Preenchimento!$G$39="Tabela Price",O234*(1+$AD$35)*W235,O234*(1+SAC!$AD$35)*SAC!W235)</f>
        <v>#VALUE!</v>
      </c>
      <c r="R235" s="43" t="e">
        <f>IF(Preenchimento!$G$39="Tabela Price",IF(C235="","",((((((1+W235)^($Q$16-C234))*W235)/((1+W235)^($Q$16-C234)-1))*(O234*(1+$AD$35))))),Q235+P235)</f>
        <v>#VALUE!</v>
      </c>
      <c r="S235" s="43" t="e">
        <f t="shared" ca="1" si="54"/>
        <v>#VALUE!</v>
      </c>
      <c r="T235" s="43">
        <f t="shared" si="60"/>
        <v>0</v>
      </c>
      <c r="U235" s="226">
        <f>TRUNC(T235*Condições!$C$102,2)</f>
        <v>0</v>
      </c>
      <c r="V235" s="82">
        <f t="shared" ca="1" si="61"/>
        <v>12</v>
      </c>
      <c r="W235" s="231" t="str">
        <f t="shared" si="62"/>
        <v/>
      </c>
      <c r="X235" s="210"/>
      <c r="Y235" s="210"/>
      <c r="Z235" s="210"/>
      <c r="AI235" s="114">
        <f t="shared" si="63"/>
        <v>0</v>
      </c>
      <c r="AJ235" s="113"/>
      <c r="AL235" s="477">
        <f t="shared" ca="1" si="64"/>
        <v>0</v>
      </c>
    </row>
    <row r="236" spans="2:38" ht="12" customHeight="1">
      <c r="B236" s="222">
        <f ca="1">Fixa!B236</f>
        <v>52612</v>
      </c>
      <c r="C236" s="223" t="str">
        <f>Fixa!C236</f>
        <v/>
      </c>
      <c r="D236" s="43" t="e">
        <f t="shared" si="55"/>
        <v>#VALUE!</v>
      </c>
      <c r="E236" s="43" t="e">
        <f t="shared" si="49"/>
        <v>#VALUE!</v>
      </c>
      <c r="F236" s="43" t="e">
        <f t="shared" si="50"/>
        <v>#VALUE!</v>
      </c>
      <c r="G236" s="43" t="e">
        <f t="shared" si="51"/>
        <v>#VALUE!</v>
      </c>
      <c r="H236" s="43" t="e">
        <f t="shared" ca="1" si="52"/>
        <v>#VALUE!</v>
      </c>
      <c r="I236" s="43">
        <f t="shared" si="53"/>
        <v>0</v>
      </c>
      <c r="J236" s="229">
        <f t="shared" si="56"/>
        <v>25</v>
      </c>
      <c r="K236" s="43">
        <f t="shared" si="57"/>
        <v>0</v>
      </c>
      <c r="M236" s="224"/>
      <c r="N236" s="225">
        <f t="shared" si="58"/>
        <v>0</v>
      </c>
      <c r="O236" s="43" t="e">
        <f t="shared" si="59"/>
        <v>#VALUE!</v>
      </c>
      <c r="P236" s="43" t="e">
        <f>ROUND(IF(Preenchimento!$G$39="Tabela Price",R236-Q236,(O235*(1+$AD$35))/($AD$28-C235)),$P$22)</f>
        <v>#VALUE!</v>
      </c>
      <c r="Q236" s="43" t="e">
        <f>IF(Preenchimento!$G$39="Tabela Price",O235*(1+$AD$35)*W236,O235*(1+SAC!$AD$35)*SAC!W236)</f>
        <v>#VALUE!</v>
      </c>
      <c r="R236" s="43" t="e">
        <f>IF(Preenchimento!$G$39="Tabela Price",IF(C236="","",((((((1+W236)^($Q$16-C235))*W236)/((1+W236)^($Q$16-C235)-1))*(O235*(1+$AD$35))))),Q236+P236)</f>
        <v>#VALUE!</v>
      </c>
      <c r="S236" s="43" t="e">
        <f t="shared" ca="1" si="54"/>
        <v>#VALUE!</v>
      </c>
      <c r="T236" s="43">
        <f t="shared" si="60"/>
        <v>0</v>
      </c>
      <c r="U236" s="226">
        <f>TRUNC(T236*Condições!$C$102,2)</f>
        <v>0</v>
      </c>
      <c r="V236" s="82">
        <f t="shared" ca="1" si="61"/>
        <v>1</v>
      </c>
      <c r="W236" s="231" t="str">
        <f t="shared" si="62"/>
        <v/>
      </c>
      <c r="X236" s="210"/>
      <c r="Y236" s="210"/>
      <c r="Z236" s="210"/>
      <c r="AI236" s="114">
        <f t="shared" si="63"/>
        <v>0</v>
      </c>
      <c r="AJ236" s="113"/>
      <c r="AL236" s="477">
        <f t="shared" ca="1" si="64"/>
        <v>0</v>
      </c>
    </row>
    <row r="237" spans="2:38" ht="12" customHeight="1">
      <c r="B237" s="222">
        <f ca="1">Fixa!B237</f>
        <v>52643</v>
      </c>
      <c r="C237" s="223" t="str">
        <f>Fixa!C237</f>
        <v/>
      </c>
      <c r="D237" s="43" t="e">
        <f t="shared" si="55"/>
        <v>#VALUE!</v>
      </c>
      <c r="E237" s="43" t="e">
        <f t="shared" si="49"/>
        <v>#VALUE!</v>
      </c>
      <c r="F237" s="43" t="e">
        <f t="shared" si="50"/>
        <v>#VALUE!</v>
      </c>
      <c r="G237" s="43" t="e">
        <f t="shared" si="51"/>
        <v>#VALUE!</v>
      </c>
      <c r="H237" s="43" t="e">
        <f t="shared" ca="1" si="52"/>
        <v>#VALUE!</v>
      </c>
      <c r="I237" s="43">
        <f t="shared" si="53"/>
        <v>0</v>
      </c>
      <c r="J237" s="229">
        <f t="shared" si="56"/>
        <v>25</v>
      </c>
      <c r="K237" s="43">
        <f t="shared" si="57"/>
        <v>0</v>
      </c>
      <c r="M237" s="224"/>
      <c r="N237" s="225">
        <f t="shared" si="58"/>
        <v>0</v>
      </c>
      <c r="O237" s="43" t="e">
        <f t="shared" si="59"/>
        <v>#VALUE!</v>
      </c>
      <c r="P237" s="43" t="e">
        <f>ROUND(IF(Preenchimento!$G$39="Tabela Price",R237-Q237,(O236*(1+$AD$35))/($AD$28-C236)),$P$22)</f>
        <v>#VALUE!</v>
      </c>
      <c r="Q237" s="43" t="e">
        <f>IF(Preenchimento!$G$39="Tabela Price",O236*(1+$AD$35)*W237,O236*(1+SAC!$AD$35)*SAC!W237)</f>
        <v>#VALUE!</v>
      </c>
      <c r="R237" s="43" t="e">
        <f>IF(Preenchimento!$G$39="Tabela Price",IF(C237="","",((((((1+W237)^($Q$16-C236))*W237)/((1+W237)^($Q$16-C236)-1))*(O236*(1+$AD$35))))),Q237+P237)</f>
        <v>#VALUE!</v>
      </c>
      <c r="S237" s="43" t="e">
        <f t="shared" ca="1" si="54"/>
        <v>#VALUE!</v>
      </c>
      <c r="T237" s="43">
        <f t="shared" si="60"/>
        <v>0</v>
      </c>
      <c r="U237" s="226">
        <f>TRUNC(T237*Condições!$C$102,2)</f>
        <v>0</v>
      </c>
      <c r="V237" s="82">
        <f t="shared" ca="1" si="61"/>
        <v>2</v>
      </c>
      <c r="W237" s="231" t="str">
        <f t="shared" si="62"/>
        <v/>
      </c>
      <c r="X237" s="210"/>
      <c r="Y237" s="210"/>
      <c r="Z237" s="210"/>
      <c r="AI237" s="114">
        <f t="shared" si="63"/>
        <v>0</v>
      </c>
      <c r="AJ237" s="113"/>
      <c r="AL237" s="477">
        <f t="shared" ca="1" si="64"/>
        <v>0</v>
      </c>
    </row>
    <row r="238" spans="2:38" ht="12" customHeight="1">
      <c r="B238" s="222">
        <f ca="1">Fixa!B238</f>
        <v>52672</v>
      </c>
      <c r="C238" s="223" t="str">
        <f>Fixa!C238</f>
        <v/>
      </c>
      <c r="D238" s="43" t="e">
        <f t="shared" si="55"/>
        <v>#VALUE!</v>
      </c>
      <c r="E238" s="43" t="e">
        <f t="shared" si="49"/>
        <v>#VALUE!</v>
      </c>
      <c r="F238" s="43" t="e">
        <f t="shared" si="50"/>
        <v>#VALUE!</v>
      </c>
      <c r="G238" s="43" t="e">
        <f t="shared" si="51"/>
        <v>#VALUE!</v>
      </c>
      <c r="H238" s="43" t="e">
        <f t="shared" ca="1" si="52"/>
        <v>#VALUE!</v>
      </c>
      <c r="I238" s="43">
        <f t="shared" si="53"/>
        <v>0</v>
      </c>
      <c r="J238" s="229">
        <f t="shared" si="56"/>
        <v>25</v>
      </c>
      <c r="K238" s="43">
        <f t="shared" si="57"/>
        <v>0</v>
      </c>
      <c r="M238" s="224"/>
      <c r="N238" s="225">
        <f t="shared" si="58"/>
        <v>0</v>
      </c>
      <c r="O238" s="43" t="e">
        <f t="shared" si="59"/>
        <v>#VALUE!</v>
      </c>
      <c r="P238" s="43" t="e">
        <f>ROUND(IF(Preenchimento!$G$39="Tabela Price",R238-Q238,(O237*(1+$AD$35))/($AD$28-C237)),$P$22)</f>
        <v>#VALUE!</v>
      </c>
      <c r="Q238" s="43" t="e">
        <f>IF(Preenchimento!$G$39="Tabela Price",O237*(1+$AD$35)*W238,O237*(1+SAC!$AD$35)*SAC!W238)</f>
        <v>#VALUE!</v>
      </c>
      <c r="R238" s="43" t="e">
        <f>IF(Preenchimento!$G$39="Tabela Price",IF(C238="","",((((((1+W238)^($Q$16-C237))*W238)/((1+W238)^($Q$16-C237)-1))*(O237*(1+$AD$35))))),Q238+P238)</f>
        <v>#VALUE!</v>
      </c>
      <c r="S238" s="43" t="e">
        <f t="shared" ca="1" si="54"/>
        <v>#VALUE!</v>
      </c>
      <c r="T238" s="43">
        <f t="shared" si="60"/>
        <v>0</v>
      </c>
      <c r="U238" s="226">
        <f>TRUNC(T238*Condições!$C$102,2)</f>
        <v>0</v>
      </c>
      <c r="V238" s="82">
        <f t="shared" ca="1" si="61"/>
        <v>3</v>
      </c>
      <c r="W238" s="231" t="str">
        <f t="shared" si="62"/>
        <v/>
      </c>
      <c r="X238" s="210"/>
      <c r="Y238" s="210"/>
      <c r="Z238" s="210"/>
      <c r="AI238" s="114">
        <f t="shared" si="63"/>
        <v>0</v>
      </c>
      <c r="AJ238" s="113"/>
      <c r="AL238" s="477">
        <f t="shared" ca="1" si="64"/>
        <v>0</v>
      </c>
    </row>
    <row r="239" spans="2:38" ht="12" customHeight="1">
      <c r="B239" s="222">
        <f ca="1">Fixa!B239</f>
        <v>52703</v>
      </c>
      <c r="C239" s="223" t="str">
        <f>Fixa!C239</f>
        <v/>
      </c>
      <c r="D239" s="43" t="e">
        <f t="shared" si="55"/>
        <v>#VALUE!</v>
      </c>
      <c r="E239" s="43" t="e">
        <f t="shared" si="49"/>
        <v>#VALUE!</v>
      </c>
      <c r="F239" s="43" t="e">
        <f t="shared" si="50"/>
        <v>#VALUE!</v>
      </c>
      <c r="G239" s="43" t="e">
        <f t="shared" si="51"/>
        <v>#VALUE!</v>
      </c>
      <c r="H239" s="43" t="e">
        <f t="shared" ca="1" si="52"/>
        <v>#VALUE!</v>
      </c>
      <c r="I239" s="43">
        <f t="shared" si="53"/>
        <v>0</v>
      </c>
      <c r="J239" s="229">
        <f t="shared" si="56"/>
        <v>25</v>
      </c>
      <c r="K239" s="43">
        <f t="shared" si="57"/>
        <v>0</v>
      </c>
      <c r="M239" s="224"/>
      <c r="N239" s="225">
        <f t="shared" si="58"/>
        <v>0</v>
      </c>
      <c r="O239" s="43" t="e">
        <f t="shared" si="59"/>
        <v>#VALUE!</v>
      </c>
      <c r="P239" s="43" t="e">
        <f>ROUND(IF(Preenchimento!$G$39="Tabela Price",R239-Q239,(O238*(1+$AD$35))/($AD$28-C238)),$P$22)</f>
        <v>#VALUE!</v>
      </c>
      <c r="Q239" s="43" t="e">
        <f>IF(Preenchimento!$G$39="Tabela Price",O238*(1+$AD$35)*W239,O238*(1+SAC!$AD$35)*SAC!W239)</f>
        <v>#VALUE!</v>
      </c>
      <c r="R239" s="43" t="e">
        <f>IF(Preenchimento!$G$39="Tabela Price",IF(C239="","",((((((1+W239)^($Q$16-C238))*W239)/((1+W239)^($Q$16-C238)-1))*(O238*(1+$AD$35))))),Q239+P239)</f>
        <v>#VALUE!</v>
      </c>
      <c r="S239" s="43" t="e">
        <f t="shared" ca="1" si="54"/>
        <v>#VALUE!</v>
      </c>
      <c r="T239" s="43">
        <f t="shared" si="60"/>
        <v>0</v>
      </c>
      <c r="U239" s="226">
        <f>TRUNC(T239*Condições!$C$102,2)</f>
        <v>0</v>
      </c>
      <c r="V239" s="82">
        <f t="shared" ca="1" si="61"/>
        <v>4</v>
      </c>
      <c r="W239" s="231" t="str">
        <f t="shared" si="62"/>
        <v/>
      </c>
      <c r="X239" s="210"/>
      <c r="Y239" s="210"/>
      <c r="Z239" s="210"/>
      <c r="AI239" s="114">
        <f t="shared" si="63"/>
        <v>0</v>
      </c>
      <c r="AJ239" s="113"/>
      <c r="AL239" s="477">
        <f t="shared" ca="1" si="64"/>
        <v>0</v>
      </c>
    </row>
    <row r="240" spans="2:38" ht="12" customHeight="1">
      <c r="B240" s="222">
        <f ca="1">Fixa!B240</f>
        <v>52733</v>
      </c>
      <c r="C240" s="223" t="str">
        <f>Fixa!C240</f>
        <v/>
      </c>
      <c r="D240" s="43" t="e">
        <f t="shared" si="55"/>
        <v>#VALUE!</v>
      </c>
      <c r="E240" s="43" t="e">
        <f t="shared" si="49"/>
        <v>#VALUE!</v>
      </c>
      <c r="F240" s="43" t="e">
        <f t="shared" si="50"/>
        <v>#VALUE!</v>
      </c>
      <c r="G240" s="43" t="e">
        <f t="shared" si="51"/>
        <v>#VALUE!</v>
      </c>
      <c r="H240" s="43" t="e">
        <f t="shared" ca="1" si="52"/>
        <v>#VALUE!</v>
      </c>
      <c r="I240" s="43">
        <f t="shared" si="53"/>
        <v>0</v>
      </c>
      <c r="J240" s="229">
        <f t="shared" si="56"/>
        <v>25</v>
      </c>
      <c r="K240" s="43">
        <f t="shared" si="57"/>
        <v>0</v>
      </c>
      <c r="M240" s="224"/>
      <c r="N240" s="225">
        <f t="shared" si="58"/>
        <v>0</v>
      </c>
      <c r="O240" s="43" t="e">
        <f t="shared" si="59"/>
        <v>#VALUE!</v>
      </c>
      <c r="P240" s="43" t="e">
        <f>ROUND(IF(Preenchimento!$G$39="Tabela Price",R240-Q240,(O239*(1+$AD$35))/($AD$28-C239)),$P$22)</f>
        <v>#VALUE!</v>
      </c>
      <c r="Q240" s="43" t="e">
        <f>IF(Preenchimento!$G$39="Tabela Price",O239*(1+$AD$35)*W240,O239*(1+SAC!$AD$35)*SAC!W240)</f>
        <v>#VALUE!</v>
      </c>
      <c r="R240" s="43" t="e">
        <f>IF(Preenchimento!$G$39="Tabela Price",IF(C240="","",((((((1+W240)^($Q$16-C239))*W240)/((1+W240)^($Q$16-C239)-1))*(O239*(1+$AD$35))))),Q240+P240)</f>
        <v>#VALUE!</v>
      </c>
      <c r="S240" s="43" t="e">
        <f t="shared" ca="1" si="54"/>
        <v>#VALUE!</v>
      </c>
      <c r="T240" s="43">
        <f t="shared" si="60"/>
        <v>0</v>
      </c>
      <c r="U240" s="226">
        <f>TRUNC(T240*Condições!$C$102,2)</f>
        <v>0</v>
      </c>
      <c r="V240" s="82">
        <f t="shared" ca="1" si="61"/>
        <v>5</v>
      </c>
      <c r="W240" s="231" t="str">
        <f t="shared" si="62"/>
        <v/>
      </c>
      <c r="X240" s="210"/>
      <c r="Y240" s="210"/>
      <c r="Z240" s="210"/>
      <c r="AI240" s="114">
        <f t="shared" si="63"/>
        <v>0</v>
      </c>
      <c r="AJ240" s="113"/>
      <c r="AL240" s="477">
        <f t="shared" ca="1" si="64"/>
        <v>0</v>
      </c>
    </row>
    <row r="241" spans="2:38" ht="12" customHeight="1">
      <c r="B241" s="222">
        <f ca="1">Fixa!B241</f>
        <v>52764</v>
      </c>
      <c r="C241" s="223" t="str">
        <f>Fixa!C241</f>
        <v/>
      </c>
      <c r="D241" s="43" t="e">
        <f t="shared" si="55"/>
        <v>#VALUE!</v>
      </c>
      <c r="E241" s="43" t="e">
        <f t="shared" si="49"/>
        <v>#VALUE!</v>
      </c>
      <c r="F241" s="43" t="e">
        <f t="shared" si="50"/>
        <v>#VALUE!</v>
      </c>
      <c r="G241" s="43" t="e">
        <f t="shared" si="51"/>
        <v>#VALUE!</v>
      </c>
      <c r="H241" s="43" t="e">
        <f t="shared" ca="1" si="52"/>
        <v>#VALUE!</v>
      </c>
      <c r="I241" s="43">
        <f t="shared" si="53"/>
        <v>0</v>
      </c>
      <c r="J241" s="229">
        <f t="shared" si="56"/>
        <v>25</v>
      </c>
      <c r="K241" s="43">
        <f t="shared" si="57"/>
        <v>0</v>
      </c>
      <c r="M241" s="224"/>
      <c r="N241" s="225">
        <f t="shared" si="58"/>
        <v>0</v>
      </c>
      <c r="O241" s="43" t="e">
        <f t="shared" si="59"/>
        <v>#VALUE!</v>
      </c>
      <c r="P241" s="43" t="e">
        <f>ROUND(IF(Preenchimento!$G$39="Tabela Price",R241-Q241,(O240*(1+$AD$35))/($AD$28-C240)),$P$22)</f>
        <v>#VALUE!</v>
      </c>
      <c r="Q241" s="43" t="e">
        <f>IF(Preenchimento!$G$39="Tabela Price",O240*(1+$AD$35)*W241,O240*(1+SAC!$AD$35)*SAC!W241)</f>
        <v>#VALUE!</v>
      </c>
      <c r="R241" s="43" t="e">
        <f>IF(Preenchimento!$G$39="Tabela Price",IF(C241="","",((((((1+W241)^($Q$16-C240))*W241)/((1+W241)^($Q$16-C240)-1))*(O240*(1+$AD$35))))),Q241+P241)</f>
        <v>#VALUE!</v>
      </c>
      <c r="S241" s="43" t="e">
        <f t="shared" ca="1" si="54"/>
        <v>#VALUE!</v>
      </c>
      <c r="T241" s="43">
        <f t="shared" si="60"/>
        <v>0</v>
      </c>
      <c r="U241" s="226">
        <f>TRUNC(T241*Condições!$C$102,2)</f>
        <v>0</v>
      </c>
      <c r="V241" s="82">
        <f t="shared" ca="1" si="61"/>
        <v>6</v>
      </c>
      <c r="W241" s="231" t="str">
        <f t="shared" si="62"/>
        <v/>
      </c>
      <c r="X241" s="210"/>
      <c r="Y241" s="210"/>
      <c r="Z241" s="210"/>
      <c r="AI241" s="114">
        <f t="shared" si="63"/>
        <v>0</v>
      </c>
      <c r="AJ241" s="113"/>
      <c r="AL241" s="477">
        <f t="shared" ca="1" si="64"/>
        <v>0</v>
      </c>
    </row>
    <row r="242" spans="2:38" ht="12" customHeight="1">
      <c r="B242" s="222">
        <f ca="1">Fixa!B242</f>
        <v>52794</v>
      </c>
      <c r="C242" s="223" t="str">
        <f>Fixa!C242</f>
        <v/>
      </c>
      <c r="D242" s="43" t="e">
        <f t="shared" si="55"/>
        <v>#VALUE!</v>
      </c>
      <c r="E242" s="43" t="e">
        <f t="shared" si="49"/>
        <v>#VALUE!</v>
      </c>
      <c r="F242" s="43" t="e">
        <f t="shared" si="50"/>
        <v>#VALUE!</v>
      </c>
      <c r="G242" s="43" t="e">
        <f t="shared" si="51"/>
        <v>#VALUE!</v>
      </c>
      <c r="H242" s="43" t="e">
        <f t="shared" ca="1" si="52"/>
        <v>#VALUE!</v>
      </c>
      <c r="I242" s="43">
        <f t="shared" si="53"/>
        <v>0</v>
      </c>
      <c r="J242" s="229">
        <f t="shared" si="56"/>
        <v>25</v>
      </c>
      <c r="K242" s="43">
        <f t="shared" si="57"/>
        <v>0</v>
      </c>
      <c r="M242" s="224"/>
      <c r="N242" s="225">
        <f t="shared" si="58"/>
        <v>0</v>
      </c>
      <c r="O242" s="43" t="e">
        <f t="shared" si="59"/>
        <v>#VALUE!</v>
      </c>
      <c r="P242" s="43" t="e">
        <f>ROUND(IF(Preenchimento!$G$39="Tabela Price",R242-Q242,(O241*(1+$AD$35))/($AD$28-C241)),$P$22)</f>
        <v>#VALUE!</v>
      </c>
      <c r="Q242" s="43" t="e">
        <f>IF(Preenchimento!$G$39="Tabela Price",O241*(1+$AD$35)*W242,O241*(1+SAC!$AD$35)*SAC!W242)</f>
        <v>#VALUE!</v>
      </c>
      <c r="R242" s="43" t="e">
        <f>IF(Preenchimento!$G$39="Tabela Price",IF(C242="","",((((((1+W242)^($Q$16-C241))*W242)/((1+W242)^($Q$16-C241)-1))*(O241*(1+$AD$35))))),Q242+P242)</f>
        <v>#VALUE!</v>
      </c>
      <c r="S242" s="43" t="e">
        <f t="shared" ca="1" si="54"/>
        <v>#VALUE!</v>
      </c>
      <c r="T242" s="43">
        <f t="shared" si="60"/>
        <v>0</v>
      </c>
      <c r="U242" s="226">
        <f>TRUNC(T242*Condições!$C$102,2)</f>
        <v>0</v>
      </c>
      <c r="V242" s="82">
        <f t="shared" ca="1" si="61"/>
        <v>7</v>
      </c>
      <c r="W242" s="231" t="str">
        <f t="shared" si="62"/>
        <v/>
      </c>
      <c r="X242" s="210"/>
      <c r="Y242" s="210"/>
      <c r="Z242" s="210"/>
      <c r="AI242" s="114">
        <f t="shared" si="63"/>
        <v>0</v>
      </c>
      <c r="AJ242" s="113"/>
      <c r="AL242" s="477">
        <f t="shared" ca="1" si="64"/>
        <v>0</v>
      </c>
    </row>
    <row r="243" spans="2:38" ht="12" customHeight="1">
      <c r="B243" s="222">
        <f ca="1">Fixa!B243</f>
        <v>52825</v>
      </c>
      <c r="C243" s="223" t="str">
        <f>Fixa!C243</f>
        <v/>
      </c>
      <c r="D243" s="43" t="e">
        <f t="shared" si="55"/>
        <v>#VALUE!</v>
      </c>
      <c r="E243" s="43" t="e">
        <f t="shared" si="49"/>
        <v>#VALUE!</v>
      </c>
      <c r="F243" s="43" t="e">
        <f t="shared" si="50"/>
        <v>#VALUE!</v>
      </c>
      <c r="G243" s="43" t="e">
        <f t="shared" si="51"/>
        <v>#VALUE!</v>
      </c>
      <c r="H243" s="43" t="e">
        <f t="shared" ca="1" si="52"/>
        <v>#VALUE!</v>
      </c>
      <c r="I243" s="43">
        <f t="shared" si="53"/>
        <v>0</v>
      </c>
      <c r="J243" s="229">
        <f t="shared" si="56"/>
        <v>25</v>
      </c>
      <c r="K243" s="43">
        <f t="shared" si="57"/>
        <v>0</v>
      </c>
      <c r="M243" s="224"/>
      <c r="N243" s="225">
        <f t="shared" si="58"/>
        <v>0</v>
      </c>
      <c r="O243" s="43" t="e">
        <f t="shared" si="59"/>
        <v>#VALUE!</v>
      </c>
      <c r="P243" s="43" t="e">
        <f>ROUND(IF(Preenchimento!$G$39="Tabela Price",R243-Q243,(O242*(1+$AD$35))/($AD$28-C242)),$P$22)</f>
        <v>#VALUE!</v>
      </c>
      <c r="Q243" s="43" t="e">
        <f>IF(Preenchimento!$G$39="Tabela Price",O242*(1+$AD$35)*W243,O242*(1+SAC!$AD$35)*SAC!W243)</f>
        <v>#VALUE!</v>
      </c>
      <c r="R243" s="43" t="e">
        <f>IF(Preenchimento!$G$39="Tabela Price",IF(C243="","",((((((1+W243)^($Q$16-C242))*W243)/((1+W243)^($Q$16-C242)-1))*(O242*(1+$AD$35))))),Q243+P243)</f>
        <v>#VALUE!</v>
      </c>
      <c r="S243" s="43" t="e">
        <f t="shared" ca="1" si="54"/>
        <v>#VALUE!</v>
      </c>
      <c r="T243" s="43">
        <f t="shared" si="60"/>
        <v>0</v>
      </c>
      <c r="U243" s="226">
        <f>TRUNC(T243*Condições!$C$102,2)</f>
        <v>0</v>
      </c>
      <c r="V243" s="82">
        <f t="shared" ca="1" si="61"/>
        <v>8</v>
      </c>
      <c r="W243" s="231" t="str">
        <f t="shared" si="62"/>
        <v/>
      </c>
      <c r="X243" s="210"/>
      <c r="Y243" s="210"/>
      <c r="Z243" s="210"/>
      <c r="AI243" s="114">
        <f t="shared" si="63"/>
        <v>0</v>
      </c>
      <c r="AJ243" s="113"/>
      <c r="AL243" s="477">
        <f t="shared" ca="1" si="64"/>
        <v>0</v>
      </c>
    </row>
    <row r="244" spans="2:38" ht="12" customHeight="1">
      <c r="B244" s="222">
        <f ca="1">Fixa!B244</f>
        <v>52856</v>
      </c>
      <c r="C244" s="223" t="str">
        <f>Fixa!C244</f>
        <v/>
      </c>
      <c r="D244" s="43" t="e">
        <f t="shared" si="55"/>
        <v>#VALUE!</v>
      </c>
      <c r="E244" s="43" t="e">
        <f t="shared" si="49"/>
        <v>#VALUE!</v>
      </c>
      <c r="F244" s="43" t="e">
        <f t="shared" si="50"/>
        <v>#VALUE!</v>
      </c>
      <c r="G244" s="43" t="e">
        <f t="shared" si="51"/>
        <v>#VALUE!</v>
      </c>
      <c r="H244" s="43" t="e">
        <f t="shared" ca="1" si="52"/>
        <v>#VALUE!</v>
      </c>
      <c r="I244" s="43">
        <f t="shared" si="53"/>
        <v>0</v>
      </c>
      <c r="J244" s="229">
        <f t="shared" si="56"/>
        <v>25</v>
      </c>
      <c r="K244" s="43">
        <f t="shared" si="57"/>
        <v>0</v>
      </c>
      <c r="M244" s="224"/>
      <c r="N244" s="225">
        <f t="shared" si="58"/>
        <v>0</v>
      </c>
      <c r="O244" s="43" t="e">
        <f t="shared" si="59"/>
        <v>#VALUE!</v>
      </c>
      <c r="P244" s="43" t="e">
        <f>ROUND(IF(Preenchimento!$G$39="Tabela Price",R244-Q244,(O243*(1+$AD$35))/($AD$28-C243)),$P$22)</f>
        <v>#VALUE!</v>
      </c>
      <c r="Q244" s="43" t="e">
        <f>IF(Preenchimento!$G$39="Tabela Price",O243*(1+$AD$35)*W244,O243*(1+SAC!$AD$35)*SAC!W244)</f>
        <v>#VALUE!</v>
      </c>
      <c r="R244" s="43" t="e">
        <f>IF(Preenchimento!$G$39="Tabela Price",IF(C244="","",((((((1+W244)^($Q$16-C243))*W244)/((1+W244)^($Q$16-C243)-1))*(O243*(1+$AD$35))))),Q244+P244)</f>
        <v>#VALUE!</v>
      </c>
      <c r="S244" s="43" t="e">
        <f t="shared" ca="1" si="54"/>
        <v>#VALUE!</v>
      </c>
      <c r="T244" s="43">
        <f t="shared" si="60"/>
        <v>0</v>
      </c>
      <c r="U244" s="226">
        <f>TRUNC(T244*Condições!$C$102,2)</f>
        <v>0</v>
      </c>
      <c r="V244" s="82">
        <f t="shared" ca="1" si="61"/>
        <v>9</v>
      </c>
      <c r="W244" s="231" t="str">
        <f t="shared" si="62"/>
        <v/>
      </c>
      <c r="X244" s="210"/>
      <c r="Y244" s="210"/>
      <c r="Z244" s="210"/>
      <c r="AI244" s="114">
        <f t="shared" si="63"/>
        <v>0</v>
      </c>
      <c r="AJ244" s="113"/>
      <c r="AL244" s="477">
        <f t="shared" ca="1" si="64"/>
        <v>0</v>
      </c>
    </row>
    <row r="245" spans="2:38" ht="12" customHeight="1">
      <c r="B245" s="222">
        <f ca="1">Fixa!B245</f>
        <v>52886</v>
      </c>
      <c r="C245" s="223" t="str">
        <f>Fixa!C245</f>
        <v/>
      </c>
      <c r="D245" s="43" t="e">
        <f t="shared" si="55"/>
        <v>#VALUE!</v>
      </c>
      <c r="E245" s="43" t="e">
        <f t="shared" si="49"/>
        <v>#VALUE!</v>
      </c>
      <c r="F245" s="43" t="e">
        <f t="shared" si="50"/>
        <v>#VALUE!</v>
      </c>
      <c r="G245" s="43" t="e">
        <f t="shared" si="51"/>
        <v>#VALUE!</v>
      </c>
      <c r="H245" s="43" t="e">
        <f t="shared" ca="1" si="52"/>
        <v>#VALUE!</v>
      </c>
      <c r="I245" s="43">
        <f t="shared" si="53"/>
        <v>0</v>
      </c>
      <c r="J245" s="229">
        <f t="shared" si="56"/>
        <v>25</v>
      </c>
      <c r="K245" s="43">
        <f t="shared" si="57"/>
        <v>0</v>
      </c>
      <c r="M245" s="224"/>
      <c r="N245" s="225">
        <f t="shared" si="58"/>
        <v>0</v>
      </c>
      <c r="O245" s="43" t="e">
        <f t="shared" si="59"/>
        <v>#VALUE!</v>
      </c>
      <c r="P245" s="43" t="e">
        <f>ROUND(IF(Preenchimento!$G$39="Tabela Price",R245-Q245,(O244*(1+$AD$35))/($AD$28-C244)),$P$22)</f>
        <v>#VALUE!</v>
      </c>
      <c r="Q245" s="43" t="e">
        <f>IF(Preenchimento!$G$39="Tabela Price",O244*(1+$AD$35)*W245,O244*(1+SAC!$AD$35)*SAC!W245)</f>
        <v>#VALUE!</v>
      </c>
      <c r="R245" s="43" t="e">
        <f>IF(Preenchimento!$G$39="Tabela Price",IF(C245="","",((((((1+W245)^($Q$16-C244))*W245)/((1+W245)^($Q$16-C244)-1))*(O244*(1+$AD$35))))),Q245+P245)</f>
        <v>#VALUE!</v>
      </c>
      <c r="S245" s="43" t="e">
        <f t="shared" ca="1" si="54"/>
        <v>#VALUE!</v>
      </c>
      <c r="T245" s="43">
        <f t="shared" si="60"/>
        <v>0</v>
      </c>
      <c r="U245" s="226">
        <f>TRUNC(T245*Condições!$C$102,2)</f>
        <v>0</v>
      </c>
      <c r="V245" s="82">
        <f t="shared" ca="1" si="61"/>
        <v>10</v>
      </c>
      <c r="W245" s="231" t="str">
        <f t="shared" si="62"/>
        <v/>
      </c>
      <c r="X245" s="210"/>
      <c r="Y245" s="210"/>
      <c r="Z245" s="210"/>
      <c r="AI245" s="114">
        <f t="shared" si="63"/>
        <v>0</v>
      </c>
      <c r="AJ245" s="113"/>
      <c r="AL245" s="477">
        <f t="shared" ca="1" si="64"/>
        <v>0</v>
      </c>
    </row>
    <row r="246" spans="2:38" ht="12" customHeight="1">
      <c r="B246" s="222">
        <f ca="1">Fixa!B246</f>
        <v>52917</v>
      </c>
      <c r="C246" s="223" t="str">
        <f>Fixa!C246</f>
        <v/>
      </c>
      <c r="D246" s="43" t="e">
        <f t="shared" si="55"/>
        <v>#VALUE!</v>
      </c>
      <c r="E246" s="43" t="e">
        <f t="shared" si="49"/>
        <v>#VALUE!</v>
      </c>
      <c r="F246" s="43" t="e">
        <f t="shared" si="50"/>
        <v>#VALUE!</v>
      </c>
      <c r="G246" s="43" t="e">
        <f t="shared" si="51"/>
        <v>#VALUE!</v>
      </c>
      <c r="H246" s="43" t="e">
        <f t="shared" ca="1" si="52"/>
        <v>#VALUE!</v>
      </c>
      <c r="I246" s="43">
        <f t="shared" si="53"/>
        <v>0</v>
      </c>
      <c r="J246" s="229">
        <f t="shared" si="56"/>
        <v>25</v>
      </c>
      <c r="K246" s="43">
        <f t="shared" si="57"/>
        <v>0</v>
      </c>
      <c r="M246" s="224"/>
      <c r="N246" s="225">
        <f t="shared" si="58"/>
        <v>0</v>
      </c>
      <c r="O246" s="43" t="e">
        <f t="shared" si="59"/>
        <v>#VALUE!</v>
      </c>
      <c r="P246" s="43" t="e">
        <f>ROUND(IF(Preenchimento!$G$39="Tabela Price",R246-Q246,(O245*(1+$AD$35))/($AD$28-C245)),$P$22)</f>
        <v>#VALUE!</v>
      </c>
      <c r="Q246" s="43" t="e">
        <f>IF(Preenchimento!$G$39="Tabela Price",O245*(1+$AD$35)*W246,O245*(1+SAC!$AD$35)*SAC!W246)</f>
        <v>#VALUE!</v>
      </c>
      <c r="R246" s="43" t="e">
        <f>IF(Preenchimento!$G$39="Tabela Price",IF(C246="","",((((((1+W246)^($Q$16-C245))*W246)/((1+W246)^($Q$16-C245)-1))*(O245*(1+$AD$35))))),Q246+P246)</f>
        <v>#VALUE!</v>
      </c>
      <c r="S246" s="43" t="e">
        <f t="shared" ca="1" si="54"/>
        <v>#VALUE!</v>
      </c>
      <c r="T246" s="43">
        <f t="shared" si="60"/>
        <v>0</v>
      </c>
      <c r="U246" s="226">
        <f>TRUNC(T246*Condições!$C$102,2)</f>
        <v>0</v>
      </c>
      <c r="V246" s="82">
        <f t="shared" ca="1" si="61"/>
        <v>11</v>
      </c>
      <c r="W246" s="231" t="str">
        <f t="shared" si="62"/>
        <v/>
      </c>
      <c r="X246" s="210"/>
      <c r="Y246" s="210"/>
      <c r="Z246" s="210"/>
      <c r="AI246" s="114">
        <f t="shared" si="63"/>
        <v>0</v>
      </c>
      <c r="AJ246" s="113"/>
      <c r="AL246" s="477">
        <f t="shared" ca="1" si="64"/>
        <v>0</v>
      </c>
    </row>
    <row r="247" spans="2:38" ht="12" customHeight="1">
      <c r="B247" s="222">
        <f ca="1">Fixa!B247</f>
        <v>52947</v>
      </c>
      <c r="C247" s="223" t="str">
        <f>Fixa!C247</f>
        <v/>
      </c>
      <c r="D247" s="43" t="e">
        <f t="shared" si="55"/>
        <v>#VALUE!</v>
      </c>
      <c r="E247" s="43" t="e">
        <f t="shared" si="49"/>
        <v>#VALUE!</v>
      </c>
      <c r="F247" s="43" t="e">
        <f t="shared" si="50"/>
        <v>#VALUE!</v>
      </c>
      <c r="G247" s="43" t="e">
        <f t="shared" si="51"/>
        <v>#VALUE!</v>
      </c>
      <c r="H247" s="43" t="e">
        <f t="shared" ca="1" si="52"/>
        <v>#VALUE!</v>
      </c>
      <c r="I247" s="43">
        <f t="shared" si="53"/>
        <v>0</v>
      </c>
      <c r="J247" s="229">
        <f t="shared" si="56"/>
        <v>25</v>
      </c>
      <c r="K247" s="43">
        <f t="shared" si="57"/>
        <v>0</v>
      </c>
      <c r="M247" s="224"/>
      <c r="N247" s="225">
        <f t="shared" si="58"/>
        <v>0</v>
      </c>
      <c r="O247" s="43" t="e">
        <f t="shared" si="59"/>
        <v>#VALUE!</v>
      </c>
      <c r="P247" s="43" t="e">
        <f>ROUND(IF(Preenchimento!$G$39="Tabela Price",R247-Q247,(O246*(1+$AD$35))/($AD$28-C246)),$P$22)</f>
        <v>#VALUE!</v>
      </c>
      <c r="Q247" s="43" t="e">
        <f>IF(Preenchimento!$G$39="Tabela Price",O246*(1+$AD$35)*W247,O246*(1+SAC!$AD$35)*SAC!W247)</f>
        <v>#VALUE!</v>
      </c>
      <c r="R247" s="43" t="e">
        <f>IF(Preenchimento!$G$39="Tabela Price",IF(C247="","",((((((1+W247)^($Q$16-C246))*W247)/((1+W247)^($Q$16-C246)-1))*(O246*(1+$AD$35))))),Q247+P247)</f>
        <v>#VALUE!</v>
      </c>
      <c r="S247" s="43" t="e">
        <f t="shared" ca="1" si="54"/>
        <v>#VALUE!</v>
      </c>
      <c r="T247" s="43">
        <f t="shared" si="60"/>
        <v>0</v>
      </c>
      <c r="U247" s="226">
        <f>TRUNC(T247*Condições!$C$102,2)</f>
        <v>0</v>
      </c>
      <c r="V247" s="82">
        <f t="shared" ca="1" si="61"/>
        <v>12</v>
      </c>
      <c r="W247" s="231" t="str">
        <f t="shared" si="62"/>
        <v/>
      </c>
      <c r="X247" s="210"/>
      <c r="Y247" s="210"/>
      <c r="Z247" s="210"/>
      <c r="AI247" s="114">
        <f t="shared" si="63"/>
        <v>0</v>
      </c>
      <c r="AJ247" s="113"/>
      <c r="AL247" s="477">
        <f t="shared" ca="1" si="64"/>
        <v>0</v>
      </c>
    </row>
    <row r="248" spans="2:38" ht="12" customHeight="1">
      <c r="B248" s="222">
        <f ca="1">Fixa!B248</f>
        <v>52978</v>
      </c>
      <c r="C248" s="223" t="str">
        <f>Fixa!C248</f>
        <v/>
      </c>
      <c r="D248" s="43" t="e">
        <f t="shared" si="55"/>
        <v>#VALUE!</v>
      </c>
      <c r="E248" s="43" t="e">
        <f t="shared" si="49"/>
        <v>#VALUE!</v>
      </c>
      <c r="F248" s="43" t="e">
        <f t="shared" si="50"/>
        <v>#VALUE!</v>
      </c>
      <c r="G248" s="43" t="e">
        <f t="shared" si="51"/>
        <v>#VALUE!</v>
      </c>
      <c r="H248" s="43" t="e">
        <f t="shared" ca="1" si="52"/>
        <v>#VALUE!</v>
      </c>
      <c r="I248" s="43">
        <f t="shared" si="53"/>
        <v>0</v>
      </c>
      <c r="J248" s="229">
        <f t="shared" si="56"/>
        <v>25</v>
      </c>
      <c r="K248" s="43">
        <f t="shared" si="57"/>
        <v>0</v>
      </c>
      <c r="M248" s="224"/>
      <c r="N248" s="225">
        <f t="shared" si="58"/>
        <v>0</v>
      </c>
      <c r="O248" s="43" t="e">
        <f t="shared" si="59"/>
        <v>#VALUE!</v>
      </c>
      <c r="P248" s="43" t="e">
        <f>ROUND(IF(Preenchimento!$G$39="Tabela Price",R248-Q248,(O247*(1+$AD$35))/($AD$28-C247)),$P$22)</f>
        <v>#VALUE!</v>
      </c>
      <c r="Q248" s="43" t="e">
        <f>IF(Preenchimento!$G$39="Tabela Price",O247*(1+$AD$35)*W248,O247*(1+SAC!$AD$35)*SAC!W248)</f>
        <v>#VALUE!</v>
      </c>
      <c r="R248" s="43" t="e">
        <f>IF(Preenchimento!$G$39="Tabela Price",IF(C248="","",((((((1+W248)^($Q$16-C247))*W248)/((1+W248)^($Q$16-C247)-1))*(O247*(1+$AD$35))))),Q248+P248)</f>
        <v>#VALUE!</v>
      </c>
      <c r="S248" s="43" t="e">
        <f t="shared" ca="1" si="54"/>
        <v>#VALUE!</v>
      </c>
      <c r="T248" s="43">
        <f t="shared" si="60"/>
        <v>0</v>
      </c>
      <c r="U248" s="226">
        <f>TRUNC(T248*Condições!$C$102,2)</f>
        <v>0</v>
      </c>
      <c r="V248" s="82">
        <f t="shared" ca="1" si="61"/>
        <v>1</v>
      </c>
      <c r="W248" s="231" t="str">
        <f t="shared" si="62"/>
        <v/>
      </c>
      <c r="X248" s="210"/>
      <c r="Y248" s="210"/>
      <c r="Z248" s="210"/>
      <c r="AI248" s="114">
        <f t="shared" si="63"/>
        <v>0</v>
      </c>
      <c r="AJ248" s="113"/>
      <c r="AL248" s="477">
        <f t="shared" ca="1" si="64"/>
        <v>0</v>
      </c>
    </row>
    <row r="249" spans="2:38" ht="12" customHeight="1">
      <c r="B249" s="222">
        <f ca="1">Fixa!B249</f>
        <v>53009</v>
      </c>
      <c r="C249" s="223" t="str">
        <f>Fixa!C249</f>
        <v/>
      </c>
      <c r="D249" s="43" t="e">
        <f t="shared" si="55"/>
        <v>#VALUE!</v>
      </c>
      <c r="E249" s="43" t="e">
        <f t="shared" si="49"/>
        <v>#VALUE!</v>
      </c>
      <c r="F249" s="43" t="e">
        <f t="shared" si="50"/>
        <v>#VALUE!</v>
      </c>
      <c r="G249" s="43" t="e">
        <f t="shared" si="51"/>
        <v>#VALUE!</v>
      </c>
      <c r="H249" s="43" t="e">
        <f t="shared" ca="1" si="52"/>
        <v>#VALUE!</v>
      </c>
      <c r="I249" s="43">
        <f t="shared" si="53"/>
        <v>0</v>
      </c>
      <c r="J249" s="229">
        <f t="shared" si="56"/>
        <v>25</v>
      </c>
      <c r="K249" s="43">
        <f t="shared" si="57"/>
        <v>0</v>
      </c>
      <c r="M249" s="224"/>
      <c r="N249" s="225">
        <f t="shared" si="58"/>
        <v>0</v>
      </c>
      <c r="O249" s="43" t="e">
        <f t="shared" si="59"/>
        <v>#VALUE!</v>
      </c>
      <c r="P249" s="43" t="e">
        <f>ROUND(IF(Preenchimento!$G$39="Tabela Price",R249-Q249,(O248*(1+$AD$35))/($AD$28-C248)),$P$22)</f>
        <v>#VALUE!</v>
      </c>
      <c r="Q249" s="43" t="e">
        <f>IF(Preenchimento!$G$39="Tabela Price",O248*(1+$AD$35)*W249,O248*(1+SAC!$AD$35)*SAC!W249)</f>
        <v>#VALUE!</v>
      </c>
      <c r="R249" s="43" t="e">
        <f>IF(Preenchimento!$G$39="Tabela Price",IF(C249="","",((((((1+W249)^($Q$16-C248))*W249)/((1+W249)^($Q$16-C248)-1))*(O248*(1+$AD$35))))),Q249+P249)</f>
        <v>#VALUE!</v>
      </c>
      <c r="S249" s="43" t="e">
        <f t="shared" ca="1" si="54"/>
        <v>#VALUE!</v>
      </c>
      <c r="T249" s="43">
        <f t="shared" si="60"/>
        <v>0</v>
      </c>
      <c r="U249" s="226">
        <f>TRUNC(T249*Condições!$C$102,2)</f>
        <v>0</v>
      </c>
      <c r="V249" s="82">
        <f t="shared" ca="1" si="61"/>
        <v>2</v>
      </c>
      <c r="W249" s="231" t="str">
        <f t="shared" si="62"/>
        <v/>
      </c>
      <c r="X249" s="210"/>
      <c r="Y249" s="210"/>
      <c r="Z249" s="210"/>
      <c r="AI249" s="114">
        <f t="shared" si="63"/>
        <v>0</v>
      </c>
      <c r="AJ249" s="113"/>
      <c r="AL249" s="477">
        <f t="shared" ca="1" si="64"/>
        <v>0</v>
      </c>
    </row>
    <row r="250" spans="2:38" ht="12" customHeight="1">
      <c r="B250" s="222">
        <f ca="1">Fixa!B250</f>
        <v>53037</v>
      </c>
      <c r="C250" s="223" t="str">
        <f>Fixa!C250</f>
        <v/>
      </c>
      <c r="D250" s="43" t="e">
        <f t="shared" si="55"/>
        <v>#VALUE!</v>
      </c>
      <c r="E250" s="43" t="e">
        <f t="shared" si="49"/>
        <v>#VALUE!</v>
      </c>
      <c r="F250" s="43" t="e">
        <f t="shared" si="50"/>
        <v>#VALUE!</v>
      </c>
      <c r="G250" s="43" t="e">
        <f t="shared" si="51"/>
        <v>#VALUE!</v>
      </c>
      <c r="H250" s="43" t="e">
        <f t="shared" ca="1" si="52"/>
        <v>#VALUE!</v>
      </c>
      <c r="I250" s="43">
        <f t="shared" si="53"/>
        <v>0</v>
      </c>
      <c r="J250" s="229">
        <f t="shared" si="56"/>
        <v>25</v>
      </c>
      <c r="K250" s="43">
        <f t="shared" si="57"/>
        <v>0</v>
      </c>
      <c r="M250" s="224"/>
      <c r="N250" s="225">
        <f t="shared" si="58"/>
        <v>0</v>
      </c>
      <c r="O250" s="43" t="e">
        <f t="shared" si="59"/>
        <v>#VALUE!</v>
      </c>
      <c r="P250" s="43" t="e">
        <f>ROUND(IF(Preenchimento!$G$39="Tabela Price",R250-Q250,(O249*(1+$AD$35))/($AD$28-C249)),$P$22)</f>
        <v>#VALUE!</v>
      </c>
      <c r="Q250" s="43" t="e">
        <f>IF(Preenchimento!$G$39="Tabela Price",O249*(1+$AD$35)*W250,O249*(1+SAC!$AD$35)*SAC!W250)</f>
        <v>#VALUE!</v>
      </c>
      <c r="R250" s="43" t="e">
        <f>IF(Preenchimento!$G$39="Tabela Price",IF(C250="","",((((((1+W250)^($Q$16-C249))*W250)/((1+W250)^($Q$16-C249)-1))*(O249*(1+$AD$35))))),Q250+P250)</f>
        <v>#VALUE!</v>
      </c>
      <c r="S250" s="43" t="e">
        <f t="shared" ca="1" si="54"/>
        <v>#VALUE!</v>
      </c>
      <c r="T250" s="43">
        <f t="shared" si="60"/>
        <v>0</v>
      </c>
      <c r="U250" s="226">
        <f>TRUNC(T250*Condições!$C$102,2)</f>
        <v>0</v>
      </c>
      <c r="V250" s="82">
        <f t="shared" ca="1" si="61"/>
        <v>3</v>
      </c>
      <c r="W250" s="231" t="str">
        <f t="shared" si="62"/>
        <v/>
      </c>
      <c r="X250" s="210"/>
      <c r="Y250" s="210"/>
      <c r="Z250" s="210"/>
      <c r="AI250" s="114">
        <f t="shared" si="63"/>
        <v>0</v>
      </c>
      <c r="AJ250" s="113"/>
      <c r="AL250" s="477">
        <f t="shared" ca="1" si="64"/>
        <v>0</v>
      </c>
    </row>
    <row r="251" spans="2:38" ht="12" customHeight="1">
      <c r="B251" s="222">
        <f ca="1">Fixa!B251</f>
        <v>53068</v>
      </c>
      <c r="C251" s="223" t="str">
        <f>Fixa!C251</f>
        <v/>
      </c>
      <c r="D251" s="43" t="e">
        <f t="shared" si="55"/>
        <v>#VALUE!</v>
      </c>
      <c r="E251" s="43" t="e">
        <f t="shared" si="49"/>
        <v>#VALUE!</v>
      </c>
      <c r="F251" s="43" t="e">
        <f t="shared" si="50"/>
        <v>#VALUE!</v>
      </c>
      <c r="G251" s="43" t="e">
        <f t="shared" si="51"/>
        <v>#VALUE!</v>
      </c>
      <c r="H251" s="43" t="e">
        <f t="shared" ca="1" si="52"/>
        <v>#VALUE!</v>
      </c>
      <c r="I251" s="43">
        <f t="shared" si="53"/>
        <v>0</v>
      </c>
      <c r="J251" s="229">
        <f t="shared" si="56"/>
        <v>25</v>
      </c>
      <c r="K251" s="43">
        <f t="shared" si="57"/>
        <v>0</v>
      </c>
      <c r="M251" s="224"/>
      <c r="N251" s="225">
        <f t="shared" si="58"/>
        <v>0</v>
      </c>
      <c r="O251" s="43" t="e">
        <f t="shared" si="59"/>
        <v>#VALUE!</v>
      </c>
      <c r="P251" s="43" t="e">
        <f>ROUND(IF(Preenchimento!$G$39="Tabela Price",R251-Q251,(O250*(1+$AD$35))/($AD$28-C250)),$P$22)</f>
        <v>#VALUE!</v>
      </c>
      <c r="Q251" s="43" t="e">
        <f>IF(Preenchimento!$G$39="Tabela Price",O250*(1+$AD$35)*W251,O250*(1+SAC!$AD$35)*SAC!W251)</f>
        <v>#VALUE!</v>
      </c>
      <c r="R251" s="43" t="e">
        <f>IF(Preenchimento!$G$39="Tabela Price",IF(C251="","",((((((1+W251)^($Q$16-C250))*W251)/((1+W251)^($Q$16-C250)-1))*(O250*(1+$AD$35))))),Q251+P251)</f>
        <v>#VALUE!</v>
      </c>
      <c r="S251" s="43" t="e">
        <f t="shared" ca="1" si="54"/>
        <v>#VALUE!</v>
      </c>
      <c r="T251" s="43">
        <f t="shared" si="60"/>
        <v>0</v>
      </c>
      <c r="U251" s="226">
        <f>TRUNC(T251*Condições!$C$102,2)</f>
        <v>0</v>
      </c>
      <c r="V251" s="82">
        <f t="shared" ca="1" si="61"/>
        <v>4</v>
      </c>
      <c r="W251" s="231" t="str">
        <f t="shared" si="62"/>
        <v/>
      </c>
      <c r="X251" s="210"/>
      <c r="Y251" s="210"/>
      <c r="Z251" s="210"/>
      <c r="AI251" s="114">
        <f t="shared" si="63"/>
        <v>0</v>
      </c>
      <c r="AJ251" s="113"/>
      <c r="AL251" s="477">
        <f t="shared" ca="1" si="64"/>
        <v>0</v>
      </c>
    </row>
    <row r="252" spans="2:38" ht="12" customHeight="1">
      <c r="B252" s="222">
        <f ca="1">Fixa!B252</f>
        <v>53098</v>
      </c>
      <c r="C252" s="223" t="str">
        <f>Fixa!C252</f>
        <v/>
      </c>
      <c r="D252" s="43" t="e">
        <f t="shared" si="55"/>
        <v>#VALUE!</v>
      </c>
      <c r="E252" s="43" t="e">
        <f t="shared" si="49"/>
        <v>#VALUE!</v>
      </c>
      <c r="F252" s="43" t="e">
        <f t="shared" si="50"/>
        <v>#VALUE!</v>
      </c>
      <c r="G252" s="43" t="e">
        <f t="shared" si="51"/>
        <v>#VALUE!</v>
      </c>
      <c r="H252" s="43" t="e">
        <f t="shared" ca="1" si="52"/>
        <v>#VALUE!</v>
      </c>
      <c r="I252" s="43">
        <f t="shared" si="53"/>
        <v>0</v>
      </c>
      <c r="J252" s="229">
        <f t="shared" si="56"/>
        <v>25</v>
      </c>
      <c r="K252" s="43">
        <f t="shared" si="57"/>
        <v>0</v>
      </c>
      <c r="M252" s="224"/>
      <c r="N252" s="225">
        <f t="shared" si="58"/>
        <v>0</v>
      </c>
      <c r="O252" s="43" t="e">
        <f t="shared" si="59"/>
        <v>#VALUE!</v>
      </c>
      <c r="P252" s="43" t="e">
        <f>ROUND(IF(Preenchimento!$G$39="Tabela Price",R252-Q252,(O251*(1+$AD$35))/($AD$28-C251)),$P$22)</f>
        <v>#VALUE!</v>
      </c>
      <c r="Q252" s="43" t="e">
        <f>IF(Preenchimento!$G$39="Tabela Price",O251*(1+$AD$35)*W252,O251*(1+SAC!$AD$35)*SAC!W252)</f>
        <v>#VALUE!</v>
      </c>
      <c r="R252" s="43" t="e">
        <f>IF(Preenchimento!$G$39="Tabela Price",IF(C252="","",((((((1+W252)^($Q$16-C251))*W252)/((1+W252)^($Q$16-C251)-1))*(O251*(1+$AD$35))))),Q252+P252)</f>
        <v>#VALUE!</v>
      </c>
      <c r="S252" s="43" t="e">
        <f t="shared" ca="1" si="54"/>
        <v>#VALUE!</v>
      </c>
      <c r="T252" s="43">
        <f t="shared" si="60"/>
        <v>0</v>
      </c>
      <c r="U252" s="226">
        <f>TRUNC(T252*Condições!$C$102,2)</f>
        <v>0</v>
      </c>
      <c r="V252" s="82">
        <f t="shared" ca="1" si="61"/>
        <v>5</v>
      </c>
      <c r="W252" s="231" t="str">
        <f t="shared" si="62"/>
        <v/>
      </c>
      <c r="X252" s="210"/>
      <c r="Y252" s="210"/>
      <c r="Z252" s="210"/>
      <c r="AI252" s="114">
        <f t="shared" si="63"/>
        <v>0</v>
      </c>
      <c r="AJ252" s="113"/>
      <c r="AL252" s="477">
        <f t="shared" ca="1" si="64"/>
        <v>0</v>
      </c>
    </row>
    <row r="253" spans="2:38" ht="12" customHeight="1">
      <c r="B253" s="222">
        <f ca="1">Fixa!B253</f>
        <v>53129</v>
      </c>
      <c r="C253" s="223" t="str">
        <f>Fixa!C253</f>
        <v/>
      </c>
      <c r="D253" s="43" t="e">
        <f t="shared" si="55"/>
        <v>#VALUE!</v>
      </c>
      <c r="E253" s="43" t="e">
        <f t="shared" si="49"/>
        <v>#VALUE!</v>
      </c>
      <c r="F253" s="43" t="e">
        <f t="shared" si="50"/>
        <v>#VALUE!</v>
      </c>
      <c r="G253" s="43" t="e">
        <f t="shared" si="51"/>
        <v>#VALUE!</v>
      </c>
      <c r="H253" s="43" t="e">
        <f t="shared" ca="1" si="52"/>
        <v>#VALUE!</v>
      </c>
      <c r="I253" s="43">
        <f t="shared" si="53"/>
        <v>0</v>
      </c>
      <c r="J253" s="229">
        <f t="shared" si="56"/>
        <v>25</v>
      </c>
      <c r="K253" s="43">
        <f t="shared" si="57"/>
        <v>0</v>
      </c>
      <c r="M253" s="224"/>
      <c r="N253" s="225">
        <f t="shared" si="58"/>
        <v>0</v>
      </c>
      <c r="O253" s="43" t="e">
        <f t="shared" si="59"/>
        <v>#VALUE!</v>
      </c>
      <c r="P253" s="43" t="e">
        <f>ROUND(IF(Preenchimento!$G$39="Tabela Price",R253-Q253,(O252*(1+$AD$35))/($AD$28-C252)),$P$22)</f>
        <v>#VALUE!</v>
      </c>
      <c r="Q253" s="43" t="e">
        <f>IF(Preenchimento!$G$39="Tabela Price",O252*(1+$AD$35)*W253,O252*(1+SAC!$AD$35)*SAC!W253)</f>
        <v>#VALUE!</v>
      </c>
      <c r="R253" s="43" t="e">
        <f>IF(Preenchimento!$G$39="Tabela Price",IF(C253="","",((((((1+W253)^($Q$16-C252))*W253)/((1+W253)^($Q$16-C252)-1))*(O252*(1+$AD$35))))),Q253+P253)</f>
        <v>#VALUE!</v>
      </c>
      <c r="S253" s="43" t="e">
        <f t="shared" ca="1" si="54"/>
        <v>#VALUE!</v>
      </c>
      <c r="T253" s="43">
        <f t="shared" si="60"/>
        <v>0</v>
      </c>
      <c r="U253" s="226">
        <f>TRUNC(T253*Condições!$C$102,2)</f>
        <v>0</v>
      </c>
      <c r="V253" s="82">
        <f t="shared" ca="1" si="61"/>
        <v>6</v>
      </c>
      <c r="W253" s="231" t="str">
        <f t="shared" si="62"/>
        <v/>
      </c>
      <c r="X253" s="210"/>
      <c r="Y253" s="210"/>
      <c r="Z253" s="210"/>
      <c r="AI253" s="114">
        <f t="shared" si="63"/>
        <v>0</v>
      </c>
      <c r="AJ253" s="113"/>
      <c r="AL253" s="477">
        <f t="shared" ca="1" si="64"/>
        <v>0</v>
      </c>
    </row>
    <row r="254" spans="2:38" ht="12" customHeight="1">
      <c r="B254" s="222">
        <f ca="1">Fixa!B254</f>
        <v>53159</v>
      </c>
      <c r="C254" s="223" t="str">
        <f>Fixa!C254</f>
        <v/>
      </c>
      <c r="D254" s="43" t="e">
        <f t="shared" si="55"/>
        <v>#VALUE!</v>
      </c>
      <c r="E254" s="43" t="e">
        <f t="shared" si="49"/>
        <v>#VALUE!</v>
      </c>
      <c r="F254" s="43" t="e">
        <f t="shared" si="50"/>
        <v>#VALUE!</v>
      </c>
      <c r="G254" s="43" t="e">
        <f t="shared" si="51"/>
        <v>#VALUE!</v>
      </c>
      <c r="H254" s="43" t="e">
        <f t="shared" ca="1" si="52"/>
        <v>#VALUE!</v>
      </c>
      <c r="I254" s="43">
        <f t="shared" si="53"/>
        <v>0</v>
      </c>
      <c r="J254" s="229">
        <f t="shared" si="56"/>
        <v>25</v>
      </c>
      <c r="K254" s="43">
        <f t="shared" si="57"/>
        <v>0</v>
      </c>
      <c r="M254" s="224"/>
      <c r="N254" s="225">
        <f t="shared" si="58"/>
        <v>0</v>
      </c>
      <c r="O254" s="43" t="e">
        <f t="shared" si="59"/>
        <v>#VALUE!</v>
      </c>
      <c r="P254" s="43" t="e">
        <f>ROUND(IF(Preenchimento!$G$39="Tabela Price",R254-Q254,(O253*(1+$AD$35))/($AD$28-C253)),$P$22)</f>
        <v>#VALUE!</v>
      </c>
      <c r="Q254" s="43" t="e">
        <f>IF(Preenchimento!$G$39="Tabela Price",O253*(1+$AD$35)*W254,O253*(1+SAC!$AD$35)*SAC!W254)</f>
        <v>#VALUE!</v>
      </c>
      <c r="R254" s="43" t="e">
        <f>IF(Preenchimento!$G$39="Tabela Price",IF(C254="","",((((((1+W254)^($Q$16-C253))*W254)/((1+W254)^($Q$16-C253)-1))*(O253*(1+$AD$35))))),Q254+P254)</f>
        <v>#VALUE!</v>
      </c>
      <c r="S254" s="43" t="e">
        <f t="shared" ca="1" si="54"/>
        <v>#VALUE!</v>
      </c>
      <c r="T254" s="43">
        <f t="shared" si="60"/>
        <v>0</v>
      </c>
      <c r="U254" s="226">
        <f>TRUNC(T254*Condições!$C$102,2)</f>
        <v>0</v>
      </c>
      <c r="V254" s="82">
        <f t="shared" ca="1" si="61"/>
        <v>7</v>
      </c>
      <c r="W254" s="231" t="str">
        <f t="shared" si="62"/>
        <v/>
      </c>
      <c r="X254" s="210"/>
      <c r="Y254" s="210"/>
      <c r="Z254" s="210"/>
      <c r="AI254" s="114">
        <f t="shared" si="63"/>
        <v>0</v>
      </c>
      <c r="AJ254" s="113"/>
      <c r="AL254" s="477">
        <f t="shared" ca="1" si="64"/>
        <v>0</v>
      </c>
    </row>
    <row r="255" spans="2:38" ht="12" customHeight="1">
      <c r="B255" s="222">
        <f ca="1">Fixa!B255</f>
        <v>53190</v>
      </c>
      <c r="C255" s="223" t="str">
        <f>Fixa!C255</f>
        <v/>
      </c>
      <c r="D255" s="43" t="e">
        <f t="shared" si="55"/>
        <v>#VALUE!</v>
      </c>
      <c r="E255" s="43" t="e">
        <f t="shared" si="49"/>
        <v>#VALUE!</v>
      </c>
      <c r="F255" s="43" t="e">
        <f t="shared" si="50"/>
        <v>#VALUE!</v>
      </c>
      <c r="G255" s="43" t="e">
        <f t="shared" si="51"/>
        <v>#VALUE!</v>
      </c>
      <c r="H255" s="43" t="e">
        <f t="shared" ca="1" si="52"/>
        <v>#VALUE!</v>
      </c>
      <c r="I255" s="43">
        <f t="shared" si="53"/>
        <v>0</v>
      </c>
      <c r="J255" s="229">
        <f t="shared" si="56"/>
        <v>25</v>
      </c>
      <c r="K255" s="43">
        <f t="shared" si="57"/>
        <v>0</v>
      </c>
      <c r="M255" s="224"/>
      <c r="N255" s="225">
        <f t="shared" si="58"/>
        <v>0</v>
      </c>
      <c r="O255" s="43" t="e">
        <f t="shared" si="59"/>
        <v>#VALUE!</v>
      </c>
      <c r="P255" s="43" t="e">
        <f>ROUND(IF(Preenchimento!$G$39="Tabela Price",R255-Q255,(O254*(1+$AD$35))/($AD$28-C254)),$P$22)</f>
        <v>#VALUE!</v>
      </c>
      <c r="Q255" s="43" t="e">
        <f>IF(Preenchimento!$G$39="Tabela Price",O254*(1+$AD$35)*W255,O254*(1+SAC!$AD$35)*SAC!W255)</f>
        <v>#VALUE!</v>
      </c>
      <c r="R255" s="43" t="e">
        <f>IF(Preenchimento!$G$39="Tabela Price",IF(C255="","",((((((1+W255)^($Q$16-C254))*W255)/((1+W255)^($Q$16-C254)-1))*(O254*(1+$AD$35))))),Q255+P255)</f>
        <v>#VALUE!</v>
      </c>
      <c r="S255" s="43" t="e">
        <f t="shared" ca="1" si="54"/>
        <v>#VALUE!</v>
      </c>
      <c r="T255" s="43">
        <f t="shared" si="60"/>
        <v>0</v>
      </c>
      <c r="U255" s="226">
        <f>TRUNC(T255*Condições!$C$102,2)</f>
        <v>0</v>
      </c>
      <c r="V255" s="82">
        <f t="shared" ca="1" si="61"/>
        <v>8</v>
      </c>
      <c r="W255" s="231" t="str">
        <f t="shared" si="62"/>
        <v/>
      </c>
      <c r="X255" s="210"/>
      <c r="Y255" s="210"/>
      <c r="Z255" s="210"/>
      <c r="AI255" s="114">
        <f t="shared" si="63"/>
        <v>0</v>
      </c>
      <c r="AJ255" s="113"/>
      <c r="AL255" s="477">
        <f t="shared" ca="1" si="64"/>
        <v>0</v>
      </c>
    </row>
    <row r="256" spans="2:38" ht="12" customHeight="1">
      <c r="B256" s="222">
        <f ca="1">Fixa!B256</f>
        <v>53221</v>
      </c>
      <c r="C256" s="223" t="str">
        <f>Fixa!C256</f>
        <v/>
      </c>
      <c r="D256" s="43" t="e">
        <f t="shared" si="55"/>
        <v>#VALUE!</v>
      </c>
      <c r="E256" s="43" t="e">
        <f t="shared" si="49"/>
        <v>#VALUE!</v>
      </c>
      <c r="F256" s="43" t="e">
        <f t="shared" si="50"/>
        <v>#VALUE!</v>
      </c>
      <c r="G256" s="43" t="e">
        <f t="shared" si="51"/>
        <v>#VALUE!</v>
      </c>
      <c r="H256" s="43" t="e">
        <f t="shared" ca="1" si="52"/>
        <v>#VALUE!</v>
      </c>
      <c r="I256" s="43">
        <f t="shared" si="53"/>
        <v>0</v>
      </c>
      <c r="J256" s="229">
        <f t="shared" si="56"/>
        <v>25</v>
      </c>
      <c r="K256" s="43">
        <f t="shared" si="57"/>
        <v>0</v>
      </c>
      <c r="M256" s="224"/>
      <c r="N256" s="225">
        <f t="shared" si="58"/>
        <v>0</v>
      </c>
      <c r="O256" s="43" t="e">
        <f t="shared" si="59"/>
        <v>#VALUE!</v>
      </c>
      <c r="P256" s="43" t="e">
        <f>ROUND(IF(Preenchimento!$G$39="Tabela Price",R256-Q256,(O255*(1+$AD$35))/($AD$28-C255)),$P$22)</f>
        <v>#VALUE!</v>
      </c>
      <c r="Q256" s="43" t="e">
        <f>IF(Preenchimento!$G$39="Tabela Price",O255*(1+$AD$35)*W256,O255*(1+SAC!$AD$35)*SAC!W256)</f>
        <v>#VALUE!</v>
      </c>
      <c r="R256" s="43" t="e">
        <f>IF(Preenchimento!$G$39="Tabela Price",IF(C256="","",((((((1+W256)^($Q$16-C255))*W256)/((1+W256)^($Q$16-C255)-1))*(O255*(1+$AD$35))))),Q256+P256)</f>
        <v>#VALUE!</v>
      </c>
      <c r="S256" s="43" t="e">
        <f t="shared" ca="1" si="54"/>
        <v>#VALUE!</v>
      </c>
      <c r="T256" s="43">
        <f t="shared" si="60"/>
        <v>0</v>
      </c>
      <c r="U256" s="226">
        <f>TRUNC(T256*Condições!$C$102,2)</f>
        <v>0</v>
      </c>
      <c r="V256" s="82">
        <f t="shared" ca="1" si="61"/>
        <v>9</v>
      </c>
      <c r="W256" s="231" t="str">
        <f t="shared" si="62"/>
        <v/>
      </c>
      <c r="X256" s="210"/>
      <c r="Y256" s="210"/>
      <c r="Z256" s="210"/>
      <c r="AI256" s="114">
        <f t="shared" si="63"/>
        <v>0</v>
      </c>
      <c r="AJ256" s="113"/>
      <c r="AL256" s="477">
        <f t="shared" ca="1" si="64"/>
        <v>0</v>
      </c>
    </row>
    <row r="257" spans="2:38" ht="12" customHeight="1">
      <c r="B257" s="222">
        <f ca="1">Fixa!B257</f>
        <v>53251</v>
      </c>
      <c r="C257" s="223" t="str">
        <f>Fixa!C257</f>
        <v/>
      </c>
      <c r="D257" s="43" t="e">
        <f t="shared" si="55"/>
        <v>#VALUE!</v>
      </c>
      <c r="E257" s="43" t="e">
        <f t="shared" si="49"/>
        <v>#VALUE!</v>
      </c>
      <c r="F257" s="43" t="e">
        <f t="shared" si="50"/>
        <v>#VALUE!</v>
      </c>
      <c r="G257" s="43" t="e">
        <f t="shared" si="51"/>
        <v>#VALUE!</v>
      </c>
      <c r="H257" s="43" t="e">
        <f t="shared" ca="1" si="52"/>
        <v>#VALUE!</v>
      </c>
      <c r="I257" s="43">
        <f t="shared" si="53"/>
        <v>0</v>
      </c>
      <c r="J257" s="229">
        <f t="shared" si="56"/>
        <v>25</v>
      </c>
      <c r="K257" s="43">
        <f t="shared" si="57"/>
        <v>0</v>
      </c>
      <c r="M257" s="224"/>
      <c r="N257" s="225">
        <f t="shared" si="58"/>
        <v>0</v>
      </c>
      <c r="O257" s="43" t="e">
        <f t="shared" si="59"/>
        <v>#VALUE!</v>
      </c>
      <c r="P257" s="43" t="e">
        <f>ROUND(IF(Preenchimento!$G$39="Tabela Price",R257-Q257,(O256*(1+$AD$35))/($AD$28-C256)),$P$22)</f>
        <v>#VALUE!</v>
      </c>
      <c r="Q257" s="43" t="e">
        <f>IF(Preenchimento!$G$39="Tabela Price",O256*(1+$AD$35)*W257,O256*(1+SAC!$AD$35)*SAC!W257)</f>
        <v>#VALUE!</v>
      </c>
      <c r="R257" s="43" t="e">
        <f>IF(Preenchimento!$G$39="Tabela Price",IF(C257="","",((((((1+W257)^($Q$16-C256))*W257)/((1+W257)^($Q$16-C256)-1))*(O256*(1+$AD$35))))),Q257+P257)</f>
        <v>#VALUE!</v>
      </c>
      <c r="S257" s="43" t="e">
        <f t="shared" ca="1" si="54"/>
        <v>#VALUE!</v>
      </c>
      <c r="T257" s="43">
        <f t="shared" si="60"/>
        <v>0</v>
      </c>
      <c r="U257" s="226">
        <f>TRUNC(T257*Condições!$C$102,2)</f>
        <v>0</v>
      </c>
      <c r="V257" s="82">
        <f t="shared" ca="1" si="61"/>
        <v>10</v>
      </c>
      <c r="W257" s="231" t="str">
        <f t="shared" si="62"/>
        <v/>
      </c>
      <c r="X257" s="210"/>
      <c r="Y257" s="210"/>
      <c r="Z257" s="210"/>
      <c r="AI257" s="114">
        <f t="shared" si="63"/>
        <v>0</v>
      </c>
      <c r="AJ257" s="113"/>
      <c r="AL257" s="477">
        <f t="shared" ca="1" si="64"/>
        <v>0</v>
      </c>
    </row>
    <row r="258" spans="2:38" ht="12" customHeight="1">
      <c r="B258" s="222">
        <f ca="1">Fixa!B258</f>
        <v>53282</v>
      </c>
      <c r="C258" s="223" t="str">
        <f>Fixa!C258</f>
        <v/>
      </c>
      <c r="D258" s="43" t="e">
        <f t="shared" si="55"/>
        <v>#VALUE!</v>
      </c>
      <c r="E258" s="43" t="e">
        <f t="shared" si="49"/>
        <v>#VALUE!</v>
      </c>
      <c r="F258" s="43" t="e">
        <f t="shared" si="50"/>
        <v>#VALUE!</v>
      </c>
      <c r="G258" s="43" t="e">
        <f t="shared" si="51"/>
        <v>#VALUE!</v>
      </c>
      <c r="H258" s="43" t="e">
        <f t="shared" ca="1" si="52"/>
        <v>#VALUE!</v>
      </c>
      <c r="I258" s="43">
        <f t="shared" si="53"/>
        <v>0</v>
      </c>
      <c r="J258" s="229">
        <f t="shared" si="56"/>
        <v>25</v>
      </c>
      <c r="K258" s="43">
        <f t="shared" si="57"/>
        <v>0</v>
      </c>
      <c r="M258" s="224"/>
      <c r="N258" s="225">
        <f t="shared" si="58"/>
        <v>0</v>
      </c>
      <c r="O258" s="43" t="e">
        <f t="shared" si="59"/>
        <v>#VALUE!</v>
      </c>
      <c r="P258" s="43" t="e">
        <f>ROUND(IF(Preenchimento!$G$39="Tabela Price",R258-Q258,(O257*(1+$AD$35))/($AD$28-C257)),$P$22)</f>
        <v>#VALUE!</v>
      </c>
      <c r="Q258" s="43" t="e">
        <f>IF(Preenchimento!$G$39="Tabela Price",O257*(1+$AD$35)*W258,O257*(1+SAC!$AD$35)*SAC!W258)</f>
        <v>#VALUE!</v>
      </c>
      <c r="R258" s="43" t="e">
        <f>IF(Preenchimento!$G$39="Tabela Price",IF(C258="","",((((((1+W258)^($Q$16-C257))*W258)/((1+W258)^($Q$16-C257)-1))*(O257*(1+$AD$35))))),Q258+P258)</f>
        <v>#VALUE!</v>
      </c>
      <c r="S258" s="43" t="e">
        <f t="shared" ca="1" si="54"/>
        <v>#VALUE!</v>
      </c>
      <c r="T258" s="43">
        <f t="shared" si="60"/>
        <v>0</v>
      </c>
      <c r="U258" s="226">
        <f>TRUNC(T258*Condições!$C$102,2)</f>
        <v>0</v>
      </c>
      <c r="V258" s="82">
        <f t="shared" ca="1" si="61"/>
        <v>11</v>
      </c>
      <c r="W258" s="231" t="str">
        <f t="shared" si="62"/>
        <v/>
      </c>
      <c r="X258" s="210"/>
      <c r="Y258" s="210"/>
      <c r="Z258" s="210"/>
      <c r="AI258" s="114">
        <f t="shared" si="63"/>
        <v>0</v>
      </c>
      <c r="AJ258" s="113"/>
      <c r="AL258" s="477">
        <f t="shared" ca="1" si="64"/>
        <v>0</v>
      </c>
    </row>
    <row r="259" spans="2:38" ht="12" customHeight="1">
      <c r="B259" s="222">
        <f ca="1">Fixa!B259</f>
        <v>53312</v>
      </c>
      <c r="C259" s="223" t="str">
        <f>Fixa!C259</f>
        <v/>
      </c>
      <c r="D259" s="43" t="e">
        <f t="shared" si="55"/>
        <v>#VALUE!</v>
      </c>
      <c r="E259" s="43" t="e">
        <f t="shared" si="49"/>
        <v>#VALUE!</v>
      </c>
      <c r="F259" s="43" t="e">
        <f t="shared" si="50"/>
        <v>#VALUE!</v>
      </c>
      <c r="G259" s="43" t="e">
        <f t="shared" si="51"/>
        <v>#VALUE!</v>
      </c>
      <c r="H259" s="43" t="e">
        <f t="shared" ca="1" si="52"/>
        <v>#VALUE!</v>
      </c>
      <c r="I259" s="43">
        <f t="shared" si="53"/>
        <v>0</v>
      </c>
      <c r="J259" s="229">
        <f t="shared" si="56"/>
        <v>25</v>
      </c>
      <c r="K259" s="43">
        <f t="shared" si="57"/>
        <v>0</v>
      </c>
      <c r="M259" s="224"/>
      <c r="N259" s="225">
        <f t="shared" si="58"/>
        <v>0</v>
      </c>
      <c r="O259" s="43" t="e">
        <f t="shared" si="59"/>
        <v>#VALUE!</v>
      </c>
      <c r="P259" s="43" t="e">
        <f>ROUND(IF(Preenchimento!$G$39="Tabela Price",R259-Q259,(O258*(1+$AD$35))/($AD$28-C258)),$P$22)</f>
        <v>#VALUE!</v>
      </c>
      <c r="Q259" s="43" t="e">
        <f>IF(Preenchimento!$G$39="Tabela Price",O258*(1+$AD$35)*W259,O258*(1+SAC!$AD$35)*SAC!W259)</f>
        <v>#VALUE!</v>
      </c>
      <c r="R259" s="43" t="e">
        <f>IF(Preenchimento!$G$39="Tabela Price",IF(C259="","",((((((1+W259)^($Q$16-C258))*W259)/((1+W259)^($Q$16-C258)-1))*(O258*(1+$AD$35))))),Q259+P259)</f>
        <v>#VALUE!</v>
      </c>
      <c r="S259" s="43" t="e">
        <f t="shared" ca="1" si="54"/>
        <v>#VALUE!</v>
      </c>
      <c r="T259" s="43">
        <f t="shared" si="60"/>
        <v>0</v>
      </c>
      <c r="U259" s="226">
        <f>TRUNC(T259*Condições!$C$102,2)</f>
        <v>0</v>
      </c>
      <c r="V259" s="82">
        <f t="shared" ca="1" si="61"/>
        <v>12</v>
      </c>
      <c r="W259" s="231" t="str">
        <f t="shared" si="62"/>
        <v/>
      </c>
      <c r="X259" s="210"/>
      <c r="Y259" s="210"/>
      <c r="Z259" s="210"/>
      <c r="AI259" s="114">
        <f t="shared" si="63"/>
        <v>0</v>
      </c>
      <c r="AJ259" s="113"/>
      <c r="AL259" s="477">
        <f t="shared" ca="1" si="64"/>
        <v>0</v>
      </c>
    </row>
    <row r="260" spans="2:38" ht="12" customHeight="1">
      <c r="B260" s="222">
        <f ca="1">Fixa!B260</f>
        <v>53343</v>
      </c>
      <c r="C260" s="223" t="str">
        <f>Fixa!C260</f>
        <v/>
      </c>
      <c r="D260" s="43" t="e">
        <f t="shared" si="55"/>
        <v>#VALUE!</v>
      </c>
      <c r="E260" s="43" t="e">
        <f t="shared" si="49"/>
        <v>#VALUE!</v>
      </c>
      <c r="F260" s="43" t="e">
        <f t="shared" si="50"/>
        <v>#VALUE!</v>
      </c>
      <c r="G260" s="43" t="e">
        <f t="shared" si="51"/>
        <v>#VALUE!</v>
      </c>
      <c r="H260" s="43" t="e">
        <f t="shared" ca="1" si="52"/>
        <v>#VALUE!</v>
      </c>
      <c r="I260" s="43">
        <f t="shared" si="53"/>
        <v>0</v>
      </c>
      <c r="J260" s="229">
        <f t="shared" si="56"/>
        <v>25</v>
      </c>
      <c r="K260" s="43">
        <f t="shared" si="57"/>
        <v>0</v>
      </c>
      <c r="M260" s="224"/>
      <c r="N260" s="225">
        <f t="shared" si="58"/>
        <v>0</v>
      </c>
      <c r="O260" s="43" t="e">
        <f t="shared" si="59"/>
        <v>#VALUE!</v>
      </c>
      <c r="P260" s="43" t="e">
        <f>ROUND(IF(Preenchimento!$G$39="Tabela Price",R260-Q260,(O259*(1+$AD$35))/($AD$28-C259)),$P$22)</f>
        <v>#VALUE!</v>
      </c>
      <c r="Q260" s="43" t="e">
        <f>IF(Preenchimento!$G$39="Tabela Price",O259*(1+$AD$35)*W260,O259*(1+SAC!$AD$35)*SAC!W260)</f>
        <v>#VALUE!</v>
      </c>
      <c r="R260" s="43" t="e">
        <f>IF(Preenchimento!$G$39="Tabela Price",IF(C260="","",((((((1+W260)^($Q$16-C259))*W260)/((1+W260)^($Q$16-C259)-1))*(O259*(1+$AD$35))))),Q260+P260)</f>
        <v>#VALUE!</v>
      </c>
      <c r="S260" s="43" t="e">
        <f t="shared" ca="1" si="54"/>
        <v>#VALUE!</v>
      </c>
      <c r="T260" s="43">
        <f t="shared" si="60"/>
        <v>0</v>
      </c>
      <c r="U260" s="226">
        <f>TRUNC(T260*Condições!$C$102,2)</f>
        <v>0</v>
      </c>
      <c r="V260" s="82">
        <f t="shared" ca="1" si="61"/>
        <v>1</v>
      </c>
      <c r="W260" s="231" t="str">
        <f t="shared" si="62"/>
        <v/>
      </c>
      <c r="X260" s="210"/>
      <c r="Y260" s="210"/>
      <c r="Z260" s="210"/>
      <c r="AI260" s="114">
        <f t="shared" si="63"/>
        <v>0</v>
      </c>
      <c r="AJ260" s="113"/>
      <c r="AL260" s="477">
        <f t="shared" ca="1" si="64"/>
        <v>0</v>
      </c>
    </row>
    <row r="261" spans="2:38" ht="12" customHeight="1">
      <c r="B261" s="222">
        <f ca="1">Fixa!B261</f>
        <v>53374</v>
      </c>
      <c r="C261" s="223" t="str">
        <f>Fixa!C261</f>
        <v/>
      </c>
      <c r="D261" s="43" t="e">
        <f t="shared" si="55"/>
        <v>#VALUE!</v>
      </c>
      <c r="E261" s="43" t="e">
        <f t="shared" si="49"/>
        <v>#VALUE!</v>
      </c>
      <c r="F261" s="43" t="e">
        <f t="shared" si="50"/>
        <v>#VALUE!</v>
      </c>
      <c r="G261" s="43" t="e">
        <f t="shared" si="51"/>
        <v>#VALUE!</v>
      </c>
      <c r="H261" s="43" t="e">
        <f t="shared" ca="1" si="52"/>
        <v>#VALUE!</v>
      </c>
      <c r="I261" s="43">
        <f t="shared" si="53"/>
        <v>0</v>
      </c>
      <c r="J261" s="229">
        <f t="shared" si="56"/>
        <v>25</v>
      </c>
      <c r="K261" s="43">
        <f t="shared" si="57"/>
        <v>0</v>
      </c>
      <c r="M261" s="224"/>
      <c r="N261" s="225">
        <f t="shared" si="58"/>
        <v>0</v>
      </c>
      <c r="O261" s="43" t="e">
        <f t="shared" si="59"/>
        <v>#VALUE!</v>
      </c>
      <c r="P261" s="43" t="e">
        <f>ROUND(IF(Preenchimento!$G$39="Tabela Price",R261-Q261,(O260*(1+$AD$35))/($AD$28-C260)),$P$22)</f>
        <v>#VALUE!</v>
      </c>
      <c r="Q261" s="43" t="e">
        <f>IF(Preenchimento!$G$39="Tabela Price",O260*(1+$AD$35)*W261,O260*(1+SAC!$AD$35)*SAC!W261)</f>
        <v>#VALUE!</v>
      </c>
      <c r="R261" s="43" t="e">
        <f>IF(Preenchimento!$G$39="Tabela Price",IF(C261="","",((((((1+W261)^($Q$16-C260))*W261)/((1+W261)^($Q$16-C260)-1))*(O260*(1+$AD$35))))),Q261+P261)</f>
        <v>#VALUE!</v>
      </c>
      <c r="S261" s="43" t="e">
        <f t="shared" ca="1" si="54"/>
        <v>#VALUE!</v>
      </c>
      <c r="T261" s="43">
        <f t="shared" si="60"/>
        <v>0</v>
      </c>
      <c r="U261" s="226">
        <f>TRUNC(T261*Condições!$C$102,2)</f>
        <v>0</v>
      </c>
      <c r="V261" s="82">
        <f t="shared" ca="1" si="61"/>
        <v>2</v>
      </c>
      <c r="W261" s="231" t="str">
        <f t="shared" si="62"/>
        <v/>
      </c>
      <c r="X261" s="210"/>
      <c r="Y261" s="210"/>
      <c r="Z261" s="210"/>
      <c r="AI261" s="114">
        <f t="shared" si="63"/>
        <v>0</v>
      </c>
      <c r="AJ261" s="113"/>
      <c r="AL261" s="477">
        <f t="shared" ca="1" si="64"/>
        <v>0</v>
      </c>
    </row>
    <row r="262" spans="2:38" ht="12" customHeight="1">
      <c r="B262" s="222">
        <f ca="1">Fixa!B262</f>
        <v>53402</v>
      </c>
      <c r="C262" s="223" t="str">
        <f>Fixa!C262</f>
        <v/>
      </c>
      <c r="D262" s="43" t="e">
        <f t="shared" si="55"/>
        <v>#VALUE!</v>
      </c>
      <c r="E262" s="43" t="e">
        <f t="shared" si="49"/>
        <v>#VALUE!</v>
      </c>
      <c r="F262" s="43" t="e">
        <f t="shared" si="50"/>
        <v>#VALUE!</v>
      </c>
      <c r="G262" s="43" t="e">
        <f t="shared" si="51"/>
        <v>#VALUE!</v>
      </c>
      <c r="H262" s="43" t="e">
        <f t="shared" ca="1" si="52"/>
        <v>#VALUE!</v>
      </c>
      <c r="I262" s="43">
        <f t="shared" si="53"/>
        <v>0</v>
      </c>
      <c r="J262" s="229">
        <f t="shared" si="56"/>
        <v>25</v>
      </c>
      <c r="K262" s="43">
        <f t="shared" si="57"/>
        <v>0</v>
      </c>
      <c r="M262" s="224"/>
      <c r="N262" s="225">
        <f t="shared" si="58"/>
        <v>0</v>
      </c>
      <c r="O262" s="43" t="e">
        <f t="shared" si="59"/>
        <v>#VALUE!</v>
      </c>
      <c r="P262" s="43" t="e">
        <f>ROUND(IF(Preenchimento!$G$39="Tabela Price",R262-Q262,(O261*(1+$AD$35))/($AD$28-C261)),$P$22)</f>
        <v>#VALUE!</v>
      </c>
      <c r="Q262" s="43" t="e">
        <f>IF(Preenchimento!$G$39="Tabela Price",O261*(1+$AD$35)*W262,O261*(1+SAC!$AD$35)*SAC!W262)</f>
        <v>#VALUE!</v>
      </c>
      <c r="R262" s="43" t="e">
        <f>IF(Preenchimento!$G$39="Tabela Price",IF(C262="","",((((((1+W262)^($Q$16-C261))*W262)/((1+W262)^($Q$16-C261)-1))*(O261*(1+$AD$35))))),Q262+P262)</f>
        <v>#VALUE!</v>
      </c>
      <c r="S262" s="43" t="e">
        <f t="shared" ca="1" si="54"/>
        <v>#VALUE!</v>
      </c>
      <c r="T262" s="43">
        <f t="shared" si="60"/>
        <v>0</v>
      </c>
      <c r="U262" s="226">
        <f>TRUNC(T262*Condições!$C$102,2)</f>
        <v>0</v>
      </c>
      <c r="V262" s="82">
        <f t="shared" ca="1" si="61"/>
        <v>3</v>
      </c>
      <c r="W262" s="231" t="str">
        <f t="shared" si="62"/>
        <v/>
      </c>
      <c r="X262" s="210"/>
      <c r="Y262" s="210"/>
      <c r="Z262" s="210"/>
      <c r="AI262" s="114">
        <f t="shared" si="63"/>
        <v>0</v>
      </c>
      <c r="AJ262" s="113"/>
      <c r="AL262" s="477">
        <f t="shared" ca="1" si="64"/>
        <v>0</v>
      </c>
    </row>
    <row r="263" spans="2:38" ht="12" customHeight="1">
      <c r="B263" s="222">
        <f ca="1">Fixa!B263</f>
        <v>53433</v>
      </c>
      <c r="C263" s="223" t="str">
        <f>Fixa!C263</f>
        <v/>
      </c>
      <c r="D263" s="43" t="e">
        <f t="shared" si="55"/>
        <v>#VALUE!</v>
      </c>
      <c r="E263" s="43" t="e">
        <f t="shared" si="49"/>
        <v>#VALUE!</v>
      </c>
      <c r="F263" s="43" t="e">
        <f t="shared" si="50"/>
        <v>#VALUE!</v>
      </c>
      <c r="G263" s="43" t="e">
        <f t="shared" si="51"/>
        <v>#VALUE!</v>
      </c>
      <c r="H263" s="43" t="e">
        <f t="shared" ca="1" si="52"/>
        <v>#VALUE!</v>
      </c>
      <c r="I263" s="43">
        <f t="shared" si="53"/>
        <v>0</v>
      </c>
      <c r="J263" s="229">
        <f t="shared" si="56"/>
        <v>25</v>
      </c>
      <c r="K263" s="43">
        <f t="shared" si="57"/>
        <v>0</v>
      </c>
      <c r="M263" s="224"/>
      <c r="N263" s="225">
        <f t="shared" si="58"/>
        <v>0</v>
      </c>
      <c r="O263" s="43" t="e">
        <f t="shared" si="59"/>
        <v>#VALUE!</v>
      </c>
      <c r="P263" s="43" t="e">
        <f>ROUND(IF(Preenchimento!$G$39="Tabela Price",R263-Q263,(O262*(1+$AD$35))/($AD$28-C262)),$P$22)</f>
        <v>#VALUE!</v>
      </c>
      <c r="Q263" s="43" t="e">
        <f>IF(Preenchimento!$G$39="Tabela Price",O262*(1+$AD$35)*W263,O262*(1+SAC!$AD$35)*SAC!W263)</f>
        <v>#VALUE!</v>
      </c>
      <c r="R263" s="43" t="e">
        <f>IF(Preenchimento!$G$39="Tabela Price",IF(C263="","",((((((1+W263)^($Q$16-C262))*W263)/((1+W263)^($Q$16-C262)-1))*(O262*(1+$AD$35))))),Q263+P263)</f>
        <v>#VALUE!</v>
      </c>
      <c r="S263" s="43" t="e">
        <f t="shared" ca="1" si="54"/>
        <v>#VALUE!</v>
      </c>
      <c r="T263" s="43">
        <f t="shared" si="60"/>
        <v>0</v>
      </c>
      <c r="U263" s="226">
        <f>TRUNC(T263*Condições!$C$102,2)</f>
        <v>0</v>
      </c>
      <c r="V263" s="82">
        <f t="shared" ca="1" si="61"/>
        <v>4</v>
      </c>
      <c r="W263" s="231" t="str">
        <f t="shared" si="62"/>
        <v/>
      </c>
      <c r="X263" s="210"/>
      <c r="Y263" s="210"/>
      <c r="Z263" s="210"/>
      <c r="AI263" s="114">
        <f t="shared" si="63"/>
        <v>0</v>
      </c>
      <c r="AJ263" s="113"/>
      <c r="AL263" s="477">
        <f t="shared" ca="1" si="64"/>
        <v>0</v>
      </c>
    </row>
    <row r="264" spans="2:38" ht="12" customHeight="1">
      <c r="B264" s="222">
        <f ca="1">Fixa!B264</f>
        <v>53463</v>
      </c>
      <c r="C264" s="223" t="str">
        <f>Fixa!C264</f>
        <v/>
      </c>
      <c r="D264" s="43" t="e">
        <f t="shared" si="55"/>
        <v>#VALUE!</v>
      </c>
      <c r="E264" s="43" t="e">
        <f t="shared" si="49"/>
        <v>#VALUE!</v>
      </c>
      <c r="F264" s="43" t="e">
        <f t="shared" si="50"/>
        <v>#VALUE!</v>
      </c>
      <c r="G264" s="43" t="e">
        <f t="shared" si="51"/>
        <v>#VALUE!</v>
      </c>
      <c r="H264" s="43" t="e">
        <f t="shared" ca="1" si="52"/>
        <v>#VALUE!</v>
      </c>
      <c r="I264" s="43">
        <f t="shared" si="53"/>
        <v>0</v>
      </c>
      <c r="J264" s="229">
        <f t="shared" si="56"/>
        <v>25</v>
      </c>
      <c r="K264" s="43">
        <f t="shared" si="57"/>
        <v>0</v>
      </c>
      <c r="M264" s="224"/>
      <c r="N264" s="225">
        <f t="shared" si="58"/>
        <v>0</v>
      </c>
      <c r="O264" s="43" t="e">
        <f t="shared" si="59"/>
        <v>#VALUE!</v>
      </c>
      <c r="P264" s="43" t="e">
        <f>ROUND(IF(Preenchimento!$G$39="Tabela Price",R264-Q264,(O263*(1+$AD$35))/($AD$28-C263)),$P$22)</f>
        <v>#VALUE!</v>
      </c>
      <c r="Q264" s="43" t="e">
        <f>IF(Preenchimento!$G$39="Tabela Price",O263*(1+$AD$35)*W264,O263*(1+SAC!$AD$35)*SAC!W264)</f>
        <v>#VALUE!</v>
      </c>
      <c r="R264" s="43" t="e">
        <f>IF(Preenchimento!$G$39="Tabela Price",IF(C264="","",((((((1+W264)^($Q$16-C263))*W264)/((1+W264)^($Q$16-C263)-1))*(O263*(1+$AD$35))))),Q264+P264)</f>
        <v>#VALUE!</v>
      </c>
      <c r="S264" s="43" t="e">
        <f t="shared" ca="1" si="54"/>
        <v>#VALUE!</v>
      </c>
      <c r="T264" s="43">
        <f t="shared" si="60"/>
        <v>0</v>
      </c>
      <c r="U264" s="226">
        <f>TRUNC(T264*Condições!$C$102,2)</f>
        <v>0</v>
      </c>
      <c r="V264" s="82">
        <f t="shared" ca="1" si="61"/>
        <v>5</v>
      </c>
      <c r="W264" s="231" t="str">
        <f t="shared" si="62"/>
        <v/>
      </c>
      <c r="X264" s="210"/>
      <c r="Y264" s="210"/>
      <c r="Z264" s="210"/>
      <c r="AI264" s="114">
        <f t="shared" si="63"/>
        <v>0</v>
      </c>
      <c r="AJ264" s="113"/>
      <c r="AL264" s="477">
        <f t="shared" ca="1" si="64"/>
        <v>0</v>
      </c>
    </row>
    <row r="265" spans="2:38" ht="12" customHeight="1">
      <c r="B265" s="222">
        <f ca="1">Fixa!B265</f>
        <v>53494</v>
      </c>
      <c r="C265" s="223" t="str">
        <f>Fixa!C265</f>
        <v/>
      </c>
      <c r="D265" s="43" t="e">
        <f t="shared" si="55"/>
        <v>#VALUE!</v>
      </c>
      <c r="E265" s="43" t="e">
        <f t="shared" si="49"/>
        <v>#VALUE!</v>
      </c>
      <c r="F265" s="43" t="e">
        <f t="shared" si="50"/>
        <v>#VALUE!</v>
      </c>
      <c r="G265" s="43" t="e">
        <f t="shared" si="51"/>
        <v>#VALUE!</v>
      </c>
      <c r="H265" s="43" t="e">
        <f t="shared" ca="1" si="52"/>
        <v>#VALUE!</v>
      </c>
      <c r="I265" s="43">
        <f t="shared" si="53"/>
        <v>0</v>
      </c>
      <c r="J265" s="229">
        <f t="shared" si="56"/>
        <v>25</v>
      </c>
      <c r="K265" s="43">
        <f t="shared" si="57"/>
        <v>0</v>
      </c>
      <c r="M265" s="224"/>
      <c r="N265" s="225">
        <f t="shared" si="58"/>
        <v>0</v>
      </c>
      <c r="O265" s="43" t="e">
        <f t="shared" si="59"/>
        <v>#VALUE!</v>
      </c>
      <c r="P265" s="43" t="e">
        <f>ROUND(IF(Preenchimento!$G$39="Tabela Price",R265-Q265,(O264*(1+$AD$35))/($AD$28-C264)),$P$22)</f>
        <v>#VALUE!</v>
      </c>
      <c r="Q265" s="43" t="e">
        <f>IF(Preenchimento!$G$39="Tabela Price",O264*(1+$AD$35)*W265,O264*(1+SAC!$AD$35)*SAC!W265)</f>
        <v>#VALUE!</v>
      </c>
      <c r="R265" s="43" t="e">
        <f>IF(Preenchimento!$G$39="Tabela Price",IF(C265="","",((((((1+W265)^($Q$16-C264))*W265)/((1+W265)^($Q$16-C264)-1))*(O264*(1+$AD$35))))),Q265+P265)</f>
        <v>#VALUE!</v>
      </c>
      <c r="S265" s="43" t="e">
        <f t="shared" ca="1" si="54"/>
        <v>#VALUE!</v>
      </c>
      <c r="T265" s="43">
        <f t="shared" si="60"/>
        <v>0</v>
      </c>
      <c r="U265" s="226">
        <f>TRUNC(T265*Condições!$C$102,2)</f>
        <v>0</v>
      </c>
      <c r="V265" s="82">
        <f t="shared" ca="1" si="61"/>
        <v>6</v>
      </c>
      <c r="W265" s="231" t="str">
        <f t="shared" si="62"/>
        <v/>
      </c>
      <c r="X265" s="210"/>
      <c r="Y265" s="210"/>
      <c r="Z265" s="210"/>
      <c r="AI265" s="114">
        <f t="shared" si="63"/>
        <v>0</v>
      </c>
      <c r="AJ265" s="113"/>
      <c r="AL265" s="477">
        <f t="shared" ca="1" si="64"/>
        <v>0</v>
      </c>
    </row>
    <row r="266" spans="2:38">
      <c r="B266" s="222">
        <f ca="1">Fixa!B266</f>
        <v>53524</v>
      </c>
      <c r="C266" s="223" t="str">
        <f>Fixa!C266</f>
        <v/>
      </c>
      <c r="D266" s="43" t="e">
        <f t="shared" si="55"/>
        <v>#VALUE!</v>
      </c>
      <c r="E266" s="43" t="e">
        <f t="shared" si="49"/>
        <v>#VALUE!</v>
      </c>
      <c r="F266" s="43" t="e">
        <f t="shared" si="50"/>
        <v>#VALUE!</v>
      </c>
      <c r="G266" s="43" t="e">
        <f t="shared" si="51"/>
        <v>#VALUE!</v>
      </c>
      <c r="H266" s="43" t="e">
        <f t="shared" ca="1" si="52"/>
        <v>#VALUE!</v>
      </c>
      <c r="I266" s="43">
        <f t="shared" si="53"/>
        <v>0</v>
      </c>
      <c r="J266" s="229">
        <f t="shared" si="56"/>
        <v>25</v>
      </c>
      <c r="K266" s="43">
        <f t="shared" si="57"/>
        <v>0</v>
      </c>
      <c r="M266" s="224"/>
      <c r="N266" s="225">
        <f t="shared" si="58"/>
        <v>0</v>
      </c>
      <c r="O266" s="43" t="e">
        <f t="shared" si="59"/>
        <v>#VALUE!</v>
      </c>
      <c r="P266" s="43" t="e">
        <f>ROUND(IF(Preenchimento!$G$39="Tabela Price",R266-Q266,(O265*(1+$AD$35))/($AD$28-C265)),$P$22)</f>
        <v>#VALUE!</v>
      </c>
      <c r="Q266" s="43" t="e">
        <f>IF(Preenchimento!$G$39="Tabela Price",O265*(1+$AD$35)*W266,O265*(1+SAC!$AD$35)*SAC!W266)</f>
        <v>#VALUE!</v>
      </c>
      <c r="R266" s="43" t="e">
        <f>IF(Preenchimento!$G$39="Tabela Price",IF(C266="","",((((((1+W266)^($Q$16-C265))*W266)/((1+W266)^($Q$16-C265)-1))*(O265*(1+$AD$35))))),Q266+P266)</f>
        <v>#VALUE!</v>
      </c>
      <c r="S266" s="43" t="e">
        <f t="shared" ca="1" si="54"/>
        <v>#VALUE!</v>
      </c>
      <c r="T266" s="43">
        <f t="shared" si="60"/>
        <v>0</v>
      </c>
      <c r="U266" s="226">
        <f>TRUNC(T266*Condições!$C$102,2)</f>
        <v>0</v>
      </c>
      <c r="V266" s="82">
        <f t="shared" ca="1" si="61"/>
        <v>7</v>
      </c>
      <c r="W266" s="231" t="str">
        <f t="shared" si="62"/>
        <v/>
      </c>
      <c r="X266" s="210"/>
      <c r="Y266" s="210"/>
      <c r="Z266" s="210"/>
      <c r="AI266" s="114">
        <f t="shared" si="63"/>
        <v>0</v>
      </c>
      <c r="AJ266" s="113"/>
      <c r="AL266" s="477">
        <f t="shared" ca="1" si="64"/>
        <v>0</v>
      </c>
    </row>
    <row r="267" spans="2:38">
      <c r="B267" s="222">
        <f ca="1">Fixa!B267</f>
        <v>53555</v>
      </c>
      <c r="C267" s="223" t="str">
        <f>Fixa!C267</f>
        <v/>
      </c>
      <c r="D267" s="43" t="e">
        <f t="shared" si="55"/>
        <v>#VALUE!</v>
      </c>
      <c r="E267" s="43" t="e">
        <f t="shared" si="49"/>
        <v>#VALUE!</v>
      </c>
      <c r="F267" s="43" t="e">
        <f t="shared" si="50"/>
        <v>#VALUE!</v>
      </c>
      <c r="G267" s="43" t="e">
        <f t="shared" si="51"/>
        <v>#VALUE!</v>
      </c>
      <c r="H267" s="43" t="e">
        <f t="shared" ca="1" si="52"/>
        <v>#VALUE!</v>
      </c>
      <c r="I267" s="43">
        <f t="shared" si="53"/>
        <v>0</v>
      </c>
      <c r="J267" s="229">
        <f t="shared" si="56"/>
        <v>25</v>
      </c>
      <c r="K267" s="43">
        <f t="shared" si="57"/>
        <v>0</v>
      </c>
      <c r="M267" s="224"/>
      <c r="N267" s="225">
        <f t="shared" si="58"/>
        <v>0</v>
      </c>
      <c r="O267" s="43" t="e">
        <f t="shared" si="59"/>
        <v>#VALUE!</v>
      </c>
      <c r="P267" s="43" t="e">
        <f>ROUND(IF(Preenchimento!$G$39="Tabela Price",R267-Q267,(O266*(1+$AD$35))/($AD$28-C266)),$P$22)</f>
        <v>#VALUE!</v>
      </c>
      <c r="Q267" s="43" t="e">
        <f>IF(Preenchimento!$G$39="Tabela Price",O266*(1+$AD$35)*W267,O266*(1+SAC!$AD$35)*SAC!W267)</f>
        <v>#VALUE!</v>
      </c>
      <c r="R267" s="43" t="e">
        <f>IF(Preenchimento!$G$39="Tabela Price",IF(C267="","",((((((1+W267)^($Q$16-C266))*W267)/((1+W267)^($Q$16-C266)-1))*(O266*(1+$AD$35))))),Q267+P267)</f>
        <v>#VALUE!</v>
      </c>
      <c r="S267" s="43" t="e">
        <f t="shared" ca="1" si="54"/>
        <v>#VALUE!</v>
      </c>
      <c r="T267" s="43">
        <f t="shared" si="60"/>
        <v>0</v>
      </c>
      <c r="U267" s="226">
        <f>TRUNC(T267*Condições!$C$102,2)</f>
        <v>0</v>
      </c>
      <c r="V267" s="82">
        <f t="shared" ca="1" si="61"/>
        <v>8</v>
      </c>
      <c r="W267" s="231" t="str">
        <f t="shared" si="62"/>
        <v/>
      </c>
      <c r="X267" s="210"/>
      <c r="Y267" s="210"/>
      <c r="Z267" s="210"/>
      <c r="AI267" s="114">
        <f t="shared" si="63"/>
        <v>0</v>
      </c>
      <c r="AJ267" s="113"/>
      <c r="AL267" s="477">
        <f t="shared" ca="1" si="64"/>
        <v>0</v>
      </c>
    </row>
    <row r="268" spans="2:38">
      <c r="B268" s="222">
        <f ca="1">Fixa!B268</f>
        <v>53586</v>
      </c>
      <c r="C268" s="223" t="str">
        <f>Fixa!C268</f>
        <v/>
      </c>
      <c r="D268" s="43" t="e">
        <f t="shared" si="55"/>
        <v>#VALUE!</v>
      </c>
      <c r="E268" s="43" t="e">
        <f t="shared" si="49"/>
        <v>#VALUE!</v>
      </c>
      <c r="F268" s="43" t="e">
        <f t="shared" si="50"/>
        <v>#VALUE!</v>
      </c>
      <c r="G268" s="43" t="e">
        <f t="shared" si="51"/>
        <v>#VALUE!</v>
      </c>
      <c r="H268" s="43" t="e">
        <f t="shared" ca="1" si="52"/>
        <v>#VALUE!</v>
      </c>
      <c r="I268" s="43">
        <f t="shared" si="53"/>
        <v>0</v>
      </c>
      <c r="J268" s="229">
        <f t="shared" si="56"/>
        <v>25</v>
      </c>
      <c r="K268" s="43">
        <f t="shared" si="57"/>
        <v>0</v>
      </c>
      <c r="L268" s="12"/>
      <c r="M268" s="224"/>
      <c r="N268" s="225">
        <f t="shared" si="58"/>
        <v>0</v>
      </c>
      <c r="O268" s="43" t="e">
        <f t="shared" si="59"/>
        <v>#VALUE!</v>
      </c>
      <c r="P268" s="43" t="e">
        <f>ROUND(IF(Preenchimento!$G$39="Tabela Price",R268-Q268,(O267*(1+$AD$35))/($AD$28-C267)),$P$22)</f>
        <v>#VALUE!</v>
      </c>
      <c r="Q268" s="43" t="e">
        <f>IF(Preenchimento!$G$39="Tabela Price",O267*(1+$AD$35)*W268,O267*(1+SAC!$AD$35)*SAC!W268)</f>
        <v>#VALUE!</v>
      </c>
      <c r="R268" s="43" t="e">
        <f>IF(Preenchimento!$G$39="Tabela Price",IF(C268="","",((((((1+W268)^($Q$16-C267))*W268)/((1+W268)^($Q$16-C267)-1))*(O267*(1+$AD$35))))),Q268+P268)</f>
        <v>#VALUE!</v>
      </c>
      <c r="S268" s="43" t="e">
        <f t="shared" ca="1" si="54"/>
        <v>#VALUE!</v>
      </c>
      <c r="T268" s="43">
        <f t="shared" si="60"/>
        <v>0</v>
      </c>
      <c r="U268" s="226">
        <f>TRUNC(T268*Condições!$C$102,2)</f>
        <v>0</v>
      </c>
      <c r="V268" s="82">
        <f t="shared" ca="1" si="61"/>
        <v>9</v>
      </c>
      <c r="W268" s="231" t="str">
        <f t="shared" si="62"/>
        <v/>
      </c>
      <c r="X268" s="210"/>
      <c r="Y268" s="210"/>
      <c r="Z268" s="210"/>
      <c r="AI268" s="114">
        <f t="shared" si="63"/>
        <v>0</v>
      </c>
      <c r="AJ268" s="113"/>
      <c r="AL268" s="477">
        <f t="shared" ca="1" si="64"/>
        <v>0</v>
      </c>
    </row>
    <row r="269" spans="2:38">
      <c r="B269" s="222">
        <f ca="1">Fixa!B269</f>
        <v>53616</v>
      </c>
      <c r="C269" s="223" t="str">
        <f>Fixa!C269</f>
        <v/>
      </c>
      <c r="D269" s="43" t="e">
        <f t="shared" si="55"/>
        <v>#VALUE!</v>
      </c>
      <c r="E269" s="43" t="e">
        <f t="shared" si="49"/>
        <v>#VALUE!</v>
      </c>
      <c r="F269" s="43" t="e">
        <f t="shared" si="50"/>
        <v>#VALUE!</v>
      </c>
      <c r="G269" s="43" t="e">
        <f t="shared" si="51"/>
        <v>#VALUE!</v>
      </c>
      <c r="H269" s="43" t="e">
        <f t="shared" ca="1" si="52"/>
        <v>#VALUE!</v>
      </c>
      <c r="I269" s="43">
        <f t="shared" si="53"/>
        <v>0</v>
      </c>
      <c r="J269" s="229">
        <f t="shared" si="56"/>
        <v>25</v>
      </c>
      <c r="K269" s="43">
        <f t="shared" si="57"/>
        <v>0</v>
      </c>
      <c r="L269" s="12"/>
      <c r="M269" s="224"/>
      <c r="N269" s="225">
        <f t="shared" si="58"/>
        <v>0</v>
      </c>
      <c r="O269" s="43" t="e">
        <f t="shared" si="59"/>
        <v>#VALUE!</v>
      </c>
      <c r="P269" s="43" t="e">
        <f>ROUND(IF(Preenchimento!$G$39="Tabela Price",R269-Q269,(O268*(1+$AD$35))/($AD$28-C268)),$P$22)</f>
        <v>#VALUE!</v>
      </c>
      <c r="Q269" s="43" t="e">
        <f>IF(Preenchimento!$G$39="Tabela Price",O268*(1+$AD$35)*W269,O268*(1+SAC!$AD$35)*SAC!W269)</f>
        <v>#VALUE!</v>
      </c>
      <c r="R269" s="43" t="e">
        <f>IF(Preenchimento!$G$39="Tabela Price",IF(C269="","",((((((1+W269)^($Q$16-C268))*W269)/((1+W269)^($Q$16-C268)-1))*(O268*(1+$AD$35))))),Q269+P269)</f>
        <v>#VALUE!</v>
      </c>
      <c r="S269" s="43" t="e">
        <f t="shared" ca="1" si="54"/>
        <v>#VALUE!</v>
      </c>
      <c r="T269" s="43">
        <f t="shared" si="60"/>
        <v>0</v>
      </c>
      <c r="U269" s="226">
        <f>TRUNC(T269*Condições!$C$102,2)</f>
        <v>0</v>
      </c>
      <c r="V269" s="82">
        <f t="shared" ca="1" si="61"/>
        <v>10</v>
      </c>
      <c r="W269" s="231" t="str">
        <f t="shared" si="62"/>
        <v/>
      </c>
      <c r="X269" s="210"/>
      <c r="Y269" s="210"/>
      <c r="Z269" s="210"/>
      <c r="AI269" s="114">
        <f t="shared" si="63"/>
        <v>0</v>
      </c>
      <c r="AJ269" s="113"/>
      <c r="AL269" s="477">
        <f t="shared" ca="1" si="64"/>
        <v>0</v>
      </c>
    </row>
    <row r="270" spans="2:38">
      <c r="B270" s="222">
        <f ca="1">Fixa!B270</f>
        <v>53647</v>
      </c>
      <c r="C270" s="223" t="str">
        <f>Fixa!C270</f>
        <v/>
      </c>
      <c r="D270" s="43" t="e">
        <f t="shared" si="55"/>
        <v>#VALUE!</v>
      </c>
      <c r="E270" s="43" t="e">
        <f t="shared" si="49"/>
        <v>#VALUE!</v>
      </c>
      <c r="F270" s="43" t="e">
        <f t="shared" si="50"/>
        <v>#VALUE!</v>
      </c>
      <c r="G270" s="43" t="e">
        <f t="shared" si="51"/>
        <v>#VALUE!</v>
      </c>
      <c r="H270" s="43" t="e">
        <f t="shared" ca="1" si="52"/>
        <v>#VALUE!</v>
      </c>
      <c r="I270" s="43">
        <f t="shared" si="53"/>
        <v>0</v>
      </c>
      <c r="J270" s="229">
        <f t="shared" si="56"/>
        <v>25</v>
      </c>
      <c r="K270" s="43">
        <f t="shared" si="57"/>
        <v>0</v>
      </c>
      <c r="L270" s="12"/>
      <c r="M270" s="224"/>
      <c r="N270" s="225">
        <f t="shared" si="58"/>
        <v>0</v>
      </c>
      <c r="O270" s="43" t="e">
        <f t="shared" si="59"/>
        <v>#VALUE!</v>
      </c>
      <c r="P270" s="43" t="e">
        <f>ROUND(IF(Preenchimento!$G$39="Tabela Price",R270-Q270,(O269*(1+$AD$35))/($AD$28-C269)),$P$22)</f>
        <v>#VALUE!</v>
      </c>
      <c r="Q270" s="43" t="e">
        <f>IF(Preenchimento!$G$39="Tabela Price",O269*(1+$AD$35)*W270,O269*(1+SAC!$AD$35)*SAC!W270)</f>
        <v>#VALUE!</v>
      </c>
      <c r="R270" s="43" t="e">
        <f>IF(Preenchimento!$G$39="Tabela Price",IF(C270="","",((((((1+W270)^($Q$16-C269))*W270)/((1+W270)^($Q$16-C269)-1))*(O269*(1+$AD$35))))),Q270+P270)</f>
        <v>#VALUE!</v>
      </c>
      <c r="S270" s="43" t="e">
        <f t="shared" ca="1" si="54"/>
        <v>#VALUE!</v>
      </c>
      <c r="T270" s="43">
        <f t="shared" si="60"/>
        <v>0</v>
      </c>
      <c r="U270" s="226">
        <f>TRUNC(T270*Condições!$C$102,2)</f>
        <v>0</v>
      </c>
      <c r="V270" s="82">
        <f t="shared" ca="1" si="61"/>
        <v>11</v>
      </c>
      <c r="W270" s="231" t="str">
        <f t="shared" si="62"/>
        <v/>
      </c>
      <c r="X270" s="210"/>
      <c r="Y270" s="210"/>
      <c r="Z270" s="210"/>
      <c r="AI270" s="114">
        <f t="shared" si="63"/>
        <v>0</v>
      </c>
      <c r="AJ270" s="113"/>
      <c r="AL270" s="477">
        <f t="shared" ca="1" si="64"/>
        <v>0</v>
      </c>
    </row>
    <row r="271" spans="2:38">
      <c r="B271" s="222">
        <f ca="1">Fixa!B271</f>
        <v>53677</v>
      </c>
      <c r="C271" s="223" t="str">
        <f>Fixa!C271</f>
        <v/>
      </c>
      <c r="D271" s="43" t="e">
        <f t="shared" si="55"/>
        <v>#VALUE!</v>
      </c>
      <c r="E271" s="43" t="e">
        <f t="shared" si="49"/>
        <v>#VALUE!</v>
      </c>
      <c r="F271" s="43" t="e">
        <f t="shared" si="50"/>
        <v>#VALUE!</v>
      </c>
      <c r="G271" s="43" t="e">
        <f t="shared" si="51"/>
        <v>#VALUE!</v>
      </c>
      <c r="H271" s="43" t="e">
        <f t="shared" ca="1" si="52"/>
        <v>#VALUE!</v>
      </c>
      <c r="I271" s="43">
        <f t="shared" si="53"/>
        <v>0</v>
      </c>
      <c r="J271" s="229">
        <f t="shared" si="56"/>
        <v>25</v>
      </c>
      <c r="K271" s="43">
        <f t="shared" si="57"/>
        <v>0</v>
      </c>
      <c r="L271" s="12"/>
      <c r="M271" s="224"/>
      <c r="N271" s="225">
        <f t="shared" si="58"/>
        <v>0</v>
      </c>
      <c r="O271" s="43" t="e">
        <f t="shared" si="59"/>
        <v>#VALUE!</v>
      </c>
      <c r="P271" s="43" t="e">
        <f>ROUND(IF(Preenchimento!$G$39="Tabela Price",R271-Q271,(O270*(1+$AD$35))/($AD$28-C270)),$P$22)</f>
        <v>#VALUE!</v>
      </c>
      <c r="Q271" s="43" t="e">
        <f>IF(Preenchimento!$G$39="Tabela Price",O270*(1+$AD$35)*W271,O270*(1+SAC!$AD$35)*SAC!W271)</f>
        <v>#VALUE!</v>
      </c>
      <c r="R271" s="43" t="e">
        <f>IF(Preenchimento!$G$39="Tabela Price",IF(C271="","",((((((1+W271)^($Q$16-C270))*W271)/((1+W271)^($Q$16-C270)-1))*(O270*(1+$AD$35))))),Q271+P271)</f>
        <v>#VALUE!</v>
      </c>
      <c r="S271" s="43" t="e">
        <f t="shared" ca="1" si="54"/>
        <v>#VALUE!</v>
      </c>
      <c r="T271" s="43">
        <f t="shared" si="60"/>
        <v>0</v>
      </c>
      <c r="U271" s="226">
        <f>TRUNC(T271*Condições!$C$102,2)</f>
        <v>0</v>
      </c>
      <c r="V271" s="82">
        <f t="shared" ca="1" si="61"/>
        <v>12</v>
      </c>
      <c r="W271" s="231" t="str">
        <f t="shared" si="62"/>
        <v/>
      </c>
      <c r="X271" s="210"/>
      <c r="Y271" s="210"/>
      <c r="Z271" s="210"/>
      <c r="AI271" s="114">
        <f t="shared" si="63"/>
        <v>0</v>
      </c>
      <c r="AJ271" s="113"/>
      <c r="AL271" s="477">
        <f t="shared" ca="1" si="64"/>
        <v>0</v>
      </c>
    </row>
    <row r="272" spans="2:38" ht="12.75" customHeight="1">
      <c r="B272" s="222">
        <f ca="1">Fixa!B272</f>
        <v>53708</v>
      </c>
      <c r="C272" s="223" t="str">
        <f>Fixa!C272</f>
        <v/>
      </c>
      <c r="D272" s="43" t="e">
        <f t="shared" si="55"/>
        <v>#VALUE!</v>
      </c>
      <c r="E272" s="43" t="e">
        <f t="shared" si="49"/>
        <v>#VALUE!</v>
      </c>
      <c r="F272" s="43" t="e">
        <f t="shared" si="50"/>
        <v>#VALUE!</v>
      </c>
      <c r="G272" s="43" t="e">
        <f t="shared" si="51"/>
        <v>#VALUE!</v>
      </c>
      <c r="H272" s="43" t="e">
        <f t="shared" ca="1" si="52"/>
        <v>#VALUE!</v>
      </c>
      <c r="I272" s="43">
        <f t="shared" si="53"/>
        <v>0</v>
      </c>
      <c r="J272" s="229">
        <f t="shared" si="56"/>
        <v>25</v>
      </c>
      <c r="K272" s="43">
        <f t="shared" si="57"/>
        <v>0</v>
      </c>
      <c r="M272" s="224"/>
      <c r="N272" s="225">
        <f t="shared" si="58"/>
        <v>0</v>
      </c>
      <c r="O272" s="43" t="e">
        <f t="shared" si="59"/>
        <v>#VALUE!</v>
      </c>
      <c r="P272" s="43" t="e">
        <f>ROUND(IF(Preenchimento!$G$39="Tabela Price",R272-Q272,(O271*(1+$AD$35))/($AD$28-C271)),$P$22)</f>
        <v>#VALUE!</v>
      </c>
      <c r="Q272" s="43" t="e">
        <f>IF(Preenchimento!$G$39="Tabela Price",O271*(1+$AD$35)*W272,O271*(1+SAC!$AD$35)*SAC!W272)</f>
        <v>#VALUE!</v>
      </c>
      <c r="R272" s="43" t="e">
        <f>IF(Preenchimento!$G$39="Tabela Price",IF(C272="","",((((((1+W272)^($Q$16-C271))*W272)/((1+W272)^($Q$16-C271)-1))*(O271*(1+$AD$35))))),Q272+P272)</f>
        <v>#VALUE!</v>
      </c>
      <c r="S272" s="43" t="e">
        <f t="shared" ca="1" si="54"/>
        <v>#VALUE!</v>
      </c>
      <c r="T272" s="43">
        <f t="shared" si="60"/>
        <v>0</v>
      </c>
      <c r="U272" s="226">
        <f>TRUNC(T272*Condições!$C$102,2)</f>
        <v>0</v>
      </c>
      <c r="V272" s="82">
        <f t="shared" ca="1" si="61"/>
        <v>1</v>
      </c>
      <c r="W272" s="231" t="str">
        <f t="shared" si="62"/>
        <v/>
      </c>
      <c r="X272" s="210"/>
      <c r="Y272" s="210"/>
      <c r="Z272" s="210"/>
      <c r="AI272" s="114">
        <f t="shared" si="63"/>
        <v>0</v>
      </c>
      <c r="AJ272" s="113"/>
      <c r="AL272" s="477">
        <f t="shared" ca="1" si="64"/>
        <v>0</v>
      </c>
    </row>
    <row r="273" spans="2:38">
      <c r="B273" s="222">
        <f ca="1">Fixa!B273</f>
        <v>53739</v>
      </c>
      <c r="C273" s="223" t="str">
        <f>Fixa!C273</f>
        <v/>
      </c>
      <c r="D273" s="43" t="e">
        <f t="shared" si="55"/>
        <v>#VALUE!</v>
      </c>
      <c r="E273" s="43" t="e">
        <f t="shared" si="49"/>
        <v>#VALUE!</v>
      </c>
      <c r="F273" s="43" t="e">
        <f t="shared" si="50"/>
        <v>#VALUE!</v>
      </c>
      <c r="G273" s="43" t="e">
        <f t="shared" si="51"/>
        <v>#VALUE!</v>
      </c>
      <c r="H273" s="43" t="e">
        <f t="shared" ca="1" si="52"/>
        <v>#VALUE!</v>
      </c>
      <c r="I273" s="43">
        <f t="shared" si="53"/>
        <v>0</v>
      </c>
      <c r="J273" s="229">
        <f t="shared" si="56"/>
        <v>25</v>
      </c>
      <c r="K273" s="43">
        <f t="shared" si="57"/>
        <v>0</v>
      </c>
      <c r="M273" s="224"/>
      <c r="N273" s="225">
        <f t="shared" si="58"/>
        <v>0</v>
      </c>
      <c r="O273" s="43" t="e">
        <f t="shared" si="59"/>
        <v>#VALUE!</v>
      </c>
      <c r="P273" s="43" t="e">
        <f>ROUND(IF(Preenchimento!$G$39="Tabela Price",R273-Q273,(O272*(1+$AD$35))/($AD$28-C272)),$P$22)</f>
        <v>#VALUE!</v>
      </c>
      <c r="Q273" s="43" t="e">
        <f>IF(Preenchimento!$G$39="Tabela Price",O272*(1+$AD$35)*W273,O272*(1+SAC!$AD$35)*SAC!W273)</f>
        <v>#VALUE!</v>
      </c>
      <c r="R273" s="43" t="e">
        <f>IF(Preenchimento!$G$39="Tabela Price",IF(C273="","",((((((1+W273)^($Q$16-C272))*W273)/((1+W273)^($Q$16-C272)-1))*(O272*(1+$AD$35))))),Q273+P273)</f>
        <v>#VALUE!</v>
      </c>
      <c r="S273" s="43" t="e">
        <f t="shared" ca="1" si="54"/>
        <v>#VALUE!</v>
      </c>
      <c r="T273" s="43">
        <f t="shared" si="60"/>
        <v>0</v>
      </c>
      <c r="U273" s="226">
        <f>TRUNC(T273*Condições!$C$102,2)</f>
        <v>0</v>
      </c>
      <c r="V273" s="82">
        <f t="shared" ca="1" si="61"/>
        <v>2</v>
      </c>
      <c r="W273" s="231" t="str">
        <f t="shared" si="62"/>
        <v/>
      </c>
      <c r="X273" s="210"/>
      <c r="Y273" s="210"/>
      <c r="Z273" s="210"/>
      <c r="AI273" s="114">
        <f t="shared" si="63"/>
        <v>0</v>
      </c>
      <c r="AJ273" s="113"/>
      <c r="AL273" s="477">
        <f t="shared" ca="1" si="64"/>
        <v>0</v>
      </c>
    </row>
    <row r="274" spans="2:38">
      <c r="B274" s="222">
        <f ca="1">Fixa!B274</f>
        <v>53767</v>
      </c>
      <c r="C274" s="223" t="str">
        <f>Fixa!C274</f>
        <v/>
      </c>
      <c r="D274" s="43" t="e">
        <f t="shared" si="55"/>
        <v>#VALUE!</v>
      </c>
      <c r="E274" s="43" t="e">
        <f t="shared" si="49"/>
        <v>#VALUE!</v>
      </c>
      <c r="F274" s="43" t="e">
        <f t="shared" si="50"/>
        <v>#VALUE!</v>
      </c>
      <c r="G274" s="43" t="e">
        <f t="shared" si="51"/>
        <v>#VALUE!</v>
      </c>
      <c r="H274" s="43" t="e">
        <f t="shared" ca="1" si="52"/>
        <v>#VALUE!</v>
      </c>
      <c r="I274" s="43">
        <f t="shared" si="53"/>
        <v>0</v>
      </c>
      <c r="J274" s="229">
        <f t="shared" si="56"/>
        <v>25</v>
      </c>
      <c r="K274" s="43">
        <f t="shared" si="57"/>
        <v>0</v>
      </c>
      <c r="M274" s="224"/>
      <c r="N274" s="225">
        <f t="shared" si="58"/>
        <v>0</v>
      </c>
      <c r="O274" s="43" t="e">
        <f t="shared" si="59"/>
        <v>#VALUE!</v>
      </c>
      <c r="P274" s="43" t="e">
        <f>ROUND(IF(Preenchimento!$G$39="Tabela Price",R274-Q274,(O273*(1+$AD$35))/($AD$28-C273)),$P$22)</f>
        <v>#VALUE!</v>
      </c>
      <c r="Q274" s="43" t="e">
        <f>IF(Preenchimento!$G$39="Tabela Price",O273*(1+$AD$35)*W274,O273*(1+SAC!$AD$35)*SAC!W274)</f>
        <v>#VALUE!</v>
      </c>
      <c r="R274" s="43" t="e">
        <f>IF(Preenchimento!$G$39="Tabela Price",IF(C274="","",((((((1+W274)^($Q$16-C273))*W274)/((1+W274)^($Q$16-C273)-1))*(O273*(1+$AD$35))))),Q274+P274)</f>
        <v>#VALUE!</v>
      </c>
      <c r="S274" s="43" t="e">
        <f t="shared" ca="1" si="54"/>
        <v>#VALUE!</v>
      </c>
      <c r="T274" s="43">
        <f t="shared" si="60"/>
        <v>0</v>
      </c>
      <c r="U274" s="226">
        <f>TRUNC(T274*Condições!$C$102,2)</f>
        <v>0</v>
      </c>
      <c r="V274" s="82">
        <f t="shared" ca="1" si="61"/>
        <v>3</v>
      </c>
      <c r="W274" s="231" t="str">
        <f t="shared" si="62"/>
        <v/>
      </c>
      <c r="X274" s="210"/>
      <c r="Y274" s="210"/>
      <c r="Z274" s="210"/>
      <c r="AI274" s="114">
        <f t="shared" si="63"/>
        <v>0</v>
      </c>
      <c r="AJ274" s="113"/>
      <c r="AL274" s="477">
        <f t="shared" ca="1" si="64"/>
        <v>0</v>
      </c>
    </row>
    <row r="275" spans="2:38">
      <c r="B275" s="222">
        <f ca="1">Fixa!B275</f>
        <v>53798</v>
      </c>
      <c r="C275" s="223" t="str">
        <f>Fixa!C275</f>
        <v/>
      </c>
      <c r="D275" s="43" t="e">
        <f t="shared" si="55"/>
        <v>#VALUE!</v>
      </c>
      <c r="E275" s="43" t="e">
        <f t="shared" si="49"/>
        <v>#VALUE!</v>
      </c>
      <c r="F275" s="43" t="e">
        <f t="shared" si="50"/>
        <v>#VALUE!</v>
      </c>
      <c r="G275" s="43" t="e">
        <f t="shared" si="51"/>
        <v>#VALUE!</v>
      </c>
      <c r="H275" s="43" t="e">
        <f t="shared" ca="1" si="52"/>
        <v>#VALUE!</v>
      </c>
      <c r="I275" s="43">
        <f t="shared" si="53"/>
        <v>0</v>
      </c>
      <c r="J275" s="229">
        <f t="shared" si="56"/>
        <v>25</v>
      </c>
      <c r="K275" s="43">
        <f t="shared" si="57"/>
        <v>0</v>
      </c>
      <c r="M275" s="224"/>
      <c r="N275" s="225">
        <f t="shared" si="58"/>
        <v>0</v>
      </c>
      <c r="O275" s="43" t="e">
        <f t="shared" si="59"/>
        <v>#VALUE!</v>
      </c>
      <c r="P275" s="43" t="e">
        <f>ROUND(IF(Preenchimento!$G$39="Tabela Price",R275-Q275,(O274*(1+$AD$35))/($AD$28-C274)),$P$22)</f>
        <v>#VALUE!</v>
      </c>
      <c r="Q275" s="43" t="e">
        <f>IF(Preenchimento!$G$39="Tabela Price",O274*(1+$AD$35)*W275,O274*(1+SAC!$AD$35)*SAC!W275)</f>
        <v>#VALUE!</v>
      </c>
      <c r="R275" s="43" t="e">
        <f>IF(Preenchimento!$G$39="Tabela Price",IF(C275="","",((((((1+W275)^($Q$16-C274))*W275)/((1+W275)^($Q$16-C274)-1))*(O274*(1+$AD$35))))),Q275+P275)</f>
        <v>#VALUE!</v>
      </c>
      <c r="S275" s="43" t="e">
        <f t="shared" ca="1" si="54"/>
        <v>#VALUE!</v>
      </c>
      <c r="T275" s="43">
        <f t="shared" si="60"/>
        <v>0</v>
      </c>
      <c r="U275" s="226">
        <f>TRUNC(T275*Condições!$C$102,2)</f>
        <v>0</v>
      </c>
      <c r="V275" s="82">
        <f t="shared" ca="1" si="61"/>
        <v>4</v>
      </c>
      <c r="W275" s="231" t="str">
        <f t="shared" si="62"/>
        <v/>
      </c>
      <c r="X275" s="210"/>
      <c r="Y275" s="210"/>
      <c r="Z275" s="210"/>
      <c r="AI275" s="114">
        <f t="shared" si="63"/>
        <v>0</v>
      </c>
      <c r="AJ275" s="113"/>
      <c r="AL275" s="477">
        <f t="shared" ca="1" si="64"/>
        <v>0</v>
      </c>
    </row>
    <row r="276" spans="2:38">
      <c r="B276" s="222">
        <f ca="1">Fixa!B276</f>
        <v>53828</v>
      </c>
      <c r="C276" s="223" t="str">
        <f>Fixa!C276</f>
        <v/>
      </c>
      <c r="D276" s="43" t="e">
        <f t="shared" si="55"/>
        <v>#VALUE!</v>
      </c>
      <c r="E276" s="43" t="e">
        <f t="shared" si="49"/>
        <v>#VALUE!</v>
      </c>
      <c r="F276" s="43" t="e">
        <f t="shared" si="50"/>
        <v>#VALUE!</v>
      </c>
      <c r="G276" s="43" t="e">
        <f t="shared" si="51"/>
        <v>#VALUE!</v>
      </c>
      <c r="H276" s="43" t="e">
        <f t="shared" ca="1" si="52"/>
        <v>#VALUE!</v>
      </c>
      <c r="I276" s="43">
        <f t="shared" si="53"/>
        <v>0</v>
      </c>
      <c r="J276" s="229">
        <f t="shared" si="56"/>
        <v>25</v>
      </c>
      <c r="K276" s="43">
        <f t="shared" si="57"/>
        <v>0</v>
      </c>
      <c r="M276" s="224"/>
      <c r="N276" s="225">
        <f t="shared" si="58"/>
        <v>0</v>
      </c>
      <c r="O276" s="43" t="e">
        <f t="shared" si="59"/>
        <v>#VALUE!</v>
      </c>
      <c r="P276" s="43" t="e">
        <f>ROUND(IF(Preenchimento!$G$39="Tabela Price",R276-Q276,(O275*(1+$AD$35))/($AD$28-C275)),$P$22)</f>
        <v>#VALUE!</v>
      </c>
      <c r="Q276" s="43" t="e">
        <f>IF(Preenchimento!$G$39="Tabela Price",O275*(1+$AD$35)*W276,O275*(1+SAC!$AD$35)*SAC!W276)</f>
        <v>#VALUE!</v>
      </c>
      <c r="R276" s="43" t="e">
        <f>IF(Preenchimento!$G$39="Tabela Price",IF(C276="","",((((((1+W276)^($Q$16-C275))*W276)/((1+W276)^($Q$16-C275)-1))*(O275*(1+$AD$35))))),Q276+P276)</f>
        <v>#VALUE!</v>
      </c>
      <c r="S276" s="43" t="e">
        <f t="shared" ca="1" si="54"/>
        <v>#VALUE!</v>
      </c>
      <c r="T276" s="43">
        <f t="shared" si="60"/>
        <v>0</v>
      </c>
      <c r="U276" s="226">
        <f>TRUNC(T276*Condições!$C$102,2)</f>
        <v>0</v>
      </c>
      <c r="V276" s="82">
        <f t="shared" ca="1" si="61"/>
        <v>5</v>
      </c>
      <c r="W276" s="231" t="str">
        <f t="shared" si="62"/>
        <v/>
      </c>
      <c r="X276" s="210"/>
      <c r="Y276" s="210"/>
      <c r="Z276" s="210"/>
      <c r="AI276" s="114">
        <f t="shared" si="63"/>
        <v>0</v>
      </c>
      <c r="AJ276" s="113"/>
      <c r="AL276" s="477">
        <f t="shared" ca="1" si="64"/>
        <v>0</v>
      </c>
    </row>
    <row r="277" spans="2:38">
      <c r="B277" s="222">
        <f ca="1">Fixa!B277</f>
        <v>53859</v>
      </c>
      <c r="C277" s="223" t="str">
        <f>Fixa!C277</f>
        <v/>
      </c>
      <c r="D277" s="43" t="e">
        <f t="shared" si="55"/>
        <v>#VALUE!</v>
      </c>
      <c r="E277" s="43" t="e">
        <f t="shared" si="49"/>
        <v>#VALUE!</v>
      </c>
      <c r="F277" s="43" t="e">
        <f t="shared" si="50"/>
        <v>#VALUE!</v>
      </c>
      <c r="G277" s="43" t="e">
        <f t="shared" si="51"/>
        <v>#VALUE!</v>
      </c>
      <c r="H277" s="43" t="e">
        <f t="shared" ca="1" si="52"/>
        <v>#VALUE!</v>
      </c>
      <c r="I277" s="43">
        <f t="shared" si="53"/>
        <v>0</v>
      </c>
      <c r="J277" s="229">
        <f t="shared" si="56"/>
        <v>25</v>
      </c>
      <c r="K277" s="43">
        <f t="shared" si="57"/>
        <v>0</v>
      </c>
      <c r="M277" s="224"/>
      <c r="N277" s="225">
        <f t="shared" si="58"/>
        <v>0</v>
      </c>
      <c r="O277" s="43" t="e">
        <f t="shared" si="59"/>
        <v>#VALUE!</v>
      </c>
      <c r="P277" s="43" t="e">
        <f>ROUND(IF(Preenchimento!$G$39="Tabela Price",R277-Q277,(O276*(1+$AD$35))/($AD$28-C276)),$P$22)</f>
        <v>#VALUE!</v>
      </c>
      <c r="Q277" s="43" t="e">
        <f>IF(Preenchimento!$G$39="Tabela Price",O276*(1+$AD$35)*W277,O276*(1+SAC!$AD$35)*SAC!W277)</f>
        <v>#VALUE!</v>
      </c>
      <c r="R277" s="43" t="e">
        <f>IF(Preenchimento!$G$39="Tabela Price",IF(C277="","",((((((1+W277)^($Q$16-C276))*W277)/((1+W277)^($Q$16-C276)-1))*(O276*(1+$AD$35))))),Q277+P277)</f>
        <v>#VALUE!</v>
      </c>
      <c r="S277" s="43" t="e">
        <f t="shared" ca="1" si="54"/>
        <v>#VALUE!</v>
      </c>
      <c r="T277" s="43">
        <f t="shared" si="60"/>
        <v>0</v>
      </c>
      <c r="U277" s="226">
        <f>TRUNC(T277*Condições!$C$102,2)</f>
        <v>0</v>
      </c>
      <c r="V277" s="82">
        <f t="shared" ca="1" si="61"/>
        <v>6</v>
      </c>
      <c r="W277" s="231" t="str">
        <f t="shared" si="62"/>
        <v/>
      </c>
      <c r="X277" s="210"/>
      <c r="Y277" s="210"/>
      <c r="Z277" s="210"/>
      <c r="AI277" s="114">
        <f t="shared" si="63"/>
        <v>0</v>
      </c>
      <c r="AJ277" s="113"/>
      <c r="AL277" s="477">
        <f t="shared" ca="1" si="64"/>
        <v>0</v>
      </c>
    </row>
    <row r="278" spans="2:38">
      <c r="B278" s="222">
        <f ca="1">Fixa!B278</f>
        <v>53889</v>
      </c>
      <c r="C278" s="223" t="str">
        <f>Fixa!C278</f>
        <v/>
      </c>
      <c r="D278" s="43" t="e">
        <f t="shared" si="55"/>
        <v>#VALUE!</v>
      </c>
      <c r="E278" s="43" t="e">
        <f t="shared" si="49"/>
        <v>#VALUE!</v>
      </c>
      <c r="F278" s="43" t="e">
        <f t="shared" si="50"/>
        <v>#VALUE!</v>
      </c>
      <c r="G278" s="43" t="e">
        <f t="shared" si="51"/>
        <v>#VALUE!</v>
      </c>
      <c r="H278" s="43" t="e">
        <f t="shared" ca="1" si="52"/>
        <v>#VALUE!</v>
      </c>
      <c r="I278" s="43">
        <f t="shared" si="53"/>
        <v>0</v>
      </c>
      <c r="J278" s="229">
        <f t="shared" si="56"/>
        <v>25</v>
      </c>
      <c r="K278" s="43">
        <f t="shared" si="57"/>
        <v>0</v>
      </c>
      <c r="M278" s="224"/>
      <c r="N278" s="225">
        <f t="shared" si="58"/>
        <v>0</v>
      </c>
      <c r="O278" s="43" t="e">
        <f t="shared" si="59"/>
        <v>#VALUE!</v>
      </c>
      <c r="P278" s="43" t="e">
        <f>ROUND(IF(Preenchimento!$G$39="Tabela Price",R278-Q278,(O277*(1+$AD$35))/($AD$28-C277)),$P$22)</f>
        <v>#VALUE!</v>
      </c>
      <c r="Q278" s="43" t="e">
        <f>IF(Preenchimento!$G$39="Tabela Price",O277*(1+$AD$35)*W278,O277*(1+SAC!$AD$35)*SAC!W278)</f>
        <v>#VALUE!</v>
      </c>
      <c r="R278" s="43" t="e">
        <f>IF(Preenchimento!$G$39="Tabela Price",IF(C278="","",((((((1+W278)^($Q$16-C277))*W278)/((1+W278)^($Q$16-C277)-1))*(O277*(1+$AD$35))))),Q278+P278)</f>
        <v>#VALUE!</v>
      </c>
      <c r="S278" s="43" t="e">
        <f t="shared" ca="1" si="54"/>
        <v>#VALUE!</v>
      </c>
      <c r="T278" s="43">
        <f t="shared" si="60"/>
        <v>0</v>
      </c>
      <c r="U278" s="226">
        <f>TRUNC(T278*Condições!$C$102,2)</f>
        <v>0</v>
      </c>
      <c r="V278" s="82">
        <f t="shared" ca="1" si="61"/>
        <v>7</v>
      </c>
      <c r="W278" s="231" t="str">
        <f t="shared" si="62"/>
        <v/>
      </c>
      <c r="X278" s="210"/>
      <c r="Y278" s="210"/>
      <c r="Z278" s="210"/>
      <c r="AI278" s="114">
        <f t="shared" si="63"/>
        <v>0</v>
      </c>
      <c r="AJ278" s="113"/>
      <c r="AL278" s="477">
        <f t="shared" ca="1" si="64"/>
        <v>0</v>
      </c>
    </row>
    <row r="279" spans="2:38">
      <c r="B279" s="222">
        <f ca="1">Fixa!B279</f>
        <v>53920</v>
      </c>
      <c r="C279" s="223" t="str">
        <f>Fixa!C279</f>
        <v/>
      </c>
      <c r="D279" s="43" t="e">
        <f t="shared" si="55"/>
        <v>#VALUE!</v>
      </c>
      <c r="E279" s="43" t="e">
        <f t="shared" si="49"/>
        <v>#VALUE!</v>
      </c>
      <c r="F279" s="43" t="e">
        <f t="shared" si="50"/>
        <v>#VALUE!</v>
      </c>
      <c r="G279" s="43" t="e">
        <f t="shared" si="51"/>
        <v>#VALUE!</v>
      </c>
      <c r="H279" s="43" t="e">
        <f t="shared" ca="1" si="52"/>
        <v>#VALUE!</v>
      </c>
      <c r="I279" s="43">
        <f t="shared" si="53"/>
        <v>0</v>
      </c>
      <c r="J279" s="229">
        <f t="shared" si="56"/>
        <v>25</v>
      </c>
      <c r="K279" s="43">
        <f t="shared" si="57"/>
        <v>0</v>
      </c>
      <c r="M279" s="224"/>
      <c r="N279" s="225">
        <f t="shared" si="58"/>
        <v>0</v>
      </c>
      <c r="O279" s="43" t="e">
        <f t="shared" si="59"/>
        <v>#VALUE!</v>
      </c>
      <c r="P279" s="43" t="e">
        <f>ROUND(IF(Preenchimento!$G$39="Tabela Price",R279-Q279,(O278*(1+$AD$35))/($AD$28-C278)),$P$22)</f>
        <v>#VALUE!</v>
      </c>
      <c r="Q279" s="43" t="e">
        <f>IF(Preenchimento!$G$39="Tabela Price",O278*(1+$AD$35)*W279,O278*(1+SAC!$AD$35)*SAC!W279)</f>
        <v>#VALUE!</v>
      </c>
      <c r="R279" s="43" t="e">
        <f>IF(Preenchimento!$G$39="Tabela Price",IF(C279="","",((((((1+W279)^($Q$16-C278))*W279)/((1+W279)^($Q$16-C278)-1))*(O278*(1+$AD$35))))),Q279+P279)</f>
        <v>#VALUE!</v>
      </c>
      <c r="S279" s="43" t="e">
        <f t="shared" ca="1" si="54"/>
        <v>#VALUE!</v>
      </c>
      <c r="T279" s="43">
        <f t="shared" si="60"/>
        <v>0</v>
      </c>
      <c r="U279" s="226">
        <f>TRUNC(T279*Condições!$C$102,2)</f>
        <v>0</v>
      </c>
      <c r="V279" s="82">
        <f t="shared" ca="1" si="61"/>
        <v>8</v>
      </c>
      <c r="W279" s="231" t="str">
        <f t="shared" si="62"/>
        <v/>
      </c>
      <c r="X279" s="210"/>
      <c r="Y279" s="210"/>
      <c r="Z279" s="210"/>
      <c r="AI279" s="114">
        <f t="shared" si="63"/>
        <v>0</v>
      </c>
      <c r="AJ279" s="113"/>
      <c r="AL279" s="477">
        <f t="shared" ca="1" si="64"/>
        <v>0</v>
      </c>
    </row>
    <row r="280" spans="2:38">
      <c r="B280" s="222">
        <f ca="1">Fixa!B280</f>
        <v>53951</v>
      </c>
      <c r="C280" s="223" t="str">
        <f>Fixa!C280</f>
        <v/>
      </c>
      <c r="D280" s="43" t="e">
        <f t="shared" si="55"/>
        <v>#VALUE!</v>
      </c>
      <c r="E280" s="43" t="e">
        <f t="shared" si="49"/>
        <v>#VALUE!</v>
      </c>
      <c r="F280" s="43" t="e">
        <f t="shared" si="50"/>
        <v>#VALUE!</v>
      </c>
      <c r="G280" s="43" t="e">
        <f t="shared" si="51"/>
        <v>#VALUE!</v>
      </c>
      <c r="H280" s="43" t="e">
        <f t="shared" ca="1" si="52"/>
        <v>#VALUE!</v>
      </c>
      <c r="I280" s="43">
        <f t="shared" si="53"/>
        <v>0</v>
      </c>
      <c r="J280" s="229">
        <f t="shared" si="56"/>
        <v>25</v>
      </c>
      <c r="K280" s="43">
        <f t="shared" si="57"/>
        <v>0</v>
      </c>
      <c r="M280" s="224"/>
      <c r="N280" s="225">
        <f t="shared" si="58"/>
        <v>0</v>
      </c>
      <c r="O280" s="43" t="e">
        <f t="shared" si="59"/>
        <v>#VALUE!</v>
      </c>
      <c r="P280" s="43" t="e">
        <f>ROUND(IF(Preenchimento!$G$39="Tabela Price",R280-Q280,(O279*(1+$AD$35))/($AD$28-C279)),$P$22)</f>
        <v>#VALUE!</v>
      </c>
      <c r="Q280" s="43" t="e">
        <f>IF(Preenchimento!$G$39="Tabela Price",O279*(1+$AD$35)*W280,O279*(1+SAC!$AD$35)*SAC!W280)</f>
        <v>#VALUE!</v>
      </c>
      <c r="R280" s="43" t="e">
        <f>IF(Preenchimento!$G$39="Tabela Price",IF(C280="","",((((((1+W280)^($Q$16-C279))*W280)/((1+W280)^($Q$16-C279)-1))*(O279*(1+$AD$35))))),Q280+P280)</f>
        <v>#VALUE!</v>
      </c>
      <c r="S280" s="43" t="e">
        <f t="shared" ca="1" si="54"/>
        <v>#VALUE!</v>
      </c>
      <c r="T280" s="43">
        <f t="shared" si="60"/>
        <v>0</v>
      </c>
      <c r="U280" s="226">
        <f>TRUNC(T280*Condições!$C$102,2)</f>
        <v>0</v>
      </c>
      <c r="V280" s="82">
        <f t="shared" ca="1" si="61"/>
        <v>9</v>
      </c>
      <c r="W280" s="231" t="str">
        <f t="shared" si="62"/>
        <v/>
      </c>
      <c r="X280" s="210"/>
      <c r="Y280" s="210"/>
      <c r="Z280" s="210"/>
      <c r="AI280" s="114">
        <f t="shared" si="63"/>
        <v>0</v>
      </c>
      <c r="AJ280" s="113"/>
      <c r="AL280" s="477">
        <f t="shared" ca="1" si="64"/>
        <v>0</v>
      </c>
    </row>
    <row r="281" spans="2:38">
      <c r="B281" s="222">
        <f ca="1">Fixa!B281</f>
        <v>53981</v>
      </c>
      <c r="C281" s="223" t="str">
        <f>Fixa!C281</f>
        <v/>
      </c>
      <c r="D281" s="43" t="e">
        <f t="shared" si="55"/>
        <v>#VALUE!</v>
      </c>
      <c r="E281" s="43" t="e">
        <f t="shared" si="49"/>
        <v>#VALUE!</v>
      </c>
      <c r="F281" s="43" t="e">
        <f t="shared" si="50"/>
        <v>#VALUE!</v>
      </c>
      <c r="G281" s="43" t="e">
        <f t="shared" si="51"/>
        <v>#VALUE!</v>
      </c>
      <c r="H281" s="43" t="e">
        <f t="shared" ca="1" si="52"/>
        <v>#VALUE!</v>
      </c>
      <c r="I281" s="43">
        <f t="shared" si="53"/>
        <v>0</v>
      </c>
      <c r="J281" s="229">
        <f t="shared" si="56"/>
        <v>25</v>
      </c>
      <c r="K281" s="43">
        <f t="shared" si="57"/>
        <v>0</v>
      </c>
      <c r="M281" s="224"/>
      <c r="N281" s="225">
        <f t="shared" si="58"/>
        <v>0</v>
      </c>
      <c r="O281" s="43" t="e">
        <f t="shared" si="59"/>
        <v>#VALUE!</v>
      </c>
      <c r="P281" s="43" t="e">
        <f>ROUND(IF(Preenchimento!$G$39="Tabela Price",R281-Q281,(O280*(1+$AD$35))/($AD$28-C280)),$P$22)</f>
        <v>#VALUE!</v>
      </c>
      <c r="Q281" s="43" t="e">
        <f>IF(Preenchimento!$G$39="Tabela Price",O280*(1+$AD$35)*W281,O280*(1+SAC!$AD$35)*SAC!W281)</f>
        <v>#VALUE!</v>
      </c>
      <c r="R281" s="43" t="e">
        <f>IF(Preenchimento!$G$39="Tabela Price",IF(C281="","",((((((1+W281)^($Q$16-C280))*W281)/((1+W281)^($Q$16-C280)-1))*(O280*(1+$AD$35))))),Q281+P281)</f>
        <v>#VALUE!</v>
      </c>
      <c r="S281" s="43" t="e">
        <f t="shared" ca="1" si="54"/>
        <v>#VALUE!</v>
      </c>
      <c r="T281" s="43">
        <f t="shared" si="60"/>
        <v>0</v>
      </c>
      <c r="U281" s="226">
        <f>TRUNC(T281*Condições!$C$102,2)</f>
        <v>0</v>
      </c>
      <c r="V281" s="82">
        <f t="shared" ca="1" si="61"/>
        <v>10</v>
      </c>
      <c r="W281" s="231" t="str">
        <f t="shared" si="62"/>
        <v/>
      </c>
      <c r="X281" s="210"/>
      <c r="Y281" s="210"/>
      <c r="Z281" s="210"/>
      <c r="AI281" s="114">
        <f t="shared" si="63"/>
        <v>0</v>
      </c>
      <c r="AJ281" s="113"/>
      <c r="AL281" s="477">
        <f t="shared" ca="1" si="64"/>
        <v>0</v>
      </c>
    </row>
    <row r="282" spans="2:38">
      <c r="B282" s="222">
        <f ca="1">Fixa!B282</f>
        <v>54012</v>
      </c>
      <c r="C282" s="223" t="str">
        <f>Fixa!C282</f>
        <v/>
      </c>
      <c r="D282" s="43" t="e">
        <f t="shared" si="55"/>
        <v>#VALUE!</v>
      </c>
      <c r="E282" s="43" t="e">
        <f t="shared" ref="E282:E345" si="65">ROUND(P282,2)</f>
        <v>#VALUE!</v>
      </c>
      <c r="F282" s="43" t="e">
        <f t="shared" ref="F282:F345" si="66">ROUND(Q282,2)</f>
        <v>#VALUE!</v>
      </c>
      <c r="G282" s="43" t="e">
        <f t="shared" ref="G282:G345" si="67">F282+E282</f>
        <v>#VALUE!</v>
      </c>
      <c r="H282" s="43" t="e">
        <f t="shared" ref="H282:H345" ca="1" si="68">ROUND(S282,2)</f>
        <v>#VALUE!</v>
      </c>
      <c r="I282" s="43">
        <f t="shared" ref="I282:I345" si="69">ROUND(T282+U282,2)</f>
        <v>0</v>
      </c>
      <c r="J282" s="229">
        <f t="shared" si="56"/>
        <v>25</v>
      </c>
      <c r="K282" s="43">
        <f t="shared" si="57"/>
        <v>0</v>
      </c>
      <c r="M282" s="224"/>
      <c r="N282" s="225">
        <f t="shared" si="58"/>
        <v>0</v>
      </c>
      <c r="O282" s="43" t="e">
        <f t="shared" si="59"/>
        <v>#VALUE!</v>
      </c>
      <c r="P282" s="43" t="e">
        <f>ROUND(IF(Preenchimento!$G$39="Tabela Price",R282-Q282,(O281*(1+$AD$35))/($AD$28-C281)),$P$22)</f>
        <v>#VALUE!</v>
      </c>
      <c r="Q282" s="43" t="e">
        <f>IF(Preenchimento!$G$39="Tabela Price",O281*(1+$AD$35)*W282,O281*(1+SAC!$AD$35)*SAC!W282)</f>
        <v>#VALUE!</v>
      </c>
      <c r="R282" s="43" t="e">
        <f>IF(Preenchimento!$G$39="Tabela Price",IF(C282="","",((((((1+W282)^($Q$16-C281))*W282)/((1+W282)^($Q$16-C281)-1))*(O281*(1+$AD$35))))),Q282+P282)</f>
        <v>#VALUE!</v>
      </c>
      <c r="S282" s="43" t="e">
        <f t="shared" ref="S282:S345" ca="1" si="70">ROUND($AD$34*O282,$P$22)</f>
        <v>#VALUE!</v>
      </c>
      <c r="T282" s="43">
        <f t="shared" si="60"/>
        <v>0</v>
      </c>
      <c r="U282" s="226">
        <f>TRUNC(T282*Condições!$C$102,2)</f>
        <v>0</v>
      </c>
      <c r="V282" s="82">
        <f t="shared" ca="1" si="61"/>
        <v>11</v>
      </c>
      <c r="W282" s="231" t="str">
        <f t="shared" si="62"/>
        <v/>
      </c>
      <c r="X282" s="210"/>
      <c r="Y282" s="210"/>
      <c r="Z282" s="210"/>
      <c r="AI282" s="114">
        <f t="shared" si="63"/>
        <v>0</v>
      </c>
      <c r="AJ282" s="113"/>
      <c r="AL282" s="477">
        <f t="shared" ca="1" si="64"/>
        <v>0</v>
      </c>
    </row>
    <row r="283" spans="2:38">
      <c r="B283" s="222">
        <f ca="1">Fixa!B283</f>
        <v>54042</v>
      </c>
      <c r="C283" s="223" t="str">
        <f>Fixa!C283</f>
        <v/>
      </c>
      <c r="D283" s="43" t="e">
        <f t="shared" ref="D283:D346" si="71">ROUND(O283,2)</f>
        <v>#VALUE!</v>
      </c>
      <c r="E283" s="43" t="e">
        <f t="shared" si="65"/>
        <v>#VALUE!</v>
      </c>
      <c r="F283" s="43" t="e">
        <f t="shared" si="66"/>
        <v>#VALUE!</v>
      </c>
      <c r="G283" s="43" t="e">
        <f t="shared" si="67"/>
        <v>#VALUE!</v>
      </c>
      <c r="H283" s="43" t="e">
        <f t="shared" ca="1" si="68"/>
        <v>#VALUE!</v>
      </c>
      <c r="I283" s="43">
        <f t="shared" si="69"/>
        <v>0</v>
      </c>
      <c r="J283" s="229">
        <f t="shared" ref="J283:J346" si="72">$AD$31</f>
        <v>25</v>
      </c>
      <c r="K283" s="43">
        <f t="shared" ref="K283:K346" si="73">IF(C283&gt;$AD$28,0,J283+G283+I283+H283)</f>
        <v>0</v>
      </c>
      <c r="M283" s="224"/>
      <c r="N283" s="225">
        <f t="shared" ref="N283:N346" si="74">IF(C283&gt;$AD$28,0,(H283+I283)/(1.008^((12*(B283-$B$25))/365)))</f>
        <v>0</v>
      </c>
      <c r="O283" s="43" t="e">
        <f t="shared" ref="O283:O346" si="75">ROUND((O282*(1+$AD$35)-P283),$P$22)</f>
        <v>#VALUE!</v>
      </c>
      <c r="P283" s="43" t="e">
        <f>ROUND(IF(Preenchimento!$G$39="Tabela Price",R283-Q283,(O282*(1+$AD$35))/($AD$28-C282)),$P$22)</f>
        <v>#VALUE!</v>
      </c>
      <c r="Q283" s="43" t="e">
        <f>IF(Preenchimento!$G$39="Tabela Price",O282*(1+$AD$35)*W283,O282*(1+SAC!$AD$35)*SAC!W283)</f>
        <v>#VALUE!</v>
      </c>
      <c r="R283" s="43" t="e">
        <f>IF(Preenchimento!$G$39="Tabela Price",IF(C283="","",((((((1+W283)^($Q$16-C282))*W283)/((1+W283)^($Q$16-C282)-1))*(O282*(1+$AD$35))))),Q283+P283)</f>
        <v>#VALUE!</v>
      </c>
      <c r="S283" s="43" t="e">
        <f t="shared" ca="1" si="70"/>
        <v>#VALUE!</v>
      </c>
      <c r="T283" s="43">
        <f t="shared" ref="T283:T346" si="76">IF(C283&gt;=$AD$28,0,ROUND($AD$25*$AD$33,$P$22))</f>
        <v>0</v>
      </c>
      <c r="U283" s="226">
        <f>TRUNC(T283*Condições!$C$102,2)</f>
        <v>0</v>
      </c>
      <c r="V283" s="82">
        <f t="shared" ref="V283:V346" ca="1" si="77">MONTH(B283)</f>
        <v>12</v>
      </c>
      <c r="W283" s="231" t="str">
        <f t="shared" ref="W283:W346" si="78">IF(C283="","",IF(AND(C283&gt;$AD$46,$AD$46&lt;&gt;""),$AE$29,$AD$29))</f>
        <v/>
      </c>
      <c r="X283" s="210"/>
      <c r="Y283" s="210"/>
      <c r="Z283" s="210"/>
      <c r="AI283" s="114">
        <f t="shared" ref="AI283:AI346" si="79">IF(C283&gt;$AD$28,0,R283+S283+T283+U283+J283)</f>
        <v>0</v>
      </c>
      <c r="AJ283" s="113"/>
      <c r="AL283" s="477">
        <f t="shared" ref="AL283:AL346" ca="1" si="80">IFERROR(IF(V282&gt;$AD$28,0,R283),0)</f>
        <v>0</v>
      </c>
    </row>
    <row r="284" spans="2:38">
      <c r="B284" s="222">
        <f ca="1">Fixa!B284</f>
        <v>54073</v>
      </c>
      <c r="C284" s="223" t="str">
        <f>Fixa!C284</f>
        <v/>
      </c>
      <c r="D284" s="43" t="e">
        <f t="shared" si="71"/>
        <v>#VALUE!</v>
      </c>
      <c r="E284" s="43" t="e">
        <f t="shared" si="65"/>
        <v>#VALUE!</v>
      </c>
      <c r="F284" s="43" t="e">
        <f t="shared" si="66"/>
        <v>#VALUE!</v>
      </c>
      <c r="G284" s="43" t="e">
        <f t="shared" si="67"/>
        <v>#VALUE!</v>
      </c>
      <c r="H284" s="43" t="e">
        <f t="shared" ca="1" si="68"/>
        <v>#VALUE!</v>
      </c>
      <c r="I284" s="43">
        <f t="shared" si="69"/>
        <v>0</v>
      </c>
      <c r="J284" s="229">
        <f t="shared" si="72"/>
        <v>25</v>
      </c>
      <c r="K284" s="43">
        <f t="shared" si="73"/>
        <v>0</v>
      </c>
      <c r="M284" s="224"/>
      <c r="N284" s="225">
        <f t="shared" si="74"/>
        <v>0</v>
      </c>
      <c r="O284" s="43" t="e">
        <f t="shared" si="75"/>
        <v>#VALUE!</v>
      </c>
      <c r="P284" s="43" t="e">
        <f>ROUND(IF(Preenchimento!$G$39="Tabela Price",R284-Q284,(O283*(1+$AD$35))/($AD$28-C283)),$P$22)</f>
        <v>#VALUE!</v>
      </c>
      <c r="Q284" s="43" t="e">
        <f>IF(Preenchimento!$G$39="Tabela Price",O283*(1+$AD$35)*W284,O283*(1+SAC!$AD$35)*SAC!W284)</f>
        <v>#VALUE!</v>
      </c>
      <c r="R284" s="43" t="e">
        <f>IF(Preenchimento!$G$39="Tabela Price",IF(C284="","",((((((1+W284)^($Q$16-C283))*W284)/((1+W284)^($Q$16-C283)-1))*(O283*(1+$AD$35))))),Q284+P284)</f>
        <v>#VALUE!</v>
      </c>
      <c r="S284" s="43" t="e">
        <f t="shared" ca="1" si="70"/>
        <v>#VALUE!</v>
      </c>
      <c r="T284" s="43">
        <f t="shared" si="76"/>
        <v>0</v>
      </c>
      <c r="U284" s="226">
        <f>TRUNC(T284*Condições!$C$102,2)</f>
        <v>0</v>
      </c>
      <c r="V284" s="82">
        <f t="shared" ca="1" si="77"/>
        <v>1</v>
      </c>
      <c r="W284" s="231" t="str">
        <f t="shared" si="78"/>
        <v/>
      </c>
      <c r="X284" s="210"/>
      <c r="Y284" s="210"/>
      <c r="Z284" s="210"/>
      <c r="AI284" s="114">
        <f t="shared" si="79"/>
        <v>0</v>
      </c>
      <c r="AJ284" s="113"/>
      <c r="AL284" s="477">
        <f t="shared" ca="1" si="80"/>
        <v>0</v>
      </c>
    </row>
    <row r="285" spans="2:38">
      <c r="B285" s="222">
        <f ca="1">Fixa!B285</f>
        <v>54104</v>
      </c>
      <c r="C285" s="223" t="str">
        <f>Fixa!C285</f>
        <v/>
      </c>
      <c r="D285" s="43" t="e">
        <f t="shared" si="71"/>
        <v>#VALUE!</v>
      </c>
      <c r="E285" s="43" t="e">
        <f t="shared" si="65"/>
        <v>#VALUE!</v>
      </c>
      <c r="F285" s="43" t="e">
        <f t="shared" si="66"/>
        <v>#VALUE!</v>
      </c>
      <c r="G285" s="43" t="e">
        <f t="shared" si="67"/>
        <v>#VALUE!</v>
      </c>
      <c r="H285" s="43" t="e">
        <f t="shared" ca="1" si="68"/>
        <v>#VALUE!</v>
      </c>
      <c r="I285" s="43">
        <f t="shared" si="69"/>
        <v>0</v>
      </c>
      <c r="J285" s="229">
        <f t="shared" si="72"/>
        <v>25</v>
      </c>
      <c r="K285" s="43">
        <f t="shared" si="73"/>
        <v>0</v>
      </c>
      <c r="M285" s="224"/>
      <c r="N285" s="225">
        <f t="shared" si="74"/>
        <v>0</v>
      </c>
      <c r="O285" s="43" t="e">
        <f t="shared" si="75"/>
        <v>#VALUE!</v>
      </c>
      <c r="P285" s="43" t="e">
        <f>ROUND(IF(Preenchimento!$G$39="Tabela Price",R285-Q285,(O284*(1+$AD$35))/($AD$28-C284)),$P$22)</f>
        <v>#VALUE!</v>
      </c>
      <c r="Q285" s="43" t="e">
        <f>IF(Preenchimento!$G$39="Tabela Price",O284*(1+$AD$35)*W285,O284*(1+SAC!$AD$35)*SAC!W285)</f>
        <v>#VALUE!</v>
      </c>
      <c r="R285" s="43" t="e">
        <f>IF(Preenchimento!$G$39="Tabela Price",IF(C285="","",((((((1+W285)^($Q$16-C284))*W285)/((1+W285)^($Q$16-C284)-1))*(O284*(1+$AD$35))))),Q285+P285)</f>
        <v>#VALUE!</v>
      </c>
      <c r="S285" s="43" t="e">
        <f t="shared" ca="1" si="70"/>
        <v>#VALUE!</v>
      </c>
      <c r="T285" s="43">
        <f t="shared" si="76"/>
        <v>0</v>
      </c>
      <c r="U285" s="226">
        <f>TRUNC(T285*Condições!$C$102,2)</f>
        <v>0</v>
      </c>
      <c r="V285" s="82">
        <f t="shared" ca="1" si="77"/>
        <v>2</v>
      </c>
      <c r="W285" s="231" t="str">
        <f t="shared" si="78"/>
        <v/>
      </c>
      <c r="X285" s="210"/>
      <c r="Y285" s="210"/>
      <c r="Z285" s="210"/>
      <c r="AI285" s="114">
        <f t="shared" si="79"/>
        <v>0</v>
      </c>
      <c r="AJ285" s="113"/>
      <c r="AL285" s="477">
        <f t="shared" ca="1" si="80"/>
        <v>0</v>
      </c>
    </row>
    <row r="286" spans="2:38">
      <c r="B286" s="222">
        <f ca="1">Fixa!B286</f>
        <v>54133</v>
      </c>
      <c r="C286" s="223" t="str">
        <f>Fixa!C286</f>
        <v/>
      </c>
      <c r="D286" s="43" t="e">
        <f t="shared" si="71"/>
        <v>#VALUE!</v>
      </c>
      <c r="E286" s="43" t="e">
        <f t="shared" si="65"/>
        <v>#VALUE!</v>
      </c>
      <c r="F286" s="43" t="e">
        <f t="shared" si="66"/>
        <v>#VALUE!</v>
      </c>
      <c r="G286" s="43" t="e">
        <f t="shared" si="67"/>
        <v>#VALUE!</v>
      </c>
      <c r="H286" s="43" t="e">
        <f t="shared" ca="1" si="68"/>
        <v>#VALUE!</v>
      </c>
      <c r="I286" s="43">
        <f t="shared" si="69"/>
        <v>0</v>
      </c>
      <c r="J286" s="229">
        <f t="shared" si="72"/>
        <v>25</v>
      </c>
      <c r="K286" s="43">
        <f t="shared" si="73"/>
        <v>0</v>
      </c>
      <c r="M286" s="224"/>
      <c r="N286" s="225">
        <f t="shared" si="74"/>
        <v>0</v>
      </c>
      <c r="O286" s="43" t="e">
        <f t="shared" si="75"/>
        <v>#VALUE!</v>
      </c>
      <c r="P286" s="43" t="e">
        <f>ROUND(IF(Preenchimento!$G$39="Tabela Price",R286-Q286,(O285*(1+$AD$35))/($AD$28-C285)),$P$22)</f>
        <v>#VALUE!</v>
      </c>
      <c r="Q286" s="43" t="e">
        <f>IF(Preenchimento!$G$39="Tabela Price",O285*(1+$AD$35)*W286,O285*(1+SAC!$AD$35)*SAC!W286)</f>
        <v>#VALUE!</v>
      </c>
      <c r="R286" s="43" t="e">
        <f>IF(Preenchimento!$G$39="Tabela Price",IF(C286="","",((((((1+W286)^($Q$16-C285))*W286)/((1+W286)^($Q$16-C285)-1))*(O285*(1+$AD$35))))),Q286+P286)</f>
        <v>#VALUE!</v>
      </c>
      <c r="S286" s="43" t="e">
        <f t="shared" ca="1" si="70"/>
        <v>#VALUE!</v>
      </c>
      <c r="T286" s="43">
        <f t="shared" si="76"/>
        <v>0</v>
      </c>
      <c r="U286" s="226">
        <f>TRUNC(T286*Condições!$C$102,2)</f>
        <v>0</v>
      </c>
      <c r="V286" s="82">
        <f t="shared" ca="1" si="77"/>
        <v>3</v>
      </c>
      <c r="W286" s="231" t="str">
        <f t="shared" si="78"/>
        <v/>
      </c>
      <c r="X286" s="210"/>
      <c r="Y286" s="210"/>
      <c r="Z286" s="210"/>
      <c r="AI286" s="114">
        <f t="shared" si="79"/>
        <v>0</v>
      </c>
      <c r="AJ286" s="113"/>
      <c r="AL286" s="477">
        <f t="shared" ca="1" si="80"/>
        <v>0</v>
      </c>
    </row>
    <row r="287" spans="2:38">
      <c r="B287" s="222">
        <f ca="1">Fixa!B287</f>
        <v>54164</v>
      </c>
      <c r="C287" s="223" t="str">
        <f>Fixa!C287</f>
        <v/>
      </c>
      <c r="D287" s="43" t="e">
        <f t="shared" si="71"/>
        <v>#VALUE!</v>
      </c>
      <c r="E287" s="43" t="e">
        <f t="shared" si="65"/>
        <v>#VALUE!</v>
      </c>
      <c r="F287" s="43" t="e">
        <f t="shared" si="66"/>
        <v>#VALUE!</v>
      </c>
      <c r="G287" s="43" t="e">
        <f t="shared" si="67"/>
        <v>#VALUE!</v>
      </c>
      <c r="H287" s="43" t="e">
        <f t="shared" ca="1" si="68"/>
        <v>#VALUE!</v>
      </c>
      <c r="I287" s="43">
        <f t="shared" si="69"/>
        <v>0</v>
      </c>
      <c r="J287" s="229">
        <f t="shared" si="72"/>
        <v>25</v>
      </c>
      <c r="K287" s="43">
        <f t="shared" si="73"/>
        <v>0</v>
      </c>
      <c r="M287" s="224"/>
      <c r="N287" s="225">
        <f t="shared" si="74"/>
        <v>0</v>
      </c>
      <c r="O287" s="43" t="e">
        <f t="shared" si="75"/>
        <v>#VALUE!</v>
      </c>
      <c r="P287" s="43" t="e">
        <f>ROUND(IF(Preenchimento!$G$39="Tabela Price",R287-Q287,(O286*(1+$AD$35))/($AD$28-C286)),$P$22)</f>
        <v>#VALUE!</v>
      </c>
      <c r="Q287" s="43" t="e">
        <f>IF(Preenchimento!$G$39="Tabela Price",O286*(1+$AD$35)*W287,O286*(1+SAC!$AD$35)*SAC!W287)</f>
        <v>#VALUE!</v>
      </c>
      <c r="R287" s="43" t="e">
        <f>IF(Preenchimento!$G$39="Tabela Price",IF(C287="","",((((((1+W287)^($Q$16-C286))*W287)/((1+W287)^($Q$16-C286)-1))*(O286*(1+$AD$35))))),Q287+P287)</f>
        <v>#VALUE!</v>
      </c>
      <c r="S287" s="43" t="e">
        <f t="shared" ca="1" si="70"/>
        <v>#VALUE!</v>
      </c>
      <c r="T287" s="43">
        <f t="shared" si="76"/>
        <v>0</v>
      </c>
      <c r="U287" s="226">
        <f>TRUNC(T287*Condições!$C$102,2)</f>
        <v>0</v>
      </c>
      <c r="V287" s="82">
        <f t="shared" ca="1" si="77"/>
        <v>4</v>
      </c>
      <c r="W287" s="231" t="str">
        <f t="shared" si="78"/>
        <v/>
      </c>
      <c r="X287" s="210"/>
      <c r="Y287" s="210"/>
      <c r="Z287" s="210"/>
      <c r="AI287" s="114">
        <f t="shared" si="79"/>
        <v>0</v>
      </c>
      <c r="AJ287" s="113"/>
      <c r="AL287" s="477">
        <f t="shared" ca="1" si="80"/>
        <v>0</v>
      </c>
    </row>
    <row r="288" spans="2:38">
      <c r="B288" s="222">
        <f ca="1">Fixa!B288</f>
        <v>54194</v>
      </c>
      <c r="C288" s="223" t="str">
        <f>Fixa!C288</f>
        <v/>
      </c>
      <c r="D288" s="43" t="e">
        <f t="shared" si="71"/>
        <v>#VALUE!</v>
      </c>
      <c r="E288" s="43" t="e">
        <f t="shared" si="65"/>
        <v>#VALUE!</v>
      </c>
      <c r="F288" s="43" t="e">
        <f t="shared" si="66"/>
        <v>#VALUE!</v>
      </c>
      <c r="G288" s="43" t="e">
        <f t="shared" si="67"/>
        <v>#VALUE!</v>
      </c>
      <c r="H288" s="43" t="e">
        <f t="shared" ca="1" si="68"/>
        <v>#VALUE!</v>
      </c>
      <c r="I288" s="43">
        <f t="shared" si="69"/>
        <v>0</v>
      </c>
      <c r="J288" s="229">
        <f t="shared" si="72"/>
        <v>25</v>
      </c>
      <c r="K288" s="43">
        <f t="shared" si="73"/>
        <v>0</v>
      </c>
      <c r="M288" s="224"/>
      <c r="N288" s="225">
        <f t="shared" si="74"/>
        <v>0</v>
      </c>
      <c r="O288" s="43" t="e">
        <f t="shared" si="75"/>
        <v>#VALUE!</v>
      </c>
      <c r="P288" s="43" t="e">
        <f>ROUND(IF(Preenchimento!$G$39="Tabela Price",R288-Q288,(O287*(1+$AD$35))/($AD$28-C287)),$P$22)</f>
        <v>#VALUE!</v>
      </c>
      <c r="Q288" s="43" t="e">
        <f>IF(Preenchimento!$G$39="Tabela Price",O287*(1+$AD$35)*W288,O287*(1+SAC!$AD$35)*SAC!W288)</f>
        <v>#VALUE!</v>
      </c>
      <c r="R288" s="43" t="e">
        <f>IF(Preenchimento!$G$39="Tabela Price",IF(C288="","",((((((1+W288)^($Q$16-C287))*W288)/((1+W288)^($Q$16-C287)-1))*(O287*(1+$AD$35))))),Q288+P288)</f>
        <v>#VALUE!</v>
      </c>
      <c r="S288" s="43" t="e">
        <f t="shared" ca="1" si="70"/>
        <v>#VALUE!</v>
      </c>
      <c r="T288" s="43">
        <f t="shared" si="76"/>
        <v>0</v>
      </c>
      <c r="U288" s="226">
        <f>TRUNC(T288*Condições!$C$102,2)</f>
        <v>0</v>
      </c>
      <c r="V288" s="82">
        <f t="shared" ca="1" si="77"/>
        <v>5</v>
      </c>
      <c r="W288" s="231" t="str">
        <f t="shared" si="78"/>
        <v/>
      </c>
      <c r="X288" s="210"/>
      <c r="Y288" s="210"/>
      <c r="Z288" s="210"/>
      <c r="AI288" s="114">
        <f t="shared" si="79"/>
        <v>0</v>
      </c>
      <c r="AJ288" s="113"/>
      <c r="AL288" s="477">
        <f t="shared" ca="1" si="80"/>
        <v>0</v>
      </c>
    </row>
    <row r="289" spans="2:38">
      <c r="B289" s="222">
        <f ca="1">Fixa!B289</f>
        <v>54225</v>
      </c>
      <c r="C289" s="223" t="str">
        <f>Fixa!C289</f>
        <v/>
      </c>
      <c r="D289" s="43" t="e">
        <f t="shared" si="71"/>
        <v>#VALUE!</v>
      </c>
      <c r="E289" s="43" t="e">
        <f t="shared" si="65"/>
        <v>#VALUE!</v>
      </c>
      <c r="F289" s="43" t="e">
        <f t="shared" si="66"/>
        <v>#VALUE!</v>
      </c>
      <c r="G289" s="43" t="e">
        <f t="shared" si="67"/>
        <v>#VALUE!</v>
      </c>
      <c r="H289" s="43" t="e">
        <f t="shared" ca="1" si="68"/>
        <v>#VALUE!</v>
      </c>
      <c r="I289" s="43">
        <f t="shared" si="69"/>
        <v>0</v>
      </c>
      <c r="J289" s="229">
        <f t="shared" si="72"/>
        <v>25</v>
      </c>
      <c r="K289" s="43">
        <f t="shared" si="73"/>
        <v>0</v>
      </c>
      <c r="M289" s="224"/>
      <c r="N289" s="225">
        <f t="shared" si="74"/>
        <v>0</v>
      </c>
      <c r="O289" s="43" t="e">
        <f t="shared" si="75"/>
        <v>#VALUE!</v>
      </c>
      <c r="P289" s="43" t="e">
        <f>ROUND(IF(Preenchimento!$G$39="Tabela Price",R289-Q289,(O288*(1+$AD$35))/($AD$28-C288)),$P$22)</f>
        <v>#VALUE!</v>
      </c>
      <c r="Q289" s="43" t="e">
        <f>IF(Preenchimento!$G$39="Tabela Price",O288*(1+$AD$35)*W289,O288*(1+SAC!$AD$35)*SAC!W289)</f>
        <v>#VALUE!</v>
      </c>
      <c r="R289" s="43" t="e">
        <f>IF(Preenchimento!$G$39="Tabela Price",IF(C289="","",((((((1+W289)^($Q$16-C288))*W289)/((1+W289)^($Q$16-C288)-1))*(O288*(1+$AD$35))))),Q289+P289)</f>
        <v>#VALUE!</v>
      </c>
      <c r="S289" s="43" t="e">
        <f t="shared" ca="1" si="70"/>
        <v>#VALUE!</v>
      </c>
      <c r="T289" s="43">
        <f t="shared" si="76"/>
        <v>0</v>
      </c>
      <c r="U289" s="226">
        <f>TRUNC(T289*Condições!$C$102,2)</f>
        <v>0</v>
      </c>
      <c r="V289" s="82">
        <f t="shared" ca="1" si="77"/>
        <v>6</v>
      </c>
      <c r="W289" s="231" t="str">
        <f t="shared" si="78"/>
        <v/>
      </c>
      <c r="X289" s="210"/>
      <c r="Y289" s="210"/>
      <c r="Z289" s="210"/>
      <c r="AI289" s="114">
        <f t="shared" si="79"/>
        <v>0</v>
      </c>
      <c r="AJ289" s="113"/>
      <c r="AL289" s="477">
        <f t="shared" ca="1" si="80"/>
        <v>0</v>
      </c>
    </row>
    <row r="290" spans="2:38">
      <c r="B290" s="222">
        <f ca="1">Fixa!B290</f>
        <v>54255</v>
      </c>
      <c r="C290" s="223" t="str">
        <f>Fixa!C290</f>
        <v/>
      </c>
      <c r="D290" s="43" t="e">
        <f t="shared" si="71"/>
        <v>#VALUE!</v>
      </c>
      <c r="E290" s="43" t="e">
        <f t="shared" si="65"/>
        <v>#VALUE!</v>
      </c>
      <c r="F290" s="43" t="e">
        <f t="shared" si="66"/>
        <v>#VALUE!</v>
      </c>
      <c r="G290" s="43" t="e">
        <f t="shared" si="67"/>
        <v>#VALUE!</v>
      </c>
      <c r="H290" s="43" t="e">
        <f t="shared" ca="1" si="68"/>
        <v>#VALUE!</v>
      </c>
      <c r="I290" s="43">
        <f t="shared" si="69"/>
        <v>0</v>
      </c>
      <c r="J290" s="229">
        <f t="shared" si="72"/>
        <v>25</v>
      </c>
      <c r="K290" s="43">
        <f t="shared" si="73"/>
        <v>0</v>
      </c>
      <c r="M290" s="224"/>
      <c r="N290" s="225">
        <f t="shared" si="74"/>
        <v>0</v>
      </c>
      <c r="O290" s="43" t="e">
        <f t="shared" si="75"/>
        <v>#VALUE!</v>
      </c>
      <c r="P290" s="43" t="e">
        <f>ROUND(IF(Preenchimento!$G$39="Tabela Price",R290-Q290,(O289*(1+$AD$35))/($AD$28-C289)),$P$22)</f>
        <v>#VALUE!</v>
      </c>
      <c r="Q290" s="43" t="e">
        <f>IF(Preenchimento!$G$39="Tabela Price",O289*(1+$AD$35)*W290,O289*(1+SAC!$AD$35)*SAC!W290)</f>
        <v>#VALUE!</v>
      </c>
      <c r="R290" s="43" t="e">
        <f>IF(Preenchimento!$G$39="Tabela Price",IF(C290="","",((((((1+W290)^($Q$16-C289))*W290)/((1+W290)^($Q$16-C289)-1))*(O289*(1+$AD$35))))),Q290+P290)</f>
        <v>#VALUE!</v>
      </c>
      <c r="S290" s="43" t="e">
        <f t="shared" ca="1" si="70"/>
        <v>#VALUE!</v>
      </c>
      <c r="T290" s="43">
        <f t="shared" si="76"/>
        <v>0</v>
      </c>
      <c r="U290" s="226">
        <f>TRUNC(T290*Condições!$C$102,2)</f>
        <v>0</v>
      </c>
      <c r="V290" s="82">
        <f t="shared" ca="1" si="77"/>
        <v>7</v>
      </c>
      <c r="W290" s="231" t="str">
        <f t="shared" si="78"/>
        <v/>
      </c>
      <c r="X290" s="210"/>
      <c r="Y290" s="210"/>
      <c r="Z290" s="210"/>
      <c r="AI290" s="114">
        <f t="shared" si="79"/>
        <v>0</v>
      </c>
      <c r="AJ290" s="113"/>
      <c r="AL290" s="477">
        <f t="shared" ca="1" si="80"/>
        <v>0</v>
      </c>
    </row>
    <row r="291" spans="2:38">
      <c r="B291" s="222">
        <f ca="1">Fixa!B291</f>
        <v>54286</v>
      </c>
      <c r="C291" s="223" t="str">
        <f>Fixa!C291</f>
        <v/>
      </c>
      <c r="D291" s="43" t="e">
        <f t="shared" si="71"/>
        <v>#VALUE!</v>
      </c>
      <c r="E291" s="43" t="e">
        <f t="shared" si="65"/>
        <v>#VALUE!</v>
      </c>
      <c r="F291" s="43" t="e">
        <f t="shared" si="66"/>
        <v>#VALUE!</v>
      </c>
      <c r="G291" s="43" t="e">
        <f t="shared" si="67"/>
        <v>#VALUE!</v>
      </c>
      <c r="H291" s="43" t="e">
        <f t="shared" ca="1" si="68"/>
        <v>#VALUE!</v>
      </c>
      <c r="I291" s="43">
        <f t="shared" si="69"/>
        <v>0</v>
      </c>
      <c r="J291" s="229">
        <f t="shared" si="72"/>
        <v>25</v>
      </c>
      <c r="K291" s="43">
        <f t="shared" si="73"/>
        <v>0</v>
      </c>
      <c r="M291" s="224"/>
      <c r="N291" s="225">
        <f t="shared" si="74"/>
        <v>0</v>
      </c>
      <c r="O291" s="43" t="e">
        <f t="shared" si="75"/>
        <v>#VALUE!</v>
      </c>
      <c r="P291" s="43" t="e">
        <f>ROUND(IF(Preenchimento!$G$39="Tabela Price",R291-Q291,(O290*(1+$AD$35))/($AD$28-C290)),$P$22)</f>
        <v>#VALUE!</v>
      </c>
      <c r="Q291" s="43" t="e">
        <f>IF(Preenchimento!$G$39="Tabela Price",O290*(1+$AD$35)*W291,O290*(1+SAC!$AD$35)*SAC!W291)</f>
        <v>#VALUE!</v>
      </c>
      <c r="R291" s="43" t="e">
        <f>IF(Preenchimento!$G$39="Tabela Price",IF(C291="","",((((((1+W291)^($Q$16-C290))*W291)/((1+W291)^($Q$16-C290)-1))*(O290*(1+$AD$35))))),Q291+P291)</f>
        <v>#VALUE!</v>
      </c>
      <c r="S291" s="43" t="e">
        <f t="shared" ca="1" si="70"/>
        <v>#VALUE!</v>
      </c>
      <c r="T291" s="43">
        <f t="shared" si="76"/>
        <v>0</v>
      </c>
      <c r="U291" s="226">
        <f>TRUNC(T291*Condições!$C$102,2)</f>
        <v>0</v>
      </c>
      <c r="V291" s="82">
        <f t="shared" ca="1" si="77"/>
        <v>8</v>
      </c>
      <c r="W291" s="231" t="str">
        <f t="shared" si="78"/>
        <v/>
      </c>
      <c r="X291" s="210"/>
      <c r="Y291" s="210"/>
      <c r="Z291" s="210"/>
      <c r="AI291" s="114">
        <f t="shared" si="79"/>
        <v>0</v>
      </c>
      <c r="AJ291" s="113"/>
      <c r="AL291" s="477">
        <f t="shared" ca="1" si="80"/>
        <v>0</v>
      </c>
    </row>
    <row r="292" spans="2:38">
      <c r="B292" s="222">
        <f ca="1">Fixa!B292</f>
        <v>54317</v>
      </c>
      <c r="C292" s="223" t="str">
        <f>Fixa!C292</f>
        <v/>
      </c>
      <c r="D292" s="43" t="e">
        <f t="shared" si="71"/>
        <v>#VALUE!</v>
      </c>
      <c r="E292" s="43" t="e">
        <f t="shared" si="65"/>
        <v>#VALUE!</v>
      </c>
      <c r="F292" s="43" t="e">
        <f t="shared" si="66"/>
        <v>#VALUE!</v>
      </c>
      <c r="G292" s="43" t="e">
        <f t="shared" si="67"/>
        <v>#VALUE!</v>
      </c>
      <c r="H292" s="43" t="e">
        <f t="shared" ca="1" si="68"/>
        <v>#VALUE!</v>
      </c>
      <c r="I292" s="43">
        <f t="shared" si="69"/>
        <v>0</v>
      </c>
      <c r="J292" s="229">
        <f t="shared" si="72"/>
        <v>25</v>
      </c>
      <c r="K292" s="43">
        <f t="shared" si="73"/>
        <v>0</v>
      </c>
      <c r="M292" s="224"/>
      <c r="N292" s="225">
        <f t="shared" si="74"/>
        <v>0</v>
      </c>
      <c r="O292" s="43" t="e">
        <f t="shared" si="75"/>
        <v>#VALUE!</v>
      </c>
      <c r="P292" s="43" t="e">
        <f>ROUND(IF(Preenchimento!$G$39="Tabela Price",R292-Q292,(O291*(1+$AD$35))/($AD$28-C291)),$P$22)</f>
        <v>#VALUE!</v>
      </c>
      <c r="Q292" s="43" t="e">
        <f>IF(Preenchimento!$G$39="Tabela Price",O291*(1+$AD$35)*W292,O291*(1+SAC!$AD$35)*SAC!W292)</f>
        <v>#VALUE!</v>
      </c>
      <c r="R292" s="43" t="e">
        <f>IF(Preenchimento!$G$39="Tabela Price",IF(C292="","",((((((1+W292)^($Q$16-C291))*W292)/((1+W292)^($Q$16-C291)-1))*(O291*(1+$AD$35))))),Q292+P292)</f>
        <v>#VALUE!</v>
      </c>
      <c r="S292" s="43" t="e">
        <f t="shared" ca="1" si="70"/>
        <v>#VALUE!</v>
      </c>
      <c r="T292" s="43">
        <f t="shared" si="76"/>
        <v>0</v>
      </c>
      <c r="U292" s="226">
        <f>TRUNC(T292*Condições!$C$102,2)</f>
        <v>0</v>
      </c>
      <c r="V292" s="82">
        <f t="shared" ca="1" si="77"/>
        <v>9</v>
      </c>
      <c r="W292" s="231" t="str">
        <f t="shared" si="78"/>
        <v/>
      </c>
      <c r="X292" s="210"/>
      <c r="Y292" s="210"/>
      <c r="Z292" s="210"/>
      <c r="AI292" s="114">
        <f t="shared" si="79"/>
        <v>0</v>
      </c>
      <c r="AJ292" s="113"/>
      <c r="AL292" s="477">
        <f t="shared" ca="1" si="80"/>
        <v>0</v>
      </c>
    </row>
    <row r="293" spans="2:38">
      <c r="B293" s="222">
        <f ca="1">Fixa!B293</f>
        <v>54347</v>
      </c>
      <c r="C293" s="223" t="str">
        <f>Fixa!C293</f>
        <v/>
      </c>
      <c r="D293" s="43" t="e">
        <f t="shared" si="71"/>
        <v>#VALUE!</v>
      </c>
      <c r="E293" s="43" t="e">
        <f t="shared" si="65"/>
        <v>#VALUE!</v>
      </c>
      <c r="F293" s="43" t="e">
        <f t="shared" si="66"/>
        <v>#VALUE!</v>
      </c>
      <c r="G293" s="43" t="e">
        <f t="shared" si="67"/>
        <v>#VALUE!</v>
      </c>
      <c r="H293" s="43" t="e">
        <f t="shared" ca="1" si="68"/>
        <v>#VALUE!</v>
      </c>
      <c r="I293" s="43">
        <f t="shared" si="69"/>
        <v>0</v>
      </c>
      <c r="J293" s="229">
        <f t="shared" si="72"/>
        <v>25</v>
      </c>
      <c r="K293" s="43">
        <f t="shared" si="73"/>
        <v>0</v>
      </c>
      <c r="M293" s="224"/>
      <c r="N293" s="225">
        <f t="shared" si="74"/>
        <v>0</v>
      </c>
      <c r="O293" s="43" t="e">
        <f t="shared" si="75"/>
        <v>#VALUE!</v>
      </c>
      <c r="P293" s="43" t="e">
        <f>ROUND(IF(Preenchimento!$G$39="Tabela Price",R293-Q293,(O292*(1+$AD$35))/($AD$28-C292)),$P$22)</f>
        <v>#VALUE!</v>
      </c>
      <c r="Q293" s="43" t="e">
        <f>IF(Preenchimento!$G$39="Tabela Price",O292*(1+$AD$35)*W293,O292*(1+SAC!$AD$35)*SAC!W293)</f>
        <v>#VALUE!</v>
      </c>
      <c r="R293" s="43" t="e">
        <f>IF(Preenchimento!$G$39="Tabela Price",IF(C293="","",((((((1+W293)^($Q$16-C292))*W293)/((1+W293)^($Q$16-C292)-1))*(O292*(1+$AD$35))))),Q293+P293)</f>
        <v>#VALUE!</v>
      </c>
      <c r="S293" s="43" t="e">
        <f t="shared" ca="1" si="70"/>
        <v>#VALUE!</v>
      </c>
      <c r="T293" s="43">
        <f t="shared" si="76"/>
        <v>0</v>
      </c>
      <c r="U293" s="226">
        <f>TRUNC(T293*Condições!$C$102,2)</f>
        <v>0</v>
      </c>
      <c r="V293" s="82">
        <f t="shared" ca="1" si="77"/>
        <v>10</v>
      </c>
      <c r="W293" s="231" t="str">
        <f t="shared" si="78"/>
        <v/>
      </c>
      <c r="X293" s="210"/>
      <c r="Y293" s="210"/>
      <c r="Z293" s="210"/>
      <c r="AI293" s="114">
        <f t="shared" si="79"/>
        <v>0</v>
      </c>
      <c r="AJ293" s="113"/>
      <c r="AL293" s="477">
        <f t="shared" ca="1" si="80"/>
        <v>0</v>
      </c>
    </row>
    <row r="294" spans="2:38">
      <c r="B294" s="222">
        <f ca="1">Fixa!B294</f>
        <v>54378</v>
      </c>
      <c r="C294" s="223" t="str">
        <f>Fixa!C294</f>
        <v/>
      </c>
      <c r="D294" s="43" t="e">
        <f t="shared" si="71"/>
        <v>#VALUE!</v>
      </c>
      <c r="E294" s="43" t="e">
        <f t="shared" si="65"/>
        <v>#VALUE!</v>
      </c>
      <c r="F294" s="43" t="e">
        <f t="shared" si="66"/>
        <v>#VALUE!</v>
      </c>
      <c r="G294" s="43" t="e">
        <f t="shared" si="67"/>
        <v>#VALUE!</v>
      </c>
      <c r="H294" s="43" t="e">
        <f t="shared" ca="1" si="68"/>
        <v>#VALUE!</v>
      </c>
      <c r="I294" s="43">
        <f t="shared" si="69"/>
        <v>0</v>
      </c>
      <c r="J294" s="229">
        <f t="shared" si="72"/>
        <v>25</v>
      </c>
      <c r="K294" s="43">
        <f t="shared" si="73"/>
        <v>0</v>
      </c>
      <c r="M294" s="224"/>
      <c r="N294" s="225">
        <f t="shared" si="74"/>
        <v>0</v>
      </c>
      <c r="O294" s="43" t="e">
        <f t="shared" si="75"/>
        <v>#VALUE!</v>
      </c>
      <c r="P294" s="43" t="e">
        <f>ROUND(IF(Preenchimento!$G$39="Tabela Price",R294-Q294,(O293*(1+$AD$35))/($AD$28-C293)),$P$22)</f>
        <v>#VALUE!</v>
      </c>
      <c r="Q294" s="43" t="e">
        <f>IF(Preenchimento!$G$39="Tabela Price",O293*(1+$AD$35)*W294,O293*(1+SAC!$AD$35)*SAC!W294)</f>
        <v>#VALUE!</v>
      </c>
      <c r="R294" s="43" t="e">
        <f>IF(Preenchimento!$G$39="Tabela Price",IF(C294="","",((((((1+W294)^($Q$16-C293))*W294)/((1+W294)^($Q$16-C293)-1))*(O293*(1+$AD$35))))),Q294+P294)</f>
        <v>#VALUE!</v>
      </c>
      <c r="S294" s="43" t="e">
        <f t="shared" ca="1" si="70"/>
        <v>#VALUE!</v>
      </c>
      <c r="T294" s="43">
        <f t="shared" si="76"/>
        <v>0</v>
      </c>
      <c r="U294" s="226">
        <f>TRUNC(T294*Condições!$C$102,2)</f>
        <v>0</v>
      </c>
      <c r="V294" s="82">
        <f t="shared" ca="1" si="77"/>
        <v>11</v>
      </c>
      <c r="W294" s="231" t="str">
        <f t="shared" si="78"/>
        <v/>
      </c>
      <c r="X294" s="210"/>
      <c r="Y294" s="210"/>
      <c r="Z294" s="210"/>
      <c r="AI294" s="114">
        <f t="shared" si="79"/>
        <v>0</v>
      </c>
      <c r="AJ294" s="113"/>
      <c r="AL294" s="477">
        <f t="shared" ca="1" si="80"/>
        <v>0</v>
      </c>
    </row>
    <row r="295" spans="2:38">
      <c r="B295" s="222">
        <f ca="1">Fixa!B295</f>
        <v>54408</v>
      </c>
      <c r="C295" s="223" t="str">
        <f>Fixa!C295</f>
        <v/>
      </c>
      <c r="D295" s="43" t="e">
        <f t="shared" si="71"/>
        <v>#VALUE!</v>
      </c>
      <c r="E295" s="43" t="e">
        <f t="shared" si="65"/>
        <v>#VALUE!</v>
      </c>
      <c r="F295" s="43" t="e">
        <f t="shared" si="66"/>
        <v>#VALUE!</v>
      </c>
      <c r="G295" s="43" t="e">
        <f t="shared" si="67"/>
        <v>#VALUE!</v>
      </c>
      <c r="H295" s="43" t="e">
        <f t="shared" ca="1" si="68"/>
        <v>#VALUE!</v>
      </c>
      <c r="I295" s="43">
        <f t="shared" si="69"/>
        <v>0</v>
      </c>
      <c r="J295" s="229">
        <f t="shared" si="72"/>
        <v>25</v>
      </c>
      <c r="K295" s="43">
        <f t="shared" si="73"/>
        <v>0</v>
      </c>
      <c r="M295" s="224"/>
      <c r="N295" s="225">
        <f t="shared" si="74"/>
        <v>0</v>
      </c>
      <c r="O295" s="43" t="e">
        <f t="shared" si="75"/>
        <v>#VALUE!</v>
      </c>
      <c r="P295" s="43" t="e">
        <f>ROUND(IF(Preenchimento!$G$39="Tabela Price",R295-Q295,(O294*(1+$AD$35))/($AD$28-C294)),$P$22)</f>
        <v>#VALUE!</v>
      </c>
      <c r="Q295" s="43" t="e">
        <f>IF(Preenchimento!$G$39="Tabela Price",O294*(1+$AD$35)*W295,O294*(1+SAC!$AD$35)*SAC!W295)</f>
        <v>#VALUE!</v>
      </c>
      <c r="R295" s="43" t="e">
        <f>IF(Preenchimento!$G$39="Tabela Price",IF(C295="","",((((((1+W295)^($Q$16-C294))*W295)/((1+W295)^($Q$16-C294)-1))*(O294*(1+$AD$35))))),Q295+P295)</f>
        <v>#VALUE!</v>
      </c>
      <c r="S295" s="43" t="e">
        <f t="shared" ca="1" si="70"/>
        <v>#VALUE!</v>
      </c>
      <c r="T295" s="43">
        <f t="shared" si="76"/>
        <v>0</v>
      </c>
      <c r="U295" s="226">
        <f>TRUNC(T295*Condições!$C$102,2)</f>
        <v>0</v>
      </c>
      <c r="V295" s="82">
        <f t="shared" ca="1" si="77"/>
        <v>12</v>
      </c>
      <c r="W295" s="231" t="str">
        <f t="shared" si="78"/>
        <v/>
      </c>
      <c r="X295" s="210"/>
      <c r="Y295" s="210"/>
      <c r="Z295" s="210"/>
      <c r="AI295" s="114">
        <f t="shared" si="79"/>
        <v>0</v>
      </c>
      <c r="AJ295" s="113"/>
      <c r="AL295" s="477">
        <f t="shared" ca="1" si="80"/>
        <v>0</v>
      </c>
    </row>
    <row r="296" spans="2:38">
      <c r="B296" s="222">
        <f ca="1">Fixa!B296</f>
        <v>54439</v>
      </c>
      <c r="C296" s="223" t="str">
        <f>Fixa!C296</f>
        <v/>
      </c>
      <c r="D296" s="43" t="e">
        <f t="shared" si="71"/>
        <v>#VALUE!</v>
      </c>
      <c r="E296" s="43" t="e">
        <f t="shared" si="65"/>
        <v>#VALUE!</v>
      </c>
      <c r="F296" s="43" t="e">
        <f t="shared" si="66"/>
        <v>#VALUE!</v>
      </c>
      <c r="G296" s="43" t="e">
        <f t="shared" si="67"/>
        <v>#VALUE!</v>
      </c>
      <c r="H296" s="43" t="e">
        <f t="shared" ca="1" si="68"/>
        <v>#VALUE!</v>
      </c>
      <c r="I296" s="43">
        <f t="shared" si="69"/>
        <v>0</v>
      </c>
      <c r="J296" s="229">
        <f t="shared" si="72"/>
        <v>25</v>
      </c>
      <c r="K296" s="43">
        <f t="shared" si="73"/>
        <v>0</v>
      </c>
      <c r="M296" s="224"/>
      <c r="N296" s="225">
        <f t="shared" si="74"/>
        <v>0</v>
      </c>
      <c r="O296" s="43" t="e">
        <f t="shared" si="75"/>
        <v>#VALUE!</v>
      </c>
      <c r="P296" s="43" t="e">
        <f>ROUND(IF(Preenchimento!$G$39="Tabela Price",R296-Q296,(O295*(1+$AD$35))/($AD$28-C295)),$P$22)</f>
        <v>#VALUE!</v>
      </c>
      <c r="Q296" s="43" t="e">
        <f>IF(Preenchimento!$G$39="Tabela Price",O295*(1+$AD$35)*W296,O295*(1+SAC!$AD$35)*SAC!W296)</f>
        <v>#VALUE!</v>
      </c>
      <c r="R296" s="43" t="e">
        <f>IF(Preenchimento!$G$39="Tabela Price",IF(C296="","",((((((1+W296)^($Q$16-C295))*W296)/((1+W296)^($Q$16-C295)-1))*(O295*(1+$AD$35))))),Q296+P296)</f>
        <v>#VALUE!</v>
      </c>
      <c r="S296" s="43" t="e">
        <f t="shared" ca="1" si="70"/>
        <v>#VALUE!</v>
      </c>
      <c r="T296" s="43">
        <f t="shared" si="76"/>
        <v>0</v>
      </c>
      <c r="U296" s="226">
        <f>TRUNC(T296*Condições!$C$102,2)</f>
        <v>0</v>
      </c>
      <c r="V296" s="82">
        <f t="shared" ca="1" si="77"/>
        <v>1</v>
      </c>
      <c r="W296" s="231" t="str">
        <f t="shared" si="78"/>
        <v/>
      </c>
      <c r="X296" s="210"/>
      <c r="Y296" s="210"/>
      <c r="Z296" s="210"/>
      <c r="AI296" s="114">
        <f t="shared" si="79"/>
        <v>0</v>
      </c>
      <c r="AJ296" s="113"/>
      <c r="AL296" s="477">
        <f t="shared" ca="1" si="80"/>
        <v>0</v>
      </c>
    </row>
    <row r="297" spans="2:38">
      <c r="B297" s="222">
        <f ca="1">Fixa!B297</f>
        <v>54470</v>
      </c>
      <c r="C297" s="223" t="str">
        <f>Fixa!C297</f>
        <v/>
      </c>
      <c r="D297" s="43" t="e">
        <f t="shared" si="71"/>
        <v>#VALUE!</v>
      </c>
      <c r="E297" s="43" t="e">
        <f t="shared" si="65"/>
        <v>#VALUE!</v>
      </c>
      <c r="F297" s="43" t="e">
        <f t="shared" si="66"/>
        <v>#VALUE!</v>
      </c>
      <c r="G297" s="43" t="e">
        <f t="shared" si="67"/>
        <v>#VALUE!</v>
      </c>
      <c r="H297" s="43" t="e">
        <f t="shared" ca="1" si="68"/>
        <v>#VALUE!</v>
      </c>
      <c r="I297" s="43">
        <f t="shared" si="69"/>
        <v>0</v>
      </c>
      <c r="J297" s="229">
        <f t="shared" si="72"/>
        <v>25</v>
      </c>
      <c r="K297" s="43">
        <f t="shared" si="73"/>
        <v>0</v>
      </c>
      <c r="M297" s="224"/>
      <c r="N297" s="225">
        <f t="shared" si="74"/>
        <v>0</v>
      </c>
      <c r="O297" s="43" t="e">
        <f t="shared" si="75"/>
        <v>#VALUE!</v>
      </c>
      <c r="P297" s="43" t="e">
        <f>ROUND(IF(Preenchimento!$G$39="Tabela Price",R297-Q297,(O296*(1+$AD$35))/($AD$28-C296)),$P$22)</f>
        <v>#VALUE!</v>
      </c>
      <c r="Q297" s="43" t="e">
        <f>IF(Preenchimento!$G$39="Tabela Price",O296*(1+$AD$35)*W297,O296*(1+SAC!$AD$35)*SAC!W297)</f>
        <v>#VALUE!</v>
      </c>
      <c r="R297" s="43" t="e">
        <f>IF(Preenchimento!$G$39="Tabela Price",IF(C297="","",((((((1+W297)^($Q$16-C296))*W297)/((1+W297)^($Q$16-C296)-1))*(O296*(1+$AD$35))))),Q297+P297)</f>
        <v>#VALUE!</v>
      </c>
      <c r="S297" s="43" t="e">
        <f t="shared" ca="1" si="70"/>
        <v>#VALUE!</v>
      </c>
      <c r="T297" s="43">
        <f t="shared" si="76"/>
        <v>0</v>
      </c>
      <c r="U297" s="226">
        <f>TRUNC(T297*Condições!$C$102,2)</f>
        <v>0</v>
      </c>
      <c r="V297" s="82">
        <f t="shared" ca="1" si="77"/>
        <v>2</v>
      </c>
      <c r="W297" s="231" t="str">
        <f t="shared" si="78"/>
        <v/>
      </c>
      <c r="X297" s="210"/>
      <c r="Y297" s="210"/>
      <c r="Z297" s="210"/>
      <c r="AI297" s="114">
        <f t="shared" si="79"/>
        <v>0</v>
      </c>
      <c r="AJ297" s="113"/>
      <c r="AL297" s="477">
        <f t="shared" ca="1" si="80"/>
        <v>0</v>
      </c>
    </row>
    <row r="298" spans="2:38">
      <c r="B298" s="222">
        <f ca="1">Fixa!B298</f>
        <v>54498</v>
      </c>
      <c r="C298" s="223" t="str">
        <f>Fixa!C298</f>
        <v/>
      </c>
      <c r="D298" s="43" t="e">
        <f t="shared" si="71"/>
        <v>#VALUE!</v>
      </c>
      <c r="E298" s="43" t="e">
        <f t="shared" si="65"/>
        <v>#VALUE!</v>
      </c>
      <c r="F298" s="43" t="e">
        <f t="shared" si="66"/>
        <v>#VALUE!</v>
      </c>
      <c r="G298" s="43" t="e">
        <f t="shared" si="67"/>
        <v>#VALUE!</v>
      </c>
      <c r="H298" s="43" t="e">
        <f t="shared" ca="1" si="68"/>
        <v>#VALUE!</v>
      </c>
      <c r="I298" s="43">
        <f t="shared" si="69"/>
        <v>0</v>
      </c>
      <c r="J298" s="229">
        <f t="shared" si="72"/>
        <v>25</v>
      </c>
      <c r="K298" s="43">
        <f t="shared" si="73"/>
        <v>0</v>
      </c>
      <c r="M298" s="224"/>
      <c r="N298" s="225">
        <f t="shared" si="74"/>
        <v>0</v>
      </c>
      <c r="O298" s="43" t="e">
        <f t="shared" si="75"/>
        <v>#VALUE!</v>
      </c>
      <c r="P298" s="43" t="e">
        <f>ROUND(IF(Preenchimento!$G$39="Tabela Price",R298-Q298,(O297*(1+$AD$35))/($AD$28-C297)),$P$22)</f>
        <v>#VALUE!</v>
      </c>
      <c r="Q298" s="43" t="e">
        <f>IF(Preenchimento!$G$39="Tabela Price",O297*(1+$AD$35)*W298,O297*(1+SAC!$AD$35)*SAC!W298)</f>
        <v>#VALUE!</v>
      </c>
      <c r="R298" s="43" t="e">
        <f>IF(Preenchimento!$G$39="Tabela Price",IF(C298="","",((((((1+W298)^($Q$16-C297))*W298)/((1+W298)^($Q$16-C297)-1))*(O297*(1+$AD$35))))),Q298+P298)</f>
        <v>#VALUE!</v>
      </c>
      <c r="S298" s="43" t="e">
        <f t="shared" ca="1" si="70"/>
        <v>#VALUE!</v>
      </c>
      <c r="T298" s="43">
        <f t="shared" si="76"/>
        <v>0</v>
      </c>
      <c r="U298" s="226">
        <f>TRUNC(T298*Condições!$C$102,2)</f>
        <v>0</v>
      </c>
      <c r="V298" s="82">
        <f t="shared" ca="1" si="77"/>
        <v>3</v>
      </c>
      <c r="W298" s="231" t="str">
        <f t="shared" si="78"/>
        <v/>
      </c>
      <c r="X298" s="210"/>
      <c r="Y298" s="210"/>
      <c r="Z298" s="210"/>
      <c r="AI298" s="114">
        <f t="shared" si="79"/>
        <v>0</v>
      </c>
      <c r="AJ298" s="113"/>
      <c r="AL298" s="477">
        <f t="shared" ca="1" si="80"/>
        <v>0</v>
      </c>
    </row>
    <row r="299" spans="2:38">
      <c r="B299" s="222">
        <f ca="1">Fixa!B299</f>
        <v>54529</v>
      </c>
      <c r="C299" s="223" t="str">
        <f>Fixa!C299</f>
        <v/>
      </c>
      <c r="D299" s="43" t="e">
        <f t="shared" si="71"/>
        <v>#VALUE!</v>
      </c>
      <c r="E299" s="43" t="e">
        <f t="shared" si="65"/>
        <v>#VALUE!</v>
      </c>
      <c r="F299" s="43" t="e">
        <f t="shared" si="66"/>
        <v>#VALUE!</v>
      </c>
      <c r="G299" s="43" t="e">
        <f t="shared" si="67"/>
        <v>#VALUE!</v>
      </c>
      <c r="H299" s="43" t="e">
        <f t="shared" ca="1" si="68"/>
        <v>#VALUE!</v>
      </c>
      <c r="I299" s="43">
        <f t="shared" si="69"/>
        <v>0</v>
      </c>
      <c r="J299" s="229">
        <f t="shared" si="72"/>
        <v>25</v>
      </c>
      <c r="K299" s="43">
        <f t="shared" si="73"/>
        <v>0</v>
      </c>
      <c r="M299" s="224"/>
      <c r="N299" s="225">
        <f t="shared" si="74"/>
        <v>0</v>
      </c>
      <c r="O299" s="43" t="e">
        <f t="shared" si="75"/>
        <v>#VALUE!</v>
      </c>
      <c r="P299" s="43" t="e">
        <f>ROUND(IF(Preenchimento!$G$39="Tabela Price",R299-Q299,(O298*(1+$AD$35))/($AD$28-C298)),$P$22)</f>
        <v>#VALUE!</v>
      </c>
      <c r="Q299" s="43" t="e">
        <f>IF(Preenchimento!$G$39="Tabela Price",O298*(1+$AD$35)*W299,O298*(1+SAC!$AD$35)*SAC!W299)</f>
        <v>#VALUE!</v>
      </c>
      <c r="R299" s="43" t="e">
        <f>IF(Preenchimento!$G$39="Tabela Price",IF(C299="","",((((((1+W299)^($Q$16-C298))*W299)/((1+W299)^($Q$16-C298)-1))*(O298*(1+$AD$35))))),Q299+P299)</f>
        <v>#VALUE!</v>
      </c>
      <c r="S299" s="43" t="e">
        <f t="shared" ca="1" si="70"/>
        <v>#VALUE!</v>
      </c>
      <c r="T299" s="43">
        <f t="shared" si="76"/>
        <v>0</v>
      </c>
      <c r="U299" s="226">
        <f>TRUNC(T299*Condições!$C$102,2)</f>
        <v>0</v>
      </c>
      <c r="V299" s="82">
        <f t="shared" ca="1" si="77"/>
        <v>4</v>
      </c>
      <c r="W299" s="231" t="str">
        <f t="shared" si="78"/>
        <v/>
      </c>
      <c r="X299" s="210"/>
      <c r="Y299" s="210"/>
      <c r="Z299" s="210"/>
      <c r="AI299" s="114">
        <f t="shared" si="79"/>
        <v>0</v>
      </c>
      <c r="AJ299" s="113"/>
      <c r="AL299" s="477">
        <f t="shared" ca="1" si="80"/>
        <v>0</v>
      </c>
    </row>
    <row r="300" spans="2:38">
      <c r="B300" s="222">
        <f ca="1">Fixa!B300</f>
        <v>54559</v>
      </c>
      <c r="C300" s="223" t="str">
        <f>Fixa!C300</f>
        <v/>
      </c>
      <c r="D300" s="43" t="e">
        <f t="shared" si="71"/>
        <v>#VALUE!</v>
      </c>
      <c r="E300" s="43" t="e">
        <f t="shared" si="65"/>
        <v>#VALUE!</v>
      </c>
      <c r="F300" s="43" t="e">
        <f t="shared" si="66"/>
        <v>#VALUE!</v>
      </c>
      <c r="G300" s="43" t="e">
        <f t="shared" si="67"/>
        <v>#VALUE!</v>
      </c>
      <c r="H300" s="43" t="e">
        <f t="shared" ca="1" si="68"/>
        <v>#VALUE!</v>
      </c>
      <c r="I300" s="43">
        <f t="shared" si="69"/>
        <v>0</v>
      </c>
      <c r="J300" s="229">
        <f t="shared" si="72"/>
        <v>25</v>
      </c>
      <c r="K300" s="43">
        <f t="shared" si="73"/>
        <v>0</v>
      </c>
      <c r="M300" s="224"/>
      <c r="N300" s="225">
        <f t="shared" si="74"/>
        <v>0</v>
      </c>
      <c r="O300" s="43" t="e">
        <f t="shared" si="75"/>
        <v>#VALUE!</v>
      </c>
      <c r="P300" s="43" t="e">
        <f>ROUND(IF(Preenchimento!$G$39="Tabela Price",R300-Q300,(O299*(1+$AD$35))/($AD$28-C299)),$P$22)</f>
        <v>#VALUE!</v>
      </c>
      <c r="Q300" s="43" t="e">
        <f>IF(Preenchimento!$G$39="Tabela Price",O299*(1+$AD$35)*W300,O299*(1+SAC!$AD$35)*SAC!W300)</f>
        <v>#VALUE!</v>
      </c>
      <c r="R300" s="43" t="e">
        <f>IF(Preenchimento!$G$39="Tabela Price",IF(C300="","",((((((1+W300)^($Q$16-C299))*W300)/((1+W300)^($Q$16-C299)-1))*(O299*(1+$AD$35))))),Q300+P300)</f>
        <v>#VALUE!</v>
      </c>
      <c r="S300" s="43" t="e">
        <f t="shared" ca="1" si="70"/>
        <v>#VALUE!</v>
      </c>
      <c r="T300" s="43">
        <f t="shared" si="76"/>
        <v>0</v>
      </c>
      <c r="U300" s="226">
        <f>TRUNC(T300*Condições!$C$102,2)</f>
        <v>0</v>
      </c>
      <c r="V300" s="82">
        <f t="shared" ca="1" si="77"/>
        <v>5</v>
      </c>
      <c r="W300" s="231" t="str">
        <f t="shared" si="78"/>
        <v/>
      </c>
      <c r="X300" s="210"/>
      <c r="Y300" s="210"/>
      <c r="Z300" s="210"/>
      <c r="AI300" s="114">
        <f t="shared" si="79"/>
        <v>0</v>
      </c>
      <c r="AJ300" s="113"/>
      <c r="AL300" s="477">
        <f t="shared" ca="1" si="80"/>
        <v>0</v>
      </c>
    </row>
    <row r="301" spans="2:38">
      <c r="B301" s="222">
        <f ca="1">Fixa!B301</f>
        <v>54590</v>
      </c>
      <c r="C301" s="223" t="str">
        <f>Fixa!C301</f>
        <v/>
      </c>
      <c r="D301" s="43" t="e">
        <f t="shared" si="71"/>
        <v>#VALUE!</v>
      </c>
      <c r="E301" s="43" t="e">
        <f t="shared" si="65"/>
        <v>#VALUE!</v>
      </c>
      <c r="F301" s="43" t="e">
        <f t="shared" si="66"/>
        <v>#VALUE!</v>
      </c>
      <c r="G301" s="43" t="e">
        <f t="shared" si="67"/>
        <v>#VALUE!</v>
      </c>
      <c r="H301" s="43" t="e">
        <f t="shared" ca="1" si="68"/>
        <v>#VALUE!</v>
      </c>
      <c r="I301" s="43">
        <f t="shared" si="69"/>
        <v>0</v>
      </c>
      <c r="J301" s="229">
        <f t="shared" si="72"/>
        <v>25</v>
      </c>
      <c r="K301" s="43">
        <f t="shared" si="73"/>
        <v>0</v>
      </c>
      <c r="M301" s="224"/>
      <c r="N301" s="225">
        <f t="shared" si="74"/>
        <v>0</v>
      </c>
      <c r="O301" s="43" t="e">
        <f t="shared" si="75"/>
        <v>#VALUE!</v>
      </c>
      <c r="P301" s="43" t="e">
        <f>ROUND(IF(Preenchimento!$G$39="Tabela Price",R301-Q301,(O300*(1+$AD$35))/($AD$28-C300)),$P$22)</f>
        <v>#VALUE!</v>
      </c>
      <c r="Q301" s="43" t="e">
        <f>IF(Preenchimento!$G$39="Tabela Price",O300*(1+$AD$35)*W301,O300*(1+SAC!$AD$35)*SAC!W301)</f>
        <v>#VALUE!</v>
      </c>
      <c r="R301" s="43" t="e">
        <f>IF(Preenchimento!$G$39="Tabela Price",IF(C301="","",((((((1+W301)^($Q$16-C300))*W301)/((1+W301)^($Q$16-C300)-1))*(O300*(1+$AD$35))))),Q301+P301)</f>
        <v>#VALUE!</v>
      </c>
      <c r="S301" s="43" t="e">
        <f t="shared" ca="1" si="70"/>
        <v>#VALUE!</v>
      </c>
      <c r="T301" s="43">
        <f t="shared" si="76"/>
        <v>0</v>
      </c>
      <c r="U301" s="226">
        <f>TRUNC(T301*Condições!$C$102,2)</f>
        <v>0</v>
      </c>
      <c r="V301" s="82">
        <f t="shared" ca="1" si="77"/>
        <v>6</v>
      </c>
      <c r="W301" s="231" t="str">
        <f t="shared" si="78"/>
        <v/>
      </c>
      <c r="X301" s="210"/>
      <c r="Y301" s="210"/>
      <c r="Z301" s="210"/>
      <c r="AI301" s="114">
        <f t="shared" si="79"/>
        <v>0</v>
      </c>
      <c r="AJ301" s="113"/>
      <c r="AL301" s="477">
        <f t="shared" ca="1" si="80"/>
        <v>0</v>
      </c>
    </row>
    <row r="302" spans="2:38">
      <c r="B302" s="222">
        <f ca="1">Fixa!B302</f>
        <v>54620</v>
      </c>
      <c r="C302" s="223" t="str">
        <f>Fixa!C302</f>
        <v/>
      </c>
      <c r="D302" s="43" t="e">
        <f t="shared" si="71"/>
        <v>#VALUE!</v>
      </c>
      <c r="E302" s="43" t="e">
        <f t="shared" si="65"/>
        <v>#VALUE!</v>
      </c>
      <c r="F302" s="43" t="e">
        <f t="shared" si="66"/>
        <v>#VALUE!</v>
      </c>
      <c r="G302" s="43" t="e">
        <f t="shared" si="67"/>
        <v>#VALUE!</v>
      </c>
      <c r="H302" s="43" t="e">
        <f t="shared" ca="1" si="68"/>
        <v>#VALUE!</v>
      </c>
      <c r="I302" s="43">
        <f t="shared" si="69"/>
        <v>0</v>
      </c>
      <c r="J302" s="229">
        <f t="shared" si="72"/>
        <v>25</v>
      </c>
      <c r="K302" s="43">
        <f t="shared" si="73"/>
        <v>0</v>
      </c>
      <c r="M302" s="224"/>
      <c r="N302" s="225">
        <f t="shared" si="74"/>
        <v>0</v>
      </c>
      <c r="O302" s="43" t="e">
        <f t="shared" si="75"/>
        <v>#VALUE!</v>
      </c>
      <c r="P302" s="43" t="e">
        <f>ROUND(IF(Preenchimento!$G$39="Tabela Price",R302-Q302,(O301*(1+$AD$35))/($AD$28-C301)),$P$22)</f>
        <v>#VALUE!</v>
      </c>
      <c r="Q302" s="43" t="e">
        <f>IF(Preenchimento!$G$39="Tabela Price",O301*(1+$AD$35)*W302,O301*(1+SAC!$AD$35)*SAC!W302)</f>
        <v>#VALUE!</v>
      </c>
      <c r="R302" s="43" t="e">
        <f>IF(Preenchimento!$G$39="Tabela Price",IF(C302="","",((((((1+W302)^($Q$16-C301))*W302)/((1+W302)^($Q$16-C301)-1))*(O301*(1+$AD$35))))),Q302+P302)</f>
        <v>#VALUE!</v>
      </c>
      <c r="S302" s="43" t="e">
        <f t="shared" ca="1" si="70"/>
        <v>#VALUE!</v>
      </c>
      <c r="T302" s="43">
        <f t="shared" si="76"/>
        <v>0</v>
      </c>
      <c r="U302" s="226">
        <f>TRUNC(T302*Condições!$C$102,2)</f>
        <v>0</v>
      </c>
      <c r="V302" s="82">
        <f t="shared" ca="1" si="77"/>
        <v>7</v>
      </c>
      <c r="W302" s="231" t="str">
        <f t="shared" si="78"/>
        <v/>
      </c>
      <c r="X302" s="210"/>
      <c r="Y302" s="210"/>
      <c r="Z302" s="210"/>
      <c r="AI302" s="114">
        <f t="shared" si="79"/>
        <v>0</v>
      </c>
      <c r="AJ302" s="113"/>
      <c r="AL302" s="477">
        <f t="shared" ca="1" si="80"/>
        <v>0</v>
      </c>
    </row>
    <row r="303" spans="2:38">
      <c r="B303" s="222">
        <f ca="1">Fixa!B303</f>
        <v>54651</v>
      </c>
      <c r="C303" s="223" t="str">
        <f>Fixa!C303</f>
        <v/>
      </c>
      <c r="D303" s="43" t="e">
        <f t="shared" si="71"/>
        <v>#VALUE!</v>
      </c>
      <c r="E303" s="43" t="e">
        <f t="shared" si="65"/>
        <v>#VALUE!</v>
      </c>
      <c r="F303" s="43" t="e">
        <f t="shared" si="66"/>
        <v>#VALUE!</v>
      </c>
      <c r="G303" s="43" t="e">
        <f t="shared" si="67"/>
        <v>#VALUE!</v>
      </c>
      <c r="H303" s="43" t="e">
        <f t="shared" ca="1" si="68"/>
        <v>#VALUE!</v>
      </c>
      <c r="I303" s="43">
        <f t="shared" si="69"/>
        <v>0</v>
      </c>
      <c r="J303" s="229">
        <f t="shared" si="72"/>
        <v>25</v>
      </c>
      <c r="K303" s="43">
        <f t="shared" si="73"/>
        <v>0</v>
      </c>
      <c r="M303" s="224"/>
      <c r="N303" s="225">
        <f t="shared" si="74"/>
        <v>0</v>
      </c>
      <c r="O303" s="43" t="e">
        <f t="shared" si="75"/>
        <v>#VALUE!</v>
      </c>
      <c r="P303" s="43" t="e">
        <f>ROUND(IF(Preenchimento!$G$39="Tabela Price",R303-Q303,(O302*(1+$AD$35))/($AD$28-C302)),$P$22)</f>
        <v>#VALUE!</v>
      </c>
      <c r="Q303" s="43" t="e">
        <f>IF(Preenchimento!$G$39="Tabela Price",O302*(1+$AD$35)*W303,O302*(1+SAC!$AD$35)*SAC!W303)</f>
        <v>#VALUE!</v>
      </c>
      <c r="R303" s="43" t="e">
        <f>IF(Preenchimento!$G$39="Tabela Price",IF(C303="","",((((((1+W303)^($Q$16-C302))*W303)/((1+W303)^($Q$16-C302)-1))*(O302*(1+$AD$35))))),Q303+P303)</f>
        <v>#VALUE!</v>
      </c>
      <c r="S303" s="43" t="e">
        <f t="shared" ca="1" si="70"/>
        <v>#VALUE!</v>
      </c>
      <c r="T303" s="43">
        <f t="shared" si="76"/>
        <v>0</v>
      </c>
      <c r="U303" s="226">
        <f>TRUNC(T303*Condições!$C$102,2)</f>
        <v>0</v>
      </c>
      <c r="V303" s="82">
        <f t="shared" ca="1" si="77"/>
        <v>8</v>
      </c>
      <c r="W303" s="231" t="str">
        <f t="shared" si="78"/>
        <v/>
      </c>
      <c r="X303" s="210"/>
      <c r="Y303" s="210"/>
      <c r="Z303" s="210"/>
      <c r="AI303" s="114">
        <f t="shared" si="79"/>
        <v>0</v>
      </c>
      <c r="AJ303" s="113"/>
      <c r="AL303" s="477">
        <f t="shared" ca="1" si="80"/>
        <v>0</v>
      </c>
    </row>
    <row r="304" spans="2:38">
      <c r="B304" s="222">
        <f ca="1">Fixa!B304</f>
        <v>54682</v>
      </c>
      <c r="C304" s="223" t="str">
        <f>Fixa!C304</f>
        <v/>
      </c>
      <c r="D304" s="43" t="e">
        <f t="shared" si="71"/>
        <v>#VALUE!</v>
      </c>
      <c r="E304" s="43" t="e">
        <f t="shared" si="65"/>
        <v>#VALUE!</v>
      </c>
      <c r="F304" s="43" t="e">
        <f t="shared" si="66"/>
        <v>#VALUE!</v>
      </c>
      <c r="G304" s="43" t="e">
        <f t="shared" si="67"/>
        <v>#VALUE!</v>
      </c>
      <c r="H304" s="43" t="e">
        <f t="shared" ca="1" si="68"/>
        <v>#VALUE!</v>
      </c>
      <c r="I304" s="43">
        <f t="shared" si="69"/>
        <v>0</v>
      </c>
      <c r="J304" s="229">
        <f t="shared" si="72"/>
        <v>25</v>
      </c>
      <c r="K304" s="43">
        <f t="shared" si="73"/>
        <v>0</v>
      </c>
      <c r="M304" s="224"/>
      <c r="N304" s="225">
        <f t="shared" si="74"/>
        <v>0</v>
      </c>
      <c r="O304" s="43" t="e">
        <f t="shared" si="75"/>
        <v>#VALUE!</v>
      </c>
      <c r="P304" s="43" t="e">
        <f>ROUND(IF(Preenchimento!$G$39="Tabela Price",R304-Q304,(O303*(1+$AD$35))/($AD$28-C303)),$P$22)</f>
        <v>#VALUE!</v>
      </c>
      <c r="Q304" s="43" t="e">
        <f>IF(Preenchimento!$G$39="Tabela Price",O303*(1+$AD$35)*W304,O303*(1+SAC!$AD$35)*SAC!W304)</f>
        <v>#VALUE!</v>
      </c>
      <c r="R304" s="43" t="e">
        <f>IF(Preenchimento!$G$39="Tabela Price",IF(C304="","",((((((1+W304)^($Q$16-C303))*W304)/((1+W304)^($Q$16-C303)-1))*(O303*(1+$AD$35))))),Q304+P304)</f>
        <v>#VALUE!</v>
      </c>
      <c r="S304" s="43" t="e">
        <f t="shared" ca="1" si="70"/>
        <v>#VALUE!</v>
      </c>
      <c r="T304" s="43">
        <f t="shared" si="76"/>
        <v>0</v>
      </c>
      <c r="U304" s="226">
        <f>TRUNC(T304*Condições!$C$102,2)</f>
        <v>0</v>
      </c>
      <c r="V304" s="82">
        <f t="shared" ca="1" si="77"/>
        <v>9</v>
      </c>
      <c r="W304" s="231" t="str">
        <f t="shared" si="78"/>
        <v/>
      </c>
      <c r="X304" s="210"/>
      <c r="Y304" s="210"/>
      <c r="Z304" s="210"/>
      <c r="AI304" s="114">
        <f t="shared" si="79"/>
        <v>0</v>
      </c>
      <c r="AJ304" s="113"/>
      <c r="AL304" s="477">
        <f t="shared" ca="1" si="80"/>
        <v>0</v>
      </c>
    </row>
    <row r="305" spans="2:38">
      <c r="B305" s="222">
        <f ca="1">Fixa!B305</f>
        <v>54712</v>
      </c>
      <c r="C305" s="223" t="str">
        <f>Fixa!C305</f>
        <v/>
      </c>
      <c r="D305" s="43" t="e">
        <f t="shared" si="71"/>
        <v>#VALUE!</v>
      </c>
      <c r="E305" s="43" t="e">
        <f t="shared" si="65"/>
        <v>#VALUE!</v>
      </c>
      <c r="F305" s="43" t="e">
        <f t="shared" si="66"/>
        <v>#VALUE!</v>
      </c>
      <c r="G305" s="43" t="e">
        <f t="shared" si="67"/>
        <v>#VALUE!</v>
      </c>
      <c r="H305" s="43" t="e">
        <f t="shared" ca="1" si="68"/>
        <v>#VALUE!</v>
      </c>
      <c r="I305" s="43">
        <f t="shared" si="69"/>
        <v>0</v>
      </c>
      <c r="J305" s="229">
        <f t="shared" si="72"/>
        <v>25</v>
      </c>
      <c r="K305" s="43">
        <f t="shared" si="73"/>
        <v>0</v>
      </c>
      <c r="M305" s="224"/>
      <c r="N305" s="225">
        <f t="shared" si="74"/>
        <v>0</v>
      </c>
      <c r="O305" s="43" t="e">
        <f t="shared" si="75"/>
        <v>#VALUE!</v>
      </c>
      <c r="P305" s="43" t="e">
        <f>ROUND(IF(Preenchimento!$G$39="Tabela Price",R305-Q305,(O304*(1+$AD$35))/($AD$28-C304)),$P$22)</f>
        <v>#VALUE!</v>
      </c>
      <c r="Q305" s="43" t="e">
        <f>IF(Preenchimento!$G$39="Tabela Price",O304*(1+$AD$35)*W305,O304*(1+SAC!$AD$35)*SAC!W305)</f>
        <v>#VALUE!</v>
      </c>
      <c r="R305" s="43" t="e">
        <f>IF(Preenchimento!$G$39="Tabela Price",IF(C305="","",((((((1+W305)^($Q$16-C304))*W305)/((1+W305)^($Q$16-C304)-1))*(O304*(1+$AD$35))))),Q305+P305)</f>
        <v>#VALUE!</v>
      </c>
      <c r="S305" s="43" t="e">
        <f t="shared" ca="1" si="70"/>
        <v>#VALUE!</v>
      </c>
      <c r="T305" s="43">
        <f t="shared" si="76"/>
        <v>0</v>
      </c>
      <c r="U305" s="226">
        <f>TRUNC(T305*Condições!$C$102,2)</f>
        <v>0</v>
      </c>
      <c r="V305" s="82">
        <f t="shared" ca="1" si="77"/>
        <v>10</v>
      </c>
      <c r="W305" s="231" t="str">
        <f t="shared" si="78"/>
        <v/>
      </c>
      <c r="X305" s="210"/>
      <c r="Y305" s="210"/>
      <c r="Z305" s="210"/>
      <c r="AI305" s="114">
        <f t="shared" si="79"/>
        <v>0</v>
      </c>
      <c r="AJ305" s="113"/>
      <c r="AL305" s="477">
        <f t="shared" ca="1" si="80"/>
        <v>0</v>
      </c>
    </row>
    <row r="306" spans="2:38">
      <c r="B306" s="222">
        <f ca="1">Fixa!B306</f>
        <v>54743</v>
      </c>
      <c r="C306" s="223" t="str">
        <f>Fixa!C306</f>
        <v/>
      </c>
      <c r="D306" s="43" t="e">
        <f t="shared" si="71"/>
        <v>#VALUE!</v>
      </c>
      <c r="E306" s="43" t="e">
        <f t="shared" si="65"/>
        <v>#VALUE!</v>
      </c>
      <c r="F306" s="43" t="e">
        <f t="shared" si="66"/>
        <v>#VALUE!</v>
      </c>
      <c r="G306" s="43" t="e">
        <f t="shared" si="67"/>
        <v>#VALUE!</v>
      </c>
      <c r="H306" s="43" t="e">
        <f t="shared" ca="1" si="68"/>
        <v>#VALUE!</v>
      </c>
      <c r="I306" s="43">
        <f t="shared" si="69"/>
        <v>0</v>
      </c>
      <c r="J306" s="229">
        <f t="shared" si="72"/>
        <v>25</v>
      </c>
      <c r="K306" s="43">
        <f t="shared" si="73"/>
        <v>0</v>
      </c>
      <c r="M306" s="224"/>
      <c r="N306" s="225">
        <f t="shared" si="74"/>
        <v>0</v>
      </c>
      <c r="O306" s="43" t="e">
        <f t="shared" si="75"/>
        <v>#VALUE!</v>
      </c>
      <c r="P306" s="43" t="e">
        <f>ROUND(IF(Preenchimento!$G$39="Tabela Price",R306-Q306,(O305*(1+$AD$35))/($AD$28-C305)),$P$22)</f>
        <v>#VALUE!</v>
      </c>
      <c r="Q306" s="43" t="e">
        <f>IF(Preenchimento!$G$39="Tabela Price",O305*(1+$AD$35)*W306,O305*(1+SAC!$AD$35)*SAC!W306)</f>
        <v>#VALUE!</v>
      </c>
      <c r="R306" s="43" t="e">
        <f>IF(Preenchimento!$G$39="Tabela Price",IF(C306="","",((((((1+W306)^($Q$16-C305))*W306)/((1+W306)^($Q$16-C305)-1))*(O305*(1+$AD$35))))),Q306+P306)</f>
        <v>#VALUE!</v>
      </c>
      <c r="S306" s="43" t="e">
        <f t="shared" ca="1" si="70"/>
        <v>#VALUE!</v>
      </c>
      <c r="T306" s="43">
        <f t="shared" si="76"/>
        <v>0</v>
      </c>
      <c r="U306" s="226">
        <f>TRUNC(T306*Condições!$C$102,2)</f>
        <v>0</v>
      </c>
      <c r="V306" s="82">
        <f t="shared" ca="1" si="77"/>
        <v>11</v>
      </c>
      <c r="W306" s="231" t="str">
        <f t="shared" si="78"/>
        <v/>
      </c>
      <c r="X306" s="210"/>
      <c r="Y306" s="210"/>
      <c r="Z306" s="210"/>
      <c r="AI306" s="114">
        <f t="shared" si="79"/>
        <v>0</v>
      </c>
      <c r="AJ306" s="113"/>
      <c r="AL306" s="477">
        <f t="shared" ca="1" si="80"/>
        <v>0</v>
      </c>
    </row>
    <row r="307" spans="2:38">
      <c r="B307" s="222">
        <f ca="1">Fixa!B307</f>
        <v>54773</v>
      </c>
      <c r="C307" s="223" t="str">
        <f>Fixa!C307</f>
        <v/>
      </c>
      <c r="D307" s="43" t="e">
        <f t="shared" si="71"/>
        <v>#VALUE!</v>
      </c>
      <c r="E307" s="43" t="e">
        <f t="shared" si="65"/>
        <v>#VALUE!</v>
      </c>
      <c r="F307" s="43" t="e">
        <f t="shared" si="66"/>
        <v>#VALUE!</v>
      </c>
      <c r="G307" s="43" t="e">
        <f t="shared" si="67"/>
        <v>#VALUE!</v>
      </c>
      <c r="H307" s="43" t="e">
        <f t="shared" ca="1" si="68"/>
        <v>#VALUE!</v>
      </c>
      <c r="I307" s="43">
        <f t="shared" si="69"/>
        <v>0</v>
      </c>
      <c r="J307" s="229">
        <f t="shared" si="72"/>
        <v>25</v>
      </c>
      <c r="K307" s="43">
        <f t="shared" si="73"/>
        <v>0</v>
      </c>
      <c r="M307" s="224"/>
      <c r="N307" s="225">
        <f t="shared" si="74"/>
        <v>0</v>
      </c>
      <c r="O307" s="43" t="e">
        <f t="shared" si="75"/>
        <v>#VALUE!</v>
      </c>
      <c r="P307" s="43" t="e">
        <f>ROUND(IF(Preenchimento!$G$39="Tabela Price",R307-Q307,(O306*(1+$AD$35))/($AD$28-C306)),$P$22)</f>
        <v>#VALUE!</v>
      </c>
      <c r="Q307" s="43" t="e">
        <f>IF(Preenchimento!$G$39="Tabela Price",O306*(1+$AD$35)*W307,O306*(1+SAC!$AD$35)*SAC!W307)</f>
        <v>#VALUE!</v>
      </c>
      <c r="R307" s="43" t="e">
        <f>IF(Preenchimento!$G$39="Tabela Price",IF(C307="","",((((((1+W307)^($Q$16-C306))*W307)/((1+W307)^($Q$16-C306)-1))*(O306*(1+$AD$35))))),Q307+P307)</f>
        <v>#VALUE!</v>
      </c>
      <c r="S307" s="43" t="e">
        <f t="shared" ca="1" si="70"/>
        <v>#VALUE!</v>
      </c>
      <c r="T307" s="43">
        <f t="shared" si="76"/>
        <v>0</v>
      </c>
      <c r="U307" s="226">
        <f>TRUNC(T307*Condições!$C$102,2)</f>
        <v>0</v>
      </c>
      <c r="V307" s="82">
        <f t="shared" ca="1" si="77"/>
        <v>12</v>
      </c>
      <c r="W307" s="231" t="str">
        <f t="shared" si="78"/>
        <v/>
      </c>
      <c r="X307" s="210"/>
      <c r="Y307" s="210"/>
      <c r="Z307" s="210"/>
      <c r="AI307" s="114">
        <f t="shared" si="79"/>
        <v>0</v>
      </c>
      <c r="AJ307" s="113"/>
      <c r="AL307" s="477">
        <f t="shared" ca="1" si="80"/>
        <v>0</v>
      </c>
    </row>
    <row r="308" spans="2:38">
      <c r="B308" s="222">
        <f ca="1">Fixa!B308</f>
        <v>54804</v>
      </c>
      <c r="C308" s="223" t="str">
        <f>Fixa!C308</f>
        <v/>
      </c>
      <c r="D308" s="43" t="e">
        <f t="shared" si="71"/>
        <v>#VALUE!</v>
      </c>
      <c r="E308" s="43" t="e">
        <f t="shared" si="65"/>
        <v>#VALUE!</v>
      </c>
      <c r="F308" s="43" t="e">
        <f t="shared" si="66"/>
        <v>#VALUE!</v>
      </c>
      <c r="G308" s="43" t="e">
        <f t="shared" si="67"/>
        <v>#VALUE!</v>
      </c>
      <c r="H308" s="43" t="e">
        <f t="shared" ca="1" si="68"/>
        <v>#VALUE!</v>
      </c>
      <c r="I308" s="43">
        <f t="shared" si="69"/>
        <v>0</v>
      </c>
      <c r="J308" s="229">
        <f t="shared" si="72"/>
        <v>25</v>
      </c>
      <c r="K308" s="43">
        <f t="shared" si="73"/>
        <v>0</v>
      </c>
      <c r="M308" s="224"/>
      <c r="N308" s="225">
        <f t="shared" si="74"/>
        <v>0</v>
      </c>
      <c r="O308" s="43" t="e">
        <f t="shared" si="75"/>
        <v>#VALUE!</v>
      </c>
      <c r="P308" s="43" t="e">
        <f>ROUND(IF(Preenchimento!$G$39="Tabela Price",R308-Q308,(O307*(1+$AD$35))/($AD$28-C307)),$P$22)</f>
        <v>#VALUE!</v>
      </c>
      <c r="Q308" s="43" t="e">
        <f>IF(Preenchimento!$G$39="Tabela Price",O307*(1+$AD$35)*W308,O307*(1+SAC!$AD$35)*SAC!W308)</f>
        <v>#VALUE!</v>
      </c>
      <c r="R308" s="43" t="e">
        <f>IF(Preenchimento!$G$39="Tabela Price",IF(C308="","",((((((1+W308)^($Q$16-C307))*W308)/((1+W308)^($Q$16-C307)-1))*(O307*(1+$AD$35))))),Q308+P308)</f>
        <v>#VALUE!</v>
      </c>
      <c r="S308" s="43" t="e">
        <f t="shared" ca="1" si="70"/>
        <v>#VALUE!</v>
      </c>
      <c r="T308" s="43">
        <f t="shared" si="76"/>
        <v>0</v>
      </c>
      <c r="U308" s="226">
        <f>TRUNC(T308*Condições!$C$102,2)</f>
        <v>0</v>
      </c>
      <c r="V308" s="82">
        <f t="shared" ca="1" si="77"/>
        <v>1</v>
      </c>
      <c r="W308" s="231" t="str">
        <f t="shared" si="78"/>
        <v/>
      </c>
      <c r="X308" s="210"/>
      <c r="Y308" s="210"/>
      <c r="Z308" s="210"/>
      <c r="AI308" s="114">
        <f t="shared" si="79"/>
        <v>0</v>
      </c>
      <c r="AJ308" s="113"/>
      <c r="AL308" s="477">
        <f t="shared" ca="1" si="80"/>
        <v>0</v>
      </c>
    </row>
    <row r="309" spans="2:38">
      <c r="B309" s="222">
        <f ca="1">Fixa!B309</f>
        <v>54835</v>
      </c>
      <c r="C309" s="223" t="str">
        <f>Fixa!C309</f>
        <v/>
      </c>
      <c r="D309" s="43" t="e">
        <f t="shared" si="71"/>
        <v>#VALUE!</v>
      </c>
      <c r="E309" s="43" t="e">
        <f t="shared" si="65"/>
        <v>#VALUE!</v>
      </c>
      <c r="F309" s="43" t="e">
        <f t="shared" si="66"/>
        <v>#VALUE!</v>
      </c>
      <c r="G309" s="43" t="e">
        <f t="shared" si="67"/>
        <v>#VALUE!</v>
      </c>
      <c r="H309" s="43" t="e">
        <f t="shared" ca="1" si="68"/>
        <v>#VALUE!</v>
      </c>
      <c r="I309" s="43">
        <f t="shared" si="69"/>
        <v>0</v>
      </c>
      <c r="J309" s="229">
        <f t="shared" si="72"/>
        <v>25</v>
      </c>
      <c r="K309" s="43">
        <f t="shared" si="73"/>
        <v>0</v>
      </c>
      <c r="M309" s="224"/>
      <c r="N309" s="225">
        <f t="shared" si="74"/>
        <v>0</v>
      </c>
      <c r="O309" s="43" t="e">
        <f t="shared" si="75"/>
        <v>#VALUE!</v>
      </c>
      <c r="P309" s="43" t="e">
        <f>ROUND(IF(Preenchimento!$G$39="Tabela Price",R309-Q309,(O308*(1+$AD$35))/($AD$28-C308)),$P$22)</f>
        <v>#VALUE!</v>
      </c>
      <c r="Q309" s="43" t="e">
        <f>IF(Preenchimento!$G$39="Tabela Price",O308*(1+$AD$35)*W309,O308*(1+SAC!$AD$35)*SAC!W309)</f>
        <v>#VALUE!</v>
      </c>
      <c r="R309" s="43" t="e">
        <f>IF(Preenchimento!$G$39="Tabela Price",IF(C309="","",((((((1+W309)^($Q$16-C308))*W309)/((1+W309)^($Q$16-C308)-1))*(O308*(1+$AD$35))))),Q309+P309)</f>
        <v>#VALUE!</v>
      </c>
      <c r="S309" s="43" t="e">
        <f t="shared" ca="1" si="70"/>
        <v>#VALUE!</v>
      </c>
      <c r="T309" s="43">
        <f t="shared" si="76"/>
        <v>0</v>
      </c>
      <c r="U309" s="226">
        <f>TRUNC(T309*Condições!$C$102,2)</f>
        <v>0</v>
      </c>
      <c r="V309" s="82">
        <f t="shared" ca="1" si="77"/>
        <v>2</v>
      </c>
      <c r="W309" s="231" t="str">
        <f t="shared" si="78"/>
        <v/>
      </c>
      <c r="X309" s="210"/>
      <c r="Y309" s="210"/>
      <c r="Z309" s="210"/>
      <c r="AI309" s="114">
        <f t="shared" si="79"/>
        <v>0</v>
      </c>
      <c r="AJ309" s="113"/>
      <c r="AL309" s="477">
        <f t="shared" ca="1" si="80"/>
        <v>0</v>
      </c>
    </row>
    <row r="310" spans="2:38">
      <c r="B310" s="222">
        <f ca="1">Fixa!B310</f>
        <v>54863</v>
      </c>
      <c r="C310" s="223" t="str">
        <f>Fixa!C310</f>
        <v/>
      </c>
      <c r="D310" s="43" t="e">
        <f t="shared" si="71"/>
        <v>#VALUE!</v>
      </c>
      <c r="E310" s="43" t="e">
        <f t="shared" si="65"/>
        <v>#VALUE!</v>
      </c>
      <c r="F310" s="43" t="e">
        <f t="shared" si="66"/>
        <v>#VALUE!</v>
      </c>
      <c r="G310" s="43" t="e">
        <f t="shared" si="67"/>
        <v>#VALUE!</v>
      </c>
      <c r="H310" s="43" t="e">
        <f t="shared" ca="1" si="68"/>
        <v>#VALUE!</v>
      </c>
      <c r="I310" s="43">
        <f t="shared" si="69"/>
        <v>0</v>
      </c>
      <c r="J310" s="229">
        <f t="shared" si="72"/>
        <v>25</v>
      </c>
      <c r="K310" s="43">
        <f t="shared" si="73"/>
        <v>0</v>
      </c>
      <c r="M310" s="224"/>
      <c r="N310" s="225">
        <f t="shared" si="74"/>
        <v>0</v>
      </c>
      <c r="O310" s="43" t="e">
        <f t="shared" si="75"/>
        <v>#VALUE!</v>
      </c>
      <c r="P310" s="43" t="e">
        <f>ROUND(IF(Preenchimento!$G$39="Tabela Price",R310-Q310,(O309*(1+$AD$35))/($AD$28-C309)),$P$22)</f>
        <v>#VALUE!</v>
      </c>
      <c r="Q310" s="43" t="e">
        <f>IF(Preenchimento!$G$39="Tabela Price",O309*(1+$AD$35)*W310,O309*(1+SAC!$AD$35)*SAC!W310)</f>
        <v>#VALUE!</v>
      </c>
      <c r="R310" s="43" t="e">
        <f>IF(Preenchimento!$G$39="Tabela Price",IF(C310="","",((((((1+W310)^($Q$16-C309))*W310)/((1+W310)^($Q$16-C309)-1))*(O309*(1+$AD$35))))),Q310+P310)</f>
        <v>#VALUE!</v>
      </c>
      <c r="S310" s="43" t="e">
        <f t="shared" ca="1" si="70"/>
        <v>#VALUE!</v>
      </c>
      <c r="T310" s="43">
        <f t="shared" si="76"/>
        <v>0</v>
      </c>
      <c r="U310" s="226">
        <f>TRUNC(T310*Condições!$C$102,2)</f>
        <v>0</v>
      </c>
      <c r="V310" s="82">
        <f t="shared" ca="1" si="77"/>
        <v>3</v>
      </c>
      <c r="W310" s="231" t="str">
        <f t="shared" si="78"/>
        <v/>
      </c>
      <c r="X310" s="210"/>
      <c r="Y310" s="210"/>
      <c r="Z310" s="210"/>
      <c r="AI310" s="114">
        <f t="shared" si="79"/>
        <v>0</v>
      </c>
      <c r="AJ310" s="113"/>
      <c r="AL310" s="477">
        <f t="shared" ca="1" si="80"/>
        <v>0</v>
      </c>
    </row>
    <row r="311" spans="2:38">
      <c r="B311" s="222">
        <f ca="1">Fixa!B311</f>
        <v>54894</v>
      </c>
      <c r="C311" s="223" t="str">
        <f>Fixa!C311</f>
        <v/>
      </c>
      <c r="D311" s="43" t="e">
        <f t="shared" si="71"/>
        <v>#VALUE!</v>
      </c>
      <c r="E311" s="43" t="e">
        <f t="shared" si="65"/>
        <v>#VALUE!</v>
      </c>
      <c r="F311" s="43" t="e">
        <f t="shared" si="66"/>
        <v>#VALUE!</v>
      </c>
      <c r="G311" s="43" t="e">
        <f t="shared" si="67"/>
        <v>#VALUE!</v>
      </c>
      <c r="H311" s="43" t="e">
        <f t="shared" ca="1" si="68"/>
        <v>#VALUE!</v>
      </c>
      <c r="I311" s="43">
        <f t="shared" si="69"/>
        <v>0</v>
      </c>
      <c r="J311" s="229">
        <f t="shared" si="72"/>
        <v>25</v>
      </c>
      <c r="K311" s="43">
        <f t="shared" si="73"/>
        <v>0</v>
      </c>
      <c r="M311" s="224"/>
      <c r="N311" s="225">
        <f t="shared" si="74"/>
        <v>0</v>
      </c>
      <c r="O311" s="43" t="e">
        <f t="shared" si="75"/>
        <v>#VALUE!</v>
      </c>
      <c r="P311" s="43" t="e">
        <f>ROUND(IF(Preenchimento!$G$39="Tabela Price",R311-Q311,(O310*(1+$AD$35))/($AD$28-C310)),$P$22)</f>
        <v>#VALUE!</v>
      </c>
      <c r="Q311" s="43" t="e">
        <f>IF(Preenchimento!$G$39="Tabela Price",O310*(1+$AD$35)*W311,O310*(1+SAC!$AD$35)*SAC!W311)</f>
        <v>#VALUE!</v>
      </c>
      <c r="R311" s="43" t="e">
        <f>IF(Preenchimento!$G$39="Tabela Price",IF(C311="","",((((((1+W311)^($Q$16-C310))*W311)/((1+W311)^($Q$16-C310)-1))*(O310*(1+$AD$35))))),Q311+P311)</f>
        <v>#VALUE!</v>
      </c>
      <c r="S311" s="43" t="e">
        <f t="shared" ca="1" si="70"/>
        <v>#VALUE!</v>
      </c>
      <c r="T311" s="43">
        <f t="shared" si="76"/>
        <v>0</v>
      </c>
      <c r="U311" s="226">
        <f>TRUNC(T311*Condições!$C$102,2)</f>
        <v>0</v>
      </c>
      <c r="V311" s="82">
        <f t="shared" ca="1" si="77"/>
        <v>4</v>
      </c>
      <c r="W311" s="231" t="str">
        <f t="shared" si="78"/>
        <v/>
      </c>
      <c r="X311" s="210"/>
      <c r="Y311" s="210"/>
      <c r="Z311" s="210"/>
      <c r="AI311" s="114">
        <f t="shared" si="79"/>
        <v>0</v>
      </c>
      <c r="AJ311" s="113"/>
      <c r="AL311" s="477">
        <f t="shared" ca="1" si="80"/>
        <v>0</v>
      </c>
    </row>
    <row r="312" spans="2:38">
      <c r="B312" s="222">
        <f ca="1">Fixa!B312</f>
        <v>54924</v>
      </c>
      <c r="C312" s="223" t="str">
        <f>Fixa!C312</f>
        <v/>
      </c>
      <c r="D312" s="43" t="e">
        <f t="shared" si="71"/>
        <v>#VALUE!</v>
      </c>
      <c r="E312" s="43" t="e">
        <f t="shared" si="65"/>
        <v>#VALUE!</v>
      </c>
      <c r="F312" s="43" t="e">
        <f t="shared" si="66"/>
        <v>#VALUE!</v>
      </c>
      <c r="G312" s="43" t="e">
        <f t="shared" si="67"/>
        <v>#VALUE!</v>
      </c>
      <c r="H312" s="43" t="e">
        <f t="shared" ca="1" si="68"/>
        <v>#VALUE!</v>
      </c>
      <c r="I312" s="43">
        <f t="shared" si="69"/>
        <v>0</v>
      </c>
      <c r="J312" s="229">
        <f t="shared" si="72"/>
        <v>25</v>
      </c>
      <c r="K312" s="43">
        <f t="shared" si="73"/>
        <v>0</v>
      </c>
      <c r="M312" s="224"/>
      <c r="N312" s="225">
        <f t="shared" si="74"/>
        <v>0</v>
      </c>
      <c r="O312" s="43" t="e">
        <f t="shared" si="75"/>
        <v>#VALUE!</v>
      </c>
      <c r="P312" s="43" t="e">
        <f>ROUND(IF(Preenchimento!$G$39="Tabela Price",R312-Q312,(O311*(1+$AD$35))/($AD$28-C311)),$P$22)</f>
        <v>#VALUE!</v>
      </c>
      <c r="Q312" s="43" t="e">
        <f>IF(Preenchimento!$G$39="Tabela Price",O311*(1+$AD$35)*W312,O311*(1+SAC!$AD$35)*SAC!W312)</f>
        <v>#VALUE!</v>
      </c>
      <c r="R312" s="43" t="e">
        <f>IF(Preenchimento!$G$39="Tabela Price",IF(C312="","",((((((1+W312)^($Q$16-C311))*W312)/((1+W312)^($Q$16-C311)-1))*(O311*(1+$AD$35))))),Q312+P312)</f>
        <v>#VALUE!</v>
      </c>
      <c r="S312" s="43" t="e">
        <f t="shared" ca="1" si="70"/>
        <v>#VALUE!</v>
      </c>
      <c r="T312" s="43">
        <f t="shared" si="76"/>
        <v>0</v>
      </c>
      <c r="U312" s="226">
        <f>TRUNC(T312*Condições!$C$102,2)</f>
        <v>0</v>
      </c>
      <c r="V312" s="82">
        <f t="shared" ca="1" si="77"/>
        <v>5</v>
      </c>
      <c r="W312" s="231" t="str">
        <f t="shared" si="78"/>
        <v/>
      </c>
      <c r="X312" s="210"/>
      <c r="Y312" s="210"/>
      <c r="Z312" s="210"/>
      <c r="AI312" s="114">
        <f t="shared" si="79"/>
        <v>0</v>
      </c>
      <c r="AJ312" s="113"/>
      <c r="AL312" s="477">
        <f t="shared" ca="1" si="80"/>
        <v>0</v>
      </c>
    </row>
    <row r="313" spans="2:38">
      <c r="B313" s="222">
        <f ca="1">Fixa!B313</f>
        <v>54955</v>
      </c>
      <c r="C313" s="223" t="str">
        <f>Fixa!C313</f>
        <v/>
      </c>
      <c r="D313" s="43" t="e">
        <f t="shared" si="71"/>
        <v>#VALUE!</v>
      </c>
      <c r="E313" s="43" t="e">
        <f t="shared" si="65"/>
        <v>#VALUE!</v>
      </c>
      <c r="F313" s="43" t="e">
        <f t="shared" si="66"/>
        <v>#VALUE!</v>
      </c>
      <c r="G313" s="43" t="e">
        <f t="shared" si="67"/>
        <v>#VALUE!</v>
      </c>
      <c r="H313" s="43" t="e">
        <f t="shared" ca="1" si="68"/>
        <v>#VALUE!</v>
      </c>
      <c r="I313" s="43">
        <f t="shared" si="69"/>
        <v>0</v>
      </c>
      <c r="J313" s="229">
        <f t="shared" si="72"/>
        <v>25</v>
      </c>
      <c r="K313" s="43">
        <f t="shared" si="73"/>
        <v>0</v>
      </c>
      <c r="M313" s="224"/>
      <c r="N313" s="225">
        <f t="shared" si="74"/>
        <v>0</v>
      </c>
      <c r="O313" s="43" t="e">
        <f t="shared" si="75"/>
        <v>#VALUE!</v>
      </c>
      <c r="P313" s="43" t="e">
        <f>ROUND(IF(Preenchimento!$G$39="Tabela Price",R313-Q313,(O312*(1+$AD$35))/($AD$28-C312)),$P$22)</f>
        <v>#VALUE!</v>
      </c>
      <c r="Q313" s="43" t="e">
        <f>IF(Preenchimento!$G$39="Tabela Price",O312*(1+$AD$35)*W313,O312*(1+SAC!$AD$35)*SAC!W313)</f>
        <v>#VALUE!</v>
      </c>
      <c r="R313" s="43" t="e">
        <f>IF(Preenchimento!$G$39="Tabela Price",IF(C313="","",((((((1+W313)^($Q$16-C312))*W313)/((1+W313)^($Q$16-C312)-1))*(O312*(1+$AD$35))))),Q313+P313)</f>
        <v>#VALUE!</v>
      </c>
      <c r="S313" s="43" t="e">
        <f t="shared" ca="1" si="70"/>
        <v>#VALUE!</v>
      </c>
      <c r="T313" s="43">
        <f t="shared" si="76"/>
        <v>0</v>
      </c>
      <c r="U313" s="226">
        <f>TRUNC(T313*Condições!$C$102,2)</f>
        <v>0</v>
      </c>
      <c r="V313" s="82">
        <f t="shared" ca="1" si="77"/>
        <v>6</v>
      </c>
      <c r="W313" s="231" t="str">
        <f t="shared" si="78"/>
        <v/>
      </c>
      <c r="X313" s="210"/>
      <c r="Y313" s="210"/>
      <c r="Z313" s="210"/>
      <c r="AI313" s="114">
        <f t="shared" si="79"/>
        <v>0</v>
      </c>
      <c r="AJ313" s="113"/>
      <c r="AL313" s="477">
        <f t="shared" ca="1" si="80"/>
        <v>0</v>
      </c>
    </row>
    <row r="314" spans="2:38">
      <c r="B314" s="222">
        <f ca="1">Fixa!B314</f>
        <v>54985</v>
      </c>
      <c r="C314" s="223" t="str">
        <f>Fixa!C314</f>
        <v/>
      </c>
      <c r="D314" s="43" t="e">
        <f t="shared" si="71"/>
        <v>#VALUE!</v>
      </c>
      <c r="E314" s="43" t="e">
        <f t="shared" si="65"/>
        <v>#VALUE!</v>
      </c>
      <c r="F314" s="43" t="e">
        <f t="shared" si="66"/>
        <v>#VALUE!</v>
      </c>
      <c r="G314" s="43" t="e">
        <f t="shared" si="67"/>
        <v>#VALUE!</v>
      </c>
      <c r="H314" s="43" t="e">
        <f t="shared" ca="1" si="68"/>
        <v>#VALUE!</v>
      </c>
      <c r="I314" s="43">
        <f t="shared" si="69"/>
        <v>0</v>
      </c>
      <c r="J314" s="229">
        <f t="shared" si="72"/>
        <v>25</v>
      </c>
      <c r="K314" s="43">
        <f t="shared" si="73"/>
        <v>0</v>
      </c>
      <c r="M314" s="224"/>
      <c r="N314" s="225">
        <f t="shared" si="74"/>
        <v>0</v>
      </c>
      <c r="O314" s="43" t="e">
        <f t="shared" si="75"/>
        <v>#VALUE!</v>
      </c>
      <c r="P314" s="43" t="e">
        <f>ROUND(IF(Preenchimento!$G$39="Tabela Price",R314-Q314,(O313*(1+$AD$35))/($AD$28-C313)),$P$22)</f>
        <v>#VALUE!</v>
      </c>
      <c r="Q314" s="43" t="e">
        <f>IF(Preenchimento!$G$39="Tabela Price",O313*(1+$AD$35)*W314,O313*(1+SAC!$AD$35)*SAC!W314)</f>
        <v>#VALUE!</v>
      </c>
      <c r="R314" s="43" t="e">
        <f>IF(Preenchimento!$G$39="Tabela Price",IF(C314="","",((((((1+W314)^($Q$16-C313))*W314)/((1+W314)^($Q$16-C313)-1))*(O313*(1+$AD$35))))),Q314+P314)</f>
        <v>#VALUE!</v>
      </c>
      <c r="S314" s="43" t="e">
        <f t="shared" ca="1" si="70"/>
        <v>#VALUE!</v>
      </c>
      <c r="T314" s="43">
        <f t="shared" si="76"/>
        <v>0</v>
      </c>
      <c r="U314" s="226">
        <f>TRUNC(T314*Condições!$C$102,2)</f>
        <v>0</v>
      </c>
      <c r="V314" s="82">
        <f t="shared" ca="1" si="77"/>
        <v>7</v>
      </c>
      <c r="W314" s="231" t="str">
        <f t="shared" si="78"/>
        <v/>
      </c>
      <c r="X314" s="210"/>
      <c r="Y314" s="210"/>
      <c r="Z314" s="210"/>
      <c r="AI314" s="114">
        <f t="shared" si="79"/>
        <v>0</v>
      </c>
      <c r="AJ314" s="113"/>
      <c r="AL314" s="477">
        <f t="shared" ca="1" si="80"/>
        <v>0</v>
      </c>
    </row>
    <row r="315" spans="2:38">
      <c r="B315" s="222">
        <f ca="1">Fixa!B315</f>
        <v>55016</v>
      </c>
      <c r="C315" s="223" t="str">
        <f>Fixa!C315</f>
        <v/>
      </c>
      <c r="D315" s="43" t="e">
        <f t="shared" si="71"/>
        <v>#VALUE!</v>
      </c>
      <c r="E315" s="43" t="e">
        <f t="shared" si="65"/>
        <v>#VALUE!</v>
      </c>
      <c r="F315" s="43" t="e">
        <f t="shared" si="66"/>
        <v>#VALUE!</v>
      </c>
      <c r="G315" s="43" t="e">
        <f t="shared" si="67"/>
        <v>#VALUE!</v>
      </c>
      <c r="H315" s="43" t="e">
        <f t="shared" ca="1" si="68"/>
        <v>#VALUE!</v>
      </c>
      <c r="I315" s="43">
        <f t="shared" si="69"/>
        <v>0</v>
      </c>
      <c r="J315" s="229">
        <f t="shared" si="72"/>
        <v>25</v>
      </c>
      <c r="K315" s="43">
        <f t="shared" si="73"/>
        <v>0</v>
      </c>
      <c r="M315" s="224"/>
      <c r="N315" s="225">
        <f t="shared" si="74"/>
        <v>0</v>
      </c>
      <c r="O315" s="43" t="e">
        <f t="shared" si="75"/>
        <v>#VALUE!</v>
      </c>
      <c r="P315" s="43" t="e">
        <f>ROUND(IF(Preenchimento!$G$39="Tabela Price",R315-Q315,(O314*(1+$AD$35))/($AD$28-C314)),$P$22)</f>
        <v>#VALUE!</v>
      </c>
      <c r="Q315" s="43" t="e">
        <f>IF(Preenchimento!$G$39="Tabela Price",O314*(1+$AD$35)*W315,O314*(1+SAC!$AD$35)*SAC!W315)</f>
        <v>#VALUE!</v>
      </c>
      <c r="R315" s="43" t="e">
        <f>IF(Preenchimento!$G$39="Tabela Price",IF(C315="","",((((((1+W315)^($Q$16-C314))*W315)/((1+W315)^($Q$16-C314)-1))*(O314*(1+$AD$35))))),Q315+P315)</f>
        <v>#VALUE!</v>
      </c>
      <c r="S315" s="43" t="e">
        <f t="shared" ca="1" si="70"/>
        <v>#VALUE!</v>
      </c>
      <c r="T315" s="43">
        <f t="shared" si="76"/>
        <v>0</v>
      </c>
      <c r="U315" s="226">
        <f>TRUNC(T315*Condições!$C$102,2)</f>
        <v>0</v>
      </c>
      <c r="V315" s="82">
        <f t="shared" ca="1" si="77"/>
        <v>8</v>
      </c>
      <c r="W315" s="231" t="str">
        <f t="shared" si="78"/>
        <v/>
      </c>
      <c r="X315" s="210"/>
      <c r="Y315" s="210"/>
      <c r="Z315" s="210"/>
      <c r="AI315" s="114">
        <f t="shared" si="79"/>
        <v>0</v>
      </c>
      <c r="AJ315" s="113"/>
      <c r="AL315" s="477">
        <f t="shared" ca="1" si="80"/>
        <v>0</v>
      </c>
    </row>
    <row r="316" spans="2:38">
      <c r="B316" s="222">
        <f ca="1">Fixa!B316</f>
        <v>55047</v>
      </c>
      <c r="C316" s="223" t="str">
        <f>Fixa!C316</f>
        <v/>
      </c>
      <c r="D316" s="43" t="e">
        <f t="shared" si="71"/>
        <v>#VALUE!</v>
      </c>
      <c r="E316" s="43" t="e">
        <f t="shared" si="65"/>
        <v>#VALUE!</v>
      </c>
      <c r="F316" s="43" t="e">
        <f t="shared" si="66"/>
        <v>#VALUE!</v>
      </c>
      <c r="G316" s="43" t="e">
        <f t="shared" si="67"/>
        <v>#VALUE!</v>
      </c>
      <c r="H316" s="43" t="e">
        <f t="shared" ca="1" si="68"/>
        <v>#VALUE!</v>
      </c>
      <c r="I316" s="43">
        <f t="shared" si="69"/>
        <v>0</v>
      </c>
      <c r="J316" s="229">
        <f t="shared" si="72"/>
        <v>25</v>
      </c>
      <c r="K316" s="43">
        <f t="shared" si="73"/>
        <v>0</v>
      </c>
      <c r="M316" s="224"/>
      <c r="N316" s="225">
        <f t="shared" si="74"/>
        <v>0</v>
      </c>
      <c r="O316" s="43" t="e">
        <f t="shared" si="75"/>
        <v>#VALUE!</v>
      </c>
      <c r="P316" s="43" t="e">
        <f>ROUND(IF(Preenchimento!$G$39="Tabela Price",R316-Q316,(O315*(1+$AD$35))/($AD$28-C315)),$P$22)</f>
        <v>#VALUE!</v>
      </c>
      <c r="Q316" s="43" t="e">
        <f>IF(Preenchimento!$G$39="Tabela Price",O315*(1+$AD$35)*W316,O315*(1+SAC!$AD$35)*SAC!W316)</f>
        <v>#VALUE!</v>
      </c>
      <c r="R316" s="43" t="e">
        <f>IF(Preenchimento!$G$39="Tabela Price",IF(C316="","",((((((1+W316)^($Q$16-C315))*W316)/((1+W316)^($Q$16-C315)-1))*(O315*(1+$AD$35))))),Q316+P316)</f>
        <v>#VALUE!</v>
      </c>
      <c r="S316" s="43" t="e">
        <f t="shared" ca="1" si="70"/>
        <v>#VALUE!</v>
      </c>
      <c r="T316" s="43">
        <f t="shared" si="76"/>
        <v>0</v>
      </c>
      <c r="U316" s="226">
        <f>TRUNC(T316*Condições!$C$102,2)</f>
        <v>0</v>
      </c>
      <c r="V316" s="82">
        <f t="shared" ca="1" si="77"/>
        <v>9</v>
      </c>
      <c r="W316" s="231" t="str">
        <f t="shared" si="78"/>
        <v/>
      </c>
      <c r="X316" s="210"/>
      <c r="Y316" s="210"/>
      <c r="Z316" s="210"/>
      <c r="AI316" s="114">
        <f t="shared" si="79"/>
        <v>0</v>
      </c>
      <c r="AJ316" s="113"/>
      <c r="AL316" s="477">
        <f t="shared" ca="1" si="80"/>
        <v>0</v>
      </c>
    </row>
    <row r="317" spans="2:38">
      <c r="B317" s="222">
        <f ca="1">Fixa!B317</f>
        <v>55077</v>
      </c>
      <c r="C317" s="223" t="str">
        <f>Fixa!C317</f>
        <v/>
      </c>
      <c r="D317" s="43" t="e">
        <f t="shared" si="71"/>
        <v>#VALUE!</v>
      </c>
      <c r="E317" s="43" t="e">
        <f t="shared" si="65"/>
        <v>#VALUE!</v>
      </c>
      <c r="F317" s="43" t="e">
        <f t="shared" si="66"/>
        <v>#VALUE!</v>
      </c>
      <c r="G317" s="43" t="e">
        <f t="shared" si="67"/>
        <v>#VALUE!</v>
      </c>
      <c r="H317" s="43" t="e">
        <f t="shared" ca="1" si="68"/>
        <v>#VALUE!</v>
      </c>
      <c r="I317" s="43">
        <f t="shared" si="69"/>
        <v>0</v>
      </c>
      <c r="J317" s="229">
        <f t="shared" si="72"/>
        <v>25</v>
      </c>
      <c r="K317" s="43">
        <f t="shared" si="73"/>
        <v>0</v>
      </c>
      <c r="M317" s="224"/>
      <c r="N317" s="225">
        <f t="shared" si="74"/>
        <v>0</v>
      </c>
      <c r="O317" s="43" t="e">
        <f t="shared" si="75"/>
        <v>#VALUE!</v>
      </c>
      <c r="P317" s="43" t="e">
        <f>ROUND(IF(Preenchimento!$G$39="Tabela Price",R317-Q317,(O316*(1+$AD$35))/($AD$28-C316)),$P$22)</f>
        <v>#VALUE!</v>
      </c>
      <c r="Q317" s="43" t="e">
        <f>IF(Preenchimento!$G$39="Tabela Price",O316*(1+$AD$35)*W317,O316*(1+SAC!$AD$35)*SAC!W317)</f>
        <v>#VALUE!</v>
      </c>
      <c r="R317" s="43" t="e">
        <f>IF(Preenchimento!$G$39="Tabela Price",IF(C317="","",((((((1+W317)^($Q$16-C316))*W317)/((1+W317)^($Q$16-C316)-1))*(O316*(1+$AD$35))))),Q317+P317)</f>
        <v>#VALUE!</v>
      </c>
      <c r="S317" s="43" t="e">
        <f t="shared" ca="1" si="70"/>
        <v>#VALUE!</v>
      </c>
      <c r="T317" s="43">
        <f t="shared" si="76"/>
        <v>0</v>
      </c>
      <c r="U317" s="226">
        <f>TRUNC(T317*Condições!$C$102,2)</f>
        <v>0</v>
      </c>
      <c r="V317" s="82">
        <f t="shared" ca="1" si="77"/>
        <v>10</v>
      </c>
      <c r="W317" s="231" t="str">
        <f t="shared" si="78"/>
        <v/>
      </c>
      <c r="X317" s="210"/>
      <c r="Y317" s="210"/>
      <c r="Z317" s="210"/>
      <c r="AI317" s="114">
        <f t="shared" si="79"/>
        <v>0</v>
      </c>
      <c r="AJ317" s="113"/>
      <c r="AL317" s="477">
        <f t="shared" ca="1" si="80"/>
        <v>0</v>
      </c>
    </row>
    <row r="318" spans="2:38">
      <c r="B318" s="222">
        <f ca="1">Fixa!B318</f>
        <v>55108</v>
      </c>
      <c r="C318" s="223" t="str">
        <f>Fixa!C318</f>
        <v/>
      </c>
      <c r="D318" s="43" t="e">
        <f t="shared" si="71"/>
        <v>#VALUE!</v>
      </c>
      <c r="E318" s="43" t="e">
        <f t="shared" si="65"/>
        <v>#VALUE!</v>
      </c>
      <c r="F318" s="43" t="e">
        <f t="shared" si="66"/>
        <v>#VALUE!</v>
      </c>
      <c r="G318" s="43" t="e">
        <f t="shared" si="67"/>
        <v>#VALUE!</v>
      </c>
      <c r="H318" s="43" t="e">
        <f t="shared" ca="1" si="68"/>
        <v>#VALUE!</v>
      </c>
      <c r="I318" s="43">
        <f t="shared" si="69"/>
        <v>0</v>
      </c>
      <c r="J318" s="229">
        <f t="shared" si="72"/>
        <v>25</v>
      </c>
      <c r="K318" s="43">
        <f t="shared" si="73"/>
        <v>0</v>
      </c>
      <c r="M318" s="224"/>
      <c r="N318" s="225">
        <f t="shared" si="74"/>
        <v>0</v>
      </c>
      <c r="O318" s="43" t="e">
        <f t="shared" si="75"/>
        <v>#VALUE!</v>
      </c>
      <c r="P318" s="43" t="e">
        <f>ROUND(IF(Preenchimento!$G$39="Tabela Price",R318-Q318,(O317*(1+$AD$35))/($AD$28-C317)),$P$22)</f>
        <v>#VALUE!</v>
      </c>
      <c r="Q318" s="43" t="e">
        <f>IF(Preenchimento!$G$39="Tabela Price",O317*(1+$AD$35)*W318,O317*(1+SAC!$AD$35)*SAC!W318)</f>
        <v>#VALUE!</v>
      </c>
      <c r="R318" s="43" t="e">
        <f>IF(Preenchimento!$G$39="Tabela Price",IF(C318="","",((((((1+W318)^($Q$16-C317))*W318)/((1+W318)^($Q$16-C317)-1))*(O317*(1+$AD$35))))),Q318+P318)</f>
        <v>#VALUE!</v>
      </c>
      <c r="S318" s="43" t="e">
        <f t="shared" ca="1" si="70"/>
        <v>#VALUE!</v>
      </c>
      <c r="T318" s="43">
        <f t="shared" si="76"/>
        <v>0</v>
      </c>
      <c r="U318" s="226">
        <f>TRUNC(T318*Condições!$C$102,2)</f>
        <v>0</v>
      </c>
      <c r="V318" s="82">
        <f t="shared" ca="1" si="77"/>
        <v>11</v>
      </c>
      <c r="W318" s="231" t="str">
        <f t="shared" si="78"/>
        <v/>
      </c>
      <c r="X318" s="210"/>
      <c r="Y318" s="210"/>
      <c r="Z318" s="210"/>
      <c r="AI318" s="114">
        <f t="shared" si="79"/>
        <v>0</v>
      </c>
      <c r="AJ318" s="113"/>
      <c r="AL318" s="477">
        <f t="shared" ca="1" si="80"/>
        <v>0</v>
      </c>
    </row>
    <row r="319" spans="2:38">
      <c r="B319" s="222">
        <f ca="1">Fixa!B319</f>
        <v>55138</v>
      </c>
      <c r="C319" s="223" t="str">
        <f>Fixa!C319</f>
        <v/>
      </c>
      <c r="D319" s="43" t="e">
        <f t="shared" si="71"/>
        <v>#VALUE!</v>
      </c>
      <c r="E319" s="43" t="e">
        <f t="shared" si="65"/>
        <v>#VALUE!</v>
      </c>
      <c r="F319" s="43" t="e">
        <f t="shared" si="66"/>
        <v>#VALUE!</v>
      </c>
      <c r="G319" s="43" t="e">
        <f t="shared" si="67"/>
        <v>#VALUE!</v>
      </c>
      <c r="H319" s="43" t="e">
        <f t="shared" ca="1" si="68"/>
        <v>#VALUE!</v>
      </c>
      <c r="I319" s="43">
        <f t="shared" si="69"/>
        <v>0</v>
      </c>
      <c r="J319" s="229">
        <f t="shared" si="72"/>
        <v>25</v>
      </c>
      <c r="K319" s="43">
        <f t="shared" si="73"/>
        <v>0</v>
      </c>
      <c r="M319" s="224"/>
      <c r="N319" s="225">
        <f t="shared" si="74"/>
        <v>0</v>
      </c>
      <c r="O319" s="43" t="e">
        <f t="shared" si="75"/>
        <v>#VALUE!</v>
      </c>
      <c r="P319" s="43" t="e">
        <f>ROUND(IF(Preenchimento!$G$39="Tabela Price",R319-Q319,(O318*(1+$AD$35))/($AD$28-C318)),$P$22)</f>
        <v>#VALUE!</v>
      </c>
      <c r="Q319" s="43" t="e">
        <f>IF(Preenchimento!$G$39="Tabela Price",O318*(1+$AD$35)*W319,O318*(1+SAC!$AD$35)*SAC!W319)</f>
        <v>#VALUE!</v>
      </c>
      <c r="R319" s="43" t="e">
        <f>IF(Preenchimento!$G$39="Tabela Price",IF(C319="","",((((((1+W319)^($Q$16-C318))*W319)/((1+W319)^($Q$16-C318)-1))*(O318*(1+$AD$35))))),Q319+P319)</f>
        <v>#VALUE!</v>
      </c>
      <c r="S319" s="43" t="e">
        <f t="shared" ca="1" si="70"/>
        <v>#VALUE!</v>
      </c>
      <c r="T319" s="43">
        <f t="shared" si="76"/>
        <v>0</v>
      </c>
      <c r="U319" s="226">
        <f>TRUNC(T319*Condições!$C$102,2)</f>
        <v>0</v>
      </c>
      <c r="V319" s="82">
        <f t="shared" ca="1" si="77"/>
        <v>12</v>
      </c>
      <c r="W319" s="231" t="str">
        <f t="shared" si="78"/>
        <v/>
      </c>
      <c r="X319" s="210"/>
      <c r="Y319" s="210"/>
      <c r="Z319" s="210"/>
      <c r="AI319" s="114">
        <f t="shared" si="79"/>
        <v>0</v>
      </c>
      <c r="AJ319" s="113"/>
      <c r="AL319" s="477">
        <f t="shared" ca="1" si="80"/>
        <v>0</v>
      </c>
    </row>
    <row r="320" spans="2:38">
      <c r="B320" s="222">
        <f ca="1">Fixa!B320</f>
        <v>55169</v>
      </c>
      <c r="C320" s="223" t="str">
        <f>Fixa!C320</f>
        <v/>
      </c>
      <c r="D320" s="43" t="e">
        <f t="shared" si="71"/>
        <v>#VALUE!</v>
      </c>
      <c r="E320" s="43" t="e">
        <f t="shared" si="65"/>
        <v>#VALUE!</v>
      </c>
      <c r="F320" s="43" t="e">
        <f t="shared" si="66"/>
        <v>#VALUE!</v>
      </c>
      <c r="G320" s="43" t="e">
        <f t="shared" si="67"/>
        <v>#VALUE!</v>
      </c>
      <c r="H320" s="43" t="e">
        <f t="shared" ca="1" si="68"/>
        <v>#VALUE!</v>
      </c>
      <c r="I320" s="43">
        <f t="shared" si="69"/>
        <v>0</v>
      </c>
      <c r="J320" s="229">
        <f t="shared" si="72"/>
        <v>25</v>
      </c>
      <c r="K320" s="43">
        <f t="shared" si="73"/>
        <v>0</v>
      </c>
      <c r="M320" s="224"/>
      <c r="N320" s="225">
        <f t="shared" si="74"/>
        <v>0</v>
      </c>
      <c r="O320" s="43" t="e">
        <f t="shared" si="75"/>
        <v>#VALUE!</v>
      </c>
      <c r="P320" s="43" t="e">
        <f>ROUND(IF(Preenchimento!$G$39="Tabela Price",R320-Q320,(O319*(1+$AD$35))/($AD$28-C319)),$P$22)</f>
        <v>#VALUE!</v>
      </c>
      <c r="Q320" s="43" t="e">
        <f>IF(Preenchimento!$G$39="Tabela Price",O319*(1+$AD$35)*W320,O319*(1+SAC!$AD$35)*SAC!W320)</f>
        <v>#VALUE!</v>
      </c>
      <c r="R320" s="43" t="e">
        <f>IF(Preenchimento!$G$39="Tabela Price",IF(C320="","",((((((1+W320)^($Q$16-C319))*W320)/((1+W320)^($Q$16-C319)-1))*(O319*(1+$AD$35))))),Q320+P320)</f>
        <v>#VALUE!</v>
      </c>
      <c r="S320" s="43" t="e">
        <f t="shared" ca="1" si="70"/>
        <v>#VALUE!</v>
      </c>
      <c r="T320" s="43">
        <f t="shared" si="76"/>
        <v>0</v>
      </c>
      <c r="U320" s="226">
        <f>TRUNC(T320*Condições!$C$102,2)</f>
        <v>0</v>
      </c>
      <c r="V320" s="82">
        <f t="shared" ca="1" si="77"/>
        <v>1</v>
      </c>
      <c r="W320" s="231" t="str">
        <f t="shared" si="78"/>
        <v/>
      </c>
      <c r="X320" s="210"/>
      <c r="Y320" s="210"/>
      <c r="Z320" s="210"/>
      <c r="AI320" s="114">
        <f t="shared" si="79"/>
        <v>0</v>
      </c>
      <c r="AJ320" s="113"/>
      <c r="AL320" s="477">
        <f t="shared" ca="1" si="80"/>
        <v>0</v>
      </c>
    </row>
    <row r="321" spans="2:38">
      <c r="B321" s="222">
        <f ca="1">Fixa!B321</f>
        <v>55200</v>
      </c>
      <c r="C321" s="223" t="str">
        <f>Fixa!C321</f>
        <v/>
      </c>
      <c r="D321" s="43" t="e">
        <f t="shared" si="71"/>
        <v>#VALUE!</v>
      </c>
      <c r="E321" s="43" t="e">
        <f t="shared" si="65"/>
        <v>#VALUE!</v>
      </c>
      <c r="F321" s="43" t="e">
        <f t="shared" si="66"/>
        <v>#VALUE!</v>
      </c>
      <c r="G321" s="43" t="e">
        <f t="shared" si="67"/>
        <v>#VALUE!</v>
      </c>
      <c r="H321" s="43" t="e">
        <f t="shared" ca="1" si="68"/>
        <v>#VALUE!</v>
      </c>
      <c r="I321" s="43">
        <f t="shared" si="69"/>
        <v>0</v>
      </c>
      <c r="J321" s="229">
        <f t="shared" si="72"/>
        <v>25</v>
      </c>
      <c r="K321" s="43">
        <f t="shared" si="73"/>
        <v>0</v>
      </c>
      <c r="M321" s="224"/>
      <c r="N321" s="225">
        <f t="shared" si="74"/>
        <v>0</v>
      </c>
      <c r="O321" s="43" t="e">
        <f t="shared" si="75"/>
        <v>#VALUE!</v>
      </c>
      <c r="P321" s="43" t="e">
        <f>ROUND(IF(Preenchimento!$G$39="Tabela Price",R321-Q321,(O320*(1+$AD$35))/($AD$28-C320)),$P$22)</f>
        <v>#VALUE!</v>
      </c>
      <c r="Q321" s="43" t="e">
        <f>IF(Preenchimento!$G$39="Tabela Price",O320*(1+$AD$35)*W321,O320*(1+SAC!$AD$35)*SAC!W321)</f>
        <v>#VALUE!</v>
      </c>
      <c r="R321" s="43" t="e">
        <f>IF(Preenchimento!$G$39="Tabela Price",IF(C321="","",((((((1+W321)^($Q$16-C320))*W321)/((1+W321)^($Q$16-C320)-1))*(O320*(1+$AD$35))))),Q321+P321)</f>
        <v>#VALUE!</v>
      </c>
      <c r="S321" s="43" t="e">
        <f t="shared" ca="1" si="70"/>
        <v>#VALUE!</v>
      </c>
      <c r="T321" s="43">
        <f t="shared" si="76"/>
        <v>0</v>
      </c>
      <c r="U321" s="226">
        <f>TRUNC(T321*Condições!$C$102,2)</f>
        <v>0</v>
      </c>
      <c r="V321" s="82">
        <f t="shared" ca="1" si="77"/>
        <v>2</v>
      </c>
      <c r="W321" s="231" t="str">
        <f t="shared" si="78"/>
        <v/>
      </c>
      <c r="X321" s="210"/>
      <c r="Y321" s="210"/>
      <c r="Z321" s="210"/>
      <c r="AI321" s="114">
        <f t="shared" si="79"/>
        <v>0</v>
      </c>
      <c r="AJ321" s="113"/>
      <c r="AL321" s="477">
        <f t="shared" ca="1" si="80"/>
        <v>0</v>
      </c>
    </row>
    <row r="322" spans="2:38">
      <c r="B322" s="222">
        <f ca="1">Fixa!B322</f>
        <v>55228</v>
      </c>
      <c r="C322" s="223" t="str">
        <f>Fixa!C322</f>
        <v/>
      </c>
      <c r="D322" s="43" t="e">
        <f t="shared" si="71"/>
        <v>#VALUE!</v>
      </c>
      <c r="E322" s="43" t="e">
        <f t="shared" si="65"/>
        <v>#VALUE!</v>
      </c>
      <c r="F322" s="43" t="e">
        <f t="shared" si="66"/>
        <v>#VALUE!</v>
      </c>
      <c r="G322" s="43" t="e">
        <f t="shared" si="67"/>
        <v>#VALUE!</v>
      </c>
      <c r="H322" s="43" t="e">
        <f t="shared" ca="1" si="68"/>
        <v>#VALUE!</v>
      </c>
      <c r="I322" s="43">
        <f t="shared" si="69"/>
        <v>0</v>
      </c>
      <c r="J322" s="229">
        <f t="shared" si="72"/>
        <v>25</v>
      </c>
      <c r="K322" s="43">
        <f t="shared" si="73"/>
        <v>0</v>
      </c>
      <c r="M322" s="224"/>
      <c r="N322" s="225">
        <f t="shared" si="74"/>
        <v>0</v>
      </c>
      <c r="O322" s="43" t="e">
        <f t="shared" si="75"/>
        <v>#VALUE!</v>
      </c>
      <c r="P322" s="43" t="e">
        <f>ROUND(IF(Preenchimento!$G$39="Tabela Price",R322-Q322,(O321*(1+$AD$35))/($AD$28-C321)),$P$22)</f>
        <v>#VALUE!</v>
      </c>
      <c r="Q322" s="43" t="e">
        <f>IF(Preenchimento!$G$39="Tabela Price",O321*(1+$AD$35)*W322,O321*(1+SAC!$AD$35)*SAC!W322)</f>
        <v>#VALUE!</v>
      </c>
      <c r="R322" s="43" t="e">
        <f>IF(Preenchimento!$G$39="Tabela Price",IF(C322="","",((((((1+W322)^($Q$16-C321))*W322)/((1+W322)^($Q$16-C321)-1))*(O321*(1+$AD$35))))),Q322+P322)</f>
        <v>#VALUE!</v>
      </c>
      <c r="S322" s="43" t="e">
        <f t="shared" ca="1" si="70"/>
        <v>#VALUE!</v>
      </c>
      <c r="T322" s="43">
        <f t="shared" si="76"/>
        <v>0</v>
      </c>
      <c r="U322" s="226">
        <f>TRUNC(T322*Condições!$C$102,2)</f>
        <v>0</v>
      </c>
      <c r="V322" s="82">
        <f t="shared" ca="1" si="77"/>
        <v>3</v>
      </c>
      <c r="W322" s="231" t="str">
        <f t="shared" si="78"/>
        <v/>
      </c>
      <c r="X322" s="210"/>
      <c r="Y322" s="210"/>
      <c r="Z322" s="210"/>
      <c r="AI322" s="114">
        <f t="shared" si="79"/>
        <v>0</v>
      </c>
      <c r="AJ322" s="113"/>
      <c r="AL322" s="477">
        <f t="shared" ca="1" si="80"/>
        <v>0</v>
      </c>
    </row>
    <row r="323" spans="2:38">
      <c r="B323" s="222">
        <f ca="1">Fixa!B323</f>
        <v>55259</v>
      </c>
      <c r="C323" s="223" t="str">
        <f>Fixa!C323</f>
        <v/>
      </c>
      <c r="D323" s="43" t="e">
        <f t="shared" si="71"/>
        <v>#VALUE!</v>
      </c>
      <c r="E323" s="43" t="e">
        <f t="shared" si="65"/>
        <v>#VALUE!</v>
      </c>
      <c r="F323" s="43" t="e">
        <f t="shared" si="66"/>
        <v>#VALUE!</v>
      </c>
      <c r="G323" s="43" t="e">
        <f t="shared" si="67"/>
        <v>#VALUE!</v>
      </c>
      <c r="H323" s="43" t="e">
        <f t="shared" ca="1" si="68"/>
        <v>#VALUE!</v>
      </c>
      <c r="I323" s="43">
        <f t="shared" si="69"/>
        <v>0</v>
      </c>
      <c r="J323" s="229">
        <f t="shared" si="72"/>
        <v>25</v>
      </c>
      <c r="K323" s="43">
        <f t="shared" si="73"/>
        <v>0</v>
      </c>
      <c r="M323" s="224"/>
      <c r="N323" s="225">
        <f t="shared" si="74"/>
        <v>0</v>
      </c>
      <c r="O323" s="43" t="e">
        <f t="shared" si="75"/>
        <v>#VALUE!</v>
      </c>
      <c r="P323" s="43" t="e">
        <f>ROUND(IF(Preenchimento!$G$39="Tabela Price",R323-Q323,(O322*(1+$AD$35))/($AD$28-C322)),$P$22)</f>
        <v>#VALUE!</v>
      </c>
      <c r="Q323" s="43" t="e">
        <f>IF(Preenchimento!$G$39="Tabela Price",O322*(1+$AD$35)*W323,O322*(1+SAC!$AD$35)*SAC!W323)</f>
        <v>#VALUE!</v>
      </c>
      <c r="R323" s="43" t="e">
        <f>IF(Preenchimento!$G$39="Tabela Price",IF(C323="","",((((((1+W323)^($Q$16-C322))*W323)/((1+W323)^($Q$16-C322)-1))*(O322*(1+$AD$35))))),Q323+P323)</f>
        <v>#VALUE!</v>
      </c>
      <c r="S323" s="43" t="e">
        <f t="shared" ca="1" si="70"/>
        <v>#VALUE!</v>
      </c>
      <c r="T323" s="43">
        <f t="shared" si="76"/>
        <v>0</v>
      </c>
      <c r="U323" s="226">
        <f>TRUNC(T323*Condições!$C$102,2)</f>
        <v>0</v>
      </c>
      <c r="V323" s="82">
        <f t="shared" ca="1" si="77"/>
        <v>4</v>
      </c>
      <c r="W323" s="231" t="str">
        <f t="shared" si="78"/>
        <v/>
      </c>
      <c r="X323" s="210"/>
      <c r="Y323" s="210"/>
      <c r="Z323" s="210"/>
      <c r="AI323" s="114">
        <f t="shared" si="79"/>
        <v>0</v>
      </c>
      <c r="AJ323" s="113"/>
      <c r="AL323" s="477">
        <f t="shared" ca="1" si="80"/>
        <v>0</v>
      </c>
    </row>
    <row r="324" spans="2:38">
      <c r="B324" s="222">
        <f ca="1">Fixa!B324</f>
        <v>55289</v>
      </c>
      <c r="C324" s="223" t="str">
        <f>Fixa!C324</f>
        <v/>
      </c>
      <c r="D324" s="43" t="e">
        <f t="shared" si="71"/>
        <v>#VALUE!</v>
      </c>
      <c r="E324" s="43" t="e">
        <f t="shared" si="65"/>
        <v>#VALUE!</v>
      </c>
      <c r="F324" s="43" t="e">
        <f t="shared" si="66"/>
        <v>#VALUE!</v>
      </c>
      <c r="G324" s="43" t="e">
        <f t="shared" si="67"/>
        <v>#VALUE!</v>
      </c>
      <c r="H324" s="43" t="e">
        <f t="shared" ca="1" si="68"/>
        <v>#VALUE!</v>
      </c>
      <c r="I324" s="43">
        <f t="shared" si="69"/>
        <v>0</v>
      </c>
      <c r="J324" s="229">
        <f t="shared" si="72"/>
        <v>25</v>
      </c>
      <c r="K324" s="43">
        <f t="shared" si="73"/>
        <v>0</v>
      </c>
      <c r="M324" s="224"/>
      <c r="N324" s="225">
        <f t="shared" si="74"/>
        <v>0</v>
      </c>
      <c r="O324" s="43" t="e">
        <f t="shared" si="75"/>
        <v>#VALUE!</v>
      </c>
      <c r="P324" s="43" t="e">
        <f>ROUND(IF(Preenchimento!$G$39="Tabela Price",R324-Q324,(O323*(1+$AD$35))/($AD$28-C323)),$P$22)</f>
        <v>#VALUE!</v>
      </c>
      <c r="Q324" s="43" t="e">
        <f>IF(Preenchimento!$G$39="Tabela Price",O323*(1+$AD$35)*W324,O323*(1+SAC!$AD$35)*SAC!W324)</f>
        <v>#VALUE!</v>
      </c>
      <c r="R324" s="43" t="e">
        <f>IF(Preenchimento!$G$39="Tabela Price",IF(C324="","",((((((1+W324)^($Q$16-C323))*W324)/((1+W324)^($Q$16-C323)-1))*(O323*(1+$AD$35))))),Q324+P324)</f>
        <v>#VALUE!</v>
      </c>
      <c r="S324" s="43" t="e">
        <f t="shared" ca="1" si="70"/>
        <v>#VALUE!</v>
      </c>
      <c r="T324" s="43">
        <f t="shared" si="76"/>
        <v>0</v>
      </c>
      <c r="U324" s="226">
        <f>TRUNC(T324*Condições!$C$102,2)</f>
        <v>0</v>
      </c>
      <c r="V324" s="82">
        <f t="shared" ca="1" si="77"/>
        <v>5</v>
      </c>
      <c r="W324" s="231" t="str">
        <f t="shared" si="78"/>
        <v/>
      </c>
      <c r="X324" s="210"/>
      <c r="Y324" s="210"/>
      <c r="Z324" s="210"/>
      <c r="AI324" s="114">
        <f t="shared" si="79"/>
        <v>0</v>
      </c>
      <c r="AJ324" s="113"/>
      <c r="AL324" s="477">
        <f t="shared" ca="1" si="80"/>
        <v>0</v>
      </c>
    </row>
    <row r="325" spans="2:38">
      <c r="B325" s="222">
        <f ca="1">Fixa!B325</f>
        <v>55320</v>
      </c>
      <c r="C325" s="223" t="str">
        <f>Fixa!C325</f>
        <v/>
      </c>
      <c r="D325" s="43" t="e">
        <f t="shared" si="71"/>
        <v>#VALUE!</v>
      </c>
      <c r="E325" s="43" t="e">
        <f t="shared" si="65"/>
        <v>#VALUE!</v>
      </c>
      <c r="F325" s="43" t="e">
        <f t="shared" si="66"/>
        <v>#VALUE!</v>
      </c>
      <c r="G325" s="43" t="e">
        <f t="shared" si="67"/>
        <v>#VALUE!</v>
      </c>
      <c r="H325" s="43" t="e">
        <f t="shared" ca="1" si="68"/>
        <v>#VALUE!</v>
      </c>
      <c r="I325" s="43">
        <f t="shared" si="69"/>
        <v>0</v>
      </c>
      <c r="J325" s="229">
        <f t="shared" si="72"/>
        <v>25</v>
      </c>
      <c r="K325" s="43">
        <f t="shared" si="73"/>
        <v>0</v>
      </c>
      <c r="M325" s="224"/>
      <c r="N325" s="225">
        <f t="shared" si="74"/>
        <v>0</v>
      </c>
      <c r="O325" s="43" t="e">
        <f t="shared" si="75"/>
        <v>#VALUE!</v>
      </c>
      <c r="P325" s="43" t="e">
        <f>ROUND(IF(Preenchimento!$G$39="Tabela Price",R325-Q325,(O324*(1+$AD$35))/($AD$28-C324)),$P$22)</f>
        <v>#VALUE!</v>
      </c>
      <c r="Q325" s="43" t="e">
        <f>IF(Preenchimento!$G$39="Tabela Price",O324*(1+$AD$35)*W325,O324*(1+SAC!$AD$35)*SAC!W325)</f>
        <v>#VALUE!</v>
      </c>
      <c r="R325" s="43" t="e">
        <f>IF(Preenchimento!$G$39="Tabela Price",IF(C325="","",((((((1+W325)^($Q$16-C324))*W325)/((1+W325)^($Q$16-C324)-1))*(O324*(1+$AD$35))))),Q325+P325)</f>
        <v>#VALUE!</v>
      </c>
      <c r="S325" s="43" t="e">
        <f t="shared" ca="1" si="70"/>
        <v>#VALUE!</v>
      </c>
      <c r="T325" s="43">
        <f t="shared" si="76"/>
        <v>0</v>
      </c>
      <c r="U325" s="226">
        <f>TRUNC(T325*Condições!$C$102,2)</f>
        <v>0</v>
      </c>
      <c r="V325" s="82">
        <f t="shared" ca="1" si="77"/>
        <v>6</v>
      </c>
      <c r="W325" s="231" t="str">
        <f t="shared" si="78"/>
        <v/>
      </c>
      <c r="X325" s="210"/>
      <c r="Y325" s="210"/>
      <c r="Z325" s="210"/>
      <c r="AI325" s="114">
        <f t="shared" si="79"/>
        <v>0</v>
      </c>
      <c r="AJ325" s="113"/>
      <c r="AL325" s="477">
        <f t="shared" ca="1" si="80"/>
        <v>0</v>
      </c>
    </row>
    <row r="326" spans="2:38">
      <c r="B326" s="222">
        <f ca="1">Fixa!B326</f>
        <v>55350</v>
      </c>
      <c r="C326" s="223" t="str">
        <f>Fixa!C326</f>
        <v/>
      </c>
      <c r="D326" s="43" t="e">
        <f t="shared" si="71"/>
        <v>#VALUE!</v>
      </c>
      <c r="E326" s="43" t="e">
        <f t="shared" si="65"/>
        <v>#VALUE!</v>
      </c>
      <c r="F326" s="43" t="e">
        <f t="shared" si="66"/>
        <v>#VALUE!</v>
      </c>
      <c r="G326" s="43" t="e">
        <f t="shared" si="67"/>
        <v>#VALUE!</v>
      </c>
      <c r="H326" s="43" t="e">
        <f t="shared" ca="1" si="68"/>
        <v>#VALUE!</v>
      </c>
      <c r="I326" s="43">
        <f t="shared" si="69"/>
        <v>0</v>
      </c>
      <c r="J326" s="229">
        <f t="shared" si="72"/>
        <v>25</v>
      </c>
      <c r="K326" s="43">
        <f t="shared" si="73"/>
        <v>0</v>
      </c>
      <c r="M326" s="224"/>
      <c r="N326" s="225">
        <f t="shared" si="74"/>
        <v>0</v>
      </c>
      <c r="O326" s="43" t="e">
        <f t="shared" si="75"/>
        <v>#VALUE!</v>
      </c>
      <c r="P326" s="43" t="e">
        <f>ROUND(IF(Preenchimento!$G$39="Tabela Price",R326-Q326,(O325*(1+$AD$35))/($AD$28-C325)),$P$22)</f>
        <v>#VALUE!</v>
      </c>
      <c r="Q326" s="43" t="e">
        <f>IF(Preenchimento!$G$39="Tabela Price",O325*(1+$AD$35)*W326,O325*(1+SAC!$AD$35)*SAC!W326)</f>
        <v>#VALUE!</v>
      </c>
      <c r="R326" s="43" t="e">
        <f>IF(Preenchimento!$G$39="Tabela Price",IF(C326="","",((((((1+W326)^($Q$16-C325))*W326)/((1+W326)^($Q$16-C325)-1))*(O325*(1+$AD$35))))),Q326+P326)</f>
        <v>#VALUE!</v>
      </c>
      <c r="S326" s="43" t="e">
        <f t="shared" ca="1" si="70"/>
        <v>#VALUE!</v>
      </c>
      <c r="T326" s="43">
        <f t="shared" si="76"/>
        <v>0</v>
      </c>
      <c r="U326" s="226">
        <f>TRUNC(T326*Condições!$C$102,2)</f>
        <v>0</v>
      </c>
      <c r="V326" s="82">
        <f t="shared" ca="1" si="77"/>
        <v>7</v>
      </c>
      <c r="W326" s="231" t="str">
        <f t="shared" si="78"/>
        <v/>
      </c>
      <c r="X326" s="210"/>
      <c r="Y326" s="210"/>
      <c r="Z326" s="210"/>
      <c r="AI326" s="114">
        <f t="shared" si="79"/>
        <v>0</v>
      </c>
      <c r="AJ326" s="113"/>
      <c r="AL326" s="477">
        <f t="shared" ca="1" si="80"/>
        <v>0</v>
      </c>
    </row>
    <row r="327" spans="2:38">
      <c r="B327" s="222">
        <f ca="1">Fixa!B327</f>
        <v>55381</v>
      </c>
      <c r="C327" s="223" t="str">
        <f>Fixa!C327</f>
        <v/>
      </c>
      <c r="D327" s="43" t="e">
        <f t="shared" si="71"/>
        <v>#VALUE!</v>
      </c>
      <c r="E327" s="43" t="e">
        <f t="shared" si="65"/>
        <v>#VALUE!</v>
      </c>
      <c r="F327" s="43" t="e">
        <f t="shared" si="66"/>
        <v>#VALUE!</v>
      </c>
      <c r="G327" s="43" t="e">
        <f t="shared" si="67"/>
        <v>#VALUE!</v>
      </c>
      <c r="H327" s="43" t="e">
        <f t="shared" ca="1" si="68"/>
        <v>#VALUE!</v>
      </c>
      <c r="I327" s="43">
        <f t="shared" si="69"/>
        <v>0</v>
      </c>
      <c r="J327" s="229">
        <f t="shared" si="72"/>
        <v>25</v>
      </c>
      <c r="K327" s="43">
        <f t="shared" si="73"/>
        <v>0</v>
      </c>
      <c r="M327" s="224"/>
      <c r="N327" s="225">
        <f t="shared" si="74"/>
        <v>0</v>
      </c>
      <c r="O327" s="43" t="e">
        <f t="shared" si="75"/>
        <v>#VALUE!</v>
      </c>
      <c r="P327" s="43" t="e">
        <f>ROUND(IF(Preenchimento!$G$39="Tabela Price",R327-Q327,(O326*(1+$AD$35))/($AD$28-C326)),$P$22)</f>
        <v>#VALUE!</v>
      </c>
      <c r="Q327" s="43" t="e">
        <f>IF(Preenchimento!$G$39="Tabela Price",O326*(1+$AD$35)*W327,O326*(1+SAC!$AD$35)*SAC!W327)</f>
        <v>#VALUE!</v>
      </c>
      <c r="R327" s="43" t="e">
        <f>IF(Preenchimento!$G$39="Tabela Price",IF(C327="","",((((((1+W327)^($Q$16-C326))*W327)/((1+W327)^($Q$16-C326)-1))*(O326*(1+$AD$35))))),Q327+P327)</f>
        <v>#VALUE!</v>
      </c>
      <c r="S327" s="43" t="e">
        <f t="shared" ca="1" si="70"/>
        <v>#VALUE!</v>
      </c>
      <c r="T327" s="43">
        <f t="shared" si="76"/>
        <v>0</v>
      </c>
      <c r="U327" s="226">
        <f>TRUNC(T327*Condições!$C$102,2)</f>
        <v>0</v>
      </c>
      <c r="V327" s="82">
        <f t="shared" ca="1" si="77"/>
        <v>8</v>
      </c>
      <c r="W327" s="231" t="str">
        <f t="shared" si="78"/>
        <v/>
      </c>
      <c r="X327" s="210"/>
      <c r="Y327" s="210"/>
      <c r="Z327" s="210"/>
      <c r="AI327" s="114">
        <f t="shared" si="79"/>
        <v>0</v>
      </c>
      <c r="AJ327" s="113"/>
      <c r="AL327" s="477">
        <f t="shared" ca="1" si="80"/>
        <v>0</v>
      </c>
    </row>
    <row r="328" spans="2:38">
      <c r="B328" s="222">
        <f ca="1">Fixa!B328</f>
        <v>55412</v>
      </c>
      <c r="C328" s="223" t="str">
        <f>Fixa!C328</f>
        <v/>
      </c>
      <c r="D328" s="43" t="e">
        <f t="shared" si="71"/>
        <v>#VALUE!</v>
      </c>
      <c r="E328" s="43" t="e">
        <f t="shared" si="65"/>
        <v>#VALUE!</v>
      </c>
      <c r="F328" s="43" t="e">
        <f t="shared" si="66"/>
        <v>#VALUE!</v>
      </c>
      <c r="G328" s="43" t="e">
        <f t="shared" si="67"/>
        <v>#VALUE!</v>
      </c>
      <c r="H328" s="43" t="e">
        <f t="shared" ca="1" si="68"/>
        <v>#VALUE!</v>
      </c>
      <c r="I328" s="43">
        <f t="shared" si="69"/>
        <v>0</v>
      </c>
      <c r="J328" s="229">
        <f t="shared" si="72"/>
        <v>25</v>
      </c>
      <c r="K328" s="43">
        <f t="shared" si="73"/>
        <v>0</v>
      </c>
      <c r="M328" s="224"/>
      <c r="N328" s="225">
        <f t="shared" si="74"/>
        <v>0</v>
      </c>
      <c r="O328" s="43" t="e">
        <f t="shared" si="75"/>
        <v>#VALUE!</v>
      </c>
      <c r="P328" s="43" t="e">
        <f>ROUND(IF(Preenchimento!$G$39="Tabela Price",R328-Q328,(O327*(1+$AD$35))/($AD$28-C327)),$P$22)</f>
        <v>#VALUE!</v>
      </c>
      <c r="Q328" s="43" t="e">
        <f>IF(Preenchimento!$G$39="Tabela Price",O327*(1+$AD$35)*W328,O327*(1+SAC!$AD$35)*SAC!W328)</f>
        <v>#VALUE!</v>
      </c>
      <c r="R328" s="43" t="e">
        <f>IF(Preenchimento!$G$39="Tabela Price",IF(C328="","",((((((1+W328)^($Q$16-C327))*W328)/((1+W328)^($Q$16-C327)-1))*(O327*(1+$AD$35))))),Q328+P328)</f>
        <v>#VALUE!</v>
      </c>
      <c r="S328" s="43" t="e">
        <f t="shared" ca="1" si="70"/>
        <v>#VALUE!</v>
      </c>
      <c r="T328" s="43">
        <f t="shared" si="76"/>
        <v>0</v>
      </c>
      <c r="U328" s="226">
        <f>TRUNC(T328*Condições!$C$102,2)</f>
        <v>0</v>
      </c>
      <c r="V328" s="82">
        <f t="shared" ca="1" si="77"/>
        <v>9</v>
      </c>
      <c r="W328" s="231" t="str">
        <f t="shared" si="78"/>
        <v/>
      </c>
      <c r="X328" s="210"/>
      <c r="Y328" s="210"/>
      <c r="Z328" s="210"/>
      <c r="AI328" s="114">
        <f t="shared" si="79"/>
        <v>0</v>
      </c>
      <c r="AJ328" s="113"/>
      <c r="AL328" s="477">
        <f t="shared" ca="1" si="80"/>
        <v>0</v>
      </c>
    </row>
    <row r="329" spans="2:38">
      <c r="B329" s="222">
        <f ca="1">Fixa!B329</f>
        <v>55442</v>
      </c>
      <c r="C329" s="223" t="str">
        <f>Fixa!C329</f>
        <v/>
      </c>
      <c r="D329" s="43" t="e">
        <f t="shared" si="71"/>
        <v>#VALUE!</v>
      </c>
      <c r="E329" s="43" t="e">
        <f t="shared" si="65"/>
        <v>#VALUE!</v>
      </c>
      <c r="F329" s="43" t="e">
        <f t="shared" si="66"/>
        <v>#VALUE!</v>
      </c>
      <c r="G329" s="43" t="e">
        <f t="shared" si="67"/>
        <v>#VALUE!</v>
      </c>
      <c r="H329" s="43" t="e">
        <f t="shared" ca="1" si="68"/>
        <v>#VALUE!</v>
      </c>
      <c r="I329" s="43">
        <f t="shared" si="69"/>
        <v>0</v>
      </c>
      <c r="J329" s="229">
        <f t="shared" si="72"/>
        <v>25</v>
      </c>
      <c r="K329" s="43">
        <f t="shared" si="73"/>
        <v>0</v>
      </c>
      <c r="M329" s="224"/>
      <c r="N329" s="225">
        <f t="shared" si="74"/>
        <v>0</v>
      </c>
      <c r="O329" s="43" t="e">
        <f t="shared" si="75"/>
        <v>#VALUE!</v>
      </c>
      <c r="P329" s="43" t="e">
        <f>ROUND(IF(Preenchimento!$G$39="Tabela Price",R329-Q329,(O328*(1+$AD$35))/($AD$28-C328)),$P$22)</f>
        <v>#VALUE!</v>
      </c>
      <c r="Q329" s="43" t="e">
        <f>IF(Preenchimento!$G$39="Tabela Price",O328*(1+$AD$35)*W329,O328*(1+SAC!$AD$35)*SAC!W329)</f>
        <v>#VALUE!</v>
      </c>
      <c r="R329" s="43" t="e">
        <f>IF(Preenchimento!$G$39="Tabela Price",IF(C329="","",((((((1+W329)^($Q$16-C328))*W329)/((1+W329)^($Q$16-C328)-1))*(O328*(1+$AD$35))))),Q329+P329)</f>
        <v>#VALUE!</v>
      </c>
      <c r="S329" s="43" t="e">
        <f t="shared" ca="1" si="70"/>
        <v>#VALUE!</v>
      </c>
      <c r="T329" s="43">
        <f t="shared" si="76"/>
        <v>0</v>
      </c>
      <c r="U329" s="226">
        <f>TRUNC(T329*Condições!$C$102,2)</f>
        <v>0</v>
      </c>
      <c r="V329" s="82">
        <f t="shared" ca="1" si="77"/>
        <v>10</v>
      </c>
      <c r="W329" s="231" t="str">
        <f t="shared" si="78"/>
        <v/>
      </c>
      <c r="X329" s="210"/>
      <c r="Y329" s="210"/>
      <c r="Z329" s="210"/>
      <c r="AI329" s="114">
        <f t="shared" si="79"/>
        <v>0</v>
      </c>
      <c r="AJ329" s="113"/>
      <c r="AL329" s="477">
        <f t="shared" ca="1" si="80"/>
        <v>0</v>
      </c>
    </row>
    <row r="330" spans="2:38">
      <c r="B330" s="222">
        <f ca="1">Fixa!B330</f>
        <v>55473</v>
      </c>
      <c r="C330" s="223" t="str">
        <f>Fixa!C330</f>
        <v/>
      </c>
      <c r="D330" s="43" t="e">
        <f t="shared" si="71"/>
        <v>#VALUE!</v>
      </c>
      <c r="E330" s="43" t="e">
        <f t="shared" si="65"/>
        <v>#VALUE!</v>
      </c>
      <c r="F330" s="43" t="e">
        <f t="shared" si="66"/>
        <v>#VALUE!</v>
      </c>
      <c r="G330" s="43" t="e">
        <f t="shared" si="67"/>
        <v>#VALUE!</v>
      </c>
      <c r="H330" s="43" t="e">
        <f t="shared" ca="1" si="68"/>
        <v>#VALUE!</v>
      </c>
      <c r="I330" s="43">
        <f t="shared" si="69"/>
        <v>0</v>
      </c>
      <c r="J330" s="229">
        <f t="shared" si="72"/>
        <v>25</v>
      </c>
      <c r="K330" s="43">
        <f t="shared" si="73"/>
        <v>0</v>
      </c>
      <c r="M330" s="224"/>
      <c r="N330" s="225">
        <f t="shared" si="74"/>
        <v>0</v>
      </c>
      <c r="O330" s="43" t="e">
        <f t="shared" si="75"/>
        <v>#VALUE!</v>
      </c>
      <c r="P330" s="43" t="e">
        <f>ROUND(IF(Preenchimento!$G$39="Tabela Price",R330-Q330,(O329*(1+$AD$35))/($AD$28-C329)),$P$22)</f>
        <v>#VALUE!</v>
      </c>
      <c r="Q330" s="43" t="e">
        <f>IF(Preenchimento!$G$39="Tabela Price",O329*(1+$AD$35)*W330,O329*(1+SAC!$AD$35)*SAC!W330)</f>
        <v>#VALUE!</v>
      </c>
      <c r="R330" s="43" t="e">
        <f>IF(Preenchimento!$G$39="Tabela Price",IF(C330="","",((((((1+W330)^($Q$16-C329))*W330)/((1+W330)^($Q$16-C329)-1))*(O329*(1+$AD$35))))),Q330+P330)</f>
        <v>#VALUE!</v>
      </c>
      <c r="S330" s="43" t="e">
        <f t="shared" ca="1" si="70"/>
        <v>#VALUE!</v>
      </c>
      <c r="T330" s="43">
        <f t="shared" si="76"/>
        <v>0</v>
      </c>
      <c r="U330" s="226">
        <f>TRUNC(T330*Condições!$C$102,2)</f>
        <v>0</v>
      </c>
      <c r="V330" s="82">
        <f t="shared" ca="1" si="77"/>
        <v>11</v>
      </c>
      <c r="W330" s="231" t="str">
        <f t="shared" si="78"/>
        <v/>
      </c>
      <c r="X330" s="210"/>
      <c r="Y330" s="210"/>
      <c r="Z330" s="210"/>
      <c r="AI330" s="114">
        <f t="shared" si="79"/>
        <v>0</v>
      </c>
      <c r="AJ330" s="113"/>
      <c r="AL330" s="477">
        <f t="shared" ca="1" si="80"/>
        <v>0</v>
      </c>
    </row>
    <row r="331" spans="2:38">
      <c r="B331" s="222">
        <f ca="1">Fixa!B331</f>
        <v>55503</v>
      </c>
      <c r="C331" s="223" t="str">
        <f>Fixa!C331</f>
        <v/>
      </c>
      <c r="D331" s="43" t="e">
        <f t="shared" si="71"/>
        <v>#VALUE!</v>
      </c>
      <c r="E331" s="43" t="e">
        <f t="shared" si="65"/>
        <v>#VALUE!</v>
      </c>
      <c r="F331" s="43" t="e">
        <f t="shared" si="66"/>
        <v>#VALUE!</v>
      </c>
      <c r="G331" s="43" t="e">
        <f t="shared" si="67"/>
        <v>#VALUE!</v>
      </c>
      <c r="H331" s="43" t="e">
        <f t="shared" ca="1" si="68"/>
        <v>#VALUE!</v>
      </c>
      <c r="I331" s="43">
        <f t="shared" si="69"/>
        <v>0</v>
      </c>
      <c r="J331" s="229">
        <f t="shared" si="72"/>
        <v>25</v>
      </c>
      <c r="K331" s="43">
        <f t="shared" si="73"/>
        <v>0</v>
      </c>
      <c r="M331" s="224"/>
      <c r="N331" s="225">
        <f t="shared" si="74"/>
        <v>0</v>
      </c>
      <c r="O331" s="43" t="e">
        <f t="shared" si="75"/>
        <v>#VALUE!</v>
      </c>
      <c r="P331" s="43" t="e">
        <f>ROUND(IF(Preenchimento!$G$39="Tabela Price",R331-Q331,(O330*(1+$AD$35))/($AD$28-C330)),$P$22)</f>
        <v>#VALUE!</v>
      </c>
      <c r="Q331" s="43" t="e">
        <f>IF(Preenchimento!$G$39="Tabela Price",O330*(1+$AD$35)*W331,O330*(1+SAC!$AD$35)*SAC!W331)</f>
        <v>#VALUE!</v>
      </c>
      <c r="R331" s="43" t="e">
        <f>IF(Preenchimento!$G$39="Tabela Price",IF(C331="","",((((((1+W331)^($Q$16-C330))*W331)/((1+W331)^($Q$16-C330)-1))*(O330*(1+$AD$35))))),Q331+P331)</f>
        <v>#VALUE!</v>
      </c>
      <c r="S331" s="43" t="e">
        <f t="shared" ca="1" si="70"/>
        <v>#VALUE!</v>
      </c>
      <c r="T331" s="43">
        <f t="shared" si="76"/>
        <v>0</v>
      </c>
      <c r="U331" s="226">
        <f>TRUNC(T331*Condições!$C$102,2)</f>
        <v>0</v>
      </c>
      <c r="V331" s="82">
        <f t="shared" ca="1" si="77"/>
        <v>12</v>
      </c>
      <c r="W331" s="231" t="str">
        <f t="shared" si="78"/>
        <v/>
      </c>
      <c r="X331" s="210"/>
      <c r="Y331" s="210"/>
      <c r="Z331" s="210"/>
      <c r="AI331" s="114">
        <f t="shared" si="79"/>
        <v>0</v>
      </c>
      <c r="AJ331" s="113"/>
      <c r="AL331" s="477">
        <f t="shared" ca="1" si="80"/>
        <v>0</v>
      </c>
    </row>
    <row r="332" spans="2:38">
      <c r="B332" s="222">
        <f ca="1">Fixa!B332</f>
        <v>55534</v>
      </c>
      <c r="C332" s="223" t="str">
        <f>Fixa!C332</f>
        <v/>
      </c>
      <c r="D332" s="43" t="e">
        <f t="shared" si="71"/>
        <v>#VALUE!</v>
      </c>
      <c r="E332" s="43" t="e">
        <f t="shared" si="65"/>
        <v>#VALUE!</v>
      </c>
      <c r="F332" s="43" t="e">
        <f t="shared" si="66"/>
        <v>#VALUE!</v>
      </c>
      <c r="G332" s="43" t="e">
        <f t="shared" si="67"/>
        <v>#VALUE!</v>
      </c>
      <c r="H332" s="43" t="e">
        <f t="shared" ca="1" si="68"/>
        <v>#VALUE!</v>
      </c>
      <c r="I332" s="43">
        <f t="shared" si="69"/>
        <v>0</v>
      </c>
      <c r="J332" s="229">
        <f t="shared" si="72"/>
        <v>25</v>
      </c>
      <c r="K332" s="43">
        <f t="shared" si="73"/>
        <v>0</v>
      </c>
      <c r="M332" s="224"/>
      <c r="N332" s="225">
        <f t="shared" si="74"/>
        <v>0</v>
      </c>
      <c r="O332" s="43" t="e">
        <f t="shared" si="75"/>
        <v>#VALUE!</v>
      </c>
      <c r="P332" s="43" t="e">
        <f>ROUND(IF(Preenchimento!$G$39="Tabela Price",R332-Q332,(O331*(1+$AD$35))/($AD$28-C331)),$P$22)</f>
        <v>#VALUE!</v>
      </c>
      <c r="Q332" s="43" t="e">
        <f>IF(Preenchimento!$G$39="Tabela Price",O331*(1+$AD$35)*W332,O331*(1+SAC!$AD$35)*SAC!W332)</f>
        <v>#VALUE!</v>
      </c>
      <c r="R332" s="43" t="e">
        <f>IF(Preenchimento!$G$39="Tabela Price",IF(C332="","",((((((1+W332)^($Q$16-C331))*W332)/((1+W332)^($Q$16-C331)-1))*(O331*(1+$AD$35))))),Q332+P332)</f>
        <v>#VALUE!</v>
      </c>
      <c r="S332" s="43" t="e">
        <f t="shared" ca="1" si="70"/>
        <v>#VALUE!</v>
      </c>
      <c r="T332" s="43">
        <f t="shared" si="76"/>
        <v>0</v>
      </c>
      <c r="U332" s="226">
        <f>TRUNC(T332*Condições!$C$102,2)</f>
        <v>0</v>
      </c>
      <c r="V332" s="82">
        <f t="shared" ca="1" si="77"/>
        <v>1</v>
      </c>
      <c r="W332" s="231" t="str">
        <f t="shared" si="78"/>
        <v/>
      </c>
      <c r="X332" s="210"/>
      <c r="Y332" s="210"/>
      <c r="Z332" s="210"/>
      <c r="AI332" s="114">
        <f t="shared" si="79"/>
        <v>0</v>
      </c>
      <c r="AJ332" s="113"/>
      <c r="AL332" s="477">
        <f t="shared" ca="1" si="80"/>
        <v>0</v>
      </c>
    </row>
    <row r="333" spans="2:38">
      <c r="B333" s="222">
        <f ca="1">Fixa!B333</f>
        <v>55565</v>
      </c>
      <c r="C333" s="223" t="str">
        <f>Fixa!C333</f>
        <v/>
      </c>
      <c r="D333" s="43" t="e">
        <f t="shared" si="71"/>
        <v>#VALUE!</v>
      </c>
      <c r="E333" s="43" t="e">
        <f t="shared" si="65"/>
        <v>#VALUE!</v>
      </c>
      <c r="F333" s="43" t="e">
        <f t="shared" si="66"/>
        <v>#VALUE!</v>
      </c>
      <c r="G333" s="43" t="e">
        <f t="shared" si="67"/>
        <v>#VALUE!</v>
      </c>
      <c r="H333" s="43" t="e">
        <f t="shared" ca="1" si="68"/>
        <v>#VALUE!</v>
      </c>
      <c r="I333" s="43">
        <f t="shared" si="69"/>
        <v>0</v>
      </c>
      <c r="J333" s="229">
        <f t="shared" si="72"/>
        <v>25</v>
      </c>
      <c r="K333" s="43">
        <f t="shared" si="73"/>
        <v>0</v>
      </c>
      <c r="M333" s="224"/>
      <c r="N333" s="225">
        <f t="shared" si="74"/>
        <v>0</v>
      </c>
      <c r="O333" s="43" t="e">
        <f t="shared" si="75"/>
        <v>#VALUE!</v>
      </c>
      <c r="P333" s="43" t="e">
        <f>ROUND(IF(Preenchimento!$G$39="Tabela Price",R333-Q333,(O332*(1+$AD$35))/($AD$28-C332)),$P$22)</f>
        <v>#VALUE!</v>
      </c>
      <c r="Q333" s="43" t="e">
        <f>IF(Preenchimento!$G$39="Tabela Price",O332*(1+$AD$35)*W333,O332*(1+SAC!$AD$35)*SAC!W333)</f>
        <v>#VALUE!</v>
      </c>
      <c r="R333" s="43" t="e">
        <f>IF(Preenchimento!$G$39="Tabela Price",IF(C333="","",((((((1+W333)^($Q$16-C332))*W333)/((1+W333)^($Q$16-C332)-1))*(O332*(1+$AD$35))))),Q333+P333)</f>
        <v>#VALUE!</v>
      </c>
      <c r="S333" s="43" t="e">
        <f t="shared" ca="1" si="70"/>
        <v>#VALUE!</v>
      </c>
      <c r="T333" s="43">
        <f t="shared" si="76"/>
        <v>0</v>
      </c>
      <c r="U333" s="226">
        <f>TRUNC(T333*Condições!$C$102,2)</f>
        <v>0</v>
      </c>
      <c r="V333" s="82">
        <f t="shared" ca="1" si="77"/>
        <v>2</v>
      </c>
      <c r="W333" s="231" t="str">
        <f t="shared" si="78"/>
        <v/>
      </c>
      <c r="X333" s="210"/>
      <c r="Y333" s="210"/>
      <c r="Z333" s="210"/>
      <c r="AI333" s="114">
        <f t="shared" si="79"/>
        <v>0</v>
      </c>
      <c r="AJ333" s="113"/>
      <c r="AL333" s="477">
        <f t="shared" ca="1" si="80"/>
        <v>0</v>
      </c>
    </row>
    <row r="334" spans="2:38">
      <c r="B334" s="222">
        <f ca="1">Fixa!B334</f>
        <v>55594</v>
      </c>
      <c r="C334" s="223" t="str">
        <f>Fixa!C334</f>
        <v/>
      </c>
      <c r="D334" s="43" t="e">
        <f t="shared" si="71"/>
        <v>#VALUE!</v>
      </c>
      <c r="E334" s="43" t="e">
        <f t="shared" si="65"/>
        <v>#VALUE!</v>
      </c>
      <c r="F334" s="43" t="e">
        <f t="shared" si="66"/>
        <v>#VALUE!</v>
      </c>
      <c r="G334" s="43" t="e">
        <f t="shared" si="67"/>
        <v>#VALUE!</v>
      </c>
      <c r="H334" s="43" t="e">
        <f t="shared" ca="1" si="68"/>
        <v>#VALUE!</v>
      </c>
      <c r="I334" s="43">
        <f t="shared" si="69"/>
        <v>0</v>
      </c>
      <c r="J334" s="229">
        <f t="shared" si="72"/>
        <v>25</v>
      </c>
      <c r="K334" s="43">
        <f t="shared" si="73"/>
        <v>0</v>
      </c>
      <c r="M334" s="224"/>
      <c r="N334" s="225">
        <f t="shared" si="74"/>
        <v>0</v>
      </c>
      <c r="O334" s="43" t="e">
        <f t="shared" si="75"/>
        <v>#VALUE!</v>
      </c>
      <c r="P334" s="43" t="e">
        <f>ROUND(IF(Preenchimento!$G$39="Tabela Price",R334-Q334,(O333*(1+$AD$35))/($AD$28-C333)),$P$22)</f>
        <v>#VALUE!</v>
      </c>
      <c r="Q334" s="43" t="e">
        <f>IF(Preenchimento!$G$39="Tabela Price",O333*(1+$AD$35)*W334,O333*(1+SAC!$AD$35)*SAC!W334)</f>
        <v>#VALUE!</v>
      </c>
      <c r="R334" s="43" t="e">
        <f>IF(Preenchimento!$G$39="Tabela Price",IF(C334="","",((((((1+W334)^($Q$16-C333))*W334)/((1+W334)^($Q$16-C333)-1))*(O333*(1+$AD$35))))),Q334+P334)</f>
        <v>#VALUE!</v>
      </c>
      <c r="S334" s="43" t="e">
        <f t="shared" ca="1" si="70"/>
        <v>#VALUE!</v>
      </c>
      <c r="T334" s="43">
        <f t="shared" si="76"/>
        <v>0</v>
      </c>
      <c r="U334" s="226">
        <f>TRUNC(T334*Condições!$C$102,2)</f>
        <v>0</v>
      </c>
      <c r="V334" s="82">
        <f t="shared" ca="1" si="77"/>
        <v>3</v>
      </c>
      <c r="W334" s="231" t="str">
        <f t="shared" si="78"/>
        <v/>
      </c>
      <c r="X334" s="210"/>
      <c r="Y334" s="210"/>
      <c r="Z334" s="210"/>
      <c r="AI334" s="114">
        <f t="shared" si="79"/>
        <v>0</v>
      </c>
      <c r="AJ334" s="113"/>
      <c r="AL334" s="477">
        <f t="shared" ca="1" si="80"/>
        <v>0</v>
      </c>
    </row>
    <row r="335" spans="2:38">
      <c r="B335" s="222">
        <f ca="1">Fixa!B335</f>
        <v>55625</v>
      </c>
      <c r="C335" s="223" t="str">
        <f>Fixa!C335</f>
        <v/>
      </c>
      <c r="D335" s="43" t="e">
        <f t="shared" si="71"/>
        <v>#VALUE!</v>
      </c>
      <c r="E335" s="43" t="e">
        <f t="shared" si="65"/>
        <v>#VALUE!</v>
      </c>
      <c r="F335" s="43" t="e">
        <f t="shared" si="66"/>
        <v>#VALUE!</v>
      </c>
      <c r="G335" s="43" t="e">
        <f t="shared" si="67"/>
        <v>#VALUE!</v>
      </c>
      <c r="H335" s="43" t="e">
        <f t="shared" ca="1" si="68"/>
        <v>#VALUE!</v>
      </c>
      <c r="I335" s="43">
        <f t="shared" si="69"/>
        <v>0</v>
      </c>
      <c r="J335" s="229">
        <f t="shared" si="72"/>
        <v>25</v>
      </c>
      <c r="K335" s="43">
        <f t="shared" si="73"/>
        <v>0</v>
      </c>
      <c r="M335" s="224"/>
      <c r="N335" s="225">
        <f t="shared" si="74"/>
        <v>0</v>
      </c>
      <c r="O335" s="43" t="e">
        <f t="shared" si="75"/>
        <v>#VALUE!</v>
      </c>
      <c r="P335" s="43" t="e">
        <f>ROUND(IF(Preenchimento!$G$39="Tabela Price",R335-Q335,(O334*(1+$AD$35))/($AD$28-C334)),$P$22)</f>
        <v>#VALUE!</v>
      </c>
      <c r="Q335" s="43" t="e">
        <f>IF(Preenchimento!$G$39="Tabela Price",O334*(1+$AD$35)*W335,O334*(1+SAC!$AD$35)*SAC!W335)</f>
        <v>#VALUE!</v>
      </c>
      <c r="R335" s="43" t="e">
        <f>IF(Preenchimento!$G$39="Tabela Price",IF(C335="","",((((((1+W335)^($Q$16-C334))*W335)/((1+W335)^($Q$16-C334)-1))*(O334*(1+$AD$35))))),Q335+P335)</f>
        <v>#VALUE!</v>
      </c>
      <c r="S335" s="43" t="e">
        <f t="shared" ca="1" si="70"/>
        <v>#VALUE!</v>
      </c>
      <c r="T335" s="43">
        <f t="shared" si="76"/>
        <v>0</v>
      </c>
      <c r="U335" s="226">
        <f>TRUNC(T335*Condições!$C$102,2)</f>
        <v>0</v>
      </c>
      <c r="V335" s="82">
        <f t="shared" ca="1" si="77"/>
        <v>4</v>
      </c>
      <c r="W335" s="231" t="str">
        <f t="shared" si="78"/>
        <v/>
      </c>
      <c r="X335" s="210"/>
      <c r="Y335" s="210"/>
      <c r="Z335" s="210"/>
      <c r="AI335" s="114">
        <f t="shared" si="79"/>
        <v>0</v>
      </c>
      <c r="AJ335" s="113"/>
      <c r="AL335" s="477">
        <f t="shared" ca="1" si="80"/>
        <v>0</v>
      </c>
    </row>
    <row r="336" spans="2:38">
      <c r="B336" s="222">
        <f ca="1">Fixa!B336</f>
        <v>55655</v>
      </c>
      <c r="C336" s="223" t="str">
        <f>Fixa!C336</f>
        <v/>
      </c>
      <c r="D336" s="43" t="e">
        <f t="shared" si="71"/>
        <v>#VALUE!</v>
      </c>
      <c r="E336" s="43" t="e">
        <f t="shared" si="65"/>
        <v>#VALUE!</v>
      </c>
      <c r="F336" s="43" t="e">
        <f t="shared" si="66"/>
        <v>#VALUE!</v>
      </c>
      <c r="G336" s="43" t="e">
        <f t="shared" si="67"/>
        <v>#VALUE!</v>
      </c>
      <c r="H336" s="43" t="e">
        <f t="shared" ca="1" si="68"/>
        <v>#VALUE!</v>
      </c>
      <c r="I336" s="43">
        <f t="shared" si="69"/>
        <v>0</v>
      </c>
      <c r="J336" s="229">
        <f t="shared" si="72"/>
        <v>25</v>
      </c>
      <c r="K336" s="43">
        <f t="shared" si="73"/>
        <v>0</v>
      </c>
      <c r="M336" s="224"/>
      <c r="N336" s="225">
        <f t="shared" si="74"/>
        <v>0</v>
      </c>
      <c r="O336" s="43" t="e">
        <f t="shared" si="75"/>
        <v>#VALUE!</v>
      </c>
      <c r="P336" s="43" t="e">
        <f>ROUND(IF(Preenchimento!$G$39="Tabela Price",R336-Q336,(O335*(1+$AD$35))/($AD$28-C335)),$P$22)</f>
        <v>#VALUE!</v>
      </c>
      <c r="Q336" s="43" t="e">
        <f>IF(Preenchimento!$G$39="Tabela Price",O335*(1+$AD$35)*W336,O335*(1+SAC!$AD$35)*SAC!W336)</f>
        <v>#VALUE!</v>
      </c>
      <c r="R336" s="43" t="e">
        <f>IF(Preenchimento!$G$39="Tabela Price",IF(C336="","",((((((1+W336)^($Q$16-C335))*W336)/((1+W336)^($Q$16-C335)-1))*(O335*(1+$AD$35))))),Q336+P336)</f>
        <v>#VALUE!</v>
      </c>
      <c r="S336" s="43" t="e">
        <f t="shared" ca="1" si="70"/>
        <v>#VALUE!</v>
      </c>
      <c r="T336" s="43">
        <f t="shared" si="76"/>
        <v>0</v>
      </c>
      <c r="U336" s="226">
        <f>TRUNC(T336*Condições!$C$102,2)</f>
        <v>0</v>
      </c>
      <c r="V336" s="82">
        <f t="shared" ca="1" si="77"/>
        <v>5</v>
      </c>
      <c r="W336" s="231" t="str">
        <f t="shared" si="78"/>
        <v/>
      </c>
      <c r="X336" s="210"/>
      <c r="Y336" s="210"/>
      <c r="Z336" s="210"/>
      <c r="AI336" s="114">
        <f t="shared" si="79"/>
        <v>0</v>
      </c>
      <c r="AJ336" s="113"/>
      <c r="AL336" s="477">
        <f t="shared" ca="1" si="80"/>
        <v>0</v>
      </c>
    </row>
    <row r="337" spans="2:38">
      <c r="B337" s="222">
        <f ca="1">Fixa!B337</f>
        <v>55686</v>
      </c>
      <c r="C337" s="223" t="str">
        <f>Fixa!C337</f>
        <v/>
      </c>
      <c r="D337" s="43" t="e">
        <f t="shared" si="71"/>
        <v>#VALUE!</v>
      </c>
      <c r="E337" s="43" t="e">
        <f t="shared" si="65"/>
        <v>#VALUE!</v>
      </c>
      <c r="F337" s="43" t="e">
        <f t="shared" si="66"/>
        <v>#VALUE!</v>
      </c>
      <c r="G337" s="43" t="e">
        <f t="shared" si="67"/>
        <v>#VALUE!</v>
      </c>
      <c r="H337" s="43" t="e">
        <f t="shared" ca="1" si="68"/>
        <v>#VALUE!</v>
      </c>
      <c r="I337" s="43">
        <f t="shared" si="69"/>
        <v>0</v>
      </c>
      <c r="J337" s="229">
        <f t="shared" si="72"/>
        <v>25</v>
      </c>
      <c r="K337" s="43">
        <f t="shared" si="73"/>
        <v>0</v>
      </c>
      <c r="M337" s="224"/>
      <c r="N337" s="225">
        <f t="shared" si="74"/>
        <v>0</v>
      </c>
      <c r="O337" s="43" t="e">
        <f t="shared" si="75"/>
        <v>#VALUE!</v>
      </c>
      <c r="P337" s="43" t="e">
        <f>ROUND(IF(Preenchimento!$G$39="Tabela Price",R337-Q337,(O336*(1+$AD$35))/($AD$28-C336)),$P$22)</f>
        <v>#VALUE!</v>
      </c>
      <c r="Q337" s="43" t="e">
        <f>IF(Preenchimento!$G$39="Tabela Price",O336*(1+$AD$35)*W337,O336*(1+SAC!$AD$35)*SAC!W337)</f>
        <v>#VALUE!</v>
      </c>
      <c r="R337" s="43" t="e">
        <f>IF(Preenchimento!$G$39="Tabela Price",IF(C337="","",((((((1+W337)^($Q$16-C336))*W337)/((1+W337)^($Q$16-C336)-1))*(O336*(1+$AD$35))))),Q337+P337)</f>
        <v>#VALUE!</v>
      </c>
      <c r="S337" s="43" t="e">
        <f t="shared" ca="1" si="70"/>
        <v>#VALUE!</v>
      </c>
      <c r="T337" s="43">
        <f t="shared" si="76"/>
        <v>0</v>
      </c>
      <c r="U337" s="226">
        <f>TRUNC(T337*Condições!$C$102,2)</f>
        <v>0</v>
      </c>
      <c r="V337" s="82">
        <f t="shared" ca="1" si="77"/>
        <v>6</v>
      </c>
      <c r="W337" s="231" t="str">
        <f t="shared" si="78"/>
        <v/>
      </c>
      <c r="X337" s="210"/>
      <c r="Y337" s="210"/>
      <c r="Z337" s="210"/>
      <c r="AI337" s="114">
        <f t="shared" si="79"/>
        <v>0</v>
      </c>
      <c r="AJ337" s="113"/>
      <c r="AL337" s="477">
        <f t="shared" ca="1" si="80"/>
        <v>0</v>
      </c>
    </row>
    <row r="338" spans="2:38">
      <c r="B338" s="222">
        <f ca="1">Fixa!B338</f>
        <v>55716</v>
      </c>
      <c r="C338" s="223" t="str">
        <f>Fixa!C338</f>
        <v/>
      </c>
      <c r="D338" s="43" t="e">
        <f t="shared" si="71"/>
        <v>#VALUE!</v>
      </c>
      <c r="E338" s="43" t="e">
        <f t="shared" si="65"/>
        <v>#VALUE!</v>
      </c>
      <c r="F338" s="43" t="e">
        <f t="shared" si="66"/>
        <v>#VALUE!</v>
      </c>
      <c r="G338" s="43" t="e">
        <f t="shared" si="67"/>
        <v>#VALUE!</v>
      </c>
      <c r="H338" s="43" t="e">
        <f t="shared" ca="1" si="68"/>
        <v>#VALUE!</v>
      </c>
      <c r="I338" s="43">
        <f t="shared" si="69"/>
        <v>0</v>
      </c>
      <c r="J338" s="229">
        <f t="shared" si="72"/>
        <v>25</v>
      </c>
      <c r="K338" s="43">
        <f t="shared" si="73"/>
        <v>0</v>
      </c>
      <c r="M338" s="224"/>
      <c r="N338" s="225">
        <f t="shared" si="74"/>
        <v>0</v>
      </c>
      <c r="O338" s="43" t="e">
        <f t="shared" si="75"/>
        <v>#VALUE!</v>
      </c>
      <c r="P338" s="43" t="e">
        <f>ROUND(IF(Preenchimento!$G$39="Tabela Price",R338-Q338,(O337*(1+$AD$35))/($AD$28-C337)),$P$22)</f>
        <v>#VALUE!</v>
      </c>
      <c r="Q338" s="43" t="e">
        <f>IF(Preenchimento!$G$39="Tabela Price",O337*(1+$AD$35)*W338,O337*(1+SAC!$AD$35)*SAC!W338)</f>
        <v>#VALUE!</v>
      </c>
      <c r="R338" s="43" t="e">
        <f>IF(Preenchimento!$G$39="Tabela Price",IF(C338="","",((((((1+W338)^($Q$16-C337))*W338)/((1+W338)^($Q$16-C337)-1))*(O337*(1+$AD$35))))),Q338+P338)</f>
        <v>#VALUE!</v>
      </c>
      <c r="S338" s="43" t="e">
        <f t="shared" ca="1" si="70"/>
        <v>#VALUE!</v>
      </c>
      <c r="T338" s="43">
        <f t="shared" si="76"/>
        <v>0</v>
      </c>
      <c r="U338" s="226">
        <f>TRUNC(T338*Condições!$C$102,2)</f>
        <v>0</v>
      </c>
      <c r="V338" s="82">
        <f t="shared" ca="1" si="77"/>
        <v>7</v>
      </c>
      <c r="W338" s="231" t="str">
        <f t="shared" si="78"/>
        <v/>
      </c>
      <c r="X338" s="210"/>
      <c r="Y338" s="210"/>
      <c r="Z338" s="210"/>
      <c r="AI338" s="114">
        <f t="shared" si="79"/>
        <v>0</v>
      </c>
      <c r="AJ338" s="113"/>
      <c r="AL338" s="477">
        <f t="shared" ca="1" si="80"/>
        <v>0</v>
      </c>
    </row>
    <row r="339" spans="2:38">
      <c r="B339" s="222">
        <f ca="1">Fixa!B339</f>
        <v>55747</v>
      </c>
      <c r="C339" s="223" t="str">
        <f>Fixa!C339</f>
        <v/>
      </c>
      <c r="D339" s="43" t="e">
        <f t="shared" si="71"/>
        <v>#VALUE!</v>
      </c>
      <c r="E339" s="43" t="e">
        <f t="shared" si="65"/>
        <v>#VALUE!</v>
      </c>
      <c r="F339" s="43" t="e">
        <f t="shared" si="66"/>
        <v>#VALUE!</v>
      </c>
      <c r="G339" s="43" t="e">
        <f t="shared" si="67"/>
        <v>#VALUE!</v>
      </c>
      <c r="H339" s="43" t="e">
        <f t="shared" ca="1" si="68"/>
        <v>#VALUE!</v>
      </c>
      <c r="I339" s="43">
        <f t="shared" si="69"/>
        <v>0</v>
      </c>
      <c r="J339" s="229">
        <f t="shared" si="72"/>
        <v>25</v>
      </c>
      <c r="K339" s="43">
        <f t="shared" si="73"/>
        <v>0</v>
      </c>
      <c r="M339" s="224"/>
      <c r="N339" s="225">
        <f t="shared" si="74"/>
        <v>0</v>
      </c>
      <c r="O339" s="43" t="e">
        <f t="shared" si="75"/>
        <v>#VALUE!</v>
      </c>
      <c r="P339" s="43" t="e">
        <f>ROUND(IF(Preenchimento!$G$39="Tabela Price",R339-Q339,(O338*(1+$AD$35))/($AD$28-C338)),$P$22)</f>
        <v>#VALUE!</v>
      </c>
      <c r="Q339" s="43" t="e">
        <f>IF(Preenchimento!$G$39="Tabela Price",O338*(1+$AD$35)*W339,O338*(1+SAC!$AD$35)*SAC!W339)</f>
        <v>#VALUE!</v>
      </c>
      <c r="R339" s="43" t="e">
        <f>IF(Preenchimento!$G$39="Tabela Price",IF(C339="","",((((((1+W339)^($Q$16-C338))*W339)/((1+W339)^($Q$16-C338)-1))*(O338*(1+$AD$35))))),Q339+P339)</f>
        <v>#VALUE!</v>
      </c>
      <c r="S339" s="43" t="e">
        <f t="shared" ca="1" si="70"/>
        <v>#VALUE!</v>
      </c>
      <c r="T339" s="43">
        <f t="shared" si="76"/>
        <v>0</v>
      </c>
      <c r="U339" s="226">
        <f>TRUNC(T339*Condições!$C$102,2)</f>
        <v>0</v>
      </c>
      <c r="V339" s="82">
        <f t="shared" ca="1" si="77"/>
        <v>8</v>
      </c>
      <c r="W339" s="231" t="str">
        <f t="shared" si="78"/>
        <v/>
      </c>
      <c r="X339" s="210"/>
      <c r="Y339" s="210"/>
      <c r="Z339" s="210"/>
      <c r="AI339" s="114">
        <f t="shared" si="79"/>
        <v>0</v>
      </c>
      <c r="AJ339" s="113"/>
      <c r="AL339" s="477">
        <f t="shared" ca="1" si="80"/>
        <v>0</v>
      </c>
    </row>
    <row r="340" spans="2:38">
      <c r="B340" s="222">
        <f ca="1">Fixa!B340</f>
        <v>55778</v>
      </c>
      <c r="C340" s="223" t="str">
        <f>Fixa!C340</f>
        <v/>
      </c>
      <c r="D340" s="43" t="e">
        <f t="shared" si="71"/>
        <v>#VALUE!</v>
      </c>
      <c r="E340" s="43" t="e">
        <f t="shared" si="65"/>
        <v>#VALUE!</v>
      </c>
      <c r="F340" s="43" t="e">
        <f t="shared" si="66"/>
        <v>#VALUE!</v>
      </c>
      <c r="G340" s="43" t="e">
        <f t="shared" si="67"/>
        <v>#VALUE!</v>
      </c>
      <c r="H340" s="43" t="e">
        <f t="shared" ca="1" si="68"/>
        <v>#VALUE!</v>
      </c>
      <c r="I340" s="43">
        <f t="shared" si="69"/>
        <v>0</v>
      </c>
      <c r="J340" s="229">
        <f t="shared" si="72"/>
        <v>25</v>
      </c>
      <c r="K340" s="43">
        <f t="shared" si="73"/>
        <v>0</v>
      </c>
      <c r="M340" s="224"/>
      <c r="N340" s="225">
        <f t="shared" si="74"/>
        <v>0</v>
      </c>
      <c r="O340" s="43" t="e">
        <f t="shared" si="75"/>
        <v>#VALUE!</v>
      </c>
      <c r="P340" s="43" t="e">
        <f>ROUND(IF(Preenchimento!$G$39="Tabela Price",R340-Q340,(O339*(1+$AD$35))/($AD$28-C339)),$P$22)</f>
        <v>#VALUE!</v>
      </c>
      <c r="Q340" s="43" t="e">
        <f>IF(Preenchimento!$G$39="Tabela Price",O339*(1+$AD$35)*W340,O339*(1+SAC!$AD$35)*SAC!W340)</f>
        <v>#VALUE!</v>
      </c>
      <c r="R340" s="43" t="e">
        <f>IF(Preenchimento!$G$39="Tabela Price",IF(C340="","",((((((1+W340)^($Q$16-C339))*W340)/((1+W340)^($Q$16-C339)-1))*(O339*(1+$AD$35))))),Q340+P340)</f>
        <v>#VALUE!</v>
      </c>
      <c r="S340" s="43" t="e">
        <f t="shared" ca="1" si="70"/>
        <v>#VALUE!</v>
      </c>
      <c r="T340" s="43">
        <f t="shared" si="76"/>
        <v>0</v>
      </c>
      <c r="U340" s="226">
        <f>TRUNC(T340*Condições!$C$102,2)</f>
        <v>0</v>
      </c>
      <c r="V340" s="82">
        <f t="shared" ca="1" si="77"/>
        <v>9</v>
      </c>
      <c r="W340" s="231" t="str">
        <f t="shared" si="78"/>
        <v/>
      </c>
      <c r="X340" s="210"/>
      <c r="Y340" s="210"/>
      <c r="Z340" s="210"/>
      <c r="AI340" s="114">
        <f t="shared" si="79"/>
        <v>0</v>
      </c>
      <c r="AJ340" s="113"/>
      <c r="AL340" s="477">
        <f t="shared" ca="1" si="80"/>
        <v>0</v>
      </c>
    </row>
    <row r="341" spans="2:38">
      <c r="B341" s="222">
        <f ca="1">Fixa!B341</f>
        <v>55808</v>
      </c>
      <c r="C341" s="223" t="str">
        <f>Fixa!C341</f>
        <v/>
      </c>
      <c r="D341" s="43" t="e">
        <f t="shared" si="71"/>
        <v>#VALUE!</v>
      </c>
      <c r="E341" s="43" t="e">
        <f t="shared" si="65"/>
        <v>#VALUE!</v>
      </c>
      <c r="F341" s="43" t="e">
        <f t="shared" si="66"/>
        <v>#VALUE!</v>
      </c>
      <c r="G341" s="43" t="e">
        <f t="shared" si="67"/>
        <v>#VALUE!</v>
      </c>
      <c r="H341" s="43" t="e">
        <f t="shared" ca="1" si="68"/>
        <v>#VALUE!</v>
      </c>
      <c r="I341" s="43">
        <f t="shared" si="69"/>
        <v>0</v>
      </c>
      <c r="J341" s="229">
        <f t="shared" si="72"/>
        <v>25</v>
      </c>
      <c r="K341" s="43">
        <f t="shared" si="73"/>
        <v>0</v>
      </c>
      <c r="M341" s="224"/>
      <c r="N341" s="225">
        <f t="shared" si="74"/>
        <v>0</v>
      </c>
      <c r="O341" s="43" t="e">
        <f t="shared" si="75"/>
        <v>#VALUE!</v>
      </c>
      <c r="P341" s="43" t="e">
        <f>ROUND(IF(Preenchimento!$G$39="Tabela Price",R341-Q341,(O340*(1+$AD$35))/($AD$28-C340)),$P$22)</f>
        <v>#VALUE!</v>
      </c>
      <c r="Q341" s="43" t="e">
        <f>IF(Preenchimento!$G$39="Tabela Price",O340*(1+$AD$35)*W341,O340*(1+SAC!$AD$35)*SAC!W341)</f>
        <v>#VALUE!</v>
      </c>
      <c r="R341" s="43" t="e">
        <f>IF(Preenchimento!$G$39="Tabela Price",IF(C341="","",((((((1+W341)^($Q$16-C340))*W341)/((1+W341)^($Q$16-C340)-1))*(O340*(1+$AD$35))))),Q341+P341)</f>
        <v>#VALUE!</v>
      </c>
      <c r="S341" s="43" t="e">
        <f t="shared" ca="1" si="70"/>
        <v>#VALUE!</v>
      </c>
      <c r="T341" s="43">
        <f t="shared" si="76"/>
        <v>0</v>
      </c>
      <c r="U341" s="226">
        <f>TRUNC(T341*Condições!$C$102,2)</f>
        <v>0</v>
      </c>
      <c r="V341" s="82">
        <f t="shared" ca="1" si="77"/>
        <v>10</v>
      </c>
      <c r="W341" s="231" t="str">
        <f t="shared" si="78"/>
        <v/>
      </c>
      <c r="X341" s="210"/>
      <c r="Y341" s="210"/>
      <c r="Z341" s="210"/>
      <c r="AI341" s="114">
        <f t="shared" si="79"/>
        <v>0</v>
      </c>
      <c r="AJ341" s="113"/>
      <c r="AL341" s="477">
        <f t="shared" ca="1" si="80"/>
        <v>0</v>
      </c>
    </row>
    <row r="342" spans="2:38">
      <c r="B342" s="222">
        <f ca="1">Fixa!B342</f>
        <v>55839</v>
      </c>
      <c r="C342" s="223" t="str">
        <f>Fixa!C342</f>
        <v/>
      </c>
      <c r="D342" s="43" t="e">
        <f t="shared" si="71"/>
        <v>#VALUE!</v>
      </c>
      <c r="E342" s="43" t="e">
        <f t="shared" si="65"/>
        <v>#VALUE!</v>
      </c>
      <c r="F342" s="43" t="e">
        <f t="shared" si="66"/>
        <v>#VALUE!</v>
      </c>
      <c r="G342" s="43" t="e">
        <f t="shared" si="67"/>
        <v>#VALUE!</v>
      </c>
      <c r="H342" s="43" t="e">
        <f t="shared" ca="1" si="68"/>
        <v>#VALUE!</v>
      </c>
      <c r="I342" s="43">
        <f t="shared" si="69"/>
        <v>0</v>
      </c>
      <c r="J342" s="229">
        <f t="shared" si="72"/>
        <v>25</v>
      </c>
      <c r="K342" s="43">
        <f t="shared" si="73"/>
        <v>0</v>
      </c>
      <c r="M342" s="224"/>
      <c r="N342" s="225">
        <f t="shared" si="74"/>
        <v>0</v>
      </c>
      <c r="O342" s="43" t="e">
        <f t="shared" si="75"/>
        <v>#VALUE!</v>
      </c>
      <c r="P342" s="43" t="e">
        <f>ROUND(IF(Preenchimento!$G$39="Tabela Price",R342-Q342,(O341*(1+$AD$35))/($AD$28-C341)),$P$22)</f>
        <v>#VALUE!</v>
      </c>
      <c r="Q342" s="43" t="e">
        <f>IF(Preenchimento!$G$39="Tabela Price",O341*(1+$AD$35)*W342,O341*(1+SAC!$AD$35)*SAC!W342)</f>
        <v>#VALUE!</v>
      </c>
      <c r="R342" s="43" t="e">
        <f>IF(Preenchimento!$G$39="Tabela Price",IF(C342="","",((((((1+W342)^($Q$16-C341))*W342)/((1+W342)^($Q$16-C341)-1))*(O341*(1+$AD$35))))),Q342+P342)</f>
        <v>#VALUE!</v>
      </c>
      <c r="S342" s="43" t="e">
        <f t="shared" ca="1" si="70"/>
        <v>#VALUE!</v>
      </c>
      <c r="T342" s="43">
        <f t="shared" si="76"/>
        <v>0</v>
      </c>
      <c r="U342" s="226">
        <f>TRUNC(T342*Condições!$C$102,2)</f>
        <v>0</v>
      </c>
      <c r="V342" s="82">
        <f t="shared" ca="1" si="77"/>
        <v>11</v>
      </c>
      <c r="W342" s="231" t="str">
        <f t="shared" si="78"/>
        <v/>
      </c>
      <c r="X342" s="210"/>
      <c r="Y342" s="210"/>
      <c r="Z342" s="210"/>
      <c r="AI342" s="114">
        <f t="shared" si="79"/>
        <v>0</v>
      </c>
      <c r="AJ342" s="113"/>
      <c r="AL342" s="477">
        <f t="shared" ca="1" si="80"/>
        <v>0</v>
      </c>
    </row>
    <row r="343" spans="2:38">
      <c r="B343" s="222">
        <f ca="1">Fixa!B343</f>
        <v>55869</v>
      </c>
      <c r="C343" s="223" t="str">
        <f>Fixa!C343</f>
        <v/>
      </c>
      <c r="D343" s="43" t="e">
        <f t="shared" si="71"/>
        <v>#VALUE!</v>
      </c>
      <c r="E343" s="43" t="e">
        <f t="shared" si="65"/>
        <v>#VALUE!</v>
      </c>
      <c r="F343" s="43" t="e">
        <f t="shared" si="66"/>
        <v>#VALUE!</v>
      </c>
      <c r="G343" s="43" t="e">
        <f t="shared" si="67"/>
        <v>#VALUE!</v>
      </c>
      <c r="H343" s="43" t="e">
        <f t="shared" ca="1" si="68"/>
        <v>#VALUE!</v>
      </c>
      <c r="I343" s="43">
        <f t="shared" si="69"/>
        <v>0</v>
      </c>
      <c r="J343" s="229">
        <f t="shared" si="72"/>
        <v>25</v>
      </c>
      <c r="K343" s="43">
        <f t="shared" si="73"/>
        <v>0</v>
      </c>
      <c r="M343" s="224"/>
      <c r="N343" s="225">
        <f t="shared" si="74"/>
        <v>0</v>
      </c>
      <c r="O343" s="43" t="e">
        <f t="shared" si="75"/>
        <v>#VALUE!</v>
      </c>
      <c r="P343" s="43" t="e">
        <f>ROUND(IF(Preenchimento!$G$39="Tabela Price",R343-Q343,(O342*(1+$AD$35))/($AD$28-C342)),$P$22)</f>
        <v>#VALUE!</v>
      </c>
      <c r="Q343" s="43" t="e">
        <f>IF(Preenchimento!$G$39="Tabela Price",O342*(1+$AD$35)*W343,O342*(1+SAC!$AD$35)*SAC!W343)</f>
        <v>#VALUE!</v>
      </c>
      <c r="R343" s="43" t="e">
        <f>IF(Preenchimento!$G$39="Tabela Price",IF(C343="","",((((((1+W343)^($Q$16-C342))*W343)/((1+W343)^($Q$16-C342)-1))*(O342*(1+$AD$35))))),Q343+P343)</f>
        <v>#VALUE!</v>
      </c>
      <c r="S343" s="43" t="e">
        <f t="shared" ca="1" si="70"/>
        <v>#VALUE!</v>
      </c>
      <c r="T343" s="43">
        <f t="shared" si="76"/>
        <v>0</v>
      </c>
      <c r="U343" s="226">
        <f>TRUNC(T343*Condições!$C$102,2)</f>
        <v>0</v>
      </c>
      <c r="V343" s="82">
        <f t="shared" ca="1" si="77"/>
        <v>12</v>
      </c>
      <c r="W343" s="231" t="str">
        <f t="shared" si="78"/>
        <v/>
      </c>
      <c r="X343" s="210"/>
      <c r="Y343" s="210"/>
      <c r="Z343" s="210"/>
      <c r="AI343" s="114">
        <f t="shared" si="79"/>
        <v>0</v>
      </c>
      <c r="AJ343" s="113"/>
      <c r="AL343" s="477">
        <f t="shared" ca="1" si="80"/>
        <v>0</v>
      </c>
    </row>
    <row r="344" spans="2:38">
      <c r="B344" s="222">
        <f ca="1">Fixa!B344</f>
        <v>55900</v>
      </c>
      <c r="C344" s="223" t="str">
        <f>Fixa!C344</f>
        <v/>
      </c>
      <c r="D344" s="43" t="e">
        <f t="shared" si="71"/>
        <v>#VALUE!</v>
      </c>
      <c r="E344" s="43" t="e">
        <f t="shared" si="65"/>
        <v>#VALUE!</v>
      </c>
      <c r="F344" s="43" t="e">
        <f t="shared" si="66"/>
        <v>#VALUE!</v>
      </c>
      <c r="G344" s="43" t="e">
        <f t="shared" si="67"/>
        <v>#VALUE!</v>
      </c>
      <c r="H344" s="43" t="e">
        <f t="shared" ca="1" si="68"/>
        <v>#VALUE!</v>
      </c>
      <c r="I344" s="43">
        <f t="shared" si="69"/>
        <v>0</v>
      </c>
      <c r="J344" s="229">
        <f t="shared" si="72"/>
        <v>25</v>
      </c>
      <c r="K344" s="43">
        <f t="shared" si="73"/>
        <v>0</v>
      </c>
      <c r="M344" s="224"/>
      <c r="N344" s="225">
        <f t="shared" si="74"/>
        <v>0</v>
      </c>
      <c r="O344" s="43" t="e">
        <f t="shared" si="75"/>
        <v>#VALUE!</v>
      </c>
      <c r="P344" s="43" t="e">
        <f>ROUND(IF(Preenchimento!$G$39="Tabela Price",R344-Q344,(O343*(1+$AD$35))/($AD$28-C343)),$P$22)</f>
        <v>#VALUE!</v>
      </c>
      <c r="Q344" s="43" t="e">
        <f>IF(Preenchimento!$G$39="Tabela Price",O343*(1+$AD$35)*W344,O343*(1+SAC!$AD$35)*SAC!W344)</f>
        <v>#VALUE!</v>
      </c>
      <c r="R344" s="43" t="e">
        <f>IF(Preenchimento!$G$39="Tabela Price",IF(C344="","",((((((1+W344)^($Q$16-C343))*W344)/((1+W344)^($Q$16-C343)-1))*(O343*(1+$AD$35))))),Q344+P344)</f>
        <v>#VALUE!</v>
      </c>
      <c r="S344" s="43" t="e">
        <f t="shared" ca="1" si="70"/>
        <v>#VALUE!</v>
      </c>
      <c r="T344" s="43">
        <f t="shared" si="76"/>
        <v>0</v>
      </c>
      <c r="U344" s="226">
        <f>TRUNC(T344*Condições!$C$102,2)</f>
        <v>0</v>
      </c>
      <c r="V344" s="82">
        <f t="shared" ca="1" si="77"/>
        <v>1</v>
      </c>
      <c r="W344" s="231" t="str">
        <f t="shared" si="78"/>
        <v/>
      </c>
      <c r="X344" s="210"/>
      <c r="Y344" s="210"/>
      <c r="Z344" s="210"/>
      <c r="AI344" s="114">
        <f t="shared" si="79"/>
        <v>0</v>
      </c>
      <c r="AJ344" s="113"/>
      <c r="AL344" s="477">
        <f t="shared" ca="1" si="80"/>
        <v>0</v>
      </c>
    </row>
    <row r="345" spans="2:38">
      <c r="B345" s="222">
        <f ca="1">Fixa!B345</f>
        <v>55931</v>
      </c>
      <c r="C345" s="223" t="str">
        <f>Fixa!C345</f>
        <v/>
      </c>
      <c r="D345" s="43" t="e">
        <f t="shared" si="71"/>
        <v>#VALUE!</v>
      </c>
      <c r="E345" s="43" t="e">
        <f t="shared" si="65"/>
        <v>#VALUE!</v>
      </c>
      <c r="F345" s="43" t="e">
        <f t="shared" si="66"/>
        <v>#VALUE!</v>
      </c>
      <c r="G345" s="43" t="e">
        <f t="shared" si="67"/>
        <v>#VALUE!</v>
      </c>
      <c r="H345" s="43" t="e">
        <f t="shared" ca="1" si="68"/>
        <v>#VALUE!</v>
      </c>
      <c r="I345" s="43">
        <f t="shared" si="69"/>
        <v>0</v>
      </c>
      <c r="J345" s="229">
        <f t="shared" si="72"/>
        <v>25</v>
      </c>
      <c r="K345" s="43">
        <f t="shared" si="73"/>
        <v>0</v>
      </c>
      <c r="M345" s="224"/>
      <c r="N345" s="225">
        <f t="shared" si="74"/>
        <v>0</v>
      </c>
      <c r="O345" s="43" t="e">
        <f t="shared" si="75"/>
        <v>#VALUE!</v>
      </c>
      <c r="P345" s="43" t="e">
        <f>ROUND(IF(Preenchimento!$G$39="Tabela Price",R345-Q345,(O344*(1+$AD$35))/($AD$28-C344)),$P$22)</f>
        <v>#VALUE!</v>
      </c>
      <c r="Q345" s="43" t="e">
        <f>IF(Preenchimento!$G$39="Tabela Price",O344*(1+$AD$35)*W345,O344*(1+SAC!$AD$35)*SAC!W345)</f>
        <v>#VALUE!</v>
      </c>
      <c r="R345" s="43" t="e">
        <f>IF(Preenchimento!$G$39="Tabela Price",IF(C345="","",((((((1+W345)^($Q$16-C344))*W345)/((1+W345)^($Q$16-C344)-1))*(O344*(1+$AD$35))))),Q345+P345)</f>
        <v>#VALUE!</v>
      </c>
      <c r="S345" s="43" t="e">
        <f t="shared" ca="1" si="70"/>
        <v>#VALUE!</v>
      </c>
      <c r="T345" s="43">
        <f t="shared" si="76"/>
        <v>0</v>
      </c>
      <c r="U345" s="226">
        <f>TRUNC(T345*Condições!$C$102,2)</f>
        <v>0</v>
      </c>
      <c r="V345" s="82">
        <f t="shared" ca="1" si="77"/>
        <v>2</v>
      </c>
      <c r="W345" s="231" t="str">
        <f t="shared" si="78"/>
        <v/>
      </c>
      <c r="X345" s="210"/>
      <c r="Y345" s="210"/>
      <c r="Z345" s="210"/>
      <c r="AI345" s="114">
        <f t="shared" si="79"/>
        <v>0</v>
      </c>
      <c r="AJ345" s="113"/>
      <c r="AL345" s="477">
        <f t="shared" ca="1" si="80"/>
        <v>0</v>
      </c>
    </row>
    <row r="346" spans="2:38">
      <c r="B346" s="222">
        <f ca="1">Fixa!B346</f>
        <v>55959</v>
      </c>
      <c r="C346" s="223" t="str">
        <f>Fixa!C346</f>
        <v/>
      </c>
      <c r="D346" s="43" t="e">
        <f t="shared" si="71"/>
        <v>#VALUE!</v>
      </c>
      <c r="E346" s="43" t="e">
        <f t="shared" ref="E346:E385" si="81">ROUND(P346,2)</f>
        <v>#VALUE!</v>
      </c>
      <c r="F346" s="43" t="e">
        <f t="shared" ref="F346:F385" si="82">ROUND(Q346,2)</f>
        <v>#VALUE!</v>
      </c>
      <c r="G346" s="43" t="e">
        <f t="shared" ref="G346:G385" si="83">F346+E346</f>
        <v>#VALUE!</v>
      </c>
      <c r="H346" s="43" t="e">
        <f t="shared" ref="H346:H385" ca="1" si="84">ROUND(S346,2)</f>
        <v>#VALUE!</v>
      </c>
      <c r="I346" s="43">
        <f t="shared" ref="I346:I385" si="85">ROUND(T346+U346,2)</f>
        <v>0</v>
      </c>
      <c r="J346" s="229">
        <f t="shared" si="72"/>
        <v>25</v>
      </c>
      <c r="K346" s="43">
        <f t="shared" si="73"/>
        <v>0</v>
      </c>
      <c r="M346" s="224"/>
      <c r="N346" s="225">
        <f t="shared" si="74"/>
        <v>0</v>
      </c>
      <c r="O346" s="43" t="e">
        <f t="shared" si="75"/>
        <v>#VALUE!</v>
      </c>
      <c r="P346" s="43" t="e">
        <f>ROUND(IF(Preenchimento!$G$39="Tabela Price",R346-Q346,(O345*(1+$AD$35))/($AD$28-C345)),$P$22)</f>
        <v>#VALUE!</v>
      </c>
      <c r="Q346" s="43" t="e">
        <f>IF(Preenchimento!$G$39="Tabela Price",O345*(1+$AD$35)*W346,O345*(1+SAC!$AD$35)*SAC!W346)</f>
        <v>#VALUE!</v>
      </c>
      <c r="R346" s="43" t="e">
        <f>IF(Preenchimento!$G$39="Tabela Price",IF(C346="","",((((((1+W346)^($Q$16-C345))*W346)/((1+W346)^($Q$16-C345)-1))*(O345*(1+$AD$35))))),Q346+P346)</f>
        <v>#VALUE!</v>
      </c>
      <c r="S346" s="43" t="e">
        <f t="shared" ref="S346:S385" ca="1" si="86">ROUND($AD$34*O346,$P$22)</f>
        <v>#VALUE!</v>
      </c>
      <c r="T346" s="43">
        <f t="shared" si="76"/>
        <v>0</v>
      </c>
      <c r="U346" s="226">
        <f>TRUNC(T346*Condições!$C$102,2)</f>
        <v>0</v>
      </c>
      <c r="V346" s="82">
        <f t="shared" ca="1" si="77"/>
        <v>3</v>
      </c>
      <c r="W346" s="231" t="str">
        <f t="shared" si="78"/>
        <v/>
      </c>
      <c r="X346" s="210"/>
      <c r="Y346" s="210"/>
      <c r="Z346" s="210"/>
      <c r="AI346" s="114">
        <f t="shared" si="79"/>
        <v>0</v>
      </c>
      <c r="AJ346" s="113"/>
      <c r="AL346" s="477">
        <f t="shared" ca="1" si="80"/>
        <v>0</v>
      </c>
    </row>
    <row r="347" spans="2:38">
      <c r="B347" s="222">
        <f ca="1">Fixa!B347</f>
        <v>55990</v>
      </c>
      <c r="C347" s="223" t="str">
        <f>Fixa!C347</f>
        <v/>
      </c>
      <c r="D347" s="43" t="e">
        <f t="shared" ref="D347:D385" si="87">ROUND(O347,2)</f>
        <v>#VALUE!</v>
      </c>
      <c r="E347" s="43" t="e">
        <f t="shared" si="81"/>
        <v>#VALUE!</v>
      </c>
      <c r="F347" s="43" t="e">
        <f t="shared" si="82"/>
        <v>#VALUE!</v>
      </c>
      <c r="G347" s="43" t="e">
        <f t="shared" si="83"/>
        <v>#VALUE!</v>
      </c>
      <c r="H347" s="43" t="e">
        <f t="shared" ca="1" si="84"/>
        <v>#VALUE!</v>
      </c>
      <c r="I347" s="43">
        <f t="shared" si="85"/>
        <v>0</v>
      </c>
      <c r="J347" s="229">
        <f t="shared" ref="J347:J410" si="88">$AD$31</f>
        <v>25</v>
      </c>
      <c r="K347" s="43">
        <f t="shared" ref="K347:K385" si="89">IF(C347&gt;$AD$28,0,J347+G347+I347+H347)</f>
        <v>0</v>
      </c>
      <c r="M347" s="224"/>
      <c r="N347" s="225">
        <f t="shared" ref="N347:N385" si="90">IF(C347&gt;$AD$28,0,(H347+I347)/(1.008^((12*(B347-$B$25))/365)))</f>
        <v>0</v>
      </c>
      <c r="O347" s="43" t="e">
        <f t="shared" ref="O347:O385" si="91">ROUND((O346*(1+$AD$35)-P347),$P$22)</f>
        <v>#VALUE!</v>
      </c>
      <c r="P347" s="43" t="e">
        <f>ROUND(IF(Preenchimento!$G$39="Tabela Price",R347-Q347,(O346*(1+$AD$35))/($AD$28-C346)),$P$22)</f>
        <v>#VALUE!</v>
      </c>
      <c r="Q347" s="43" t="e">
        <f>IF(Preenchimento!$G$39="Tabela Price",O346*(1+$AD$35)*W347,O346*(1+SAC!$AD$35)*SAC!W347)</f>
        <v>#VALUE!</v>
      </c>
      <c r="R347" s="43" t="e">
        <f>IF(Preenchimento!$G$39="Tabela Price",IF(C347="","",((((((1+W347)^($Q$16-C346))*W347)/((1+W347)^($Q$16-C346)-1))*(O346*(1+$AD$35))))),Q347+P347)</f>
        <v>#VALUE!</v>
      </c>
      <c r="S347" s="43" t="e">
        <f t="shared" ca="1" si="86"/>
        <v>#VALUE!</v>
      </c>
      <c r="T347" s="43">
        <f t="shared" ref="T347:T410" si="92">IF(C347&gt;=$AD$28,0,ROUND($AD$25*$AD$33,$P$22))</f>
        <v>0</v>
      </c>
      <c r="U347" s="226">
        <f>TRUNC(T347*Condições!$C$102,2)</f>
        <v>0</v>
      </c>
      <c r="V347" s="82">
        <f t="shared" ref="V347:V410" ca="1" si="93">MONTH(B347)</f>
        <v>4</v>
      </c>
      <c r="W347" s="231" t="str">
        <f t="shared" ref="W347:W385" si="94">IF(C347="","",IF(AND(C347&gt;$AD$46,$AD$46&lt;&gt;""),$AE$29,$AD$29))</f>
        <v/>
      </c>
      <c r="X347" s="210"/>
      <c r="Y347" s="210"/>
      <c r="Z347" s="210"/>
      <c r="AI347" s="114">
        <f t="shared" ref="AI347:AI410" si="95">IF(C347&gt;$AD$28,0,R347+S347+T347+U347+J347)</f>
        <v>0</v>
      </c>
      <c r="AJ347" s="113"/>
      <c r="AL347" s="477">
        <f t="shared" ref="AL347:AL410" ca="1" si="96">IFERROR(IF(V346&gt;$AD$28,0,R347),0)</f>
        <v>0</v>
      </c>
    </row>
    <row r="348" spans="2:38">
      <c r="B348" s="222">
        <f ca="1">Fixa!B348</f>
        <v>56020</v>
      </c>
      <c r="C348" s="223" t="str">
        <f>Fixa!C348</f>
        <v/>
      </c>
      <c r="D348" s="43" t="e">
        <f t="shared" si="87"/>
        <v>#VALUE!</v>
      </c>
      <c r="E348" s="43" t="e">
        <f t="shared" si="81"/>
        <v>#VALUE!</v>
      </c>
      <c r="F348" s="43" t="e">
        <f t="shared" si="82"/>
        <v>#VALUE!</v>
      </c>
      <c r="G348" s="43" t="e">
        <f t="shared" si="83"/>
        <v>#VALUE!</v>
      </c>
      <c r="H348" s="43" t="e">
        <f t="shared" ca="1" si="84"/>
        <v>#VALUE!</v>
      </c>
      <c r="I348" s="43">
        <f t="shared" si="85"/>
        <v>0</v>
      </c>
      <c r="J348" s="229">
        <f t="shared" si="88"/>
        <v>25</v>
      </c>
      <c r="K348" s="43">
        <f t="shared" si="89"/>
        <v>0</v>
      </c>
      <c r="M348" s="224"/>
      <c r="N348" s="225">
        <f t="shared" si="90"/>
        <v>0</v>
      </c>
      <c r="O348" s="43" t="e">
        <f t="shared" si="91"/>
        <v>#VALUE!</v>
      </c>
      <c r="P348" s="43" t="e">
        <f>ROUND(IF(Preenchimento!$G$39="Tabela Price",R348-Q348,(O347*(1+$AD$35))/($AD$28-C347)),$P$22)</f>
        <v>#VALUE!</v>
      </c>
      <c r="Q348" s="43" t="e">
        <f>IF(Preenchimento!$G$39="Tabela Price",O347*(1+$AD$35)*W348,O347*(1+SAC!$AD$35)*SAC!W348)</f>
        <v>#VALUE!</v>
      </c>
      <c r="R348" s="43" t="e">
        <f>IF(Preenchimento!$G$39="Tabela Price",IF(C348="","",((((((1+W348)^($Q$16-C347))*W348)/((1+W348)^($Q$16-C347)-1))*(O347*(1+$AD$35))))),Q348+P348)</f>
        <v>#VALUE!</v>
      </c>
      <c r="S348" s="43" t="e">
        <f t="shared" ca="1" si="86"/>
        <v>#VALUE!</v>
      </c>
      <c r="T348" s="43">
        <f t="shared" si="92"/>
        <v>0</v>
      </c>
      <c r="U348" s="226">
        <f>TRUNC(T348*Condições!$C$102,2)</f>
        <v>0</v>
      </c>
      <c r="V348" s="82">
        <f t="shared" ca="1" si="93"/>
        <v>5</v>
      </c>
      <c r="W348" s="231" t="str">
        <f t="shared" si="94"/>
        <v/>
      </c>
      <c r="X348" s="210"/>
      <c r="Y348" s="210"/>
      <c r="Z348" s="210"/>
      <c r="AI348" s="114">
        <f t="shared" si="95"/>
        <v>0</v>
      </c>
      <c r="AJ348" s="113"/>
      <c r="AL348" s="477">
        <f t="shared" ca="1" si="96"/>
        <v>0</v>
      </c>
    </row>
    <row r="349" spans="2:38">
      <c r="B349" s="222">
        <f ca="1">Fixa!B349</f>
        <v>56051</v>
      </c>
      <c r="C349" s="223" t="str">
        <f>Fixa!C349</f>
        <v/>
      </c>
      <c r="D349" s="43" t="e">
        <f t="shared" si="87"/>
        <v>#VALUE!</v>
      </c>
      <c r="E349" s="43" t="e">
        <f t="shared" si="81"/>
        <v>#VALUE!</v>
      </c>
      <c r="F349" s="43" t="e">
        <f t="shared" si="82"/>
        <v>#VALUE!</v>
      </c>
      <c r="G349" s="43" t="e">
        <f t="shared" si="83"/>
        <v>#VALUE!</v>
      </c>
      <c r="H349" s="43" t="e">
        <f t="shared" ca="1" si="84"/>
        <v>#VALUE!</v>
      </c>
      <c r="I349" s="43">
        <f t="shared" si="85"/>
        <v>0</v>
      </c>
      <c r="J349" s="229">
        <f t="shared" si="88"/>
        <v>25</v>
      </c>
      <c r="K349" s="43">
        <f t="shared" si="89"/>
        <v>0</v>
      </c>
      <c r="M349" s="224"/>
      <c r="N349" s="225">
        <f t="shared" si="90"/>
        <v>0</v>
      </c>
      <c r="O349" s="43" t="e">
        <f t="shared" si="91"/>
        <v>#VALUE!</v>
      </c>
      <c r="P349" s="43" t="e">
        <f>ROUND(IF(Preenchimento!$G$39="Tabela Price",R349-Q349,(O348*(1+$AD$35))/($AD$28-C348)),$P$22)</f>
        <v>#VALUE!</v>
      </c>
      <c r="Q349" s="43" t="e">
        <f>IF(Preenchimento!$G$39="Tabela Price",O348*(1+$AD$35)*W349,O348*(1+SAC!$AD$35)*SAC!W349)</f>
        <v>#VALUE!</v>
      </c>
      <c r="R349" s="43" t="e">
        <f>IF(Preenchimento!$G$39="Tabela Price",IF(C349="","",((((((1+W349)^($Q$16-C348))*W349)/((1+W349)^($Q$16-C348)-1))*(O348*(1+$AD$35))))),Q349+P349)</f>
        <v>#VALUE!</v>
      </c>
      <c r="S349" s="43" t="e">
        <f t="shared" ca="1" si="86"/>
        <v>#VALUE!</v>
      </c>
      <c r="T349" s="43">
        <f t="shared" si="92"/>
        <v>0</v>
      </c>
      <c r="U349" s="226">
        <f>TRUNC(T349*Condições!$C$102,2)</f>
        <v>0</v>
      </c>
      <c r="V349" s="82">
        <f t="shared" ca="1" si="93"/>
        <v>6</v>
      </c>
      <c r="W349" s="231" t="str">
        <f t="shared" si="94"/>
        <v/>
      </c>
      <c r="X349" s="210"/>
      <c r="Y349" s="210"/>
      <c r="Z349" s="210"/>
      <c r="AI349" s="114">
        <f t="shared" si="95"/>
        <v>0</v>
      </c>
      <c r="AJ349" s="113"/>
      <c r="AL349" s="477">
        <f t="shared" ca="1" si="96"/>
        <v>0</v>
      </c>
    </row>
    <row r="350" spans="2:38">
      <c r="B350" s="222">
        <f ca="1">Fixa!B350</f>
        <v>56081</v>
      </c>
      <c r="C350" s="223" t="str">
        <f>Fixa!C350</f>
        <v/>
      </c>
      <c r="D350" s="43" t="e">
        <f t="shared" si="87"/>
        <v>#VALUE!</v>
      </c>
      <c r="E350" s="43" t="e">
        <f t="shared" si="81"/>
        <v>#VALUE!</v>
      </c>
      <c r="F350" s="43" t="e">
        <f t="shared" si="82"/>
        <v>#VALUE!</v>
      </c>
      <c r="G350" s="43" t="e">
        <f t="shared" si="83"/>
        <v>#VALUE!</v>
      </c>
      <c r="H350" s="43" t="e">
        <f t="shared" ca="1" si="84"/>
        <v>#VALUE!</v>
      </c>
      <c r="I350" s="43">
        <f t="shared" si="85"/>
        <v>0</v>
      </c>
      <c r="J350" s="229">
        <f t="shared" si="88"/>
        <v>25</v>
      </c>
      <c r="K350" s="43">
        <f t="shared" si="89"/>
        <v>0</v>
      </c>
      <c r="M350" s="224"/>
      <c r="N350" s="225">
        <f t="shared" si="90"/>
        <v>0</v>
      </c>
      <c r="O350" s="43" t="e">
        <f t="shared" si="91"/>
        <v>#VALUE!</v>
      </c>
      <c r="P350" s="43" t="e">
        <f>ROUND(IF(Preenchimento!$G$39="Tabela Price",R350-Q350,(O349*(1+$AD$35))/($AD$28-C349)),$P$22)</f>
        <v>#VALUE!</v>
      </c>
      <c r="Q350" s="43" t="e">
        <f>IF(Preenchimento!$G$39="Tabela Price",O349*(1+$AD$35)*W350,O349*(1+SAC!$AD$35)*SAC!W350)</f>
        <v>#VALUE!</v>
      </c>
      <c r="R350" s="43" t="e">
        <f>IF(Preenchimento!$G$39="Tabela Price",IF(C350="","",((((((1+W350)^($Q$16-C349))*W350)/((1+W350)^($Q$16-C349)-1))*(O349*(1+$AD$35))))),Q350+P350)</f>
        <v>#VALUE!</v>
      </c>
      <c r="S350" s="43" t="e">
        <f t="shared" ca="1" si="86"/>
        <v>#VALUE!</v>
      </c>
      <c r="T350" s="43">
        <f t="shared" si="92"/>
        <v>0</v>
      </c>
      <c r="U350" s="226">
        <f>TRUNC(T350*Condições!$C$102,2)</f>
        <v>0</v>
      </c>
      <c r="V350" s="82">
        <f t="shared" ca="1" si="93"/>
        <v>7</v>
      </c>
      <c r="W350" s="231" t="str">
        <f t="shared" si="94"/>
        <v/>
      </c>
      <c r="X350" s="210"/>
      <c r="Y350" s="210"/>
      <c r="Z350" s="210"/>
      <c r="AI350" s="114">
        <f t="shared" si="95"/>
        <v>0</v>
      </c>
      <c r="AJ350" s="113"/>
      <c r="AL350" s="477">
        <f t="shared" ca="1" si="96"/>
        <v>0</v>
      </c>
    </row>
    <row r="351" spans="2:38">
      <c r="B351" s="222">
        <f ca="1">Fixa!B351</f>
        <v>56112</v>
      </c>
      <c r="C351" s="223" t="str">
        <f>Fixa!C351</f>
        <v/>
      </c>
      <c r="D351" s="43" t="e">
        <f t="shared" si="87"/>
        <v>#VALUE!</v>
      </c>
      <c r="E351" s="43" t="e">
        <f t="shared" si="81"/>
        <v>#VALUE!</v>
      </c>
      <c r="F351" s="43" t="e">
        <f t="shared" si="82"/>
        <v>#VALUE!</v>
      </c>
      <c r="G351" s="43" t="e">
        <f t="shared" si="83"/>
        <v>#VALUE!</v>
      </c>
      <c r="H351" s="43" t="e">
        <f t="shared" ca="1" si="84"/>
        <v>#VALUE!</v>
      </c>
      <c r="I351" s="43">
        <f t="shared" si="85"/>
        <v>0</v>
      </c>
      <c r="J351" s="229">
        <f t="shared" si="88"/>
        <v>25</v>
      </c>
      <c r="K351" s="43">
        <f t="shared" si="89"/>
        <v>0</v>
      </c>
      <c r="M351" s="224"/>
      <c r="N351" s="225">
        <f t="shared" si="90"/>
        <v>0</v>
      </c>
      <c r="O351" s="43" t="e">
        <f t="shared" si="91"/>
        <v>#VALUE!</v>
      </c>
      <c r="P351" s="43" t="e">
        <f>ROUND(IF(Preenchimento!$G$39="Tabela Price",R351-Q351,(O350*(1+$AD$35))/($AD$28-C350)),$P$22)</f>
        <v>#VALUE!</v>
      </c>
      <c r="Q351" s="43" t="e">
        <f>IF(Preenchimento!$G$39="Tabela Price",O350*(1+$AD$35)*W351,O350*(1+SAC!$AD$35)*SAC!W351)</f>
        <v>#VALUE!</v>
      </c>
      <c r="R351" s="43" t="e">
        <f>IF(Preenchimento!$G$39="Tabela Price",IF(C351="","",((((((1+W351)^($Q$16-C350))*W351)/((1+W351)^($Q$16-C350)-1))*(O350*(1+$AD$35))))),Q351+P351)</f>
        <v>#VALUE!</v>
      </c>
      <c r="S351" s="43" t="e">
        <f t="shared" ca="1" si="86"/>
        <v>#VALUE!</v>
      </c>
      <c r="T351" s="43">
        <f t="shared" si="92"/>
        <v>0</v>
      </c>
      <c r="U351" s="226">
        <f>TRUNC(T351*Condições!$C$102,2)</f>
        <v>0</v>
      </c>
      <c r="V351" s="82">
        <f t="shared" ca="1" si="93"/>
        <v>8</v>
      </c>
      <c r="W351" s="231" t="str">
        <f t="shared" si="94"/>
        <v/>
      </c>
      <c r="X351" s="210"/>
      <c r="Y351" s="210"/>
      <c r="Z351" s="210"/>
      <c r="AI351" s="114">
        <f t="shared" si="95"/>
        <v>0</v>
      </c>
      <c r="AJ351" s="113"/>
      <c r="AL351" s="477">
        <f t="shared" ca="1" si="96"/>
        <v>0</v>
      </c>
    </row>
    <row r="352" spans="2:38">
      <c r="B352" s="222">
        <f ca="1">Fixa!B352</f>
        <v>56143</v>
      </c>
      <c r="C352" s="223" t="str">
        <f>Fixa!C352</f>
        <v/>
      </c>
      <c r="D352" s="43" t="e">
        <f t="shared" si="87"/>
        <v>#VALUE!</v>
      </c>
      <c r="E352" s="43" t="e">
        <f t="shared" si="81"/>
        <v>#VALUE!</v>
      </c>
      <c r="F352" s="43" t="e">
        <f t="shared" si="82"/>
        <v>#VALUE!</v>
      </c>
      <c r="G352" s="43" t="e">
        <f t="shared" si="83"/>
        <v>#VALUE!</v>
      </c>
      <c r="H352" s="43" t="e">
        <f t="shared" ca="1" si="84"/>
        <v>#VALUE!</v>
      </c>
      <c r="I352" s="43">
        <f t="shared" si="85"/>
        <v>0</v>
      </c>
      <c r="J352" s="229">
        <f t="shared" si="88"/>
        <v>25</v>
      </c>
      <c r="K352" s="43">
        <f t="shared" si="89"/>
        <v>0</v>
      </c>
      <c r="M352" s="224"/>
      <c r="N352" s="225">
        <f t="shared" si="90"/>
        <v>0</v>
      </c>
      <c r="O352" s="43" t="e">
        <f t="shared" si="91"/>
        <v>#VALUE!</v>
      </c>
      <c r="P352" s="43" t="e">
        <f>ROUND(IF(Preenchimento!$G$39="Tabela Price",R352-Q352,(O351*(1+$AD$35))/($AD$28-C351)),$P$22)</f>
        <v>#VALUE!</v>
      </c>
      <c r="Q352" s="43" t="e">
        <f>IF(Preenchimento!$G$39="Tabela Price",O351*(1+$AD$35)*W352,O351*(1+SAC!$AD$35)*SAC!W352)</f>
        <v>#VALUE!</v>
      </c>
      <c r="R352" s="43" t="e">
        <f>IF(Preenchimento!$G$39="Tabela Price",IF(C352="","",((((((1+W352)^($Q$16-C351))*W352)/((1+W352)^($Q$16-C351)-1))*(O351*(1+$AD$35))))),Q352+P352)</f>
        <v>#VALUE!</v>
      </c>
      <c r="S352" s="43" t="e">
        <f t="shared" ca="1" si="86"/>
        <v>#VALUE!</v>
      </c>
      <c r="T352" s="43">
        <f t="shared" si="92"/>
        <v>0</v>
      </c>
      <c r="U352" s="226">
        <f>TRUNC(T352*Condições!$C$102,2)</f>
        <v>0</v>
      </c>
      <c r="V352" s="82">
        <f t="shared" ca="1" si="93"/>
        <v>9</v>
      </c>
      <c r="W352" s="231" t="str">
        <f t="shared" si="94"/>
        <v/>
      </c>
      <c r="X352" s="210"/>
      <c r="Y352" s="210"/>
      <c r="Z352" s="210"/>
      <c r="AI352" s="114">
        <f t="shared" si="95"/>
        <v>0</v>
      </c>
      <c r="AJ352" s="113"/>
      <c r="AL352" s="477">
        <f t="shared" ca="1" si="96"/>
        <v>0</v>
      </c>
    </row>
    <row r="353" spans="2:38">
      <c r="B353" s="222">
        <f ca="1">Fixa!B353</f>
        <v>56173</v>
      </c>
      <c r="C353" s="223" t="str">
        <f>Fixa!C353</f>
        <v/>
      </c>
      <c r="D353" s="43" t="e">
        <f t="shared" si="87"/>
        <v>#VALUE!</v>
      </c>
      <c r="E353" s="43" t="e">
        <f t="shared" si="81"/>
        <v>#VALUE!</v>
      </c>
      <c r="F353" s="43" t="e">
        <f t="shared" si="82"/>
        <v>#VALUE!</v>
      </c>
      <c r="G353" s="43" t="e">
        <f t="shared" si="83"/>
        <v>#VALUE!</v>
      </c>
      <c r="H353" s="43" t="e">
        <f t="shared" ca="1" si="84"/>
        <v>#VALUE!</v>
      </c>
      <c r="I353" s="43">
        <f t="shared" si="85"/>
        <v>0</v>
      </c>
      <c r="J353" s="229">
        <f t="shared" si="88"/>
        <v>25</v>
      </c>
      <c r="K353" s="43">
        <f t="shared" si="89"/>
        <v>0</v>
      </c>
      <c r="M353" s="224"/>
      <c r="N353" s="225">
        <f t="shared" si="90"/>
        <v>0</v>
      </c>
      <c r="O353" s="43" t="e">
        <f t="shared" si="91"/>
        <v>#VALUE!</v>
      </c>
      <c r="P353" s="43" t="e">
        <f>ROUND(IF(Preenchimento!$G$39="Tabela Price",R353-Q353,(O352*(1+$AD$35))/($AD$28-C352)),$P$22)</f>
        <v>#VALUE!</v>
      </c>
      <c r="Q353" s="43" t="e">
        <f>IF(Preenchimento!$G$39="Tabela Price",O352*(1+$AD$35)*W353,O352*(1+SAC!$AD$35)*SAC!W353)</f>
        <v>#VALUE!</v>
      </c>
      <c r="R353" s="43" t="e">
        <f>IF(Preenchimento!$G$39="Tabela Price",IF(C353="","",((((((1+W353)^($Q$16-C352))*W353)/((1+W353)^($Q$16-C352)-1))*(O352*(1+$AD$35))))),Q353+P353)</f>
        <v>#VALUE!</v>
      </c>
      <c r="S353" s="43" t="e">
        <f t="shared" ca="1" si="86"/>
        <v>#VALUE!</v>
      </c>
      <c r="T353" s="43">
        <f t="shared" si="92"/>
        <v>0</v>
      </c>
      <c r="U353" s="226">
        <f>TRUNC(T353*Condições!$C$102,2)</f>
        <v>0</v>
      </c>
      <c r="V353" s="82">
        <f t="shared" ca="1" si="93"/>
        <v>10</v>
      </c>
      <c r="W353" s="231" t="str">
        <f t="shared" si="94"/>
        <v/>
      </c>
      <c r="X353" s="210"/>
      <c r="Y353" s="210"/>
      <c r="Z353" s="210"/>
      <c r="AI353" s="114">
        <f t="shared" si="95"/>
        <v>0</v>
      </c>
      <c r="AJ353" s="113"/>
      <c r="AL353" s="477">
        <f t="shared" ca="1" si="96"/>
        <v>0</v>
      </c>
    </row>
    <row r="354" spans="2:38">
      <c r="B354" s="222">
        <f ca="1">Fixa!B354</f>
        <v>56204</v>
      </c>
      <c r="C354" s="223" t="str">
        <f>Fixa!C354</f>
        <v/>
      </c>
      <c r="D354" s="43" t="e">
        <f t="shared" si="87"/>
        <v>#VALUE!</v>
      </c>
      <c r="E354" s="43" t="e">
        <f t="shared" si="81"/>
        <v>#VALUE!</v>
      </c>
      <c r="F354" s="43" t="e">
        <f t="shared" si="82"/>
        <v>#VALUE!</v>
      </c>
      <c r="G354" s="43" t="e">
        <f t="shared" si="83"/>
        <v>#VALUE!</v>
      </c>
      <c r="H354" s="43" t="e">
        <f t="shared" ca="1" si="84"/>
        <v>#VALUE!</v>
      </c>
      <c r="I354" s="43">
        <f t="shared" si="85"/>
        <v>0</v>
      </c>
      <c r="J354" s="229">
        <f t="shared" si="88"/>
        <v>25</v>
      </c>
      <c r="K354" s="43">
        <f t="shared" si="89"/>
        <v>0</v>
      </c>
      <c r="M354" s="224"/>
      <c r="N354" s="225">
        <f t="shared" si="90"/>
        <v>0</v>
      </c>
      <c r="O354" s="43" t="e">
        <f t="shared" si="91"/>
        <v>#VALUE!</v>
      </c>
      <c r="P354" s="43" t="e">
        <f>ROUND(IF(Preenchimento!$G$39="Tabela Price",R354-Q354,(O353*(1+$AD$35))/($AD$28-C353)),$P$22)</f>
        <v>#VALUE!</v>
      </c>
      <c r="Q354" s="43" t="e">
        <f>IF(Preenchimento!$G$39="Tabela Price",O353*(1+$AD$35)*W354,O353*(1+SAC!$AD$35)*SAC!W354)</f>
        <v>#VALUE!</v>
      </c>
      <c r="R354" s="43" t="e">
        <f>IF(Preenchimento!$G$39="Tabela Price",IF(C354="","",((((((1+W354)^($Q$16-C353))*W354)/((1+W354)^($Q$16-C353)-1))*(O353*(1+$AD$35))))),Q354+P354)</f>
        <v>#VALUE!</v>
      </c>
      <c r="S354" s="43" t="e">
        <f t="shared" ca="1" si="86"/>
        <v>#VALUE!</v>
      </c>
      <c r="T354" s="43">
        <f t="shared" si="92"/>
        <v>0</v>
      </c>
      <c r="U354" s="226">
        <f>TRUNC(T354*Condições!$C$102,2)</f>
        <v>0</v>
      </c>
      <c r="V354" s="82">
        <f t="shared" ca="1" si="93"/>
        <v>11</v>
      </c>
      <c r="W354" s="231" t="str">
        <f t="shared" si="94"/>
        <v/>
      </c>
      <c r="X354" s="210"/>
      <c r="Y354" s="210"/>
      <c r="Z354" s="210"/>
      <c r="AI354" s="114">
        <f t="shared" si="95"/>
        <v>0</v>
      </c>
      <c r="AJ354" s="113"/>
      <c r="AL354" s="477">
        <f t="shared" ca="1" si="96"/>
        <v>0</v>
      </c>
    </row>
    <row r="355" spans="2:38">
      <c r="B355" s="222">
        <f ca="1">Fixa!B355</f>
        <v>56234</v>
      </c>
      <c r="C355" s="223" t="str">
        <f>Fixa!C355</f>
        <v/>
      </c>
      <c r="D355" s="43" t="e">
        <f t="shared" si="87"/>
        <v>#VALUE!</v>
      </c>
      <c r="E355" s="43" t="e">
        <f t="shared" si="81"/>
        <v>#VALUE!</v>
      </c>
      <c r="F355" s="43" t="e">
        <f t="shared" si="82"/>
        <v>#VALUE!</v>
      </c>
      <c r="G355" s="43" t="e">
        <f t="shared" si="83"/>
        <v>#VALUE!</v>
      </c>
      <c r="H355" s="43" t="e">
        <f t="shared" ca="1" si="84"/>
        <v>#VALUE!</v>
      </c>
      <c r="I355" s="43">
        <f t="shared" si="85"/>
        <v>0</v>
      </c>
      <c r="J355" s="229">
        <f t="shared" si="88"/>
        <v>25</v>
      </c>
      <c r="K355" s="43">
        <f t="shared" si="89"/>
        <v>0</v>
      </c>
      <c r="M355" s="224"/>
      <c r="N355" s="225">
        <f t="shared" si="90"/>
        <v>0</v>
      </c>
      <c r="O355" s="43" t="e">
        <f t="shared" si="91"/>
        <v>#VALUE!</v>
      </c>
      <c r="P355" s="43" t="e">
        <f>ROUND(IF(Preenchimento!$G$39="Tabela Price",R355-Q355,(O354*(1+$AD$35))/($AD$28-C354)),$P$22)</f>
        <v>#VALUE!</v>
      </c>
      <c r="Q355" s="43" t="e">
        <f>IF(Preenchimento!$G$39="Tabela Price",O354*(1+$AD$35)*W355,O354*(1+SAC!$AD$35)*SAC!W355)</f>
        <v>#VALUE!</v>
      </c>
      <c r="R355" s="43" t="e">
        <f>IF(Preenchimento!$G$39="Tabela Price",IF(C355="","",((((((1+W355)^($Q$16-C354))*W355)/((1+W355)^($Q$16-C354)-1))*(O354*(1+$AD$35))))),Q355+P355)</f>
        <v>#VALUE!</v>
      </c>
      <c r="S355" s="43" t="e">
        <f t="shared" ca="1" si="86"/>
        <v>#VALUE!</v>
      </c>
      <c r="T355" s="43">
        <f t="shared" si="92"/>
        <v>0</v>
      </c>
      <c r="U355" s="226">
        <f>TRUNC(T355*Condições!$C$102,2)</f>
        <v>0</v>
      </c>
      <c r="V355" s="82">
        <f t="shared" ca="1" si="93"/>
        <v>12</v>
      </c>
      <c r="W355" s="231" t="str">
        <f t="shared" si="94"/>
        <v/>
      </c>
      <c r="X355" s="210"/>
      <c r="Y355" s="210"/>
      <c r="Z355" s="210"/>
      <c r="AI355" s="114">
        <f t="shared" si="95"/>
        <v>0</v>
      </c>
      <c r="AJ355" s="113"/>
      <c r="AL355" s="477">
        <f t="shared" ca="1" si="96"/>
        <v>0</v>
      </c>
    </row>
    <row r="356" spans="2:38">
      <c r="B356" s="222">
        <f ca="1">Fixa!B356</f>
        <v>56265</v>
      </c>
      <c r="C356" s="223" t="str">
        <f>Fixa!C356</f>
        <v/>
      </c>
      <c r="D356" s="43" t="e">
        <f t="shared" si="87"/>
        <v>#VALUE!</v>
      </c>
      <c r="E356" s="43" t="e">
        <f t="shared" si="81"/>
        <v>#VALUE!</v>
      </c>
      <c r="F356" s="43" t="e">
        <f t="shared" si="82"/>
        <v>#VALUE!</v>
      </c>
      <c r="G356" s="43" t="e">
        <f t="shared" si="83"/>
        <v>#VALUE!</v>
      </c>
      <c r="H356" s="43" t="e">
        <f t="shared" ca="1" si="84"/>
        <v>#VALUE!</v>
      </c>
      <c r="I356" s="43">
        <f t="shared" si="85"/>
        <v>0</v>
      </c>
      <c r="J356" s="229">
        <f t="shared" si="88"/>
        <v>25</v>
      </c>
      <c r="K356" s="43">
        <f t="shared" si="89"/>
        <v>0</v>
      </c>
      <c r="M356" s="224"/>
      <c r="N356" s="225">
        <f t="shared" si="90"/>
        <v>0</v>
      </c>
      <c r="O356" s="43" t="e">
        <f t="shared" si="91"/>
        <v>#VALUE!</v>
      </c>
      <c r="P356" s="43" t="e">
        <f>ROUND(IF(Preenchimento!$G$39="Tabela Price",R356-Q356,(O355*(1+$AD$35))/($AD$28-C355)),$P$22)</f>
        <v>#VALUE!</v>
      </c>
      <c r="Q356" s="43" t="e">
        <f>IF(Preenchimento!$G$39="Tabela Price",O355*(1+$AD$35)*W356,O355*(1+SAC!$AD$35)*SAC!W356)</f>
        <v>#VALUE!</v>
      </c>
      <c r="R356" s="43" t="e">
        <f>IF(Preenchimento!$G$39="Tabela Price",IF(C356="","",((((((1+W356)^($Q$16-C355))*W356)/((1+W356)^($Q$16-C355)-1))*(O355*(1+$AD$35))))),Q356+P356)</f>
        <v>#VALUE!</v>
      </c>
      <c r="S356" s="43" t="e">
        <f t="shared" ca="1" si="86"/>
        <v>#VALUE!</v>
      </c>
      <c r="T356" s="43">
        <f t="shared" si="92"/>
        <v>0</v>
      </c>
      <c r="U356" s="226">
        <f>TRUNC(T356*Condições!$C$102,2)</f>
        <v>0</v>
      </c>
      <c r="V356" s="82">
        <f t="shared" ca="1" si="93"/>
        <v>1</v>
      </c>
      <c r="W356" s="231" t="str">
        <f t="shared" si="94"/>
        <v/>
      </c>
      <c r="X356" s="210"/>
      <c r="Y356" s="210"/>
      <c r="Z356" s="210"/>
      <c r="AI356" s="114">
        <f t="shared" si="95"/>
        <v>0</v>
      </c>
      <c r="AJ356" s="113"/>
      <c r="AL356" s="477">
        <f t="shared" ca="1" si="96"/>
        <v>0</v>
      </c>
    </row>
    <row r="357" spans="2:38">
      <c r="B357" s="222">
        <f ca="1">Fixa!B357</f>
        <v>56296</v>
      </c>
      <c r="C357" s="223" t="str">
        <f>Fixa!C357</f>
        <v/>
      </c>
      <c r="D357" s="43" t="e">
        <f t="shared" si="87"/>
        <v>#VALUE!</v>
      </c>
      <c r="E357" s="43" t="e">
        <f t="shared" si="81"/>
        <v>#VALUE!</v>
      </c>
      <c r="F357" s="43" t="e">
        <f t="shared" si="82"/>
        <v>#VALUE!</v>
      </c>
      <c r="G357" s="43" t="e">
        <f t="shared" si="83"/>
        <v>#VALUE!</v>
      </c>
      <c r="H357" s="43" t="e">
        <f t="shared" ca="1" si="84"/>
        <v>#VALUE!</v>
      </c>
      <c r="I357" s="43">
        <f t="shared" si="85"/>
        <v>0</v>
      </c>
      <c r="J357" s="229">
        <f t="shared" si="88"/>
        <v>25</v>
      </c>
      <c r="K357" s="43">
        <f t="shared" si="89"/>
        <v>0</v>
      </c>
      <c r="M357" s="224"/>
      <c r="N357" s="225">
        <f t="shared" si="90"/>
        <v>0</v>
      </c>
      <c r="O357" s="43" t="e">
        <f t="shared" si="91"/>
        <v>#VALUE!</v>
      </c>
      <c r="P357" s="43" t="e">
        <f>ROUND(IF(Preenchimento!$G$39="Tabela Price",R357-Q357,(O356*(1+$AD$35))/($AD$28-C356)),$P$22)</f>
        <v>#VALUE!</v>
      </c>
      <c r="Q357" s="43" t="e">
        <f>IF(Preenchimento!$G$39="Tabela Price",O356*(1+$AD$35)*W357,O356*(1+SAC!$AD$35)*SAC!W357)</f>
        <v>#VALUE!</v>
      </c>
      <c r="R357" s="43" t="e">
        <f>IF(Preenchimento!$G$39="Tabela Price",IF(C357="","",((((((1+W357)^($Q$16-C356))*W357)/((1+W357)^($Q$16-C356)-1))*(O356*(1+$AD$35))))),Q357+P357)</f>
        <v>#VALUE!</v>
      </c>
      <c r="S357" s="43" t="e">
        <f t="shared" ca="1" si="86"/>
        <v>#VALUE!</v>
      </c>
      <c r="T357" s="43">
        <f t="shared" si="92"/>
        <v>0</v>
      </c>
      <c r="U357" s="226">
        <f>TRUNC(T357*Condições!$C$102,2)</f>
        <v>0</v>
      </c>
      <c r="V357" s="82">
        <f t="shared" ca="1" si="93"/>
        <v>2</v>
      </c>
      <c r="W357" s="231" t="str">
        <f t="shared" si="94"/>
        <v/>
      </c>
      <c r="X357" s="210"/>
      <c r="Y357" s="210"/>
      <c r="Z357" s="210"/>
      <c r="AI357" s="114">
        <f t="shared" si="95"/>
        <v>0</v>
      </c>
      <c r="AJ357" s="113"/>
      <c r="AL357" s="477">
        <f t="shared" ca="1" si="96"/>
        <v>0</v>
      </c>
    </row>
    <row r="358" spans="2:38">
      <c r="B358" s="222">
        <f ca="1">Fixa!B358</f>
        <v>56324</v>
      </c>
      <c r="C358" s="223" t="str">
        <f>Fixa!C358</f>
        <v/>
      </c>
      <c r="D358" s="43" t="e">
        <f t="shared" si="87"/>
        <v>#VALUE!</v>
      </c>
      <c r="E358" s="43" t="e">
        <f t="shared" si="81"/>
        <v>#VALUE!</v>
      </c>
      <c r="F358" s="43" t="e">
        <f t="shared" si="82"/>
        <v>#VALUE!</v>
      </c>
      <c r="G358" s="43" t="e">
        <f t="shared" si="83"/>
        <v>#VALUE!</v>
      </c>
      <c r="H358" s="43" t="e">
        <f t="shared" ca="1" si="84"/>
        <v>#VALUE!</v>
      </c>
      <c r="I358" s="43">
        <f t="shared" si="85"/>
        <v>0</v>
      </c>
      <c r="J358" s="229">
        <f t="shared" si="88"/>
        <v>25</v>
      </c>
      <c r="K358" s="43">
        <f t="shared" si="89"/>
        <v>0</v>
      </c>
      <c r="M358" s="224"/>
      <c r="N358" s="225">
        <f t="shared" si="90"/>
        <v>0</v>
      </c>
      <c r="O358" s="43" t="e">
        <f t="shared" si="91"/>
        <v>#VALUE!</v>
      </c>
      <c r="P358" s="43" t="e">
        <f>ROUND(IF(Preenchimento!$G$39="Tabela Price",R358-Q358,(O357*(1+$AD$35))/($AD$28-C357)),$P$22)</f>
        <v>#VALUE!</v>
      </c>
      <c r="Q358" s="43" t="e">
        <f>IF(Preenchimento!$G$39="Tabela Price",O357*(1+$AD$35)*W358,O357*(1+SAC!$AD$35)*SAC!W358)</f>
        <v>#VALUE!</v>
      </c>
      <c r="R358" s="43" t="e">
        <f>IF(Preenchimento!$G$39="Tabela Price",IF(C358="","",((((((1+W358)^($Q$16-C357))*W358)/((1+W358)^($Q$16-C357)-1))*(O357*(1+$AD$35))))),Q358+P358)</f>
        <v>#VALUE!</v>
      </c>
      <c r="S358" s="43" t="e">
        <f t="shared" ca="1" si="86"/>
        <v>#VALUE!</v>
      </c>
      <c r="T358" s="43">
        <f t="shared" si="92"/>
        <v>0</v>
      </c>
      <c r="U358" s="226">
        <f>TRUNC(T358*Condições!$C$102,2)</f>
        <v>0</v>
      </c>
      <c r="V358" s="82">
        <f t="shared" ca="1" si="93"/>
        <v>3</v>
      </c>
      <c r="W358" s="231" t="str">
        <f t="shared" si="94"/>
        <v/>
      </c>
      <c r="X358" s="210"/>
      <c r="Y358" s="210"/>
      <c r="Z358" s="210"/>
      <c r="AI358" s="114">
        <f t="shared" si="95"/>
        <v>0</v>
      </c>
      <c r="AJ358" s="113"/>
      <c r="AL358" s="477">
        <f t="shared" ca="1" si="96"/>
        <v>0</v>
      </c>
    </row>
    <row r="359" spans="2:38">
      <c r="B359" s="222">
        <f ca="1">Fixa!B359</f>
        <v>56355</v>
      </c>
      <c r="C359" s="223" t="str">
        <f>Fixa!C359</f>
        <v/>
      </c>
      <c r="D359" s="43" t="e">
        <f t="shared" si="87"/>
        <v>#VALUE!</v>
      </c>
      <c r="E359" s="43" t="e">
        <f t="shared" si="81"/>
        <v>#VALUE!</v>
      </c>
      <c r="F359" s="43" t="e">
        <f t="shared" si="82"/>
        <v>#VALUE!</v>
      </c>
      <c r="G359" s="43" t="e">
        <f t="shared" si="83"/>
        <v>#VALUE!</v>
      </c>
      <c r="H359" s="43" t="e">
        <f t="shared" ca="1" si="84"/>
        <v>#VALUE!</v>
      </c>
      <c r="I359" s="43">
        <f t="shared" si="85"/>
        <v>0</v>
      </c>
      <c r="J359" s="229">
        <f t="shared" si="88"/>
        <v>25</v>
      </c>
      <c r="K359" s="43">
        <f t="shared" si="89"/>
        <v>0</v>
      </c>
      <c r="M359" s="224"/>
      <c r="N359" s="225">
        <f t="shared" si="90"/>
        <v>0</v>
      </c>
      <c r="O359" s="43" t="e">
        <f t="shared" si="91"/>
        <v>#VALUE!</v>
      </c>
      <c r="P359" s="43" t="e">
        <f>ROUND(IF(Preenchimento!$G$39="Tabela Price",R359-Q359,(O358*(1+$AD$35))/($AD$28-C358)),$P$22)</f>
        <v>#VALUE!</v>
      </c>
      <c r="Q359" s="43" t="e">
        <f>IF(Preenchimento!$G$39="Tabela Price",O358*(1+$AD$35)*W359,O358*(1+SAC!$AD$35)*SAC!W359)</f>
        <v>#VALUE!</v>
      </c>
      <c r="R359" s="43" t="e">
        <f>IF(Preenchimento!$G$39="Tabela Price",IF(C359="","",((((((1+W359)^($Q$16-C358))*W359)/((1+W359)^($Q$16-C358)-1))*(O358*(1+$AD$35))))),Q359+P359)</f>
        <v>#VALUE!</v>
      </c>
      <c r="S359" s="43" t="e">
        <f t="shared" ca="1" si="86"/>
        <v>#VALUE!</v>
      </c>
      <c r="T359" s="43">
        <f t="shared" si="92"/>
        <v>0</v>
      </c>
      <c r="U359" s="226">
        <f>TRUNC(T359*Condições!$C$102,2)</f>
        <v>0</v>
      </c>
      <c r="V359" s="82">
        <f t="shared" ca="1" si="93"/>
        <v>4</v>
      </c>
      <c r="W359" s="231" t="str">
        <f t="shared" si="94"/>
        <v/>
      </c>
      <c r="X359" s="210"/>
      <c r="Y359" s="210"/>
      <c r="Z359" s="210"/>
      <c r="AI359" s="114">
        <f t="shared" si="95"/>
        <v>0</v>
      </c>
      <c r="AJ359" s="113"/>
      <c r="AL359" s="477">
        <f t="shared" ca="1" si="96"/>
        <v>0</v>
      </c>
    </row>
    <row r="360" spans="2:38">
      <c r="B360" s="222">
        <f ca="1">Fixa!B360</f>
        <v>56385</v>
      </c>
      <c r="C360" s="223" t="str">
        <f>Fixa!C360</f>
        <v/>
      </c>
      <c r="D360" s="43" t="e">
        <f t="shared" si="87"/>
        <v>#VALUE!</v>
      </c>
      <c r="E360" s="43" t="e">
        <f t="shared" si="81"/>
        <v>#VALUE!</v>
      </c>
      <c r="F360" s="43" t="e">
        <f t="shared" si="82"/>
        <v>#VALUE!</v>
      </c>
      <c r="G360" s="43" t="e">
        <f t="shared" si="83"/>
        <v>#VALUE!</v>
      </c>
      <c r="H360" s="43" t="e">
        <f t="shared" ca="1" si="84"/>
        <v>#VALUE!</v>
      </c>
      <c r="I360" s="43">
        <f t="shared" si="85"/>
        <v>0</v>
      </c>
      <c r="J360" s="229">
        <f t="shared" si="88"/>
        <v>25</v>
      </c>
      <c r="K360" s="43">
        <f t="shared" si="89"/>
        <v>0</v>
      </c>
      <c r="M360" s="224"/>
      <c r="N360" s="225">
        <f t="shared" si="90"/>
        <v>0</v>
      </c>
      <c r="O360" s="43" t="e">
        <f t="shared" si="91"/>
        <v>#VALUE!</v>
      </c>
      <c r="P360" s="43" t="e">
        <f>ROUND(IF(Preenchimento!$G$39="Tabela Price",R360-Q360,(O359*(1+$AD$35))/($AD$28-C359)),$P$22)</f>
        <v>#VALUE!</v>
      </c>
      <c r="Q360" s="43" t="e">
        <f>IF(Preenchimento!$G$39="Tabela Price",O359*(1+$AD$35)*W360,O359*(1+SAC!$AD$35)*SAC!W360)</f>
        <v>#VALUE!</v>
      </c>
      <c r="R360" s="43" t="e">
        <f>IF(Preenchimento!$G$39="Tabela Price",IF(C360="","",((((((1+W360)^($Q$16-C359))*W360)/((1+W360)^($Q$16-C359)-1))*(O359*(1+$AD$35))))),Q360+P360)</f>
        <v>#VALUE!</v>
      </c>
      <c r="S360" s="43" t="e">
        <f t="shared" ca="1" si="86"/>
        <v>#VALUE!</v>
      </c>
      <c r="T360" s="43">
        <f t="shared" si="92"/>
        <v>0</v>
      </c>
      <c r="U360" s="226">
        <f>TRUNC(T360*Condições!$C$102,2)</f>
        <v>0</v>
      </c>
      <c r="V360" s="82">
        <f t="shared" ca="1" si="93"/>
        <v>5</v>
      </c>
      <c r="W360" s="231" t="str">
        <f t="shared" si="94"/>
        <v/>
      </c>
      <c r="X360" s="210"/>
      <c r="Y360" s="210"/>
      <c r="Z360" s="210"/>
      <c r="AI360" s="114">
        <f t="shared" si="95"/>
        <v>0</v>
      </c>
      <c r="AJ360" s="113"/>
      <c r="AL360" s="477">
        <f t="shared" ca="1" si="96"/>
        <v>0</v>
      </c>
    </row>
    <row r="361" spans="2:38">
      <c r="B361" s="222">
        <f ca="1">Fixa!B361</f>
        <v>56416</v>
      </c>
      <c r="C361" s="223" t="str">
        <f>Fixa!C361</f>
        <v/>
      </c>
      <c r="D361" s="43" t="e">
        <f t="shared" si="87"/>
        <v>#VALUE!</v>
      </c>
      <c r="E361" s="43" t="e">
        <f t="shared" si="81"/>
        <v>#VALUE!</v>
      </c>
      <c r="F361" s="43" t="e">
        <f t="shared" si="82"/>
        <v>#VALUE!</v>
      </c>
      <c r="G361" s="43" t="e">
        <f t="shared" si="83"/>
        <v>#VALUE!</v>
      </c>
      <c r="H361" s="43" t="e">
        <f t="shared" ca="1" si="84"/>
        <v>#VALUE!</v>
      </c>
      <c r="I361" s="43">
        <f t="shared" si="85"/>
        <v>0</v>
      </c>
      <c r="J361" s="229">
        <f t="shared" si="88"/>
        <v>25</v>
      </c>
      <c r="K361" s="43">
        <f t="shared" si="89"/>
        <v>0</v>
      </c>
      <c r="M361" s="224"/>
      <c r="N361" s="225">
        <f t="shared" si="90"/>
        <v>0</v>
      </c>
      <c r="O361" s="43" t="e">
        <f t="shared" si="91"/>
        <v>#VALUE!</v>
      </c>
      <c r="P361" s="43" t="e">
        <f>ROUND(IF(Preenchimento!$G$39="Tabela Price",R361-Q361,(O360*(1+$AD$35))/($AD$28-C360)),$P$22)</f>
        <v>#VALUE!</v>
      </c>
      <c r="Q361" s="43" t="e">
        <f>IF(Preenchimento!$G$39="Tabela Price",O360*(1+$AD$35)*W361,O360*(1+SAC!$AD$35)*SAC!W361)</f>
        <v>#VALUE!</v>
      </c>
      <c r="R361" s="43" t="e">
        <f>IF(Preenchimento!$G$39="Tabela Price",IF(C361="","",((((((1+W361)^($Q$16-C360))*W361)/((1+W361)^($Q$16-C360)-1))*(O360*(1+$AD$35))))),Q361+P361)</f>
        <v>#VALUE!</v>
      </c>
      <c r="S361" s="43" t="e">
        <f t="shared" ca="1" si="86"/>
        <v>#VALUE!</v>
      </c>
      <c r="T361" s="43">
        <f t="shared" si="92"/>
        <v>0</v>
      </c>
      <c r="U361" s="226">
        <f>TRUNC(T361*Condições!$C$102,2)</f>
        <v>0</v>
      </c>
      <c r="V361" s="82">
        <f t="shared" ca="1" si="93"/>
        <v>6</v>
      </c>
      <c r="W361" s="231" t="str">
        <f t="shared" si="94"/>
        <v/>
      </c>
      <c r="X361" s="210"/>
      <c r="Y361" s="210"/>
      <c r="Z361" s="210"/>
      <c r="AI361" s="114">
        <f t="shared" si="95"/>
        <v>0</v>
      </c>
      <c r="AJ361" s="113"/>
      <c r="AL361" s="477">
        <f t="shared" ca="1" si="96"/>
        <v>0</v>
      </c>
    </row>
    <row r="362" spans="2:38">
      <c r="B362" s="222">
        <f ca="1">Fixa!B362</f>
        <v>56446</v>
      </c>
      <c r="C362" s="223" t="str">
        <f>Fixa!C362</f>
        <v/>
      </c>
      <c r="D362" s="43" t="e">
        <f t="shared" si="87"/>
        <v>#VALUE!</v>
      </c>
      <c r="E362" s="43" t="e">
        <f t="shared" si="81"/>
        <v>#VALUE!</v>
      </c>
      <c r="F362" s="43" t="e">
        <f t="shared" si="82"/>
        <v>#VALUE!</v>
      </c>
      <c r="G362" s="43" t="e">
        <f t="shared" si="83"/>
        <v>#VALUE!</v>
      </c>
      <c r="H362" s="43" t="e">
        <f t="shared" ca="1" si="84"/>
        <v>#VALUE!</v>
      </c>
      <c r="I362" s="43">
        <f t="shared" si="85"/>
        <v>0</v>
      </c>
      <c r="J362" s="229">
        <f t="shared" si="88"/>
        <v>25</v>
      </c>
      <c r="K362" s="43">
        <f t="shared" si="89"/>
        <v>0</v>
      </c>
      <c r="M362" s="224"/>
      <c r="N362" s="225">
        <f t="shared" si="90"/>
        <v>0</v>
      </c>
      <c r="O362" s="43" t="e">
        <f t="shared" si="91"/>
        <v>#VALUE!</v>
      </c>
      <c r="P362" s="43" t="e">
        <f>ROUND(IF(Preenchimento!$G$39="Tabela Price",R362-Q362,(O361*(1+$AD$35))/($AD$28-C361)),$P$22)</f>
        <v>#VALUE!</v>
      </c>
      <c r="Q362" s="43" t="e">
        <f>IF(Preenchimento!$G$39="Tabela Price",O361*(1+$AD$35)*W362,O361*(1+SAC!$AD$35)*SAC!W362)</f>
        <v>#VALUE!</v>
      </c>
      <c r="R362" s="43" t="e">
        <f>IF(Preenchimento!$G$39="Tabela Price",IF(C362="","",((((((1+W362)^($Q$16-C361))*W362)/((1+W362)^($Q$16-C361)-1))*(O361*(1+$AD$35))))),Q362+P362)</f>
        <v>#VALUE!</v>
      </c>
      <c r="S362" s="43" t="e">
        <f t="shared" ca="1" si="86"/>
        <v>#VALUE!</v>
      </c>
      <c r="T362" s="43">
        <f t="shared" si="92"/>
        <v>0</v>
      </c>
      <c r="U362" s="226">
        <f>TRUNC(T362*Condições!$C$102,2)</f>
        <v>0</v>
      </c>
      <c r="V362" s="82">
        <f t="shared" ca="1" si="93"/>
        <v>7</v>
      </c>
      <c r="W362" s="231" t="str">
        <f t="shared" si="94"/>
        <v/>
      </c>
      <c r="X362" s="210"/>
      <c r="Y362" s="210"/>
      <c r="Z362" s="210"/>
      <c r="AI362" s="114">
        <f t="shared" si="95"/>
        <v>0</v>
      </c>
      <c r="AJ362" s="113"/>
      <c r="AL362" s="477">
        <f t="shared" ca="1" si="96"/>
        <v>0</v>
      </c>
    </row>
    <row r="363" spans="2:38">
      <c r="B363" s="222">
        <f ca="1">Fixa!B363</f>
        <v>56477</v>
      </c>
      <c r="C363" s="223" t="str">
        <f>Fixa!C363</f>
        <v/>
      </c>
      <c r="D363" s="43" t="e">
        <f t="shared" si="87"/>
        <v>#VALUE!</v>
      </c>
      <c r="E363" s="43" t="e">
        <f t="shared" si="81"/>
        <v>#VALUE!</v>
      </c>
      <c r="F363" s="43" t="e">
        <f t="shared" si="82"/>
        <v>#VALUE!</v>
      </c>
      <c r="G363" s="43" t="e">
        <f t="shared" si="83"/>
        <v>#VALUE!</v>
      </c>
      <c r="H363" s="43" t="e">
        <f t="shared" ca="1" si="84"/>
        <v>#VALUE!</v>
      </c>
      <c r="I363" s="43">
        <f t="shared" si="85"/>
        <v>0</v>
      </c>
      <c r="J363" s="229">
        <f t="shared" si="88"/>
        <v>25</v>
      </c>
      <c r="K363" s="43">
        <f t="shared" si="89"/>
        <v>0</v>
      </c>
      <c r="M363" s="224"/>
      <c r="N363" s="225">
        <f t="shared" si="90"/>
        <v>0</v>
      </c>
      <c r="O363" s="43" t="e">
        <f t="shared" si="91"/>
        <v>#VALUE!</v>
      </c>
      <c r="P363" s="43" t="e">
        <f>ROUND(IF(Preenchimento!$G$39="Tabela Price",R363-Q363,(O362*(1+$AD$35))/($AD$28-C362)),$P$22)</f>
        <v>#VALUE!</v>
      </c>
      <c r="Q363" s="43" t="e">
        <f>IF(Preenchimento!$G$39="Tabela Price",O362*(1+$AD$35)*W363,O362*(1+SAC!$AD$35)*SAC!W363)</f>
        <v>#VALUE!</v>
      </c>
      <c r="R363" s="43" t="e">
        <f>IF(Preenchimento!$G$39="Tabela Price",IF(C363="","",((((((1+W363)^($Q$16-C362))*W363)/((1+W363)^($Q$16-C362)-1))*(O362*(1+$AD$35))))),Q363+P363)</f>
        <v>#VALUE!</v>
      </c>
      <c r="S363" s="43" t="e">
        <f t="shared" ca="1" si="86"/>
        <v>#VALUE!</v>
      </c>
      <c r="T363" s="43">
        <f t="shared" si="92"/>
        <v>0</v>
      </c>
      <c r="U363" s="226">
        <f>TRUNC(T363*Condições!$C$102,2)</f>
        <v>0</v>
      </c>
      <c r="V363" s="82">
        <f t="shared" ca="1" si="93"/>
        <v>8</v>
      </c>
      <c r="W363" s="231" t="str">
        <f t="shared" si="94"/>
        <v/>
      </c>
      <c r="X363" s="210"/>
      <c r="Y363" s="210"/>
      <c r="Z363" s="210"/>
      <c r="AI363" s="114">
        <f t="shared" si="95"/>
        <v>0</v>
      </c>
      <c r="AJ363" s="113"/>
      <c r="AL363" s="477">
        <f t="shared" ca="1" si="96"/>
        <v>0</v>
      </c>
    </row>
    <row r="364" spans="2:38">
      <c r="B364" s="222">
        <f ca="1">Fixa!B364</f>
        <v>56508</v>
      </c>
      <c r="C364" s="223" t="str">
        <f>Fixa!C364</f>
        <v/>
      </c>
      <c r="D364" s="43" t="e">
        <f t="shared" si="87"/>
        <v>#VALUE!</v>
      </c>
      <c r="E364" s="43" t="e">
        <f t="shared" si="81"/>
        <v>#VALUE!</v>
      </c>
      <c r="F364" s="43" t="e">
        <f t="shared" si="82"/>
        <v>#VALUE!</v>
      </c>
      <c r="G364" s="43" t="e">
        <f t="shared" si="83"/>
        <v>#VALUE!</v>
      </c>
      <c r="H364" s="43" t="e">
        <f t="shared" ca="1" si="84"/>
        <v>#VALUE!</v>
      </c>
      <c r="I364" s="43">
        <f t="shared" si="85"/>
        <v>0</v>
      </c>
      <c r="J364" s="229">
        <f t="shared" si="88"/>
        <v>25</v>
      </c>
      <c r="K364" s="43">
        <f t="shared" si="89"/>
        <v>0</v>
      </c>
      <c r="M364" s="224"/>
      <c r="N364" s="225">
        <f t="shared" si="90"/>
        <v>0</v>
      </c>
      <c r="O364" s="43" t="e">
        <f t="shared" si="91"/>
        <v>#VALUE!</v>
      </c>
      <c r="P364" s="43" t="e">
        <f>ROUND(IF(Preenchimento!$G$39="Tabela Price",R364-Q364,(O363*(1+$AD$35))/($AD$28-C363)),$P$22)</f>
        <v>#VALUE!</v>
      </c>
      <c r="Q364" s="43" t="e">
        <f>IF(Preenchimento!$G$39="Tabela Price",O363*(1+$AD$35)*W364,O363*(1+SAC!$AD$35)*SAC!W364)</f>
        <v>#VALUE!</v>
      </c>
      <c r="R364" s="43" t="e">
        <f>IF(Preenchimento!$G$39="Tabela Price",IF(C364="","",((((((1+W364)^($Q$16-C363))*W364)/((1+W364)^($Q$16-C363)-1))*(O363*(1+$AD$35))))),Q364+P364)</f>
        <v>#VALUE!</v>
      </c>
      <c r="S364" s="43" t="e">
        <f t="shared" ca="1" si="86"/>
        <v>#VALUE!</v>
      </c>
      <c r="T364" s="43">
        <f t="shared" si="92"/>
        <v>0</v>
      </c>
      <c r="U364" s="226">
        <f>TRUNC(T364*Condições!$C$102,2)</f>
        <v>0</v>
      </c>
      <c r="V364" s="82">
        <f t="shared" ca="1" si="93"/>
        <v>9</v>
      </c>
      <c r="W364" s="231" t="str">
        <f t="shared" si="94"/>
        <v/>
      </c>
      <c r="X364" s="210"/>
      <c r="Y364" s="210"/>
      <c r="Z364" s="210"/>
      <c r="AI364" s="114">
        <f t="shared" si="95"/>
        <v>0</v>
      </c>
      <c r="AJ364" s="113"/>
      <c r="AL364" s="477">
        <f t="shared" ca="1" si="96"/>
        <v>0</v>
      </c>
    </row>
    <row r="365" spans="2:38">
      <c r="B365" s="222">
        <f ca="1">Fixa!B365</f>
        <v>56538</v>
      </c>
      <c r="C365" s="223" t="str">
        <f>Fixa!C365</f>
        <v/>
      </c>
      <c r="D365" s="43" t="e">
        <f t="shared" si="87"/>
        <v>#VALUE!</v>
      </c>
      <c r="E365" s="43" t="e">
        <f t="shared" si="81"/>
        <v>#VALUE!</v>
      </c>
      <c r="F365" s="43" t="e">
        <f t="shared" si="82"/>
        <v>#VALUE!</v>
      </c>
      <c r="G365" s="43" t="e">
        <f t="shared" si="83"/>
        <v>#VALUE!</v>
      </c>
      <c r="H365" s="43" t="e">
        <f t="shared" ca="1" si="84"/>
        <v>#VALUE!</v>
      </c>
      <c r="I365" s="43">
        <f t="shared" si="85"/>
        <v>0</v>
      </c>
      <c r="J365" s="229">
        <f t="shared" si="88"/>
        <v>25</v>
      </c>
      <c r="K365" s="43">
        <f t="shared" si="89"/>
        <v>0</v>
      </c>
      <c r="M365" s="224"/>
      <c r="N365" s="225">
        <f t="shared" si="90"/>
        <v>0</v>
      </c>
      <c r="O365" s="43" t="e">
        <f t="shared" si="91"/>
        <v>#VALUE!</v>
      </c>
      <c r="P365" s="43" t="e">
        <f>ROUND(IF(Preenchimento!$G$39="Tabela Price",R365-Q365,(O364*(1+$AD$35))/($AD$28-C364)),$P$22)</f>
        <v>#VALUE!</v>
      </c>
      <c r="Q365" s="43" t="e">
        <f>IF(Preenchimento!$G$39="Tabela Price",O364*(1+$AD$35)*W365,O364*(1+SAC!$AD$35)*SAC!W365)</f>
        <v>#VALUE!</v>
      </c>
      <c r="R365" s="43" t="e">
        <f>IF(Preenchimento!$G$39="Tabela Price",IF(C365="","",((((((1+W365)^($Q$16-C364))*W365)/((1+W365)^($Q$16-C364)-1))*(O364*(1+$AD$35))))),Q365+P365)</f>
        <v>#VALUE!</v>
      </c>
      <c r="S365" s="43" t="e">
        <f t="shared" ca="1" si="86"/>
        <v>#VALUE!</v>
      </c>
      <c r="T365" s="43">
        <f t="shared" si="92"/>
        <v>0</v>
      </c>
      <c r="U365" s="226">
        <f>TRUNC(T365*Condições!$C$102,2)</f>
        <v>0</v>
      </c>
      <c r="V365" s="82">
        <f t="shared" ca="1" si="93"/>
        <v>10</v>
      </c>
      <c r="W365" s="231" t="str">
        <f t="shared" si="94"/>
        <v/>
      </c>
      <c r="X365" s="210"/>
      <c r="Y365" s="210"/>
      <c r="Z365" s="210"/>
      <c r="AI365" s="114">
        <f t="shared" si="95"/>
        <v>0</v>
      </c>
      <c r="AJ365" s="113"/>
      <c r="AL365" s="477">
        <f t="shared" ca="1" si="96"/>
        <v>0</v>
      </c>
    </row>
    <row r="366" spans="2:38">
      <c r="B366" s="222">
        <f ca="1">Fixa!B366</f>
        <v>56569</v>
      </c>
      <c r="C366" s="223" t="str">
        <f>Fixa!C366</f>
        <v/>
      </c>
      <c r="D366" s="43" t="e">
        <f t="shared" si="87"/>
        <v>#VALUE!</v>
      </c>
      <c r="E366" s="43" t="e">
        <f t="shared" si="81"/>
        <v>#VALUE!</v>
      </c>
      <c r="F366" s="43" t="e">
        <f t="shared" si="82"/>
        <v>#VALUE!</v>
      </c>
      <c r="G366" s="43" t="e">
        <f t="shared" si="83"/>
        <v>#VALUE!</v>
      </c>
      <c r="H366" s="43" t="e">
        <f t="shared" ca="1" si="84"/>
        <v>#VALUE!</v>
      </c>
      <c r="I366" s="43">
        <f t="shared" si="85"/>
        <v>0</v>
      </c>
      <c r="J366" s="229">
        <f t="shared" si="88"/>
        <v>25</v>
      </c>
      <c r="K366" s="43">
        <f t="shared" si="89"/>
        <v>0</v>
      </c>
      <c r="M366" s="224"/>
      <c r="N366" s="225">
        <f t="shared" si="90"/>
        <v>0</v>
      </c>
      <c r="O366" s="43" t="e">
        <f t="shared" si="91"/>
        <v>#VALUE!</v>
      </c>
      <c r="P366" s="43" t="e">
        <f>ROUND(IF(Preenchimento!$G$39="Tabela Price",R366-Q366,(O365*(1+$AD$35))/($AD$28-C365)),$P$22)</f>
        <v>#VALUE!</v>
      </c>
      <c r="Q366" s="43" t="e">
        <f>IF(Preenchimento!$G$39="Tabela Price",O365*(1+$AD$35)*W366,O365*(1+SAC!$AD$35)*SAC!W366)</f>
        <v>#VALUE!</v>
      </c>
      <c r="R366" s="43" t="e">
        <f>IF(Preenchimento!$G$39="Tabela Price",IF(C366="","",((((((1+W366)^($Q$16-C365))*W366)/((1+W366)^($Q$16-C365)-1))*(O365*(1+$AD$35))))),Q366+P366)</f>
        <v>#VALUE!</v>
      </c>
      <c r="S366" s="43" t="e">
        <f t="shared" ca="1" si="86"/>
        <v>#VALUE!</v>
      </c>
      <c r="T366" s="43">
        <f t="shared" si="92"/>
        <v>0</v>
      </c>
      <c r="U366" s="226">
        <f>TRUNC(T366*Condições!$C$102,2)</f>
        <v>0</v>
      </c>
      <c r="V366" s="82">
        <f t="shared" ca="1" si="93"/>
        <v>11</v>
      </c>
      <c r="W366" s="231" t="str">
        <f t="shared" si="94"/>
        <v/>
      </c>
      <c r="X366" s="210"/>
      <c r="Y366" s="210"/>
      <c r="Z366" s="210"/>
      <c r="AI366" s="114">
        <f t="shared" si="95"/>
        <v>0</v>
      </c>
      <c r="AJ366" s="113"/>
      <c r="AL366" s="477">
        <f t="shared" ca="1" si="96"/>
        <v>0</v>
      </c>
    </row>
    <row r="367" spans="2:38">
      <c r="B367" s="222">
        <f ca="1">Fixa!B367</f>
        <v>56599</v>
      </c>
      <c r="C367" s="223" t="str">
        <f>Fixa!C367</f>
        <v/>
      </c>
      <c r="D367" s="43" t="e">
        <f t="shared" si="87"/>
        <v>#VALUE!</v>
      </c>
      <c r="E367" s="43" t="e">
        <f t="shared" si="81"/>
        <v>#VALUE!</v>
      </c>
      <c r="F367" s="43" t="e">
        <f t="shared" si="82"/>
        <v>#VALUE!</v>
      </c>
      <c r="G367" s="43" t="e">
        <f t="shared" si="83"/>
        <v>#VALUE!</v>
      </c>
      <c r="H367" s="43" t="e">
        <f t="shared" ca="1" si="84"/>
        <v>#VALUE!</v>
      </c>
      <c r="I367" s="43">
        <f t="shared" si="85"/>
        <v>0</v>
      </c>
      <c r="J367" s="229">
        <f t="shared" si="88"/>
        <v>25</v>
      </c>
      <c r="K367" s="43">
        <f t="shared" si="89"/>
        <v>0</v>
      </c>
      <c r="M367" s="224"/>
      <c r="N367" s="225">
        <f t="shared" si="90"/>
        <v>0</v>
      </c>
      <c r="O367" s="43" t="e">
        <f t="shared" si="91"/>
        <v>#VALUE!</v>
      </c>
      <c r="P367" s="43" t="e">
        <f>ROUND(IF(Preenchimento!$G$39="Tabela Price",R367-Q367,(O366*(1+$AD$35))/($AD$28-C366)),$P$22)</f>
        <v>#VALUE!</v>
      </c>
      <c r="Q367" s="43" t="e">
        <f>IF(Preenchimento!$G$39="Tabela Price",O366*(1+$AD$35)*W367,O366*(1+SAC!$AD$35)*SAC!W367)</f>
        <v>#VALUE!</v>
      </c>
      <c r="R367" s="43" t="e">
        <f>IF(Preenchimento!$G$39="Tabela Price",IF(C367="","",((((((1+W367)^($Q$16-C366))*W367)/((1+W367)^($Q$16-C366)-1))*(O366*(1+$AD$35))))),Q367+P367)</f>
        <v>#VALUE!</v>
      </c>
      <c r="S367" s="43" t="e">
        <f t="shared" ca="1" si="86"/>
        <v>#VALUE!</v>
      </c>
      <c r="T367" s="43">
        <f t="shared" si="92"/>
        <v>0</v>
      </c>
      <c r="U367" s="226">
        <f>TRUNC(T367*Condições!$C$102,2)</f>
        <v>0</v>
      </c>
      <c r="V367" s="82">
        <f t="shared" ca="1" si="93"/>
        <v>12</v>
      </c>
      <c r="W367" s="231" t="str">
        <f t="shared" si="94"/>
        <v/>
      </c>
      <c r="X367" s="210"/>
      <c r="Y367" s="210"/>
      <c r="Z367" s="210"/>
      <c r="AI367" s="114">
        <f t="shared" si="95"/>
        <v>0</v>
      </c>
      <c r="AJ367" s="113"/>
      <c r="AL367" s="477">
        <f t="shared" ca="1" si="96"/>
        <v>0</v>
      </c>
    </row>
    <row r="368" spans="2:38">
      <c r="B368" s="222">
        <f ca="1">Fixa!B368</f>
        <v>56630</v>
      </c>
      <c r="C368" s="223" t="str">
        <f>Fixa!C368</f>
        <v/>
      </c>
      <c r="D368" s="43" t="e">
        <f t="shared" si="87"/>
        <v>#VALUE!</v>
      </c>
      <c r="E368" s="43" t="e">
        <f t="shared" si="81"/>
        <v>#VALUE!</v>
      </c>
      <c r="F368" s="43" t="e">
        <f t="shared" si="82"/>
        <v>#VALUE!</v>
      </c>
      <c r="G368" s="43" t="e">
        <f t="shared" si="83"/>
        <v>#VALUE!</v>
      </c>
      <c r="H368" s="43" t="e">
        <f t="shared" ca="1" si="84"/>
        <v>#VALUE!</v>
      </c>
      <c r="I368" s="43">
        <f t="shared" si="85"/>
        <v>0</v>
      </c>
      <c r="J368" s="229">
        <f t="shared" si="88"/>
        <v>25</v>
      </c>
      <c r="K368" s="43">
        <f t="shared" si="89"/>
        <v>0</v>
      </c>
      <c r="M368" s="224"/>
      <c r="N368" s="225">
        <f t="shared" si="90"/>
        <v>0</v>
      </c>
      <c r="O368" s="43" t="e">
        <f t="shared" si="91"/>
        <v>#VALUE!</v>
      </c>
      <c r="P368" s="43" t="e">
        <f>ROUND(IF(Preenchimento!$G$39="Tabela Price",R368-Q368,(O367*(1+$AD$35))/($AD$28-C367)),$P$22)</f>
        <v>#VALUE!</v>
      </c>
      <c r="Q368" s="43" t="e">
        <f>IF(Preenchimento!$G$39="Tabela Price",O367*(1+$AD$35)*W368,O367*(1+SAC!$AD$35)*SAC!W368)</f>
        <v>#VALUE!</v>
      </c>
      <c r="R368" s="43" t="e">
        <f>IF(Preenchimento!$G$39="Tabela Price",IF(C368="","",((((((1+W368)^($Q$16-C367))*W368)/((1+W368)^($Q$16-C367)-1))*(O367*(1+$AD$35))))),Q368+P368)</f>
        <v>#VALUE!</v>
      </c>
      <c r="S368" s="43" t="e">
        <f t="shared" ca="1" si="86"/>
        <v>#VALUE!</v>
      </c>
      <c r="T368" s="43">
        <f t="shared" si="92"/>
        <v>0</v>
      </c>
      <c r="U368" s="226">
        <f>TRUNC(T368*Condições!$C$102,2)</f>
        <v>0</v>
      </c>
      <c r="V368" s="82">
        <f t="shared" ca="1" si="93"/>
        <v>1</v>
      </c>
      <c r="W368" s="231" t="str">
        <f t="shared" si="94"/>
        <v/>
      </c>
      <c r="X368" s="210"/>
      <c r="Y368" s="210"/>
      <c r="Z368" s="210"/>
      <c r="AI368" s="114">
        <f t="shared" si="95"/>
        <v>0</v>
      </c>
      <c r="AJ368" s="113"/>
      <c r="AL368" s="477">
        <f t="shared" ca="1" si="96"/>
        <v>0</v>
      </c>
    </row>
    <row r="369" spans="2:38">
      <c r="B369" s="222">
        <f ca="1">Fixa!B369</f>
        <v>56661</v>
      </c>
      <c r="C369" s="223" t="str">
        <f>Fixa!C369</f>
        <v/>
      </c>
      <c r="D369" s="43" t="e">
        <f t="shared" si="87"/>
        <v>#VALUE!</v>
      </c>
      <c r="E369" s="43" t="e">
        <f t="shared" si="81"/>
        <v>#VALUE!</v>
      </c>
      <c r="F369" s="43" t="e">
        <f t="shared" si="82"/>
        <v>#VALUE!</v>
      </c>
      <c r="G369" s="43" t="e">
        <f t="shared" si="83"/>
        <v>#VALUE!</v>
      </c>
      <c r="H369" s="43" t="e">
        <f t="shared" ca="1" si="84"/>
        <v>#VALUE!</v>
      </c>
      <c r="I369" s="43">
        <f t="shared" si="85"/>
        <v>0</v>
      </c>
      <c r="J369" s="229">
        <f t="shared" si="88"/>
        <v>25</v>
      </c>
      <c r="K369" s="43">
        <f t="shared" si="89"/>
        <v>0</v>
      </c>
      <c r="M369" s="224"/>
      <c r="N369" s="225">
        <f t="shared" si="90"/>
        <v>0</v>
      </c>
      <c r="O369" s="43" t="e">
        <f t="shared" si="91"/>
        <v>#VALUE!</v>
      </c>
      <c r="P369" s="43" t="e">
        <f>ROUND(IF(Preenchimento!$G$39="Tabela Price",R369-Q369,(O368*(1+$AD$35))/($AD$28-C368)),$P$22)</f>
        <v>#VALUE!</v>
      </c>
      <c r="Q369" s="43" t="e">
        <f>IF(Preenchimento!$G$39="Tabela Price",O368*(1+$AD$35)*W369,O368*(1+SAC!$AD$35)*SAC!W369)</f>
        <v>#VALUE!</v>
      </c>
      <c r="R369" s="43" t="e">
        <f>IF(Preenchimento!$G$39="Tabela Price",IF(C369="","",((((((1+W369)^($Q$16-C368))*W369)/((1+W369)^($Q$16-C368)-1))*(O368*(1+$AD$35))))),Q369+P369)</f>
        <v>#VALUE!</v>
      </c>
      <c r="S369" s="43" t="e">
        <f t="shared" ca="1" si="86"/>
        <v>#VALUE!</v>
      </c>
      <c r="T369" s="43">
        <f t="shared" si="92"/>
        <v>0</v>
      </c>
      <c r="U369" s="226">
        <f>TRUNC(T369*Condições!$C$102,2)</f>
        <v>0</v>
      </c>
      <c r="V369" s="82">
        <f t="shared" ca="1" si="93"/>
        <v>2</v>
      </c>
      <c r="W369" s="231" t="str">
        <f t="shared" si="94"/>
        <v/>
      </c>
      <c r="X369" s="210"/>
      <c r="Y369" s="210"/>
      <c r="Z369" s="210"/>
      <c r="AI369" s="114">
        <f t="shared" si="95"/>
        <v>0</v>
      </c>
      <c r="AJ369" s="113"/>
      <c r="AL369" s="477">
        <f t="shared" ca="1" si="96"/>
        <v>0</v>
      </c>
    </row>
    <row r="370" spans="2:38">
      <c r="B370" s="222">
        <f ca="1">Fixa!B370</f>
        <v>56689</v>
      </c>
      <c r="C370" s="223" t="str">
        <f>Fixa!C370</f>
        <v/>
      </c>
      <c r="D370" s="43" t="e">
        <f t="shared" si="87"/>
        <v>#VALUE!</v>
      </c>
      <c r="E370" s="43" t="e">
        <f t="shared" si="81"/>
        <v>#VALUE!</v>
      </c>
      <c r="F370" s="43" t="e">
        <f t="shared" si="82"/>
        <v>#VALUE!</v>
      </c>
      <c r="G370" s="43" t="e">
        <f t="shared" si="83"/>
        <v>#VALUE!</v>
      </c>
      <c r="H370" s="43" t="e">
        <f t="shared" ca="1" si="84"/>
        <v>#VALUE!</v>
      </c>
      <c r="I370" s="43">
        <f t="shared" si="85"/>
        <v>0</v>
      </c>
      <c r="J370" s="229">
        <f t="shared" si="88"/>
        <v>25</v>
      </c>
      <c r="K370" s="43">
        <f t="shared" si="89"/>
        <v>0</v>
      </c>
      <c r="M370" s="224"/>
      <c r="N370" s="225">
        <f t="shared" si="90"/>
        <v>0</v>
      </c>
      <c r="O370" s="43" t="e">
        <f t="shared" si="91"/>
        <v>#VALUE!</v>
      </c>
      <c r="P370" s="43" t="e">
        <f>ROUND(IF(Preenchimento!$G$39="Tabela Price",R370-Q370,(O369*(1+$AD$35))/($AD$28-C369)),$P$22)</f>
        <v>#VALUE!</v>
      </c>
      <c r="Q370" s="43" t="e">
        <f>IF(Preenchimento!$G$39="Tabela Price",O369*(1+$AD$35)*W370,O369*(1+SAC!$AD$35)*SAC!W370)</f>
        <v>#VALUE!</v>
      </c>
      <c r="R370" s="43" t="e">
        <f>IF(Preenchimento!$G$39="Tabela Price",IF(C370="","",((((((1+W370)^($Q$16-C369))*W370)/((1+W370)^($Q$16-C369)-1))*(O369*(1+$AD$35))))),Q370+P370)</f>
        <v>#VALUE!</v>
      </c>
      <c r="S370" s="43" t="e">
        <f t="shared" ca="1" si="86"/>
        <v>#VALUE!</v>
      </c>
      <c r="T370" s="43">
        <f t="shared" si="92"/>
        <v>0</v>
      </c>
      <c r="U370" s="226">
        <f>TRUNC(T370*Condições!$C$102,2)</f>
        <v>0</v>
      </c>
      <c r="V370" s="82">
        <f t="shared" ca="1" si="93"/>
        <v>3</v>
      </c>
      <c r="W370" s="231" t="str">
        <f t="shared" si="94"/>
        <v/>
      </c>
      <c r="X370" s="210"/>
      <c r="Y370" s="210"/>
      <c r="Z370" s="210"/>
      <c r="AI370" s="114">
        <f t="shared" si="95"/>
        <v>0</v>
      </c>
      <c r="AJ370" s="113"/>
      <c r="AL370" s="477">
        <f t="shared" ca="1" si="96"/>
        <v>0</v>
      </c>
    </row>
    <row r="371" spans="2:38">
      <c r="B371" s="222">
        <f ca="1">Fixa!B371</f>
        <v>56720</v>
      </c>
      <c r="C371" s="223" t="str">
        <f>Fixa!C371</f>
        <v/>
      </c>
      <c r="D371" s="43" t="e">
        <f t="shared" si="87"/>
        <v>#VALUE!</v>
      </c>
      <c r="E371" s="43" t="e">
        <f t="shared" si="81"/>
        <v>#VALUE!</v>
      </c>
      <c r="F371" s="43" t="e">
        <f t="shared" si="82"/>
        <v>#VALUE!</v>
      </c>
      <c r="G371" s="43" t="e">
        <f t="shared" si="83"/>
        <v>#VALUE!</v>
      </c>
      <c r="H371" s="43" t="e">
        <f t="shared" ca="1" si="84"/>
        <v>#VALUE!</v>
      </c>
      <c r="I371" s="43">
        <f t="shared" si="85"/>
        <v>0</v>
      </c>
      <c r="J371" s="229">
        <f t="shared" si="88"/>
        <v>25</v>
      </c>
      <c r="K371" s="43">
        <f t="shared" si="89"/>
        <v>0</v>
      </c>
      <c r="M371" s="224"/>
      <c r="N371" s="225">
        <f t="shared" si="90"/>
        <v>0</v>
      </c>
      <c r="O371" s="43" t="e">
        <f t="shared" si="91"/>
        <v>#VALUE!</v>
      </c>
      <c r="P371" s="43" t="e">
        <f>ROUND(IF(Preenchimento!$G$39="Tabela Price",R371-Q371,(O370*(1+$AD$35))/($AD$28-C370)),$P$22)</f>
        <v>#VALUE!</v>
      </c>
      <c r="Q371" s="43" t="e">
        <f>IF(Preenchimento!$G$39="Tabela Price",O370*(1+$AD$35)*W371,O370*(1+SAC!$AD$35)*SAC!W371)</f>
        <v>#VALUE!</v>
      </c>
      <c r="R371" s="43" t="e">
        <f>IF(Preenchimento!$G$39="Tabela Price",IF(C371="","",((((((1+W371)^($Q$16-C370))*W371)/((1+W371)^($Q$16-C370)-1))*(O370*(1+$AD$35))))),Q371+P371)</f>
        <v>#VALUE!</v>
      </c>
      <c r="S371" s="43" t="e">
        <f t="shared" ca="1" si="86"/>
        <v>#VALUE!</v>
      </c>
      <c r="T371" s="43">
        <f t="shared" si="92"/>
        <v>0</v>
      </c>
      <c r="U371" s="226">
        <f>TRUNC(T371*Condições!$C$102,2)</f>
        <v>0</v>
      </c>
      <c r="V371" s="82">
        <f t="shared" ca="1" si="93"/>
        <v>4</v>
      </c>
      <c r="W371" s="231" t="str">
        <f t="shared" si="94"/>
        <v/>
      </c>
      <c r="X371" s="210"/>
      <c r="Y371" s="210"/>
      <c r="Z371" s="210"/>
      <c r="AI371" s="114">
        <f t="shared" si="95"/>
        <v>0</v>
      </c>
      <c r="AJ371" s="113"/>
      <c r="AL371" s="477">
        <f t="shared" ca="1" si="96"/>
        <v>0</v>
      </c>
    </row>
    <row r="372" spans="2:38">
      <c r="B372" s="222">
        <f ca="1">Fixa!B372</f>
        <v>56750</v>
      </c>
      <c r="C372" s="223" t="str">
        <f>Fixa!C372</f>
        <v/>
      </c>
      <c r="D372" s="43" t="e">
        <f t="shared" si="87"/>
        <v>#VALUE!</v>
      </c>
      <c r="E372" s="43" t="e">
        <f t="shared" si="81"/>
        <v>#VALUE!</v>
      </c>
      <c r="F372" s="43" t="e">
        <f t="shared" si="82"/>
        <v>#VALUE!</v>
      </c>
      <c r="G372" s="43" t="e">
        <f t="shared" si="83"/>
        <v>#VALUE!</v>
      </c>
      <c r="H372" s="43" t="e">
        <f t="shared" ca="1" si="84"/>
        <v>#VALUE!</v>
      </c>
      <c r="I372" s="43">
        <f t="shared" si="85"/>
        <v>0</v>
      </c>
      <c r="J372" s="229">
        <f t="shared" si="88"/>
        <v>25</v>
      </c>
      <c r="K372" s="43">
        <f t="shared" si="89"/>
        <v>0</v>
      </c>
      <c r="M372" s="224"/>
      <c r="N372" s="225">
        <f t="shared" si="90"/>
        <v>0</v>
      </c>
      <c r="O372" s="43" t="e">
        <f t="shared" si="91"/>
        <v>#VALUE!</v>
      </c>
      <c r="P372" s="43" t="e">
        <f>ROUND(IF(Preenchimento!$G$39="Tabela Price",R372-Q372,(O371*(1+$AD$35))/($AD$28-C371)),$P$22)</f>
        <v>#VALUE!</v>
      </c>
      <c r="Q372" s="43" t="e">
        <f>IF(Preenchimento!$G$39="Tabela Price",O371*(1+$AD$35)*W372,O371*(1+SAC!$AD$35)*SAC!W372)</f>
        <v>#VALUE!</v>
      </c>
      <c r="R372" s="43" t="e">
        <f>IF(Preenchimento!$G$39="Tabela Price",IF(C372="","",((((((1+W372)^($Q$16-C371))*W372)/((1+W372)^($Q$16-C371)-1))*(O371*(1+$AD$35))))),Q372+P372)</f>
        <v>#VALUE!</v>
      </c>
      <c r="S372" s="43" t="e">
        <f t="shared" ca="1" si="86"/>
        <v>#VALUE!</v>
      </c>
      <c r="T372" s="43">
        <f t="shared" si="92"/>
        <v>0</v>
      </c>
      <c r="U372" s="226">
        <f>TRUNC(T372*Condições!$C$102,2)</f>
        <v>0</v>
      </c>
      <c r="V372" s="82">
        <f t="shared" ca="1" si="93"/>
        <v>5</v>
      </c>
      <c r="W372" s="231" t="str">
        <f t="shared" si="94"/>
        <v/>
      </c>
      <c r="X372" s="210"/>
      <c r="Y372" s="210"/>
      <c r="Z372" s="210"/>
      <c r="AI372" s="114">
        <f t="shared" si="95"/>
        <v>0</v>
      </c>
      <c r="AJ372" s="113"/>
      <c r="AL372" s="477">
        <f t="shared" ca="1" si="96"/>
        <v>0</v>
      </c>
    </row>
    <row r="373" spans="2:38">
      <c r="B373" s="222">
        <f ca="1">Fixa!B373</f>
        <v>56781</v>
      </c>
      <c r="C373" s="223" t="str">
        <f>Fixa!C373</f>
        <v/>
      </c>
      <c r="D373" s="43" t="e">
        <f t="shared" si="87"/>
        <v>#VALUE!</v>
      </c>
      <c r="E373" s="43" t="e">
        <f t="shared" si="81"/>
        <v>#VALUE!</v>
      </c>
      <c r="F373" s="43" t="e">
        <f t="shared" si="82"/>
        <v>#VALUE!</v>
      </c>
      <c r="G373" s="43" t="e">
        <f t="shared" si="83"/>
        <v>#VALUE!</v>
      </c>
      <c r="H373" s="43" t="e">
        <f t="shared" ca="1" si="84"/>
        <v>#VALUE!</v>
      </c>
      <c r="I373" s="43">
        <f t="shared" si="85"/>
        <v>0</v>
      </c>
      <c r="J373" s="229">
        <f t="shared" si="88"/>
        <v>25</v>
      </c>
      <c r="K373" s="43">
        <f t="shared" si="89"/>
        <v>0</v>
      </c>
      <c r="M373" s="224"/>
      <c r="N373" s="225">
        <f t="shared" si="90"/>
        <v>0</v>
      </c>
      <c r="O373" s="43" t="e">
        <f t="shared" si="91"/>
        <v>#VALUE!</v>
      </c>
      <c r="P373" s="43" t="e">
        <f>ROUND(IF(Preenchimento!$G$39="Tabela Price",R373-Q373,(O372*(1+$AD$35))/($AD$28-C372)),$P$22)</f>
        <v>#VALUE!</v>
      </c>
      <c r="Q373" s="43" t="e">
        <f>IF(Preenchimento!$G$39="Tabela Price",O372*(1+$AD$35)*W373,O372*(1+SAC!$AD$35)*SAC!W373)</f>
        <v>#VALUE!</v>
      </c>
      <c r="R373" s="43" t="e">
        <f>IF(Preenchimento!$G$39="Tabela Price",IF(C373="","",((((((1+W373)^($Q$16-C372))*W373)/((1+W373)^($Q$16-C372)-1))*(O372*(1+$AD$35))))),Q373+P373)</f>
        <v>#VALUE!</v>
      </c>
      <c r="S373" s="43" t="e">
        <f t="shared" ca="1" si="86"/>
        <v>#VALUE!</v>
      </c>
      <c r="T373" s="43">
        <f t="shared" si="92"/>
        <v>0</v>
      </c>
      <c r="U373" s="226">
        <f>TRUNC(T373*Condições!$C$102,2)</f>
        <v>0</v>
      </c>
      <c r="V373" s="82">
        <f t="shared" ca="1" si="93"/>
        <v>6</v>
      </c>
      <c r="W373" s="231" t="str">
        <f t="shared" si="94"/>
        <v/>
      </c>
      <c r="X373" s="210"/>
      <c r="Y373" s="210"/>
      <c r="Z373" s="210"/>
      <c r="AI373" s="114">
        <f t="shared" si="95"/>
        <v>0</v>
      </c>
      <c r="AJ373" s="113"/>
      <c r="AL373" s="477">
        <f t="shared" ca="1" si="96"/>
        <v>0</v>
      </c>
    </row>
    <row r="374" spans="2:38">
      <c r="B374" s="222">
        <f ca="1">Fixa!B374</f>
        <v>56811</v>
      </c>
      <c r="C374" s="223" t="str">
        <f>Fixa!C374</f>
        <v/>
      </c>
      <c r="D374" s="43" t="e">
        <f t="shared" si="87"/>
        <v>#VALUE!</v>
      </c>
      <c r="E374" s="43" t="e">
        <f t="shared" si="81"/>
        <v>#VALUE!</v>
      </c>
      <c r="F374" s="43" t="e">
        <f t="shared" si="82"/>
        <v>#VALUE!</v>
      </c>
      <c r="G374" s="43" t="e">
        <f t="shared" si="83"/>
        <v>#VALUE!</v>
      </c>
      <c r="H374" s="43" t="e">
        <f t="shared" ca="1" si="84"/>
        <v>#VALUE!</v>
      </c>
      <c r="I374" s="43">
        <f t="shared" si="85"/>
        <v>0</v>
      </c>
      <c r="J374" s="229">
        <f t="shared" si="88"/>
        <v>25</v>
      </c>
      <c r="K374" s="43">
        <f t="shared" si="89"/>
        <v>0</v>
      </c>
      <c r="M374" s="224"/>
      <c r="N374" s="225">
        <f t="shared" si="90"/>
        <v>0</v>
      </c>
      <c r="O374" s="43" t="e">
        <f t="shared" si="91"/>
        <v>#VALUE!</v>
      </c>
      <c r="P374" s="43" t="e">
        <f>ROUND(IF(Preenchimento!$G$39="Tabela Price",R374-Q374,(O373*(1+$AD$35))/($AD$28-C373)),$P$22)</f>
        <v>#VALUE!</v>
      </c>
      <c r="Q374" s="43" t="e">
        <f>IF(Preenchimento!$G$39="Tabela Price",O373*(1+$AD$35)*W374,O373*(1+SAC!$AD$35)*SAC!W374)</f>
        <v>#VALUE!</v>
      </c>
      <c r="R374" s="43" t="e">
        <f>IF(Preenchimento!$G$39="Tabela Price",IF(C374="","",((((((1+W374)^($Q$16-C373))*W374)/((1+W374)^($Q$16-C373)-1))*(O373*(1+$AD$35))))),Q374+P374)</f>
        <v>#VALUE!</v>
      </c>
      <c r="S374" s="43" t="e">
        <f t="shared" ca="1" si="86"/>
        <v>#VALUE!</v>
      </c>
      <c r="T374" s="43">
        <f t="shared" si="92"/>
        <v>0</v>
      </c>
      <c r="U374" s="226">
        <f>TRUNC(T374*Condições!$C$102,2)</f>
        <v>0</v>
      </c>
      <c r="V374" s="82">
        <f t="shared" ca="1" si="93"/>
        <v>7</v>
      </c>
      <c r="W374" s="231" t="str">
        <f t="shared" si="94"/>
        <v/>
      </c>
      <c r="X374" s="210"/>
      <c r="Y374" s="210"/>
      <c r="Z374" s="210"/>
      <c r="AI374" s="114">
        <f t="shared" si="95"/>
        <v>0</v>
      </c>
      <c r="AJ374" s="113"/>
      <c r="AL374" s="477">
        <f t="shared" ca="1" si="96"/>
        <v>0</v>
      </c>
    </row>
    <row r="375" spans="2:38">
      <c r="B375" s="222">
        <f ca="1">Fixa!B375</f>
        <v>56842</v>
      </c>
      <c r="C375" s="223" t="str">
        <f>Fixa!C375</f>
        <v/>
      </c>
      <c r="D375" s="43" t="e">
        <f t="shared" si="87"/>
        <v>#VALUE!</v>
      </c>
      <c r="E375" s="43" t="e">
        <f t="shared" si="81"/>
        <v>#VALUE!</v>
      </c>
      <c r="F375" s="43" t="e">
        <f t="shared" si="82"/>
        <v>#VALUE!</v>
      </c>
      <c r="G375" s="43" t="e">
        <f t="shared" si="83"/>
        <v>#VALUE!</v>
      </c>
      <c r="H375" s="43" t="e">
        <f t="shared" ca="1" si="84"/>
        <v>#VALUE!</v>
      </c>
      <c r="I375" s="43">
        <f t="shared" si="85"/>
        <v>0</v>
      </c>
      <c r="J375" s="229">
        <f t="shared" si="88"/>
        <v>25</v>
      </c>
      <c r="K375" s="43">
        <f t="shared" si="89"/>
        <v>0</v>
      </c>
      <c r="M375" s="224"/>
      <c r="N375" s="225">
        <f t="shared" si="90"/>
        <v>0</v>
      </c>
      <c r="O375" s="43" t="e">
        <f t="shared" si="91"/>
        <v>#VALUE!</v>
      </c>
      <c r="P375" s="43" t="e">
        <f>ROUND(IF(Preenchimento!$G$39="Tabela Price",R375-Q375,(O374*(1+$AD$35))/($AD$28-C374)),$P$22)</f>
        <v>#VALUE!</v>
      </c>
      <c r="Q375" s="43" t="e">
        <f>IF(Preenchimento!$G$39="Tabela Price",O374*(1+$AD$35)*W375,O374*(1+SAC!$AD$35)*SAC!W375)</f>
        <v>#VALUE!</v>
      </c>
      <c r="R375" s="43" t="e">
        <f>IF(Preenchimento!$G$39="Tabela Price",IF(C375="","",((((((1+W375)^($Q$16-C374))*W375)/((1+W375)^($Q$16-C374)-1))*(O374*(1+$AD$35))))),Q375+P375)</f>
        <v>#VALUE!</v>
      </c>
      <c r="S375" s="43" t="e">
        <f t="shared" ca="1" si="86"/>
        <v>#VALUE!</v>
      </c>
      <c r="T375" s="43">
        <f t="shared" si="92"/>
        <v>0</v>
      </c>
      <c r="U375" s="226">
        <f>TRUNC(T375*Condições!$C$102,2)</f>
        <v>0</v>
      </c>
      <c r="V375" s="82">
        <f t="shared" ca="1" si="93"/>
        <v>8</v>
      </c>
      <c r="W375" s="231" t="str">
        <f t="shared" si="94"/>
        <v/>
      </c>
      <c r="X375" s="210"/>
      <c r="Y375" s="210"/>
      <c r="Z375" s="210"/>
      <c r="AI375" s="114">
        <f t="shared" si="95"/>
        <v>0</v>
      </c>
      <c r="AJ375" s="113"/>
      <c r="AL375" s="477">
        <f t="shared" ca="1" si="96"/>
        <v>0</v>
      </c>
    </row>
    <row r="376" spans="2:38">
      <c r="B376" s="222">
        <f ca="1">Fixa!B376</f>
        <v>56873</v>
      </c>
      <c r="C376" s="223" t="str">
        <f>Fixa!C376</f>
        <v/>
      </c>
      <c r="D376" s="43" t="e">
        <f t="shared" si="87"/>
        <v>#VALUE!</v>
      </c>
      <c r="E376" s="43" t="e">
        <f t="shared" si="81"/>
        <v>#VALUE!</v>
      </c>
      <c r="F376" s="43" t="e">
        <f t="shared" si="82"/>
        <v>#VALUE!</v>
      </c>
      <c r="G376" s="43" t="e">
        <f t="shared" si="83"/>
        <v>#VALUE!</v>
      </c>
      <c r="H376" s="43" t="e">
        <f t="shared" ca="1" si="84"/>
        <v>#VALUE!</v>
      </c>
      <c r="I376" s="43">
        <f t="shared" si="85"/>
        <v>0</v>
      </c>
      <c r="J376" s="229">
        <f t="shared" si="88"/>
        <v>25</v>
      </c>
      <c r="K376" s="43">
        <f t="shared" si="89"/>
        <v>0</v>
      </c>
      <c r="M376" s="224"/>
      <c r="N376" s="225">
        <f t="shared" si="90"/>
        <v>0</v>
      </c>
      <c r="O376" s="43" t="e">
        <f t="shared" si="91"/>
        <v>#VALUE!</v>
      </c>
      <c r="P376" s="43" t="e">
        <f>ROUND(IF(Preenchimento!$G$39="Tabela Price",R376-Q376,(O375*(1+$AD$35))/($AD$28-C375)),$P$22)</f>
        <v>#VALUE!</v>
      </c>
      <c r="Q376" s="43" t="e">
        <f>IF(Preenchimento!$G$39="Tabela Price",O375*(1+$AD$35)*W376,O375*(1+SAC!$AD$35)*SAC!W376)</f>
        <v>#VALUE!</v>
      </c>
      <c r="R376" s="43" t="e">
        <f>IF(Preenchimento!$G$39="Tabela Price",IF(C376="","",((((((1+W376)^($Q$16-C375))*W376)/((1+W376)^($Q$16-C375)-1))*(O375*(1+$AD$35))))),Q376+P376)</f>
        <v>#VALUE!</v>
      </c>
      <c r="S376" s="43" t="e">
        <f t="shared" ca="1" si="86"/>
        <v>#VALUE!</v>
      </c>
      <c r="T376" s="43">
        <f t="shared" si="92"/>
        <v>0</v>
      </c>
      <c r="U376" s="226">
        <f>TRUNC(T376*Condições!$C$102,2)</f>
        <v>0</v>
      </c>
      <c r="V376" s="82">
        <f t="shared" ca="1" si="93"/>
        <v>9</v>
      </c>
      <c r="W376" s="231" t="str">
        <f t="shared" si="94"/>
        <v/>
      </c>
      <c r="X376" s="210"/>
      <c r="Y376" s="210"/>
      <c r="Z376" s="210"/>
      <c r="AI376" s="114">
        <f t="shared" si="95"/>
        <v>0</v>
      </c>
      <c r="AJ376" s="113"/>
      <c r="AL376" s="477">
        <f t="shared" ca="1" si="96"/>
        <v>0</v>
      </c>
    </row>
    <row r="377" spans="2:38">
      <c r="B377" s="222">
        <f ca="1">Fixa!B377</f>
        <v>56903</v>
      </c>
      <c r="C377" s="223" t="str">
        <f>Fixa!C377</f>
        <v/>
      </c>
      <c r="D377" s="43" t="e">
        <f t="shared" si="87"/>
        <v>#VALUE!</v>
      </c>
      <c r="E377" s="43" t="e">
        <f t="shared" si="81"/>
        <v>#VALUE!</v>
      </c>
      <c r="F377" s="43" t="e">
        <f t="shared" si="82"/>
        <v>#VALUE!</v>
      </c>
      <c r="G377" s="43" t="e">
        <f t="shared" si="83"/>
        <v>#VALUE!</v>
      </c>
      <c r="H377" s="43" t="e">
        <f t="shared" ca="1" si="84"/>
        <v>#VALUE!</v>
      </c>
      <c r="I377" s="43">
        <f t="shared" si="85"/>
        <v>0</v>
      </c>
      <c r="J377" s="229">
        <f t="shared" si="88"/>
        <v>25</v>
      </c>
      <c r="K377" s="43">
        <f t="shared" si="89"/>
        <v>0</v>
      </c>
      <c r="M377" s="224"/>
      <c r="N377" s="225">
        <f t="shared" si="90"/>
        <v>0</v>
      </c>
      <c r="O377" s="43" t="e">
        <f t="shared" si="91"/>
        <v>#VALUE!</v>
      </c>
      <c r="P377" s="43" t="e">
        <f>ROUND(IF(Preenchimento!$G$39="Tabela Price",R377-Q377,(O376*(1+$AD$35))/($AD$28-C376)),$P$22)</f>
        <v>#VALUE!</v>
      </c>
      <c r="Q377" s="43" t="e">
        <f>IF(Preenchimento!$G$39="Tabela Price",O376*(1+$AD$35)*W377,O376*(1+SAC!$AD$35)*SAC!W377)</f>
        <v>#VALUE!</v>
      </c>
      <c r="R377" s="43" t="e">
        <f>IF(Preenchimento!$G$39="Tabela Price",IF(C377="","",((((((1+W377)^($Q$16-C376))*W377)/((1+W377)^($Q$16-C376)-1))*(O376*(1+$AD$35))))),Q377+P377)</f>
        <v>#VALUE!</v>
      </c>
      <c r="S377" s="43" t="e">
        <f t="shared" ca="1" si="86"/>
        <v>#VALUE!</v>
      </c>
      <c r="T377" s="43">
        <f t="shared" si="92"/>
        <v>0</v>
      </c>
      <c r="U377" s="226">
        <f>TRUNC(T377*Condições!$C$102,2)</f>
        <v>0</v>
      </c>
      <c r="V377" s="82">
        <f t="shared" ca="1" si="93"/>
        <v>10</v>
      </c>
      <c r="W377" s="231" t="str">
        <f t="shared" si="94"/>
        <v/>
      </c>
      <c r="X377" s="210"/>
      <c r="Y377" s="210"/>
      <c r="Z377" s="210"/>
      <c r="AI377" s="114">
        <f t="shared" si="95"/>
        <v>0</v>
      </c>
      <c r="AJ377" s="113"/>
      <c r="AL377" s="477">
        <f t="shared" ca="1" si="96"/>
        <v>0</v>
      </c>
    </row>
    <row r="378" spans="2:38">
      <c r="B378" s="222">
        <f ca="1">Fixa!B378</f>
        <v>56934</v>
      </c>
      <c r="C378" s="223" t="str">
        <f>Fixa!C378</f>
        <v/>
      </c>
      <c r="D378" s="43" t="e">
        <f t="shared" si="87"/>
        <v>#VALUE!</v>
      </c>
      <c r="E378" s="43" t="e">
        <f t="shared" si="81"/>
        <v>#VALUE!</v>
      </c>
      <c r="F378" s="43" t="e">
        <f t="shared" si="82"/>
        <v>#VALUE!</v>
      </c>
      <c r="G378" s="43" t="e">
        <f t="shared" si="83"/>
        <v>#VALUE!</v>
      </c>
      <c r="H378" s="43" t="e">
        <f t="shared" ca="1" si="84"/>
        <v>#VALUE!</v>
      </c>
      <c r="I378" s="43">
        <f t="shared" si="85"/>
        <v>0</v>
      </c>
      <c r="J378" s="229">
        <f t="shared" si="88"/>
        <v>25</v>
      </c>
      <c r="K378" s="43">
        <f t="shared" si="89"/>
        <v>0</v>
      </c>
      <c r="M378" s="224"/>
      <c r="N378" s="225">
        <f t="shared" si="90"/>
        <v>0</v>
      </c>
      <c r="O378" s="43" t="e">
        <f t="shared" si="91"/>
        <v>#VALUE!</v>
      </c>
      <c r="P378" s="43" t="e">
        <f>ROUND(IF(Preenchimento!$G$39="Tabela Price",R378-Q378,(O377*(1+$AD$35))/($AD$28-C377)),$P$22)</f>
        <v>#VALUE!</v>
      </c>
      <c r="Q378" s="43" t="e">
        <f>IF(Preenchimento!$G$39="Tabela Price",O377*(1+$AD$35)*W378,O377*(1+SAC!$AD$35)*SAC!W378)</f>
        <v>#VALUE!</v>
      </c>
      <c r="R378" s="43" t="e">
        <f>IF(Preenchimento!$G$39="Tabela Price",IF(C378="","",((((((1+W378)^($Q$16-C377))*W378)/((1+W378)^($Q$16-C377)-1))*(O377*(1+$AD$35))))),Q378+P378)</f>
        <v>#VALUE!</v>
      </c>
      <c r="S378" s="43" t="e">
        <f t="shared" ca="1" si="86"/>
        <v>#VALUE!</v>
      </c>
      <c r="T378" s="43">
        <f t="shared" si="92"/>
        <v>0</v>
      </c>
      <c r="U378" s="226">
        <f>TRUNC(T378*Condições!$C$102,2)</f>
        <v>0</v>
      </c>
      <c r="V378" s="82">
        <f t="shared" ca="1" si="93"/>
        <v>11</v>
      </c>
      <c r="W378" s="231" t="str">
        <f t="shared" si="94"/>
        <v/>
      </c>
      <c r="X378" s="210"/>
      <c r="Y378" s="210"/>
      <c r="Z378" s="210"/>
      <c r="AI378" s="114">
        <f t="shared" si="95"/>
        <v>0</v>
      </c>
      <c r="AJ378" s="113"/>
      <c r="AL378" s="477">
        <f t="shared" ca="1" si="96"/>
        <v>0</v>
      </c>
    </row>
    <row r="379" spans="2:38">
      <c r="B379" s="222">
        <f ca="1">Fixa!B379</f>
        <v>56964</v>
      </c>
      <c r="C379" s="223" t="str">
        <f>Fixa!C379</f>
        <v/>
      </c>
      <c r="D379" s="43" t="e">
        <f t="shared" si="87"/>
        <v>#VALUE!</v>
      </c>
      <c r="E379" s="43" t="e">
        <f t="shared" si="81"/>
        <v>#VALUE!</v>
      </c>
      <c r="F379" s="43" t="e">
        <f t="shared" si="82"/>
        <v>#VALUE!</v>
      </c>
      <c r="G379" s="43" t="e">
        <f t="shared" si="83"/>
        <v>#VALUE!</v>
      </c>
      <c r="H379" s="43" t="e">
        <f t="shared" ca="1" si="84"/>
        <v>#VALUE!</v>
      </c>
      <c r="I379" s="43">
        <f t="shared" si="85"/>
        <v>0</v>
      </c>
      <c r="J379" s="229">
        <f t="shared" si="88"/>
        <v>25</v>
      </c>
      <c r="K379" s="43">
        <f t="shared" si="89"/>
        <v>0</v>
      </c>
      <c r="M379" s="224"/>
      <c r="N379" s="225">
        <f t="shared" si="90"/>
        <v>0</v>
      </c>
      <c r="O379" s="43" t="e">
        <f t="shared" si="91"/>
        <v>#VALUE!</v>
      </c>
      <c r="P379" s="43" t="e">
        <f>ROUND(IF(Preenchimento!$G$39="Tabela Price",R379-Q379,(O378*(1+$AD$35))/($AD$28-C378)),$P$22)</f>
        <v>#VALUE!</v>
      </c>
      <c r="Q379" s="43" t="e">
        <f>IF(Preenchimento!$G$39="Tabela Price",O378*(1+$AD$35)*W379,O378*(1+SAC!$AD$35)*SAC!W379)</f>
        <v>#VALUE!</v>
      </c>
      <c r="R379" s="43" t="e">
        <f>IF(Preenchimento!$G$39="Tabela Price",IF(C379="","",((((((1+W379)^($Q$16-C378))*W379)/((1+W379)^($Q$16-C378)-1))*(O378*(1+$AD$35))))),Q379+P379)</f>
        <v>#VALUE!</v>
      </c>
      <c r="S379" s="43" t="e">
        <f t="shared" ca="1" si="86"/>
        <v>#VALUE!</v>
      </c>
      <c r="T379" s="43">
        <f t="shared" si="92"/>
        <v>0</v>
      </c>
      <c r="U379" s="226">
        <f>TRUNC(T379*Condições!$C$102,2)</f>
        <v>0</v>
      </c>
      <c r="V379" s="82">
        <f t="shared" ca="1" si="93"/>
        <v>12</v>
      </c>
      <c r="W379" s="231" t="str">
        <f t="shared" si="94"/>
        <v/>
      </c>
      <c r="X379" s="210"/>
      <c r="Y379" s="210"/>
      <c r="Z379" s="210"/>
      <c r="AI379" s="114">
        <f t="shared" si="95"/>
        <v>0</v>
      </c>
      <c r="AJ379" s="113"/>
      <c r="AL379" s="477">
        <f t="shared" ca="1" si="96"/>
        <v>0</v>
      </c>
    </row>
    <row r="380" spans="2:38">
      <c r="B380" s="222">
        <f ca="1">Fixa!B380</f>
        <v>56995</v>
      </c>
      <c r="C380" s="223" t="str">
        <f>Fixa!C380</f>
        <v/>
      </c>
      <c r="D380" s="43" t="e">
        <f t="shared" si="87"/>
        <v>#VALUE!</v>
      </c>
      <c r="E380" s="43" t="e">
        <f t="shared" si="81"/>
        <v>#VALUE!</v>
      </c>
      <c r="F380" s="43" t="e">
        <f t="shared" si="82"/>
        <v>#VALUE!</v>
      </c>
      <c r="G380" s="43" t="e">
        <f t="shared" si="83"/>
        <v>#VALUE!</v>
      </c>
      <c r="H380" s="43" t="e">
        <f t="shared" ca="1" si="84"/>
        <v>#VALUE!</v>
      </c>
      <c r="I380" s="43">
        <f t="shared" si="85"/>
        <v>0</v>
      </c>
      <c r="J380" s="229">
        <f t="shared" si="88"/>
        <v>25</v>
      </c>
      <c r="K380" s="43">
        <f t="shared" si="89"/>
        <v>0</v>
      </c>
      <c r="M380" s="224"/>
      <c r="N380" s="225">
        <f t="shared" si="90"/>
        <v>0</v>
      </c>
      <c r="O380" s="43" t="e">
        <f t="shared" si="91"/>
        <v>#VALUE!</v>
      </c>
      <c r="P380" s="43" t="e">
        <f>ROUND(IF(Preenchimento!$G$39="Tabela Price",R380-Q380,(O379*(1+$AD$35))/($AD$28-C379)),$P$22)</f>
        <v>#VALUE!</v>
      </c>
      <c r="Q380" s="43" t="e">
        <f>IF(Preenchimento!$G$39="Tabela Price",O379*(1+$AD$35)*W380,O379*(1+SAC!$AD$35)*SAC!W380)</f>
        <v>#VALUE!</v>
      </c>
      <c r="R380" s="43" t="e">
        <f>IF(Preenchimento!$G$39="Tabela Price",IF(C380="","",((((((1+W380)^($Q$16-C379))*W380)/((1+W380)^($Q$16-C379)-1))*(O379*(1+$AD$35))))),Q380+P380)</f>
        <v>#VALUE!</v>
      </c>
      <c r="S380" s="43" t="e">
        <f t="shared" ca="1" si="86"/>
        <v>#VALUE!</v>
      </c>
      <c r="T380" s="43">
        <f t="shared" si="92"/>
        <v>0</v>
      </c>
      <c r="U380" s="226">
        <f>TRUNC(T380*Condições!$C$102,2)</f>
        <v>0</v>
      </c>
      <c r="V380" s="82">
        <f t="shared" ca="1" si="93"/>
        <v>1</v>
      </c>
      <c r="W380" s="231" t="str">
        <f t="shared" si="94"/>
        <v/>
      </c>
      <c r="X380" s="210"/>
      <c r="Y380" s="210"/>
      <c r="Z380" s="210"/>
      <c r="AI380" s="114">
        <f t="shared" si="95"/>
        <v>0</v>
      </c>
      <c r="AJ380" s="113"/>
      <c r="AL380" s="477">
        <f t="shared" ca="1" si="96"/>
        <v>0</v>
      </c>
    </row>
    <row r="381" spans="2:38">
      <c r="B381" s="222">
        <f ca="1">Fixa!B381</f>
        <v>57026</v>
      </c>
      <c r="C381" s="223" t="str">
        <f>Fixa!C381</f>
        <v/>
      </c>
      <c r="D381" s="43" t="e">
        <f t="shared" si="87"/>
        <v>#VALUE!</v>
      </c>
      <c r="E381" s="43" t="e">
        <f t="shared" si="81"/>
        <v>#VALUE!</v>
      </c>
      <c r="F381" s="43" t="e">
        <f t="shared" si="82"/>
        <v>#VALUE!</v>
      </c>
      <c r="G381" s="43" t="e">
        <f t="shared" si="83"/>
        <v>#VALUE!</v>
      </c>
      <c r="H381" s="43" t="e">
        <f t="shared" ca="1" si="84"/>
        <v>#VALUE!</v>
      </c>
      <c r="I381" s="43">
        <f t="shared" si="85"/>
        <v>0</v>
      </c>
      <c r="J381" s="229">
        <f t="shared" si="88"/>
        <v>25</v>
      </c>
      <c r="K381" s="43">
        <f t="shared" si="89"/>
        <v>0</v>
      </c>
      <c r="M381" s="224"/>
      <c r="N381" s="225">
        <f t="shared" si="90"/>
        <v>0</v>
      </c>
      <c r="O381" s="43" t="e">
        <f t="shared" si="91"/>
        <v>#VALUE!</v>
      </c>
      <c r="P381" s="43" t="e">
        <f>ROUND(IF(Preenchimento!$G$39="Tabela Price",R381-Q381,(O380*(1+$AD$35))/($AD$28-C380)),$P$22)</f>
        <v>#VALUE!</v>
      </c>
      <c r="Q381" s="43" t="e">
        <f>IF(Preenchimento!$G$39="Tabela Price",O380*(1+$AD$35)*W381,O380*(1+SAC!$AD$35)*SAC!W381)</f>
        <v>#VALUE!</v>
      </c>
      <c r="R381" s="43" t="e">
        <f>IF(Preenchimento!$G$39="Tabela Price",IF(C381="","",((((((1+W381)^($Q$16-C380))*W381)/((1+W381)^($Q$16-C380)-1))*(O380*(1+$AD$35))))),Q381+P381)</f>
        <v>#VALUE!</v>
      </c>
      <c r="S381" s="43" t="e">
        <f t="shared" ca="1" si="86"/>
        <v>#VALUE!</v>
      </c>
      <c r="T381" s="43">
        <f t="shared" si="92"/>
        <v>0</v>
      </c>
      <c r="U381" s="226">
        <f>TRUNC(T381*Condições!$C$102,2)</f>
        <v>0</v>
      </c>
      <c r="V381" s="82">
        <f t="shared" ca="1" si="93"/>
        <v>2</v>
      </c>
      <c r="W381" s="231" t="str">
        <f t="shared" si="94"/>
        <v/>
      </c>
      <c r="X381" s="210"/>
      <c r="Y381" s="210"/>
      <c r="Z381" s="210"/>
      <c r="AI381" s="114">
        <f t="shared" si="95"/>
        <v>0</v>
      </c>
      <c r="AJ381" s="113"/>
      <c r="AL381" s="477">
        <f t="shared" ca="1" si="96"/>
        <v>0</v>
      </c>
    </row>
    <row r="382" spans="2:38">
      <c r="B382" s="222">
        <f ca="1">Fixa!B382</f>
        <v>57055</v>
      </c>
      <c r="C382" s="223" t="str">
        <f>Fixa!C382</f>
        <v/>
      </c>
      <c r="D382" s="43" t="e">
        <f t="shared" si="87"/>
        <v>#VALUE!</v>
      </c>
      <c r="E382" s="43" t="e">
        <f t="shared" si="81"/>
        <v>#VALUE!</v>
      </c>
      <c r="F382" s="43" t="e">
        <f t="shared" si="82"/>
        <v>#VALUE!</v>
      </c>
      <c r="G382" s="43" t="e">
        <f t="shared" si="83"/>
        <v>#VALUE!</v>
      </c>
      <c r="H382" s="43" t="e">
        <f t="shared" ca="1" si="84"/>
        <v>#VALUE!</v>
      </c>
      <c r="I382" s="43">
        <f t="shared" si="85"/>
        <v>0</v>
      </c>
      <c r="J382" s="229">
        <f t="shared" si="88"/>
        <v>25</v>
      </c>
      <c r="K382" s="43">
        <f t="shared" si="89"/>
        <v>0</v>
      </c>
      <c r="M382" s="224"/>
      <c r="N382" s="225">
        <f t="shared" si="90"/>
        <v>0</v>
      </c>
      <c r="O382" s="43" t="e">
        <f t="shared" si="91"/>
        <v>#VALUE!</v>
      </c>
      <c r="P382" s="43" t="e">
        <f>ROUND(IF(Preenchimento!$G$39="Tabela Price",R382-Q382,(O381*(1+$AD$35))/($AD$28-C381)),$P$22)</f>
        <v>#VALUE!</v>
      </c>
      <c r="Q382" s="43" t="e">
        <f>IF(Preenchimento!$G$39="Tabela Price",O381*(1+$AD$35)*W382,O381*(1+SAC!$AD$35)*SAC!W382)</f>
        <v>#VALUE!</v>
      </c>
      <c r="R382" s="43" t="e">
        <f>IF(Preenchimento!$G$39="Tabela Price",IF(C382="","",((((((1+W382)^($Q$16-C381))*W382)/((1+W382)^($Q$16-C381)-1))*(O381*(1+$AD$35))))),Q382+P382)</f>
        <v>#VALUE!</v>
      </c>
      <c r="S382" s="43" t="e">
        <f t="shared" ca="1" si="86"/>
        <v>#VALUE!</v>
      </c>
      <c r="T382" s="43">
        <f t="shared" si="92"/>
        <v>0</v>
      </c>
      <c r="U382" s="226">
        <f>TRUNC(T382*Condições!$C$102,2)</f>
        <v>0</v>
      </c>
      <c r="V382" s="82">
        <f t="shared" ca="1" si="93"/>
        <v>3</v>
      </c>
      <c r="W382" s="231" t="str">
        <f t="shared" si="94"/>
        <v/>
      </c>
      <c r="X382" s="210"/>
      <c r="Y382" s="210"/>
      <c r="Z382" s="210"/>
      <c r="AI382" s="114">
        <f t="shared" si="95"/>
        <v>0</v>
      </c>
      <c r="AJ382" s="113"/>
      <c r="AL382" s="477">
        <f t="shared" ca="1" si="96"/>
        <v>0</v>
      </c>
    </row>
    <row r="383" spans="2:38">
      <c r="B383" s="222">
        <f ca="1">Fixa!B383</f>
        <v>57086</v>
      </c>
      <c r="C383" s="223" t="str">
        <f>Fixa!C383</f>
        <v/>
      </c>
      <c r="D383" s="43" t="e">
        <f t="shared" si="87"/>
        <v>#VALUE!</v>
      </c>
      <c r="E383" s="43" t="e">
        <f t="shared" si="81"/>
        <v>#VALUE!</v>
      </c>
      <c r="F383" s="43" t="e">
        <f t="shared" si="82"/>
        <v>#VALUE!</v>
      </c>
      <c r="G383" s="43" t="e">
        <f t="shared" si="83"/>
        <v>#VALUE!</v>
      </c>
      <c r="H383" s="43" t="e">
        <f t="shared" ca="1" si="84"/>
        <v>#VALUE!</v>
      </c>
      <c r="I383" s="43">
        <f t="shared" si="85"/>
        <v>0</v>
      </c>
      <c r="J383" s="229">
        <f t="shared" si="88"/>
        <v>25</v>
      </c>
      <c r="K383" s="43">
        <f t="shared" si="89"/>
        <v>0</v>
      </c>
      <c r="M383" s="224"/>
      <c r="N383" s="225">
        <f t="shared" si="90"/>
        <v>0</v>
      </c>
      <c r="O383" s="43" t="e">
        <f t="shared" si="91"/>
        <v>#VALUE!</v>
      </c>
      <c r="P383" s="43" t="e">
        <f>ROUND(IF(Preenchimento!$G$39="Tabela Price",R383-Q383,(O382*(1+$AD$35))/($AD$28-C382)),$P$22)</f>
        <v>#VALUE!</v>
      </c>
      <c r="Q383" s="43" t="e">
        <f>IF(Preenchimento!$G$39="Tabela Price",O382*(1+$AD$35)*W383,O382*(1+SAC!$AD$35)*SAC!W383)</f>
        <v>#VALUE!</v>
      </c>
      <c r="R383" s="43" t="e">
        <f>IF(Preenchimento!$G$39="Tabela Price",IF(C383="","",((((((1+W383)^($Q$16-C382))*W383)/((1+W383)^($Q$16-C382)-1))*(O382*(1+$AD$35))))),Q383+P383)</f>
        <v>#VALUE!</v>
      </c>
      <c r="S383" s="43" t="e">
        <f t="shared" ca="1" si="86"/>
        <v>#VALUE!</v>
      </c>
      <c r="T383" s="43">
        <f t="shared" si="92"/>
        <v>0</v>
      </c>
      <c r="U383" s="226">
        <f>TRUNC(T383*Condições!$C$102,2)</f>
        <v>0</v>
      </c>
      <c r="V383" s="82">
        <f t="shared" ca="1" si="93"/>
        <v>4</v>
      </c>
      <c r="W383" s="231" t="str">
        <f t="shared" si="94"/>
        <v/>
      </c>
      <c r="X383" s="210"/>
      <c r="Y383" s="210"/>
      <c r="Z383" s="210"/>
      <c r="AI383" s="114">
        <f t="shared" si="95"/>
        <v>0</v>
      </c>
      <c r="AJ383" s="113"/>
      <c r="AL383" s="477">
        <f t="shared" ca="1" si="96"/>
        <v>0</v>
      </c>
    </row>
    <row r="384" spans="2:38">
      <c r="B384" s="222">
        <f ca="1">Fixa!B384</f>
        <v>57116</v>
      </c>
      <c r="C384" s="223" t="str">
        <f>Fixa!C384</f>
        <v/>
      </c>
      <c r="D384" s="43" t="e">
        <f t="shared" si="87"/>
        <v>#VALUE!</v>
      </c>
      <c r="E384" s="43" t="e">
        <f t="shared" si="81"/>
        <v>#VALUE!</v>
      </c>
      <c r="F384" s="43" t="e">
        <f t="shared" si="82"/>
        <v>#VALUE!</v>
      </c>
      <c r="G384" s="43" t="e">
        <f t="shared" si="83"/>
        <v>#VALUE!</v>
      </c>
      <c r="H384" s="43" t="e">
        <f t="shared" ca="1" si="84"/>
        <v>#VALUE!</v>
      </c>
      <c r="I384" s="43">
        <f t="shared" si="85"/>
        <v>0</v>
      </c>
      <c r="J384" s="229">
        <f t="shared" si="88"/>
        <v>25</v>
      </c>
      <c r="K384" s="43">
        <f t="shared" si="89"/>
        <v>0</v>
      </c>
      <c r="M384" s="224"/>
      <c r="N384" s="225">
        <f t="shared" si="90"/>
        <v>0</v>
      </c>
      <c r="O384" s="43" t="e">
        <f t="shared" si="91"/>
        <v>#VALUE!</v>
      </c>
      <c r="P384" s="43" t="e">
        <f>ROUND(IF(Preenchimento!$G$39="Tabela Price",R384-Q384,(O383*(1+$AD$35))/($AD$28-C383)),$P$22)</f>
        <v>#VALUE!</v>
      </c>
      <c r="Q384" s="43" t="e">
        <f>IF(Preenchimento!$G$39="Tabela Price",O383*(1+$AD$35)*W384,O383*(1+SAC!$AD$35)*SAC!W384)</f>
        <v>#VALUE!</v>
      </c>
      <c r="R384" s="43" t="e">
        <f>IF(Preenchimento!$G$39="Tabela Price",IF(C384="","",((((((1+W384)^($Q$16-C383))*W384)/((1+W384)^($Q$16-C383)-1))*(O383*(1+$AD$35))))),Q384+P384)</f>
        <v>#VALUE!</v>
      </c>
      <c r="S384" s="43" t="e">
        <f t="shared" ca="1" si="86"/>
        <v>#VALUE!</v>
      </c>
      <c r="T384" s="43">
        <f t="shared" si="92"/>
        <v>0</v>
      </c>
      <c r="U384" s="226">
        <f>TRUNC(T384*Condições!$C$102,2)</f>
        <v>0</v>
      </c>
      <c r="V384" s="82">
        <f t="shared" ca="1" si="93"/>
        <v>5</v>
      </c>
      <c r="W384" s="231" t="str">
        <f t="shared" si="94"/>
        <v/>
      </c>
      <c r="X384" s="210"/>
      <c r="Y384" s="210"/>
      <c r="Z384" s="210"/>
      <c r="AI384" s="114">
        <f t="shared" si="95"/>
        <v>0</v>
      </c>
      <c r="AJ384" s="113"/>
      <c r="AL384" s="477">
        <f t="shared" ca="1" si="96"/>
        <v>0</v>
      </c>
    </row>
    <row r="385" spans="2:38">
      <c r="B385" s="222">
        <f ca="1">Fixa!B385</f>
        <v>57147</v>
      </c>
      <c r="C385" s="223" t="str">
        <f>Fixa!C385</f>
        <v/>
      </c>
      <c r="D385" s="43" t="e">
        <f t="shared" si="87"/>
        <v>#VALUE!</v>
      </c>
      <c r="E385" s="43" t="e">
        <f t="shared" si="81"/>
        <v>#VALUE!</v>
      </c>
      <c r="F385" s="43" t="e">
        <f t="shared" si="82"/>
        <v>#VALUE!</v>
      </c>
      <c r="G385" s="43" t="e">
        <f t="shared" si="83"/>
        <v>#VALUE!</v>
      </c>
      <c r="H385" s="43" t="e">
        <f t="shared" ca="1" si="84"/>
        <v>#VALUE!</v>
      </c>
      <c r="I385" s="43">
        <f t="shared" si="85"/>
        <v>0</v>
      </c>
      <c r="J385" s="229">
        <f t="shared" si="88"/>
        <v>25</v>
      </c>
      <c r="K385" s="43">
        <f t="shared" si="89"/>
        <v>0</v>
      </c>
      <c r="M385" s="224"/>
      <c r="N385" s="225">
        <f t="shared" si="90"/>
        <v>0</v>
      </c>
      <c r="O385" s="43" t="e">
        <f t="shared" si="91"/>
        <v>#VALUE!</v>
      </c>
      <c r="P385" s="43" t="e">
        <f>ROUND(IF(Preenchimento!$G$39="Tabela Price",R385-Q385,(O384*(1+$AD$35))/($AD$28-C384)),$P$22)</f>
        <v>#VALUE!</v>
      </c>
      <c r="Q385" s="43" t="e">
        <f>IF(Preenchimento!$G$39="Tabela Price",O384*(1+$AD$35)*W385,O384*(1+SAC!$AD$35)*SAC!W385)</f>
        <v>#VALUE!</v>
      </c>
      <c r="R385" s="43" t="e">
        <f>IF(Preenchimento!$G$39="Tabela Price",IF(C385="","",((((((1+W385)^($Q$16-C384))*W385)/((1+W385)^($Q$16-C384)-1))*(O384*(1+$AD$35))))),Q385+P385)</f>
        <v>#VALUE!</v>
      </c>
      <c r="S385" s="43" t="e">
        <f t="shared" ca="1" si="86"/>
        <v>#VALUE!</v>
      </c>
      <c r="T385" s="43">
        <f t="shared" si="92"/>
        <v>0</v>
      </c>
      <c r="U385" s="226">
        <f>TRUNC(T385*Condições!$C$102,2)</f>
        <v>0</v>
      </c>
      <c r="V385" s="82">
        <f t="shared" ca="1" si="93"/>
        <v>6</v>
      </c>
      <c r="W385" s="231" t="str">
        <f t="shared" si="94"/>
        <v/>
      </c>
      <c r="X385" s="210"/>
      <c r="Y385" s="210"/>
      <c r="Z385" s="210"/>
      <c r="AI385" s="114">
        <f t="shared" si="95"/>
        <v>0</v>
      </c>
      <c r="AJ385" s="113"/>
      <c r="AL385" s="477">
        <f t="shared" ca="1" si="96"/>
        <v>0</v>
      </c>
    </row>
    <row r="386" spans="2:38">
      <c r="B386" s="222">
        <f ca="1">Fixa!B386</f>
        <v>57177</v>
      </c>
      <c r="C386" s="223" t="str">
        <f>Fixa!C386</f>
        <v/>
      </c>
      <c r="D386" s="43" t="e">
        <f t="shared" ref="D386:D445" si="97">ROUND(O386,2)</f>
        <v>#VALUE!</v>
      </c>
      <c r="E386" s="43" t="e">
        <f t="shared" ref="E386:E445" si="98">ROUND(P386,2)</f>
        <v>#VALUE!</v>
      </c>
      <c r="F386" s="43" t="e">
        <f t="shared" ref="F386:F445" si="99">ROUND(Q386,2)</f>
        <v>#VALUE!</v>
      </c>
      <c r="G386" s="43" t="e">
        <f t="shared" ref="G386:G445" si="100">F386+E386</f>
        <v>#VALUE!</v>
      </c>
      <c r="H386" s="43" t="e">
        <f t="shared" ref="H386:H445" ca="1" si="101">ROUND(S386,2)</f>
        <v>#VALUE!</v>
      </c>
      <c r="I386" s="43">
        <f t="shared" ref="I386:I445" si="102">ROUND(T386+U386,2)</f>
        <v>0</v>
      </c>
      <c r="J386" s="229">
        <f t="shared" si="88"/>
        <v>25</v>
      </c>
      <c r="K386" s="43">
        <f t="shared" ref="K386:K445" si="103">IF(C386&gt;$AD$28,0,J386+G386+I386+H386)</f>
        <v>0</v>
      </c>
      <c r="M386" s="224"/>
      <c r="N386" s="225">
        <f t="shared" ref="N386:N445" si="104">IF(C386&gt;$AD$28,0,(H386+I386)/(1.008^((12*(B386-$B$25))/365)))</f>
        <v>0</v>
      </c>
      <c r="O386" s="43" t="e">
        <f t="shared" ref="O386:O445" si="105">ROUND((O385*(1+$AD$35)-P386),$P$22)</f>
        <v>#VALUE!</v>
      </c>
      <c r="P386" s="43" t="e">
        <f>ROUND(IF(Preenchimento!$G$39="Tabela Price",R386-Q386,(O385*(1+$AD$35))/($AD$28-C385)),$P$22)</f>
        <v>#VALUE!</v>
      </c>
      <c r="Q386" s="43" t="e">
        <f>IF(Preenchimento!$G$39="Tabela Price",O385*(1+$AD$35)*W386,O385*(1+SAC!$AD$35)*SAC!W386)</f>
        <v>#VALUE!</v>
      </c>
      <c r="R386" s="43" t="e">
        <f>IF(Preenchimento!$G$39="Tabela Price",IF(C386="","",((((((1+W386)^($Q$16-C385))*W386)/((1+W386)^($Q$16-C385)-1))*(O385*(1+$AD$35))))),Q386+P386)</f>
        <v>#VALUE!</v>
      </c>
      <c r="S386" s="43" t="e">
        <f t="shared" ref="S386:S445" ca="1" si="106">ROUND($AD$34*O386,$P$22)</f>
        <v>#VALUE!</v>
      </c>
      <c r="T386" s="43">
        <f t="shared" si="92"/>
        <v>0</v>
      </c>
      <c r="U386" s="226">
        <f>TRUNC(T386*Condições!$C$102,2)</f>
        <v>0</v>
      </c>
      <c r="V386" s="82">
        <f t="shared" ca="1" si="93"/>
        <v>7</v>
      </c>
      <c r="W386" s="231" t="str">
        <f t="shared" ref="W386:W445" si="107">IF(C386="","",IF(AND(C386&gt;$AD$46,$AD$46&lt;&gt;""),$AE$29,$AD$29))</f>
        <v/>
      </c>
      <c r="AI386" s="114">
        <f t="shared" si="95"/>
        <v>0</v>
      </c>
      <c r="AL386" s="477">
        <f t="shared" ca="1" si="96"/>
        <v>0</v>
      </c>
    </row>
    <row r="387" spans="2:38">
      <c r="B387" s="222">
        <f ca="1">Fixa!B387</f>
        <v>57208</v>
      </c>
      <c r="C387" s="223" t="str">
        <f>Fixa!C387</f>
        <v/>
      </c>
      <c r="D387" s="43" t="e">
        <f t="shared" si="97"/>
        <v>#VALUE!</v>
      </c>
      <c r="E387" s="43" t="e">
        <f t="shared" si="98"/>
        <v>#VALUE!</v>
      </c>
      <c r="F387" s="43" t="e">
        <f t="shared" si="99"/>
        <v>#VALUE!</v>
      </c>
      <c r="G387" s="43" t="e">
        <f t="shared" si="100"/>
        <v>#VALUE!</v>
      </c>
      <c r="H387" s="43" t="e">
        <f t="shared" ca="1" si="101"/>
        <v>#VALUE!</v>
      </c>
      <c r="I387" s="43">
        <f t="shared" si="102"/>
        <v>0</v>
      </c>
      <c r="J387" s="229">
        <f t="shared" si="88"/>
        <v>25</v>
      </c>
      <c r="K387" s="43">
        <f t="shared" si="103"/>
        <v>0</v>
      </c>
      <c r="M387" s="224"/>
      <c r="N387" s="225">
        <f t="shared" si="104"/>
        <v>0</v>
      </c>
      <c r="O387" s="43" t="e">
        <f t="shared" si="105"/>
        <v>#VALUE!</v>
      </c>
      <c r="P387" s="43" t="e">
        <f>ROUND(IF(Preenchimento!$G$39="Tabela Price",R387-Q387,(O386*(1+$AD$35))/($AD$28-C386)),$P$22)</f>
        <v>#VALUE!</v>
      </c>
      <c r="Q387" s="43" t="e">
        <f>IF(Preenchimento!$G$39="Tabela Price",O386*(1+$AD$35)*W387,O386*(1+SAC!$AD$35)*SAC!W387)</f>
        <v>#VALUE!</v>
      </c>
      <c r="R387" s="43" t="e">
        <f>IF(Preenchimento!$G$39="Tabela Price",IF(C387="","",((((((1+W387)^($Q$16-C386))*W387)/((1+W387)^($Q$16-C386)-1))*(O386*(1+$AD$35))))),Q387+P387)</f>
        <v>#VALUE!</v>
      </c>
      <c r="S387" s="43" t="e">
        <f t="shared" ca="1" si="106"/>
        <v>#VALUE!</v>
      </c>
      <c r="T387" s="43">
        <f t="shared" si="92"/>
        <v>0</v>
      </c>
      <c r="U387" s="226">
        <f>TRUNC(T387*Condições!$C$102,2)</f>
        <v>0</v>
      </c>
      <c r="V387" s="82">
        <f t="shared" ca="1" si="93"/>
        <v>8</v>
      </c>
      <c r="W387" s="231" t="str">
        <f t="shared" si="107"/>
        <v/>
      </c>
      <c r="AI387" s="114">
        <f t="shared" si="95"/>
        <v>0</v>
      </c>
      <c r="AL387" s="477">
        <f t="shared" ca="1" si="96"/>
        <v>0</v>
      </c>
    </row>
    <row r="388" spans="2:38">
      <c r="B388" s="222">
        <f ca="1">Fixa!B388</f>
        <v>57239</v>
      </c>
      <c r="C388" s="223" t="str">
        <f>Fixa!C388</f>
        <v/>
      </c>
      <c r="D388" s="43" t="e">
        <f t="shared" si="97"/>
        <v>#VALUE!</v>
      </c>
      <c r="E388" s="43" t="e">
        <f t="shared" si="98"/>
        <v>#VALUE!</v>
      </c>
      <c r="F388" s="43" t="e">
        <f t="shared" si="99"/>
        <v>#VALUE!</v>
      </c>
      <c r="G388" s="43" t="e">
        <f t="shared" si="100"/>
        <v>#VALUE!</v>
      </c>
      <c r="H388" s="43" t="e">
        <f t="shared" ca="1" si="101"/>
        <v>#VALUE!</v>
      </c>
      <c r="I388" s="43">
        <f t="shared" si="102"/>
        <v>0</v>
      </c>
      <c r="J388" s="229">
        <f t="shared" si="88"/>
        <v>25</v>
      </c>
      <c r="K388" s="43">
        <f t="shared" si="103"/>
        <v>0</v>
      </c>
      <c r="M388" s="224"/>
      <c r="N388" s="225">
        <f t="shared" si="104"/>
        <v>0</v>
      </c>
      <c r="O388" s="43" t="e">
        <f t="shared" si="105"/>
        <v>#VALUE!</v>
      </c>
      <c r="P388" s="43" t="e">
        <f>ROUND(IF(Preenchimento!$G$39="Tabela Price",R388-Q388,(O387*(1+$AD$35))/($AD$28-C387)),$P$22)</f>
        <v>#VALUE!</v>
      </c>
      <c r="Q388" s="43" t="e">
        <f>IF(Preenchimento!$G$39="Tabela Price",O387*(1+$AD$35)*W388,O387*(1+SAC!$AD$35)*SAC!W388)</f>
        <v>#VALUE!</v>
      </c>
      <c r="R388" s="43" t="e">
        <f>IF(Preenchimento!$G$39="Tabela Price",IF(C388="","",((((((1+W388)^($Q$16-C387))*W388)/((1+W388)^($Q$16-C387)-1))*(O387*(1+$AD$35))))),Q388+P388)</f>
        <v>#VALUE!</v>
      </c>
      <c r="S388" s="43" t="e">
        <f t="shared" ca="1" si="106"/>
        <v>#VALUE!</v>
      </c>
      <c r="T388" s="43">
        <f t="shared" si="92"/>
        <v>0</v>
      </c>
      <c r="U388" s="226">
        <f>TRUNC(T388*Condições!$C$102,2)</f>
        <v>0</v>
      </c>
      <c r="V388" s="82">
        <f t="shared" ca="1" si="93"/>
        <v>9</v>
      </c>
      <c r="W388" s="231" t="str">
        <f t="shared" si="107"/>
        <v/>
      </c>
      <c r="AI388" s="114">
        <f t="shared" si="95"/>
        <v>0</v>
      </c>
      <c r="AL388" s="477">
        <f t="shared" ca="1" si="96"/>
        <v>0</v>
      </c>
    </row>
    <row r="389" spans="2:38">
      <c r="B389" s="222">
        <f ca="1">Fixa!B389</f>
        <v>57269</v>
      </c>
      <c r="C389" s="223" t="str">
        <f>Fixa!C389</f>
        <v/>
      </c>
      <c r="D389" s="43" t="e">
        <f t="shared" si="97"/>
        <v>#VALUE!</v>
      </c>
      <c r="E389" s="43" t="e">
        <f t="shared" si="98"/>
        <v>#VALUE!</v>
      </c>
      <c r="F389" s="43" t="e">
        <f t="shared" si="99"/>
        <v>#VALUE!</v>
      </c>
      <c r="G389" s="43" t="e">
        <f t="shared" si="100"/>
        <v>#VALUE!</v>
      </c>
      <c r="H389" s="43" t="e">
        <f t="shared" ca="1" si="101"/>
        <v>#VALUE!</v>
      </c>
      <c r="I389" s="43">
        <f t="shared" si="102"/>
        <v>0</v>
      </c>
      <c r="J389" s="229">
        <f t="shared" si="88"/>
        <v>25</v>
      </c>
      <c r="K389" s="43">
        <f t="shared" si="103"/>
        <v>0</v>
      </c>
      <c r="M389" s="224"/>
      <c r="N389" s="225">
        <f t="shared" si="104"/>
        <v>0</v>
      </c>
      <c r="O389" s="43" t="e">
        <f t="shared" si="105"/>
        <v>#VALUE!</v>
      </c>
      <c r="P389" s="43" t="e">
        <f>ROUND(IF(Preenchimento!$G$39="Tabela Price",R389-Q389,(O388*(1+$AD$35))/($AD$28-C388)),$P$22)</f>
        <v>#VALUE!</v>
      </c>
      <c r="Q389" s="43" t="e">
        <f>IF(Preenchimento!$G$39="Tabela Price",O388*(1+$AD$35)*W389,O388*(1+SAC!$AD$35)*SAC!W389)</f>
        <v>#VALUE!</v>
      </c>
      <c r="R389" s="43" t="e">
        <f>IF(Preenchimento!$G$39="Tabela Price",IF(C389="","",((((((1+W389)^($Q$16-C388))*W389)/((1+W389)^($Q$16-C388)-1))*(O388*(1+$AD$35))))),Q389+P389)</f>
        <v>#VALUE!</v>
      </c>
      <c r="S389" s="43" t="e">
        <f t="shared" ca="1" si="106"/>
        <v>#VALUE!</v>
      </c>
      <c r="T389" s="43">
        <f t="shared" si="92"/>
        <v>0</v>
      </c>
      <c r="U389" s="226">
        <f>TRUNC(T389*Condições!$C$102,2)</f>
        <v>0</v>
      </c>
      <c r="V389" s="82">
        <f t="shared" ca="1" si="93"/>
        <v>10</v>
      </c>
      <c r="W389" s="231" t="str">
        <f t="shared" si="107"/>
        <v/>
      </c>
      <c r="AI389" s="114">
        <f t="shared" si="95"/>
        <v>0</v>
      </c>
      <c r="AL389" s="477">
        <f t="shared" ca="1" si="96"/>
        <v>0</v>
      </c>
    </row>
    <row r="390" spans="2:38">
      <c r="B390" s="222">
        <f ca="1">Fixa!B390</f>
        <v>57300</v>
      </c>
      <c r="C390" s="223" t="str">
        <f>Fixa!C390</f>
        <v/>
      </c>
      <c r="D390" s="43" t="e">
        <f t="shared" si="97"/>
        <v>#VALUE!</v>
      </c>
      <c r="E390" s="43" t="e">
        <f t="shared" si="98"/>
        <v>#VALUE!</v>
      </c>
      <c r="F390" s="43" t="e">
        <f t="shared" si="99"/>
        <v>#VALUE!</v>
      </c>
      <c r="G390" s="43" t="e">
        <f t="shared" si="100"/>
        <v>#VALUE!</v>
      </c>
      <c r="H390" s="43" t="e">
        <f t="shared" ca="1" si="101"/>
        <v>#VALUE!</v>
      </c>
      <c r="I390" s="43">
        <f t="shared" si="102"/>
        <v>0</v>
      </c>
      <c r="J390" s="229">
        <f t="shared" si="88"/>
        <v>25</v>
      </c>
      <c r="K390" s="43">
        <f t="shared" si="103"/>
        <v>0</v>
      </c>
      <c r="M390" s="224"/>
      <c r="N390" s="225">
        <f t="shared" si="104"/>
        <v>0</v>
      </c>
      <c r="O390" s="43" t="e">
        <f t="shared" si="105"/>
        <v>#VALUE!</v>
      </c>
      <c r="P390" s="43" t="e">
        <f>ROUND(IF(Preenchimento!$G$39="Tabela Price",R390-Q390,(O389*(1+$AD$35))/($AD$28-C389)),$P$22)</f>
        <v>#VALUE!</v>
      </c>
      <c r="Q390" s="43" t="e">
        <f>IF(Preenchimento!$G$39="Tabela Price",O389*(1+$AD$35)*W390,O389*(1+SAC!$AD$35)*SAC!W390)</f>
        <v>#VALUE!</v>
      </c>
      <c r="R390" s="43" t="e">
        <f>IF(Preenchimento!$G$39="Tabela Price",IF(C390="","",((((((1+W390)^($Q$16-C389))*W390)/((1+W390)^($Q$16-C389)-1))*(O389*(1+$AD$35))))),Q390+P390)</f>
        <v>#VALUE!</v>
      </c>
      <c r="S390" s="43" t="e">
        <f t="shared" ca="1" si="106"/>
        <v>#VALUE!</v>
      </c>
      <c r="T390" s="43">
        <f t="shared" si="92"/>
        <v>0</v>
      </c>
      <c r="U390" s="226">
        <f>TRUNC(T390*Condições!$C$102,2)</f>
        <v>0</v>
      </c>
      <c r="V390" s="82">
        <f t="shared" ca="1" si="93"/>
        <v>11</v>
      </c>
      <c r="W390" s="231" t="str">
        <f t="shared" si="107"/>
        <v/>
      </c>
      <c r="AI390" s="114">
        <f t="shared" si="95"/>
        <v>0</v>
      </c>
      <c r="AL390" s="477">
        <f t="shared" ca="1" si="96"/>
        <v>0</v>
      </c>
    </row>
    <row r="391" spans="2:38">
      <c r="B391" s="222">
        <f ca="1">Fixa!B391</f>
        <v>57330</v>
      </c>
      <c r="C391" s="223" t="str">
        <f>Fixa!C391</f>
        <v/>
      </c>
      <c r="D391" s="43" t="e">
        <f t="shared" si="97"/>
        <v>#VALUE!</v>
      </c>
      <c r="E391" s="43" t="e">
        <f t="shared" si="98"/>
        <v>#VALUE!</v>
      </c>
      <c r="F391" s="43" t="e">
        <f t="shared" si="99"/>
        <v>#VALUE!</v>
      </c>
      <c r="G391" s="43" t="e">
        <f t="shared" si="100"/>
        <v>#VALUE!</v>
      </c>
      <c r="H391" s="43" t="e">
        <f t="shared" ca="1" si="101"/>
        <v>#VALUE!</v>
      </c>
      <c r="I391" s="43">
        <f t="shared" si="102"/>
        <v>0</v>
      </c>
      <c r="J391" s="229">
        <f t="shared" si="88"/>
        <v>25</v>
      </c>
      <c r="K391" s="43">
        <f t="shared" si="103"/>
        <v>0</v>
      </c>
      <c r="M391" s="224"/>
      <c r="N391" s="225">
        <f t="shared" si="104"/>
        <v>0</v>
      </c>
      <c r="O391" s="43" t="e">
        <f t="shared" si="105"/>
        <v>#VALUE!</v>
      </c>
      <c r="P391" s="43" t="e">
        <f>ROUND(IF(Preenchimento!$G$39="Tabela Price",R391-Q391,(O390*(1+$AD$35))/($AD$28-C390)),$P$22)</f>
        <v>#VALUE!</v>
      </c>
      <c r="Q391" s="43" t="e">
        <f>IF(Preenchimento!$G$39="Tabela Price",O390*(1+$AD$35)*W391,O390*(1+SAC!$AD$35)*SAC!W391)</f>
        <v>#VALUE!</v>
      </c>
      <c r="R391" s="43" t="e">
        <f>IF(Preenchimento!$G$39="Tabela Price",IF(C391="","",((((((1+W391)^($Q$16-C390))*W391)/((1+W391)^($Q$16-C390)-1))*(O390*(1+$AD$35))))),Q391+P391)</f>
        <v>#VALUE!</v>
      </c>
      <c r="S391" s="43" t="e">
        <f t="shared" ca="1" si="106"/>
        <v>#VALUE!</v>
      </c>
      <c r="T391" s="43">
        <f t="shared" si="92"/>
        <v>0</v>
      </c>
      <c r="U391" s="226">
        <f>TRUNC(T391*Condições!$C$102,2)</f>
        <v>0</v>
      </c>
      <c r="V391" s="82">
        <f t="shared" ca="1" si="93"/>
        <v>12</v>
      </c>
      <c r="W391" s="231" t="str">
        <f t="shared" si="107"/>
        <v/>
      </c>
      <c r="AI391" s="114">
        <f t="shared" si="95"/>
        <v>0</v>
      </c>
      <c r="AL391" s="477">
        <f t="shared" ca="1" si="96"/>
        <v>0</v>
      </c>
    </row>
    <row r="392" spans="2:38">
      <c r="B392" s="222">
        <f ca="1">Fixa!B392</f>
        <v>57361</v>
      </c>
      <c r="C392" s="223" t="str">
        <f>Fixa!C392</f>
        <v/>
      </c>
      <c r="D392" s="43" t="e">
        <f t="shared" si="97"/>
        <v>#VALUE!</v>
      </c>
      <c r="E392" s="43" t="e">
        <f t="shared" si="98"/>
        <v>#VALUE!</v>
      </c>
      <c r="F392" s="43" t="e">
        <f t="shared" si="99"/>
        <v>#VALUE!</v>
      </c>
      <c r="G392" s="43" t="e">
        <f t="shared" si="100"/>
        <v>#VALUE!</v>
      </c>
      <c r="H392" s="43" t="e">
        <f t="shared" ca="1" si="101"/>
        <v>#VALUE!</v>
      </c>
      <c r="I392" s="43">
        <f t="shared" si="102"/>
        <v>0</v>
      </c>
      <c r="J392" s="229">
        <f t="shared" si="88"/>
        <v>25</v>
      </c>
      <c r="K392" s="43">
        <f t="shared" si="103"/>
        <v>0</v>
      </c>
      <c r="M392" s="224"/>
      <c r="N392" s="225">
        <f t="shared" si="104"/>
        <v>0</v>
      </c>
      <c r="O392" s="43" t="e">
        <f t="shared" si="105"/>
        <v>#VALUE!</v>
      </c>
      <c r="P392" s="43" t="e">
        <f>ROUND(IF(Preenchimento!$G$39="Tabela Price",R392-Q392,(O391*(1+$AD$35))/($AD$28-C391)),$P$22)</f>
        <v>#VALUE!</v>
      </c>
      <c r="Q392" s="43" t="e">
        <f>IF(Preenchimento!$G$39="Tabela Price",O391*(1+$AD$35)*W392,O391*(1+SAC!$AD$35)*SAC!W392)</f>
        <v>#VALUE!</v>
      </c>
      <c r="R392" s="43" t="e">
        <f>IF(Preenchimento!$G$39="Tabela Price",IF(C392="","",((((((1+W392)^($Q$16-C391))*W392)/((1+W392)^($Q$16-C391)-1))*(O391*(1+$AD$35))))),Q392+P392)</f>
        <v>#VALUE!</v>
      </c>
      <c r="S392" s="43" t="e">
        <f t="shared" ca="1" si="106"/>
        <v>#VALUE!</v>
      </c>
      <c r="T392" s="43">
        <f t="shared" si="92"/>
        <v>0</v>
      </c>
      <c r="U392" s="226">
        <f>TRUNC(T392*Condições!$C$102,2)</f>
        <v>0</v>
      </c>
      <c r="V392" s="82">
        <f t="shared" ca="1" si="93"/>
        <v>1</v>
      </c>
      <c r="W392" s="231" t="str">
        <f t="shared" si="107"/>
        <v/>
      </c>
      <c r="AI392" s="114">
        <f t="shared" si="95"/>
        <v>0</v>
      </c>
      <c r="AL392" s="477">
        <f t="shared" ca="1" si="96"/>
        <v>0</v>
      </c>
    </row>
    <row r="393" spans="2:38">
      <c r="B393" s="222">
        <f ca="1">Fixa!B393</f>
        <v>57392</v>
      </c>
      <c r="C393" s="223" t="str">
        <f>Fixa!C393</f>
        <v/>
      </c>
      <c r="D393" s="43" t="e">
        <f t="shared" si="97"/>
        <v>#VALUE!</v>
      </c>
      <c r="E393" s="43" t="e">
        <f t="shared" si="98"/>
        <v>#VALUE!</v>
      </c>
      <c r="F393" s="43" t="e">
        <f t="shared" si="99"/>
        <v>#VALUE!</v>
      </c>
      <c r="G393" s="43" t="e">
        <f t="shared" si="100"/>
        <v>#VALUE!</v>
      </c>
      <c r="H393" s="43" t="e">
        <f t="shared" ca="1" si="101"/>
        <v>#VALUE!</v>
      </c>
      <c r="I393" s="43">
        <f t="shared" si="102"/>
        <v>0</v>
      </c>
      <c r="J393" s="229">
        <f t="shared" si="88"/>
        <v>25</v>
      </c>
      <c r="K393" s="43">
        <f t="shared" si="103"/>
        <v>0</v>
      </c>
      <c r="M393" s="224"/>
      <c r="N393" s="225">
        <f t="shared" si="104"/>
        <v>0</v>
      </c>
      <c r="O393" s="43" t="e">
        <f t="shared" si="105"/>
        <v>#VALUE!</v>
      </c>
      <c r="P393" s="43" t="e">
        <f>ROUND(IF(Preenchimento!$G$39="Tabela Price",R393-Q393,(O392*(1+$AD$35))/($AD$28-C392)),$P$22)</f>
        <v>#VALUE!</v>
      </c>
      <c r="Q393" s="43" t="e">
        <f>IF(Preenchimento!$G$39="Tabela Price",O392*(1+$AD$35)*W393,O392*(1+SAC!$AD$35)*SAC!W393)</f>
        <v>#VALUE!</v>
      </c>
      <c r="R393" s="43" t="e">
        <f>IF(Preenchimento!$G$39="Tabela Price",IF(C393="","",((((((1+W393)^($Q$16-C392))*W393)/((1+W393)^($Q$16-C392)-1))*(O392*(1+$AD$35))))),Q393+P393)</f>
        <v>#VALUE!</v>
      </c>
      <c r="S393" s="43" t="e">
        <f t="shared" ca="1" si="106"/>
        <v>#VALUE!</v>
      </c>
      <c r="T393" s="43">
        <f t="shared" si="92"/>
        <v>0</v>
      </c>
      <c r="U393" s="226">
        <f>TRUNC(T393*Condições!$C$102,2)</f>
        <v>0</v>
      </c>
      <c r="V393" s="82">
        <f t="shared" ca="1" si="93"/>
        <v>2</v>
      </c>
      <c r="W393" s="231" t="str">
        <f t="shared" si="107"/>
        <v/>
      </c>
      <c r="AI393" s="114">
        <f t="shared" si="95"/>
        <v>0</v>
      </c>
      <c r="AL393" s="477">
        <f t="shared" ca="1" si="96"/>
        <v>0</v>
      </c>
    </row>
    <row r="394" spans="2:38">
      <c r="B394" s="222">
        <f ca="1">Fixa!B394</f>
        <v>57420</v>
      </c>
      <c r="C394" s="223" t="str">
        <f>Fixa!C394</f>
        <v/>
      </c>
      <c r="D394" s="43" t="e">
        <f t="shared" si="97"/>
        <v>#VALUE!</v>
      </c>
      <c r="E394" s="43" t="e">
        <f t="shared" si="98"/>
        <v>#VALUE!</v>
      </c>
      <c r="F394" s="43" t="e">
        <f t="shared" si="99"/>
        <v>#VALUE!</v>
      </c>
      <c r="G394" s="43" t="e">
        <f t="shared" si="100"/>
        <v>#VALUE!</v>
      </c>
      <c r="H394" s="43" t="e">
        <f t="shared" ca="1" si="101"/>
        <v>#VALUE!</v>
      </c>
      <c r="I394" s="43">
        <f t="shared" si="102"/>
        <v>0</v>
      </c>
      <c r="J394" s="229">
        <f t="shared" si="88"/>
        <v>25</v>
      </c>
      <c r="K394" s="43">
        <f t="shared" si="103"/>
        <v>0</v>
      </c>
      <c r="M394" s="224"/>
      <c r="N394" s="225">
        <f t="shared" si="104"/>
        <v>0</v>
      </c>
      <c r="O394" s="43" t="e">
        <f t="shared" si="105"/>
        <v>#VALUE!</v>
      </c>
      <c r="P394" s="43" t="e">
        <f>ROUND(IF(Preenchimento!$G$39="Tabela Price",R394-Q394,(O393*(1+$AD$35))/($AD$28-C393)),$P$22)</f>
        <v>#VALUE!</v>
      </c>
      <c r="Q394" s="43" t="e">
        <f>IF(Preenchimento!$G$39="Tabela Price",O393*(1+$AD$35)*W394,O393*(1+SAC!$AD$35)*SAC!W394)</f>
        <v>#VALUE!</v>
      </c>
      <c r="R394" s="43" t="e">
        <f>IF(Preenchimento!$G$39="Tabela Price",IF(C394="","",((((((1+W394)^($Q$16-C393))*W394)/((1+W394)^($Q$16-C393)-1))*(O393*(1+$AD$35))))),Q394+P394)</f>
        <v>#VALUE!</v>
      </c>
      <c r="S394" s="43" t="e">
        <f t="shared" ca="1" si="106"/>
        <v>#VALUE!</v>
      </c>
      <c r="T394" s="43">
        <f t="shared" si="92"/>
        <v>0</v>
      </c>
      <c r="U394" s="226">
        <f>TRUNC(T394*Condições!$C$102,2)</f>
        <v>0</v>
      </c>
      <c r="V394" s="82">
        <f t="shared" ca="1" si="93"/>
        <v>3</v>
      </c>
      <c r="W394" s="231" t="str">
        <f t="shared" si="107"/>
        <v/>
      </c>
      <c r="AI394" s="114">
        <f t="shared" si="95"/>
        <v>0</v>
      </c>
      <c r="AL394" s="477">
        <f t="shared" ca="1" si="96"/>
        <v>0</v>
      </c>
    </row>
    <row r="395" spans="2:38">
      <c r="B395" s="222">
        <f ca="1">Fixa!B395</f>
        <v>57451</v>
      </c>
      <c r="C395" s="223" t="str">
        <f>Fixa!C395</f>
        <v/>
      </c>
      <c r="D395" s="43" t="e">
        <f t="shared" si="97"/>
        <v>#VALUE!</v>
      </c>
      <c r="E395" s="43" t="e">
        <f t="shared" si="98"/>
        <v>#VALUE!</v>
      </c>
      <c r="F395" s="43" t="e">
        <f t="shared" si="99"/>
        <v>#VALUE!</v>
      </c>
      <c r="G395" s="43" t="e">
        <f t="shared" si="100"/>
        <v>#VALUE!</v>
      </c>
      <c r="H395" s="43" t="e">
        <f t="shared" ca="1" si="101"/>
        <v>#VALUE!</v>
      </c>
      <c r="I395" s="43">
        <f t="shared" si="102"/>
        <v>0</v>
      </c>
      <c r="J395" s="229">
        <f t="shared" si="88"/>
        <v>25</v>
      </c>
      <c r="K395" s="43">
        <f t="shared" si="103"/>
        <v>0</v>
      </c>
      <c r="M395" s="224"/>
      <c r="N395" s="225">
        <f t="shared" si="104"/>
        <v>0</v>
      </c>
      <c r="O395" s="43" t="e">
        <f t="shared" si="105"/>
        <v>#VALUE!</v>
      </c>
      <c r="P395" s="43" t="e">
        <f>ROUND(IF(Preenchimento!$G$39="Tabela Price",R395-Q395,(O394*(1+$AD$35))/($AD$28-C394)),$P$22)</f>
        <v>#VALUE!</v>
      </c>
      <c r="Q395" s="43" t="e">
        <f>IF(Preenchimento!$G$39="Tabela Price",O394*(1+$AD$35)*W395,O394*(1+SAC!$AD$35)*SAC!W395)</f>
        <v>#VALUE!</v>
      </c>
      <c r="R395" s="43" t="e">
        <f>IF(Preenchimento!$G$39="Tabela Price",IF(C395="","",((((((1+W395)^($Q$16-C394))*W395)/((1+W395)^($Q$16-C394)-1))*(O394*(1+$AD$35))))),Q395+P395)</f>
        <v>#VALUE!</v>
      </c>
      <c r="S395" s="43" t="e">
        <f t="shared" ca="1" si="106"/>
        <v>#VALUE!</v>
      </c>
      <c r="T395" s="43">
        <f t="shared" si="92"/>
        <v>0</v>
      </c>
      <c r="U395" s="226">
        <f>TRUNC(T395*Condições!$C$102,2)</f>
        <v>0</v>
      </c>
      <c r="V395" s="82">
        <f t="shared" ca="1" si="93"/>
        <v>4</v>
      </c>
      <c r="W395" s="231" t="str">
        <f t="shared" si="107"/>
        <v/>
      </c>
      <c r="AI395" s="114">
        <f t="shared" si="95"/>
        <v>0</v>
      </c>
      <c r="AL395" s="477">
        <f t="shared" ca="1" si="96"/>
        <v>0</v>
      </c>
    </row>
    <row r="396" spans="2:38">
      <c r="B396" s="222">
        <f ca="1">Fixa!B396</f>
        <v>57481</v>
      </c>
      <c r="C396" s="223" t="str">
        <f>Fixa!C396</f>
        <v/>
      </c>
      <c r="D396" s="43" t="e">
        <f t="shared" si="97"/>
        <v>#VALUE!</v>
      </c>
      <c r="E396" s="43" t="e">
        <f t="shared" si="98"/>
        <v>#VALUE!</v>
      </c>
      <c r="F396" s="43" t="e">
        <f t="shared" si="99"/>
        <v>#VALUE!</v>
      </c>
      <c r="G396" s="43" t="e">
        <f t="shared" si="100"/>
        <v>#VALUE!</v>
      </c>
      <c r="H396" s="43" t="e">
        <f t="shared" ca="1" si="101"/>
        <v>#VALUE!</v>
      </c>
      <c r="I396" s="43">
        <f t="shared" si="102"/>
        <v>0</v>
      </c>
      <c r="J396" s="229">
        <f t="shared" si="88"/>
        <v>25</v>
      </c>
      <c r="K396" s="43">
        <f t="shared" si="103"/>
        <v>0</v>
      </c>
      <c r="M396" s="224"/>
      <c r="N396" s="225">
        <f t="shared" si="104"/>
        <v>0</v>
      </c>
      <c r="O396" s="43" t="e">
        <f t="shared" si="105"/>
        <v>#VALUE!</v>
      </c>
      <c r="P396" s="43" t="e">
        <f>ROUND(IF(Preenchimento!$G$39="Tabela Price",R396-Q396,(O395*(1+$AD$35))/($AD$28-C395)),$P$22)</f>
        <v>#VALUE!</v>
      </c>
      <c r="Q396" s="43" t="e">
        <f>IF(Preenchimento!$G$39="Tabela Price",O395*(1+$AD$35)*W396,O395*(1+SAC!$AD$35)*SAC!W396)</f>
        <v>#VALUE!</v>
      </c>
      <c r="R396" s="43" t="e">
        <f>IF(Preenchimento!$G$39="Tabela Price",IF(C396="","",((((((1+W396)^($Q$16-C395))*W396)/((1+W396)^($Q$16-C395)-1))*(O395*(1+$AD$35))))),Q396+P396)</f>
        <v>#VALUE!</v>
      </c>
      <c r="S396" s="43" t="e">
        <f t="shared" ca="1" si="106"/>
        <v>#VALUE!</v>
      </c>
      <c r="T396" s="43">
        <f t="shared" si="92"/>
        <v>0</v>
      </c>
      <c r="U396" s="226">
        <f>TRUNC(T396*Condições!$C$102,2)</f>
        <v>0</v>
      </c>
      <c r="V396" s="82">
        <f t="shared" ca="1" si="93"/>
        <v>5</v>
      </c>
      <c r="W396" s="231" t="str">
        <f t="shared" si="107"/>
        <v/>
      </c>
      <c r="AI396" s="114">
        <f t="shared" si="95"/>
        <v>0</v>
      </c>
      <c r="AL396" s="477">
        <f t="shared" ca="1" si="96"/>
        <v>0</v>
      </c>
    </row>
    <row r="397" spans="2:38">
      <c r="B397" s="222">
        <f ca="1">Fixa!B397</f>
        <v>57512</v>
      </c>
      <c r="C397" s="223" t="str">
        <f>Fixa!C397</f>
        <v/>
      </c>
      <c r="D397" s="43" t="e">
        <f t="shared" si="97"/>
        <v>#VALUE!</v>
      </c>
      <c r="E397" s="43" t="e">
        <f t="shared" si="98"/>
        <v>#VALUE!</v>
      </c>
      <c r="F397" s="43" t="e">
        <f t="shared" si="99"/>
        <v>#VALUE!</v>
      </c>
      <c r="G397" s="43" t="e">
        <f t="shared" si="100"/>
        <v>#VALUE!</v>
      </c>
      <c r="H397" s="43" t="e">
        <f t="shared" ca="1" si="101"/>
        <v>#VALUE!</v>
      </c>
      <c r="I397" s="43">
        <f t="shared" si="102"/>
        <v>0</v>
      </c>
      <c r="J397" s="229">
        <f t="shared" si="88"/>
        <v>25</v>
      </c>
      <c r="K397" s="43">
        <f t="shared" si="103"/>
        <v>0</v>
      </c>
      <c r="M397" s="224"/>
      <c r="N397" s="225">
        <f t="shared" si="104"/>
        <v>0</v>
      </c>
      <c r="O397" s="43" t="e">
        <f t="shared" si="105"/>
        <v>#VALUE!</v>
      </c>
      <c r="P397" s="43" t="e">
        <f>ROUND(IF(Preenchimento!$G$39="Tabela Price",R397-Q397,(O396*(1+$AD$35))/($AD$28-C396)),$P$22)</f>
        <v>#VALUE!</v>
      </c>
      <c r="Q397" s="43" t="e">
        <f>IF(Preenchimento!$G$39="Tabela Price",O396*(1+$AD$35)*W397,O396*(1+SAC!$AD$35)*SAC!W397)</f>
        <v>#VALUE!</v>
      </c>
      <c r="R397" s="43" t="e">
        <f>IF(Preenchimento!$G$39="Tabela Price",IF(C397="","",((((((1+W397)^($Q$16-C396))*W397)/((1+W397)^($Q$16-C396)-1))*(O396*(1+$AD$35))))),Q397+P397)</f>
        <v>#VALUE!</v>
      </c>
      <c r="S397" s="43" t="e">
        <f t="shared" ca="1" si="106"/>
        <v>#VALUE!</v>
      </c>
      <c r="T397" s="43">
        <f t="shared" si="92"/>
        <v>0</v>
      </c>
      <c r="U397" s="226">
        <f>TRUNC(T397*Condições!$C$102,2)</f>
        <v>0</v>
      </c>
      <c r="V397" s="82">
        <f t="shared" ca="1" si="93"/>
        <v>6</v>
      </c>
      <c r="W397" s="231" t="str">
        <f t="shared" si="107"/>
        <v/>
      </c>
      <c r="AI397" s="114">
        <f t="shared" si="95"/>
        <v>0</v>
      </c>
      <c r="AL397" s="477">
        <f t="shared" ca="1" si="96"/>
        <v>0</v>
      </c>
    </row>
    <row r="398" spans="2:38">
      <c r="B398" s="222">
        <f ca="1">Fixa!B398</f>
        <v>57542</v>
      </c>
      <c r="C398" s="223" t="str">
        <f>Fixa!C398</f>
        <v/>
      </c>
      <c r="D398" s="43" t="e">
        <f t="shared" si="97"/>
        <v>#VALUE!</v>
      </c>
      <c r="E398" s="43" t="e">
        <f t="shared" si="98"/>
        <v>#VALUE!</v>
      </c>
      <c r="F398" s="43" t="e">
        <f t="shared" si="99"/>
        <v>#VALUE!</v>
      </c>
      <c r="G398" s="43" t="e">
        <f t="shared" si="100"/>
        <v>#VALUE!</v>
      </c>
      <c r="H398" s="43" t="e">
        <f t="shared" ca="1" si="101"/>
        <v>#VALUE!</v>
      </c>
      <c r="I398" s="43">
        <f t="shared" si="102"/>
        <v>0</v>
      </c>
      <c r="J398" s="229">
        <f t="shared" si="88"/>
        <v>25</v>
      </c>
      <c r="K398" s="43">
        <f t="shared" si="103"/>
        <v>0</v>
      </c>
      <c r="M398" s="224"/>
      <c r="N398" s="225">
        <f t="shared" si="104"/>
        <v>0</v>
      </c>
      <c r="O398" s="43" t="e">
        <f t="shared" si="105"/>
        <v>#VALUE!</v>
      </c>
      <c r="P398" s="43" t="e">
        <f>ROUND(IF(Preenchimento!$G$39="Tabela Price",R398-Q398,(O397*(1+$AD$35))/($AD$28-C397)),$P$22)</f>
        <v>#VALUE!</v>
      </c>
      <c r="Q398" s="43" t="e">
        <f>IF(Preenchimento!$G$39="Tabela Price",O397*(1+$AD$35)*W398,O397*(1+SAC!$AD$35)*SAC!W398)</f>
        <v>#VALUE!</v>
      </c>
      <c r="R398" s="43" t="e">
        <f>IF(Preenchimento!$G$39="Tabela Price",IF(C398="","",((((((1+W398)^($Q$16-C397))*W398)/((1+W398)^($Q$16-C397)-1))*(O397*(1+$AD$35))))),Q398+P398)</f>
        <v>#VALUE!</v>
      </c>
      <c r="S398" s="43" t="e">
        <f t="shared" ca="1" si="106"/>
        <v>#VALUE!</v>
      </c>
      <c r="T398" s="43">
        <f t="shared" si="92"/>
        <v>0</v>
      </c>
      <c r="U398" s="226">
        <f>TRUNC(T398*Condições!$C$102,2)</f>
        <v>0</v>
      </c>
      <c r="V398" s="82">
        <f t="shared" ca="1" si="93"/>
        <v>7</v>
      </c>
      <c r="W398" s="231" t="str">
        <f t="shared" si="107"/>
        <v/>
      </c>
      <c r="AI398" s="114">
        <f t="shared" si="95"/>
        <v>0</v>
      </c>
      <c r="AL398" s="477">
        <f t="shared" ca="1" si="96"/>
        <v>0</v>
      </c>
    </row>
    <row r="399" spans="2:38">
      <c r="B399" s="222">
        <f ca="1">Fixa!B399</f>
        <v>57573</v>
      </c>
      <c r="C399" s="223" t="str">
        <f>Fixa!C399</f>
        <v/>
      </c>
      <c r="D399" s="43" t="e">
        <f t="shared" si="97"/>
        <v>#VALUE!</v>
      </c>
      <c r="E399" s="43" t="e">
        <f t="shared" si="98"/>
        <v>#VALUE!</v>
      </c>
      <c r="F399" s="43" t="e">
        <f t="shared" si="99"/>
        <v>#VALUE!</v>
      </c>
      <c r="G399" s="43" t="e">
        <f t="shared" si="100"/>
        <v>#VALUE!</v>
      </c>
      <c r="H399" s="43" t="e">
        <f t="shared" ca="1" si="101"/>
        <v>#VALUE!</v>
      </c>
      <c r="I399" s="43">
        <f t="shared" si="102"/>
        <v>0</v>
      </c>
      <c r="J399" s="229">
        <f t="shared" si="88"/>
        <v>25</v>
      </c>
      <c r="K399" s="43">
        <f t="shared" si="103"/>
        <v>0</v>
      </c>
      <c r="M399" s="224"/>
      <c r="N399" s="225">
        <f t="shared" si="104"/>
        <v>0</v>
      </c>
      <c r="O399" s="43" t="e">
        <f t="shared" si="105"/>
        <v>#VALUE!</v>
      </c>
      <c r="P399" s="43" t="e">
        <f>ROUND(IF(Preenchimento!$G$39="Tabela Price",R399-Q399,(O398*(1+$AD$35))/($AD$28-C398)),$P$22)</f>
        <v>#VALUE!</v>
      </c>
      <c r="Q399" s="43" t="e">
        <f>IF(Preenchimento!$G$39="Tabela Price",O398*(1+$AD$35)*W399,O398*(1+SAC!$AD$35)*SAC!W399)</f>
        <v>#VALUE!</v>
      </c>
      <c r="R399" s="43" t="e">
        <f>IF(Preenchimento!$G$39="Tabela Price",IF(C399="","",((((((1+W399)^($Q$16-C398))*W399)/((1+W399)^($Q$16-C398)-1))*(O398*(1+$AD$35))))),Q399+P399)</f>
        <v>#VALUE!</v>
      </c>
      <c r="S399" s="43" t="e">
        <f t="shared" ca="1" si="106"/>
        <v>#VALUE!</v>
      </c>
      <c r="T399" s="43">
        <f t="shared" si="92"/>
        <v>0</v>
      </c>
      <c r="U399" s="226">
        <f>TRUNC(T399*Condições!$C$102,2)</f>
        <v>0</v>
      </c>
      <c r="V399" s="82">
        <f t="shared" ca="1" si="93"/>
        <v>8</v>
      </c>
      <c r="W399" s="231" t="str">
        <f t="shared" si="107"/>
        <v/>
      </c>
      <c r="AI399" s="114">
        <f t="shared" si="95"/>
        <v>0</v>
      </c>
      <c r="AL399" s="477">
        <f t="shared" ca="1" si="96"/>
        <v>0</v>
      </c>
    </row>
    <row r="400" spans="2:38">
      <c r="B400" s="222">
        <f ca="1">Fixa!B400</f>
        <v>57604</v>
      </c>
      <c r="C400" s="223" t="str">
        <f>Fixa!C400</f>
        <v/>
      </c>
      <c r="D400" s="43" t="e">
        <f t="shared" si="97"/>
        <v>#VALUE!</v>
      </c>
      <c r="E400" s="43" t="e">
        <f t="shared" si="98"/>
        <v>#VALUE!</v>
      </c>
      <c r="F400" s="43" t="e">
        <f t="shared" si="99"/>
        <v>#VALUE!</v>
      </c>
      <c r="G400" s="43" t="e">
        <f t="shared" si="100"/>
        <v>#VALUE!</v>
      </c>
      <c r="H400" s="43" t="e">
        <f t="shared" ca="1" si="101"/>
        <v>#VALUE!</v>
      </c>
      <c r="I400" s="43">
        <f t="shared" si="102"/>
        <v>0</v>
      </c>
      <c r="J400" s="229">
        <f t="shared" si="88"/>
        <v>25</v>
      </c>
      <c r="K400" s="43">
        <f t="shared" si="103"/>
        <v>0</v>
      </c>
      <c r="M400" s="224"/>
      <c r="N400" s="225">
        <f t="shared" si="104"/>
        <v>0</v>
      </c>
      <c r="O400" s="43" t="e">
        <f t="shared" si="105"/>
        <v>#VALUE!</v>
      </c>
      <c r="P400" s="43" t="e">
        <f>ROUND(IF(Preenchimento!$G$39="Tabela Price",R400-Q400,(O399*(1+$AD$35))/($AD$28-C399)),$P$22)</f>
        <v>#VALUE!</v>
      </c>
      <c r="Q400" s="43" t="e">
        <f>IF(Preenchimento!$G$39="Tabela Price",O399*(1+$AD$35)*W400,O399*(1+SAC!$AD$35)*SAC!W400)</f>
        <v>#VALUE!</v>
      </c>
      <c r="R400" s="43" t="e">
        <f>IF(Preenchimento!$G$39="Tabela Price",IF(C400="","",((((((1+W400)^($Q$16-C399))*W400)/((1+W400)^($Q$16-C399)-1))*(O399*(1+$AD$35))))),Q400+P400)</f>
        <v>#VALUE!</v>
      </c>
      <c r="S400" s="43" t="e">
        <f t="shared" ca="1" si="106"/>
        <v>#VALUE!</v>
      </c>
      <c r="T400" s="43">
        <f t="shared" si="92"/>
        <v>0</v>
      </c>
      <c r="U400" s="226">
        <f>TRUNC(T400*Condições!$C$102,2)</f>
        <v>0</v>
      </c>
      <c r="V400" s="82">
        <f t="shared" ca="1" si="93"/>
        <v>9</v>
      </c>
      <c r="W400" s="231" t="str">
        <f t="shared" si="107"/>
        <v/>
      </c>
      <c r="AI400" s="114">
        <f t="shared" si="95"/>
        <v>0</v>
      </c>
      <c r="AL400" s="477">
        <f t="shared" ca="1" si="96"/>
        <v>0</v>
      </c>
    </row>
    <row r="401" spans="2:38">
      <c r="B401" s="222">
        <f ca="1">Fixa!B401</f>
        <v>57634</v>
      </c>
      <c r="C401" s="223" t="str">
        <f>Fixa!C401</f>
        <v/>
      </c>
      <c r="D401" s="43" t="e">
        <f t="shared" si="97"/>
        <v>#VALUE!</v>
      </c>
      <c r="E401" s="43" t="e">
        <f t="shared" si="98"/>
        <v>#VALUE!</v>
      </c>
      <c r="F401" s="43" t="e">
        <f t="shared" si="99"/>
        <v>#VALUE!</v>
      </c>
      <c r="G401" s="43" t="e">
        <f t="shared" si="100"/>
        <v>#VALUE!</v>
      </c>
      <c r="H401" s="43" t="e">
        <f t="shared" ca="1" si="101"/>
        <v>#VALUE!</v>
      </c>
      <c r="I401" s="43">
        <f t="shared" si="102"/>
        <v>0</v>
      </c>
      <c r="J401" s="229">
        <f t="shared" si="88"/>
        <v>25</v>
      </c>
      <c r="K401" s="43">
        <f t="shared" si="103"/>
        <v>0</v>
      </c>
      <c r="M401" s="224"/>
      <c r="N401" s="225">
        <f t="shared" si="104"/>
        <v>0</v>
      </c>
      <c r="O401" s="43" t="e">
        <f t="shared" si="105"/>
        <v>#VALUE!</v>
      </c>
      <c r="P401" s="43" t="e">
        <f>ROUND(IF(Preenchimento!$G$39="Tabela Price",R401-Q401,(O400*(1+$AD$35))/($AD$28-C400)),$P$22)</f>
        <v>#VALUE!</v>
      </c>
      <c r="Q401" s="43" t="e">
        <f>IF(Preenchimento!$G$39="Tabela Price",O400*(1+$AD$35)*W401,O400*(1+SAC!$AD$35)*SAC!W401)</f>
        <v>#VALUE!</v>
      </c>
      <c r="R401" s="43" t="e">
        <f>IF(Preenchimento!$G$39="Tabela Price",IF(C401="","",((((((1+W401)^($Q$16-C400))*W401)/((1+W401)^($Q$16-C400)-1))*(O400*(1+$AD$35))))),Q401+P401)</f>
        <v>#VALUE!</v>
      </c>
      <c r="S401" s="43" t="e">
        <f t="shared" ca="1" si="106"/>
        <v>#VALUE!</v>
      </c>
      <c r="T401" s="43">
        <f t="shared" si="92"/>
        <v>0</v>
      </c>
      <c r="U401" s="226">
        <f>TRUNC(T401*Condições!$C$102,2)</f>
        <v>0</v>
      </c>
      <c r="V401" s="82">
        <f t="shared" ca="1" si="93"/>
        <v>10</v>
      </c>
      <c r="W401" s="231" t="str">
        <f t="shared" si="107"/>
        <v/>
      </c>
      <c r="AI401" s="114">
        <f t="shared" si="95"/>
        <v>0</v>
      </c>
      <c r="AL401" s="477">
        <f t="shared" ca="1" si="96"/>
        <v>0</v>
      </c>
    </row>
    <row r="402" spans="2:38">
      <c r="B402" s="222">
        <f ca="1">Fixa!B402</f>
        <v>57665</v>
      </c>
      <c r="C402" s="223" t="str">
        <f>Fixa!C402</f>
        <v/>
      </c>
      <c r="D402" s="43" t="e">
        <f t="shared" si="97"/>
        <v>#VALUE!</v>
      </c>
      <c r="E402" s="43" t="e">
        <f t="shared" si="98"/>
        <v>#VALUE!</v>
      </c>
      <c r="F402" s="43" t="e">
        <f t="shared" si="99"/>
        <v>#VALUE!</v>
      </c>
      <c r="G402" s="43" t="e">
        <f t="shared" si="100"/>
        <v>#VALUE!</v>
      </c>
      <c r="H402" s="43" t="e">
        <f t="shared" ca="1" si="101"/>
        <v>#VALUE!</v>
      </c>
      <c r="I402" s="43">
        <f t="shared" si="102"/>
        <v>0</v>
      </c>
      <c r="J402" s="229">
        <f t="shared" si="88"/>
        <v>25</v>
      </c>
      <c r="K402" s="43">
        <f t="shared" si="103"/>
        <v>0</v>
      </c>
      <c r="M402" s="224"/>
      <c r="N402" s="225">
        <f t="shared" si="104"/>
        <v>0</v>
      </c>
      <c r="O402" s="43" t="e">
        <f t="shared" si="105"/>
        <v>#VALUE!</v>
      </c>
      <c r="P402" s="43" t="e">
        <f>ROUND(IF(Preenchimento!$G$39="Tabela Price",R402-Q402,(O401*(1+$AD$35))/($AD$28-C401)),$P$22)</f>
        <v>#VALUE!</v>
      </c>
      <c r="Q402" s="43" t="e">
        <f>IF(Preenchimento!$G$39="Tabela Price",O401*(1+$AD$35)*W402,O401*(1+SAC!$AD$35)*SAC!W402)</f>
        <v>#VALUE!</v>
      </c>
      <c r="R402" s="43" t="e">
        <f>IF(Preenchimento!$G$39="Tabela Price",IF(C402="","",((((((1+W402)^($Q$16-C401))*W402)/((1+W402)^($Q$16-C401)-1))*(O401*(1+$AD$35))))),Q402+P402)</f>
        <v>#VALUE!</v>
      </c>
      <c r="S402" s="43" t="e">
        <f t="shared" ca="1" si="106"/>
        <v>#VALUE!</v>
      </c>
      <c r="T402" s="43">
        <f t="shared" si="92"/>
        <v>0</v>
      </c>
      <c r="U402" s="226">
        <f>TRUNC(T402*Condições!$C$102,2)</f>
        <v>0</v>
      </c>
      <c r="V402" s="82">
        <f t="shared" ca="1" si="93"/>
        <v>11</v>
      </c>
      <c r="W402" s="231" t="str">
        <f t="shared" si="107"/>
        <v/>
      </c>
      <c r="AI402" s="114">
        <f t="shared" si="95"/>
        <v>0</v>
      </c>
      <c r="AL402" s="477">
        <f t="shared" ca="1" si="96"/>
        <v>0</v>
      </c>
    </row>
    <row r="403" spans="2:38">
      <c r="B403" s="222">
        <f ca="1">Fixa!B403</f>
        <v>57695</v>
      </c>
      <c r="C403" s="223" t="str">
        <f>Fixa!C403</f>
        <v/>
      </c>
      <c r="D403" s="43" t="e">
        <f t="shared" si="97"/>
        <v>#VALUE!</v>
      </c>
      <c r="E403" s="43" t="e">
        <f t="shared" si="98"/>
        <v>#VALUE!</v>
      </c>
      <c r="F403" s="43" t="e">
        <f t="shared" si="99"/>
        <v>#VALUE!</v>
      </c>
      <c r="G403" s="43" t="e">
        <f t="shared" si="100"/>
        <v>#VALUE!</v>
      </c>
      <c r="H403" s="43" t="e">
        <f t="shared" ca="1" si="101"/>
        <v>#VALUE!</v>
      </c>
      <c r="I403" s="43">
        <f t="shared" si="102"/>
        <v>0</v>
      </c>
      <c r="J403" s="229">
        <f t="shared" si="88"/>
        <v>25</v>
      </c>
      <c r="K403" s="43">
        <f t="shared" si="103"/>
        <v>0</v>
      </c>
      <c r="M403" s="224"/>
      <c r="N403" s="225">
        <f t="shared" si="104"/>
        <v>0</v>
      </c>
      <c r="O403" s="43" t="e">
        <f t="shared" si="105"/>
        <v>#VALUE!</v>
      </c>
      <c r="P403" s="43" t="e">
        <f>ROUND(IF(Preenchimento!$G$39="Tabela Price",R403-Q403,(O402*(1+$AD$35))/($AD$28-C402)),$P$22)</f>
        <v>#VALUE!</v>
      </c>
      <c r="Q403" s="43" t="e">
        <f>IF(Preenchimento!$G$39="Tabela Price",O402*(1+$AD$35)*W403,O402*(1+SAC!$AD$35)*SAC!W403)</f>
        <v>#VALUE!</v>
      </c>
      <c r="R403" s="43" t="e">
        <f>IF(Preenchimento!$G$39="Tabela Price",IF(C403="","",((((((1+W403)^($Q$16-C402))*W403)/((1+W403)^($Q$16-C402)-1))*(O402*(1+$AD$35))))),Q403+P403)</f>
        <v>#VALUE!</v>
      </c>
      <c r="S403" s="43" t="e">
        <f t="shared" ca="1" si="106"/>
        <v>#VALUE!</v>
      </c>
      <c r="T403" s="43">
        <f t="shared" si="92"/>
        <v>0</v>
      </c>
      <c r="U403" s="226">
        <f>TRUNC(T403*Condições!$C$102,2)</f>
        <v>0</v>
      </c>
      <c r="V403" s="82">
        <f t="shared" ca="1" si="93"/>
        <v>12</v>
      </c>
      <c r="W403" s="231" t="str">
        <f t="shared" si="107"/>
        <v/>
      </c>
      <c r="AI403" s="114">
        <f t="shared" si="95"/>
        <v>0</v>
      </c>
      <c r="AL403" s="477">
        <f t="shared" ca="1" si="96"/>
        <v>0</v>
      </c>
    </row>
    <row r="404" spans="2:38">
      <c r="B404" s="222">
        <f ca="1">Fixa!B404</f>
        <v>57726</v>
      </c>
      <c r="C404" s="223" t="str">
        <f>Fixa!C404</f>
        <v/>
      </c>
      <c r="D404" s="43" t="e">
        <f t="shared" si="97"/>
        <v>#VALUE!</v>
      </c>
      <c r="E404" s="43" t="e">
        <f t="shared" si="98"/>
        <v>#VALUE!</v>
      </c>
      <c r="F404" s="43" t="e">
        <f t="shared" si="99"/>
        <v>#VALUE!</v>
      </c>
      <c r="G404" s="43" t="e">
        <f t="shared" si="100"/>
        <v>#VALUE!</v>
      </c>
      <c r="H404" s="43" t="e">
        <f t="shared" ca="1" si="101"/>
        <v>#VALUE!</v>
      </c>
      <c r="I404" s="43">
        <f t="shared" si="102"/>
        <v>0</v>
      </c>
      <c r="J404" s="229">
        <f t="shared" si="88"/>
        <v>25</v>
      </c>
      <c r="K404" s="43">
        <f t="shared" si="103"/>
        <v>0</v>
      </c>
      <c r="M404" s="224"/>
      <c r="N404" s="225">
        <f t="shared" si="104"/>
        <v>0</v>
      </c>
      <c r="O404" s="43" t="e">
        <f t="shared" si="105"/>
        <v>#VALUE!</v>
      </c>
      <c r="P404" s="43" t="e">
        <f>ROUND(IF(Preenchimento!$G$39="Tabela Price",R404-Q404,(O403*(1+$AD$35))/($AD$28-C403)),$P$22)</f>
        <v>#VALUE!</v>
      </c>
      <c r="Q404" s="43" t="e">
        <f>IF(Preenchimento!$G$39="Tabela Price",O403*(1+$AD$35)*W404,O403*(1+SAC!$AD$35)*SAC!W404)</f>
        <v>#VALUE!</v>
      </c>
      <c r="R404" s="43" t="e">
        <f>IF(Preenchimento!$G$39="Tabela Price",IF(C404="","",((((((1+W404)^($Q$16-C403))*W404)/((1+W404)^($Q$16-C403)-1))*(O403*(1+$AD$35))))),Q404+P404)</f>
        <v>#VALUE!</v>
      </c>
      <c r="S404" s="43" t="e">
        <f t="shared" ca="1" si="106"/>
        <v>#VALUE!</v>
      </c>
      <c r="T404" s="43">
        <f t="shared" si="92"/>
        <v>0</v>
      </c>
      <c r="U404" s="226">
        <f>TRUNC(T404*Condições!$C$102,2)</f>
        <v>0</v>
      </c>
      <c r="V404" s="82">
        <f t="shared" ca="1" si="93"/>
        <v>1</v>
      </c>
      <c r="W404" s="231" t="str">
        <f t="shared" si="107"/>
        <v/>
      </c>
      <c r="AI404" s="114">
        <f t="shared" si="95"/>
        <v>0</v>
      </c>
      <c r="AL404" s="477">
        <f t="shared" ca="1" si="96"/>
        <v>0</v>
      </c>
    </row>
    <row r="405" spans="2:38">
      <c r="B405" s="222">
        <f ca="1">Fixa!B405</f>
        <v>57757</v>
      </c>
      <c r="C405" s="223" t="str">
        <f>Fixa!C405</f>
        <v/>
      </c>
      <c r="D405" s="43" t="e">
        <f t="shared" si="97"/>
        <v>#VALUE!</v>
      </c>
      <c r="E405" s="43" t="e">
        <f t="shared" si="98"/>
        <v>#VALUE!</v>
      </c>
      <c r="F405" s="43" t="e">
        <f t="shared" si="99"/>
        <v>#VALUE!</v>
      </c>
      <c r="G405" s="43" t="e">
        <f t="shared" si="100"/>
        <v>#VALUE!</v>
      </c>
      <c r="H405" s="43" t="e">
        <f t="shared" ca="1" si="101"/>
        <v>#VALUE!</v>
      </c>
      <c r="I405" s="43">
        <f t="shared" si="102"/>
        <v>0</v>
      </c>
      <c r="J405" s="229">
        <f t="shared" si="88"/>
        <v>25</v>
      </c>
      <c r="K405" s="43">
        <f t="shared" si="103"/>
        <v>0</v>
      </c>
      <c r="M405" s="224"/>
      <c r="N405" s="225">
        <f t="shared" si="104"/>
        <v>0</v>
      </c>
      <c r="O405" s="43" t="e">
        <f t="shared" si="105"/>
        <v>#VALUE!</v>
      </c>
      <c r="P405" s="43" t="e">
        <f>ROUND(IF(Preenchimento!$G$39="Tabela Price",R405-Q405,(O404*(1+$AD$35))/($AD$28-C404)),$P$22)</f>
        <v>#VALUE!</v>
      </c>
      <c r="Q405" s="43" t="e">
        <f>IF(Preenchimento!$G$39="Tabela Price",O404*(1+$AD$35)*W405,O404*(1+SAC!$AD$35)*SAC!W405)</f>
        <v>#VALUE!</v>
      </c>
      <c r="R405" s="43" t="e">
        <f>IF(Preenchimento!$G$39="Tabela Price",IF(C405="","",((((((1+W405)^($Q$16-C404))*W405)/((1+W405)^($Q$16-C404)-1))*(O404*(1+$AD$35))))),Q405+P405)</f>
        <v>#VALUE!</v>
      </c>
      <c r="S405" s="43" t="e">
        <f t="shared" ca="1" si="106"/>
        <v>#VALUE!</v>
      </c>
      <c r="T405" s="43">
        <f t="shared" si="92"/>
        <v>0</v>
      </c>
      <c r="U405" s="226">
        <f>TRUNC(T405*Condições!$C$102,2)</f>
        <v>0</v>
      </c>
      <c r="V405" s="82">
        <f t="shared" ca="1" si="93"/>
        <v>2</v>
      </c>
      <c r="W405" s="231" t="str">
        <f t="shared" si="107"/>
        <v/>
      </c>
      <c r="AI405" s="114">
        <f t="shared" si="95"/>
        <v>0</v>
      </c>
      <c r="AL405" s="477">
        <f t="shared" ca="1" si="96"/>
        <v>0</v>
      </c>
    </row>
    <row r="406" spans="2:38">
      <c r="B406" s="222">
        <f ca="1">Fixa!B406</f>
        <v>57785</v>
      </c>
      <c r="C406" s="223" t="str">
        <f>Fixa!C406</f>
        <v/>
      </c>
      <c r="D406" s="43" t="e">
        <f t="shared" si="97"/>
        <v>#VALUE!</v>
      </c>
      <c r="E406" s="43" t="e">
        <f t="shared" si="98"/>
        <v>#VALUE!</v>
      </c>
      <c r="F406" s="43" t="e">
        <f t="shared" si="99"/>
        <v>#VALUE!</v>
      </c>
      <c r="G406" s="43" t="e">
        <f t="shared" si="100"/>
        <v>#VALUE!</v>
      </c>
      <c r="H406" s="43" t="e">
        <f t="shared" ca="1" si="101"/>
        <v>#VALUE!</v>
      </c>
      <c r="I406" s="43">
        <f t="shared" si="102"/>
        <v>0</v>
      </c>
      <c r="J406" s="229">
        <f t="shared" si="88"/>
        <v>25</v>
      </c>
      <c r="K406" s="43">
        <f t="shared" si="103"/>
        <v>0</v>
      </c>
      <c r="M406" s="224"/>
      <c r="N406" s="225">
        <f t="shared" si="104"/>
        <v>0</v>
      </c>
      <c r="O406" s="43" t="e">
        <f t="shared" si="105"/>
        <v>#VALUE!</v>
      </c>
      <c r="P406" s="43" t="e">
        <f>ROUND(IF(Preenchimento!$G$39="Tabela Price",R406-Q406,(O405*(1+$AD$35))/($AD$28-C405)),$P$22)</f>
        <v>#VALUE!</v>
      </c>
      <c r="Q406" s="43" t="e">
        <f>IF(Preenchimento!$G$39="Tabela Price",O405*(1+$AD$35)*W406,O405*(1+SAC!$AD$35)*SAC!W406)</f>
        <v>#VALUE!</v>
      </c>
      <c r="R406" s="43" t="e">
        <f>IF(Preenchimento!$G$39="Tabela Price",IF(C406="","",((((((1+W406)^($Q$16-C405))*W406)/((1+W406)^($Q$16-C405)-1))*(O405*(1+$AD$35))))),Q406+P406)</f>
        <v>#VALUE!</v>
      </c>
      <c r="S406" s="43" t="e">
        <f t="shared" ca="1" si="106"/>
        <v>#VALUE!</v>
      </c>
      <c r="T406" s="43">
        <f t="shared" si="92"/>
        <v>0</v>
      </c>
      <c r="U406" s="226">
        <f>TRUNC(T406*Condições!$C$102,2)</f>
        <v>0</v>
      </c>
      <c r="V406" s="82">
        <f t="shared" ca="1" si="93"/>
        <v>3</v>
      </c>
      <c r="W406" s="231" t="str">
        <f t="shared" si="107"/>
        <v/>
      </c>
      <c r="AI406" s="114">
        <f t="shared" si="95"/>
        <v>0</v>
      </c>
      <c r="AL406" s="477">
        <f t="shared" ca="1" si="96"/>
        <v>0</v>
      </c>
    </row>
    <row r="407" spans="2:38">
      <c r="B407" s="222">
        <f ca="1">Fixa!B407</f>
        <v>57816</v>
      </c>
      <c r="C407" s="223" t="str">
        <f>Fixa!C407</f>
        <v/>
      </c>
      <c r="D407" s="43" t="e">
        <f t="shared" si="97"/>
        <v>#VALUE!</v>
      </c>
      <c r="E407" s="43" t="e">
        <f t="shared" si="98"/>
        <v>#VALUE!</v>
      </c>
      <c r="F407" s="43" t="e">
        <f t="shared" si="99"/>
        <v>#VALUE!</v>
      </c>
      <c r="G407" s="43" t="e">
        <f t="shared" si="100"/>
        <v>#VALUE!</v>
      </c>
      <c r="H407" s="43" t="e">
        <f t="shared" ca="1" si="101"/>
        <v>#VALUE!</v>
      </c>
      <c r="I407" s="43">
        <f t="shared" si="102"/>
        <v>0</v>
      </c>
      <c r="J407" s="229">
        <f t="shared" si="88"/>
        <v>25</v>
      </c>
      <c r="K407" s="43">
        <f t="shared" si="103"/>
        <v>0</v>
      </c>
      <c r="M407" s="224"/>
      <c r="N407" s="225">
        <f t="shared" si="104"/>
        <v>0</v>
      </c>
      <c r="O407" s="43" t="e">
        <f t="shared" si="105"/>
        <v>#VALUE!</v>
      </c>
      <c r="P407" s="43" t="e">
        <f>ROUND(IF(Preenchimento!$G$39="Tabela Price",R407-Q407,(O406*(1+$AD$35))/($AD$28-C406)),$P$22)</f>
        <v>#VALUE!</v>
      </c>
      <c r="Q407" s="43" t="e">
        <f>IF(Preenchimento!$G$39="Tabela Price",O406*(1+$AD$35)*W407,O406*(1+SAC!$AD$35)*SAC!W407)</f>
        <v>#VALUE!</v>
      </c>
      <c r="R407" s="43" t="e">
        <f>IF(Preenchimento!$G$39="Tabela Price",IF(C407="","",((((((1+W407)^($Q$16-C406))*W407)/((1+W407)^($Q$16-C406)-1))*(O406*(1+$AD$35))))),Q407+P407)</f>
        <v>#VALUE!</v>
      </c>
      <c r="S407" s="43" t="e">
        <f t="shared" ca="1" si="106"/>
        <v>#VALUE!</v>
      </c>
      <c r="T407" s="43">
        <f t="shared" si="92"/>
        <v>0</v>
      </c>
      <c r="U407" s="226">
        <f>TRUNC(T407*Condições!$C$102,2)</f>
        <v>0</v>
      </c>
      <c r="V407" s="82">
        <f t="shared" ca="1" si="93"/>
        <v>4</v>
      </c>
      <c r="W407" s="231" t="str">
        <f t="shared" si="107"/>
        <v/>
      </c>
      <c r="AI407" s="114">
        <f t="shared" si="95"/>
        <v>0</v>
      </c>
      <c r="AL407" s="477">
        <f t="shared" ca="1" si="96"/>
        <v>0</v>
      </c>
    </row>
    <row r="408" spans="2:38">
      <c r="B408" s="222">
        <f ca="1">Fixa!B408</f>
        <v>57846</v>
      </c>
      <c r="C408" s="223" t="str">
        <f>Fixa!C408</f>
        <v/>
      </c>
      <c r="D408" s="43" t="e">
        <f t="shared" si="97"/>
        <v>#VALUE!</v>
      </c>
      <c r="E408" s="43" t="e">
        <f t="shared" si="98"/>
        <v>#VALUE!</v>
      </c>
      <c r="F408" s="43" t="e">
        <f t="shared" si="99"/>
        <v>#VALUE!</v>
      </c>
      <c r="G408" s="43" t="e">
        <f t="shared" si="100"/>
        <v>#VALUE!</v>
      </c>
      <c r="H408" s="43" t="e">
        <f t="shared" ca="1" si="101"/>
        <v>#VALUE!</v>
      </c>
      <c r="I408" s="43">
        <f t="shared" si="102"/>
        <v>0</v>
      </c>
      <c r="J408" s="229">
        <f t="shared" si="88"/>
        <v>25</v>
      </c>
      <c r="K408" s="43">
        <f t="shared" si="103"/>
        <v>0</v>
      </c>
      <c r="M408" s="224"/>
      <c r="N408" s="225">
        <f t="shared" si="104"/>
        <v>0</v>
      </c>
      <c r="O408" s="43" t="e">
        <f t="shared" si="105"/>
        <v>#VALUE!</v>
      </c>
      <c r="P408" s="43" t="e">
        <f>ROUND(IF(Preenchimento!$G$39="Tabela Price",R408-Q408,(O407*(1+$AD$35))/($AD$28-C407)),$P$22)</f>
        <v>#VALUE!</v>
      </c>
      <c r="Q408" s="43" t="e">
        <f>IF(Preenchimento!$G$39="Tabela Price",O407*(1+$AD$35)*W408,O407*(1+SAC!$AD$35)*SAC!W408)</f>
        <v>#VALUE!</v>
      </c>
      <c r="R408" s="43" t="e">
        <f>IF(Preenchimento!$G$39="Tabela Price",IF(C408="","",((((((1+W408)^($Q$16-C407))*W408)/((1+W408)^($Q$16-C407)-1))*(O407*(1+$AD$35))))),Q408+P408)</f>
        <v>#VALUE!</v>
      </c>
      <c r="S408" s="43" t="e">
        <f t="shared" ca="1" si="106"/>
        <v>#VALUE!</v>
      </c>
      <c r="T408" s="43">
        <f t="shared" si="92"/>
        <v>0</v>
      </c>
      <c r="U408" s="226">
        <f>TRUNC(T408*Condições!$C$102,2)</f>
        <v>0</v>
      </c>
      <c r="V408" s="82">
        <f t="shared" ca="1" si="93"/>
        <v>5</v>
      </c>
      <c r="W408" s="231" t="str">
        <f t="shared" si="107"/>
        <v/>
      </c>
      <c r="AI408" s="114">
        <f t="shared" si="95"/>
        <v>0</v>
      </c>
      <c r="AL408" s="477">
        <f t="shared" ca="1" si="96"/>
        <v>0</v>
      </c>
    </row>
    <row r="409" spans="2:38">
      <c r="B409" s="222">
        <f ca="1">Fixa!B409</f>
        <v>57877</v>
      </c>
      <c r="C409" s="223" t="str">
        <f>Fixa!C409</f>
        <v/>
      </c>
      <c r="D409" s="43" t="e">
        <f t="shared" si="97"/>
        <v>#VALUE!</v>
      </c>
      <c r="E409" s="43" t="e">
        <f t="shared" si="98"/>
        <v>#VALUE!</v>
      </c>
      <c r="F409" s="43" t="e">
        <f t="shared" si="99"/>
        <v>#VALUE!</v>
      </c>
      <c r="G409" s="43" t="e">
        <f t="shared" si="100"/>
        <v>#VALUE!</v>
      </c>
      <c r="H409" s="43" t="e">
        <f t="shared" ca="1" si="101"/>
        <v>#VALUE!</v>
      </c>
      <c r="I409" s="43">
        <f t="shared" si="102"/>
        <v>0</v>
      </c>
      <c r="J409" s="229">
        <f t="shared" si="88"/>
        <v>25</v>
      </c>
      <c r="K409" s="43">
        <f t="shared" si="103"/>
        <v>0</v>
      </c>
      <c r="M409" s="224"/>
      <c r="N409" s="225">
        <f t="shared" si="104"/>
        <v>0</v>
      </c>
      <c r="O409" s="43" t="e">
        <f t="shared" si="105"/>
        <v>#VALUE!</v>
      </c>
      <c r="P409" s="43" t="e">
        <f>ROUND(IF(Preenchimento!$G$39="Tabela Price",R409-Q409,(O408*(1+$AD$35))/($AD$28-C408)),$P$22)</f>
        <v>#VALUE!</v>
      </c>
      <c r="Q409" s="43" t="e">
        <f>IF(Preenchimento!$G$39="Tabela Price",O408*(1+$AD$35)*W409,O408*(1+SAC!$AD$35)*SAC!W409)</f>
        <v>#VALUE!</v>
      </c>
      <c r="R409" s="43" t="e">
        <f>IF(Preenchimento!$G$39="Tabela Price",IF(C409="","",((((((1+W409)^($Q$16-C408))*W409)/((1+W409)^($Q$16-C408)-1))*(O408*(1+$AD$35))))),Q409+P409)</f>
        <v>#VALUE!</v>
      </c>
      <c r="S409" s="43" t="e">
        <f t="shared" ca="1" si="106"/>
        <v>#VALUE!</v>
      </c>
      <c r="T409" s="43">
        <f t="shared" si="92"/>
        <v>0</v>
      </c>
      <c r="U409" s="226">
        <f>TRUNC(T409*Condições!$C$102,2)</f>
        <v>0</v>
      </c>
      <c r="V409" s="82">
        <f t="shared" ca="1" si="93"/>
        <v>6</v>
      </c>
      <c r="W409" s="231" t="str">
        <f t="shared" si="107"/>
        <v/>
      </c>
      <c r="AI409" s="114">
        <f t="shared" si="95"/>
        <v>0</v>
      </c>
      <c r="AL409" s="477">
        <f t="shared" ca="1" si="96"/>
        <v>0</v>
      </c>
    </row>
    <row r="410" spans="2:38">
      <c r="B410" s="222">
        <f ca="1">Fixa!B410</f>
        <v>57907</v>
      </c>
      <c r="C410" s="223" t="str">
        <f>Fixa!C410</f>
        <v/>
      </c>
      <c r="D410" s="43" t="e">
        <f t="shared" si="97"/>
        <v>#VALUE!</v>
      </c>
      <c r="E410" s="43" t="e">
        <f t="shared" si="98"/>
        <v>#VALUE!</v>
      </c>
      <c r="F410" s="43" t="e">
        <f t="shared" si="99"/>
        <v>#VALUE!</v>
      </c>
      <c r="G410" s="43" t="e">
        <f t="shared" si="100"/>
        <v>#VALUE!</v>
      </c>
      <c r="H410" s="43" t="e">
        <f t="shared" ca="1" si="101"/>
        <v>#VALUE!</v>
      </c>
      <c r="I410" s="43">
        <f t="shared" si="102"/>
        <v>0</v>
      </c>
      <c r="J410" s="229">
        <f t="shared" si="88"/>
        <v>25</v>
      </c>
      <c r="K410" s="43">
        <f t="shared" si="103"/>
        <v>0</v>
      </c>
      <c r="M410" s="224"/>
      <c r="N410" s="225">
        <f t="shared" si="104"/>
        <v>0</v>
      </c>
      <c r="O410" s="43" t="e">
        <f t="shared" si="105"/>
        <v>#VALUE!</v>
      </c>
      <c r="P410" s="43" t="e">
        <f>ROUND(IF(Preenchimento!$G$39="Tabela Price",R410-Q410,(O409*(1+$AD$35))/($AD$28-C409)),$P$22)</f>
        <v>#VALUE!</v>
      </c>
      <c r="Q410" s="43" t="e">
        <f>IF(Preenchimento!$G$39="Tabela Price",O409*(1+$AD$35)*W410,O409*(1+SAC!$AD$35)*SAC!W410)</f>
        <v>#VALUE!</v>
      </c>
      <c r="R410" s="43" t="e">
        <f>IF(Preenchimento!$G$39="Tabela Price",IF(C410="","",((((((1+W410)^($Q$16-C409))*W410)/((1+W410)^($Q$16-C409)-1))*(O409*(1+$AD$35))))),Q410+P410)</f>
        <v>#VALUE!</v>
      </c>
      <c r="S410" s="43" t="e">
        <f t="shared" ca="1" si="106"/>
        <v>#VALUE!</v>
      </c>
      <c r="T410" s="43">
        <f t="shared" si="92"/>
        <v>0</v>
      </c>
      <c r="U410" s="226">
        <f>TRUNC(T410*Condições!$C$102,2)</f>
        <v>0</v>
      </c>
      <c r="V410" s="82">
        <f t="shared" ca="1" si="93"/>
        <v>7</v>
      </c>
      <c r="W410" s="231" t="str">
        <f t="shared" si="107"/>
        <v/>
      </c>
      <c r="AI410" s="114">
        <f t="shared" si="95"/>
        <v>0</v>
      </c>
      <c r="AL410" s="477">
        <f t="shared" ca="1" si="96"/>
        <v>0</v>
      </c>
    </row>
    <row r="411" spans="2:38">
      <c r="B411" s="222">
        <f ca="1">Fixa!B411</f>
        <v>57938</v>
      </c>
      <c r="C411" s="223" t="str">
        <f>Fixa!C411</f>
        <v/>
      </c>
      <c r="D411" s="43" t="e">
        <f t="shared" si="97"/>
        <v>#VALUE!</v>
      </c>
      <c r="E411" s="43" t="e">
        <f t="shared" si="98"/>
        <v>#VALUE!</v>
      </c>
      <c r="F411" s="43" t="e">
        <f t="shared" si="99"/>
        <v>#VALUE!</v>
      </c>
      <c r="G411" s="43" t="e">
        <f t="shared" si="100"/>
        <v>#VALUE!</v>
      </c>
      <c r="H411" s="43" t="e">
        <f t="shared" ca="1" si="101"/>
        <v>#VALUE!</v>
      </c>
      <c r="I411" s="43">
        <f t="shared" si="102"/>
        <v>0</v>
      </c>
      <c r="J411" s="229">
        <f t="shared" ref="J411:J474" si="108">$AD$31</f>
        <v>25</v>
      </c>
      <c r="K411" s="43">
        <f t="shared" si="103"/>
        <v>0</v>
      </c>
      <c r="M411" s="224"/>
      <c r="N411" s="225">
        <f t="shared" si="104"/>
        <v>0</v>
      </c>
      <c r="O411" s="43" t="e">
        <f t="shared" si="105"/>
        <v>#VALUE!</v>
      </c>
      <c r="P411" s="43" t="e">
        <f>ROUND(IF(Preenchimento!$G$39="Tabela Price",R411-Q411,(O410*(1+$AD$35))/($AD$28-C410)),$P$22)</f>
        <v>#VALUE!</v>
      </c>
      <c r="Q411" s="43" t="e">
        <f>IF(Preenchimento!$G$39="Tabela Price",O410*(1+$AD$35)*W411,O410*(1+SAC!$AD$35)*SAC!W411)</f>
        <v>#VALUE!</v>
      </c>
      <c r="R411" s="43" t="e">
        <f>IF(Preenchimento!$G$39="Tabela Price",IF(C411="","",((((((1+W411)^($Q$16-C410))*W411)/((1+W411)^($Q$16-C410)-1))*(O410*(1+$AD$35))))),Q411+P411)</f>
        <v>#VALUE!</v>
      </c>
      <c r="S411" s="43" t="e">
        <f t="shared" ca="1" si="106"/>
        <v>#VALUE!</v>
      </c>
      <c r="T411" s="43">
        <f t="shared" ref="T411:T445" si="109">IF(C411&gt;=$AD$28,0,ROUND($AD$25*$AD$33,$P$22))</f>
        <v>0</v>
      </c>
      <c r="U411" s="226">
        <f>TRUNC(T411*Condições!$C$102,2)</f>
        <v>0</v>
      </c>
      <c r="V411" s="82">
        <f t="shared" ref="V411:V445" ca="1" si="110">MONTH(B411)</f>
        <v>8</v>
      </c>
      <c r="W411" s="231" t="str">
        <f t="shared" si="107"/>
        <v/>
      </c>
      <c r="AI411" s="114">
        <f t="shared" ref="AI411:AI474" si="111">IF(C411&gt;$AD$28,0,R411+S411+T411+U411+J411)</f>
        <v>0</v>
      </c>
      <c r="AL411" s="477">
        <f t="shared" ref="AL411:AL474" ca="1" si="112">IFERROR(IF(V410&gt;$AD$28,0,R411),0)</f>
        <v>0</v>
      </c>
    </row>
    <row r="412" spans="2:38">
      <c r="B412" s="222">
        <f ca="1">Fixa!B412</f>
        <v>57969</v>
      </c>
      <c r="C412" s="223" t="str">
        <f>Fixa!C412</f>
        <v/>
      </c>
      <c r="D412" s="43" t="e">
        <f t="shared" si="97"/>
        <v>#VALUE!</v>
      </c>
      <c r="E412" s="43" t="e">
        <f t="shared" si="98"/>
        <v>#VALUE!</v>
      </c>
      <c r="F412" s="43" t="e">
        <f t="shared" si="99"/>
        <v>#VALUE!</v>
      </c>
      <c r="G412" s="43" t="e">
        <f t="shared" si="100"/>
        <v>#VALUE!</v>
      </c>
      <c r="H412" s="43" t="e">
        <f t="shared" ca="1" si="101"/>
        <v>#VALUE!</v>
      </c>
      <c r="I412" s="43">
        <f t="shared" si="102"/>
        <v>0</v>
      </c>
      <c r="J412" s="229">
        <f t="shared" si="108"/>
        <v>25</v>
      </c>
      <c r="K412" s="43">
        <f t="shared" si="103"/>
        <v>0</v>
      </c>
      <c r="M412" s="224"/>
      <c r="N412" s="225">
        <f t="shared" si="104"/>
        <v>0</v>
      </c>
      <c r="O412" s="43" t="e">
        <f t="shared" si="105"/>
        <v>#VALUE!</v>
      </c>
      <c r="P412" s="43" t="e">
        <f>ROUND(IF(Preenchimento!$G$39="Tabela Price",R412-Q412,(O411*(1+$AD$35))/($AD$28-C411)),$P$22)</f>
        <v>#VALUE!</v>
      </c>
      <c r="Q412" s="43" t="e">
        <f>IF(Preenchimento!$G$39="Tabela Price",O411*(1+$AD$35)*W412,O411*(1+SAC!$AD$35)*SAC!W412)</f>
        <v>#VALUE!</v>
      </c>
      <c r="R412" s="43" t="e">
        <f>IF(Preenchimento!$G$39="Tabela Price",IF(C412="","",((((((1+W412)^($Q$16-C411))*W412)/((1+W412)^($Q$16-C411)-1))*(O411*(1+$AD$35))))),Q412+P412)</f>
        <v>#VALUE!</v>
      </c>
      <c r="S412" s="43" t="e">
        <f t="shared" ca="1" si="106"/>
        <v>#VALUE!</v>
      </c>
      <c r="T412" s="43">
        <f t="shared" si="109"/>
        <v>0</v>
      </c>
      <c r="U412" s="226">
        <f>TRUNC(T412*Condições!$C$102,2)</f>
        <v>0</v>
      </c>
      <c r="V412" s="82">
        <f t="shared" ca="1" si="110"/>
        <v>9</v>
      </c>
      <c r="W412" s="231" t="str">
        <f t="shared" si="107"/>
        <v/>
      </c>
      <c r="AI412" s="114">
        <f t="shared" si="111"/>
        <v>0</v>
      </c>
      <c r="AL412" s="477">
        <f t="shared" ca="1" si="112"/>
        <v>0</v>
      </c>
    </row>
    <row r="413" spans="2:38">
      <c r="B413" s="222">
        <f ca="1">Fixa!B413</f>
        <v>57999</v>
      </c>
      <c r="C413" s="223" t="str">
        <f>Fixa!C413</f>
        <v/>
      </c>
      <c r="D413" s="43" t="e">
        <f t="shared" si="97"/>
        <v>#VALUE!</v>
      </c>
      <c r="E413" s="43" t="e">
        <f t="shared" si="98"/>
        <v>#VALUE!</v>
      </c>
      <c r="F413" s="43" t="e">
        <f t="shared" si="99"/>
        <v>#VALUE!</v>
      </c>
      <c r="G413" s="43" t="e">
        <f t="shared" si="100"/>
        <v>#VALUE!</v>
      </c>
      <c r="H413" s="43" t="e">
        <f t="shared" ca="1" si="101"/>
        <v>#VALUE!</v>
      </c>
      <c r="I413" s="43">
        <f t="shared" si="102"/>
        <v>0</v>
      </c>
      <c r="J413" s="229">
        <f t="shared" si="108"/>
        <v>25</v>
      </c>
      <c r="K413" s="43">
        <f t="shared" si="103"/>
        <v>0</v>
      </c>
      <c r="M413" s="224"/>
      <c r="N413" s="225">
        <f t="shared" si="104"/>
        <v>0</v>
      </c>
      <c r="O413" s="43" t="e">
        <f t="shared" si="105"/>
        <v>#VALUE!</v>
      </c>
      <c r="P413" s="43" t="e">
        <f>ROUND(IF(Preenchimento!$G$39="Tabela Price",R413-Q413,(O412*(1+$AD$35))/($AD$28-C412)),$P$22)</f>
        <v>#VALUE!</v>
      </c>
      <c r="Q413" s="43" t="e">
        <f>IF(Preenchimento!$G$39="Tabela Price",O412*(1+$AD$35)*W413,O412*(1+SAC!$AD$35)*SAC!W413)</f>
        <v>#VALUE!</v>
      </c>
      <c r="R413" s="43" t="e">
        <f>IF(Preenchimento!$G$39="Tabela Price",IF(C413="","",((((((1+W413)^($Q$16-C412))*W413)/((1+W413)^($Q$16-C412)-1))*(O412*(1+$AD$35))))),Q413+P413)</f>
        <v>#VALUE!</v>
      </c>
      <c r="S413" s="43" t="e">
        <f t="shared" ca="1" si="106"/>
        <v>#VALUE!</v>
      </c>
      <c r="T413" s="43">
        <f t="shared" si="109"/>
        <v>0</v>
      </c>
      <c r="U413" s="226">
        <f>TRUNC(T413*Condições!$C$102,2)</f>
        <v>0</v>
      </c>
      <c r="V413" s="82">
        <f t="shared" ca="1" si="110"/>
        <v>10</v>
      </c>
      <c r="W413" s="231" t="str">
        <f t="shared" si="107"/>
        <v/>
      </c>
      <c r="AI413" s="114">
        <f t="shared" si="111"/>
        <v>0</v>
      </c>
      <c r="AL413" s="477">
        <f t="shared" ca="1" si="112"/>
        <v>0</v>
      </c>
    </row>
    <row r="414" spans="2:38">
      <c r="B414" s="222">
        <f ca="1">Fixa!B414</f>
        <v>58030</v>
      </c>
      <c r="C414" s="223" t="str">
        <f>Fixa!C414</f>
        <v/>
      </c>
      <c r="D414" s="43" t="e">
        <f t="shared" si="97"/>
        <v>#VALUE!</v>
      </c>
      <c r="E414" s="43" t="e">
        <f t="shared" si="98"/>
        <v>#VALUE!</v>
      </c>
      <c r="F414" s="43" t="e">
        <f t="shared" si="99"/>
        <v>#VALUE!</v>
      </c>
      <c r="G414" s="43" t="e">
        <f t="shared" si="100"/>
        <v>#VALUE!</v>
      </c>
      <c r="H414" s="43" t="e">
        <f t="shared" ca="1" si="101"/>
        <v>#VALUE!</v>
      </c>
      <c r="I414" s="43">
        <f t="shared" si="102"/>
        <v>0</v>
      </c>
      <c r="J414" s="229">
        <f t="shared" si="108"/>
        <v>25</v>
      </c>
      <c r="K414" s="43">
        <f t="shared" si="103"/>
        <v>0</v>
      </c>
      <c r="M414" s="224"/>
      <c r="N414" s="225">
        <f t="shared" si="104"/>
        <v>0</v>
      </c>
      <c r="O414" s="43" t="e">
        <f t="shared" si="105"/>
        <v>#VALUE!</v>
      </c>
      <c r="P414" s="43" t="e">
        <f>ROUND(IF(Preenchimento!$G$39="Tabela Price",R414-Q414,(O413*(1+$AD$35))/($AD$28-C413)),$P$22)</f>
        <v>#VALUE!</v>
      </c>
      <c r="Q414" s="43" t="e">
        <f>IF(Preenchimento!$G$39="Tabela Price",O413*(1+$AD$35)*W414,O413*(1+SAC!$AD$35)*SAC!W414)</f>
        <v>#VALUE!</v>
      </c>
      <c r="R414" s="43" t="e">
        <f>IF(Preenchimento!$G$39="Tabela Price",IF(C414="","",((((((1+W414)^($Q$16-C413))*W414)/((1+W414)^($Q$16-C413)-1))*(O413*(1+$AD$35))))),Q414+P414)</f>
        <v>#VALUE!</v>
      </c>
      <c r="S414" s="43" t="e">
        <f t="shared" ca="1" si="106"/>
        <v>#VALUE!</v>
      </c>
      <c r="T414" s="43">
        <f t="shared" si="109"/>
        <v>0</v>
      </c>
      <c r="U414" s="226">
        <f>TRUNC(T414*Condições!$C$102,2)</f>
        <v>0</v>
      </c>
      <c r="V414" s="82">
        <f t="shared" ca="1" si="110"/>
        <v>11</v>
      </c>
      <c r="W414" s="231" t="str">
        <f t="shared" si="107"/>
        <v/>
      </c>
      <c r="AI414" s="114">
        <f t="shared" si="111"/>
        <v>0</v>
      </c>
      <c r="AL414" s="477">
        <f t="shared" ca="1" si="112"/>
        <v>0</v>
      </c>
    </row>
    <row r="415" spans="2:38">
      <c r="B415" s="222">
        <f ca="1">Fixa!B415</f>
        <v>58060</v>
      </c>
      <c r="C415" s="223" t="str">
        <f>Fixa!C415</f>
        <v/>
      </c>
      <c r="D415" s="43" t="e">
        <f t="shared" si="97"/>
        <v>#VALUE!</v>
      </c>
      <c r="E415" s="43" t="e">
        <f t="shared" si="98"/>
        <v>#VALUE!</v>
      </c>
      <c r="F415" s="43" t="e">
        <f t="shared" si="99"/>
        <v>#VALUE!</v>
      </c>
      <c r="G415" s="43" t="e">
        <f t="shared" si="100"/>
        <v>#VALUE!</v>
      </c>
      <c r="H415" s="43" t="e">
        <f t="shared" ca="1" si="101"/>
        <v>#VALUE!</v>
      </c>
      <c r="I415" s="43">
        <f t="shared" si="102"/>
        <v>0</v>
      </c>
      <c r="J415" s="229">
        <f t="shared" si="108"/>
        <v>25</v>
      </c>
      <c r="K415" s="43">
        <f t="shared" si="103"/>
        <v>0</v>
      </c>
      <c r="M415" s="224"/>
      <c r="N415" s="225">
        <f t="shared" si="104"/>
        <v>0</v>
      </c>
      <c r="O415" s="43" t="e">
        <f t="shared" si="105"/>
        <v>#VALUE!</v>
      </c>
      <c r="P415" s="43" t="e">
        <f>ROUND(IF(Preenchimento!$G$39="Tabela Price",R415-Q415,(O414*(1+$AD$35))/($AD$28-C414)),$P$22)</f>
        <v>#VALUE!</v>
      </c>
      <c r="Q415" s="43" t="e">
        <f>IF(Preenchimento!$G$39="Tabela Price",O414*(1+$AD$35)*W415,O414*(1+SAC!$AD$35)*SAC!W415)</f>
        <v>#VALUE!</v>
      </c>
      <c r="R415" s="43" t="e">
        <f>IF(Preenchimento!$G$39="Tabela Price",IF(C415="","",((((((1+W415)^($Q$16-C414))*W415)/((1+W415)^($Q$16-C414)-1))*(O414*(1+$AD$35))))),Q415+P415)</f>
        <v>#VALUE!</v>
      </c>
      <c r="S415" s="43" t="e">
        <f t="shared" ca="1" si="106"/>
        <v>#VALUE!</v>
      </c>
      <c r="T415" s="43">
        <f t="shared" si="109"/>
        <v>0</v>
      </c>
      <c r="U415" s="226">
        <f>TRUNC(T415*Condições!$C$102,2)</f>
        <v>0</v>
      </c>
      <c r="V415" s="82">
        <f t="shared" ca="1" si="110"/>
        <v>12</v>
      </c>
      <c r="W415" s="231" t="str">
        <f t="shared" si="107"/>
        <v/>
      </c>
      <c r="AI415" s="114">
        <f t="shared" si="111"/>
        <v>0</v>
      </c>
      <c r="AL415" s="477">
        <f t="shared" ca="1" si="112"/>
        <v>0</v>
      </c>
    </row>
    <row r="416" spans="2:38">
      <c r="B416" s="222">
        <f ca="1">Fixa!B416</f>
        <v>58091</v>
      </c>
      <c r="C416" s="223" t="str">
        <f>Fixa!C416</f>
        <v/>
      </c>
      <c r="D416" s="43" t="e">
        <f t="shared" si="97"/>
        <v>#VALUE!</v>
      </c>
      <c r="E416" s="43" t="e">
        <f t="shared" si="98"/>
        <v>#VALUE!</v>
      </c>
      <c r="F416" s="43" t="e">
        <f t="shared" si="99"/>
        <v>#VALUE!</v>
      </c>
      <c r="G416" s="43" t="e">
        <f t="shared" si="100"/>
        <v>#VALUE!</v>
      </c>
      <c r="H416" s="43" t="e">
        <f t="shared" ca="1" si="101"/>
        <v>#VALUE!</v>
      </c>
      <c r="I416" s="43">
        <f t="shared" si="102"/>
        <v>0</v>
      </c>
      <c r="J416" s="229">
        <f t="shared" si="108"/>
        <v>25</v>
      </c>
      <c r="K416" s="43">
        <f t="shared" si="103"/>
        <v>0</v>
      </c>
      <c r="M416" s="224"/>
      <c r="N416" s="225">
        <f t="shared" si="104"/>
        <v>0</v>
      </c>
      <c r="O416" s="43" t="e">
        <f t="shared" si="105"/>
        <v>#VALUE!</v>
      </c>
      <c r="P416" s="43" t="e">
        <f>ROUND(IF(Preenchimento!$G$39="Tabela Price",R416-Q416,(O415*(1+$AD$35))/($AD$28-C415)),$P$22)</f>
        <v>#VALUE!</v>
      </c>
      <c r="Q416" s="43" t="e">
        <f>IF(Preenchimento!$G$39="Tabela Price",O415*(1+$AD$35)*W416,O415*(1+SAC!$AD$35)*SAC!W416)</f>
        <v>#VALUE!</v>
      </c>
      <c r="R416" s="43" t="e">
        <f>IF(Preenchimento!$G$39="Tabela Price",IF(C416="","",((((((1+W416)^($Q$16-C415))*W416)/((1+W416)^($Q$16-C415)-1))*(O415*(1+$AD$35))))),Q416+P416)</f>
        <v>#VALUE!</v>
      </c>
      <c r="S416" s="43" t="e">
        <f t="shared" ca="1" si="106"/>
        <v>#VALUE!</v>
      </c>
      <c r="T416" s="43">
        <f t="shared" si="109"/>
        <v>0</v>
      </c>
      <c r="U416" s="226">
        <f>TRUNC(T416*Condições!$C$102,2)</f>
        <v>0</v>
      </c>
      <c r="V416" s="82">
        <f t="shared" ca="1" si="110"/>
        <v>1</v>
      </c>
      <c r="W416" s="231" t="str">
        <f t="shared" si="107"/>
        <v/>
      </c>
      <c r="AI416" s="114">
        <f t="shared" si="111"/>
        <v>0</v>
      </c>
      <c r="AL416" s="477">
        <f t="shared" ca="1" si="112"/>
        <v>0</v>
      </c>
    </row>
    <row r="417" spans="2:38">
      <c r="B417" s="222">
        <f ca="1">Fixa!B417</f>
        <v>58122</v>
      </c>
      <c r="C417" s="223" t="str">
        <f>Fixa!C417</f>
        <v/>
      </c>
      <c r="D417" s="43" t="e">
        <f t="shared" si="97"/>
        <v>#VALUE!</v>
      </c>
      <c r="E417" s="43" t="e">
        <f t="shared" si="98"/>
        <v>#VALUE!</v>
      </c>
      <c r="F417" s="43" t="e">
        <f t="shared" si="99"/>
        <v>#VALUE!</v>
      </c>
      <c r="G417" s="43" t="e">
        <f t="shared" si="100"/>
        <v>#VALUE!</v>
      </c>
      <c r="H417" s="43" t="e">
        <f t="shared" ca="1" si="101"/>
        <v>#VALUE!</v>
      </c>
      <c r="I417" s="43">
        <f t="shared" si="102"/>
        <v>0</v>
      </c>
      <c r="J417" s="229">
        <f t="shared" si="108"/>
        <v>25</v>
      </c>
      <c r="K417" s="43">
        <f t="shared" si="103"/>
        <v>0</v>
      </c>
      <c r="M417" s="224"/>
      <c r="N417" s="225">
        <f t="shared" si="104"/>
        <v>0</v>
      </c>
      <c r="O417" s="43" t="e">
        <f t="shared" si="105"/>
        <v>#VALUE!</v>
      </c>
      <c r="P417" s="43" t="e">
        <f>ROUND(IF(Preenchimento!$G$39="Tabela Price",R417-Q417,(O416*(1+$AD$35))/($AD$28-C416)),$P$22)</f>
        <v>#VALUE!</v>
      </c>
      <c r="Q417" s="43" t="e">
        <f>IF(Preenchimento!$G$39="Tabela Price",O416*(1+$AD$35)*W417,O416*(1+SAC!$AD$35)*SAC!W417)</f>
        <v>#VALUE!</v>
      </c>
      <c r="R417" s="43" t="e">
        <f>IF(Preenchimento!$G$39="Tabela Price",IF(C417="","",((((((1+W417)^($Q$16-C416))*W417)/((1+W417)^($Q$16-C416)-1))*(O416*(1+$AD$35))))),Q417+P417)</f>
        <v>#VALUE!</v>
      </c>
      <c r="S417" s="43" t="e">
        <f t="shared" ca="1" si="106"/>
        <v>#VALUE!</v>
      </c>
      <c r="T417" s="43">
        <f t="shared" si="109"/>
        <v>0</v>
      </c>
      <c r="U417" s="226">
        <f>TRUNC(T417*Condições!$C$102,2)</f>
        <v>0</v>
      </c>
      <c r="V417" s="82">
        <f t="shared" ca="1" si="110"/>
        <v>2</v>
      </c>
      <c r="W417" s="231" t="str">
        <f t="shared" si="107"/>
        <v/>
      </c>
      <c r="AI417" s="114">
        <f t="shared" si="111"/>
        <v>0</v>
      </c>
      <c r="AL417" s="477">
        <f t="shared" ca="1" si="112"/>
        <v>0</v>
      </c>
    </row>
    <row r="418" spans="2:38">
      <c r="B418" s="222">
        <f ca="1">Fixa!B418</f>
        <v>58150</v>
      </c>
      <c r="C418" s="223" t="str">
        <f>Fixa!C418</f>
        <v/>
      </c>
      <c r="D418" s="43" t="e">
        <f t="shared" si="97"/>
        <v>#VALUE!</v>
      </c>
      <c r="E418" s="43" t="e">
        <f t="shared" si="98"/>
        <v>#VALUE!</v>
      </c>
      <c r="F418" s="43" t="e">
        <f t="shared" si="99"/>
        <v>#VALUE!</v>
      </c>
      <c r="G418" s="43" t="e">
        <f t="shared" si="100"/>
        <v>#VALUE!</v>
      </c>
      <c r="H418" s="43" t="e">
        <f t="shared" ca="1" si="101"/>
        <v>#VALUE!</v>
      </c>
      <c r="I418" s="43">
        <f t="shared" si="102"/>
        <v>0</v>
      </c>
      <c r="J418" s="229">
        <f t="shared" si="108"/>
        <v>25</v>
      </c>
      <c r="K418" s="43">
        <f t="shared" si="103"/>
        <v>0</v>
      </c>
      <c r="M418" s="224"/>
      <c r="N418" s="225">
        <f t="shared" si="104"/>
        <v>0</v>
      </c>
      <c r="O418" s="43" t="e">
        <f t="shared" si="105"/>
        <v>#VALUE!</v>
      </c>
      <c r="P418" s="43" t="e">
        <f>ROUND(IF(Preenchimento!$G$39="Tabela Price",R418-Q418,(O417*(1+$AD$35))/($AD$28-C417)),$P$22)</f>
        <v>#VALUE!</v>
      </c>
      <c r="Q418" s="43" t="e">
        <f>IF(Preenchimento!$G$39="Tabela Price",O417*(1+$AD$35)*W418,O417*(1+SAC!$AD$35)*SAC!W418)</f>
        <v>#VALUE!</v>
      </c>
      <c r="R418" s="43" t="e">
        <f>IF(Preenchimento!$G$39="Tabela Price",IF(C418="","",((((((1+W418)^($Q$16-C417))*W418)/((1+W418)^($Q$16-C417)-1))*(O417*(1+$AD$35))))),Q418+P418)</f>
        <v>#VALUE!</v>
      </c>
      <c r="S418" s="43" t="e">
        <f t="shared" ca="1" si="106"/>
        <v>#VALUE!</v>
      </c>
      <c r="T418" s="43">
        <f t="shared" si="109"/>
        <v>0</v>
      </c>
      <c r="U418" s="226">
        <f>TRUNC(T418*Condições!$C$102,2)</f>
        <v>0</v>
      </c>
      <c r="V418" s="82">
        <f t="shared" ca="1" si="110"/>
        <v>3</v>
      </c>
      <c r="W418" s="231" t="str">
        <f t="shared" si="107"/>
        <v/>
      </c>
      <c r="AI418" s="114">
        <f t="shared" si="111"/>
        <v>0</v>
      </c>
      <c r="AL418" s="477">
        <f t="shared" ca="1" si="112"/>
        <v>0</v>
      </c>
    </row>
    <row r="419" spans="2:38">
      <c r="B419" s="222">
        <f ca="1">Fixa!B419</f>
        <v>58181</v>
      </c>
      <c r="C419" s="223" t="str">
        <f>Fixa!C419</f>
        <v/>
      </c>
      <c r="D419" s="43" t="e">
        <f t="shared" si="97"/>
        <v>#VALUE!</v>
      </c>
      <c r="E419" s="43" t="e">
        <f t="shared" si="98"/>
        <v>#VALUE!</v>
      </c>
      <c r="F419" s="43" t="e">
        <f t="shared" si="99"/>
        <v>#VALUE!</v>
      </c>
      <c r="G419" s="43" t="e">
        <f t="shared" si="100"/>
        <v>#VALUE!</v>
      </c>
      <c r="H419" s="43" t="e">
        <f t="shared" ca="1" si="101"/>
        <v>#VALUE!</v>
      </c>
      <c r="I419" s="43">
        <f t="shared" si="102"/>
        <v>0</v>
      </c>
      <c r="J419" s="229">
        <f t="shared" si="108"/>
        <v>25</v>
      </c>
      <c r="K419" s="43">
        <f t="shared" si="103"/>
        <v>0</v>
      </c>
      <c r="M419" s="224"/>
      <c r="N419" s="225">
        <f t="shared" si="104"/>
        <v>0</v>
      </c>
      <c r="O419" s="43" t="e">
        <f t="shared" si="105"/>
        <v>#VALUE!</v>
      </c>
      <c r="P419" s="43" t="e">
        <f>ROUND(IF(Preenchimento!$G$39="Tabela Price",R419-Q419,(O418*(1+$AD$35))/($AD$28-C418)),$P$22)</f>
        <v>#VALUE!</v>
      </c>
      <c r="Q419" s="43" t="e">
        <f>IF(Preenchimento!$G$39="Tabela Price",O418*(1+$AD$35)*W419,O418*(1+SAC!$AD$35)*SAC!W419)</f>
        <v>#VALUE!</v>
      </c>
      <c r="R419" s="43" t="e">
        <f>IF(Preenchimento!$G$39="Tabela Price",IF(C419="","",((((((1+W419)^($Q$16-C418))*W419)/((1+W419)^($Q$16-C418)-1))*(O418*(1+$AD$35))))),Q419+P419)</f>
        <v>#VALUE!</v>
      </c>
      <c r="S419" s="43" t="e">
        <f t="shared" ca="1" si="106"/>
        <v>#VALUE!</v>
      </c>
      <c r="T419" s="43">
        <f t="shared" si="109"/>
        <v>0</v>
      </c>
      <c r="U419" s="226">
        <f>TRUNC(T419*Condições!$C$102,2)</f>
        <v>0</v>
      </c>
      <c r="V419" s="82">
        <f t="shared" ca="1" si="110"/>
        <v>4</v>
      </c>
      <c r="W419" s="231" t="str">
        <f t="shared" si="107"/>
        <v/>
      </c>
      <c r="AI419" s="114">
        <f t="shared" si="111"/>
        <v>0</v>
      </c>
      <c r="AL419" s="477">
        <f t="shared" ca="1" si="112"/>
        <v>0</v>
      </c>
    </row>
    <row r="420" spans="2:38">
      <c r="B420" s="222">
        <f ca="1">Fixa!B420</f>
        <v>58211</v>
      </c>
      <c r="C420" s="223" t="str">
        <f>Fixa!C420</f>
        <v/>
      </c>
      <c r="D420" s="43" t="e">
        <f t="shared" si="97"/>
        <v>#VALUE!</v>
      </c>
      <c r="E420" s="43" t="e">
        <f t="shared" si="98"/>
        <v>#VALUE!</v>
      </c>
      <c r="F420" s="43" t="e">
        <f t="shared" si="99"/>
        <v>#VALUE!</v>
      </c>
      <c r="G420" s="43" t="e">
        <f t="shared" si="100"/>
        <v>#VALUE!</v>
      </c>
      <c r="H420" s="43" t="e">
        <f t="shared" ca="1" si="101"/>
        <v>#VALUE!</v>
      </c>
      <c r="I420" s="43">
        <f t="shared" si="102"/>
        <v>0</v>
      </c>
      <c r="J420" s="229">
        <f t="shared" si="108"/>
        <v>25</v>
      </c>
      <c r="K420" s="43">
        <f t="shared" si="103"/>
        <v>0</v>
      </c>
      <c r="M420" s="224"/>
      <c r="N420" s="225">
        <f t="shared" si="104"/>
        <v>0</v>
      </c>
      <c r="O420" s="43" t="e">
        <f t="shared" si="105"/>
        <v>#VALUE!</v>
      </c>
      <c r="P420" s="43" t="e">
        <f>ROUND(IF(Preenchimento!$G$39="Tabela Price",R420-Q420,(O419*(1+$AD$35))/($AD$28-C419)),$P$22)</f>
        <v>#VALUE!</v>
      </c>
      <c r="Q420" s="43" t="e">
        <f>IF(Preenchimento!$G$39="Tabela Price",O419*(1+$AD$35)*W420,O419*(1+SAC!$AD$35)*SAC!W420)</f>
        <v>#VALUE!</v>
      </c>
      <c r="R420" s="43" t="e">
        <f>IF(Preenchimento!$G$39="Tabela Price",IF(C420="","",((((((1+W420)^($Q$16-C419))*W420)/((1+W420)^($Q$16-C419)-1))*(O419*(1+$AD$35))))),Q420+P420)</f>
        <v>#VALUE!</v>
      </c>
      <c r="S420" s="43" t="e">
        <f t="shared" ca="1" si="106"/>
        <v>#VALUE!</v>
      </c>
      <c r="T420" s="43">
        <f t="shared" si="109"/>
        <v>0</v>
      </c>
      <c r="U420" s="226">
        <f>TRUNC(T420*Condições!$C$102,2)</f>
        <v>0</v>
      </c>
      <c r="V420" s="82">
        <f t="shared" ca="1" si="110"/>
        <v>5</v>
      </c>
      <c r="W420" s="231" t="str">
        <f t="shared" si="107"/>
        <v/>
      </c>
      <c r="AI420" s="114">
        <f t="shared" si="111"/>
        <v>0</v>
      </c>
      <c r="AL420" s="477">
        <f t="shared" ca="1" si="112"/>
        <v>0</v>
      </c>
    </row>
    <row r="421" spans="2:38">
      <c r="B421" s="222">
        <f ca="1">Fixa!B421</f>
        <v>58242</v>
      </c>
      <c r="C421" s="223" t="str">
        <f>Fixa!C421</f>
        <v/>
      </c>
      <c r="D421" s="43" t="e">
        <f t="shared" si="97"/>
        <v>#VALUE!</v>
      </c>
      <c r="E421" s="43" t="e">
        <f t="shared" si="98"/>
        <v>#VALUE!</v>
      </c>
      <c r="F421" s="43" t="e">
        <f t="shared" si="99"/>
        <v>#VALUE!</v>
      </c>
      <c r="G421" s="43" t="e">
        <f t="shared" si="100"/>
        <v>#VALUE!</v>
      </c>
      <c r="H421" s="43" t="e">
        <f t="shared" ca="1" si="101"/>
        <v>#VALUE!</v>
      </c>
      <c r="I421" s="43">
        <f t="shared" si="102"/>
        <v>0</v>
      </c>
      <c r="J421" s="229">
        <f t="shared" si="108"/>
        <v>25</v>
      </c>
      <c r="K421" s="43">
        <f t="shared" si="103"/>
        <v>0</v>
      </c>
      <c r="M421" s="224"/>
      <c r="N421" s="225">
        <f t="shared" si="104"/>
        <v>0</v>
      </c>
      <c r="O421" s="43" t="e">
        <f t="shared" si="105"/>
        <v>#VALUE!</v>
      </c>
      <c r="P421" s="43" t="e">
        <f>ROUND(IF(Preenchimento!$G$39="Tabela Price",R421-Q421,(O420*(1+$AD$35))/($AD$28-C420)),$P$22)</f>
        <v>#VALUE!</v>
      </c>
      <c r="Q421" s="43" t="e">
        <f>IF(Preenchimento!$G$39="Tabela Price",O420*(1+$AD$35)*W421,O420*(1+SAC!$AD$35)*SAC!W421)</f>
        <v>#VALUE!</v>
      </c>
      <c r="R421" s="43" t="e">
        <f>IF(Preenchimento!$G$39="Tabela Price",IF(C421="","",((((((1+W421)^($Q$16-C420))*W421)/((1+W421)^($Q$16-C420)-1))*(O420*(1+$AD$35))))),Q421+P421)</f>
        <v>#VALUE!</v>
      </c>
      <c r="S421" s="43" t="e">
        <f t="shared" ca="1" si="106"/>
        <v>#VALUE!</v>
      </c>
      <c r="T421" s="43">
        <f t="shared" si="109"/>
        <v>0</v>
      </c>
      <c r="U421" s="226">
        <f>TRUNC(T421*Condições!$C$102,2)</f>
        <v>0</v>
      </c>
      <c r="V421" s="82">
        <f t="shared" ca="1" si="110"/>
        <v>6</v>
      </c>
      <c r="W421" s="231" t="str">
        <f t="shared" si="107"/>
        <v/>
      </c>
      <c r="AI421" s="114">
        <f t="shared" si="111"/>
        <v>0</v>
      </c>
      <c r="AL421" s="477">
        <f t="shared" ca="1" si="112"/>
        <v>0</v>
      </c>
    </row>
    <row r="422" spans="2:38">
      <c r="B422" s="222">
        <f ca="1">Fixa!B422</f>
        <v>58272</v>
      </c>
      <c r="C422" s="223" t="str">
        <f>Fixa!C422</f>
        <v/>
      </c>
      <c r="D422" s="43" t="e">
        <f t="shared" si="97"/>
        <v>#VALUE!</v>
      </c>
      <c r="E422" s="43" t="e">
        <f t="shared" si="98"/>
        <v>#VALUE!</v>
      </c>
      <c r="F422" s="43" t="e">
        <f t="shared" si="99"/>
        <v>#VALUE!</v>
      </c>
      <c r="G422" s="43" t="e">
        <f t="shared" si="100"/>
        <v>#VALUE!</v>
      </c>
      <c r="H422" s="43" t="e">
        <f t="shared" ca="1" si="101"/>
        <v>#VALUE!</v>
      </c>
      <c r="I422" s="43">
        <f t="shared" si="102"/>
        <v>0</v>
      </c>
      <c r="J422" s="229">
        <f t="shared" si="108"/>
        <v>25</v>
      </c>
      <c r="K422" s="43">
        <f t="shared" si="103"/>
        <v>0</v>
      </c>
      <c r="M422" s="224"/>
      <c r="N422" s="225">
        <f t="shared" si="104"/>
        <v>0</v>
      </c>
      <c r="O422" s="43" t="e">
        <f t="shared" si="105"/>
        <v>#VALUE!</v>
      </c>
      <c r="P422" s="43" t="e">
        <f>ROUND(IF(Preenchimento!$G$39="Tabela Price",R422-Q422,(O421*(1+$AD$35))/($AD$28-C421)),$P$22)</f>
        <v>#VALUE!</v>
      </c>
      <c r="Q422" s="43" t="e">
        <f>IF(Preenchimento!$G$39="Tabela Price",O421*(1+$AD$35)*W422,O421*(1+SAC!$AD$35)*SAC!W422)</f>
        <v>#VALUE!</v>
      </c>
      <c r="R422" s="43" t="e">
        <f>IF(Preenchimento!$G$39="Tabela Price",IF(C422="","",((((((1+W422)^($Q$16-C421))*W422)/((1+W422)^($Q$16-C421)-1))*(O421*(1+$AD$35))))),Q422+P422)</f>
        <v>#VALUE!</v>
      </c>
      <c r="S422" s="43" t="e">
        <f t="shared" ca="1" si="106"/>
        <v>#VALUE!</v>
      </c>
      <c r="T422" s="43">
        <f t="shared" si="109"/>
        <v>0</v>
      </c>
      <c r="U422" s="226">
        <f>TRUNC(T422*Condições!$C$102,2)</f>
        <v>0</v>
      </c>
      <c r="V422" s="82">
        <f t="shared" ca="1" si="110"/>
        <v>7</v>
      </c>
      <c r="W422" s="231" t="str">
        <f t="shared" si="107"/>
        <v/>
      </c>
      <c r="AI422" s="114">
        <f t="shared" si="111"/>
        <v>0</v>
      </c>
      <c r="AL422" s="477">
        <f t="shared" ca="1" si="112"/>
        <v>0</v>
      </c>
    </row>
    <row r="423" spans="2:38">
      <c r="B423" s="222">
        <f ca="1">Fixa!B423</f>
        <v>58303</v>
      </c>
      <c r="C423" s="223" t="str">
        <f>Fixa!C423</f>
        <v/>
      </c>
      <c r="D423" s="43" t="e">
        <f t="shared" si="97"/>
        <v>#VALUE!</v>
      </c>
      <c r="E423" s="43" t="e">
        <f t="shared" si="98"/>
        <v>#VALUE!</v>
      </c>
      <c r="F423" s="43" t="e">
        <f t="shared" si="99"/>
        <v>#VALUE!</v>
      </c>
      <c r="G423" s="43" t="e">
        <f t="shared" si="100"/>
        <v>#VALUE!</v>
      </c>
      <c r="H423" s="43" t="e">
        <f t="shared" ca="1" si="101"/>
        <v>#VALUE!</v>
      </c>
      <c r="I423" s="43">
        <f t="shared" si="102"/>
        <v>0</v>
      </c>
      <c r="J423" s="229">
        <f t="shared" si="108"/>
        <v>25</v>
      </c>
      <c r="K423" s="43">
        <f t="shared" si="103"/>
        <v>0</v>
      </c>
      <c r="M423" s="224"/>
      <c r="N423" s="225">
        <f t="shared" si="104"/>
        <v>0</v>
      </c>
      <c r="O423" s="43" t="e">
        <f t="shared" si="105"/>
        <v>#VALUE!</v>
      </c>
      <c r="P423" s="43" t="e">
        <f>ROUND(IF(Preenchimento!$G$39="Tabela Price",R423-Q423,(O422*(1+$AD$35))/($AD$28-C422)),$P$22)</f>
        <v>#VALUE!</v>
      </c>
      <c r="Q423" s="43" t="e">
        <f>IF(Preenchimento!$G$39="Tabela Price",O422*(1+$AD$35)*W423,O422*(1+SAC!$AD$35)*SAC!W423)</f>
        <v>#VALUE!</v>
      </c>
      <c r="R423" s="43" t="e">
        <f>IF(Preenchimento!$G$39="Tabela Price",IF(C423="","",((((((1+W423)^($Q$16-C422))*W423)/((1+W423)^($Q$16-C422)-1))*(O422*(1+$AD$35))))),Q423+P423)</f>
        <v>#VALUE!</v>
      </c>
      <c r="S423" s="43" t="e">
        <f t="shared" ca="1" si="106"/>
        <v>#VALUE!</v>
      </c>
      <c r="T423" s="43">
        <f t="shared" si="109"/>
        <v>0</v>
      </c>
      <c r="U423" s="226">
        <f>TRUNC(T423*Condições!$C$102,2)</f>
        <v>0</v>
      </c>
      <c r="V423" s="82">
        <f t="shared" ca="1" si="110"/>
        <v>8</v>
      </c>
      <c r="W423" s="231" t="str">
        <f t="shared" si="107"/>
        <v/>
      </c>
      <c r="AI423" s="114">
        <f t="shared" si="111"/>
        <v>0</v>
      </c>
      <c r="AL423" s="477">
        <f t="shared" ca="1" si="112"/>
        <v>0</v>
      </c>
    </row>
    <row r="424" spans="2:38">
      <c r="B424" s="222">
        <f ca="1">Fixa!B424</f>
        <v>58334</v>
      </c>
      <c r="C424" s="223" t="str">
        <f>Fixa!C424</f>
        <v/>
      </c>
      <c r="D424" s="43" t="e">
        <f t="shared" si="97"/>
        <v>#VALUE!</v>
      </c>
      <c r="E424" s="43" t="e">
        <f t="shared" si="98"/>
        <v>#VALUE!</v>
      </c>
      <c r="F424" s="43" t="e">
        <f t="shared" si="99"/>
        <v>#VALUE!</v>
      </c>
      <c r="G424" s="43" t="e">
        <f t="shared" si="100"/>
        <v>#VALUE!</v>
      </c>
      <c r="H424" s="43" t="e">
        <f t="shared" ca="1" si="101"/>
        <v>#VALUE!</v>
      </c>
      <c r="I424" s="43">
        <f t="shared" si="102"/>
        <v>0</v>
      </c>
      <c r="J424" s="229">
        <f t="shared" si="108"/>
        <v>25</v>
      </c>
      <c r="K424" s="43">
        <f t="shared" si="103"/>
        <v>0</v>
      </c>
      <c r="M424" s="224"/>
      <c r="N424" s="225">
        <f t="shared" si="104"/>
        <v>0</v>
      </c>
      <c r="O424" s="43" t="e">
        <f t="shared" si="105"/>
        <v>#VALUE!</v>
      </c>
      <c r="P424" s="43" t="e">
        <f>ROUND(IF(Preenchimento!$G$39="Tabela Price",R424-Q424,(O423*(1+$AD$35))/($AD$28-C423)),$P$22)</f>
        <v>#VALUE!</v>
      </c>
      <c r="Q424" s="43" t="e">
        <f>IF(Preenchimento!$G$39="Tabela Price",O423*(1+$AD$35)*W424,O423*(1+SAC!$AD$35)*SAC!W424)</f>
        <v>#VALUE!</v>
      </c>
      <c r="R424" s="43" t="e">
        <f>IF(Preenchimento!$G$39="Tabela Price",IF(C424="","",((((((1+W424)^($Q$16-C423))*W424)/((1+W424)^($Q$16-C423)-1))*(O423*(1+$AD$35))))),Q424+P424)</f>
        <v>#VALUE!</v>
      </c>
      <c r="S424" s="43" t="e">
        <f t="shared" ca="1" si="106"/>
        <v>#VALUE!</v>
      </c>
      <c r="T424" s="43">
        <f t="shared" si="109"/>
        <v>0</v>
      </c>
      <c r="U424" s="226">
        <f>TRUNC(T424*Condições!$C$102,2)</f>
        <v>0</v>
      </c>
      <c r="V424" s="82">
        <f t="shared" ca="1" si="110"/>
        <v>9</v>
      </c>
      <c r="W424" s="231" t="str">
        <f t="shared" si="107"/>
        <v/>
      </c>
      <c r="AI424" s="114">
        <f t="shared" si="111"/>
        <v>0</v>
      </c>
      <c r="AL424" s="477">
        <f t="shared" ca="1" si="112"/>
        <v>0</v>
      </c>
    </row>
    <row r="425" spans="2:38">
      <c r="B425" s="222">
        <f ca="1">Fixa!B425</f>
        <v>58364</v>
      </c>
      <c r="C425" s="223" t="str">
        <f>Fixa!C425</f>
        <v/>
      </c>
      <c r="D425" s="43" t="e">
        <f t="shared" si="97"/>
        <v>#VALUE!</v>
      </c>
      <c r="E425" s="43" t="e">
        <f t="shared" si="98"/>
        <v>#VALUE!</v>
      </c>
      <c r="F425" s="43" t="e">
        <f t="shared" si="99"/>
        <v>#VALUE!</v>
      </c>
      <c r="G425" s="43" t="e">
        <f t="shared" si="100"/>
        <v>#VALUE!</v>
      </c>
      <c r="H425" s="43" t="e">
        <f t="shared" ca="1" si="101"/>
        <v>#VALUE!</v>
      </c>
      <c r="I425" s="43">
        <f t="shared" si="102"/>
        <v>0</v>
      </c>
      <c r="J425" s="229">
        <f t="shared" si="108"/>
        <v>25</v>
      </c>
      <c r="K425" s="43">
        <f t="shared" si="103"/>
        <v>0</v>
      </c>
      <c r="M425" s="224"/>
      <c r="N425" s="225">
        <f t="shared" si="104"/>
        <v>0</v>
      </c>
      <c r="O425" s="43" t="e">
        <f t="shared" si="105"/>
        <v>#VALUE!</v>
      </c>
      <c r="P425" s="43" t="e">
        <f>ROUND(IF(Preenchimento!$G$39="Tabela Price",R425-Q425,(O424*(1+$AD$35))/($AD$28-C424)),$P$22)</f>
        <v>#VALUE!</v>
      </c>
      <c r="Q425" s="43" t="e">
        <f>IF(Preenchimento!$G$39="Tabela Price",O424*(1+$AD$35)*W425,O424*(1+SAC!$AD$35)*SAC!W425)</f>
        <v>#VALUE!</v>
      </c>
      <c r="R425" s="43" t="e">
        <f>IF(Preenchimento!$G$39="Tabela Price",IF(C425="","",((((((1+W425)^($Q$16-C424))*W425)/((1+W425)^($Q$16-C424)-1))*(O424*(1+$AD$35))))),Q425+P425)</f>
        <v>#VALUE!</v>
      </c>
      <c r="S425" s="43" t="e">
        <f t="shared" ca="1" si="106"/>
        <v>#VALUE!</v>
      </c>
      <c r="T425" s="43">
        <f t="shared" si="109"/>
        <v>0</v>
      </c>
      <c r="U425" s="226">
        <f>TRUNC(T425*Condições!$C$102,2)</f>
        <v>0</v>
      </c>
      <c r="V425" s="82">
        <f t="shared" ca="1" si="110"/>
        <v>10</v>
      </c>
      <c r="W425" s="231" t="str">
        <f t="shared" si="107"/>
        <v/>
      </c>
      <c r="AI425" s="114">
        <f t="shared" si="111"/>
        <v>0</v>
      </c>
      <c r="AL425" s="477">
        <f t="shared" ca="1" si="112"/>
        <v>0</v>
      </c>
    </row>
    <row r="426" spans="2:38">
      <c r="B426" s="222">
        <f ca="1">Fixa!B426</f>
        <v>58395</v>
      </c>
      <c r="C426" s="223" t="str">
        <f>Fixa!C426</f>
        <v/>
      </c>
      <c r="D426" s="43" t="e">
        <f t="shared" si="97"/>
        <v>#VALUE!</v>
      </c>
      <c r="E426" s="43" t="e">
        <f t="shared" si="98"/>
        <v>#VALUE!</v>
      </c>
      <c r="F426" s="43" t="e">
        <f t="shared" si="99"/>
        <v>#VALUE!</v>
      </c>
      <c r="G426" s="43" t="e">
        <f t="shared" si="100"/>
        <v>#VALUE!</v>
      </c>
      <c r="H426" s="43" t="e">
        <f t="shared" ca="1" si="101"/>
        <v>#VALUE!</v>
      </c>
      <c r="I426" s="43">
        <f t="shared" si="102"/>
        <v>0</v>
      </c>
      <c r="J426" s="229">
        <f t="shared" si="108"/>
        <v>25</v>
      </c>
      <c r="K426" s="43">
        <f t="shared" si="103"/>
        <v>0</v>
      </c>
      <c r="M426" s="224"/>
      <c r="N426" s="225">
        <f t="shared" si="104"/>
        <v>0</v>
      </c>
      <c r="O426" s="43" t="e">
        <f t="shared" si="105"/>
        <v>#VALUE!</v>
      </c>
      <c r="P426" s="43" t="e">
        <f>ROUND(IF(Preenchimento!$G$39="Tabela Price",R426-Q426,(O425*(1+$AD$35))/($AD$28-C425)),$P$22)</f>
        <v>#VALUE!</v>
      </c>
      <c r="Q426" s="43" t="e">
        <f>IF(Preenchimento!$G$39="Tabela Price",O425*(1+$AD$35)*W426,O425*(1+SAC!$AD$35)*SAC!W426)</f>
        <v>#VALUE!</v>
      </c>
      <c r="R426" s="43" t="e">
        <f>IF(Preenchimento!$G$39="Tabela Price",IF(C426="","",((((((1+W426)^($Q$16-C425))*W426)/((1+W426)^($Q$16-C425)-1))*(O425*(1+$AD$35))))),Q426+P426)</f>
        <v>#VALUE!</v>
      </c>
      <c r="S426" s="43" t="e">
        <f t="shared" ca="1" si="106"/>
        <v>#VALUE!</v>
      </c>
      <c r="T426" s="43">
        <f t="shared" si="109"/>
        <v>0</v>
      </c>
      <c r="U426" s="226">
        <f>TRUNC(T426*Condições!$C$102,2)</f>
        <v>0</v>
      </c>
      <c r="V426" s="82">
        <f t="shared" ca="1" si="110"/>
        <v>11</v>
      </c>
      <c r="W426" s="231" t="str">
        <f t="shared" si="107"/>
        <v/>
      </c>
      <c r="AI426" s="114">
        <f t="shared" si="111"/>
        <v>0</v>
      </c>
      <c r="AL426" s="477">
        <f t="shared" ca="1" si="112"/>
        <v>0</v>
      </c>
    </row>
    <row r="427" spans="2:38">
      <c r="B427" s="222">
        <f ca="1">Fixa!B427</f>
        <v>58425</v>
      </c>
      <c r="C427" s="223" t="str">
        <f>Fixa!C427</f>
        <v/>
      </c>
      <c r="D427" s="43" t="e">
        <f t="shared" si="97"/>
        <v>#VALUE!</v>
      </c>
      <c r="E427" s="43" t="e">
        <f t="shared" si="98"/>
        <v>#VALUE!</v>
      </c>
      <c r="F427" s="43" t="e">
        <f t="shared" si="99"/>
        <v>#VALUE!</v>
      </c>
      <c r="G427" s="43" t="e">
        <f t="shared" si="100"/>
        <v>#VALUE!</v>
      </c>
      <c r="H427" s="43" t="e">
        <f t="shared" ca="1" si="101"/>
        <v>#VALUE!</v>
      </c>
      <c r="I427" s="43">
        <f t="shared" si="102"/>
        <v>0</v>
      </c>
      <c r="J427" s="229">
        <f t="shared" si="108"/>
        <v>25</v>
      </c>
      <c r="K427" s="43">
        <f t="shared" si="103"/>
        <v>0</v>
      </c>
      <c r="M427" s="224"/>
      <c r="N427" s="225">
        <f t="shared" si="104"/>
        <v>0</v>
      </c>
      <c r="O427" s="43" t="e">
        <f t="shared" si="105"/>
        <v>#VALUE!</v>
      </c>
      <c r="P427" s="43" t="e">
        <f>ROUND(IF(Preenchimento!$G$39="Tabela Price",R427-Q427,(O426*(1+$AD$35))/($AD$28-C426)),$P$22)</f>
        <v>#VALUE!</v>
      </c>
      <c r="Q427" s="43" t="e">
        <f>IF(Preenchimento!$G$39="Tabela Price",O426*(1+$AD$35)*W427,O426*(1+SAC!$AD$35)*SAC!W427)</f>
        <v>#VALUE!</v>
      </c>
      <c r="R427" s="43" t="e">
        <f>IF(Preenchimento!$G$39="Tabela Price",IF(C427="","",((((((1+W427)^($Q$16-C426))*W427)/((1+W427)^($Q$16-C426)-1))*(O426*(1+$AD$35))))),Q427+P427)</f>
        <v>#VALUE!</v>
      </c>
      <c r="S427" s="43" t="e">
        <f t="shared" ca="1" si="106"/>
        <v>#VALUE!</v>
      </c>
      <c r="T427" s="43">
        <f t="shared" si="109"/>
        <v>0</v>
      </c>
      <c r="U427" s="226">
        <f>TRUNC(T427*Condições!$C$102,2)</f>
        <v>0</v>
      </c>
      <c r="V427" s="82">
        <f t="shared" ca="1" si="110"/>
        <v>12</v>
      </c>
      <c r="W427" s="231" t="str">
        <f t="shared" si="107"/>
        <v/>
      </c>
      <c r="AI427" s="114">
        <f t="shared" si="111"/>
        <v>0</v>
      </c>
      <c r="AL427" s="477">
        <f t="shared" ca="1" si="112"/>
        <v>0</v>
      </c>
    </row>
    <row r="428" spans="2:38">
      <c r="B428" s="222">
        <f ca="1">Fixa!B428</f>
        <v>58456</v>
      </c>
      <c r="C428" s="223" t="str">
        <f>Fixa!C428</f>
        <v/>
      </c>
      <c r="D428" s="43" t="e">
        <f t="shared" si="97"/>
        <v>#VALUE!</v>
      </c>
      <c r="E428" s="43" t="e">
        <f t="shared" si="98"/>
        <v>#VALUE!</v>
      </c>
      <c r="F428" s="43" t="e">
        <f t="shared" si="99"/>
        <v>#VALUE!</v>
      </c>
      <c r="G428" s="43" t="e">
        <f t="shared" si="100"/>
        <v>#VALUE!</v>
      </c>
      <c r="H428" s="43" t="e">
        <f t="shared" ca="1" si="101"/>
        <v>#VALUE!</v>
      </c>
      <c r="I428" s="43">
        <f t="shared" si="102"/>
        <v>0</v>
      </c>
      <c r="J428" s="229">
        <f t="shared" si="108"/>
        <v>25</v>
      </c>
      <c r="K428" s="43">
        <f t="shared" si="103"/>
        <v>0</v>
      </c>
      <c r="M428" s="224"/>
      <c r="N428" s="225">
        <f t="shared" si="104"/>
        <v>0</v>
      </c>
      <c r="O428" s="43" t="e">
        <f t="shared" si="105"/>
        <v>#VALUE!</v>
      </c>
      <c r="P428" s="43" t="e">
        <f>ROUND(IF(Preenchimento!$G$39="Tabela Price",R428-Q428,(O427*(1+$AD$35))/($AD$28-C427)),$P$22)</f>
        <v>#VALUE!</v>
      </c>
      <c r="Q428" s="43" t="e">
        <f>IF(Preenchimento!$G$39="Tabela Price",O427*(1+$AD$35)*W428,O427*(1+SAC!$AD$35)*SAC!W428)</f>
        <v>#VALUE!</v>
      </c>
      <c r="R428" s="43" t="e">
        <f>IF(Preenchimento!$G$39="Tabela Price",IF(C428="","",((((((1+W428)^($Q$16-C427))*W428)/((1+W428)^($Q$16-C427)-1))*(O427*(1+$AD$35))))),Q428+P428)</f>
        <v>#VALUE!</v>
      </c>
      <c r="S428" s="43" t="e">
        <f t="shared" ca="1" si="106"/>
        <v>#VALUE!</v>
      </c>
      <c r="T428" s="43">
        <f t="shared" si="109"/>
        <v>0</v>
      </c>
      <c r="U428" s="226">
        <f>TRUNC(T428*Condições!$C$102,2)</f>
        <v>0</v>
      </c>
      <c r="V428" s="82">
        <f t="shared" ca="1" si="110"/>
        <v>1</v>
      </c>
      <c r="W428" s="231" t="str">
        <f t="shared" si="107"/>
        <v/>
      </c>
      <c r="AI428" s="114">
        <f t="shared" si="111"/>
        <v>0</v>
      </c>
      <c r="AL428" s="477">
        <f t="shared" ca="1" si="112"/>
        <v>0</v>
      </c>
    </row>
    <row r="429" spans="2:38">
      <c r="B429" s="222">
        <f ca="1">Fixa!B429</f>
        <v>58487</v>
      </c>
      <c r="C429" s="223" t="str">
        <f>Fixa!C429</f>
        <v/>
      </c>
      <c r="D429" s="43" t="e">
        <f t="shared" si="97"/>
        <v>#VALUE!</v>
      </c>
      <c r="E429" s="43" t="e">
        <f t="shared" si="98"/>
        <v>#VALUE!</v>
      </c>
      <c r="F429" s="43" t="e">
        <f t="shared" si="99"/>
        <v>#VALUE!</v>
      </c>
      <c r="G429" s="43" t="e">
        <f t="shared" si="100"/>
        <v>#VALUE!</v>
      </c>
      <c r="H429" s="43" t="e">
        <f t="shared" ca="1" si="101"/>
        <v>#VALUE!</v>
      </c>
      <c r="I429" s="43">
        <f t="shared" si="102"/>
        <v>0</v>
      </c>
      <c r="J429" s="229">
        <f t="shared" si="108"/>
        <v>25</v>
      </c>
      <c r="K429" s="43">
        <f t="shared" si="103"/>
        <v>0</v>
      </c>
      <c r="M429" s="224"/>
      <c r="N429" s="225">
        <f t="shared" si="104"/>
        <v>0</v>
      </c>
      <c r="O429" s="43" t="e">
        <f t="shared" si="105"/>
        <v>#VALUE!</v>
      </c>
      <c r="P429" s="43" t="e">
        <f>ROUND(IF(Preenchimento!$G$39="Tabela Price",R429-Q429,(O428*(1+$AD$35))/($AD$28-C428)),$P$22)</f>
        <v>#VALUE!</v>
      </c>
      <c r="Q429" s="43" t="e">
        <f>IF(Preenchimento!$G$39="Tabela Price",O428*(1+$AD$35)*W429,O428*(1+SAC!$AD$35)*SAC!W429)</f>
        <v>#VALUE!</v>
      </c>
      <c r="R429" s="43" t="e">
        <f>IF(Preenchimento!$G$39="Tabela Price",IF(C429="","",((((((1+W429)^($Q$16-C428))*W429)/((1+W429)^($Q$16-C428)-1))*(O428*(1+$AD$35))))),Q429+P429)</f>
        <v>#VALUE!</v>
      </c>
      <c r="S429" s="43" t="e">
        <f t="shared" ca="1" si="106"/>
        <v>#VALUE!</v>
      </c>
      <c r="T429" s="43">
        <f t="shared" si="109"/>
        <v>0</v>
      </c>
      <c r="U429" s="226">
        <f>TRUNC(T429*Condições!$C$102,2)</f>
        <v>0</v>
      </c>
      <c r="V429" s="82">
        <f t="shared" ca="1" si="110"/>
        <v>2</v>
      </c>
      <c r="W429" s="231" t="str">
        <f t="shared" si="107"/>
        <v/>
      </c>
      <c r="AI429" s="114">
        <f t="shared" si="111"/>
        <v>0</v>
      </c>
      <c r="AL429" s="477">
        <f t="shared" ca="1" si="112"/>
        <v>0</v>
      </c>
    </row>
    <row r="430" spans="2:38">
      <c r="B430" s="222">
        <f ca="1">Fixa!B430</f>
        <v>58516</v>
      </c>
      <c r="C430" s="223" t="str">
        <f>Fixa!C430</f>
        <v/>
      </c>
      <c r="D430" s="43" t="e">
        <f t="shared" si="97"/>
        <v>#VALUE!</v>
      </c>
      <c r="E430" s="43" t="e">
        <f t="shared" si="98"/>
        <v>#VALUE!</v>
      </c>
      <c r="F430" s="43" t="e">
        <f t="shared" si="99"/>
        <v>#VALUE!</v>
      </c>
      <c r="G430" s="43" t="e">
        <f t="shared" si="100"/>
        <v>#VALUE!</v>
      </c>
      <c r="H430" s="43" t="e">
        <f t="shared" ca="1" si="101"/>
        <v>#VALUE!</v>
      </c>
      <c r="I430" s="43">
        <f t="shared" si="102"/>
        <v>0</v>
      </c>
      <c r="J430" s="229">
        <f t="shared" si="108"/>
        <v>25</v>
      </c>
      <c r="K430" s="43">
        <f t="shared" si="103"/>
        <v>0</v>
      </c>
      <c r="M430" s="224"/>
      <c r="N430" s="225">
        <f t="shared" si="104"/>
        <v>0</v>
      </c>
      <c r="O430" s="43" t="e">
        <f t="shared" si="105"/>
        <v>#VALUE!</v>
      </c>
      <c r="P430" s="43" t="e">
        <f>ROUND(IF(Preenchimento!$G$39="Tabela Price",R430-Q430,(O429*(1+$AD$35))/($AD$28-C429)),$P$22)</f>
        <v>#VALUE!</v>
      </c>
      <c r="Q430" s="43" t="e">
        <f>IF(Preenchimento!$G$39="Tabela Price",O429*(1+$AD$35)*W430,O429*(1+SAC!$AD$35)*SAC!W430)</f>
        <v>#VALUE!</v>
      </c>
      <c r="R430" s="43" t="e">
        <f>IF(Preenchimento!$G$39="Tabela Price",IF(C430="","",((((((1+W430)^($Q$16-C429))*W430)/((1+W430)^($Q$16-C429)-1))*(O429*(1+$AD$35))))),Q430+P430)</f>
        <v>#VALUE!</v>
      </c>
      <c r="S430" s="43" t="e">
        <f t="shared" ca="1" si="106"/>
        <v>#VALUE!</v>
      </c>
      <c r="T430" s="43">
        <f t="shared" si="109"/>
        <v>0</v>
      </c>
      <c r="U430" s="226">
        <f>TRUNC(T430*Condições!$C$102,2)</f>
        <v>0</v>
      </c>
      <c r="V430" s="82">
        <f t="shared" ca="1" si="110"/>
        <v>3</v>
      </c>
      <c r="W430" s="231" t="str">
        <f t="shared" si="107"/>
        <v/>
      </c>
      <c r="AI430" s="114">
        <f t="shared" si="111"/>
        <v>0</v>
      </c>
      <c r="AL430" s="477">
        <f t="shared" ca="1" si="112"/>
        <v>0</v>
      </c>
    </row>
    <row r="431" spans="2:38">
      <c r="B431" s="222">
        <f ca="1">Fixa!B431</f>
        <v>58547</v>
      </c>
      <c r="C431" s="223" t="str">
        <f>Fixa!C431</f>
        <v/>
      </c>
      <c r="D431" s="43" t="e">
        <f t="shared" si="97"/>
        <v>#VALUE!</v>
      </c>
      <c r="E431" s="43" t="e">
        <f t="shared" si="98"/>
        <v>#VALUE!</v>
      </c>
      <c r="F431" s="43" t="e">
        <f t="shared" si="99"/>
        <v>#VALUE!</v>
      </c>
      <c r="G431" s="43" t="e">
        <f t="shared" si="100"/>
        <v>#VALUE!</v>
      </c>
      <c r="H431" s="43" t="e">
        <f t="shared" ca="1" si="101"/>
        <v>#VALUE!</v>
      </c>
      <c r="I431" s="43">
        <f t="shared" si="102"/>
        <v>0</v>
      </c>
      <c r="J431" s="229">
        <f t="shared" si="108"/>
        <v>25</v>
      </c>
      <c r="K431" s="43">
        <f t="shared" si="103"/>
        <v>0</v>
      </c>
      <c r="M431" s="224"/>
      <c r="N431" s="225">
        <f t="shared" si="104"/>
        <v>0</v>
      </c>
      <c r="O431" s="43" t="e">
        <f t="shared" si="105"/>
        <v>#VALUE!</v>
      </c>
      <c r="P431" s="43" t="e">
        <f>ROUND(IF(Preenchimento!$G$39="Tabela Price",R431-Q431,(O430*(1+$AD$35))/($AD$28-C430)),$P$22)</f>
        <v>#VALUE!</v>
      </c>
      <c r="Q431" s="43" t="e">
        <f>IF(Preenchimento!$G$39="Tabela Price",O430*(1+$AD$35)*W431,O430*(1+SAC!$AD$35)*SAC!W431)</f>
        <v>#VALUE!</v>
      </c>
      <c r="R431" s="43" t="e">
        <f>IF(Preenchimento!$G$39="Tabela Price",IF(C431="","",((((((1+W431)^($Q$16-C430))*W431)/((1+W431)^($Q$16-C430)-1))*(O430*(1+$AD$35))))),Q431+P431)</f>
        <v>#VALUE!</v>
      </c>
      <c r="S431" s="43" t="e">
        <f t="shared" ca="1" si="106"/>
        <v>#VALUE!</v>
      </c>
      <c r="T431" s="43">
        <f t="shared" si="109"/>
        <v>0</v>
      </c>
      <c r="U431" s="226">
        <f>TRUNC(T431*Condições!$C$102,2)</f>
        <v>0</v>
      </c>
      <c r="V431" s="82">
        <f t="shared" ca="1" si="110"/>
        <v>4</v>
      </c>
      <c r="W431" s="231" t="str">
        <f t="shared" si="107"/>
        <v/>
      </c>
      <c r="AI431" s="114">
        <f t="shared" si="111"/>
        <v>0</v>
      </c>
      <c r="AL431" s="477">
        <f t="shared" ca="1" si="112"/>
        <v>0</v>
      </c>
    </row>
    <row r="432" spans="2:38">
      <c r="B432" s="222">
        <f ca="1">Fixa!B432</f>
        <v>58577</v>
      </c>
      <c r="C432" s="223" t="str">
        <f>Fixa!C432</f>
        <v/>
      </c>
      <c r="D432" s="43" t="e">
        <f t="shared" si="97"/>
        <v>#VALUE!</v>
      </c>
      <c r="E432" s="43" t="e">
        <f t="shared" si="98"/>
        <v>#VALUE!</v>
      </c>
      <c r="F432" s="43" t="e">
        <f t="shared" si="99"/>
        <v>#VALUE!</v>
      </c>
      <c r="G432" s="43" t="e">
        <f t="shared" si="100"/>
        <v>#VALUE!</v>
      </c>
      <c r="H432" s="43" t="e">
        <f t="shared" ca="1" si="101"/>
        <v>#VALUE!</v>
      </c>
      <c r="I432" s="43">
        <f t="shared" si="102"/>
        <v>0</v>
      </c>
      <c r="J432" s="229">
        <f t="shared" si="108"/>
        <v>25</v>
      </c>
      <c r="K432" s="43">
        <f t="shared" si="103"/>
        <v>0</v>
      </c>
      <c r="M432" s="224"/>
      <c r="N432" s="225">
        <f t="shared" si="104"/>
        <v>0</v>
      </c>
      <c r="O432" s="43" t="e">
        <f t="shared" si="105"/>
        <v>#VALUE!</v>
      </c>
      <c r="P432" s="43" t="e">
        <f>ROUND(IF(Preenchimento!$G$39="Tabela Price",R432-Q432,(O431*(1+$AD$35))/($AD$28-C431)),$P$22)</f>
        <v>#VALUE!</v>
      </c>
      <c r="Q432" s="43" t="e">
        <f>IF(Preenchimento!$G$39="Tabela Price",O431*(1+$AD$35)*W432,O431*(1+SAC!$AD$35)*SAC!W432)</f>
        <v>#VALUE!</v>
      </c>
      <c r="R432" s="43" t="e">
        <f>IF(Preenchimento!$G$39="Tabela Price",IF(C432="","",((((((1+W432)^($Q$16-C431))*W432)/((1+W432)^($Q$16-C431)-1))*(O431*(1+$AD$35))))),Q432+P432)</f>
        <v>#VALUE!</v>
      </c>
      <c r="S432" s="43" t="e">
        <f t="shared" ca="1" si="106"/>
        <v>#VALUE!</v>
      </c>
      <c r="T432" s="43">
        <f t="shared" si="109"/>
        <v>0</v>
      </c>
      <c r="U432" s="226">
        <f>TRUNC(T432*Condições!$C$102,2)</f>
        <v>0</v>
      </c>
      <c r="V432" s="82">
        <f t="shared" ca="1" si="110"/>
        <v>5</v>
      </c>
      <c r="W432" s="231" t="str">
        <f t="shared" si="107"/>
        <v/>
      </c>
      <c r="AI432" s="114">
        <f t="shared" si="111"/>
        <v>0</v>
      </c>
      <c r="AL432" s="477">
        <f t="shared" ca="1" si="112"/>
        <v>0</v>
      </c>
    </row>
    <row r="433" spans="2:38">
      <c r="B433" s="222">
        <f ca="1">Fixa!B433</f>
        <v>58608</v>
      </c>
      <c r="C433" s="223" t="str">
        <f>Fixa!C433</f>
        <v/>
      </c>
      <c r="D433" s="43" t="e">
        <f t="shared" si="97"/>
        <v>#VALUE!</v>
      </c>
      <c r="E433" s="43" t="e">
        <f t="shared" si="98"/>
        <v>#VALUE!</v>
      </c>
      <c r="F433" s="43" t="e">
        <f t="shared" si="99"/>
        <v>#VALUE!</v>
      </c>
      <c r="G433" s="43" t="e">
        <f t="shared" si="100"/>
        <v>#VALUE!</v>
      </c>
      <c r="H433" s="43" t="e">
        <f t="shared" ca="1" si="101"/>
        <v>#VALUE!</v>
      </c>
      <c r="I433" s="43">
        <f t="shared" si="102"/>
        <v>0</v>
      </c>
      <c r="J433" s="229">
        <f t="shared" si="108"/>
        <v>25</v>
      </c>
      <c r="K433" s="43">
        <f t="shared" si="103"/>
        <v>0</v>
      </c>
      <c r="M433" s="224"/>
      <c r="N433" s="225">
        <f t="shared" si="104"/>
        <v>0</v>
      </c>
      <c r="O433" s="43" t="e">
        <f t="shared" si="105"/>
        <v>#VALUE!</v>
      </c>
      <c r="P433" s="43" t="e">
        <f>ROUND(IF(Preenchimento!$G$39="Tabela Price",R433-Q433,(O432*(1+$AD$35))/($AD$28-C432)),$P$22)</f>
        <v>#VALUE!</v>
      </c>
      <c r="Q433" s="43" t="e">
        <f>IF(Preenchimento!$G$39="Tabela Price",O432*(1+$AD$35)*W433,O432*(1+SAC!$AD$35)*SAC!W433)</f>
        <v>#VALUE!</v>
      </c>
      <c r="R433" s="43" t="e">
        <f>IF(Preenchimento!$G$39="Tabela Price",IF(C433="","",((((((1+W433)^($Q$16-C432))*W433)/((1+W433)^($Q$16-C432)-1))*(O432*(1+$AD$35))))),Q433+P433)</f>
        <v>#VALUE!</v>
      </c>
      <c r="S433" s="43" t="e">
        <f t="shared" ca="1" si="106"/>
        <v>#VALUE!</v>
      </c>
      <c r="T433" s="43">
        <f t="shared" si="109"/>
        <v>0</v>
      </c>
      <c r="U433" s="226">
        <f>TRUNC(T433*Condições!$C$102,2)</f>
        <v>0</v>
      </c>
      <c r="V433" s="82">
        <f t="shared" ca="1" si="110"/>
        <v>6</v>
      </c>
      <c r="W433" s="231" t="str">
        <f t="shared" si="107"/>
        <v/>
      </c>
      <c r="AI433" s="114">
        <f t="shared" si="111"/>
        <v>0</v>
      </c>
      <c r="AL433" s="477">
        <f t="shared" ca="1" si="112"/>
        <v>0</v>
      </c>
    </row>
    <row r="434" spans="2:38">
      <c r="B434" s="222">
        <f ca="1">Fixa!B434</f>
        <v>58638</v>
      </c>
      <c r="C434" s="223" t="str">
        <f>Fixa!C434</f>
        <v/>
      </c>
      <c r="D434" s="43" t="e">
        <f t="shared" si="97"/>
        <v>#VALUE!</v>
      </c>
      <c r="E434" s="43" t="e">
        <f t="shared" si="98"/>
        <v>#VALUE!</v>
      </c>
      <c r="F434" s="43" t="e">
        <f t="shared" si="99"/>
        <v>#VALUE!</v>
      </c>
      <c r="G434" s="43" t="e">
        <f t="shared" si="100"/>
        <v>#VALUE!</v>
      </c>
      <c r="H434" s="43" t="e">
        <f t="shared" ca="1" si="101"/>
        <v>#VALUE!</v>
      </c>
      <c r="I434" s="43">
        <f t="shared" si="102"/>
        <v>0</v>
      </c>
      <c r="J434" s="229">
        <f t="shared" si="108"/>
        <v>25</v>
      </c>
      <c r="K434" s="43">
        <f t="shared" si="103"/>
        <v>0</v>
      </c>
      <c r="M434" s="224"/>
      <c r="N434" s="225">
        <f t="shared" si="104"/>
        <v>0</v>
      </c>
      <c r="O434" s="43" t="e">
        <f t="shared" si="105"/>
        <v>#VALUE!</v>
      </c>
      <c r="P434" s="43" t="e">
        <f>ROUND(IF(Preenchimento!$G$39="Tabela Price",R434-Q434,(O433*(1+$AD$35))/($AD$28-C433)),$P$22)</f>
        <v>#VALUE!</v>
      </c>
      <c r="Q434" s="43" t="e">
        <f>IF(Preenchimento!$G$39="Tabela Price",O433*(1+$AD$35)*W434,O433*(1+SAC!$AD$35)*SAC!W434)</f>
        <v>#VALUE!</v>
      </c>
      <c r="R434" s="43" t="e">
        <f>IF(Preenchimento!$G$39="Tabela Price",IF(C434="","",((((((1+W434)^($Q$16-C433))*W434)/((1+W434)^($Q$16-C433)-1))*(O433*(1+$AD$35))))),Q434+P434)</f>
        <v>#VALUE!</v>
      </c>
      <c r="S434" s="43" t="e">
        <f t="shared" ca="1" si="106"/>
        <v>#VALUE!</v>
      </c>
      <c r="T434" s="43">
        <f t="shared" si="109"/>
        <v>0</v>
      </c>
      <c r="U434" s="226">
        <f>TRUNC(T434*Condições!$C$102,2)</f>
        <v>0</v>
      </c>
      <c r="V434" s="82">
        <f t="shared" ca="1" si="110"/>
        <v>7</v>
      </c>
      <c r="W434" s="231" t="str">
        <f t="shared" si="107"/>
        <v/>
      </c>
      <c r="AI434" s="114">
        <f t="shared" si="111"/>
        <v>0</v>
      </c>
      <c r="AL434" s="477">
        <f t="shared" ca="1" si="112"/>
        <v>0</v>
      </c>
    </row>
    <row r="435" spans="2:38">
      <c r="B435" s="222">
        <f ca="1">Fixa!B435</f>
        <v>58669</v>
      </c>
      <c r="C435" s="223" t="str">
        <f>Fixa!C435</f>
        <v/>
      </c>
      <c r="D435" s="43" t="e">
        <f t="shared" si="97"/>
        <v>#VALUE!</v>
      </c>
      <c r="E435" s="43" t="e">
        <f t="shared" si="98"/>
        <v>#VALUE!</v>
      </c>
      <c r="F435" s="43" t="e">
        <f t="shared" si="99"/>
        <v>#VALUE!</v>
      </c>
      <c r="G435" s="43" t="e">
        <f t="shared" si="100"/>
        <v>#VALUE!</v>
      </c>
      <c r="H435" s="43" t="e">
        <f t="shared" ca="1" si="101"/>
        <v>#VALUE!</v>
      </c>
      <c r="I435" s="43">
        <f t="shared" si="102"/>
        <v>0</v>
      </c>
      <c r="J435" s="229">
        <f t="shared" si="108"/>
        <v>25</v>
      </c>
      <c r="K435" s="43">
        <f t="shared" si="103"/>
        <v>0</v>
      </c>
      <c r="M435" s="224"/>
      <c r="N435" s="225">
        <f t="shared" si="104"/>
        <v>0</v>
      </c>
      <c r="O435" s="43" t="e">
        <f t="shared" si="105"/>
        <v>#VALUE!</v>
      </c>
      <c r="P435" s="43" t="e">
        <f>ROUND(IF(Preenchimento!$G$39="Tabela Price",R435-Q435,(O434*(1+$AD$35))/($AD$28-C434)),$P$22)</f>
        <v>#VALUE!</v>
      </c>
      <c r="Q435" s="43" t="e">
        <f>IF(Preenchimento!$G$39="Tabela Price",O434*(1+$AD$35)*W435,O434*(1+SAC!$AD$35)*SAC!W435)</f>
        <v>#VALUE!</v>
      </c>
      <c r="R435" s="43" t="e">
        <f>IF(Preenchimento!$G$39="Tabela Price",IF(C435="","",((((((1+W435)^($Q$16-C434))*W435)/((1+W435)^($Q$16-C434)-1))*(O434*(1+$AD$35))))),Q435+P435)</f>
        <v>#VALUE!</v>
      </c>
      <c r="S435" s="43" t="e">
        <f t="shared" ca="1" si="106"/>
        <v>#VALUE!</v>
      </c>
      <c r="T435" s="43">
        <f t="shared" si="109"/>
        <v>0</v>
      </c>
      <c r="U435" s="226">
        <f>TRUNC(T435*Condições!$C$102,2)</f>
        <v>0</v>
      </c>
      <c r="V435" s="82">
        <f t="shared" ca="1" si="110"/>
        <v>8</v>
      </c>
      <c r="W435" s="231" t="str">
        <f t="shared" si="107"/>
        <v/>
      </c>
      <c r="AI435" s="114">
        <f t="shared" si="111"/>
        <v>0</v>
      </c>
      <c r="AL435" s="477">
        <f t="shared" ca="1" si="112"/>
        <v>0</v>
      </c>
    </row>
    <row r="436" spans="2:38">
      <c r="B436" s="222">
        <f ca="1">Fixa!B436</f>
        <v>58700</v>
      </c>
      <c r="C436" s="223" t="str">
        <f>Fixa!C436</f>
        <v/>
      </c>
      <c r="D436" s="43" t="e">
        <f t="shared" si="97"/>
        <v>#VALUE!</v>
      </c>
      <c r="E436" s="43" t="e">
        <f t="shared" si="98"/>
        <v>#VALUE!</v>
      </c>
      <c r="F436" s="43" t="e">
        <f t="shared" si="99"/>
        <v>#VALUE!</v>
      </c>
      <c r="G436" s="43" t="e">
        <f t="shared" si="100"/>
        <v>#VALUE!</v>
      </c>
      <c r="H436" s="43" t="e">
        <f t="shared" ca="1" si="101"/>
        <v>#VALUE!</v>
      </c>
      <c r="I436" s="43">
        <f t="shared" si="102"/>
        <v>0</v>
      </c>
      <c r="J436" s="229">
        <f t="shared" si="108"/>
        <v>25</v>
      </c>
      <c r="K436" s="43">
        <f t="shared" si="103"/>
        <v>0</v>
      </c>
      <c r="M436" s="224"/>
      <c r="N436" s="225">
        <f t="shared" si="104"/>
        <v>0</v>
      </c>
      <c r="O436" s="43" t="e">
        <f t="shared" si="105"/>
        <v>#VALUE!</v>
      </c>
      <c r="P436" s="43" t="e">
        <f>ROUND(IF(Preenchimento!$G$39="Tabela Price",R436-Q436,(O435*(1+$AD$35))/($AD$28-C435)),$P$22)</f>
        <v>#VALUE!</v>
      </c>
      <c r="Q436" s="43" t="e">
        <f>IF(Preenchimento!$G$39="Tabela Price",O435*(1+$AD$35)*W436,O435*(1+SAC!$AD$35)*SAC!W436)</f>
        <v>#VALUE!</v>
      </c>
      <c r="R436" s="43" t="e">
        <f>IF(Preenchimento!$G$39="Tabela Price",IF(C436="","",((((((1+W436)^($Q$16-C435))*W436)/((1+W436)^($Q$16-C435)-1))*(O435*(1+$AD$35))))),Q436+P436)</f>
        <v>#VALUE!</v>
      </c>
      <c r="S436" s="43" t="e">
        <f t="shared" ca="1" si="106"/>
        <v>#VALUE!</v>
      </c>
      <c r="T436" s="43">
        <f t="shared" si="109"/>
        <v>0</v>
      </c>
      <c r="U436" s="226">
        <f>TRUNC(T436*Condições!$C$102,2)</f>
        <v>0</v>
      </c>
      <c r="V436" s="82">
        <f t="shared" ca="1" si="110"/>
        <v>9</v>
      </c>
      <c r="W436" s="231" t="str">
        <f t="shared" si="107"/>
        <v/>
      </c>
      <c r="AI436" s="114">
        <f t="shared" si="111"/>
        <v>0</v>
      </c>
      <c r="AL436" s="477">
        <f t="shared" ca="1" si="112"/>
        <v>0</v>
      </c>
    </row>
    <row r="437" spans="2:38">
      <c r="B437" s="222">
        <f ca="1">Fixa!B437</f>
        <v>58730</v>
      </c>
      <c r="C437" s="223" t="str">
        <f>Fixa!C437</f>
        <v/>
      </c>
      <c r="D437" s="43" t="e">
        <f t="shared" si="97"/>
        <v>#VALUE!</v>
      </c>
      <c r="E437" s="43" t="e">
        <f t="shared" si="98"/>
        <v>#VALUE!</v>
      </c>
      <c r="F437" s="43" t="e">
        <f t="shared" si="99"/>
        <v>#VALUE!</v>
      </c>
      <c r="G437" s="43" t="e">
        <f t="shared" si="100"/>
        <v>#VALUE!</v>
      </c>
      <c r="H437" s="43" t="e">
        <f t="shared" ca="1" si="101"/>
        <v>#VALUE!</v>
      </c>
      <c r="I437" s="43">
        <f t="shared" si="102"/>
        <v>0</v>
      </c>
      <c r="J437" s="229">
        <f t="shared" si="108"/>
        <v>25</v>
      </c>
      <c r="K437" s="43">
        <f t="shared" si="103"/>
        <v>0</v>
      </c>
      <c r="M437" s="224"/>
      <c r="N437" s="225">
        <f t="shared" si="104"/>
        <v>0</v>
      </c>
      <c r="O437" s="43" t="e">
        <f t="shared" si="105"/>
        <v>#VALUE!</v>
      </c>
      <c r="P437" s="43" t="e">
        <f>ROUND(IF(Preenchimento!$G$39="Tabela Price",R437-Q437,(O436*(1+$AD$35))/($AD$28-C436)),$P$22)</f>
        <v>#VALUE!</v>
      </c>
      <c r="Q437" s="43" t="e">
        <f>IF(Preenchimento!$G$39="Tabela Price",O436*(1+$AD$35)*W437,O436*(1+SAC!$AD$35)*SAC!W437)</f>
        <v>#VALUE!</v>
      </c>
      <c r="R437" s="43" t="e">
        <f>IF(Preenchimento!$G$39="Tabela Price",IF(C437="","",((((((1+W437)^($Q$16-C436))*W437)/((1+W437)^($Q$16-C436)-1))*(O436*(1+$AD$35))))),Q437+P437)</f>
        <v>#VALUE!</v>
      </c>
      <c r="S437" s="43" t="e">
        <f t="shared" ca="1" si="106"/>
        <v>#VALUE!</v>
      </c>
      <c r="T437" s="43">
        <f t="shared" si="109"/>
        <v>0</v>
      </c>
      <c r="U437" s="226">
        <f>TRUNC(T437*Condições!$C$102,2)</f>
        <v>0</v>
      </c>
      <c r="V437" s="82">
        <f t="shared" ca="1" si="110"/>
        <v>10</v>
      </c>
      <c r="W437" s="231" t="str">
        <f t="shared" si="107"/>
        <v/>
      </c>
      <c r="AI437" s="114">
        <f t="shared" si="111"/>
        <v>0</v>
      </c>
      <c r="AL437" s="477">
        <f t="shared" ca="1" si="112"/>
        <v>0</v>
      </c>
    </row>
    <row r="438" spans="2:38">
      <c r="B438" s="222">
        <f ca="1">Fixa!B438</f>
        <v>58761</v>
      </c>
      <c r="C438" s="223" t="str">
        <f>Fixa!C438</f>
        <v/>
      </c>
      <c r="D438" s="43" t="e">
        <f t="shared" si="97"/>
        <v>#VALUE!</v>
      </c>
      <c r="E438" s="43" t="e">
        <f t="shared" si="98"/>
        <v>#VALUE!</v>
      </c>
      <c r="F438" s="43" t="e">
        <f t="shared" si="99"/>
        <v>#VALUE!</v>
      </c>
      <c r="G438" s="43" t="e">
        <f t="shared" si="100"/>
        <v>#VALUE!</v>
      </c>
      <c r="H438" s="43" t="e">
        <f t="shared" ca="1" si="101"/>
        <v>#VALUE!</v>
      </c>
      <c r="I438" s="43">
        <f t="shared" si="102"/>
        <v>0</v>
      </c>
      <c r="J438" s="229">
        <f t="shared" si="108"/>
        <v>25</v>
      </c>
      <c r="K438" s="43">
        <f t="shared" si="103"/>
        <v>0</v>
      </c>
      <c r="M438" s="224"/>
      <c r="N438" s="225">
        <f t="shared" si="104"/>
        <v>0</v>
      </c>
      <c r="O438" s="43" t="e">
        <f t="shared" si="105"/>
        <v>#VALUE!</v>
      </c>
      <c r="P438" s="43" t="e">
        <f>ROUND(IF(Preenchimento!$G$39="Tabela Price",R438-Q438,(O437*(1+$AD$35))/($AD$28-C437)),$P$22)</f>
        <v>#VALUE!</v>
      </c>
      <c r="Q438" s="43" t="e">
        <f>IF(Preenchimento!$G$39="Tabela Price",O437*(1+$AD$35)*W438,O437*(1+SAC!$AD$35)*SAC!W438)</f>
        <v>#VALUE!</v>
      </c>
      <c r="R438" s="43" t="e">
        <f>IF(Preenchimento!$G$39="Tabela Price",IF(C438="","",((((((1+W438)^($Q$16-C437))*W438)/((1+W438)^($Q$16-C437)-1))*(O437*(1+$AD$35))))),Q438+P438)</f>
        <v>#VALUE!</v>
      </c>
      <c r="S438" s="43" t="e">
        <f t="shared" ca="1" si="106"/>
        <v>#VALUE!</v>
      </c>
      <c r="T438" s="43">
        <f t="shared" si="109"/>
        <v>0</v>
      </c>
      <c r="U438" s="226">
        <f>TRUNC(T438*Condições!$C$102,2)</f>
        <v>0</v>
      </c>
      <c r="V438" s="82">
        <f t="shared" ca="1" si="110"/>
        <v>11</v>
      </c>
      <c r="W438" s="231" t="str">
        <f t="shared" si="107"/>
        <v/>
      </c>
      <c r="AI438" s="114">
        <f t="shared" si="111"/>
        <v>0</v>
      </c>
      <c r="AL438" s="477">
        <f t="shared" ca="1" si="112"/>
        <v>0</v>
      </c>
    </row>
    <row r="439" spans="2:38">
      <c r="B439" s="222">
        <f ca="1">Fixa!B439</f>
        <v>58791</v>
      </c>
      <c r="C439" s="223" t="str">
        <f>Fixa!C439</f>
        <v/>
      </c>
      <c r="D439" s="43" t="e">
        <f t="shared" si="97"/>
        <v>#VALUE!</v>
      </c>
      <c r="E439" s="43" t="e">
        <f t="shared" si="98"/>
        <v>#VALUE!</v>
      </c>
      <c r="F439" s="43" t="e">
        <f t="shared" si="99"/>
        <v>#VALUE!</v>
      </c>
      <c r="G439" s="43" t="e">
        <f t="shared" si="100"/>
        <v>#VALUE!</v>
      </c>
      <c r="H439" s="43" t="e">
        <f t="shared" ca="1" si="101"/>
        <v>#VALUE!</v>
      </c>
      <c r="I439" s="43">
        <f t="shared" si="102"/>
        <v>0</v>
      </c>
      <c r="J439" s="229">
        <f t="shared" si="108"/>
        <v>25</v>
      </c>
      <c r="K439" s="43">
        <f t="shared" si="103"/>
        <v>0</v>
      </c>
      <c r="M439" s="224"/>
      <c r="N439" s="225">
        <f t="shared" si="104"/>
        <v>0</v>
      </c>
      <c r="O439" s="43" t="e">
        <f t="shared" si="105"/>
        <v>#VALUE!</v>
      </c>
      <c r="P439" s="43" t="e">
        <f>ROUND(IF(Preenchimento!$G$39="Tabela Price",R439-Q439,(O438*(1+$AD$35))/($AD$28-C438)),$P$22)</f>
        <v>#VALUE!</v>
      </c>
      <c r="Q439" s="43" t="e">
        <f>IF(Preenchimento!$G$39="Tabela Price",O438*(1+$AD$35)*W439,O438*(1+SAC!$AD$35)*SAC!W439)</f>
        <v>#VALUE!</v>
      </c>
      <c r="R439" s="43" t="e">
        <f>IF(Preenchimento!$G$39="Tabela Price",IF(C439="","",((((((1+W439)^($Q$16-C438))*W439)/((1+W439)^($Q$16-C438)-1))*(O438*(1+$AD$35))))),Q439+P439)</f>
        <v>#VALUE!</v>
      </c>
      <c r="S439" s="43" t="e">
        <f t="shared" ca="1" si="106"/>
        <v>#VALUE!</v>
      </c>
      <c r="T439" s="43">
        <f t="shared" si="109"/>
        <v>0</v>
      </c>
      <c r="U439" s="226">
        <f>TRUNC(T439*Condições!$C$102,2)</f>
        <v>0</v>
      </c>
      <c r="V439" s="82">
        <f t="shared" ca="1" si="110"/>
        <v>12</v>
      </c>
      <c r="W439" s="231" t="str">
        <f t="shared" si="107"/>
        <v/>
      </c>
      <c r="AI439" s="114">
        <f t="shared" si="111"/>
        <v>0</v>
      </c>
      <c r="AL439" s="477">
        <f t="shared" ca="1" si="112"/>
        <v>0</v>
      </c>
    </row>
    <row r="440" spans="2:38">
      <c r="B440" s="222">
        <f ca="1">Fixa!B440</f>
        <v>58822</v>
      </c>
      <c r="C440" s="223" t="str">
        <f>Fixa!C440</f>
        <v/>
      </c>
      <c r="D440" s="43" t="e">
        <f t="shared" si="97"/>
        <v>#VALUE!</v>
      </c>
      <c r="E440" s="43" t="e">
        <f t="shared" si="98"/>
        <v>#VALUE!</v>
      </c>
      <c r="F440" s="43" t="e">
        <f t="shared" si="99"/>
        <v>#VALUE!</v>
      </c>
      <c r="G440" s="43" t="e">
        <f t="shared" si="100"/>
        <v>#VALUE!</v>
      </c>
      <c r="H440" s="43" t="e">
        <f t="shared" ca="1" si="101"/>
        <v>#VALUE!</v>
      </c>
      <c r="I440" s="43">
        <f t="shared" si="102"/>
        <v>0</v>
      </c>
      <c r="J440" s="229">
        <f t="shared" si="108"/>
        <v>25</v>
      </c>
      <c r="K440" s="43">
        <f t="shared" si="103"/>
        <v>0</v>
      </c>
      <c r="M440" s="224"/>
      <c r="N440" s="225">
        <f t="shared" si="104"/>
        <v>0</v>
      </c>
      <c r="O440" s="43" t="e">
        <f t="shared" si="105"/>
        <v>#VALUE!</v>
      </c>
      <c r="P440" s="43" t="e">
        <f>ROUND(IF(Preenchimento!$G$39="Tabela Price",R440-Q440,(O439*(1+$AD$35))/($AD$28-C439)),$P$22)</f>
        <v>#VALUE!</v>
      </c>
      <c r="Q440" s="43" t="e">
        <f>IF(Preenchimento!$G$39="Tabela Price",O439*(1+$AD$35)*W440,O439*(1+SAC!$AD$35)*SAC!W440)</f>
        <v>#VALUE!</v>
      </c>
      <c r="R440" s="43" t="e">
        <f>IF(Preenchimento!$G$39="Tabela Price",IF(C440="","",((((((1+W440)^($Q$16-C439))*W440)/((1+W440)^($Q$16-C439)-1))*(O439*(1+$AD$35))))),Q440+P440)</f>
        <v>#VALUE!</v>
      </c>
      <c r="S440" s="43" t="e">
        <f t="shared" ca="1" si="106"/>
        <v>#VALUE!</v>
      </c>
      <c r="T440" s="43">
        <f t="shared" si="109"/>
        <v>0</v>
      </c>
      <c r="U440" s="226">
        <f>TRUNC(T440*Condições!$C$102,2)</f>
        <v>0</v>
      </c>
      <c r="V440" s="82">
        <f t="shared" ca="1" si="110"/>
        <v>1</v>
      </c>
      <c r="W440" s="231" t="str">
        <f t="shared" si="107"/>
        <v/>
      </c>
      <c r="AI440" s="114">
        <f t="shared" si="111"/>
        <v>0</v>
      </c>
      <c r="AL440" s="477">
        <f t="shared" ca="1" si="112"/>
        <v>0</v>
      </c>
    </row>
    <row r="441" spans="2:38">
      <c r="B441" s="222">
        <f ca="1">Fixa!B441</f>
        <v>58853</v>
      </c>
      <c r="C441" s="223" t="str">
        <f>Fixa!C441</f>
        <v/>
      </c>
      <c r="D441" s="43" t="e">
        <f t="shared" si="97"/>
        <v>#VALUE!</v>
      </c>
      <c r="E441" s="43" t="e">
        <f t="shared" si="98"/>
        <v>#VALUE!</v>
      </c>
      <c r="F441" s="43" t="e">
        <f t="shared" si="99"/>
        <v>#VALUE!</v>
      </c>
      <c r="G441" s="43" t="e">
        <f t="shared" si="100"/>
        <v>#VALUE!</v>
      </c>
      <c r="H441" s="43" t="e">
        <f t="shared" ca="1" si="101"/>
        <v>#VALUE!</v>
      </c>
      <c r="I441" s="43">
        <f t="shared" si="102"/>
        <v>0</v>
      </c>
      <c r="J441" s="229">
        <f t="shared" si="108"/>
        <v>25</v>
      </c>
      <c r="K441" s="43">
        <f t="shared" si="103"/>
        <v>0</v>
      </c>
      <c r="M441" s="224"/>
      <c r="N441" s="225">
        <f t="shared" si="104"/>
        <v>0</v>
      </c>
      <c r="O441" s="43" t="e">
        <f t="shared" si="105"/>
        <v>#VALUE!</v>
      </c>
      <c r="P441" s="43" t="e">
        <f>ROUND(IF(Preenchimento!$G$39="Tabela Price",R441-Q441,(O440*(1+$AD$35))/($AD$28-C440)),$P$22)</f>
        <v>#VALUE!</v>
      </c>
      <c r="Q441" s="43" t="e">
        <f>IF(Preenchimento!$G$39="Tabela Price",O440*(1+$AD$35)*W441,O440*(1+SAC!$AD$35)*SAC!W441)</f>
        <v>#VALUE!</v>
      </c>
      <c r="R441" s="43" t="e">
        <f>IF(Preenchimento!$G$39="Tabela Price",IF(C441="","",((((((1+W441)^($Q$16-C440))*W441)/((1+W441)^($Q$16-C440)-1))*(O440*(1+$AD$35))))),Q441+P441)</f>
        <v>#VALUE!</v>
      </c>
      <c r="S441" s="43" t="e">
        <f t="shared" ca="1" si="106"/>
        <v>#VALUE!</v>
      </c>
      <c r="T441" s="43">
        <f t="shared" si="109"/>
        <v>0</v>
      </c>
      <c r="U441" s="226">
        <f>TRUNC(T441*Condições!$C$102,2)</f>
        <v>0</v>
      </c>
      <c r="V441" s="82">
        <f t="shared" ca="1" si="110"/>
        <v>2</v>
      </c>
      <c r="W441" s="231" t="str">
        <f t="shared" si="107"/>
        <v/>
      </c>
      <c r="AI441" s="114">
        <f t="shared" si="111"/>
        <v>0</v>
      </c>
      <c r="AL441" s="477">
        <f t="shared" ca="1" si="112"/>
        <v>0</v>
      </c>
    </row>
    <row r="442" spans="2:38">
      <c r="B442" s="222">
        <f ca="1">Fixa!B442</f>
        <v>58881</v>
      </c>
      <c r="C442" s="223" t="str">
        <f>Fixa!C442</f>
        <v/>
      </c>
      <c r="D442" s="43" t="e">
        <f t="shared" si="97"/>
        <v>#VALUE!</v>
      </c>
      <c r="E442" s="43" t="e">
        <f t="shared" si="98"/>
        <v>#VALUE!</v>
      </c>
      <c r="F442" s="43" t="e">
        <f t="shared" si="99"/>
        <v>#VALUE!</v>
      </c>
      <c r="G442" s="43" t="e">
        <f t="shared" si="100"/>
        <v>#VALUE!</v>
      </c>
      <c r="H442" s="43" t="e">
        <f t="shared" ca="1" si="101"/>
        <v>#VALUE!</v>
      </c>
      <c r="I442" s="43">
        <f t="shared" si="102"/>
        <v>0</v>
      </c>
      <c r="J442" s="229">
        <f t="shared" si="108"/>
        <v>25</v>
      </c>
      <c r="K442" s="43">
        <f t="shared" si="103"/>
        <v>0</v>
      </c>
      <c r="M442" s="224"/>
      <c r="N442" s="225">
        <f t="shared" si="104"/>
        <v>0</v>
      </c>
      <c r="O442" s="43" t="e">
        <f t="shared" si="105"/>
        <v>#VALUE!</v>
      </c>
      <c r="P442" s="43" t="e">
        <f>ROUND(IF(Preenchimento!$G$39="Tabela Price",R442-Q442,(O441*(1+$AD$35))/($AD$28-C441)),$P$22)</f>
        <v>#VALUE!</v>
      </c>
      <c r="Q442" s="43" t="e">
        <f>IF(Preenchimento!$G$39="Tabela Price",O441*(1+$AD$35)*W442,O441*(1+SAC!$AD$35)*SAC!W442)</f>
        <v>#VALUE!</v>
      </c>
      <c r="R442" s="43" t="e">
        <f>IF(Preenchimento!$G$39="Tabela Price",IF(C442="","",((((((1+W442)^($Q$16-C441))*W442)/((1+W442)^($Q$16-C441)-1))*(O441*(1+$AD$35))))),Q442+P442)</f>
        <v>#VALUE!</v>
      </c>
      <c r="S442" s="43" t="e">
        <f t="shared" ca="1" si="106"/>
        <v>#VALUE!</v>
      </c>
      <c r="T442" s="43">
        <f t="shared" si="109"/>
        <v>0</v>
      </c>
      <c r="U442" s="226">
        <f>TRUNC(T442*Condições!$C$102,2)</f>
        <v>0</v>
      </c>
      <c r="V442" s="82">
        <f t="shared" ca="1" si="110"/>
        <v>3</v>
      </c>
      <c r="W442" s="231" t="str">
        <f t="shared" si="107"/>
        <v/>
      </c>
      <c r="AI442" s="114">
        <f t="shared" si="111"/>
        <v>0</v>
      </c>
      <c r="AL442" s="477">
        <f t="shared" ca="1" si="112"/>
        <v>0</v>
      </c>
    </row>
    <row r="443" spans="2:38">
      <c r="B443" s="222">
        <f ca="1">Fixa!B443</f>
        <v>58912</v>
      </c>
      <c r="C443" s="223" t="str">
        <f>Fixa!C443</f>
        <v/>
      </c>
      <c r="D443" s="43" t="e">
        <f t="shared" si="97"/>
        <v>#VALUE!</v>
      </c>
      <c r="E443" s="43" t="e">
        <f t="shared" si="98"/>
        <v>#VALUE!</v>
      </c>
      <c r="F443" s="43" t="e">
        <f t="shared" si="99"/>
        <v>#VALUE!</v>
      </c>
      <c r="G443" s="43" t="e">
        <f t="shared" si="100"/>
        <v>#VALUE!</v>
      </c>
      <c r="H443" s="43" t="e">
        <f t="shared" ca="1" si="101"/>
        <v>#VALUE!</v>
      </c>
      <c r="I443" s="43">
        <f t="shared" si="102"/>
        <v>0</v>
      </c>
      <c r="J443" s="229">
        <f t="shared" si="108"/>
        <v>25</v>
      </c>
      <c r="K443" s="43">
        <f t="shared" si="103"/>
        <v>0</v>
      </c>
      <c r="M443" s="224"/>
      <c r="N443" s="225">
        <f t="shared" si="104"/>
        <v>0</v>
      </c>
      <c r="O443" s="43" t="e">
        <f t="shared" si="105"/>
        <v>#VALUE!</v>
      </c>
      <c r="P443" s="43" t="e">
        <f>ROUND(IF(Preenchimento!$G$39="Tabela Price",R443-Q443,(O442*(1+$AD$35))/($AD$28-C442)),$P$22)</f>
        <v>#VALUE!</v>
      </c>
      <c r="Q443" s="43" t="e">
        <f>IF(Preenchimento!$G$39="Tabela Price",O442*(1+$AD$35)*W443,O442*(1+SAC!$AD$35)*SAC!W443)</f>
        <v>#VALUE!</v>
      </c>
      <c r="R443" s="43" t="e">
        <f>IF(Preenchimento!$G$39="Tabela Price",IF(C443="","",((((((1+W443)^($Q$16-C442))*W443)/((1+W443)^($Q$16-C442)-1))*(O442*(1+$AD$35))))),Q443+P443)</f>
        <v>#VALUE!</v>
      </c>
      <c r="S443" s="43" t="e">
        <f t="shared" ca="1" si="106"/>
        <v>#VALUE!</v>
      </c>
      <c r="T443" s="43">
        <f t="shared" si="109"/>
        <v>0</v>
      </c>
      <c r="U443" s="226">
        <f>TRUNC(T443*Condições!$C$102,2)</f>
        <v>0</v>
      </c>
      <c r="V443" s="82">
        <f t="shared" ca="1" si="110"/>
        <v>4</v>
      </c>
      <c r="W443" s="231" t="str">
        <f t="shared" si="107"/>
        <v/>
      </c>
      <c r="AI443" s="114">
        <f t="shared" si="111"/>
        <v>0</v>
      </c>
      <c r="AL443" s="477">
        <f t="shared" ca="1" si="112"/>
        <v>0</v>
      </c>
    </row>
    <row r="444" spans="2:38">
      <c r="B444" s="222">
        <f ca="1">Fixa!B444</f>
        <v>58942</v>
      </c>
      <c r="C444" s="223" t="str">
        <f>Fixa!C444</f>
        <v/>
      </c>
      <c r="D444" s="43" t="e">
        <f t="shared" si="97"/>
        <v>#VALUE!</v>
      </c>
      <c r="E444" s="43" t="e">
        <f t="shared" si="98"/>
        <v>#VALUE!</v>
      </c>
      <c r="F444" s="43" t="e">
        <f t="shared" si="99"/>
        <v>#VALUE!</v>
      </c>
      <c r="G444" s="43" t="e">
        <f t="shared" si="100"/>
        <v>#VALUE!</v>
      </c>
      <c r="H444" s="43" t="e">
        <f t="shared" ca="1" si="101"/>
        <v>#VALUE!</v>
      </c>
      <c r="I444" s="43">
        <f t="shared" si="102"/>
        <v>0</v>
      </c>
      <c r="J444" s="229">
        <f t="shared" si="108"/>
        <v>25</v>
      </c>
      <c r="K444" s="43">
        <f t="shared" si="103"/>
        <v>0</v>
      </c>
      <c r="M444" s="224"/>
      <c r="N444" s="225">
        <f t="shared" si="104"/>
        <v>0</v>
      </c>
      <c r="O444" s="43" t="e">
        <f t="shared" si="105"/>
        <v>#VALUE!</v>
      </c>
      <c r="P444" s="43" t="e">
        <f>ROUND(IF(Preenchimento!$G$39="Tabela Price",R444-Q444,(O443*(1+$AD$35))/($AD$28-C443)),$P$22)</f>
        <v>#VALUE!</v>
      </c>
      <c r="Q444" s="43" t="e">
        <f>IF(Preenchimento!$G$39="Tabela Price",O443*(1+$AD$35)*W444,O443*(1+SAC!$AD$35)*SAC!W444)</f>
        <v>#VALUE!</v>
      </c>
      <c r="R444" s="43" t="e">
        <f>IF(Preenchimento!$G$39="Tabela Price",IF(C444="","",((((((1+W444)^($Q$16-C443))*W444)/((1+W444)^($Q$16-C443)-1))*(O443*(1+$AD$35))))),Q444+P444)</f>
        <v>#VALUE!</v>
      </c>
      <c r="S444" s="43" t="e">
        <f t="shared" ca="1" si="106"/>
        <v>#VALUE!</v>
      </c>
      <c r="T444" s="43">
        <f t="shared" si="109"/>
        <v>0</v>
      </c>
      <c r="U444" s="226">
        <f>TRUNC(T444*Condições!$C$102,2)</f>
        <v>0</v>
      </c>
      <c r="V444" s="82">
        <f t="shared" ca="1" si="110"/>
        <v>5</v>
      </c>
      <c r="W444" s="231" t="str">
        <f t="shared" si="107"/>
        <v/>
      </c>
      <c r="AI444" s="114">
        <f t="shared" si="111"/>
        <v>0</v>
      </c>
      <c r="AL444" s="477">
        <f t="shared" ca="1" si="112"/>
        <v>0</v>
      </c>
    </row>
    <row r="445" spans="2:38">
      <c r="B445" s="222">
        <f ca="1">Fixa!B445</f>
        <v>58973</v>
      </c>
      <c r="C445" s="223" t="str">
        <f>Fixa!C445</f>
        <v/>
      </c>
      <c r="D445" s="43" t="e">
        <f t="shared" si="97"/>
        <v>#VALUE!</v>
      </c>
      <c r="E445" s="43" t="e">
        <f t="shared" si="98"/>
        <v>#VALUE!</v>
      </c>
      <c r="F445" s="43" t="e">
        <f t="shared" si="99"/>
        <v>#VALUE!</v>
      </c>
      <c r="G445" s="43" t="e">
        <f t="shared" si="100"/>
        <v>#VALUE!</v>
      </c>
      <c r="H445" s="541" t="e">
        <f t="shared" ca="1" si="101"/>
        <v>#VALUE!</v>
      </c>
      <c r="I445" s="541">
        <f t="shared" si="102"/>
        <v>0</v>
      </c>
      <c r="J445" s="229">
        <f t="shared" si="108"/>
        <v>25</v>
      </c>
      <c r="K445" s="43">
        <f t="shared" si="103"/>
        <v>0</v>
      </c>
      <c r="M445" s="224"/>
      <c r="N445" s="225">
        <f t="shared" si="104"/>
        <v>0</v>
      </c>
      <c r="O445" s="43" t="e">
        <f t="shared" si="105"/>
        <v>#VALUE!</v>
      </c>
      <c r="P445" s="43" t="e">
        <f>ROUND(IF(Preenchimento!$G$39="Tabela Price",R445-Q445,(O444*(1+$AD$35))/($AD$28-C444)),$P$22)</f>
        <v>#VALUE!</v>
      </c>
      <c r="Q445" s="43" t="e">
        <f>IF(Preenchimento!$G$39="Tabela Price",O444*(1+$AD$35)*W445,O444*(1+SAC!$AD$35)*SAC!W445)</f>
        <v>#VALUE!</v>
      </c>
      <c r="R445" s="43" t="e">
        <f>IF(Preenchimento!$G$39="Tabela Price",IF(C445="","",((((((1+W445)^($Q$16-C444))*W445)/((1+W445)^($Q$16-C444)-1))*(O444*(1+$AD$35))))),Q445+P445)</f>
        <v>#VALUE!</v>
      </c>
      <c r="S445" s="43" t="e">
        <f t="shared" ca="1" si="106"/>
        <v>#VALUE!</v>
      </c>
      <c r="T445" s="43">
        <f t="shared" si="109"/>
        <v>0</v>
      </c>
      <c r="U445" s="226">
        <f>TRUNC(T445*Condições!$C$102,2)</f>
        <v>0</v>
      </c>
      <c r="V445" s="82">
        <f t="shared" ca="1" si="110"/>
        <v>6</v>
      </c>
      <c r="W445" s="231" t="str">
        <f t="shared" si="107"/>
        <v/>
      </c>
      <c r="AI445" s="114">
        <f t="shared" si="111"/>
        <v>0</v>
      </c>
      <c r="AL445" s="477">
        <f t="shared" ca="1" si="112"/>
        <v>0</v>
      </c>
    </row>
    <row r="446" spans="2:38">
      <c r="B446" s="222">
        <f ca="1">Fixa!B446</f>
        <v>59003</v>
      </c>
      <c r="C446" s="223" t="str">
        <f>Fixa!C446</f>
        <v/>
      </c>
      <c r="D446" s="43" t="e">
        <f t="shared" ref="D446:D504" si="113">ROUND(O446,2)</f>
        <v>#VALUE!</v>
      </c>
      <c r="E446" s="43" t="e">
        <f t="shared" ref="E446:E504" si="114">ROUND(P446,2)</f>
        <v>#VALUE!</v>
      </c>
      <c r="F446" s="43" t="e">
        <f t="shared" ref="F446:F504" si="115">ROUND(Q446,2)</f>
        <v>#VALUE!</v>
      </c>
      <c r="G446" s="43" t="e">
        <f t="shared" ref="G446:G504" si="116">F446+E446</f>
        <v>#VALUE!</v>
      </c>
      <c r="H446" s="43" t="e">
        <f t="shared" ref="H446:H504" ca="1" si="117">ROUND(S446,2)</f>
        <v>#VALUE!</v>
      </c>
      <c r="I446" s="43">
        <f t="shared" ref="I446:I504" si="118">ROUND(T446+U446,2)</f>
        <v>0</v>
      </c>
      <c r="J446" s="229">
        <f t="shared" si="108"/>
        <v>25</v>
      </c>
      <c r="K446" s="43">
        <f t="shared" ref="K446:K504" si="119">IF(C446&gt;$AD$28,0,J446+G446+I446+H446)</f>
        <v>0</v>
      </c>
      <c r="N446" s="225">
        <f t="shared" ref="N446:N504" si="120">IF(C446&gt;$AD$28,0,(H446+I446)/(1.008^((12*(B446-$B$25))/365)))</f>
        <v>0</v>
      </c>
      <c r="O446" s="43" t="e">
        <f t="shared" ref="O446:O504" si="121">ROUND((O445*(1+$AD$35)-P446),$P$22)</f>
        <v>#VALUE!</v>
      </c>
      <c r="P446" s="43" t="e">
        <f>ROUND(IF(Preenchimento!$G$39="Tabela Price",R446-Q446,(O445*(1+$AD$35))/($AD$28-C445)),$P$22)</f>
        <v>#VALUE!</v>
      </c>
      <c r="Q446" s="43" t="e">
        <f>IF(Preenchimento!$G$39="Tabela Price",O445*(1+$AD$35)*W446,O445*(1+SAC!$AD$35)*SAC!W446)</f>
        <v>#VALUE!</v>
      </c>
      <c r="R446" s="43" t="e">
        <f>IF(Preenchimento!$G$39="Tabela Price",IF(C446="","",((((((1+W446)^($Q$16-C445))*W446)/((1+W446)^($Q$16-C445)-1))*(O445*(1+$AD$35))))),Q446+P446)</f>
        <v>#VALUE!</v>
      </c>
      <c r="S446" s="43" t="e">
        <f t="shared" ref="S446:S504" ca="1" si="122">ROUND($AD$34*O446,$P$22)</f>
        <v>#VALUE!</v>
      </c>
      <c r="T446" s="43">
        <f t="shared" ref="T446:T504" si="123">IF(C446&gt;=$AD$28,0,ROUND($AD$25*$AD$33,$P$22))</f>
        <v>0</v>
      </c>
      <c r="U446" s="226">
        <f>TRUNC(T446*Condições!$C$102,2)</f>
        <v>0</v>
      </c>
      <c r="V446" s="82">
        <f t="shared" ref="V446:V504" ca="1" si="124">MONTH(B446)</f>
        <v>7</v>
      </c>
      <c r="W446" s="231" t="str">
        <f t="shared" ref="W446:W504" si="125">IF(C446="","",IF(AND(C446&gt;$AD$46,$AD$46&lt;&gt;""),$AE$29,$AD$29))</f>
        <v/>
      </c>
      <c r="AI446" s="114">
        <f t="shared" si="111"/>
        <v>0</v>
      </c>
      <c r="AL446" s="477">
        <f t="shared" ca="1" si="112"/>
        <v>0</v>
      </c>
    </row>
    <row r="447" spans="2:38">
      <c r="B447" s="222">
        <f ca="1">Fixa!B447</f>
        <v>59034</v>
      </c>
      <c r="C447" s="223" t="str">
        <f>Fixa!C447</f>
        <v/>
      </c>
      <c r="D447" s="43" t="e">
        <f t="shared" si="113"/>
        <v>#VALUE!</v>
      </c>
      <c r="E447" s="43" t="e">
        <f t="shared" si="114"/>
        <v>#VALUE!</v>
      </c>
      <c r="F447" s="43" t="e">
        <f t="shared" si="115"/>
        <v>#VALUE!</v>
      </c>
      <c r="G447" s="43" t="e">
        <f t="shared" si="116"/>
        <v>#VALUE!</v>
      </c>
      <c r="H447" s="43" t="e">
        <f t="shared" ca="1" si="117"/>
        <v>#VALUE!</v>
      </c>
      <c r="I447" s="43">
        <f t="shared" si="118"/>
        <v>0</v>
      </c>
      <c r="J447" s="229">
        <f t="shared" si="108"/>
        <v>25</v>
      </c>
      <c r="K447" s="43">
        <f t="shared" si="119"/>
        <v>0</v>
      </c>
      <c r="N447" s="225">
        <f t="shared" si="120"/>
        <v>0</v>
      </c>
      <c r="O447" s="43" t="e">
        <f t="shared" si="121"/>
        <v>#VALUE!</v>
      </c>
      <c r="P447" s="43" t="e">
        <f>ROUND(IF(Preenchimento!$G$39="Tabela Price",R447-Q447,(O446*(1+$AD$35))/($AD$28-C446)),$P$22)</f>
        <v>#VALUE!</v>
      </c>
      <c r="Q447" s="43" t="e">
        <f>IF(Preenchimento!$G$39="Tabela Price",O446*(1+$AD$35)*W447,O446*(1+SAC!$AD$35)*SAC!W447)</f>
        <v>#VALUE!</v>
      </c>
      <c r="R447" s="43" t="e">
        <f>IF(Preenchimento!$G$39="Tabela Price",IF(C447="","",((((((1+W447)^($Q$16-C446))*W447)/((1+W447)^($Q$16-C446)-1))*(O446*(1+$AD$35))))),Q447+P447)</f>
        <v>#VALUE!</v>
      </c>
      <c r="S447" s="43" t="e">
        <f t="shared" ca="1" si="122"/>
        <v>#VALUE!</v>
      </c>
      <c r="T447" s="43">
        <f t="shared" si="123"/>
        <v>0</v>
      </c>
      <c r="U447" s="226">
        <f>TRUNC(T447*Condições!$C$102,2)</f>
        <v>0</v>
      </c>
      <c r="V447" s="82">
        <f t="shared" ca="1" si="124"/>
        <v>8</v>
      </c>
      <c r="W447" s="231" t="str">
        <f t="shared" si="125"/>
        <v/>
      </c>
      <c r="AI447" s="114">
        <f t="shared" si="111"/>
        <v>0</v>
      </c>
      <c r="AL447" s="477">
        <f t="shared" ca="1" si="112"/>
        <v>0</v>
      </c>
    </row>
    <row r="448" spans="2:38">
      <c r="B448" s="222">
        <f ca="1">Fixa!B448</f>
        <v>59065</v>
      </c>
      <c r="C448" s="223" t="str">
        <f>Fixa!C448</f>
        <v/>
      </c>
      <c r="D448" s="43" t="e">
        <f t="shared" si="113"/>
        <v>#VALUE!</v>
      </c>
      <c r="E448" s="43" t="e">
        <f t="shared" si="114"/>
        <v>#VALUE!</v>
      </c>
      <c r="F448" s="43" t="e">
        <f t="shared" si="115"/>
        <v>#VALUE!</v>
      </c>
      <c r="G448" s="43" t="e">
        <f t="shared" si="116"/>
        <v>#VALUE!</v>
      </c>
      <c r="H448" s="541" t="e">
        <f t="shared" ca="1" si="117"/>
        <v>#VALUE!</v>
      </c>
      <c r="I448" s="541">
        <f t="shared" si="118"/>
        <v>0</v>
      </c>
      <c r="J448" s="229">
        <f t="shared" si="108"/>
        <v>25</v>
      </c>
      <c r="K448" s="43">
        <f t="shared" si="119"/>
        <v>0</v>
      </c>
      <c r="N448" s="225">
        <f t="shared" si="120"/>
        <v>0</v>
      </c>
      <c r="O448" s="43" t="e">
        <f t="shared" si="121"/>
        <v>#VALUE!</v>
      </c>
      <c r="P448" s="43" t="e">
        <f>ROUND(IF(Preenchimento!$G$39="Tabela Price",R448-Q448,(O447*(1+$AD$35))/($AD$28-C447)),$P$22)</f>
        <v>#VALUE!</v>
      </c>
      <c r="Q448" s="43" t="e">
        <f>IF(Preenchimento!$G$39="Tabela Price",O447*(1+$AD$35)*W448,O447*(1+SAC!$AD$35)*SAC!W448)</f>
        <v>#VALUE!</v>
      </c>
      <c r="R448" s="43" t="e">
        <f>IF(Preenchimento!$G$39="Tabela Price",IF(C448="","",((((((1+W448)^($Q$16-C447))*W448)/((1+W448)^($Q$16-C447)-1))*(O447*(1+$AD$35))))),Q448+P448)</f>
        <v>#VALUE!</v>
      </c>
      <c r="S448" s="43" t="e">
        <f t="shared" ca="1" si="122"/>
        <v>#VALUE!</v>
      </c>
      <c r="T448" s="43">
        <f t="shared" si="123"/>
        <v>0</v>
      </c>
      <c r="U448" s="226">
        <f>TRUNC(T448*Condições!$C$102,2)</f>
        <v>0</v>
      </c>
      <c r="V448" s="82">
        <f t="shared" ca="1" si="124"/>
        <v>9</v>
      </c>
      <c r="W448" s="231" t="str">
        <f t="shared" si="125"/>
        <v/>
      </c>
      <c r="AI448" s="114">
        <f t="shared" si="111"/>
        <v>0</v>
      </c>
      <c r="AL448" s="477">
        <f t="shared" ca="1" si="112"/>
        <v>0</v>
      </c>
    </row>
    <row r="449" spans="2:38">
      <c r="B449" s="222">
        <f ca="1">Fixa!B449</f>
        <v>59095</v>
      </c>
      <c r="C449" s="223" t="str">
        <f>Fixa!C449</f>
        <v/>
      </c>
      <c r="D449" s="43" t="e">
        <f t="shared" si="113"/>
        <v>#VALUE!</v>
      </c>
      <c r="E449" s="43" t="e">
        <f t="shared" si="114"/>
        <v>#VALUE!</v>
      </c>
      <c r="F449" s="43" t="e">
        <f t="shared" si="115"/>
        <v>#VALUE!</v>
      </c>
      <c r="G449" s="43" t="e">
        <f t="shared" si="116"/>
        <v>#VALUE!</v>
      </c>
      <c r="H449" s="43" t="e">
        <f t="shared" ca="1" si="117"/>
        <v>#VALUE!</v>
      </c>
      <c r="I449" s="43">
        <f t="shared" si="118"/>
        <v>0</v>
      </c>
      <c r="J449" s="229">
        <f t="shared" si="108"/>
        <v>25</v>
      </c>
      <c r="K449" s="43">
        <f t="shared" si="119"/>
        <v>0</v>
      </c>
      <c r="N449" s="225">
        <f t="shared" si="120"/>
        <v>0</v>
      </c>
      <c r="O449" s="43" t="e">
        <f t="shared" si="121"/>
        <v>#VALUE!</v>
      </c>
      <c r="P449" s="43" t="e">
        <f>ROUND(IF(Preenchimento!$G$39="Tabela Price",R449-Q449,(O448*(1+$AD$35))/($AD$28-C448)),$P$22)</f>
        <v>#VALUE!</v>
      </c>
      <c r="Q449" s="43" t="e">
        <f>IF(Preenchimento!$G$39="Tabela Price",O448*(1+$AD$35)*W449,O448*(1+SAC!$AD$35)*SAC!W449)</f>
        <v>#VALUE!</v>
      </c>
      <c r="R449" s="43" t="e">
        <f>IF(Preenchimento!$G$39="Tabela Price",IF(C449="","",((((((1+W449)^($Q$16-C448))*W449)/((1+W449)^($Q$16-C448)-1))*(O448*(1+$AD$35))))),Q449+P449)</f>
        <v>#VALUE!</v>
      </c>
      <c r="S449" s="43" t="e">
        <f t="shared" ca="1" si="122"/>
        <v>#VALUE!</v>
      </c>
      <c r="T449" s="43">
        <f t="shared" si="123"/>
        <v>0</v>
      </c>
      <c r="U449" s="226">
        <f>TRUNC(T449*Condições!$C$102,2)</f>
        <v>0</v>
      </c>
      <c r="V449" s="82">
        <f t="shared" ca="1" si="124"/>
        <v>10</v>
      </c>
      <c r="W449" s="231" t="str">
        <f t="shared" si="125"/>
        <v/>
      </c>
      <c r="AI449" s="114">
        <f t="shared" si="111"/>
        <v>0</v>
      </c>
      <c r="AL449" s="477">
        <f t="shared" ca="1" si="112"/>
        <v>0</v>
      </c>
    </row>
    <row r="450" spans="2:38">
      <c r="B450" s="222">
        <f ca="1">Fixa!B450</f>
        <v>59126</v>
      </c>
      <c r="C450" s="223" t="str">
        <f>Fixa!C450</f>
        <v/>
      </c>
      <c r="D450" s="43" t="e">
        <f t="shared" si="113"/>
        <v>#VALUE!</v>
      </c>
      <c r="E450" s="43" t="e">
        <f t="shared" si="114"/>
        <v>#VALUE!</v>
      </c>
      <c r="F450" s="43" t="e">
        <f t="shared" si="115"/>
        <v>#VALUE!</v>
      </c>
      <c r="G450" s="43" t="e">
        <f t="shared" si="116"/>
        <v>#VALUE!</v>
      </c>
      <c r="H450" s="43" t="e">
        <f t="shared" ca="1" si="117"/>
        <v>#VALUE!</v>
      </c>
      <c r="I450" s="43">
        <f t="shared" si="118"/>
        <v>0</v>
      </c>
      <c r="J450" s="229">
        <f t="shared" si="108"/>
        <v>25</v>
      </c>
      <c r="K450" s="43">
        <f t="shared" si="119"/>
        <v>0</v>
      </c>
      <c r="N450" s="225">
        <f t="shared" si="120"/>
        <v>0</v>
      </c>
      <c r="O450" s="43" t="e">
        <f t="shared" si="121"/>
        <v>#VALUE!</v>
      </c>
      <c r="P450" s="43" t="e">
        <f>ROUND(IF(Preenchimento!$G$39="Tabela Price",R450-Q450,(O449*(1+$AD$35))/($AD$28-C449)),$P$22)</f>
        <v>#VALUE!</v>
      </c>
      <c r="Q450" s="43" t="e">
        <f>IF(Preenchimento!$G$39="Tabela Price",O449*(1+$AD$35)*W450,O449*(1+SAC!$AD$35)*SAC!W450)</f>
        <v>#VALUE!</v>
      </c>
      <c r="R450" s="43" t="e">
        <f>IF(Preenchimento!$G$39="Tabela Price",IF(C450="","",((((((1+W450)^($Q$16-C449))*W450)/((1+W450)^($Q$16-C449)-1))*(O449*(1+$AD$35))))),Q450+P450)</f>
        <v>#VALUE!</v>
      </c>
      <c r="S450" s="43" t="e">
        <f t="shared" ca="1" si="122"/>
        <v>#VALUE!</v>
      </c>
      <c r="T450" s="43">
        <f t="shared" si="123"/>
        <v>0</v>
      </c>
      <c r="U450" s="226">
        <f>TRUNC(T450*Condições!$C$102,2)</f>
        <v>0</v>
      </c>
      <c r="V450" s="82">
        <f t="shared" ca="1" si="124"/>
        <v>11</v>
      </c>
      <c r="W450" s="231" t="str">
        <f t="shared" si="125"/>
        <v/>
      </c>
      <c r="AI450" s="114">
        <f t="shared" si="111"/>
        <v>0</v>
      </c>
      <c r="AL450" s="477">
        <f t="shared" ca="1" si="112"/>
        <v>0</v>
      </c>
    </row>
    <row r="451" spans="2:38">
      <c r="B451" s="222">
        <f ca="1">Fixa!B451</f>
        <v>59156</v>
      </c>
      <c r="C451" s="223" t="str">
        <f>Fixa!C451</f>
        <v/>
      </c>
      <c r="D451" s="43" t="e">
        <f t="shared" si="113"/>
        <v>#VALUE!</v>
      </c>
      <c r="E451" s="43" t="e">
        <f t="shared" si="114"/>
        <v>#VALUE!</v>
      </c>
      <c r="F451" s="43" t="e">
        <f t="shared" si="115"/>
        <v>#VALUE!</v>
      </c>
      <c r="G451" s="43" t="e">
        <f t="shared" si="116"/>
        <v>#VALUE!</v>
      </c>
      <c r="H451" s="541" t="e">
        <f t="shared" ca="1" si="117"/>
        <v>#VALUE!</v>
      </c>
      <c r="I451" s="541">
        <f t="shared" si="118"/>
        <v>0</v>
      </c>
      <c r="J451" s="229">
        <f t="shared" si="108"/>
        <v>25</v>
      </c>
      <c r="K451" s="43">
        <f t="shared" si="119"/>
        <v>0</v>
      </c>
      <c r="N451" s="225">
        <f t="shared" si="120"/>
        <v>0</v>
      </c>
      <c r="O451" s="43" t="e">
        <f t="shared" si="121"/>
        <v>#VALUE!</v>
      </c>
      <c r="P451" s="43" t="e">
        <f>ROUND(IF(Preenchimento!$G$39="Tabela Price",R451-Q451,(O450*(1+$AD$35))/($AD$28-C450)),$P$22)</f>
        <v>#VALUE!</v>
      </c>
      <c r="Q451" s="43" t="e">
        <f>IF(Preenchimento!$G$39="Tabela Price",O450*(1+$AD$35)*W451,O450*(1+SAC!$AD$35)*SAC!W451)</f>
        <v>#VALUE!</v>
      </c>
      <c r="R451" s="43" t="e">
        <f>IF(Preenchimento!$G$39="Tabela Price",IF(C451="","",((((((1+W451)^($Q$16-C450))*W451)/((1+W451)^($Q$16-C450)-1))*(O450*(1+$AD$35))))),Q451+P451)</f>
        <v>#VALUE!</v>
      </c>
      <c r="S451" s="43" t="e">
        <f t="shared" ca="1" si="122"/>
        <v>#VALUE!</v>
      </c>
      <c r="T451" s="43">
        <f t="shared" si="123"/>
        <v>0</v>
      </c>
      <c r="U451" s="226">
        <f>TRUNC(T451*Condições!$C$102,2)</f>
        <v>0</v>
      </c>
      <c r="V451" s="82">
        <f t="shared" ca="1" si="124"/>
        <v>12</v>
      </c>
      <c r="W451" s="231" t="str">
        <f t="shared" si="125"/>
        <v/>
      </c>
      <c r="AI451" s="114">
        <f t="shared" si="111"/>
        <v>0</v>
      </c>
      <c r="AL451" s="477">
        <f t="shared" ca="1" si="112"/>
        <v>0</v>
      </c>
    </row>
    <row r="452" spans="2:38">
      <c r="B452" s="222">
        <f ca="1">Fixa!B452</f>
        <v>59187</v>
      </c>
      <c r="C452" s="223" t="str">
        <f>Fixa!C452</f>
        <v/>
      </c>
      <c r="D452" s="43" t="e">
        <f t="shared" si="113"/>
        <v>#VALUE!</v>
      </c>
      <c r="E452" s="43" t="e">
        <f t="shared" si="114"/>
        <v>#VALUE!</v>
      </c>
      <c r="F452" s="43" t="e">
        <f t="shared" si="115"/>
        <v>#VALUE!</v>
      </c>
      <c r="G452" s="43" t="e">
        <f t="shared" si="116"/>
        <v>#VALUE!</v>
      </c>
      <c r="H452" s="43" t="e">
        <f t="shared" ca="1" si="117"/>
        <v>#VALUE!</v>
      </c>
      <c r="I452" s="43">
        <f t="shared" si="118"/>
        <v>0</v>
      </c>
      <c r="J452" s="229">
        <f t="shared" si="108"/>
        <v>25</v>
      </c>
      <c r="K452" s="43">
        <f t="shared" si="119"/>
        <v>0</v>
      </c>
      <c r="N452" s="225">
        <f t="shared" si="120"/>
        <v>0</v>
      </c>
      <c r="O452" s="43" t="e">
        <f t="shared" si="121"/>
        <v>#VALUE!</v>
      </c>
      <c r="P452" s="43" t="e">
        <f>ROUND(IF(Preenchimento!$G$39="Tabela Price",R452-Q452,(O451*(1+$AD$35))/($AD$28-C451)),$P$22)</f>
        <v>#VALUE!</v>
      </c>
      <c r="Q452" s="43" t="e">
        <f>IF(Preenchimento!$G$39="Tabela Price",O451*(1+$AD$35)*W452,O451*(1+SAC!$AD$35)*SAC!W452)</f>
        <v>#VALUE!</v>
      </c>
      <c r="R452" s="43" t="e">
        <f>IF(Preenchimento!$G$39="Tabela Price",IF(C452="","",((((((1+W452)^($Q$16-C451))*W452)/((1+W452)^($Q$16-C451)-1))*(O451*(1+$AD$35))))),Q452+P452)</f>
        <v>#VALUE!</v>
      </c>
      <c r="S452" s="43" t="e">
        <f t="shared" ca="1" si="122"/>
        <v>#VALUE!</v>
      </c>
      <c r="T452" s="43">
        <f t="shared" si="123"/>
        <v>0</v>
      </c>
      <c r="U452" s="226">
        <f>TRUNC(T452*Condições!$C$102,2)</f>
        <v>0</v>
      </c>
      <c r="V452" s="82">
        <f t="shared" ca="1" si="124"/>
        <v>1</v>
      </c>
      <c r="W452" s="231" t="str">
        <f t="shared" si="125"/>
        <v/>
      </c>
      <c r="AI452" s="114">
        <f t="shared" si="111"/>
        <v>0</v>
      </c>
      <c r="AL452" s="477">
        <f t="shared" ca="1" si="112"/>
        <v>0</v>
      </c>
    </row>
    <row r="453" spans="2:38">
      <c r="B453" s="222">
        <f ca="1">Fixa!B453</f>
        <v>59218</v>
      </c>
      <c r="C453" s="223" t="str">
        <f>Fixa!C453</f>
        <v/>
      </c>
      <c r="D453" s="43" t="e">
        <f t="shared" si="113"/>
        <v>#VALUE!</v>
      </c>
      <c r="E453" s="43" t="e">
        <f t="shared" si="114"/>
        <v>#VALUE!</v>
      </c>
      <c r="F453" s="43" t="e">
        <f t="shared" si="115"/>
        <v>#VALUE!</v>
      </c>
      <c r="G453" s="43" t="e">
        <f t="shared" si="116"/>
        <v>#VALUE!</v>
      </c>
      <c r="H453" s="43" t="e">
        <f t="shared" ca="1" si="117"/>
        <v>#VALUE!</v>
      </c>
      <c r="I453" s="43">
        <f t="shared" si="118"/>
        <v>0</v>
      </c>
      <c r="J453" s="229">
        <f t="shared" si="108"/>
        <v>25</v>
      </c>
      <c r="K453" s="43">
        <f t="shared" si="119"/>
        <v>0</v>
      </c>
      <c r="N453" s="225">
        <f t="shared" si="120"/>
        <v>0</v>
      </c>
      <c r="O453" s="43" t="e">
        <f t="shared" si="121"/>
        <v>#VALUE!</v>
      </c>
      <c r="P453" s="43" t="e">
        <f>ROUND(IF(Preenchimento!$G$39="Tabela Price",R453-Q453,(O452*(1+$AD$35))/($AD$28-C452)),$P$22)</f>
        <v>#VALUE!</v>
      </c>
      <c r="Q453" s="43" t="e">
        <f>IF(Preenchimento!$G$39="Tabela Price",O452*(1+$AD$35)*W453,O452*(1+SAC!$AD$35)*SAC!W453)</f>
        <v>#VALUE!</v>
      </c>
      <c r="R453" s="43" t="e">
        <f>IF(Preenchimento!$G$39="Tabela Price",IF(C453="","",((((((1+W453)^($Q$16-C452))*W453)/((1+W453)^($Q$16-C452)-1))*(O452*(1+$AD$35))))),Q453+P453)</f>
        <v>#VALUE!</v>
      </c>
      <c r="S453" s="43" t="e">
        <f t="shared" ca="1" si="122"/>
        <v>#VALUE!</v>
      </c>
      <c r="T453" s="43">
        <f t="shared" si="123"/>
        <v>0</v>
      </c>
      <c r="U453" s="226">
        <f>TRUNC(T453*Condições!$C$102,2)</f>
        <v>0</v>
      </c>
      <c r="V453" s="82">
        <f t="shared" ca="1" si="124"/>
        <v>2</v>
      </c>
      <c r="W453" s="231" t="str">
        <f t="shared" si="125"/>
        <v/>
      </c>
      <c r="AI453" s="114">
        <f t="shared" si="111"/>
        <v>0</v>
      </c>
      <c r="AL453" s="477">
        <f t="shared" ca="1" si="112"/>
        <v>0</v>
      </c>
    </row>
    <row r="454" spans="2:38">
      <c r="B454" s="222">
        <f ca="1">Fixa!B454</f>
        <v>59246</v>
      </c>
      <c r="C454" s="223" t="str">
        <f>Fixa!C454</f>
        <v/>
      </c>
      <c r="D454" s="43" t="e">
        <f t="shared" si="113"/>
        <v>#VALUE!</v>
      </c>
      <c r="E454" s="43" t="e">
        <f t="shared" si="114"/>
        <v>#VALUE!</v>
      </c>
      <c r="F454" s="43" t="e">
        <f t="shared" si="115"/>
        <v>#VALUE!</v>
      </c>
      <c r="G454" s="43" t="e">
        <f t="shared" si="116"/>
        <v>#VALUE!</v>
      </c>
      <c r="H454" s="541" t="e">
        <f t="shared" ca="1" si="117"/>
        <v>#VALUE!</v>
      </c>
      <c r="I454" s="541">
        <f t="shared" si="118"/>
        <v>0</v>
      </c>
      <c r="J454" s="229">
        <f t="shared" si="108"/>
        <v>25</v>
      </c>
      <c r="K454" s="43">
        <f t="shared" si="119"/>
        <v>0</v>
      </c>
      <c r="N454" s="225">
        <f t="shared" si="120"/>
        <v>0</v>
      </c>
      <c r="O454" s="43" t="e">
        <f t="shared" si="121"/>
        <v>#VALUE!</v>
      </c>
      <c r="P454" s="43" t="e">
        <f>ROUND(IF(Preenchimento!$G$39="Tabela Price",R454-Q454,(O453*(1+$AD$35))/($AD$28-C453)),$P$22)</f>
        <v>#VALUE!</v>
      </c>
      <c r="Q454" s="43" t="e">
        <f>IF(Preenchimento!$G$39="Tabela Price",O453*(1+$AD$35)*W454,O453*(1+SAC!$AD$35)*SAC!W454)</f>
        <v>#VALUE!</v>
      </c>
      <c r="R454" s="43" t="e">
        <f>IF(Preenchimento!$G$39="Tabela Price",IF(C454="","",((((((1+W454)^($Q$16-C453))*W454)/((1+W454)^($Q$16-C453)-1))*(O453*(1+$AD$35))))),Q454+P454)</f>
        <v>#VALUE!</v>
      </c>
      <c r="S454" s="43" t="e">
        <f t="shared" ca="1" si="122"/>
        <v>#VALUE!</v>
      </c>
      <c r="T454" s="43">
        <f t="shared" si="123"/>
        <v>0</v>
      </c>
      <c r="U454" s="226">
        <f>TRUNC(T454*Condições!$C$102,2)</f>
        <v>0</v>
      </c>
      <c r="V454" s="82">
        <f t="shared" ca="1" si="124"/>
        <v>3</v>
      </c>
      <c r="W454" s="231" t="str">
        <f t="shared" si="125"/>
        <v/>
      </c>
      <c r="AI454" s="114">
        <f t="shared" si="111"/>
        <v>0</v>
      </c>
      <c r="AL454" s="477">
        <f t="shared" ca="1" si="112"/>
        <v>0</v>
      </c>
    </row>
    <row r="455" spans="2:38">
      <c r="B455" s="222">
        <f ca="1">Fixa!B455</f>
        <v>59277</v>
      </c>
      <c r="C455" s="223" t="str">
        <f>Fixa!C455</f>
        <v/>
      </c>
      <c r="D455" s="43" t="e">
        <f t="shared" si="113"/>
        <v>#VALUE!</v>
      </c>
      <c r="E455" s="43" t="e">
        <f t="shared" si="114"/>
        <v>#VALUE!</v>
      </c>
      <c r="F455" s="43" t="e">
        <f t="shared" si="115"/>
        <v>#VALUE!</v>
      </c>
      <c r="G455" s="43" t="e">
        <f t="shared" si="116"/>
        <v>#VALUE!</v>
      </c>
      <c r="H455" s="43" t="e">
        <f t="shared" ca="1" si="117"/>
        <v>#VALUE!</v>
      </c>
      <c r="I455" s="43">
        <f t="shared" si="118"/>
        <v>0</v>
      </c>
      <c r="J455" s="229">
        <f t="shared" si="108"/>
        <v>25</v>
      </c>
      <c r="K455" s="43">
        <f t="shared" si="119"/>
        <v>0</v>
      </c>
      <c r="N455" s="225">
        <f t="shared" si="120"/>
        <v>0</v>
      </c>
      <c r="O455" s="43" t="e">
        <f t="shared" si="121"/>
        <v>#VALUE!</v>
      </c>
      <c r="P455" s="43" t="e">
        <f>ROUND(IF(Preenchimento!$G$39="Tabela Price",R455-Q455,(O454*(1+$AD$35))/($AD$28-C454)),$P$22)</f>
        <v>#VALUE!</v>
      </c>
      <c r="Q455" s="43" t="e">
        <f>IF(Preenchimento!$G$39="Tabela Price",O454*(1+$AD$35)*W455,O454*(1+SAC!$AD$35)*SAC!W455)</f>
        <v>#VALUE!</v>
      </c>
      <c r="R455" s="43" t="e">
        <f>IF(Preenchimento!$G$39="Tabela Price",IF(C455="","",((((((1+W455)^($Q$16-C454))*W455)/((1+W455)^($Q$16-C454)-1))*(O454*(1+$AD$35))))),Q455+P455)</f>
        <v>#VALUE!</v>
      </c>
      <c r="S455" s="43" t="e">
        <f t="shared" ca="1" si="122"/>
        <v>#VALUE!</v>
      </c>
      <c r="T455" s="43">
        <f t="shared" si="123"/>
        <v>0</v>
      </c>
      <c r="U455" s="226">
        <f>TRUNC(T455*Condições!$C$102,2)</f>
        <v>0</v>
      </c>
      <c r="V455" s="82">
        <f t="shared" ca="1" si="124"/>
        <v>4</v>
      </c>
      <c r="W455" s="231" t="str">
        <f t="shared" si="125"/>
        <v/>
      </c>
      <c r="AI455" s="114">
        <f t="shared" si="111"/>
        <v>0</v>
      </c>
      <c r="AL455" s="477">
        <f t="shared" ca="1" si="112"/>
        <v>0</v>
      </c>
    </row>
    <row r="456" spans="2:38">
      <c r="B456" s="222">
        <f ca="1">Fixa!B456</f>
        <v>59307</v>
      </c>
      <c r="C456" s="223" t="str">
        <f>Fixa!C456</f>
        <v/>
      </c>
      <c r="D456" s="43" t="e">
        <f t="shared" si="113"/>
        <v>#VALUE!</v>
      </c>
      <c r="E456" s="43" t="e">
        <f t="shared" si="114"/>
        <v>#VALUE!</v>
      </c>
      <c r="F456" s="43" t="e">
        <f t="shared" si="115"/>
        <v>#VALUE!</v>
      </c>
      <c r="G456" s="43" t="e">
        <f t="shared" si="116"/>
        <v>#VALUE!</v>
      </c>
      <c r="H456" s="43" t="e">
        <f t="shared" ca="1" si="117"/>
        <v>#VALUE!</v>
      </c>
      <c r="I456" s="43">
        <f t="shared" si="118"/>
        <v>0</v>
      </c>
      <c r="J456" s="229">
        <f t="shared" si="108"/>
        <v>25</v>
      </c>
      <c r="K456" s="43">
        <f t="shared" si="119"/>
        <v>0</v>
      </c>
      <c r="N456" s="225">
        <f t="shared" si="120"/>
        <v>0</v>
      </c>
      <c r="O456" s="43" t="e">
        <f t="shared" si="121"/>
        <v>#VALUE!</v>
      </c>
      <c r="P456" s="43" t="e">
        <f>ROUND(IF(Preenchimento!$G$39="Tabela Price",R456-Q456,(O455*(1+$AD$35))/($AD$28-C455)),$P$22)</f>
        <v>#VALUE!</v>
      </c>
      <c r="Q456" s="43" t="e">
        <f>IF(Preenchimento!$G$39="Tabela Price",O455*(1+$AD$35)*W456,O455*(1+SAC!$AD$35)*SAC!W456)</f>
        <v>#VALUE!</v>
      </c>
      <c r="R456" s="43" t="e">
        <f>IF(Preenchimento!$G$39="Tabela Price",IF(C456="","",((((((1+W456)^($Q$16-C455))*W456)/((1+W456)^($Q$16-C455)-1))*(O455*(1+$AD$35))))),Q456+P456)</f>
        <v>#VALUE!</v>
      </c>
      <c r="S456" s="43" t="e">
        <f t="shared" ca="1" si="122"/>
        <v>#VALUE!</v>
      </c>
      <c r="T456" s="43">
        <f t="shared" si="123"/>
        <v>0</v>
      </c>
      <c r="U456" s="226">
        <f>TRUNC(T456*Condições!$C$102,2)</f>
        <v>0</v>
      </c>
      <c r="V456" s="82">
        <f t="shared" ca="1" si="124"/>
        <v>5</v>
      </c>
      <c r="W456" s="231" t="str">
        <f t="shared" si="125"/>
        <v/>
      </c>
      <c r="AI456" s="114">
        <f t="shared" si="111"/>
        <v>0</v>
      </c>
      <c r="AL456" s="477">
        <f t="shared" ca="1" si="112"/>
        <v>0</v>
      </c>
    </row>
    <row r="457" spans="2:38">
      <c r="B457" s="222">
        <f ca="1">Fixa!B457</f>
        <v>59338</v>
      </c>
      <c r="C457" s="223" t="str">
        <f>Fixa!C457</f>
        <v/>
      </c>
      <c r="D457" s="43" t="e">
        <f t="shared" si="113"/>
        <v>#VALUE!</v>
      </c>
      <c r="E457" s="43" t="e">
        <f t="shared" si="114"/>
        <v>#VALUE!</v>
      </c>
      <c r="F457" s="43" t="e">
        <f t="shared" si="115"/>
        <v>#VALUE!</v>
      </c>
      <c r="G457" s="43" t="e">
        <f t="shared" si="116"/>
        <v>#VALUE!</v>
      </c>
      <c r="H457" s="541" t="e">
        <f t="shared" ca="1" si="117"/>
        <v>#VALUE!</v>
      </c>
      <c r="I457" s="541">
        <f t="shared" si="118"/>
        <v>0</v>
      </c>
      <c r="J457" s="229">
        <f t="shared" si="108"/>
        <v>25</v>
      </c>
      <c r="K457" s="43">
        <f t="shared" si="119"/>
        <v>0</v>
      </c>
      <c r="N457" s="225">
        <f t="shared" si="120"/>
        <v>0</v>
      </c>
      <c r="O457" s="43" t="e">
        <f t="shared" si="121"/>
        <v>#VALUE!</v>
      </c>
      <c r="P457" s="43" t="e">
        <f>ROUND(IF(Preenchimento!$G$39="Tabela Price",R457-Q457,(O456*(1+$AD$35))/($AD$28-C456)),$P$22)</f>
        <v>#VALUE!</v>
      </c>
      <c r="Q457" s="43" t="e">
        <f>IF(Preenchimento!$G$39="Tabela Price",O456*(1+$AD$35)*W457,O456*(1+SAC!$AD$35)*SAC!W457)</f>
        <v>#VALUE!</v>
      </c>
      <c r="R457" s="43" t="e">
        <f>IF(Preenchimento!$G$39="Tabela Price",IF(C457="","",((((((1+W457)^($Q$16-C456))*W457)/((1+W457)^($Q$16-C456)-1))*(O456*(1+$AD$35))))),Q457+P457)</f>
        <v>#VALUE!</v>
      </c>
      <c r="S457" s="43" t="e">
        <f t="shared" ca="1" si="122"/>
        <v>#VALUE!</v>
      </c>
      <c r="T457" s="43">
        <f t="shared" si="123"/>
        <v>0</v>
      </c>
      <c r="U457" s="226">
        <f>TRUNC(T457*Condições!$C$102,2)</f>
        <v>0</v>
      </c>
      <c r="V457" s="82">
        <f t="shared" ca="1" si="124"/>
        <v>6</v>
      </c>
      <c r="W457" s="231" t="str">
        <f t="shared" si="125"/>
        <v/>
      </c>
      <c r="AI457" s="114">
        <f t="shared" si="111"/>
        <v>0</v>
      </c>
      <c r="AL457" s="477">
        <f t="shared" ca="1" si="112"/>
        <v>0</v>
      </c>
    </row>
    <row r="458" spans="2:38">
      <c r="B458" s="222">
        <f ca="1">Fixa!B458</f>
        <v>59368</v>
      </c>
      <c r="C458" s="223" t="str">
        <f>Fixa!C458</f>
        <v/>
      </c>
      <c r="D458" s="43" t="e">
        <f t="shared" si="113"/>
        <v>#VALUE!</v>
      </c>
      <c r="E458" s="43" t="e">
        <f t="shared" si="114"/>
        <v>#VALUE!</v>
      </c>
      <c r="F458" s="43" t="e">
        <f t="shared" si="115"/>
        <v>#VALUE!</v>
      </c>
      <c r="G458" s="43" t="e">
        <f t="shared" si="116"/>
        <v>#VALUE!</v>
      </c>
      <c r="H458" s="43" t="e">
        <f t="shared" ca="1" si="117"/>
        <v>#VALUE!</v>
      </c>
      <c r="I458" s="43">
        <f t="shared" si="118"/>
        <v>0</v>
      </c>
      <c r="J458" s="229">
        <f t="shared" si="108"/>
        <v>25</v>
      </c>
      <c r="K458" s="43">
        <f t="shared" si="119"/>
        <v>0</v>
      </c>
      <c r="N458" s="225">
        <f t="shared" si="120"/>
        <v>0</v>
      </c>
      <c r="O458" s="43" t="e">
        <f t="shared" si="121"/>
        <v>#VALUE!</v>
      </c>
      <c r="P458" s="43" t="e">
        <f>ROUND(IF(Preenchimento!$G$39="Tabela Price",R458-Q458,(O457*(1+$AD$35))/($AD$28-C457)),$P$22)</f>
        <v>#VALUE!</v>
      </c>
      <c r="Q458" s="43" t="e">
        <f>IF(Preenchimento!$G$39="Tabela Price",O457*(1+$AD$35)*W458,O457*(1+SAC!$AD$35)*SAC!W458)</f>
        <v>#VALUE!</v>
      </c>
      <c r="R458" s="43" t="e">
        <f>IF(Preenchimento!$G$39="Tabela Price",IF(C458="","",((((((1+W458)^($Q$16-C457))*W458)/((1+W458)^($Q$16-C457)-1))*(O457*(1+$AD$35))))),Q458+P458)</f>
        <v>#VALUE!</v>
      </c>
      <c r="S458" s="43" t="e">
        <f t="shared" ca="1" si="122"/>
        <v>#VALUE!</v>
      </c>
      <c r="T458" s="43">
        <f t="shared" si="123"/>
        <v>0</v>
      </c>
      <c r="U458" s="226">
        <f>TRUNC(T458*Condições!$C$102,2)</f>
        <v>0</v>
      </c>
      <c r="V458" s="82">
        <f t="shared" ca="1" si="124"/>
        <v>7</v>
      </c>
      <c r="W458" s="231" t="str">
        <f t="shared" si="125"/>
        <v/>
      </c>
      <c r="AI458" s="114">
        <f t="shared" si="111"/>
        <v>0</v>
      </c>
      <c r="AL458" s="477">
        <f t="shared" ca="1" si="112"/>
        <v>0</v>
      </c>
    </row>
    <row r="459" spans="2:38">
      <c r="B459" s="222">
        <f ca="1">Fixa!B459</f>
        <v>59399</v>
      </c>
      <c r="C459" s="223" t="str">
        <f>Fixa!C459</f>
        <v/>
      </c>
      <c r="D459" s="43" t="e">
        <f t="shared" si="113"/>
        <v>#VALUE!</v>
      </c>
      <c r="E459" s="43" t="e">
        <f t="shared" si="114"/>
        <v>#VALUE!</v>
      </c>
      <c r="F459" s="43" t="e">
        <f t="shared" si="115"/>
        <v>#VALUE!</v>
      </c>
      <c r="G459" s="43" t="e">
        <f t="shared" si="116"/>
        <v>#VALUE!</v>
      </c>
      <c r="H459" s="43" t="e">
        <f t="shared" ca="1" si="117"/>
        <v>#VALUE!</v>
      </c>
      <c r="I459" s="43">
        <f t="shared" si="118"/>
        <v>0</v>
      </c>
      <c r="J459" s="229">
        <f t="shared" si="108"/>
        <v>25</v>
      </c>
      <c r="K459" s="43">
        <f t="shared" si="119"/>
        <v>0</v>
      </c>
      <c r="N459" s="225">
        <f t="shared" si="120"/>
        <v>0</v>
      </c>
      <c r="O459" s="43" t="e">
        <f t="shared" si="121"/>
        <v>#VALUE!</v>
      </c>
      <c r="P459" s="43" t="e">
        <f>ROUND(IF(Preenchimento!$G$39="Tabela Price",R459-Q459,(O458*(1+$AD$35))/($AD$28-C458)),$P$22)</f>
        <v>#VALUE!</v>
      </c>
      <c r="Q459" s="43" t="e">
        <f>IF(Preenchimento!$G$39="Tabela Price",O458*(1+$AD$35)*W459,O458*(1+SAC!$AD$35)*SAC!W459)</f>
        <v>#VALUE!</v>
      </c>
      <c r="R459" s="43" t="e">
        <f>IF(Preenchimento!$G$39="Tabela Price",IF(C459="","",((((((1+W459)^($Q$16-C458))*W459)/((1+W459)^($Q$16-C458)-1))*(O458*(1+$AD$35))))),Q459+P459)</f>
        <v>#VALUE!</v>
      </c>
      <c r="S459" s="43" t="e">
        <f t="shared" ca="1" si="122"/>
        <v>#VALUE!</v>
      </c>
      <c r="T459" s="43">
        <f t="shared" si="123"/>
        <v>0</v>
      </c>
      <c r="U459" s="226">
        <f>TRUNC(T459*Condições!$C$102,2)</f>
        <v>0</v>
      </c>
      <c r="V459" s="82">
        <f t="shared" ca="1" si="124"/>
        <v>8</v>
      </c>
      <c r="W459" s="231" t="str">
        <f t="shared" si="125"/>
        <v/>
      </c>
      <c r="AI459" s="114">
        <f t="shared" si="111"/>
        <v>0</v>
      </c>
      <c r="AL459" s="477">
        <f t="shared" ca="1" si="112"/>
        <v>0</v>
      </c>
    </row>
    <row r="460" spans="2:38">
      <c r="B460" s="222">
        <f ca="1">Fixa!B460</f>
        <v>59430</v>
      </c>
      <c r="C460" s="223" t="str">
        <f>Fixa!C460</f>
        <v/>
      </c>
      <c r="D460" s="43" t="e">
        <f t="shared" si="113"/>
        <v>#VALUE!</v>
      </c>
      <c r="E460" s="43" t="e">
        <f t="shared" si="114"/>
        <v>#VALUE!</v>
      </c>
      <c r="F460" s="43" t="e">
        <f t="shared" si="115"/>
        <v>#VALUE!</v>
      </c>
      <c r="G460" s="43" t="e">
        <f t="shared" si="116"/>
        <v>#VALUE!</v>
      </c>
      <c r="H460" s="541" t="e">
        <f t="shared" ca="1" si="117"/>
        <v>#VALUE!</v>
      </c>
      <c r="I460" s="541">
        <f t="shared" si="118"/>
        <v>0</v>
      </c>
      <c r="J460" s="229">
        <f t="shared" si="108"/>
        <v>25</v>
      </c>
      <c r="K460" s="43">
        <f t="shared" si="119"/>
        <v>0</v>
      </c>
      <c r="N460" s="225">
        <f t="shared" si="120"/>
        <v>0</v>
      </c>
      <c r="O460" s="43" t="e">
        <f t="shared" si="121"/>
        <v>#VALUE!</v>
      </c>
      <c r="P460" s="43" t="e">
        <f>ROUND(IF(Preenchimento!$G$39="Tabela Price",R460-Q460,(O459*(1+$AD$35))/($AD$28-C459)),$P$22)</f>
        <v>#VALUE!</v>
      </c>
      <c r="Q460" s="43" t="e">
        <f>IF(Preenchimento!$G$39="Tabela Price",O459*(1+$AD$35)*W460,O459*(1+SAC!$AD$35)*SAC!W460)</f>
        <v>#VALUE!</v>
      </c>
      <c r="R460" s="43" t="e">
        <f>IF(Preenchimento!$G$39="Tabela Price",IF(C460="","",((((((1+W460)^($Q$16-C459))*W460)/((1+W460)^($Q$16-C459)-1))*(O459*(1+$AD$35))))),Q460+P460)</f>
        <v>#VALUE!</v>
      </c>
      <c r="S460" s="43" t="e">
        <f t="shared" ca="1" si="122"/>
        <v>#VALUE!</v>
      </c>
      <c r="T460" s="43">
        <f t="shared" si="123"/>
        <v>0</v>
      </c>
      <c r="U460" s="226">
        <f>TRUNC(T460*Condições!$C$102,2)</f>
        <v>0</v>
      </c>
      <c r="V460" s="82">
        <f t="shared" ca="1" si="124"/>
        <v>9</v>
      </c>
      <c r="W460" s="231" t="str">
        <f t="shared" si="125"/>
        <v/>
      </c>
      <c r="AI460" s="114">
        <f t="shared" si="111"/>
        <v>0</v>
      </c>
      <c r="AL460" s="477">
        <f t="shared" ca="1" si="112"/>
        <v>0</v>
      </c>
    </row>
    <row r="461" spans="2:38">
      <c r="B461" s="222">
        <f ca="1">Fixa!B461</f>
        <v>59460</v>
      </c>
      <c r="C461" s="223" t="str">
        <f>Fixa!C461</f>
        <v/>
      </c>
      <c r="D461" s="43" t="e">
        <f t="shared" si="113"/>
        <v>#VALUE!</v>
      </c>
      <c r="E461" s="43" t="e">
        <f t="shared" si="114"/>
        <v>#VALUE!</v>
      </c>
      <c r="F461" s="43" t="e">
        <f t="shared" si="115"/>
        <v>#VALUE!</v>
      </c>
      <c r="G461" s="43" t="e">
        <f t="shared" si="116"/>
        <v>#VALUE!</v>
      </c>
      <c r="H461" s="43" t="e">
        <f t="shared" ca="1" si="117"/>
        <v>#VALUE!</v>
      </c>
      <c r="I461" s="43">
        <f t="shared" si="118"/>
        <v>0</v>
      </c>
      <c r="J461" s="229">
        <f t="shared" si="108"/>
        <v>25</v>
      </c>
      <c r="K461" s="43">
        <f t="shared" si="119"/>
        <v>0</v>
      </c>
      <c r="N461" s="225">
        <f t="shared" si="120"/>
        <v>0</v>
      </c>
      <c r="O461" s="43" t="e">
        <f t="shared" si="121"/>
        <v>#VALUE!</v>
      </c>
      <c r="P461" s="43" t="e">
        <f>ROUND(IF(Preenchimento!$G$39="Tabela Price",R461-Q461,(O460*(1+$AD$35))/($AD$28-C460)),$P$22)</f>
        <v>#VALUE!</v>
      </c>
      <c r="Q461" s="43" t="e">
        <f>IF(Preenchimento!$G$39="Tabela Price",O460*(1+$AD$35)*W461,O460*(1+SAC!$AD$35)*SAC!W461)</f>
        <v>#VALUE!</v>
      </c>
      <c r="R461" s="43" t="e">
        <f>IF(Preenchimento!$G$39="Tabela Price",IF(C461="","",((((((1+W461)^($Q$16-C460))*W461)/((1+W461)^($Q$16-C460)-1))*(O460*(1+$AD$35))))),Q461+P461)</f>
        <v>#VALUE!</v>
      </c>
      <c r="S461" s="43" t="e">
        <f t="shared" ca="1" si="122"/>
        <v>#VALUE!</v>
      </c>
      <c r="T461" s="43">
        <f t="shared" si="123"/>
        <v>0</v>
      </c>
      <c r="U461" s="226">
        <f>TRUNC(T461*Condições!$C$102,2)</f>
        <v>0</v>
      </c>
      <c r="V461" s="82">
        <f t="shared" ca="1" si="124"/>
        <v>10</v>
      </c>
      <c r="W461" s="231" t="str">
        <f t="shared" si="125"/>
        <v/>
      </c>
      <c r="AI461" s="114">
        <f t="shared" si="111"/>
        <v>0</v>
      </c>
      <c r="AL461" s="477">
        <f t="shared" ca="1" si="112"/>
        <v>0</v>
      </c>
    </row>
    <row r="462" spans="2:38">
      <c r="B462" s="222">
        <f ca="1">Fixa!B462</f>
        <v>59491</v>
      </c>
      <c r="C462" s="223" t="str">
        <f>Fixa!C462</f>
        <v/>
      </c>
      <c r="D462" s="43" t="e">
        <f t="shared" si="113"/>
        <v>#VALUE!</v>
      </c>
      <c r="E462" s="43" t="e">
        <f t="shared" si="114"/>
        <v>#VALUE!</v>
      </c>
      <c r="F462" s="43" t="e">
        <f t="shared" si="115"/>
        <v>#VALUE!</v>
      </c>
      <c r="G462" s="43" t="e">
        <f t="shared" si="116"/>
        <v>#VALUE!</v>
      </c>
      <c r="H462" s="43" t="e">
        <f t="shared" ca="1" si="117"/>
        <v>#VALUE!</v>
      </c>
      <c r="I462" s="43">
        <f t="shared" si="118"/>
        <v>0</v>
      </c>
      <c r="J462" s="229">
        <f t="shared" si="108"/>
        <v>25</v>
      </c>
      <c r="K462" s="43">
        <f t="shared" si="119"/>
        <v>0</v>
      </c>
      <c r="N462" s="225">
        <f t="shared" si="120"/>
        <v>0</v>
      </c>
      <c r="O462" s="43" t="e">
        <f t="shared" si="121"/>
        <v>#VALUE!</v>
      </c>
      <c r="P462" s="43" t="e">
        <f>ROUND(IF(Preenchimento!$G$39="Tabela Price",R462-Q462,(O461*(1+$AD$35))/($AD$28-C461)),$P$22)</f>
        <v>#VALUE!</v>
      </c>
      <c r="Q462" s="43" t="e">
        <f>IF(Preenchimento!$G$39="Tabela Price",O461*(1+$AD$35)*W462,O461*(1+SAC!$AD$35)*SAC!W462)</f>
        <v>#VALUE!</v>
      </c>
      <c r="R462" s="43" t="e">
        <f>IF(Preenchimento!$G$39="Tabela Price",IF(C462="","",((((((1+W462)^($Q$16-C461))*W462)/((1+W462)^($Q$16-C461)-1))*(O461*(1+$AD$35))))),Q462+P462)</f>
        <v>#VALUE!</v>
      </c>
      <c r="S462" s="43" t="e">
        <f t="shared" ca="1" si="122"/>
        <v>#VALUE!</v>
      </c>
      <c r="T462" s="43">
        <f t="shared" si="123"/>
        <v>0</v>
      </c>
      <c r="U462" s="226">
        <f>TRUNC(T462*Condições!$C$102,2)</f>
        <v>0</v>
      </c>
      <c r="V462" s="82">
        <f t="shared" ca="1" si="124"/>
        <v>11</v>
      </c>
      <c r="W462" s="231" t="str">
        <f t="shared" si="125"/>
        <v/>
      </c>
      <c r="AI462" s="114">
        <f t="shared" si="111"/>
        <v>0</v>
      </c>
      <c r="AL462" s="477">
        <f t="shared" ca="1" si="112"/>
        <v>0</v>
      </c>
    </row>
    <row r="463" spans="2:38">
      <c r="B463" s="222">
        <f ca="1">Fixa!B463</f>
        <v>59521</v>
      </c>
      <c r="C463" s="223" t="str">
        <f>Fixa!C463</f>
        <v/>
      </c>
      <c r="D463" s="43" t="e">
        <f t="shared" si="113"/>
        <v>#VALUE!</v>
      </c>
      <c r="E463" s="43" t="e">
        <f t="shared" si="114"/>
        <v>#VALUE!</v>
      </c>
      <c r="F463" s="43" t="e">
        <f t="shared" si="115"/>
        <v>#VALUE!</v>
      </c>
      <c r="G463" s="43" t="e">
        <f t="shared" si="116"/>
        <v>#VALUE!</v>
      </c>
      <c r="H463" s="541" t="e">
        <f t="shared" ca="1" si="117"/>
        <v>#VALUE!</v>
      </c>
      <c r="I463" s="541">
        <f t="shared" si="118"/>
        <v>0</v>
      </c>
      <c r="J463" s="229">
        <f t="shared" si="108"/>
        <v>25</v>
      </c>
      <c r="K463" s="43">
        <f t="shared" si="119"/>
        <v>0</v>
      </c>
      <c r="N463" s="225">
        <f t="shared" si="120"/>
        <v>0</v>
      </c>
      <c r="O463" s="43" t="e">
        <f t="shared" si="121"/>
        <v>#VALUE!</v>
      </c>
      <c r="P463" s="43" t="e">
        <f>ROUND(IF(Preenchimento!$G$39="Tabela Price",R463-Q463,(O462*(1+$AD$35))/($AD$28-C462)),$P$22)</f>
        <v>#VALUE!</v>
      </c>
      <c r="Q463" s="43" t="e">
        <f>IF(Preenchimento!$G$39="Tabela Price",O462*(1+$AD$35)*W463,O462*(1+SAC!$AD$35)*SAC!W463)</f>
        <v>#VALUE!</v>
      </c>
      <c r="R463" s="43" t="e">
        <f>IF(Preenchimento!$G$39="Tabela Price",IF(C463="","",((((((1+W463)^($Q$16-C462))*W463)/((1+W463)^($Q$16-C462)-1))*(O462*(1+$AD$35))))),Q463+P463)</f>
        <v>#VALUE!</v>
      </c>
      <c r="S463" s="43" t="e">
        <f t="shared" ca="1" si="122"/>
        <v>#VALUE!</v>
      </c>
      <c r="T463" s="43">
        <f t="shared" si="123"/>
        <v>0</v>
      </c>
      <c r="U463" s="226">
        <f>TRUNC(T463*Condições!$C$102,2)</f>
        <v>0</v>
      </c>
      <c r="V463" s="82">
        <f t="shared" ca="1" si="124"/>
        <v>12</v>
      </c>
      <c r="W463" s="231" t="str">
        <f t="shared" si="125"/>
        <v/>
      </c>
      <c r="AI463" s="114">
        <f t="shared" si="111"/>
        <v>0</v>
      </c>
      <c r="AL463" s="477">
        <f t="shared" ca="1" si="112"/>
        <v>0</v>
      </c>
    </row>
    <row r="464" spans="2:38">
      <c r="B464" s="222">
        <f ca="1">Fixa!B464</f>
        <v>59552</v>
      </c>
      <c r="C464" s="223" t="str">
        <f>Fixa!C464</f>
        <v/>
      </c>
      <c r="D464" s="43" t="e">
        <f t="shared" si="113"/>
        <v>#VALUE!</v>
      </c>
      <c r="E464" s="43" t="e">
        <f t="shared" si="114"/>
        <v>#VALUE!</v>
      </c>
      <c r="F464" s="43" t="e">
        <f t="shared" si="115"/>
        <v>#VALUE!</v>
      </c>
      <c r="G464" s="43" t="e">
        <f t="shared" si="116"/>
        <v>#VALUE!</v>
      </c>
      <c r="H464" s="43" t="e">
        <f t="shared" ca="1" si="117"/>
        <v>#VALUE!</v>
      </c>
      <c r="I464" s="43">
        <f t="shared" si="118"/>
        <v>0</v>
      </c>
      <c r="J464" s="229">
        <f t="shared" si="108"/>
        <v>25</v>
      </c>
      <c r="K464" s="43">
        <f t="shared" si="119"/>
        <v>0</v>
      </c>
      <c r="N464" s="225">
        <f t="shared" si="120"/>
        <v>0</v>
      </c>
      <c r="O464" s="43" t="e">
        <f t="shared" si="121"/>
        <v>#VALUE!</v>
      </c>
      <c r="P464" s="43" t="e">
        <f>ROUND(IF(Preenchimento!$G$39="Tabela Price",R464-Q464,(O463*(1+$AD$35))/($AD$28-C463)),$P$22)</f>
        <v>#VALUE!</v>
      </c>
      <c r="Q464" s="43" t="e">
        <f>IF(Preenchimento!$G$39="Tabela Price",O463*(1+$AD$35)*W464,O463*(1+SAC!$AD$35)*SAC!W464)</f>
        <v>#VALUE!</v>
      </c>
      <c r="R464" s="43" t="e">
        <f>IF(Preenchimento!$G$39="Tabela Price",IF(C464="","",((((((1+W464)^($Q$16-C463))*W464)/((1+W464)^($Q$16-C463)-1))*(O463*(1+$AD$35))))),Q464+P464)</f>
        <v>#VALUE!</v>
      </c>
      <c r="S464" s="43" t="e">
        <f t="shared" ca="1" si="122"/>
        <v>#VALUE!</v>
      </c>
      <c r="T464" s="43">
        <f t="shared" si="123"/>
        <v>0</v>
      </c>
      <c r="U464" s="226">
        <f>TRUNC(T464*Condições!$C$102,2)</f>
        <v>0</v>
      </c>
      <c r="V464" s="82">
        <f t="shared" ca="1" si="124"/>
        <v>1</v>
      </c>
      <c r="W464" s="231" t="str">
        <f t="shared" si="125"/>
        <v/>
      </c>
      <c r="AI464" s="114">
        <f t="shared" si="111"/>
        <v>0</v>
      </c>
      <c r="AL464" s="477">
        <f t="shared" ca="1" si="112"/>
        <v>0</v>
      </c>
    </row>
    <row r="465" spans="2:38">
      <c r="B465" s="222">
        <f ca="1">Fixa!B465</f>
        <v>59583</v>
      </c>
      <c r="C465" s="223" t="str">
        <f>Fixa!C465</f>
        <v/>
      </c>
      <c r="D465" s="43" t="e">
        <f t="shared" si="113"/>
        <v>#VALUE!</v>
      </c>
      <c r="E465" s="43" t="e">
        <f t="shared" si="114"/>
        <v>#VALUE!</v>
      </c>
      <c r="F465" s="43" t="e">
        <f t="shared" si="115"/>
        <v>#VALUE!</v>
      </c>
      <c r="G465" s="43" t="e">
        <f t="shared" si="116"/>
        <v>#VALUE!</v>
      </c>
      <c r="H465" s="43" t="e">
        <f t="shared" ca="1" si="117"/>
        <v>#VALUE!</v>
      </c>
      <c r="I465" s="43">
        <f t="shared" si="118"/>
        <v>0</v>
      </c>
      <c r="J465" s="229">
        <f t="shared" si="108"/>
        <v>25</v>
      </c>
      <c r="K465" s="43">
        <f t="shared" si="119"/>
        <v>0</v>
      </c>
      <c r="N465" s="225">
        <f t="shared" si="120"/>
        <v>0</v>
      </c>
      <c r="O465" s="43" t="e">
        <f t="shared" si="121"/>
        <v>#VALUE!</v>
      </c>
      <c r="P465" s="43" t="e">
        <f>ROUND(IF(Preenchimento!$G$39="Tabela Price",R465-Q465,(O464*(1+$AD$35))/($AD$28-C464)),$P$22)</f>
        <v>#VALUE!</v>
      </c>
      <c r="Q465" s="43" t="e">
        <f>IF(Preenchimento!$G$39="Tabela Price",O464*(1+$AD$35)*W465,O464*(1+SAC!$AD$35)*SAC!W465)</f>
        <v>#VALUE!</v>
      </c>
      <c r="R465" s="43" t="e">
        <f>IF(Preenchimento!$G$39="Tabela Price",IF(C465="","",((((((1+W465)^($Q$16-C464))*W465)/((1+W465)^($Q$16-C464)-1))*(O464*(1+$AD$35))))),Q465+P465)</f>
        <v>#VALUE!</v>
      </c>
      <c r="S465" s="43" t="e">
        <f t="shared" ca="1" si="122"/>
        <v>#VALUE!</v>
      </c>
      <c r="T465" s="43">
        <f t="shared" si="123"/>
        <v>0</v>
      </c>
      <c r="U465" s="226">
        <f>TRUNC(T465*Condições!$C$102,2)</f>
        <v>0</v>
      </c>
      <c r="V465" s="82">
        <f t="shared" ca="1" si="124"/>
        <v>2</v>
      </c>
      <c r="W465" s="231" t="str">
        <f t="shared" si="125"/>
        <v/>
      </c>
      <c r="AI465" s="114">
        <f t="shared" si="111"/>
        <v>0</v>
      </c>
      <c r="AL465" s="477">
        <f t="shared" ca="1" si="112"/>
        <v>0</v>
      </c>
    </row>
    <row r="466" spans="2:38">
      <c r="B466" s="222">
        <f ca="1">Fixa!B466</f>
        <v>59611</v>
      </c>
      <c r="C466" s="223" t="str">
        <f>Fixa!C466</f>
        <v/>
      </c>
      <c r="D466" s="43" t="e">
        <f t="shared" si="113"/>
        <v>#VALUE!</v>
      </c>
      <c r="E466" s="43" t="e">
        <f t="shared" si="114"/>
        <v>#VALUE!</v>
      </c>
      <c r="F466" s="43" t="e">
        <f t="shared" si="115"/>
        <v>#VALUE!</v>
      </c>
      <c r="G466" s="43" t="e">
        <f t="shared" si="116"/>
        <v>#VALUE!</v>
      </c>
      <c r="H466" s="541" t="e">
        <f t="shared" ca="1" si="117"/>
        <v>#VALUE!</v>
      </c>
      <c r="I466" s="541">
        <f t="shared" si="118"/>
        <v>0</v>
      </c>
      <c r="J466" s="229">
        <f t="shared" si="108"/>
        <v>25</v>
      </c>
      <c r="K466" s="43">
        <f t="shared" si="119"/>
        <v>0</v>
      </c>
      <c r="N466" s="225">
        <f t="shared" si="120"/>
        <v>0</v>
      </c>
      <c r="O466" s="43" t="e">
        <f t="shared" si="121"/>
        <v>#VALUE!</v>
      </c>
      <c r="P466" s="43" t="e">
        <f>ROUND(IF(Preenchimento!$G$39="Tabela Price",R466-Q466,(O465*(1+$AD$35))/($AD$28-C465)),$P$22)</f>
        <v>#VALUE!</v>
      </c>
      <c r="Q466" s="43" t="e">
        <f>IF(Preenchimento!$G$39="Tabela Price",O465*(1+$AD$35)*W466,O465*(1+SAC!$AD$35)*SAC!W466)</f>
        <v>#VALUE!</v>
      </c>
      <c r="R466" s="43" t="e">
        <f>IF(Preenchimento!$G$39="Tabela Price",IF(C466="","",((((((1+W466)^($Q$16-C465))*W466)/((1+W466)^($Q$16-C465)-1))*(O465*(1+$AD$35))))),Q466+P466)</f>
        <v>#VALUE!</v>
      </c>
      <c r="S466" s="43" t="e">
        <f t="shared" ca="1" si="122"/>
        <v>#VALUE!</v>
      </c>
      <c r="T466" s="43">
        <f t="shared" si="123"/>
        <v>0</v>
      </c>
      <c r="U466" s="226">
        <f>TRUNC(T466*Condições!$C$102,2)</f>
        <v>0</v>
      </c>
      <c r="V466" s="82">
        <f t="shared" ca="1" si="124"/>
        <v>3</v>
      </c>
      <c r="W466" s="231" t="str">
        <f t="shared" si="125"/>
        <v/>
      </c>
      <c r="AI466" s="114">
        <f t="shared" si="111"/>
        <v>0</v>
      </c>
      <c r="AL466" s="477">
        <f t="shared" ca="1" si="112"/>
        <v>0</v>
      </c>
    </row>
    <row r="467" spans="2:38">
      <c r="B467" s="222">
        <f ca="1">Fixa!B467</f>
        <v>59642</v>
      </c>
      <c r="C467" s="223" t="str">
        <f>Fixa!C467</f>
        <v/>
      </c>
      <c r="D467" s="43" t="e">
        <f t="shared" si="113"/>
        <v>#VALUE!</v>
      </c>
      <c r="E467" s="43" t="e">
        <f t="shared" si="114"/>
        <v>#VALUE!</v>
      </c>
      <c r="F467" s="43" t="e">
        <f t="shared" si="115"/>
        <v>#VALUE!</v>
      </c>
      <c r="G467" s="43" t="e">
        <f t="shared" si="116"/>
        <v>#VALUE!</v>
      </c>
      <c r="H467" s="43" t="e">
        <f t="shared" ca="1" si="117"/>
        <v>#VALUE!</v>
      </c>
      <c r="I467" s="43">
        <f t="shared" si="118"/>
        <v>0</v>
      </c>
      <c r="J467" s="229">
        <f t="shared" si="108"/>
        <v>25</v>
      </c>
      <c r="K467" s="43">
        <f t="shared" si="119"/>
        <v>0</v>
      </c>
      <c r="N467" s="225">
        <f t="shared" si="120"/>
        <v>0</v>
      </c>
      <c r="O467" s="43" t="e">
        <f t="shared" si="121"/>
        <v>#VALUE!</v>
      </c>
      <c r="P467" s="43" t="e">
        <f>ROUND(IF(Preenchimento!$G$39="Tabela Price",R467-Q467,(O466*(1+$AD$35))/($AD$28-C466)),$P$22)</f>
        <v>#VALUE!</v>
      </c>
      <c r="Q467" s="43" t="e">
        <f>IF(Preenchimento!$G$39="Tabela Price",O466*(1+$AD$35)*W467,O466*(1+SAC!$AD$35)*SAC!W467)</f>
        <v>#VALUE!</v>
      </c>
      <c r="R467" s="43" t="e">
        <f>IF(Preenchimento!$G$39="Tabela Price",IF(C467="","",((((((1+W467)^($Q$16-C466))*W467)/((1+W467)^($Q$16-C466)-1))*(O466*(1+$AD$35))))),Q467+P467)</f>
        <v>#VALUE!</v>
      </c>
      <c r="S467" s="43" t="e">
        <f t="shared" ca="1" si="122"/>
        <v>#VALUE!</v>
      </c>
      <c r="T467" s="43">
        <f t="shared" si="123"/>
        <v>0</v>
      </c>
      <c r="U467" s="226">
        <f>TRUNC(T467*Condições!$C$102,2)</f>
        <v>0</v>
      </c>
      <c r="V467" s="82">
        <f t="shared" ca="1" si="124"/>
        <v>4</v>
      </c>
      <c r="W467" s="231" t="str">
        <f t="shared" si="125"/>
        <v/>
      </c>
      <c r="AI467" s="114">
        <f t="shared" si="111"/>
        <v>0</v>
      </c>
      <c r="AL467" s="477">
        <f t="shared" ca="1" si="112"/>
        <v>0</v>
      </c>
    </row>
    <row r="468" spans="2:38">
      <c r="B468" s="222">
        <f ca="1">Fixa!B468</f>
        <v>59672</v>
      </c>
      <c r="C468" s="223" t="str">
        <f>Fixa!C468</f>
        <v/>
      </c>
      <c r="D468" s="43" t="e">
        <f t="shared" si="113"/>
        <v>#VALUE!</v>
      </c>
      <c r="E468" s="43" t="e">
        <f t="shared" si="114"/>
        <v>#VALUE!</v>
      </c>
      <c r="F468" s="43" t="e">
        <f t="shared" si="115"/>
        <v>#VALUE!</v>
      </c>
      <c r="G468" s="43" t="e">
        <f t="shared" si="116"/>
        <v>#VALUE!</v>
      </c>
      <c r="H468" s="43" t="e">
        <f t="shared" ca="1" si="117"/>
        <v>#VALUE!</v>
      </c>
      <c r="I468" s="43">
        <f t="shared" si="118"/>
        <v>0</v>
      </c>
      <c r="J468" s="229">
        <f t="shared" si="108"/>
        <v>25</v>
      </c>
      <c r="K468" s="43">
        <f t="shared" si="119"/>
        <v>0</v>
      </c>
      <c r="N468" s="225">
        <f t="shared" si="120"/>
        <v>0</v>
      </c>
      <c r="O468" s="43" t="e">
        <f t="shared" si="121"/>
        <v>#VALUE!</v>
      </c>
      <c r="P468" s="43" t="e">
        <f>ROUND(IF(Preenchimento!$G$39="Tabela Price",R468-Q468,(O467*(1+$AD$35))/($AD$28-C467)),$P$22)</f>
        <v>#VALUE!</v>
      </c>
      <c r="Q468" s="43" t="e">
        <f>IF(Preenchimento!$G$39="Tabela Price",O467*(1+$AD$35)*W468,O467*(1+SAC!$AD$35)*SAC!W468)</f>
        <v>#VALUE!</v>
      </c>
      <c r="R468" s="43" t="e">
        <f>IF(Preenchimento!$G$39="Tabela Price",IF(C468="","",((((((1+W468)^($Q$16-C467))*W468)/((1+W468)^($Q$16-C467)-1))*(O467*(1+$AD$35))))),Q468+P468)</f>
        <v>#VALUE!</v>
      </c>
      <c r="S468" s="43" t="e">
        <f t="shared" ca="1" si="122"/>
        <v>#VALUE!</v>
      </c>
      <c r="T468" s="43">
        <f t="shared" si="123"/>
        <v>0</v>
      </c>
      <c r="U468" s="226">
        <f>TRUNC(T468*Condições!$C$102,2)</f>
        <v>0</v>
      </c>
      <c r="V468" s="82">
        <f t="shared" ca="1" si="124"/>
        <v>5</v>
      </c>
      <c r="W468" s="231" t="str">
        <f t="shared" si="125"/>
        <v/>
      </c>
      <c r="AI468" s="114">
        <f t="shared" si="111"/>
        <v>0</v>
      </c>
      <c r="AL468" s="477">
        <f t="shared" ca="1" si="112"/>
        <v>0</v>
      </c>
    </row>
    <row r="469" spans="2:38">
      <c r="B469" s="222">
        <f ca="1">Fixa!B469</f>
        <v>59703</v>
      </c>
      <c r="C469" s="223" t="str">
        <f>Fixa!C469</f>
        <v/>
      </c>
      <c r="D469" s="43" t="e">
        <f t="shared" si="113"/>
        <v>#VALUE!</v>
      </c>
      <c r="E469" s="43" t="e">
        <f t="shared" si="114"/>
        <v>#VALUE!</v>
      </c>
      <c r="F469" s="43" t="e">
        <f t="shared" si="115"/>
        <v>#VALUE!</v>
      </c>
      <c r="G469" s="43" t="e">
        <f t="shared" si="116"/>
        <v>#VALUE!</v>
      </c>
      <c r="H469" s="541" t="e">
        <f t="shared" ca="1" si="117"/>
        <v>#VALUE!</v>
      </c>
      <c r="I469" s="541">
        <f t="shared" si="118"/>
        <v>0</v>
      </c>
      <c r="J469" s="229">
        <f t="shared" si="108"/>
        <v>25</v>
      </c>
      <c r="K469" s="43">
        <f t="shared" si="119"/>
        <v>0</v>
      </c>
      <c r="N469" s="225">
        <f t="shared" si="120"/>
        <v>0</v>
      </c>
      <c r="O469" s="43" t="e">
        <f t="shared" si="121"/>
        <v>#VALUE!</v>
      </c>
      <c r="P469" s="43" t="e">
        <f>ROUND(IF(Preenchimento!$G$39="Tabela Price",R469-Q469,(O468*(1+$AD$35))/($AD$28-C468)),$P$22)</f>
        <v>#VALUE!</v>
      </c>
      <c r="Q469" s="43" t="e">
        <f>IF(Preenchimento!$G$39="Tabela Price",O468*(1+$AD$35)*W469,O468*(1+SAC!$AD$35)*SAC!W469)</f>
        <v>#VALUE!</v>
      </c>
      <c r="R469" s="43" t="e">
        <f>IF(Preenchimento!$G$39="Tabela Price",IF(C469="","",((((((1+W469)^($Q$16-C468))*W469)/((1+W469)^($Q$16-C468)-1))*(O468*(1+$AD$35))))),Q469+P469)</f>
        <v>#VALUE!</v>
      </c>
      <c r="S469" s="43" t="e">
        <f t="shared" ca="1" si="122"/>
        <v>#VALUE!</v>
      </c>
      <c r="T469" s="43">
        <f t="shared" si="123"/>
        <v>0</v>
      </c>
      <c r="U469" s="226">
        <f>TRUNC(T469*Condições!$C$102,2)</f>
        <v>0</v>
      </c>
      <c r="V469" s="82">
        <f t="shared" ca="1" si="124"/>
        <v>6</v>
      </c>
      <c r="W469" s="231" t="str">
        <f t="shared" si="125"/>
        <v/>
      </c>
      <c r="AI469" s="114">
        <f t="shared" si="111"/>
        <v>0</v>
      </c>
      <c r="AL469" s="477">
        <f t="shared" ca="1" si="112"/>
        <v>0</v>
      </c>
    </row>
    <row r="470" spans="2:38">
      <c r="B470" s="222">
        <f ca="1">Fixa!B470</f>
        <v>59733</v>
      </c>
      <c r="C470" s="223" t="str">
        <f>Fixa!C470</f>
        <v/>
      </c>
      <c r="D470" s="43" t="e">
        <f t="shared" si="113"/>
        <v>#VALUE!</v>
      </c>
      <c r="E470" s="43" t="e">
        <f t="shared" si="114"/>
        <v>#VALUE!</v>
      </c>
      <c r="F470" s="43" t="e">
        <f t="shared" si="115"/>
        <v>#VALUE!</v>
      </c>
      <c r="G470" s="43" t="e">
        <f t="shared" si="116"/>
        <v>#VALUE!</v>
      </c>
      <c r="H470" s="43" t="e">
        <f t="shared" ca="1" si="117"/>
        <v>#VALUE!</v>
      </c>
      <c r="I470" s="43">
        <f t="shared" si="118"/>
        <v>0</v>
      </c>
      <c r="J470" s="229">
        <f t="shared" si="108"/>
        <v>25</v>
      </c>
      <c r="K470" s="43">
        <f t="shared" si="119"/>
        <v>0</v>
      </c>
      <c r="N470" s="225">
        <f t="shared" si="120"/>
        <v>0</v>
      </c>
      <c r="O470" s="43" t="e">
        <f t="shared" si="121"/>
        <v>#VALUE!</v>
      </c>
      <c r="P470" s="43" t="e">
        <f>ROUND(IF(Preenchimento!$G$39="Tabela Price",R470-Q470,(O469*(1+$AD$35))/($AD$28-C469)),$P$22)</f>
        <v>#VALUE!</v>
      </c>
      <c r="Q470" s="43" t="e">
        <f>IF(Preenchimento!$G$39="Tabela Price",O469*(1+$AD$35)*W470,O469*(1+SAC!$AD$35)*SAC!W470)</f>
        <v>#VALUE!</v>
      </c>
      <c r="R470" s="43" t="e">
        <f>IF(Preenchimento!$G$39="Tabela Price",IF(C470="","",((((((1+W470)^($Q$16-C469))*W470)/((1+W470)^($Q$16-C469)-1))*(O469*(1+$AD$35))))),Q470+P470)</f>
        <v>#VALUE!</v>
      </c>
      <c r="S470" s="43" t="e">
        <f t="shared" ca="1" si="122"/>
        <v>#VALUE!</v>
      </c>
      <c r="T470" s="43">
        <f t="shared" si="123"/>
        <v>0</v>
      </c>
      <c r="U470" s="226">
        <f>TRUNC(T470*Condições!$C$102,2)</f>
        <v>0</v>
      </c>
      <c r="V470" s="82">
        <f t="shared" ca="1" si="124"/>
        <v>7</v>
      </c>
      <c r="W470" s="231" t="str">
        <f t="shared" si="125"/>
        <v/>
      </c>
      <c r="AI470" s="114">
        <f t="shared" si="111"/>
        <v>0</v>
      </c>
      <c r="AL470" s="477">
        <f t="shared" ca="1" si="112"/>
        <v>0</v>
      </c>
    </row>
    <row r="471" spans="2:38">
      <c r="B471" s="222">
        <f ca="1">Fixa!B471</f>
        <v>59764</v>
      </c>
      <c r="C471" s="223" t="str">
        <f>Fixa!C471</f>
        <v/>
      </c>
      <c r="D471" s="43" t="e">
        <f t="shared" si="113"/>
        <v>#VALUE!</v>
      </c>
      <c r="E471" s="43" t="e">
        <f t="shared" si="114"/>
        <v>#VALUE!</v>
      </c>
      <c r="F471" s="43" t="e">
        <f t="shared" si="115"/>
        <v>#VALUE!</v>
      </c>
      <c r="G471" s="43" t="e">
        <f t="shared" si="116"/>
        <v>#VALUE!</v>
      </c>
      <c r="H471" s="43" t="e">
        <f t="shared" ca="1" si="117"/>
        <v>#VALUE!</v>
      </c>
      <c r="I471" s="43">
        <f t="shared" si="118"/>
        <v>0</v>
      </c>
      <c r="J471" s="229">
        <f t="shared" si="108"/>
        <v>25</v>
      </c>
      <c r="K471" s="43">
        <f t="shared" si="119"/>
        <v>0</v>
      </c>
      <c r="N471" s="225">
        <f t="shared" si="120"/>
        <v>0</v>
      </c>
      <c r="O471" s="43" t="e">
        <f t="shared" si="121"/>
        <v>#VALUE!</v>
      </c>
      <c r="P471" s="43" t="e">
        <f>ROUND(IF(Preenchimento!$G$39="Tabela Price",R471-Q471,(O470*(1+$AD$35))/($AD$28-C470)),$P$22)</f>
        <v>#VALUE!</v>
      </c>
      <c r="Q471" s="43" t="e">
        <f>IF(Preenchimento!$G$39="Tabela Price",O470*(1+$AD$35)*W471,O470*(1+SAC!$AD$35)*SAC!W471)</f>
        <v>#VALUE!</v>
      </c>
      <c r="R471" s="43" t="e">
        <f>IF(Preenchimento!$G$39="Tabela Price",IF(C471="","",((((((1+W471)^($Q$16-C470))*W471)/((1+W471)^($Q$16-C470)-1))*(O470*(1+$AD$35))))),Q471+P471)</f>
        <v>#VALUE!</v>
      </c>
      <c r="S471" s="43" t="e">
        <f t="shared" ca="1" si="122"/>
        <v>#VALUE!</v>
      </c>
      <c r="T471" s="43">
        <f t="shared" si="123"/>
        <v>0</v>
      </c>
      <c r="U471" s="226">
        <f>TRUNC(T471*Condições!$C$102,2)</f>
        <v>0</v>
      </c>
      <c r="V471" s="82">
        <f t="shared" ca="1" si="124"/>
        <v>8</v>
      </c>
      <c r="W471" s="231" t="str">
        <f t="shared" si="125"/>
        <v/>
      </c>
      <c r="AI471" s="114">
        <f t="shared" si="111"/>
        <v>0</v>
      </c>
      <c r="AL471" s="477">
        <f t="shared" ca="1" si="112"/>
        <v>0</v>
      </c>
    </row>
    <row r="472" spans="2:38">
      <c r="B472" s="222">
        <f ca="1">Fixa!B472</f>
        <v>59795</v>
      </c>
      <c r="C472" s="223" t="str">
        <f>Fixa!C472</f>
        <v/>
      </c>
      <c r="D472" s="43" t="e">
        <f t="shared" si="113"/>
        <v>#VALUE!</v>
      </c>
      <c r="E472" s="43" t="e">
        <f t="shared" si="114"/>
        <v>#VALUE!</v>
      </c>
      <c r="F472" s="43" t="e">
        <f t="shared" si="115"/>
        <v>#VALUE!</v>
      </c>
      <c r="G472" s="43" t="e">
        <f t="shared" si="116"/>
        <v>#VALUE!</v>
      </c>
      <c r="H472" s="541" t="e">
        <f t="shared" ca="1" si="117"/>
        <v>#VALUE!</v>
      </c>
      <c r="I472" s="541">
        <f t="shared" si="118"/>
        <v>0</v>
      </c>
      <c r="J472" s="229">
        <f t="shared" si="108"/>
        <v>25</v>
      </c>
      <c r="K472" s="43">
        <f t="shared" si="119"/>
        <v>0</v>
      </c>
      <c r="N472" s="225">
        <f t="shared" si="120"/>
        <v>0</v>
      </c>
      <c r="O472" s="43" t="e">
        <f t="shared" si="121"/>
        <v>#VALUE!</v>
      </c>
      <c r="P472" s="43" t="e">
        <f>ROUND(IF(Preenchimento!$G$39="Tabela Price",R472-Q472,(O471*(1+$AD$35))/($AD$28-C471)),$P$22)</f>
        <v>#VALUE!</v>
      </c>
      <c r="Q472" s="43" t="e">
        <f>IF(Preenchimento!$G$39="Tabela Price",O471*(1+$AD$35)*W472,O471*(1+SAC!$AD$35)*SAC!W472)</f>
        <v>#VALUE!</v>
      </c>
      <c r="R472" s="43" t="e">
        <f>IF(Preenchimento!$G$39="Tabela Price",IF(C472="","",((((((1+W472)^($Q$16-C471))*W472)/((1+W472)^($Q$16-C471)-1))*(O471*(1+$AD$35))))),Q472+P472)</f>
        <v>#VALUE!</v>
      </c>
      <c r="S472" s="43" t="e">
        <f t="shared" ca="1" si="122"/>
        <v>#VALUE!</v>
      </c>
      <c r="T472" s="43">
        <f t="shared" si="123"/>
        <v>0</v>
      </c>
      <c r="U472" s="226">
        <f>TRUNC(T472*Condições!$C$102,2)</f>
        <v>0</v>
      </c>
      <c r="V472" s="82">
        <f t="shared" ca="1" si="124"/>
        <v>9</v>
      </c>
      <c r="W472" s="231" t="str">
        <f t="shared" si="125"/>
        <v/>
      </c>
      <c r="AI472" s="114">
        <f t="shared" si="111"/>
        <v>0</v>
      </c>
      <c r="AL472" s="477">
        <f t="shared" ca="1" si="112"/>
        <v>0</v>
      </c>
    </row>
    <row r="473" spans="2:38">
      <c r="B473" s="222">
        <f ca="1">Fixa!B473</f>
        <v>59825</v>
      </c>
      <c r="C473" s="223" t="str">
        <f>Fixa!C473</f>
        <v/>
      </c>
      <c r="D473" s="43" t="e">
        <f t="shared" si="113"/>
        <v>#VALUE!</v>
      </c>
      <c r="E473" s="43" t="e">
        <f t="shared" si="114"/>
        <v>#VALUE!</v>
      </c>
      <c r="F473" s="43" t="e">
        <f t="shared" si="115"/>
        <v>#VALUE!</v>
      </c>
      <c r="G473" s="43" t="e">
        <f t="shared" si="116"/>
        <v>#VALUE!</v>
      </c>
      <c r="H473" s="43" t="e">
        <f t="shared" ca="1" si="117"/>
        <v>#VALUE!</v>
      </c>
      <c r="I473" s="43">
        <f t="shared" si="118"/>
        <v>0</v>
      </c>
      <c r="J473" s="229">
        <f t="shared" si="108"/>
        <v>25</v>
      </c>
      <c r="K473" s="43">
        <f t="shared" si="119"/>
        <v>0</v>
      </c>
      <c r="N473" s="225">
        <f t="shared" si="120"/>
        <v>0</v>
      </c>
      <c r="O473" s="43" t="e">
        <f t="shared" si="121"/>
        <v>#VALUE!</v>
      </c>
      <c r="P473" s="43" t="e">
        <f>ROUND(IF(Preenchimento!$G$39="Tabela Price",R473-Q473,(O472*(1+$AD$35))/($AD$28-C472)),$P$22)</f>
        <v>#VALUE!</v>
      </c>
      <c r="Q473" s="43" t="e">
        <f>IF(Preenchimento!$G$39="Tabela Price",O472*(1+$AD$35)*W473,O472*(1+SAC!$AD$35)*SAC!W473)</f>
        <v>#VALUE!</v>
      </c>
      <c r="R473" s="43" t="e">
        <f>IF(Preenchimento!$G$39="Tabela Price",IF(C473="","",((((((1+W473)^($Q$16-C472))*W473)/((1+W473)^($Q$16-C472)-1))*(O472*(1+$AD$35))))),Q473+P473)</f>
        <v>#VALUE!</v>
      </c>
      <c r="S473" s="43" t="e">
        <f t="shared" ca="1" si="122"/>
        <v>#VALUE!</v>
      </c>
      <c r="T473" s="43">
        <f t="shared" si="123"/>
        <v>0</v>
      </c>
      <c r="U473" s="226">
        <f>TRUNC(T473*Condições!$C$102,2)</f>
        <v>0</v>
      </c>
      <c r="V473" s="82">
        <f t="shared" ca="1" si="124"/>
        <v>10</v>
      </c>
      <c r="W473" s="231" t="str">
        <f t="shared" si="125"/>
        <v/>
      </c>
      <c r="AI473" s="114">
        <f t="shared" si="111"/>
        <v>0</v>
      </c>
      <c r="AL473" s="477">
        <f t="shared" ca="1" si="112"/>
        <v>0</v>
      </c>
    </row>
    <row r="474" spans="2:38">
      <c r="B474" s="222">
        <f ca="1">Fixa!B474</f>
        <v>59856</v>
      </c>
      <c r="C474" s="223" t="str">
        <f>Fixa!C474</f>
        <v/>
      </c>
      <c r="D474" s="43" t="e">
        <f t="shared" si="113"/>
        <v>#VALUE!</v>
      </c>
      <c r="E474" s="43" t="e">
        <f t="shared" si="114"/>
        <v>#VALUE!</v>
      </c>
      <c r="F474" s="43" t="e">
        <f t="shared" si="115"/>
        <v>#VALUE!</v>
      </c>
      <c r="G474" s="43" t="e">
        <f t="shared" si="116"/>
        <v>#VALUE!</v>
      </c>
      <c r="H474" s="43" t="e">
        <f t="shared" ca="1" si="117"/>
        <v>#VALUE!</v>
      </c>
      <c r="I474" s="43">
        <f t="shared" si="118"/>
        <v>0</v>
      </c>
      <c r="J474" s="229">
        <f t="shared" si="108"/>
        <v>25</v>
      </c>
      <c r="K474" s="43">
        <f t="shared" si="119"/>
        <v>0</v>
      </c>
      <c r="N474" s="225">
        <f t="shared" si="120"/>
        <v>0</v>
      </c>
      <c r="O474" s="43" t="e">
        <f t="shared" si="121"/>
        <v>#VALUE!</v>
      </c>
      <c r="P474" s="43" t="e">
        <f>ROUND(IF(Preenchimento!$G$39="Tabela Price",R474-Q474,(O473*(1+$AD$35))/($AD$28-C473)),$P$22)</f>
        <v>#VALUE!</v>
      </c>
      <c r="Q474" s="43" t="e">
        <f>IF(Preenchimento!$G$39="Tabela Price",O473*(1+$AD$35)*W474,O473*(1+SAC!$AD$35)*SAC!W474)</f>
        <v>#VALUE!</v>
      </c>
      <c r="R474" s="43" t="e">
        <f>IF(Preenchimento!$G$39="Tabela Price",IF(C474="","",((((((1+W474)^($Q$16-C473))*W474)/((1+W474)^($Q$16-C473)-1))*(O473*(1+$AD$35))))),Q474+P474)</f>
        <v>#VALUE!</v>
      </c>
      <c r="S474" s="43" t="e">
        <f t="shared" ca="1" si="122"/>
        <v>#VALUE!</v>
      </c>
      <c r="T474" s="43">
        <f t="shared" si="123"/>
        <v>0</v>
      </c>
      <c r="U474" s="226">
        <f>TRUNC(T474*Condições!$C$102,2)</f>
        <v>0</v>
      </c>
      <c r="V474" s="82">
        <f t="shared" ca="1" si="124"/>
        <v>11</v>
      </c>
      <c r="W474" s="231" t="str">
        <f t="shared" si="125"/>
        <v/>
      </c>
      <c r="AI474" s="114">
        <f t="shared" si="111"/>
        <v>0</v>
      </c>
      <c r="AL474" s="477">
        <f t="shared" ca="1" si="112"/>
        <v>0</v>
      </c>
    </row>
    <row r="475" spans="2:38">
      <c r="B475" s="222">
        <f ca="1">Fixa!B475</f>
        <v>59886</v>
      </c>
      <c r="C475" s="223" t="str">
        <f>Fixa!C475</f>
        <v/>
      </c>
      <c r="D475" s="43" t="e">
        <f t="shared" si="113"/>
        <v>#VALUE!</v>
      </c>
      <c r="E475" s="43" t="e">
        <f t="shared" si="114"/>
        <v>#VALUE!</v>
      </c>
      <c r="F475" s="43" t="e">
        <f t="shared" si="115"/>
        <v>#VALUE!</v>
      </c>
      <c r="G475" s="43" t="e">
        <f t="shared" si="116"/>
        <v>#VALUE!</v>
      </c>
      <c r="H475" s="541" t="e">
        <f t="shared" ca="1" si="117"/>
        <v>#VALUE!</v>
      </c>
      <c r="I475" s="541">
        <f t="shared" si="118"/>
        <v>0</v>
      </c>
      <c r="J475" s="229">
        <f t="shared" ref="J475:J511" si="126">$AD$31</f>
        <v>25</v>
      </c>
      <c r="K475" s="43">
        <f t="shared" si="119"/>
        <v>0</v>
      </c>
      <c r="N475" s="225">
        <f t="shared" si="120"/>
        <v>0</v>
      </c>
      <c r="O475" s="43" t="e">
        <f t="shared" si="121"/>
        <v>#VALUE!</v>
      </c>
      <c r="P475" s="43" t="e">
        <f>ROUND(IF(Preenchimento!$G$39="Tabela Price",R475-Q475,(O474*(1+$AD$35))/($AD$28-C474)),$P$22)</f>
        <v>#VALUE!</v>
      </c>
      <c r="Q475" s="43" t="e">
        <f>IF(Preenchimento!$G$39="Tabela Price",O474*(1+$AD$35)*W475,O474*(1+SAC!$AD$35)*SAC!W475)</f>
        <v>#VALUE!</v>
      </c>
      <c r="R475" s="43" t="e">
        <f>IF(Preenchimento!$G$39="Tabela Price",IF(C475="","",((((((1+W475)^($Q$16-C474))*W475)/((1+W475)^($Q$16-C474)-1))*(O474*(1+$AD$35))))),Q475+P475)</f>
        <v>#VALUE!</v>
      </c>
      <c r="S475" s="43" t="e">
        <f t="shared" ca="1" si="122"/>
        <v>#VALUE!</v>
      </c>
      <c r="T475" s="43">
        <f t="shared" si="123"/>
        <v>0</v>
      </c>
      <c r="U475" s="226">
        <f>TRUNC(T475*Condições!$C$102,2)</f>
        <v>0</v>
      </c>
      <c r="V475" s="82">
        <f t="shared" ca="1" si="124"/>
        <v>12</v>
      </c>
      <c r="W475" s="231" t="str">
        <f t="shared" si="125"/>
        <v/>
      </c>
      <c r="AI475" s="114">
        <f t="shared" ref="AI475:AI511" si="127">IF(C475&gt;$AD$28,0,R475+S475+T475+U475+J475)</f>
        <v>0</v>
      </c>
      <c r="AL475" s="477">
        <f t="shared" ref="AL475:AL511" ca="1" si="128">IFERROR(IF(V474&gt;$AD$28,0,R475),0)</f>
        <v>0</v>
      </c>
    </row>
    <row r="476" spans="2:38">
      <c r="B476" s="222">
        <f ca="1">Fixa!B476</f>
        <v>59917</v>
      </c>
      <c r="C476" s="223" t="str">
        <f>Fixa!C476</f>
        <v/>
      </c>
      <c r="D476" s="43" t="e">
        <f t="shared" si="113"/>
        <v>#VALUE!</v>
      </c>
      <c r="E476" s="43" t="e">
        <f t="shared" si="114"/>
        <v>#VALUE!</v>
      </c>
      <c r="F476" s="43" t="e">
        <f t="shared" si="115"/>
        <v>#VALUE!</v>
      </c>
      <c r="G476" s="43" t="e">
        <f t="shared" si="116"/>
        <v>#VALUE!</v>
      </c>
      <c r="H476" s="43" t="e">
        <f t="shared" ca="1" si="117"/>
        <v>#VALUE!</v>
      </c>
      <c r="I476" s="43">
        <f t="shared" si="118"/>
        <v>0</v>
      </c>
      <c r="J476" s="229">
        <f t="shared" si="126"/>
        <v>25</v>
      </c>
      <c r="K476" s="43">
        <f t="shared" si="119"/>
        <v>0</v>
      </c>
      <c r="N476" s="225">
        <f t="shared" si="120"/>
        <v>0</v>
      </c>
      <c r="O476" s="43" t="e">
        <f t="shared" si="121"/>
        <v>#VALUE!</v>
      </c>
      <c r="P476" s="43" t="e">
        <f>ROUND(IF(Preenchimento!$G$39="Tabela Price",R476-Q476,(O475*(1+$AD$35))/($AD$28-C475)),$P$22)</f>
        <v>#VALUE!</v>
      </c>
      <c r="Q476" s="43" t="e">
        <f>IF(Preenchimento!$G$39="Tabela Price",O475*(1+$AD$35)*W476,O475*(1+SAC!$AD$35)*SAC!W476)</f>
        <v>#VALUE!</v>
      </c>
      <c r="R476" s="43" t="e">
        <f>IF(Preenchimento!$G$39="Tabela Price",IF(C476="","",((((((1+W476)^($Q$16-C475))*W476)/((1+W476)^($Q$16-C475)-1))*(O475*(1+$AD$35))))),Q476+P476)</f>
        <v>#VALUE!</v>
      </c>
      <c r="S476" s="43" t="e">
        <f t="shared" ca="1" si="122"/>
        <v>#VALUE!</v>
      </c>
      <c r="T476" s="43">
        <f t="shared" si="123"/>
        <v>0</v>
      </c>
      <c r="U476" s="226">
        <f>TRUNC(T476*Condições!$C$102,2)</f>
        <v>0</v>
      </c>
      <c r="V476" s="82">
        <f t="shared" ca="1" si="124"/>
        <v>1</v>
      </c>
      <c r="W476" s="231" t="str">
        <f t="shared" si="125"/>
        <v/>
      </c>
      <c r="AI476" s="114">
        <f t="shared" si="127"/>
        <v>0</v>
      </c>
      <c r="AL476" s="477">
        <f t="shared" ca="1" si="128"/>
        <v>0</v>
      </c>
    </row>
    <row r="477" spans="2:38">
      <c r="B477" s="222">
        <f ca="1">Fixa!B477</f>
        <v>59948</v>
      </c>
      <c r="C477" s="223" t="str">
        <f>Fixa!C477</f>
        <v/>
      </c>
      <c r="D477" s="43" t="e">
        <f t="shared" si="113"/>
        <v>#VALUE!</v>
      </c>
      <c r="E477" s="43" t="e">
        <f t="shared" si="114"/>
        <v>#VALUE!</v>
      </c>
      <c r="F477" s="43" t="e">
        <f t="shared" si="115"/>
        <v>#VALUE!</v>
      </c>
      <c r="G477" s="43" t="e">
        <f t="shared" si="116"/>
        <v>#VALUE!</v>
      </c>
      <c r="H477" s="43" t="e">
        <f t="shared" ca="1" si="117"/>
        <v>#VALUE!</v>
      </c>
      <c r="I477" s="43">
        <f t="shared" si="118"/>
        <v>0</v>
      </c>
      <c r="J477" s="229">
        <f t="shared" si="126"/>
        <v>25</v>
      </c>
      <c r="K477" s="43">
        <f t="shared" si="119"/>
        <v>0</v>
      </c>
      <c r="N477" s="225">
        <f t="shared" si="120"/>
        <v>0</v>
      </c>
      <c r="O477" s="43" t="e">
        <f t="shared" si="121"/>
        <v>#VALUE!</v>
      </c>
      <c r="P477" s="43" t="e">
        <f>ROUND(IF(Preenchimento!$G$39="Tabela Price",R477-Q477,(O476*(1+$AD$35))/($AD$28-C476)),$P$22)</f>
        <v>#VALUE!</v>
      </c>
      <c r="Q477" s="43" t="e">
        <f>IF(Preenchimento!$G$39="Tabela Price",O476*(1+$AD$35)*W477,O476*(1+SAC!$AD$35)*SAC!W477)</f>
        <v>#VALUE!</v>
      </c>
      <c r="R477" s="43" t="e">
        <f>IF(Preenchimento!$G$39="Tabela Price",IF(C477="","",((((((1+W477)^($Q$16-C476))*W477)/((1+W477)^($Q$16-C476)-1))*(O476*(1+$AD$35))))),Q477+P477)</f>
        <v>#VALUE!</v>
      </c>
      <c r="S477" s="43" t="e">
        <f t="shared" ca="1" si="122"/>
        <v>#VALUE!</v>
      </c>
      <c r="T477" s="43">
        <f t="shared" si="123"/>
        <v>0</v>
      </c>
      <c r="U477" s="226">
        <f>TRUNC(T477*Condições!$C$102,2)</f>
        <v>0</v>
      </c>
      <c r="V477" s="82">
        <f t="shared" ca="1" si="124"/>
        <v>2</v>
      </c>
      <c r="W477" s="231" t="str">
        <f t="shared" si="125"/>
        <v/>
      </c>
      <c r="AI477" s="114">
        <f t="shared" si="127"/>
        <v>0</v>
      </c>
      <c r="AL477" s="477">
        <f t="shared" ca="1" si="128"/>
        <v>0</v>
      </c>
    </row>
    <row r="478" spans="2:38">
      <c r="B478" s="222">
        <f ca="1">Fixa!B478</f>
        <v>59977</v>
      </c>
      <c r="C478" s="223" t="str">
        <f>Fixa!C478</f>
        <v/>
      </c>
      <c r="D478" s="43" t="e">
        <f t="shared" si="113"/>
        <v>#VALUE!</v>
      </c>
      <c r="E478" s="43" t="e">
        <f t="shared" si="114"/>
        <v>#VALUE!</v>
      </c>
      <c r="F478" s="43" t="e">
        <f t="shared" si="115"/>
        <v>#VALUE!</v>
      </c>
      <c r="G478" s="43" t="e">
        <f t="shared" si="116"/>
        <v>#VALUE!</v>
      </c>
      <c r="H478" s="541" t="e">
        <f t="shared" ca="1" si="117"/>
        <v>#VALUE!</v>
      </c>
      <c r="I478" s="541">
        <f t="shared" si="118"/>
        <v>0</v>
      </c>
      <c r="J478" s="229">
        <f t="shared" si="126"/>
        <v>25</v>
      </c>
      <c r="K478" s="43">
        <f t="shared" si="119"/>
        <v>0</v>
      </c>
      <c r="N478" s="225">
        <f t="shared" si="120"/>
        <v>0</v>
      </c>
      <c r="O478" s="43" t="e">
        <f t="shared" si="121"/>
        <v>#VALUE!</v>
      </c>
      <c r="P478" s="43" t="e">
        <f>ROUND(IF(Preenchimento!$G$39="Tabela Price",R478-Q478,(O477*(1+$AD$35))/($AD$28-C477)),$P$22)</f>
        <v>#VALUE!</v>
      </c>
      <c r="Q478" s="43" t="e">
        <f>IF(Preenchimento!$G$39="Tabela Price",O477*(1+$AD$35)*W478,O477*(1+SAC!$AD$35)*SAC!W478)</f>
        <v>#VALUE!</v>
      </c>
      <c r="R478" s="43" t="e">
        <f>IF(Preenchimento!$G$39="Tabela Price",IF(C478="","",((((((1+W478)^($Q$16-C477))*W478)/((1+W478)^($Q$16-C477)-1))*(O477*(1+$AD$35))))),Q478+P478)</f>
        <v>#VALUE!</v>
      </c>
      <c r="S478" s="43" t="e">
        <f t="shared" ca="1" si="122"/>
        <v>#VALUE!</v>
      </c>
      <c r="T478" s="43">
        <f t="shared" si="123"/>
        <v>0</v>
      </c>
      <c r="U478" s="226">
        <f>TRUNC(T478*Condições!$C$102,2)</f>
        <v>0</v>
      </c>
      <c r="V478" s="82">
        <f t="shared" ca="1" si="124"/>
        <v>3</v>
      </c>
      <c r="W478" s="231" t="str">
        <f t="shared" si="125"/>
        <v/>
      </c>
      <c r="AI478" s="114">
        <f t="shared" si="127"/>
        <v>0</v>
      </c>
      <c r="AL478" s="477">
        <f t="shared" ca="1" si="128"/>
        <v>0</v>
      </c>
    </row>
    <row r="479" spans="2:38">
      <c r="B479" s="222">
        <f ca="1">Fixa!B479</f>
        <v>60008</v>
      </c>
      <c r="C479" s="223" t="str">
        <f>Fixa!C479</f>
        <v/>
      </c>
      <c r="D479" s="43" t="e">
        <f t="shared" si="113"/>
        <v>#VALUE!</v>
      </c>
      <c r="E479" s="43" t="e">
        <f t="shared" si="114"/>
        <v>#VALUE!</v>
      </c>
      <c r="F479" s="43" t="e">
        <f t="shared" si="115"/>
        <v>#VALUE!</v>
      </c>
      <c r="G479" s="43" t="e">
        <f t="shared" si="116"/>
        <v>#VALUE!</v>
      </c>
      <c r="H479" s="43" t="e">
        <f t="shared" ca="1" si="117"/>
        <v>#VALUE!</v>
      </c>
      <c r="I479" s="43">
        <f t="shared" si="118"/>
        <v>0</v>
      </c>
      <c r="J479" s="229">
        <f t="shared" si="126"/>
        <v>25</v>
      </c>
      <c r="K479" s="43">
        <f t="shared" si="119"/>
        <v>0</v>
      </c>
      <c r="N479" s="225">
        <f t="shared" si="120"/>
        <v>0</v>
      </c>
      <c r="O479" s="43" t="e">
        <f t="shared" si="121"/>
        <v>#VALUE!</v>
      </c>
      <c r="P479" s="43" t="e">
        <f>ROUND(IF(Preenchimento!$G$39="Tabela Price",R479-Q479,(O478*(1+$AD$35))/($AD$28-C478)),$P$22)</f>
        <v>#VALUE!</v>
      </c>
      <c r="Q479" s="43" t="e">
        <f>IF(Preenchimento!$G$39="Tabela Price",O478*(1+$AD$35)*W479,O478*(1+SAC!$AD$35)*SAC!W479)</f>
        <v>#VALUE!</v>
      </c>
      <c r="R479" s="43" t="e">
        <f>IF(Preenchimento!$G$39="Tabela Price",IF(C479="","",((((((1+W479)^($Q$16-C478))*W479)/((1+W479)^($Q$16-C478)-1))*(O478*(1+$AD$35))))),Q479+P479)</f>
        <v>#VALUE!</v>
      </c>
      <c r="S479" s="43" t="e">
        <f t="shared" ca="1" si="122"/>
        <v>#VALUE!</v>
      </c>
      <c r="T479" s="43">
        <f t="shared" si="123"/>
        <v>0</v>
      </c>
      <c r="U479" s="226">
        <f>TRUNC(T479*Condições!$C$102,2)</f>
        <v>0</v>
      </c>
      <c r="V479" s="82">
        <f t="shared" ca="1" si="124"/>
        <v>4</v>
      </c>
      <c r="W479" s="231" t="str">
        <f t="shared" si="125"/>
        <v/>
      </c>
      <c r="AI479" s="114">
        <f t="shared" si="127"/>
        <v>0</v>
      </c>
      <c r="AL479" s="477">
        <f t="shared" ca="1" si="128"/>
        <v>0</v>
      </c>
    </row>
    <row r="480" spans="2:38">
      <c r="B480" s="222">
        <f ca="1">Fixa!B480</f>
        <v>60038</v>
      </c>
      <c r="C480" s="223" t="str">
        <f>Fixa!C480</f>
        <v/>
      </c>
      <c r="D480" s="43" t="e">
        <f t="shared" si="113"/>
        <v>#VALUE!</v>
      </c>
      <c r="E480" s="43" t="e">
        <f t="shared" si="114"/>
        <v>#VALUE!</v>
      </c>
      <c r="F480" s="43" t="e">
        <f t="shared" si="115"/>
        <v>#VALUE!</v>
      </c>
      <c r="G480" s="43" t="e">
        <f t="shared" si="116"/>
        <v>#VALUE!</v>
      </c>
      <c r="H480" s="43" t="e">
        <f t="shared" ca="1" si="117"/>
        <v>#VALUE!</v>
      </c>
      <c r="I480" s="43">
        <f t="shared" si="118"/>
        <v>0</v>
      </c>
      <c r="J480" s="229">
        <f t="shared" si="126"/>
        <v>25</v>
      </c>
      <c r="K480" s="43">
        <f t="shared" si="119"/>
        <v>0</v>
      </c>
      <c r="N480" s="225">
        <f t="shared" si="120"/>
        <v>0</v>
      </c>
      <c r="O480" s="43" t="e">
        <f t="shared" si="121"/>
        <v>#VALUE!</v>
      </c>
      <c r="P480" s="43" t="e">
        <f>ROUND(IF(Preenchimento!$G$39="Tabela Price",R480-Q480,(O479*(1+$AD$35))/($AD$28-C479)),$P$22)</f>
        <v>#VALUE!</v>
      </c>
      <c r="Q480" s="43" t="e">
        <f>IF(Preenchimento!$G$39="Tabela Price",O479*(1+$AD$35)*W480,O479*(1+SAC!$AD$35)*SAC!W480)</f>
        <v>#VALUE!</v>
      </c>
      <c r="R480" s="43" t="e">
        <f>IF(Preenchimento!$G$39="Tabela Price",IF(C480="","",((((((1+W480)^($Q$16-C479))*W480)/((1+W480)^($Q$16-C479)-1))*(O479*(1+$AD$35))))),Q480+P480)</f>
        <v>#VALUE!</v>
      </c>
      <c r="S480" s="43" t="e">
        <f t="shared" ca="1" si="122"/>
        <v>#VALUE!</v>
      </c>
      <c r="T480" s="43">
        <f t="shared" si="123"/>
        <v>0</v>
      </c>
      <c r="U480" s="226">
        <f>TRUNC(T480*Condições!$C$102,2)</f>
        <v>0</v>
      </c>
      <c r="V480" s="82">
        <f t="shared" ca="1" si="124"/>
        <v>5</v>
      </c>
      <c r="W480" s="231" t="str">
        <f t="shared" si="125"/>
        <v/>
      </c>
      <c r="AI480" s="114">
        <f t="shared" si="127"/>
        <v>0</v>
      </c>
      <c r="AL480" s="477">
        <f t="shared" ca="1" si="128"/>
        <v>0</v>
      </c>
    </row>
    <row r="481" spans="2:38">
      <c r="B481" s="222">
        <f ca="1">Fixa!B481</f>
        <v>60069</v>
      </c>
      <c r="C481" s="223" t="str">
        <f>Fixa!C481</f>
        <v/>
      </c>
      <c r="D481" s="43" t="e">
        <f t="shared" si="113"/>
        <v>#VALUE!</v>
      </c>
      <c r="E481" s="43" t="e">
        <f t="shared" si="114"/>
        <v>#VALUE!</v>
      </c>
      <c r="F481" s="43" t="e">
        <f t="shared" si="115"/>
        <v>#VALUE!</v>
      </c>
      <c r="G481" s="43" t="e">
        <f t="shared" si="116"/>
        <v>#VALUE!</v>
      </c>
      <c r="H481" s="541" t="e">
        <f t="shared" ca="1" si="117"/>
        <v>#VALUE!</v>
      </c>
      <c r="I481" s="541">
        <f t="shared" si="118"/>
        <v>0</v>
      </c>
      <c r="J481" s="229">
        <f t="shared" si="126"/>
        <v>25</v>
      </c>
      <c r="K481" s="43">
        <f t="shared" si="119"/>
        <v>0</v>
      </c>
      <c r="N481" s="225">
        <f t="shared" si="120"/>
        <v>0</v>
      </c>
      <c r="O481" s="43" t="e">
        <f t="shared" si="121"/>
        <v>#VALUE!</v>
      </c>
      <c r="P481" s="43" t="e">
        <f>ROUND(IF(Preenchimento!$G$39="Tabela Price",R481-Q481,(O480*(1+$AD$35))/($AD$28-C480)),$P$22)</f>
        <v>#VALUE!</v>
      </c>
      <c r="Q481" s="43" t="e">
        <f>IF(Preenchimento!$G$39="Tabela Price",O480*(1+$AD$35)*W481,O480*(1+SAC!$AD$35)*SAC!W481)</f>
        <v>#VALUE!</v>
      </c>
      <c r="R481" s="43" t="e">
        <f>IF(Preenchimento!$G$39="Tabela Price",IF(C481="","",((((((1+W481)^($Q$16-C480))*W481)/((1+W481)^($Q$16-C480)-1))*(O480*(1+$AD$35))))),Q481+P481)</f>
        <v>#VALUE!</v>
      </c>
      <c r="S481" s="43" t="e">
        <f t="shared" ca="1" si="122"/>
        <v>#VALUE!</v>
      </c>
      <c r="T481" s="43">
        <f t="shared" si="123"/>
        <v>0</v>
      </c>
      <c r="U481" s="226">
        <f>TRUNC(T481*Condições!$C$102,2)</f>
        <v>0</v>
      </c>
      <c r="V481" s="82">
        <f t="shared" ca="1" si="124"/>
        <v>6</v>
      </c>
      <c r="W481" s="231" t="str">
        <f t="shared" si="125"/>
        <v/>
      </c>
      <c r="AI481" s="114">
        <f t="shared" si="127"/>
        <v>0</v>
      </c>
      <c r="AL481" s="477">
        <f t="shared" ca="1" si="128"/>
        <v>0</v>
      </c>
    </row>
    <row r="482" spans="2:38">
      <c r="B482" s="222">
        <f ca="1">Fixa!B482</f>
        <v>60099</v>
      </c>
      <c r="C482" s="223" t="str">
        <f>Fixa!C482</f>
        <v/>
      </c>
      <c r="D482" s="43" t="e">
        <f t="shared" si="113"/>
        <v>#VALUE!</v>
      </c>
      <c r="E482" s="43" t="e">
        <f t="shared" si="114"/>
        <v>#VALUE!</v>
      </c>
      <c r="F482" s="43" t="e">
        <f t="shared" si="115"/>
        <v>#VALUE!</v>
      </c>
      <c r="G482" s="43" t="e">
        <f t="shared" si="116"/>
        <v>#VALUE!</v>
      </c>
      <c r="H482" s="43" t="e">
        <f t="shared" ca="1" si="117"/>
        <v>#VALUE!</v>
      </c>
      <c r="I482" s="43">
        <f t="shared" si="118"/>
        <v>0</v>
      </c>
      <c r="J482" s="229">
        <f t="shared" si="126"/>
        <v>25</v>
      </c>
      <c r="K482" s="43">
        <f t="shared" si="119"/>
        <v>0</v>
      </c>
      <c r="N482" s="225">
        <f t="shared" si="120"/>
        <v>0</v>
      </c>
      <c r="O482" s="43" t="e">
        <f t="shared" si="121"/>
        <v>#VALUE!</v>
      </c>
      <c r="P482" s="43" t="e">
        <f>ROUND(IF(Preenchimento!$G$39="Tabela Price",R482-Q482,(O481*(1+$AD$35))/($AD$28-C481)),$P$22)</f>
        <v>#VALUE!</v>
      </c>
      <c r="Q482" s="43" t="e">
        <f>IF(Preenchimento!$G$39="Tabela Price",O481*(1+$AD$35)*W482,O481*(1+SAC!$AD$35)*SAC!W482)</f>
        <v>#VALUE!</v>
      </c>
      <c r="R482" s="43" t="e">
        <f>IF(Preenchimento!$G$39="Tabela Price",IF(C482="","",((((((1+W482)^($Q$16-C481))*W482)/((1+W482)^($Q$16-C481)-1))*(O481*(1+$AD$35))))),Q482+P482)</f>
        <v>#VALUE!</v>
      </c>
      <c r="S482" s="43" t="e">
        <f t="shared" ca="1" si="122"/>
        <v>#VALUE!</v>
      </c>
      <c r="T482" s="43">
        <f t="shared" si="123"/>
        <v>0</v>
      </c>
      <c r="U482" s="226">
        <f>TRUNC(T482*Condições!$C$102,2)</f>
        <v>0</v>
      </c>
      <c r="V482" s="82">
        <f t="shared" ca="1" si="124"/>
        <v>7</v>
      </c>
      <c r="W482" s="231" t="str">
        <f t="shared" si="125"/>
        <v/>
      </c>
      <c r="AI482" s="114">
        <f t="shared" si="127"/>
        <v>0</v>
      </c>
      <c r="AL482" s="477">
        <f t="shared" ca="1" si="128"/>
        <v>0</v>
      </c>
    </row>
    <row r="483" spans="2:38">
      <c r="B483" s="222">
        <f ca="1">Fixa!B483</f>
        <v>60130</v>
      </c>
      <c r="C483" s="223" t="str">
        <f>Fixa!C483</f>
        <v/>
      </c>
      <c r="D483" s="43" t="e">
        <f t="shared" si="113"/>
        <v>#VALUE!</v>
      </c>
      <c r="E483" s="43" t="e">
        <f t="shared" si="114"/>
        <v>#VALUE!</v>
      </c>
      <c r="F483" s="43" t="e">
        <f t="shared" si="115"/>
        <v>#VALUE!</v>
      </c>
      <c r="G483" s="43" t="e">
        <f t="shared" si="116"/>
        <v>#VALUE!</v>
      </c>
      <c r="H483" s="43" t="e">
        <f t="shared" ca="1" si="117"/>
        <v>#VALUE!</v>
      </c>
      <c r="I483" s="43">
        <f t="shared" si="118"/>
        <v>0</v>
      </c>
      <c r="J483" s="229">
        <f t="shared" si="126"/>
        <v>25</v>
      </c>
      <c r="K483" s="43">
        <f t="shared" si="119"/>
        <v>0</v>
      </c>
      <c r="N483" s="225">
        <f t="shared" si="120"/>
        <v>0</v>
      </c>
      <c r="O483" s="43" t="e">
        <f t="shared" si="121"/>
        <v>#VALUE!</v>
      </c>
      <c r="P483" s="43" t="e">
        <f>ROUND(IF(Preenchimento!$G$39="Tabela Price",R483-Q483,(O482*(1+$AD$35))/($AD$28-C482)),$P$22)</f>
        <v>#VALUE!</v>
      </c>
      <c r="Q483" s="43" t="e">
        <f>IF(Preenchimento!$G$39="Tabela Price",O482*(1+$AD$35)*W483,O482*(1+SAC!$AD$35)*SAC!W483)</f>
        <v>#VALUE!</v>
      </c>
      <c r="R483" s="43" t="e">
        <f>IF(Preenchimento!$G$39="Tabela Price",IF(C483="","",((((((1+W483)^($Q$16-C482))*W483)/((1+W483)^($Q$16-C482)-1))*(O482*(1+$AD$35))))),Q483+P483)</f>
        <v>#VALUE!</v>
      </c>
      <c r="S483" s="43" t="e">
        <f t="shared" ca="1" si="122"/>
        <v>#VALUE!</v>
      </c>
      <c r="T483" s="43">
        <f t="shared" si="123"/>
        <v>0</v>
      </c>
      <c r="U483" s="226">
        <f>TRUNC(T483*Condições!$C$102,2)</f>
        <v>0</v>
      </c>
      <c r="V483" s="82">
        <f t="shared" ca="1" si="124"/>
        <v>8</v>
      </c>
      <c r="W483" s="231" t="str">
        <f t="shared" si="125"/>
        <v/>
      </c>
      <c r="AI483" s="114">
        <f t="shared" si="127"/>
        <v>0</v>
      </c>
      <c r="AL483" s="477">
        <f t="shared" ca="1" si="128"/>
        <v>0</v>
      </c>
    </row>
    <row r="484" spans="2:38">
      <c r="B484" s="222">
        <f ca="1">Fixa!B484</f>
        <v>60161</v>
      </c>
      <c r="C484" s="223" t="str">
        <f>Fixa!C484</f>
        <v/>
      </c>
      <c r="D484" s="43" t="e">
        <f t="shared" si="113"/>
        <v>#VALUE!</v>
      </c>
      <c r="E484" s="43" t="e">
        <f t="shared" si="114"/>
        <v>#VALUE!</v>
      </c>
      <c r="F484" s="43" t="e">
        <f t="shared" si="115"/>
        <v>#VALUE!</v>
      </c>
      <c r="G484" s="43" t="e">
        <f t="shared" si="116"/>
        <v>#VALUE!</v>
      </c>
      <c r="H484" s="541" t="e">
        <f t="shared" ca="1" si="117"/>
        <v>#VALUE!</v>
      </c>
      <c r="I484" s="541">
        <f t="shared" si="118"/>
        <v>0</v>
      </c>
      <c r="J484" s="229">
        <f t="shared" si="126"/>
        <v>25</v>
      </c>
      <c r="K484" s="43">
        <f t="shared" si="119"/>
        <v>0</v>
      </c>
      <c r="N484" s="225">
        <f t="shared" si="120"/>
        <v>0</v>
      </c>
      <c r="O484" s="43" t="e">
        <f t="shared" si="121"/>
        <v>#VALUE!</v>
      </c>
      <c r="P484" s="43" t="e">
        <f>ROUND(IF(Preenchimento!$G$39="Tabela Price",R484-Q484,(O483*(1+$AD$35))/($AD$28-C483)),$P$22)</f>
        <v>#VALUE!</v>
      </c>
      <c r="Q484" s="43" t="e">
        <f>IF(Preenchimento!$G$39="Tabela Price",O483*(1+$AD$35)*W484,O483*(1+SAC!$AD$35)*SAC!W484)</f>
        <v>#VALUE!</v>
      </c>
      <c r="R484" s="43" t="e">
        <f>IF(Preenchimento!$G$39="Tabela Price",IF(C484="","",((((((1+W484)^($Q$16-C483))*W484)/((1+W484)^($Q$16-C483)-1))*(O483*(1+$AD$35))))),Q484+P484)</f>
        <v>#VALUE!</v>
      </c>
      <c r="S484" s="43" t="e">
        <f t="shared" ca="1" si="122"/>
        <v>#VALUE!</v>
      </c>
      <c r="T484" s="43">
        <f t="shared" si="123"/>
        <v>0</v>
      </c>
      <c r="U484" s="226">
        <f>TRUNC(T484*Condições!$C$102,2)</f>
        <v>0</v>
      </c>
      <c r="V484" s="82">
        <f t="shared" ca="1" si="124"/>
        <v>9</v>
      </c>
      <c r="W484" s="231" t="str">
        <f t="shared" si="125"/>
        <v/>
      </c>
      <c r="AI484" s="114">
        <f t="shared" si="127"/>
        <v>0</v>
      </c>
      <c r="AL484" s="477">
        <f t="shared" ca="1" si="128"/>
        <v>0</v>
      </c>
    </row>
    <row r="485" spans="2:38">
      <c r="B485" s="222">
        <f ca="1">Fixa!B485</f>
        <v>60191</v>
      </c>
      <c r="C485" s="223" t="str">
        <f>Fixa!C485</f>
        <v/>
      </c>
      <c r="D485" s="43" t="e">
        <f t="shared" si="113"/>
        <v>#VALUE!</v>
      </c>
      <c r="E485" s="43" t="e">
        <f t="shared" si="114"/>
        <v>#VALUE!</v>
      </c>
      <c r="F485" s="43" t="e">
        <f t="shared" si="115"/>
        <v>#VALUE!</v>
      </c>
      <c r="G485" s="43" t="e">
        <f t="shared" si="116"/>
        <v>#VALUE!</v>
      </c>
      <c r="H485" s="43" t="e">
        <f t="shared" ca="1" si="117"/>
        <v>#VALUE!</v>
      </c>
      <c r="I485" s="43">
        <f t="shared" si="118"/>
        <v>0</v>
      </c>
      <c r="J485" s="229">
        <f t="shared" si="126"/>
        <v>25</v>
      </c>
      <c r="K485" s="43">
        <f t="shared" si="119"/>
        <v>0</v>
      </c>
      <c r="N485" s="225">
        <f t="shared" si="120"/>
        <v>0</v>
      </c>
      <c r="O485" s="43" t="e">
        <f t="shared" si="121"/>
        <v>#VALUE!</v>
      </c>
      <c r="P485" s="43" t="e">
        <f>ROUND(IF(Preenchimento!$G$39="Tabela Price",R485-Q485,(O484*(1+$AD$35))/($AD$28-C484)),$P$22)</f>
        <v>#VALUE!</v>
      </c>
      <c r="Q485" s="43" t="e">
        <f>IF(Preenchimento!$G$39="Tabela Price",O484*(1+$AD$35)*W485,O484*(1+SAC!$AD$35)*SAC!W485)</f>
        <v>#VALUE!</v>
      </c>
      <c r="R485" s="43" t="e">
        <f>IF(Preenchimento!$G$39="Tabela Price",IF(C485="","",((((((1+W485)^($Q$16-C484))*W485)/((1+W485)^($Q$16-C484)-1))*(O484*(1+$AD$35))))),Q485+P485)</f>
        <v>#VALUE!</v>
      </c>
      <c r="S485" s="43" t="e">
        <f t="shared" ca="1" si="122"/>
        <v>#VALUE!</v>
      </c>
      <c r="T485" s="43">
        <f t="shared" si="123"/>
        <v>0</v>
      </c>
      <c r="U485" s="226">
        <f>TRUNC(T485*Condições!$C$102,2)</f>
        <v>0</v>
      </c>
      <c r="V485" s="82">
        <f t="shared" ca="1" si="124"/>
        <v>10</v>
      </c>
      <c r="W485" s="231" t="str">
        <f t="shared" si="125"/>
        <v/>
      </c>
      <c r="AI485" s="114">
        <f t="shared" si="127"/>
        <v>0</v>
      </c>
      <c r="AL485" s="477">
        <f t="shared" ca="1" si="128"/>
        <v>0</v>
      </c>
    </row>
    <row r="486" spans="2:38">
      <c r="B486" s="222">
        <f ca="1">Fixa!B486</f>
        <v>60222</v>
      </c>
      <c r="C486" s="223" t="str">
        <f>Fixa!C486</f>
        <v/>
      </c>
      <c r="D486" s="43" t="e">
        <f t="shared" si="113"/>
        <v>#VALUE!</v>
      </c>
      <c r="E486" s="43" t="e">
        <f t="shared" si="114"/>
        <v>#VALUE!</v>
      </c>
      <c r="F486" s="43" t="e">
        <f t="shared" si="115"/>
        <v>#VALUE!</v>
      </c>
      <c r="G486" s="43" t="e">
        <f t="shared" si="116"/>
        <v>#VALUE!</v>
      </c>
      <c r="H486" s="43" t="e">
        <f t="shared" ca="1" si="117"/>
        <v>#VALUE!</v>
      </c>
      <c r="I486" s="43">
        <f t="shared" si="118"/>
        <v>0</v>
      </c>
      <c r="J486" s="229">
        <f t="shared" si="126"/>
        <v>25</v>
      </c>
      <c r="K486" s="43">
        <f t="shared" si="119"/>
        <v>0</v>
      </c>
      <c r="N486" s="225">
        <f t="shared" si="120"/>
        <v>0</v>
      </c>
      <c r="O486" s="43" t="e">
        <f t="shared" si="121"/>
        <v>#VALUE!</v>
      </c>
      <c r="P486" s="43" t="e">
        <f>ROUND(IF(Preenchimento!$G$39="Tabela Price",R486-Q486,(O485*(1+$AD$35))/($AD$28-C485)),$P$22)</f>
        <v>#VALUE!</v>
      </c>
      <c r="Q486" s="43" t="e">
        <f>IF(Preenchimento!$G$39="Tabela Price",O485*(1+$AD$35)*W486,O485*(1+SAC!$AD$35)*SAC!W486)</f>
        <v>#VALUE!</v>
      </c>
      <c r="R486" s="43" t="e">
        <f>IF(Preenchimento!$G$39="Tabela Price",IF(C486="","",((((((1+W486)^($Q$16-C485))*W486)/((1+W486)^($Q$16-C485)-1))*(O485*(1+$AD$35))))),Q486+P486)</f>
        <v>#VALUE!</v>
      </c>
      <c r="S486" s="43" t="e">
        <f t="shared" ca="1" si="122"/>
        <v>#VALUE!</v>
      </c>
      <c r="T486" s="43">
        <f t="shared" si="123"/>
        <v>0</v>
      </c>
      <c r="U486" s="226">
        <f>TRUNC(T486*Condições!$C$102,2)</f>
        <v>0</v>
      </c>
      <c r="V486" s="82">
        <f t="shared" ca="1" si="124"/>
        <v>11</v>
      </c>
      <c r="W486" s="231" t="str">
        <f t="shared" si="125"/>
        <v/>
      </c>
      <c r="AI486" s="114">
        <f t="shared" si="127"/>
        <v>0</v>
      </c>
      <c r="AL486" s="477">
        <f t="shared" ca="1" si="128"/>
        <v>0</v>
      </c>
    </row>
    <row r="487" spans="2:38">
      <c r="B487" s="222">
        <f ca="1">Fixa!B487</f>
        <v>60252</v>
      </c>
      <c r="C487" s="223" t="str">
        <f>Fixa!C487</f>
        <v/>
      </c>
      <c r="D487" s="43" t="e">
        <f t="shared" si="113"/>
        <v>#VALUE!</v>
      </c>
      <c r="E487" s="43" t="e">
        <f t="shared" si="114"/>
        <v>#VALUE!</v>
      </c>
      <c r="F487" s="43" t="e">
        <f t="shared" si="115"/>
        <v>#VALUE!</v>
      </c>
      <c r="G487" s="43" t="e">
        <f t="shared" si="116"/>
        <v>#VALUE!</v>
      </c>
      <c r="H487" s="541" t="e">
        <f t="shared" ca="1" si="117"/>
        <v>#VALUE!</v>
      </c>
      <c r="I487" s="541">
        <f t="shared" si="118"/>
        <v>0</v>
      </c>
      <c r="J487" s="229">
        <f t="shared" si="126"/>
        <v>25</v>
      </c>
      <c r="K487" s="43">
        <f t="shared" si="119"/>
        <v>0</v>
      </c>
      <c r="N487" s="225">
        <f t="shared" si="120"/>
        <v>0</v>
      </c>
      <c r="O487" s="43" t="e">
        <f t="shared" si="121"/>
        <v>#VALUE!</v>
      </c>
      <c r="P487" s="43" t="e">
        <f>ROUND(IF(Preenchimento!$G$39="Tabela Price",R487-Q487,(O486*(1+$AD$35))/($AD$28-C486)),$P$22)</f>
        <v>#VALUE!</v>
      </c>
      <c r="Q487" s="43" t="e">
        <f>IF(Preenchimento!$G$39="Tabela Price",O486*(1+$AD$35)*W487,O486*(1+SAC!$AD$35)*SAC!W487)</f>
        <v>#VALUE!</v>
      </c>
      <c r="R487" s="43" t="e">
        <f>IF(Preenchimento!$G$39="Tabela Price",IF(C487="","",((((((1+W487)^($Q$16-C486))*W487)/((1+W487)^($Q$16-C486)-1))*(O486*(1+$AD$35))))),Q487+P487)</f>
        <v>#VALUE!</v>
      </c>
      <c r="S487" s="43" t="e">
        <f t="shared" ca="1" si="122"/>
        <v>#VALUE!</v>
      </c>
      <c r="T487" s="43">
        <f t="shared" si="123"/>
        <v>0</v>
      </c>
      <c r="U487" s="226">
        <f>TRUNC(T487*Condições!$C$102,2)</f>
        <v>0</v>
      </c>
      <c r="V487" s="82">
        <f t="shared" ca="1" si="124"/>
        <v>12</v>
      </c>
      <c r="W487" s="231" t="str">
        <f t="shared" si="125"/>
        <v/>
      </c>
      <c r="AI487" s="114">
        <f t="shared" si="127"/>
        <v>0</v>
      </c>
      <c r="AL487" s="477">
        <f t="shared" ca="1" si="128"/>
        <v>0</v>
      </c>
    </row>
    <row r="488" spans="2:38">
      <c r="B488" s="222">
        <f ca="1">Fixa!B488</f>
        <v>60283</v>
      </c>
      <c r="C488" s="223" t="str">
        <f>Fixa!C488</f>
        <v/>
      </c>
      <c r="D488" s="43" t="e">
        <f t="shared" si="113"/>
        <v>#VALUE!</v>
      </c>
      <c r="E488" s="43" t="e">
        <f t="shared" si="114"/>
        <v>#VALUE!</v>
      </c>
      <c r="F488" s="43" t="e">
        <f t="shared" si="115"/>
        <v>#VALUE!</v>
      </c>
      <c r="G488" s="43" t="e">
        <f t="shared" si="116"/>
        <v>#VALUE!</v>
      </c>
      <c r="H488" s="43" t="e">
        <f t="shared" ca="1" si="117"/>
        <v>#VALUE!</v>
      </c>
      <c r="I488" s="43">
        <f t="shared" si="118"/>
        <v>0</v>
      </c>
      <c r="J488" s="229">
        <f t="shared" si="126"/>
        <v>25</v>
      </c>
      <c r="K488" s="43">
        <f t="shared" si="119"/>
        <v>0</v>
      </c>
      <c r="N488" s="225">
        <f t="shared" si="120"/>
        <v>0</v>
      </c>
      <c r="O488" s="43" t="e">
        <f t="shared" si="121"/>
        <v>#VALUE!</v>
      </c>
      <c r="P488" s="43" t="e">
        <f>ROUND(IF(Preenchimento!$G$39="Tabela Price",R488-Q488,(O487*(1+$AD$35))/($AD$28-C487)),$P$22)</f>
        <v>#VALUE!</v>
      </c>
      <c r="Q488" s="43" t="e">
        <f>IF(Preenchimento!$G$39="Tabela Price",O487*(1+$AD$35)*W488,O487*(1+SAC!$AD$35)*SAC!W488)</f>
        <v>#VALUE!</v>
      </c>
      <c r="R488" s="43" t="e">
        <f>IF(Preenchimento!$G$39="Tabela Price",IF(C488="","",((((((1+W488)^($Q$16-C487))*W488)/((1+W488)^($Q$16-C487)-1))*(O487*(1+$AD$35))))),Q488+P488)</f>
        <v>#VALUE!</v>
      </c>
      <c r="S488" s="43" t="e">
        <f t="shared" ca="1" si="122"/>
        <v>#VALUE!</v>
      </c>
      <c r="T488" s="43">
        <f t="shared" si="123"/>
        <v>0</v>
      </c>
      <c r="U488" s="226">
        <f>TRUNC(T488*Condições!$C$102,2)</f>
        <v>0</v>
      </c>
      <c r="V488" s="82">
        <f t="shared" ca="1" si="124"/>
        <v>1</v>
      </c>
      <c r="W488" s="231" t="str">
        <f t="shared" si="125"/>
        <v/>
      </c>
      <c r="AI488" s="114">
        <f t="shared" si="127"/>
        <v>0</v>
      </c>
      <c r="AL488" s="477">
        <f t="shared" ca="1" si="128"/>
        <v>0</v>
      </c>
    </row>
    <row r="489" spans="2:38">
      <c r="B489" s="222">
        <f ca="1">Fixa!B489</f>
        <v>60314</v>
      </c>
      <c r="C489" s="223" t="str">
        <f>Fixa!C489</f>
        <v/>
      </c>
      <c r="D489" s="43" t="e">
        <f t="shared" si="113"/>
        <v>#VALUE!</v>
      </c>
      <c r="E489" s="43" t="e">
        <f t="shared" si="114"/>
        <v>#VALUE!</v>
      </c>
      <c r="F489" s="43" t="e">
        <f t="shared" si="115"/>
        <v>#VALUE!</v>
      </c>
      <c r="G489" s="43" t="e">
        <f t="shared" si="116"/>
        <v>#VALUE!</v>
      </c>
      <c r="H489" s="43" t="e">
        <f t="shared" ca="1" si="117"/>
        <v>#VALUE!</v>
      </c>
      <c r="I489" s="43">
        <f t="shared" si="118"/>
        <v>0</v>
      </c>
      <c r="J489" s="229">
        <f t="shared" si="126"/>
        <v>25</v>
      </c>
      <c r="K489" s="43">
        <f t="shared" si="119"/>
        <v>0</v>
      </c>
      <c r="N489" s="225">
        <f t="shared" si="120"/>
        <v>0</v>
      </c>
      <c r="O489" s="43" t="e">
        <f t="shared" si="121"/>
        <v>#VALUE!</v>
      </c>
      <c r="P489" s="43" t="e">
        <f>ROUND(IF(Preenchimento!$G$39="Tabela Price",R489-Q489,(O488*(1+$AD$35))/($AD$28-C488)),$P$22)</f>
        <v>#VALUE!</v>
      </c>
      <c r="Q489" s="43" t="e">
        <f>IF(Preenchimento!$G$39="Tabela Price",O488*(1+$AD$35)*W489,O488*(1+SAC!$AD$35)*SAC!W489)</f>
        <v>#VALUE!</v>
      </c>
      <c r="R489" s="43" t="e">
        <f>IF(Preenchimento!$G$39="Tabela Price",IF(C489="","",((((((1+W489)^($Q$16-C488))*W489)/((1+W489)^($Q$16-C488)-1))*(O488*(1+$AD$35))))),Q489+P489)</f>
        <v>#VALUE!</v>
      </c>
      <c r="S489" s="43" t="e">
        <f t="shared" ca="1" si="122"/>
        <v>#VALUE!</v>
      </c>
      <c r="T489" s="43">
        <f t="shared" si="123"/>
        <v>0</v>
      </c>
      <c r="U489" s="226">
        <f>TRUNC(T489*Condições!$C$102,2)</f>
        <v>0</v>
      </c>
      <c r="V489" s="82">
        <f t="shared" ca="1" si="124"/>
        <v>2</v>
      </c>
      <c r="W489" s="231" t="str">
        <f t="shared" si="125"/>
        <v/>
      </c>
      <c r="AI489" s="114">
        <f t="shared" si="127"/>
        <v>0</v>
      </c>
      <c r="AL489" s="477">
        <f t="shared" ca="1" si="128"/>
        <v>0</v>
      </c>
    </row>
    <row r="490" spans="2:38">
      <c r="B490" s="222">
        <f ca="1">Fixa!B490</f>
        <v>60342</v>
      </c>
      <c r="C490" s="223" t="str">
        <f>Fixa!C490</f>
        <v/>
      </c>
      <c r="D490" s="43" t="e">
        <f t="shared" si="113"/>
        <v>#VALUE!</v>
      </c>
      <c r="E490" s="43" t="e">
        <f t="shared" si="114"/>
        <v>#VALUE!</v>
      </c>
      <c r="F490" s="43" t="e">
        <f t="shared" si="115"/>
        <v>#VALUE!</v>
      </c>
      <c r="G490" s="43" t="e">
        <f t="shared" si="116"/>
        <v>#VALUE!</v>
      </c>
      <c r="H490" s="541" t="e">
        <f t="shared" ca="1" si="117"/>
        <v>#VALUE!</v>
      </c>
      <c r="I490" s="541">
        <f t="shared" si="118"/>
        <v>0</v>
      </c>
      <c r="J490" s="229">
        <f t="shared" si="126"/>
        <v>25</v>
      </c>
      <c r="K490" s="43">
        <f t="shared" si="119"/>
        <v>0</v>
      </c>
      <c r="N490" s="225">
        <f t="shared" si="120"/>
        <v>0</v>
      </c>
      <c r="O490" s="43" t="e">
        <f t="shared" si="121"/>
        <v>#VALUE!</v>
      </c>
      <c r="P490" s="43" t="e">
        <f>ROUND(IF(Preenchimento!$G$39="Tabela Price",R490-Q490,(O489*(1+$AD$35))/($AD$28-C489)),$P$22)</f>
        <v>#VALUE!</v>
      </c>
      <c r="Q490" s="43" t="e">
        <f>IF(Preenchimento!$G$39="Tabela Price",O489*(1+$AD$35)*W490,O489*(1+SAC!$AD$35)*SAC!W490)</f>
        <v>#VALUE!</v>
      </c>
      <c r="R490" s="43" t="e">
        <f>IF(Preenchimento!$G$39="Tabela Price",IF(C490="","",((((((1+W490)^($Q$16-C489))*W490)/((1+W490)^($Q$16-C489)-1))*(O489*(1+$AD$35))))),Q490+P490)</f>
        <v>#VALUE!</v>
      </c>
      <c r="S490" s="43" t="e">
        <f t="shared" ca="1" si="122"/>
        <v>#VALUE!</v>
      </c>
      <c r="T490" s="43">
        <f t="shared" si="123"/>
        <v>0</v>
      </c>
      <c r="U490" s="226">
        <f>TRUNC(T490*Condições!$C$102,2)</f>
        <v>0</v>
      </c>
      <c r="V490" s="82">
        <f t="shared" ca="1" si="124"/>
        <v>3</v>
      </c>
      <c r="W490" s="231" t="str">
        <f t="shared" si="125"/>
        <v/>
      </c>
      <c r="AI490" s="114">
        <f t="shared" si="127"/>
        <v>0</v>
      </c>
      <c r="AL490" s="477">
        <f t="shared" ca="1" si="128"/>
        <v>0</v>
      </c>
    </row>
    <row r="491" spans="2:38">
      <c r="B491" s="222">
        <f ca="1">Fixa!B491</f>
        <v>60373</v>
      </c>
      <c r="C491" s="223" t="str">
        <f>Fixa!C491</f>
        <v/>
      </c>
      <c r="D491" s="43" t="e">
        <f t="shared" si="113"/>
        <v>#VALUE!</v>
      </c>
      <c r="E491" s="43" t="e">
        <f t="shared" si="114"/>
        <v>#VALUE!</v>
      </c>
      <c r="F491" s="43" t="e">
        <f t="shared" si="115"/>
        <v>#VALUE!</v>
      </c>
      <c r="G491" s="43" t="e">
        <f t="shared" si="116"/>
        <v>#VALUE!</v>
      </c>
      <c r="H491" s="43" t="e">
        <f t="shared" ca="1" si="117"/>
        <v>#VALUE!</v>
      </c>
      <c r="I491" s="43">
        <f t="shared" si="118"/>
        <v>0</v>
      </c>
      <c r="J491" s="229">
        <f t="shared" si="126"/>
        <v>25</v>
      </c>
      <c r="K491" s="43">
        <f t="shared" si="119"/>
        <v>0</v>
      </c>
      <c r="N491" s="225">
        <f t="shared" si="120"/>
        <v>0</v>
      </c>
      <c r="O491" s="43" t="e">
        <f t="shared" si="121"/>
        <v>#VALUE!</v>
      </c>
      <c r="P491" s="43" t="e">
        <f>ROUND(IF(Preenchimento!$G$39="Tabela Price",R491-Q491,(O490*(1+$AD$35))/($AD$28-C490)),$P$22)</f>
        <v>#VALUE!</v>
      </c>
      <c r="Q491" s="43" t="e">
        <f>IF(Preenchimento!$G$39="Tabela Price",O490*(1+$AD$35)*W491,O490*(1+SAC!$AD$35)*SAC!W491)</f>
        <v>#VALUE!</v>
      </c>
      <c r="R491" s="43" t="e">
        <f>IF(Preenchimento!$G$39="Tabela Price",IF(C491="","",((((((1+W491)^($Q$16-C490))*W491)/((1+W491)^($Q$16-C490)-1))*(O490*(1+$AD$35))))),Q491+P491)</f>
        <v>#VALUE!</v>
      </c>
      <c r="S491" s="43" t="e">
        <f t="shared" ca="1" si="122"/>
        <v>#VALUE!</v>
      </c>
      <c r="T491" s="43">
        <f t="shared" si="123"/>
        <v>0</v>
      </c>
      <c r="U491" s="226">
        <f>TRUNC(T491*Condições!$C$102,2)</f>
        <v>0</v>
      </c>
      <c r="V491" s="82">
        <f t="shared" ca="1" si="124"/>
        <v>4</v>
      </c>
      <c r="W491" s="231" t="str">
        <f t="shared" si="125"/>
        <v/>
      </c>
      <c r="AI491" s="114">
        <f t="shared" si="127"/>
        <v>0</v>
      </c>
      <c r="AL491" s="477">
        <f t="shared" ca="1" si="128"/>
        <v>0</v>
      </c>
    </row>
    <row r="492" spans="2:38">
      <c r="B492" s="222">
        <f ca="1">Fixa!B492</f>
        <v>60403</v>
      </c>
      <c r="C492" s="223" t="str">
        <f>Fixa!C492</f>
        <v/>
      </c>
      <c r="D492" s="43" t="e">
        <f t="shared" si="113"/>
        <v>#VALUE!</v>
      </c>
      <c r="E492" s="43" t="e">
        <f t="shared" si="114"/>
        <v>#VALUE!</v>
      </c>
      <c r="F492" s="43" t="e">
        <f t="shared" si="115"/>
        <v>#VALUE!</v>
      </c>
      <c r="G492" s="43" t="e">
        <f t="shared" si="116"/>
        <v>#VALUE!</v>
      </c>
      <c r="H492" s="43" t="e">
        <f t="shared" ca="1" si="117"/>
        <v>#VALUE!</v>
      </c>
      <c r="I492" s="43">
        <f t="shared" si="118"/>
        <v>0</v>
      </c>
      <c r="J492" s="229">
        <f t="shared" si="126"/>
        <v>25</v>
      </c>
      <c r="K492" s="43">
        <f t="shared" si="119"/>
        <v>0</v>
      </c>
      <c r="N492" s="225">
        <f t="shared" si="120"/>
        <v>0</v>
      </c>
      <c r="O492" s="43" t="e">
        <f t="shared" si="121"/>
        <v>#VALUE!</v>
      </c>
      <c r="P492" s="43" t="e">
        <f>ROUND(IF(Preenchimento!$G$39="Tabela Price",R492-Q492,(O491*(1+$AD$35))/($AD$28-C491)),$P$22)</f>
        <v>#VALUE!</v>
      </c>
      <c r="Q492" s="43" t="e">
        <f>IF(Preenchimento!$G$39="Tabela Price",O491*(1+$AD$35)*W492,O491*(1+SAC!$AD$35)*SAC!W492)</f>
        <v>#VALUE!</v>
      </c>
      <c r="R492" s="43" t="e">
        <f>IF(Preenchimento!$G$39="Tabela Price",IF(C492="","",((((((1+W492)^($Q$16-C491))*W492)/((1+W492)^($Q$16-C491)-1))*(O491*(1+$AD$35))))),Q492+P492)</f>
        <v>#VALUE!</v>
      </c>
      <c r="S492" s="43" t="e">
        <f t="shared" ca="1" si="122"/>
        <v>#VALUE!</v>
      </c>
      <c r="T492" s="43">
        <f t="shared" si="123"/>
        <v>0</v>
      </c>
      <c r="U492" s="226">
        <f>TRUNC(T492*Condições!$C$102,2)</f>
        <v>0</v>
      </c>
      <c r="V492" s="82">
        <f t="shared" ca="1" si="124"/>
        <v>5</v>
      </c>
      <c r="W492" s="231" t="str">
        <f t="shared" si="125"/>
        <v/>
      </c>
      <c r="AI492" s="114">
        <f t="shared" si="127"/>
        <v>0</v>
      </c>
      <c r="AL492" s="477">
        <f t="shared" ca="1" si="128"/>
        <v>0</v>
      </c>
    </row>
    <row r="493" spans="2:38">
      <c r="B493" s="222">
        <f ca="1">Fixa!B493</f>
        <v>60434</v>
      </c>
      <c r="C493" s="223" t="str">
        <f>Fixa!C493</f>
        <v/>
      </c>
      <c r="D493" s="43" t="e">
        <f t="shared" si="113"/>
        <v>#VALUE!</v>
      </c>
      <c r="E493" s="43" t="e">
        <f t="shared" si="114"/>
        <v>#VALUE!</v>
      </c>
      <c r="F493" s="43" t="e">
        <f t="shared" si="115"/>
        <v>#VALUE!</v>
      </c>
      <c r="G493" s="43" t="e">
        <f t="shared" si="116"/>
        <v>#VALUE!</v>
      </c>
      <c r="H493" s="541" t="e">
        <f t="shared" ca="1" si="117"/>
        <v>#VALUE!</v>
      </c>
      <c r="I493" s="541">
        <f t="shared" si="118"/>
        <v>0</v>
      </c>
      <c r="J493" s="229">
        <f t="shared" si="126"/>
        <v>25</v>
      </c>
      <c r="K493" s="43">
        <f t="shared" si="119"/>
        <v>0</v>
      </c>
      <c r="N493" s="225">
        <f t="shared" si="120"/>
        <v>0</v>
      </c>
      <c r="O493" s="43" t="e">
        <f t="shared" si="121"/>
        <v>#VALUE!</v>
      </c>
      <c r="P493" s="43" t="e">
        <f>ROUND(IF(Preenchimento!$G$39="Tabela Price",R493-Q493,(O492*(1+$AD$35))/($AD$28-C492)),$P$22)</f>
        <v>#VALUE!</v>
      </c>
      <c r="Q493" s="43" t="e">
        <f>IF(Preenchimento!$G$39="Tabela Price",O492*(1+$AD$35)*W493,O492*(1+SAC!$AD$35)*SAC!W493)</f>
        <v>#VALUE!</v>
      </c>
      <c r="R493" s="43" t="e">
        <f>IF(Preenchimento!$G$39="Tabela Price",IF(C493="","",((((((1+W493)^($Q$16-C492))*W493)/((1+W493)^($Q$16-C492)-1))*(O492*(1+$AD$35))))),Q493+P493)</f>
        <v>#VALUE!</v>
      </c>
      <c r="S493" s="43" t="e">
        <f t="shared" ca="1" si="122"/>
        <v>#VALUE!</v>
      </c>
      <c r="T493" s="43">
        <f t="shared" si="123"/>
        <v>0</v>
      </c>
      <c r="U493" s="226">
        <f>TRUNC(T493*Condições!$C$102,2)</f>
        <v>0</v>
      </c>
      <c r="V493" s="82">
        <f t="shared" ca="1" si="124"/>
        <v>6</v>
      </c>
      <c r="W493" s="231" t="str">
        <f t="shared" si="125"/>
        <v/>
      </c>
      <c r="AI493" s="114">
        <f t="shared" si="127"/>
        <v>0</v>
      </c>
      <c r="AL493" s="477">
        <f t="shared" ca="1" si="128"/>
        <v>0</v>
      </c>
    </row>
    <row r="494" spans="2:38">
      <c r="B494" s="222">
        <f ca="1">Fixa!B494</f>
        <v>60464</v>
      </c>
      <c r="C494" s="223" t="str">
        <f>Fixa!C494</f>
        <v/>
      </c>
      <c r="D494" s="43" t="e">
        <f t="shared" si="113"/>
        <v>#VALUE!</v>
      </c>
      <c r="E494" s="43" t="e">
        <f t="shared" si="114"/>
        <v>#VALUE!</v>
      </c>
      <c r="F494" s="43" t="e">
        <f t="shared" si="115"/>
        <v>#VALUE!</v>
      </c>
      <c r="G494" s="43" t="e">
        <f t="shared" si="116"/>
        <v>#VALUE!</v>
      </c>
      <c r="H494" s="43" t="e">
        <f t="shared" ca="1" si="117"/>
        <v>#VALUE!</v>
      </c>
      <c r="I494" s="43">
        <f t="shared" si="118"/>
        <v>0</v>
      </c>
      <c r="J494" s="229">
        <f t="shared" si="126"/>
        <v>25</v>
      </c>
      <c r="K494" s="43">
        <f t="shared" si="119"/>
        <v>0</v>
      </c>
      <c r="N494" s="225">
        <f t="shared" si="120"/>
        <v>0</v>
      </c>
      <c r="O494" s="43" t="e">
        <f t="shared" si="121"/>
        <v>#VALUE!</v>
      </c>
      <c r="P494" s="43" t="e">
        <f>ROUND(IF(Preenchimento!$G$39="Tabela Price",R494-Q494,(O493*(1+$AD$35))/($AD$28-C493)),$P$22)</f>
        <v>#VALUE!</v>
      </c>
      <c r="Q494" s="43" t="e">
        <f>IF(Preenchimento!$G$39="Tabela Price",O493*(1+$AD$35)*W494,O493*(1+SAC!$AD$35)*SAC!W494)</f>
        <v>#VALUE!</v>
      </c>
      <c r="R494" s="43" t="e">
        <f>IF(Preenchimento!$G$39="Tabela Price",IF(C494="","",((((((1+W494)^($Q$16-C493))*W494)/((1+W494)^($Q$16-C493)-1))*(O493*(1+$AD$35))))),Q494+P494)</f>
        <v>#VALUE!</v>
      </c>
      <c r="S494" s="43" t="e">
        <f t="shared" ca="1" si="122"/>
        <v>#VALUE!</v>
      </c>
      <c r="T494" s="43">
        <f t="shared" si="123"/>
        <v>0</v>
      </c>
      <c r="U494" s="226">
        <f>TRUNC(T494*Condições!$C$102,2)</f>
        <v>0</v>
      </c>
      <c r="V494" s="82">
        <f t="shared" ca="1" si="124"/>
        <v>7</v>
      </c>
      <c r="W494" s="231" t="str">
        <f t="shared" si="125"/>
        <v/>
      </c>
      <c r="AI494" s="114">
        <f t="shared" si="127"/>
        <v>0</v>
      </c>
      <c r="AL494" s="477">
        <f t="shared" ca="1" si="128"/>
        <v>0</v>
      </c>
    </row>
    <row r="495" spans="2:38">
      <c r="B495" s="222">
        <f ca="1">Fixa!B495</f>
        <v>60495</v>
      </c>
      <c r="C495" s="223" t="str">
        <f>Fixa!C495</f>
        <v/>
      </c>
      <c r="D495" s="43" t="e">
        <f t="shared" si="113"/>
        <v>#VALUE!</v>
      </c>
      <c r="E495" s="43" t="e">
        <f t="shared" si="114"/>
        <v>#VALUE!</v>
      </c>
      <c r="F495" s="43" t="e">
        <f t="shared" si="115"/>
        <v>#VALUE!</v>
      </c>
      <c r="G495" s="43" t="e">
        <f t="shared" si="116"/>
        <v>#VALUE!</v>
      </c>
      <c r="H495" s="43" t="e">
        <f t="shared" ca="1" si="117"/>
        <v>#VALUE!</v>
      </c>
      <c r="I495" s="43">
        <f t="shared" si="118"/>
        <v>0</v>
      </c>
      <c r="J495" s="229">
        <f t="shared" si="126"/>
        <v>25</v>
      </c>
      <c r="K495" s="43">
        <f t="shared" si="119"/>
        <v>0</v>
      </c>
      <c r="N495" s="225">
        <f t="shared" si="120"/>
        <v>0</v>
      </c>
      <c r="O495" s="43" t="e">
        <f t="shared" si="121"/>
        <v>#VALUE!</v>
      </c>
      <c r="P495" s="43" t="e">
        <f>ROUND(IF(Preenchimento!$G$39="Tabela Price",R495-Q495,(O494*(1+$AD$35))/($AD$28-C494)),$P$22)</f>
        <v>#VALUE!</v>
      </c>
      <c r="Q495" s="43" t="e">
        <f>IF(Preenchimento!$G$39="Tabela Price",O494*(1+$AD$35)*W495,O494*(1+SAC!$AD$35)*SAC!W495)</f>
        <v>#VALUE!</v>
      </c>
      <c r="R495" s="43" t="e">
        <f>IF(Preenchimento!$G$39="Tabela Price",IF(C495="","",((((((1+W495)^($Q$16-C494))*W495)/((1+W495)^($Q$16-C494)-1))*(O494*(1+$AD$35))))),Q495+P495)</f>
        <v>#VALUE!</v>
      </c>
      <c r="S495" s="43" t="e">
        <f t="shared" ca="1" si="122"/>
        <v>#VALUE!</v>
      </c>
      <c r="T495" s="43">
        <f t="shared" si="123"/>
        <v>0</v>
      </c>
      <c r="U495" s="226">
        <f>TRUNC(T495*Condições!$C$102,2)</f>
        <v>0</v>
      </c>
      <c r="V495" s="82">
        <f t="shared" ca="1" si="124"/>
        <v>8</v>
      </c>
      <c r="W495" s="231" t="str">
        <f t="shared" si="125"/>
        <v/>
      </c>
      <c r="AI495" s="114">
        <f t="shared" si="127"/>
        <v>0</v>
      </c>
      <c r="AL495" s="477">
        <f t="shared" ca="1" si="128"/>
        <v>0</v>
      </c>
    </row>
    <row r="496" spans="2:38">
      <c r="B496" s="222">
        <f ca="1">Fixa!B496</f>
        <v>60526</v>
      </c>
      <c r="C496" s="223" t="str">
        <f>Fixa!C496</f>
        <v/>
      </c>
      <c r="D496" s="43" t="e">
        <f t="shared" si="113"/>
        <v>#VALUE!</v>
      </c>
      <c r="E496" s="43" t="e">
        <f t="shared" si="114"/>
        <v>#VALUE!</v>
      </c>
      <c r="F496" s="43" t="e">
        <f t="shared" si="115"/>
        <v>#VALUE!</v>
      </c>
      <c r="G496" s="43" t="e">
        <f t="shared" si="116"/>
        <v>#VALUE!</v>
      </c>
      <c r="H496" s="541" t="e">
        <f t="shared" ca="1" si="117"/>
        <v>#VALUE!</v>
      </c>
      <c r="I496" s="541">
        <f t="shared" si="118"/>
        <v>0</v>
      </c>
      <c r="J496" s="229">
        <f t="shared" si="126"/>
        <v>25</v>
      </c>
      <c r="K496" s="43">
        <f t="shared" si="119"/>
        <v>0</v>
      </c>
      <c r="N496" s="225">
        <f t="shared" si="120"/>
        <v>0</v>
      </c>
      <c r="O496" s="43" t="e">
        <f t="shared" si="121"/>
        <v>#VALUE!</v>
      </c>
      <c r="P496" s="43" t="e">
        <f>ROUND(IF(Preenchimento!$G$39="Tabela Price",R496-Q496,(O495*(1+$AD$35))/($AD$28-C495)),$P$22)</f>
        <v>#VALUE!</v>
      </c>
      <c r="Q496" s="43" t="e">
        <f>IF(Preenchimento!$G$39="Tabela Price",O495*(1+$AD$35)*W496,O495*(1+SAC!$AD$35)*SAC!W496)</f>
        <v>#VALUE!</v>
      </c>
      <c r="R496" s="43" t="e">
        <f>IF(Preenchimento!$G$39="Tabela Price",IF(C496="","",((((((1+W496)^($Q$16-C495))*W496)/((1+W496)^($Q$16-C495)-1))*(O495*(1+$AD$35))))),Q496+P496)</f>
        <v>#VALUE!</v>
      </c>
      <c r="S496" s="43" t="e">
        <f t="shared" ca="1" si="122"/>
        <v>#VALUE!</v>
      </c>
      <c r="T496" s="43">
        <f t="shared" si="123"/>
        <v>0</v>
      </c>
      <c r="U496" s="226">
        <f>TRUNC(T496*Condições!$C$102,2)</f>
        <v>0</v>
      </c>
      <c r="V496" s="82">
        <f t="shared" ca="1" si="124"/>
        <v>9</v>
      </c>
      <c r="W496" s="231" t="str">
        <f t="shared" si="125"/>
        <v/>
      </c>
      <c r="AI496" s="114">
        <f t="shared" si="127"/>
        <v>0</v>
      </c>
      <c r="AL496" s="477">
        <f t="shared" ca="1" si="128"/>
        <v>0</v>
      </c>
    </row>
    <row r="497" spans="2:38">
      <c r="B497" s="222">
        <f ca="1">Fixa!B497</f>
        <v>60556</v>
      </c>
      <c r="C497" s="223" t="str">
        <f>Fixa!C497</f>
        <v/>
      </c>
      <c r="D497" s="43" t="e">
        <f t="shared" si="113"/>
        <v>#VALUE!</v>
      </c>
      <c r="E497" s="43" t="e">
        <f t="shared" si="114"/>
        <v>#VALUE!</v>
      </c>
      <c r="F497" s="43" t="e">
        <f t="shared" si="115"/>
        <v>#VALUE!</v>
      </c>
      <c r="G497" s="43" t="e">
        <f t="shared" si="116"/>
        <v>#VALUE!</v>
      </c>
      <c r="H497" s="43" t="e">
        <f t="shared" ca="1" si="117"/>
        <v>#VALUE!</v>
      </c>
      <c r="I497" s="43">
        <f t="shared" si="118"/>
        <v>0</v>
      </c>
      <c r="J497" s="229">
        <f t="shared" si="126"/>
        <v>25</v>
      </c>
      <c r="K497" s="43">
        <f t="shared" si="119"/>
        <v>0</v>
      </c>
      <c r="N497" s="225">
        <f t="shared" si="120"/>
        <v>0</v>
      </c>
      <c r="O497" s="43" t="e">
        <f t="shared" si="121"/>
        <v>#VALUE!</v>
      </c>
      <c r="P497" s="43" t="e">
        <f>ROUND(IF(Preenchimento!$G$39="Tabela Price",R497-Q497,(O496*(1+$AD$35))/($AD$28-C496)),$P$22)</f>
        <v>#VALUE!</v>
      </c>
      <c r="Q497" s="43" t="e">
        <f>IF(Preenchimento!$G$39="Tabela Price",O496*(1+$AD$35)*W497,O496*(1+SAC!$AD$35)*SAC!W497)</f>
        <v>#VALUE!</v>
      </c>
      <c r="R497" s="43" t="e">
        <f>IF(Preenchimento!$G$39="Tabela Price",IF(C497="","",((((((1+W497)^($Q$16-C496))*W497)/((1+W497)^($Q$16-C496)-1))*(O496*(1+$AD$35))))),Q497+P497)</f>
        <v>#VALUE!</v>
      </c>
      <c r="S497" s="43" t="e">
        <f t="shared" ca="1" si="122"/>
        <v>#VALUE!</v>
      </c>
      <c r="T497" s="43">
        <f t="shared" si="123"/>
        <v>0</v>
      </c>
      <c r="U497" s="226">
        <f>TRUNC(T497*Condições!$C$102,2)</f>
        <v>0</v>
      </c>
      <c r="V497" s="82">
        <f t="shared" ca="1" si="124"/>
        <v>10</v>
      </c>
      <c r="W497" s="231" t="str">
        <f t="shared" si="125"/>
        <v/>
      </c>
      <c r="AI497" s="114">
        <f t="shared" si="127"/>
        <v>0</v>
      </c>
      <c r="AL497" s="477">
        <f t="shared" ca="1" si="128"/>
        <v>0</v>
      </c>
    </row>
    <row r="498" spans="2:38">
      <c r="B498" s="222">
        <f ca="1">Fixa!B498</f>
        <v>60587</v>
      </c>
      <c r="C498" s="223" t="str">
        <f>Fixa!C498</f>
        <v/>
      </c>
      <c r="D498" s="43" t="e">
        <f t="shared" si="113"/>
        <v>#VALUE!</v>
      </c>
      <c r="E498" s="43" t="e">
        <f t="shared" si="114"/>
        <v>#VALUE!</v>
      </c>
      <c r="F498" s="43" t="e">
        <f t="shared" si="115"/>
        <v>#VALUE!</v>
      </c>
      <c r="G498" s="43" t="e">
        <f t="shared" si="116"/>
        <v>#VALUE!</v>
      </c>
      <c r="H498" s="43" t="e">
        <f t="shared" ca="1" si="117"/>
        <v>#VALUE!</v>
      </c>
      <c r="I498" s="43">
        <f t="shared" si="118"/>
        <v>0</v>
      </c>
      <c r="J498" s="229">
        <f t="shared" si="126"/>
        <v>25</v>
      </c>
      <c r="K498" s="43">
        <f t="shared" si="119"/>
        <v>0</v>
      </c>
      <c r="N498" s="225">
        <f t="shared" si="120"/>
        <v>0</v>
      </c>
      <c r="O498" s="43" t="e">
        <f t="shared" si="121"/>
        <v>#VALUE!</v>
      </c>
      <c r="P498" s="43" t="e">
        <f>ROUND(IF(Preenchimento!$G$39="Tabela Price",R498-Q498,(O497*(1+$AD$35))/($AD$28-C497)),$P$22)</f>
        <v>#VALUE!</v>
      </c>
      <c r="Q498" s="43" t="e">
        <f>IF(Preenchimento!$G$39="Tabela Price",O497*(1+$AD$35)*W498,O497*(1+SAC!$AD$35)*SAC!W498)</f>
        <v>#VALUE!</v>
      </c>
      <c r="R498" s="43" t="e">
        <f>IF(Preenchimento!$G$39="Tabela Price",IF(C498="","",((((((1+W498)^($Q$16-C497))*W498)/((1+W498)^($Q$16-C497)-1))*(O497*(1+$AD$35))))),Q498+P498)</f>
        <v>#VALUE!</v>
      </c>
      <c r="S498" s="43" t="e">
        <f t="shared" ca="1" si="122"/>
        <v>#VALUE!</v>
      </c>
      <c r="T498" s="43">
        <f t="shared" si="123"/>
        <v>0</v>
      </c>
      <c r="U498" s="226">
        <f>TRUNC(T498*Condições!$C$102,2)</f>
        <v>0</v>
      </c>
      <c r="V498" s="82">
        <f t="shared" ca="1" si="124"/>
        <v>11</v>
      </c>
      <c r="W498" s="231" t="str">
        <f t="shared" si="125"/>
        <v/>
      </c>
      <c r="AI498" s="114">
        <f t="shared" si="127"/>
        <v>0</v>
      </c>
      <c r="AL498" s="477">
        <f t="shared" ca="1" si="128"/>
        <v>0</v>
      </c>
    </row>
    <row r="499" spans="2:38">
      <c r="B499" s="222">
        <f ca="1">Fixa!B499</f>
        <v>60617</v>
      </c>
      <c r="C499" s="223" t="str">
        <f>Fixa!C499</f>
        <v/>
      </c>
      <c r="D499" s="43" t="e">
        <f t="shared" si="113"/>
        <v>#VALUE!</v>
      </c>
      <c r="E499" s="43" t="e">
        <f t="shared" si="114"/>
        <v>#VALUE!</v>
      </c>
      <c r="F499" s="43" t="e">
        <f t="shared" si="115"/>
        <v>#VALUE!</v>
      </c>
      <c r="G499" s="43" t="e">
        <f t="shared" si="116"/>
        <v>#VALUE!</v>
      </c>
      <c r="H499" s="541" t="e">
        <f t="shared" ca="1" si="117"/>
        <v>#VALUE!</v>
      </c>
      <c r="I499" s="541">
        <f t="shared" si="118"/>
        <v>0</v>
      </c>
      <c r="J499" s="229">
        <f t="shared" si="126"/>
        <v>25</v>
      </c>
      <c r="K499" s="43">
        <f t="shared" si="119"/>
        <v>0</v>
      </c>
      <c r="N499" s="225">
        <f t="shared" si="120"/>
        <v>0</v>
      </c>
      <c r="O499" s="43" t="e">
        <f t="shared" si="121"/>
        <v>#VALUE!</v>
      </c>
      <c r="P499" s="43" t="e">
        <f>ROUND(IF(Preenchimento!$G$39="Tabela Price",R499-Q499,(O498*(1+$AD$35))/($AD$28-C498)),$P$22)</f>
        <v>#VALUE!</v>
      </c>
      <c r="Q499" s="43" t="e">
        <f>IF(Preenchimento!$G$39="Tabela Price",O498*(1+$AD$35)*W499,O498*(1+SAC!$AD$35)*SAC!W499)</f>
        <v>#VALUE!</v>
      </c>
      <c r="R499" s="43" t="e">
        <f>IF(Preenchimento!$G$39="Tabela Price",IF(C499="","",((((((1+W499)^($Q$16-C498))*W499)/((1+W499)^($Q$16-C498)-1))*(O498*(1+$AD$35))))),Q499+P499)</f>
        <v>#VALUE!</v>
      </c>
      <c r="S499" s="43" t="e">
        <f t="shared" ca="1" si="122"/>
        <v>#VALUE!</v>
      </c>
      <c r="T499" s="43">
        <f t="shared" si="123"/>
        <v>0</v>
      </c>
      <c r="U499" s="226">
        <f>TRUNC(T499*Condições!$C$102,2)</f>
        <v>0</v>
      </c>
      <c r="V499" s="82">
        <f t="shared" ca="1" si="124"/>
        <v>12</v>
      </c>
      <c r="W499" s="231" t="str">
        <f t="shared" si="125"/>
        <v/>
      </c>
      <c r="AI499" s="114">
        <f t="shared" si="127"/>
        <v>0</v>
      </c>
      <c r="AL499" s="477">
        <f t="shared" ca="1" si="128"/>
        <v>0</v>
      </c>
    </row>
    <row r="500" spans="2:38">
      <c r="B500" s="222">
        <f ca="1">Fixa!B500</f>
        <v>60648</v>
      </c>
      <c r="C500" s="223" t="str">
        <f>Fixa!C500</f>
        <v/>
      </c>
      <c r="D500" s="43" t="e">
        <f t="shared" si="113"/>
        <v>#VALUE!</v>
      </c>
      <c r="E500" s="43" t="e">
        <f t="shared" si="114"/>
        <v>#VALUE!</v>
      </c>
      <c r="F500" s="43" t="e">
        <f t="shared" si="115"/>
        <v>#VALUE!</v>
      </c>
      <c r="G500" s="43" t="e">
        <f t="shared" si="116"/>
        <v>#VALUE!</v>
      </c>
      <c r="H500" s="43" t="e">
        <f t="shared" ca="1" si="117"/>
        <v>#VALUE!</v>
      </c>
      <c r="I500" s="43">
        <f t="shared" si="118"/>
        <v>0</v>
      </c>
      <c r="J500" s="229">
        <f t="shared" si="126"/>
        <v>25</v>
      </c>
      <c r="K500" s="43">
        <f t="shared" si="119"/>
        <v>0</v>
      </c>
      <c r="N500" s="225">
        <f t="shared" si="120"/>
        <v>0</v>
      </c>
      <c r="O500" s="43" t="e">
        <f t="shared" si="121"/>
        <v>#VALUE!</v>
      </c>
      <c r="P500" s="43" t="e">
        <f>ROUND(IF(Preenchimento!$G$39="Tabela Price",R500-Q500,(O499*(1+$AD$35))/($AD$28-C499)),$P$22)</f>
        <v>#VALUE!</v>
      </c>
      <c r="Q500" s="43" t="e">
        <f>IF(Preenchimento!$G$39="Tabela Price",O499*(1+$AD$35)*W500,O499*(1+SAC!$AD$35)*SAC!W500)</f>
        <v>#VALUE!</v>
      </c>
      <c r="R500" s="43" t="e">
        <f>IF(Preenchimento!$G$39="Tabela Price",IF(C500="","",((((((1+W500)^($Q$16-C499))*W500)/((1+W500)^($Q$16-C499)-1))*(O499*(1+$AD$35))))),Q500+P500)</f>
        <v>#VALUE!</v>
      </c>
      <c r="S500" s="43" t="e">
        <f t="shared" ca="1" si="122"/>
        <v>#VALUE!</v>
      </c>
      <c r="T500" s="43">
        <f t="shared" si="123"/>
        <v>0</v>
      </c>
      <c r="U500" s="226">
        <f>TRUNC(T500*Condições!$C$102,2)</f>
        <v>0</v>
      </c>
      <c r="V500" s="82">
        <f t="shared" ca="1" si="124"/>
        <v>1</v>
      </c>
      <c r="W500" s="231" t="str">
        <f t="shared" si="125"/>
        <v/>
      </c>
      <c r="AI500" s="114">
        <f t="shared" si="127"/>
        <v>0</v>
      </c>
      <c r="AL500" s="477">
        <f t="shared" ca="1" si="128"/>
        <v>0</v>
      </c>
    </row>
    <row r="501" spans="2:38">
      <c r="B501" s="222">
        <f ca="1">Fixa!B501</f>
        <v>60679</v>
      </c>
      <c r="C501" s="223" t="str">
        <f>Fixa!C501</f>
        <v/>
      </c>
      <c r="D501" s="43" t="e">
        <f t="shared" si="113"/>
        <v>#VALUE!</v>
      </c>
      <c r="E501" s="43" t="e">
        <f t="shared" si="114"/>
        <v>#VALUE!</v>
      </c>
      <c r="F501" s="43" t="e">
        <f t="shared" si="115"/>
        <v>#VALUE!</v>
      </c>
      <c r="G501" s="43" t="e">
        <f t="shared" si="116"/>
        <v>#VALUE!</v>
      </c>
      <c r="H501" s="43" t="e">
        <f t="shared" ca="1" si="117"/>
        <v>#VALUE!</v>
      </c>
      <c r="I501" s="43">
        <f t="shared" si="118"/>
        <v>0</v>
      </c>
      <c r="J501" s="229">
        <f t="shared" si="126"/>
        <v>25</v>
      </c>
      <c r="K501" s="43">
        <f t="shared" si="119"/>
        <v>0</v>
      </c>
      <c r="N501" s="225">
        <f t="shared" si="120"/>
        <v>0</v>
      </c>
      <c r="O501" s="43" t="e">
        <f t="shared" si="121"/>
        <v>#VALUE!</v>
      </c>
      <c r="P501" s="43" t="e">
        <f>ROUND(IF(Preenchimento!$G$39="Tabela Price",R501-Q501,(O500*(1+$AD$35))/($AD$28-C500)),$P$22)</f>
        <v>#VALUE!</v>
      </c>
      <c r="Q501" s="43" t="e">
        <f>IF(Preenchimento!$G$39="Tabela Price",O500*(1+$AD$35)*W501,O500*(1+SAC!$AD$35)*SAC!W501)</f>
        <v>#VALUE!</v>
      </c>
      <c r="R501" s="43" t="e">
        <f>IF(Preenchimento!$G$39="Tabela Price",IF(C501="","",((((((1+W501)^($Q$16-C500))*W501)/((1+W501)^($Q$16-C500)-1))*(O500*(1+$AD$35))))),Q501+P501)</f>
        <v>#VALUE!</v>
      </c>
      <c r="S501" s="43" t="e">
        <f t="shared" ca="1" si="122"/>
        <v>#VALUE!</v>
      </c>
      <c r="T501" s="43">
        <f t="shared" si="123"/>
        <v>0</v>
      </c>
      <c r="U501" s="226">
        <f>TRUNC(T501*Condições!$C$102,2)</f>
        <v>0</v>
      </c>
      <c r="V501" s="82">
        <f t="shared" ca="1" si="124"/>
        <v>2</v>
      </c>
      <c r="W501" s="231" t="str">
        <f t="shared" si="125"/>
        <v/>
      </c>
      <c r="AI501" s="114">
        <f t="shared" si="127"/>
        <v>0</v>
      </c>
      <c r="AL501" s="477">
        <f t="shared" ca="1" si="128"/>
        <v>0</v>
      </c>
    </row>
    <row r="502" spans="2:38">
      <c r="B502" s="222">
        <f ca="1">Fixa!B502</f>
        <v>60707</v>
      </c>
      <c r="C502" s="223" t="str">
        <f>Fixa!C502</f>
        <v/>
      </c>
      <c r="D502" s="43" t="e">
        <f t="shared" si="113"/>
        <v>#VALUE!</v>
      </c>
      <c r="E502" s="43" t="e">
        <f t="shared" si="114"/>
        <v>#VALUE!</v>
      </c>
      <c r="F502" s="43" t="e">
        <f t="shared" si="115"/>
        <v>#VALUE!</v>
      </c>
      <c r="G502" s="43" t="e">
        <f t="shared" si="116"/>
        <v>#VALUE!</v>
      </c>
      <c r="H502" s="541" t="e">
        <f t="shared" ca="1" si="117"/>
        <v>#VALUE!</v>
      </c>
      <c r="I502" s="541">
        <f t="shared" si="118"/>
        <v>0</v>
      </c>
      <c r="J502" s="229">
        <f t="shared" si="126"/>
        <v>25</v>
      </c>
      <c r="K502" s="43">
        <f t="shared" si="119"/>
        <v>0</v>
      </c>
      <c r="N502" s="225">
        <f t="shared" si="120"/>
        <v>0</v>
      </c>
      <c r="O502" s="43" t="e">
        <f t="shared" si="121"/>
        <v>#VALUE!</v>
      </c>
      <c r="P502" s="43" t="e">
        <f>ROUND(IF(Preenchimento!$G$39="Tabela Price",R502-Q502,(O501*(1+$AD$35))/($AD$28-C501)),$P$22)</f>
        <v>#VALUE!</v>
      </c>
      <c r="Q502" s="43" t="e">
        <f>IF(Preenchimento!$G$39="Tabela Price",O501*(1+$AD$35)*W502,O501*(1+SAC!$AD$35)*SAC!W502)</f>
        <v>#VALUE!</v>
      </c>
      <c r="R502" s="43" t="e">
        <f>IF(Preenchimento!$G$39="Tabela Price",IF(C502="","",((((((1+W502)^($Q$16-C501))*W502)/((1+W502)^($Q$16-C501)-1))*(O501*(1+$AD$35))))),Q502+P502)</f>
        <v>#VALUE!</v>
      </c>
      <c r="S502" s="43" t="e">
        <f t="shared" ca="1" si="122"/>
        <v>#VALUE!</v>
      </c>
      <c r="T502" s="43">
        <f t="shared" si="123"/>
        <v>0</v>
      </c>
      <c r="U502" s="226">
        <f>TRUNC(T502*Condições!$C$102,2)</f>
        <v>0</v>
      </c>
      <c r="V502" s="82">
        <f t="shared" ca="1" si="124"/>
        <v>3</v>
      </c>
      <c r="W502" s="231" t="str">
        <f t="shared" si="125"/>
        <v/>
      </c>
      <c r="AI502" s="114">
        <f t="shared" si="127"/>
        <v>0</v>
      </c>
      <c r="AL502" s="477">
        <f t="shared" ca="1" si="128"/>
        <v>0</v>
      </c>
    </row>
    <row r="503" spans="2:38">
      <c r="B503" s="222">
        <f ca="1">Fixa!B503</f>
        <v>60738</v>
      </c>
      <c r="C503" s="223" t="str">
        <f>Fixa!C503</f>
        <v/>
      </c>
      <c r="D503" s="43" t="e">
        <f t="shared" si="113"/>
        <v>#VALUE!</v>
      </c>
      <c r="E503" s="43" t="e">
        <f t="shared" si="114"/>
        <v>#VALUE!</v>
      </c>
      <c r="F503" s="43" t="e">
        <f t="shared" si="115"/>
        <v>#VALUE!</v>
      </c>
      <c r="G503" s="43" t="e">
        <f t="shared" si="116"/>
        <v>#VALUE!</v>
      </c>
      <c r="H503" s="43" t="e">
        <f t="shared" ca="1" si="117"/>
        <v>#VALUE!</v>
      </c>
      <c r="I503" s="43">
        <f t="shared" si="118"/>
        <v>0</v>
      </c>
      <c r="J503" s="229">
        <f t="shared" si="126"/>
        <v>25</v>
      </c>
      <c r="K503" s="43">
        <f t="shared" si="119"/>
        <v>0</v>
      </c>
      <c r="N503" s="225">
        <f t="shared" si="120"/>
        <v>0</v>
      </c>
      <c r="O503" s="43" t="e">
        <f t="shared" si="121"/>
        <v>#VALUE!</v>
      </c>
      <c r="P503" s="43" t="e">
        <f>ROUND(IF(Preenchimento!$G$39="Tabela Price",R503-Q503,(O502*(1+$AD$35))/($AD$28-C502)),$P$22)</f>
        <v>#VALUE!</v>
      </c>
      <c r="Q503" s="43" t="e">
        <f>IF(Preenchimento!$G$39="Tabela Price",O502*(1+$AD$35)*W503,O502*(1+SAC!$AD$35)*SAC!W503)</f>
        <v>#VALUE!</v>
      </c>
      <c r="R503" s="43" t="e">
        <f>IF(Preenchimento!$G$39="Tabela Price",IF(C503="","",((((((1+W503)^($Q$16-C502))*W503)/((1+W503)^($Q$16-C502)-1))*(O502*(1+$AD$35))))),Q503+P503)</f>
        <v>#VALUE!</v>
      </c>
      <c r="S503" s="43" t="e">
        <f t="shared" ca="1" si="122"/>
        <v>#VALUE!</v>
      </c>
      <c r="T503" s="43">
        <f t="shared" si="123"/>
        <v>0</v>
      </c>
      <c r="U503" s="226">
        <f>TRUNC(T503*Condições!$C$102,2)</f>
        <v>0</v>
      </c>
      <c r="V503" s="82">
        <f t="shared" ca="1" si="124"/>
        <v>4</v>
      </c>
      <c r="W503" s="231" t="str">
        <f t="shared" si="125"/>
        <v/>
      </c>
      <c r="AI503" s="114">
        <f t="shared" si="127"/>
        <v>0</v>
      </c>
      <c r="AL503" s="477">
        <f t="shared" ca="1" si="128"/>
        <v>0</v>
      </c>
    </row>
    <row r="504" spans="2:38">
      <c r="B504" s="222">
        <f ca="1">Fixa!B504</f>
        <v>60768</v>
      </c>
      <c r="C504" s="223" t="str">
        <f>Fixa!C504</f>
        <v/>
      </c>
      <c r="D504" s="43" t="e">
        <f t="shared" si="113"/>
        <v>#VALUE!</v>
      </c>
      <c r="E504" s="43" t="e">
        <f t="shared" si="114"/>
        <v>#VALUE!</v>
      </c>
      <c r="F504" s="43" t="e">
        <f t="shared" si="115"/>
        <v>#VALUE!</v>
      </c>
      <c r="G504" s="43" t="e">
        <f t="shared" si="116"/>
        <v>#VALUE!</v>
      </c>
      <c r="H504" s="43" t="e">
        <f t="shared" ca="1" si="117"/>
        <v>#VALUE!</v>
      </c>
      <c r="I504" s="43">
        <f t="shared" si="118"/>
        <v>0</v>
      </c>
      <c r="J504" s="229">
        <f t="shared" si="126"/>
        <v>25</v>
      </c>
      <c r="K504" s="43">
        <f t="shared" si="119"/>
        <v>0</v>
      </c>
      <c r="N504" s="225">
        <f t="shared" si="120"/>
        <v>0</v>
      </c>
      <c r="O504" s="43" t="e">
        <f t="shared" si="121"/>
        <v>#VALUE!</v>
      </c>
      <c r="P504" s="43" t="e">
        <f>ROUND(IF(Preenchimento!$G$39="Tabela Price",R504-Q504,(O503*(1+$AD$35))/($AD$28-C503)),$P$22)</f>
        <v>#VALUE!</v>
      </c>
      <c r="Q504" s="43" t="e">
        <f>IF(Preenchimento!$G$39="Tabela Price",O503*(1+$AD$35)*W504,O503*(1+SAC!$AD$35)*SAC!W504)</f>
        <v>#VALUE!</v>
      </c>
      <c r="R504" s="43" t="e">
        <f>IF(Preenchimento!$G$39="Tabela Price",IF(C504="","",((((((1+W504)^($Q$16-C503))*W504)/((1+W504)^($Q$16-C503)-1))*(O503*(1+$AD$35))))),Q504+P504)</f>
        <v>#VALUE!</v>
      </c>
      <c r="S504" s="43" t="e">
        <f t="shared" ca="1" si="122"/>
        <v>#VALUE!</v>
      </c>
      <c r="T504" s="43">
        <f t="shared" si="123"/>
        <v>0</v>
      </c>
      <c r="U504" s="226">
        <f>TRUNC(T504*Condições!$C$102,2)</f>
        <v>0</v>
      </c>
      <c r="V504" s="82">
        <f t="shared" ca="1" si="124"/>
        <v>5</v>
      </c>
      <c r="W504" s="231" t="str">
        <f t="shared" si="125"/>
        <v/>
      </c>
      <c r="AI504" s="114">
        <f t="shared" si="127"/>
        <v>0</v>
      </c>
      <c r="AL504" s="477">
        <f t="shared" ca="1" si="128"/>
        <v>0</v>
      </c>
    </row>
    <row r="505" spans="2:38">
      <c r="B505" s="222">
        <f ca="1">Fixa!B505</f>
        <v>60799</v>
      </c>
      <c r="C505" s="223" t="str">
        <f>Fixa!C505</f>
        <v/>
      </c>
      <c r="D505" s="43" t="e">
        <f t="shared" ref="D505:D511" si="129">ROUND(O505,2)</f>
        <v>#VALUE!</v>
      </c>
      <c r="E505" s="43" t="e">
        <f t="shared" ref="E505:E511" si="130">ROUND(P505,2)</f>
        <v>#VALUE!</v>
      </c>
      <c r="F505" s="43" t="e">
        <f t="shared" ref="F505:F511" si="131">ROUND(Q505,2)</f>
        <v>#VALUE!</v>
      </c>
      <c r="G505" s="43" t="e">
        <f t="shared" ref="G505:G511" si="132">F505+E505</f>
        <v>#VALUE!</v>
      </c>
      <c r="H505" s="541" t="e">
        <f t="shared" ref="H505:H511" ca="1" si="133">ROUND(S505,2)</f>
        <v>#VALUE!</v>
      </c>
      <c r="I505" s="541">
        <f t="shared" ref="I505:I511" si="134">ROUND(T505+U505,2)</f>
        <v>0</v>
      </c>
      <c r="J505" s="229">
        <f t="shared" si="126"/>
        <v>25</v>
      </c>
      <c r="K505" s="43">
        <f t="shared" ref="K505:K511" si="135">IF(C505&gt;$AD$28,0,J505+G505+I505+H505)</f>
        <v>0</v>
      </c>
      <c r="N505" s="225">
        <f t="shared" ref="N505:N511" si="136">IF(C505&gt;$AD$28,0,(H505+I505)/(1.008^((12*(B505-$B$25))/365)))</f>
        <v>0</v>
      </c>
      <c r="O505" s="43" t="e">
        <f t="shared" ref="O505:O511" si="137">ROUND((O504*(1+$AD$35)-P505),$P$22)</f>
        <v>#VALUE!</v>
      </c>
      <c r="P505" s="43" t="e">
        <f>ROUND(IF(Preenchimento!$G$39="Tabela Price",R505-Q505,(O504*(1+$AD$35))/($AD$28-C504)),$P$22)</f>
        <v>#VALUE!</v>
      </c>
      <c r="Q505" s="43" t="e">
        <f>IF(Preenchimento!$G$39="Tabela Price",O504*(1+$AD$35)*W505,O504*(1+SAC!$AD$35)*SAC!W505)</f>
        <v>#VALUE!</v>
      </c>
      <c r="R505" s="43" t="e">
        <f>IF(Preenchimento!$G$39="Tabela Price",IF(C505="","",((((((1+W505)^($Q$16-C504))*W505)/((1+W505)^($Q$16-C504)-1))*(O504*(1+$AD$35))))),Q505+P505)</f>
        <v>#VALUE!</v>
      </c>
      <c r="S505" s="43" t="e">
        <f t="shared" ref="S505:S511" ca="1" si="138">ROUND($AD$34*O505,$P$22)</f>
        <v>#VALUE!</v>
      </c>
      <c r="T505" s="43">
        <f t="shared" ref="T505:T511" si="139">IF(C505&gt;=$AD$28,0,ROUND($AD$25*$AD$33,$P$22))</f>
        <v>0</v>
      </c>
      <c r="U505" s="226">
        <f>TRUNC(T505*Condições!$C$102,2)</f>
        <v>0</v>
      </c>
      <c r="V505" s="82">
        <f t="shared" ref="V505:V511" ca="1" si="140">MONTH(B505)</f>
        <v>6</v>
      </c>
      <c r="W505" s="231" t="str">
        <f t="shared" ref="W505:W511" si="141">IF(C505="","",IF(AND(C505&gt;$AD$46,$AD$46&lt;&gt;""),$AE$29,$AD$29))</f>
        <v/>
      </c>
      <c r="AI505" s="114">
        <f t="shared" si="127"/>
        <v>0</v>
      </c>
      <c r="AL505" s="477">
        <f t="shared" ca="1" si="128"/>
        <v>0</v>
      </c>
    </row>
    <row r="506" spans="2:38">
      <c r="B506" s="222">
        <f ca="1">Fixa!B506</f>
        <v>60829</v>
      </c>
      <c r="C506" s="223" t="str">
        <f>Fixa!C506</f>
        <v/>
      </c>
      <c r="D506" s="43" t="e">
        <f t="shared" si="129"/>
        <v>#VALUE!</v>
      </c>
      <c r="E506" s="43" t="e">
        <f t="shared" si="130"/>
        <v>#VALUE!</v>
      </c>
      <c r="F506" s="43" t="e">
        <f t="shared" si="131"/>
        <v>#VALUE!</v>
      </c>
      <c r="G506" s="43" t="e">
        <f t="shared" si="132"/>
        <v>#VALUE!</v>
      </c>
      <c r="H506" s="43" t="e">
        <f t="shared" ca="1" si="133"/>
        <v>#VALUE!</v>
      </c>
      <c r="I506" s="43">
        <f t="shared" si="134"/>
        <v>0</v>
      </c>
      <c r="J506" s="229">
        <f t="shared" si="126"/>
        <v>25</v>
      </c>
      <c r="K506" s="43">
        <f t="shared" si="135"/>
        <v>0</v>
      </c>
      <c r="N506" s="225">
        <f t="shared" si="136"/>
        <v>0</v>
      </c>
      <c r="O506" s="43" t="e">
        <f t="shared" si="137"/>
        <v>#VALUE!</v>
      </c>
      <c r="P506" s="43" t="e">
        <f>ROUND(IF(Preenchimento!$G$39="Tabela Price",R506-Q506,(O505*(1+$AD$35))/($AD$28-C505)),$P$22)</f>
        <v>#VALUE!</v>
      </c>
      <c r="Q506" s="43" t="e">
        <f>IF(Preenchimento!$G$39="Tabela Price",O505*(1+$AD$35)*W506,O505*(1+SAC!$AD$35)*SAC!W506)</f>
        <v>#VALUE!</v>
      </c>
      <c r="R506" s="43" t="e">
        <f>IF(Preenchimento!$G$39="Tabela Price",IF(C506="","",((((((1+W506)^($Q$16-C505))*W506)/((1+W506)^($Q$16-C505)-1))*(O505*(1+$AD$35))))),Q506+P506)</f>
        <v>#VALUE!</v>
      </c>
      <c r="S506" s="43" t="e">
        <f t="shared" ca="1" si="138"/>
        <v>#VALUE!</v>
      </c>
      <c r="T506" s="43">
        <f t="shared" si="139"/>
        <v>0</v>
      </c>
      <c r="U506" s="226">
        <f>TRUNC(T506*Condições!$C$102,2)</f>
        <v>0</v>
      </c>
      <c r="V506" s="82">
        <f t="shared" ca="1" si="140"/>
        <v>7</v>
      </c>
      <c r="W506" s="231" t="str">
        <f t="shared" si="141"/>
        <v/>
      </c>
      <c r="AI506" s="114">
        <f t="shared" si="127"/>
        <v>0</v>
      </c>
      <c r="AL506" s="477">
        <f t="shared" ca="1" si="128"/>
        <v>0</v>
      </c>
    </row>
    <row r="507" spans="2:38">
      <c r="B507" s="222">
        <f ca="1">Fixa!B507</f>
        <v>60860</v>
      </c>
      <c r="C507" s="223" t="str">
        <f>Fixa!C507</f>
        <v/>
      </c>
      <c r="D507" s="43" t="e">
        <f t="shared" si="129"/>
        <v>#VALUE!</v>
      </c>
      <c r="E507" s="43" t="e">
        <f t="shared" si="130"/>
        <v>#VALUE!</v>
      </c>
      <c r="F507" s="43" t="e">
        <f t="shared" si="131"/>
        <v>#VALUE!</v>
      </c>
      <c r="G507" s="43" t="e">
        <f t="shared" si="132"/>
        <v>#VALUE!</v>
      </c>
      <c r="H507" s="43" t="e">
        <f t="shared" ca="1" si="133"/>
        <v>#VALUE!</v>
      </c>
      <c r="I507" s="43">
        <f t="shared" si="134"/>
        <v>0</v>
      </c>
      <c r="J507" s="229">
        <f t="shared" si="126"/>
        <v>25</v>
      </c>
      <c r="K507" s="43">
        <f t="shared" si="135"/>
        <v>0</v>
      </c>
      <c r="N507" s="225">
        <f t="shared" si="136"/>
        <v>0</v>
      </c>
      <c r="O507" s="43" t="e">
        <f t="shared" si="137"/>
        <v>#VALUE!</v>
      </c>
      <c r="P507" s="43" t="e">
        <f>ROUND(IF(Preenchimento!$G$39="Tabela Price",R507-Q507,(O506*(1+$AD$35))/($AD$28-C506)),$P$22)</f>
        <v>#VALUE!</v>
      </c>
      <c r="Q507" s="43" t="e">
        <f>IF(Preenchimento!$G$39="Tabela Price",O506*(1+$AD$35)*W507,O506*(1+SAC!$AD$35)*SAC!W507)</f>
        <v>#VALUE!</v>
      </c>
      <c r="R507" s="43" t="e">
        <f>IF(Preenchimento!$G$39="Tabela Price",IF(C507="","",((((((1+W507)^($Q$16-C506))*W507)/((1+W507)^($Q$16-C506)-1))*(O506*(1+$AD$35))))),Q507+P507)</f>
        <v>#VALUE!</v>
      </c>
      <c r="S507" s="43" t="e">
        <f t="shared" ca="1" si="138"/>
        <v>#VALUE!</v>
      </c>
      <c r="T507" s="43">
        <f t="shared" si="139"/>
        <v>0</v>
      </c>
      <c r="U507" s="226">
        <f>TRUNC(T507*Condições!$C$102,2)</f>
        <v>0</v>
      </c>
      <c r="V507" s="82">
        <f t="shared" ca="1" si="140"/>
        <v>8</v>
      </c>
      <c r="W507" s="231" t="str">
        <f t="shared" si="141"/>
        <v/>
      </c>
      <c r="AI507" s="114">
        <f t="shared" si="127"/>
        <v>0</v>
      </c>
      <c r="AL507" s="477">
        <f t="shared" ca="1" si="128"/>
        <v>0</v>
      </c>
    </row>
    <row r="508" spans="2:38">
      <c r="B508" s="222">
        <f ca="1">Fixa!B508</f>
        <v>60891</v>
      </c>
      <c r="C508" s="223" t="str">
        <f>Fixa!C508</f>
        <v/>
      </c>
      <c r="D508" s="43" t="e">
        <f t="shared" si="129"/>
        <v>#VALUE!</v>
      </c>
      <c r="E508" s="43" t="e">
        <f t="shared" si="130"/>
        <v>#VALUE!</v>
      </c>
      <c r="F508" s="43" t="e">
        <f t="shared" si="131"/>
        <v>#VALUE!</v>
      </c>
      <c r="G508" s="43" t="e">
        <f t="shared" si="132"/>
        <v>#VALUE!</v>
      </c>
      <c r="H508" s="541" t="e">
        <f t="shared" ca="1" si="133"/>
        <v>#VALUE!</v>
      </c>
      <c r="I508" s="541">
        <f t="shared" si="134"/>
        <v>0</v>
      </c>
      <c r="J508" s="229">
        <f t="shared" si="126"/>
        <v>25</v>
      </c>
      <c r="K508" s="43">
        <f t="shared" si="135"/>
        <v>0</v>
      </c>
      <c r="N508" s="225">
        <f t="shared" si="136"/>
        <v>0</v>
      </c>
      <c r="O508" s="43" t="e">
        <f t="shared" si="137"/>
        <v>#VALUE!</v>
      </c>
      <c r="P508" s="43" t="e">
        <f>ROUND(IF(Preenchimento!$G$39="Tabela Price",R508-Q508,(O507*(1+$AD$35))/($AD$28-C507)),$P$22)</f>
        <v>#VALUE!</v>
      </c>
      <c r="Q508" s="43" t="e">
        <f>IF(Preenchimento!$G$39="Tabela Price",O507*(1+$AD$35)*W508,O507*(1+SAC!$AD$35)*SAC!W508)</f>
        <v>#VALUE!</v>
      </c>
      <c r="R508" s="43" t="e">
        <f>IF(Preenchimento!$G$39="Tabela Price",IF(C508="","",((((((1+W508)^($Q$16-C507))*W508)/((1+W508)^($Q$16-C507)-1))*(O507*(1+$AD$35))))),Q508+P508)</f>
        <v>#VALUE!</v>
      </c>
      <c r="S508" s="43" t="e">
        <f t="shared" ca="1" si="138"/>
        <v>#VALUE!</v>
      </c>
      <c r="T508" s="43">
        <f t="shared" si="139"/>
        <v>0</v>
      </c>
      <c r="U508" s="226">
        <f>TRUNC(T508*Condições!$C$102,2)</f>
        <v>0</v>
      </c>
      <c r="V508" s="82">
        <f t="shared" ca="1" si="140"/>
        <v>9</v>
      </c>
      <c r="W508" s="231" t="str">
        <f t="shared" si="141"/>
        <v/>
      </c>
      <c r="AI508" s="114">
        <f t="shared" si="127"/>
        <v>0</v>
      </c>
      <c r="AL508" s="477">
        <f t="shared" ca="1" si="128"/>
        <v>0</v>
      </c>
    </row>
    <row r="509" spans="2:38">
      <c r="B509" s="222">
        <f ca="1">Fixa!B509</f>
        <v>60921</v>
      </c>
      <c r="C509" s="223" t="str">
        <f>Fixa!C509</f>
        <v/>
      </c>
      <c r="D509" s="43" t="e">
        <f t="shared" si="129"/>
        <v>#VALUE!</v>
      </c>
      <c r="E509" s="43" t="e">
        <f t="shared" si="130"/>
        <v>#VALUE!</v>
      </c>
      <c r="F509" s="43" t="e">
        <f t="shared" si="131"/>
        <v>#VALUE!</v>
      </c>
      <c r="G509" s="43" t="e">
        <f t="shared" si="132"/>
        <v>#VALUE!</v>
      </c>
      <c r="H509" s="43" t="e">
        <f t="shared" ca="1" si="133"/>
        <v>#VALUE!</v>
      </c>
      <c r="I509" s="43">
        <f t="shared" si="134"/>
        <v>0</v>
      </c>
      <c r="J509" s="229">
        <f t="shared" si="126"/>
        <v>25</v>
      </c>
      <c r="K509" s="43">
        <f t="shared" si="135"/>
        <v>0</v>
      </c>
      <c r="N509" s="225">
        <f t="shared" si="136"/>
        <v>0</v>
      </c>
      <c r="O509" s="43" t="e">
        <f t="shared" si="137"/>
        <v>#VALUE!</v>
      </c>
      <c r="P509" s="43" t="e">
        <f>ROUND(IF(Preenchimento!$G$39="Tabela Price",R509-Q509,(O508*(1+$AD$35))/($AD$28-C508)),$P$22)</f>
        <v>#VALUE!</v>
      </c>
      <c r="Q509" s="43" t="e">
        <f>IF(Preenchimento!$G$39="Tabela Price",O508*(1+$AD$35)*W509,O508*(1+SAC!$AD$35)*SAC!W509)</f>
        <v>#VALUE!</v>
      </c>
      <c r="R509" s="43" t="e">
        <f>IF(Preenchimento!$G$39="Tabela Price",IF(C509="","",((((((1+W509)^($Q$16-C508))*W509)/((1+W509)^($Q$16-C508)-1))*(O508*(1+$AD$35))))),Q509+P509)</f>
        <v>#VALUE!</v>
      </c>
      <c r="S509" s="43" t="e">
        <f t="shared" ca="1" si="138"/>
        <v>#VALUE!</v>
      </c>
      <c r="T509" s="43">
        <f t="shared" si="139"/>
        <v>0</v>
      </c>
      <c r="U509" s="226">
        <f>TRUNC(T509*Condições!$C$102,2)</f>
        <v>0</v>
      </c>
      <c r="V509" s="82">
        <f t="shared" ca="1" si="140"/>
        <v>10</v>
      </c>
      <c r="W509" s="231" t="str">
        <f t="shared" si="141"/>
        <v/>
      </c>
      <c r="AI509" s="114">
        <f t="shared" si="127"/>
        <v>0</v>
      </c>
      <c r="AL509" s="477">
        <f t="shared" ca="1" si="128"/>
        <v>0</v>
      </c>
    </row>
    <row r="510" spans="2:38">
      <c r="B510" s="222">
        <f ca="1">Fixa!B510</f>
        <v>60952</v>
      </c>
      <c r="C510" s="223" t="str">
        <f>Fixa!C510</f>
        <v/>
      </c>
      <c r="D510" s="43" t="e">
        <f t="shared" si="129"/>
        <v>#VALUE!</v>
      </c>
      <c r="E510" s="43" t="e">
        <f t="shared" si="130"/>
        <v>#VALUE!</v>
      </c>
      <c r="F510" s="43" t="e">
        <f t="shared" si="131"/>
        <v>#VALUE!</v>
      </c>
      <c r="G510" s="43" t="e">
        <f t="shared" si="132"/>
        <v>#VALUE!</v>
      </c>
      <c r="H510" s="43" t="e">
        <f t="shared" ca="1" si="133"/>
        <v>#VALUE!</v>
      </c>
      <c r="I510" s="43">
        <f t="shared" si="134"/>
        <v>0</v>
      </c>
      <c r="J510" s="229">
        <f t="shared" si="126"/>
        <v>25</v>
      </c>
      <c r="K510" s="43">
        <f t="shared" si="135"/>
        <v>0</v>
      </c>
      <c r="N510" s="225">
        <f t="shared" si="136"/>
        <v>0</v>
      </c>
      <c r="O510" s="43" t="e">
        <f t="shared" si="137"/>
        <v>#VALUE!</v>
      </c>
      <c r="P510" s="43" t="e">
        <f>ROUND(IF(Preenchimento!$G$39="Tabela Price",R510-Q510,(O509*(1+$AD$35))/($AD$28-C509)),$P$22)</f>
        <v>#VALUE!</v>
      </c>
      <c r="Q510" s="43" t="e">
        <f>IF(Preenchimento!$G$39="Tabela Price",O509*(1+$AD$35)*W510,O509*(1+SAC!$AD$35)*SAC!W510)</f>
        <v>#VALUE!</v>
      </c>
      <c r="R510" s="43" t="e">
        <f>IF(Preenchimento!$G$39="Tabela Price",IF(C510="","",((((((1+W510)^($Q$16-C509))*W510)/((1+W510)^($Q$16-C509)-1))*(O509*(1+$AD$35))))),Q510+P510)</f>
        <v>#VALUE!</v>
      </c>
      <c r="S510" s="43" t="e">
        <f t="shared" ca="1" si="138"/>
        <v>#VALUE!</v>
      </c>
      <c r="T510" s="43">
        <f t="shared" si="139"/>
        <v>0</v>
      </c>
      <c r="U510" s="226">
        <f>TRUNC(T510*Condições!$C$102,2)</f>
        <v>0</v>
      </c>
      <c r="V510" s="82">
        <f t="shared" ca="1" si="140"/>
        <v>11</v>
      </c>
      <c r="W510" s="231" t="str">
        <f t="shared" si="141"/>
        <v/>
      </c>
      <c r="AI510" s="114">
        <f t="shared" si="127"/>
        <v>0</v>
      </c>
      <c r="AL510" s="477">
        <f t="shared" ca="1" si="128"/>
        <v>0</v>
      </c>
    </row>
    <row r="511" spans="2:38">
      <c r="B511" s="222">
        <f ca="1">Fixa!B511</f>
        <v>60982</v>
      </c>
      <c r="C511" s="223" t="str">
        <f>Fixa!C511</f>
        <v/>
      </c>
      <c r="D511" s="43" t="e">
        <f t="shared" si="129"/>
        <v>#VALUE!</v>
      </c>
      <c r="E511" s="43" t="e">
        <f t="shared" si="130"/>
        <v>#VALUE!</v>
      </c>
      <c r="F511" s="43" t="e">
        <f t="shared" si="131"/>
        <v>#VALUE!</v>
      </c>
      <c r="G511" s="43" t="e">
        <f t="shared" si="132"/>
        <v>#VALUE!</v>
      </c>
      <c r="H511" s="541" t="e">
        <f t="shared" ca="1" si="133"/>
        <v>#VALUE!</v>
      </c>
      <c r="I511" s="541">
        <f t="shared" si="134"/>
        <v>0</v>
      </c>
      <c r="J511" s="229">
        <f t="shared" si="126"/>
        <v>25</v>
      </c>
      <c r="K511" s="43">
        <f t="shared" si="135"/>
        <v>0</v>
      </c>
      <c r="N511" s="225">
        <f t="shared" si="136"/>
        <v>0</v>
      </c>
      <c r="O511" s="43" t="e">
        <f t="shared" si="137"/>
        <v>#VALUE!</v>
      </c>
      <c r="P511" s="43" t="e">
        <f>ROUND(IF(Preenchimento!$G$39="Tabela Price",R511-Q511,(O510*(1+$AD$35))/($AD$28-C510)),$P$22)</f>
        <v>#VALUE!</v>
      </c>
      <c r="Q511" s="43" t="e">
        <f>IF(Preenchimento!$G$39="Tabela Price",O510*(1+$AD$35)*W511,O510*(1+SAC!$AD$35)*SAC!W511)</f>
        <v>#VALUE!</v>
      </c>
      <c r="R511" s="43" t="e">
        <f>IF(Preenchimento!$G$39="Tabela Price",IF(C511="","",((((((1+W511)^($Q$16-C510))*W511)/((1+W511)^($Q$16-C510)-1))*(O510*(1+$AD$35))))),Q511+P511)</f>
        <v>#VALUE!</v>
      </c>
      <c r="S511" s="43" t="e">
        <f t="shared" ca="1" si="138"/>
        <v>#VALUE!</v>
      </c>
      <c r="T511" s="43">
        <f t="shared" si="139"/>
        <v>0</v>
      </c>
      <c r="U511" s="226">
        <f>TRUNC(T511*Condições!$C$102,2)</f>
        <v>0</v>
      </c>
      <c r="V511" s="82">
        <f t="shared" ca="1" si="140"/>
        <v>12</v>
      </c>
      <c r="W511" s="231" t="str">
        <f t="shared" si="141"/>
        <v/>
      </c>
      <c r="AI511" s="114">
        <f t="shared" si="127"/>
        <v>0</v>
      </c>
      <c r="AL511" s="477">
        <f t="shared" ca="1" si="128"/>
        <v>0</v>
      </c>
    </row>
    <row r="512" spans="2:38">
      <c r="B512" s="222"/>
      <c r="C512" s="223"/>
      <c r="D512" s="43"/>
      <c r="E512" s="43"/>
      <c r="F512" s="43"/>
      <c r="G512" s="43"/>
      <c r="H512" s="43"/>
      <c r="I512" s="43"/>
      <c r="J512" s="229"/>
      <c r="K512" s="43"/>
      <c r="N512" s="225"/>
      <c r="O512" s="553"/>
      <c r="P512" s="553"/>
      <c r="Q512" s="553"/>
      <c r="R512" s="553"/>
      <c r="S512" s="553"/>
      <c r="T512" s="553"/>
      <c r="U512" s="226"/>
      <c r="W512" s="231"/>
      <c r="AI512" s="114"/>
      <c r="AL512" s="477"/>
    </row>
    <row r="513"/>
  </sheetData>
  <sheetProtection algorithmName="SHA-512" hashValue="TVKe2YBWfmw6GfUz3PsUWi4il3OCLjtuD4eJPzN+EUYAlxnqdYu4HuNg9cl/YQ985fXGCCzcEXT2PEyhAbJpcg==" saltValue="+Fj8w7ABcmmowYb/oZQkUw==" spinCount="100000" sheet="1" objects="1" scenarios="1"/>
  <mergeCells count="6">
    <mergeCell ref="B11:K11"/>
    <mergeCell ref="B1:K1"/>
    <mergeCell ref="B7:L7"/>
    <mergeCell ref="B8:L8"/>
    <mergeCell ref="B10:K10"/>
    <mergeCell ref="B5:K5"/>
  </mergeCells>
  <phoneticPr fontId="3" type="noConversion"/>
  <conditionalFormatting sqref="B25:K512">
    <cfRule type="expression" dxfId="15" priority="16">
      <formula>$N$1=1</formula>
    </cfRule>
  </conditionalFormatting>
  <conditionalFormatting sqref="C25:K512">
    <cfRule type="expression" dxfId="14" priority="317" stopIfTrue="1">
      <formula>$C25=""</formula>
    </cfRule>
    <cfRule type="expression" dxfId="13" priority="318" stopIfTrue="1">
      <formula>$J$13=""</formula>
    </cfRule>
  </conditionalFormatting>
  <conditionalFormatting sqref="B25:B512">
    <cfRule type="expression" dxfId="12" priority="319" stopIfTrue="1">
      <formula>$C25=""</formula>
    </cfRule>
    <cfRule type="expression" dxfId="11" priority="320" stopIfTrue="1">
      <formula>$J$13=""</formula>
    </cfRule>
  </conditionalFormatting>
  <conditionalFormatting sqref="J20:K20 F20:G20">
    <cfRule type="expression" dxfId="10" priority="9" stopIfTrue="1">
      <formula>$AE$41="falso"</formula>
    </cfRule>
  </conditionalFormatting>
  <conditionalFormatting sqref="F21:K21">
    <cfRule type="expression" dxfId="9" priority="8" stopIfTrue="1">
      <formula>$AE$39="falso"</formula>
    </cfRule>
  </conditionalFormatting>
  <printOptions horizontalCentered="1"/>
  <pageMargins left="0.23622047244094499" right="0.23622047244094499" top="0.35433070866141703" bottom="0.35433070866141703" header="0.23622047244094499" footer="0.196850393700787"/>
  <pageSetup paperSize="9" scale="54" orientation="portrait" r:id="rId1"/>
  <headerFooter alignWithMargins="0">
    <oddFooter>&amp;C&amp;D</oddFooter>
  </headerFooter>
  <rowBreaks count="4" manualBreakCount="4">
    <brk id="105" max="12" man="1"/>
    <brk id="214" max="16383" man="1"/>
    <brk id="319" max="16383" man="1"/>
    <brk id="425" max="12" man="1"/>
  </rowBreaks>
  <colBreaks count="1" manualBreakCount="1">
    <brk id="13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L513"/>
  <sheetViews>
    <sheetView showGridLines="0" showRowColHeaders="0" zoomScaleNormal="100" zoomScaleSheetLayoutView="85" workbookViewId="0"/>
  </sheetViews>
  <sheetFormatPr defaultColWidth="0" defaultRowHeight="12.75" customHeight="1" zeroHeight="1"/>
  <cols>
    <col min="1" max="1" width="2.7109375" style="82" customWidth="1"/>
    <col min="2" max="2" width="13.42578125" style="82" customWidth="1"/>
    <col min="3" max="3" width="14.140625" style="82" customWidth="1"/>
    <col min="4" max="4" width="23.7109375" style="82" customWidth="1"/>
    <col min="5" max="5" width="13.140625" style="82" customWidth="1"/>
    <col min="6" max="6" width="13.5703125" style="82" customWidth="1"/>
    <col min="7" max="7" width="15.28515625" style="82" customWidth="1"/>
    <col min="8" max="9" width="15" style="82" customWidth="1"/>
    <col min="10" max="10" width="19.5703125" style="82" customWidth="1"/>
    <col min="11" max="11" width="18.140625" style="82" customWidth="1"/>
    <col min="12" max="12" width="2.5703125" style="82" customWidth="1"/>
    <col min="13" max="13" width="10.5703125" style="82" hidden="1" customWidth="1"/>
    <col min="14" max="14" width="9.28515625" style="82" hidden="1" customWidth="1"/>
    <col min="15" max="15" width="15.7109375" style="82" hidden="1" customWidth="1"/>
    <col min="16" max="18" width="10" style="82" hidden="1" customWidth="1"/>
    <col min="19" max="19" width="12.85546875" style="82" hidden="1" customWidth="1"/>
    <col min="20" max="21" width="9.28515625" style="82" hidden="1" customWidth="1"/>
    <col min="22" max="22" width="9.140625" style="82" hidden="1" customWidth="1"/>
    <col min="23" max="23" width="8.7109375" style="210" hidden="1" customWidth="1"/>
    <col min="24" max="24" width="10.140625" style="82" hidden="1" customWidth="1"/>
    <col min="25" max="25" width="9.140625" style="82" hidden="1" customWidth="1"/>
    <col min="26" max="26" width="10" style="82" hidden="1" customWidth="1"/>
    <col min="27" max="28" width="9.140625" style="82" hidden="1" customWidth="1"/>
    <col min="29" max="29" width="18.140625" style="82" hidden="1" customWidth="1"/>
    <col min="30" max="30" width="14.7109375" style="82" hidden="1" customWidth="1"/>
    <col min="31" max="31" width="11" style="82" hidden="1" customWidth="1"/>
    <col min="32" max="32" width="3.28515625" style="82" hidden="1" customWidth="1"/>
    <col min="33" max="33" width="10.140625" style="82" hidden="1" customWidth="1"/>
    <col min="34" max="34" width="13.28515625" style="82" hidden="1" customWidth="1"/>
    <col min="35" max="35" width="14.7109375" style="82" hidden="1" customWidth="1"/>
    <col min="36" max="36" width="7.7109375" style="82" hidden="1" customWidth="1"/>
    <col min="37" max="38" width="0" style="82" hidden="1" customWidth="1"/>
    <col min="39" max="16384" width="9.140625" style="82" hidden="1"/>
  </cols>
  <sheetData>
    <row r="1" spans="2:36" ht="45.75" customHeight="1" thickBot="1">
      <c r="B1" s="698" t="str">
        <f>IF(Preenchimento!G39="Tabela Price",Preenchimento!I79,IF(Apoio!$L$29=1,Preenchimento!I80,IF(Apoio!$L$29=2,CONCATENATE(Preenchimento!I80," - ","Imóvel Novo"))))</f>
        <v>Parcelas Variáveis (SAC)</v>
      </c>
      <c r="C1" s="698"/>
      <c r="D1" s="698"/>
      <c r="E1" s="698"/>
      <c r="F1" s="698"/>
      <c r="G1" s="698"/>
      <c r="H1" s="698"/>
      <c r="I1" s="698"/>
      <c r="J1" s="698"/>
      <c r="K1" s="698"/>
      <c r="N1" s="53" t="e">
        <f>Preenchimento!#REF!</f>
        <v>#REF!</v>
      </c>
    </row>
    <row r="2" spans="2:36" ht="12" customHeight="1">
      <c r="C2" s="113"/>
      <c r="D2" s="114"/>
      <c r="E2" s="114"/>
      <c r="F2" s="114"/>
      <c r="G2" s="114"/>
      <c r="H2" s="114"/>
      <c r="I2" s="114"/>
      <c r="J2" s="113"/>
      <c r="K2" s="554" t="str">
        <f>Preenchimento!I3</f>
        <v>V. Mar/2022</v>
      </c>
    </row>
    <row r="3" spans="2:36" ht="15.75">
      <c r="B3" s="23" t="s">
        <v>72</v>
      </c>
      <c r="C3" s="113"/>
      <c r="D3" s="114"/>
      <c r="E3" s="114"/>
      <c r="F3" s="114"/>
      <c r="G3" s="462" t="str">
        <f>IF(Preenchimento!D17="Clientes","",IF(AND(Preenchimento!$D$7="Aquisição",Preenchimento!$D$19="Plano Saúde/Leilão"),CONCATENATE("Condição exclusiva para ",Preenchimento!I87," ",Preenchimento!D17," ",Preenchimento!D19," "," - Taxa Sem Bonificação"),CONCATENATE("Condição exclusiva para ",Preenchimento!I87," ",Preenchimento!D17," - ",Preenchimento!D19," - Taxa Sem Bonificação")))</f>
        <v>Condição exclusiva para Público  -  - Taxa Sem Bonificação</v>
      </c>
      <c r="I3" s="114"/>
      <c r="J3" s="113"/>
      <c r="K3" s="113"/>
    </row>
    <row r="4" spans="2:36" ht="18" customHeight="1">
      <c r="B4" s="112" t="s">
        <v>50</v>
      </c>
      <c r="C4" s="113"/>
      <c r="D4" s="114"/>
      <c r="E4" s="114"/>
      <c r="F4" s="114"/>
      <c r="G4" s="114"/>
      <c r="H4" s="115"/>
      <c r="I4" s="114"/>
      <c r="J4" s="113"/>
      <c r="K4" s="113"/>
    </row>
    <row r="5" spans="2:36" ht="38.25" customHeight="1">
      <c r="B5" s="705" t="s">
        <v>339</v>
      </c>
      <c r="C5" s="705"/>
      <c r="D5" s="705"/>
      <c r="E5" s="705"/>
      <c r="F5" s="705"/>
      <c r="G5" s="705"/>
      <c r="H5" s="705"/>
      <c r="I5" s="705"/>
      <c r="J5" s="705"/>
      <c r="K5" s="705"/>
    </row>
    <row r="6" spans="2:36">
      <c r="B6" s="112" t="s">
        <v>122</v>
      </c>
      <c r="C6" s="116"/>
      <c r="D6" s="116"/>
      <c r="E6" s="116"/>
      <c r="F6" s="116"/>
      <c r="G6" s="116"/>
      <c r="H6" s="116"/>
      <c r="I6" s="116"/>
      <c r="J6" s="116"/>
      <c r="K6" s="116"/>
    </row>
    <row r="7" spans="2:36" ht="12.75" customHeight="1">
      <c r="B7" s="703" t="s">
        <v>346</v>
      </c>
      <c r="C7" s="703"/>
      <c r="D7" s="703"/>
      <c r="E7" s="703"/>
      <c r="F7" s="703"/>
      <c r="G7" s="703"/>
      <c r="H7" s="703"/>
      <c r="I7" s="703"/>
      <c r="J7" s="703"/>
      <c r="K7" s="703"/>
      <c r="L7" s="703"/>
    </row>
    <row r="8" spans="2:36">
      <c r="B8" s="703" t="s">
        <v>71</v>
      </c>
      <c r="C8" s="703"/>
      <c r="D8" s="703"/>
      <c r="E8" s="703"/>
      <c r="F8" s="703"/>
      <c r="G8" s="703"/>
      <c r="H8" s="703"/>
      <c r="I8" s="703"/>
      <c r="J8" s="703"/>
      <c r="K8" s="703"/>
      <c r="L8" s="703"/>
      <c r="M8" s="78"/>
    </row>
    <row r="9" spans="2:36">
      <c r="B9" s="112" t="s">
        <v>167</v>
      </c>
      <c r="M9" s="78"/>
    </row>
    <row r="10" spans="2:36" ht="52.5" customHeight="1">
      <c r="B10" s="704" t="str">
        <f>IF(AND(OR(Preenchimento!$D$7="Aquisição",Preenchimento!$D$7="Portabilidade"),Preenchimento!$D$19="CI Bonificado"),Apoio!$S$4,IF(AND(OR(Preenchimento!$D$7="Aquisição",Preenchimento!$D$7="Portabilidade"),Preenchimento!$D$19="Plano Saúde/Leilão"),Apoio!$S$6,IF(AND(OR(Preenchimento!$D$7="Aquisição",Preenchimento!$D$7="Portabilidade"),Preenchimento!$D$19="FOPA TJSP &amp; TJPE"),Apoio!S8,IF(AND(OR(Preenchimento!$D$7="Aquisição",Preenchimento!$D$7="Portabilidade"),Preenchimento!$D$19="FOPA TJSP &amp; TJPE"),Apoio!S10,""))))</f>
        <v/>
      </c>
      <c r="C10" s="704"/>
      <c r="D10" s="704"/>
      <c r="E10" s="704"/>
      <c r="F10" s="704"/>
      <c r="G10" s="704"/>
      <c r="H10" s="704"/>
      <c r="I10" s="704"/>
      <c r="J10" s="704"/>
      <c r="K10" s="704"/>
      <c r="L10" s="117"/>
      <c r="M10" s="78"/>
    </row>
    <row r="11" spans="2:36">
      <c r="B11" s="704"/>
      <c r="C11" s="704"/>
      <c r="D11" s="704"/>
      <c r="E11" s="704"/>
      <c r="F11" s="704"/>
      <c r="G11" s="704"/>
      <c r="H11" s="704"/>
      <c r="I11" s="704"/>
      <c r="J11" s="704"/>
      <c r="K11" s="704"/>
    </row>
    <row r="12" spans="2:36" ht="13.5" customHeight="1" thickBot="1">
      <c r="B12" s="108" t="s">
        <v>6</v>
      </c>
      <c r="C12" s="124"/>
      <c r="D12" s="130">
        <f>AD25</f>
        <v>0</v>
      </c>
      <c r="E12" s="114"/>
      <c r="F12" s="118" t="s">
        <v>224</v>
      </c>
      <c r="G12" s="118"/>
      <c r="H12" s="119"/>
      <c r="I12" s="119"/>
      <c r="J12" s="120" t="e">
        <f ca="1">Preenchimento!D48</f>
        <v>#VALUE!</v>
      </c>
    </row>
    <row r="13" spans="2:36" ht="13.5" customHeight="1" thickBot="1">
      <c r="B13" s="109" t="str">
        <f>IF(OR(Preenchimento!D141="Sim",Preenchimento!D7="Portabilidade"),"Prazo em meses","Prazo em anos")</f>
        <v>Prazo em anos</v>
      </c>
      <c r="C13" s="121"/>
      <c r="D13" s="131">
        <f>Preenchimento!D29</f>
        <v>0</v>
      </c>
      <c r="E13" s="114"/>
      <c r="F13" s="109" t="s">
        <v>223</v>
      </c>
      <c r="G13" s="121"/>
      <c r="H13" s="122"/>
      <c r="I13" s="122"/>
      <c r="J13" s="123" t="e">
        <f ca="1">Preenchimento!D47</f>
        <v>#NUM!</v>
      </c>
      <c r="Q13" s="12"/>
      <c r="R13" s="215"/>
      <c r="S13" s="216"/>
    </row>
    <row r="14" spans="2:36" ht="13.5" customHeight="1">
      <c r="B14" s="109" t="s">
        <v>31</v>
      </c>
      <c r="C14" s="121"/>
      <c r="D14" s="131">
        <f ca="1">Preenchimento!W42</f>
        <v>126.1</v>
      </c>
      <c r="E14" s="114"/>
      <c r="F14" s="121" t="s">
        <v>335</v>
      </c>
      <c r="G14" s="121"/>
      <c r="H14" s="122"/>
      <c r="I14" s="122"/>
      <c r="J14" s="542" t="str">
        <f>IF(Apoio!D17=1,Apoio!C17,IF(Apoio!D17=2,Apoio!C18,IF(Apoio!D17=3,"",Apoio!C20)))</f>
        <v>Zurich Santander</v>
      </c>
      <c r="O14" s="82" t="e">
        <f>Preenchimento!#REF!</f>
        <v>#REF!</v>
      </c>
      <c r="AJ14" s="155" t="s">
        <v>80</v>
      </c>
    </row>
    <row r="15" spans="2:36" ht="13.5" customHeight="1">
      <c r="B15" s="110" t="s">
        <v>33</v>
      </c>
      <c r="C15" s="121"/>
      <c r="D15" s="132" t="e">
        <f ca="1">Preenchimento!D44</f>
        <v>#N/A</v>
      </c>
      <c r="F15" s="108" t="s">
        <v>220</v>
      </c>
      <c r="G15" s="124"/>
      <c r="H15" s="118"/>
      <c r="I15" s="108"/>
      <c r="J15" s="118">
        <f>Preenchimento!I20</f>
        <v>0</v>
      </c>
      <c r="K15" s="125">
        <v>1</v>
      </c>
      <c r="AI15" s="161" t="s">
        <v>96</v>
      </c>
      <c r="AJ15" s="217" t="e">
        <f ca="1">(((IRR(AI25:AI505,0.01))+1)^12)-1</f>
        <v>#NUM!</v>
      </c>
    </row>
    <row r="16" spans="2:36" ht="13.5" customHeight="1">
      <c r="B16" s="110" t="s">
        <v>34</v>
      </c>
      <c r="C16" s="121"/>
      <c r="D16" s="141" t="e">
        <f ca="1">Preenchimento!D45</f>
        <v>#N/A</v>
      </c>
      <c r="F16" s="109" t="str">
        <f>IF(Preenchimento!D7="Portabilidade","Valor liberado","Valor liberado ao vendedor")</f>
        <v>Valor liberado ao vendedor</v>
      </c>
      <c r="G16" s="121"/>
      <c r="H16" s="126"/>
      <c r="I16" s="109"/>
      <c r="J16" s="126">
        <f>Preenchimento!D25</f>
        <v>0</v>
      </c>
      <c r="K16" s="555" t="e">
        <f>J16/J15</f>
        <v>#DIV/0!</v>
      </c>
      <c r="P16" s="82" t="s">
        <v>4</v>
      </c>
      <c r="Q16" s="82">
        <f>IF(OR(Preenchimento!D141="Sim",Preenchimento!D7="Portabilidade"),D13,D13*12)</f>
        <v>0</v>
      </c>
      <c r="AI16" s="161" t="s">
        <v>97</v>
      </c>
      <c r="AJ16" s="217" t="e">
        <f>#N/A</f>
        <v>#N/A</v>
      </c>
    </row>
    <row r="17" spans="2:38" ht="13.5" customHeight="1">
      <c r="B17" s="111" t="s">
        <v>56</v>
      </c>
      <c r="C17" s="121"/>
      <c r="D17" s="127">
        <f>Preenchimento!D22</f>
        <v>0</v>
      </c>
      <c r="F17" s="109" t="s">
        <v>221</v>
      </c>
      <c r="G17" s="121"/>
      <c r="H17" s="126"/>
      <c r="I17" s="109"/>
      <c r="J17" s="126">
        <f>SUM(J18:J21)</f>
        <v>3300</v>
      </c>
      <c r="K17" s="127" t="e">
        <f>J17/J15</f>
        <v>#DIV/0!</v>
      </c>
    </row>
    <row r="18" spans="2:38" ht="13.5" customHeight="1">
      <c r="B18" s="445" t="s">
        <v>282</v>
      </c>
      <c r="C18" s="446"/>
      <c r="D18" s="447" t="e">
        <f ca="1">SUM(K25:K446)</f>
        <v>#VALUE!</v>
      </c>
      <c r="E18" s="113"/>
      <c r="F18" s="128" t="s">
        <v>222</v>
      </c>
      <c r="G18" s="121"/>
      <c r="H18" s="126"/>
      <c r="I18" s="109"/>
      <c r="J18" s="126">
        <f>'Caract. Prods'!C15</f>
        <v>3300</v>
      </c>
      <c r="K18" s="127" t="e">
        <f>J18/$J$15</f>
        <v>#DIV/0!</v>
      </c>
    </row>
    <row r="19" spans="2:38" ht="13.5" customHeight="1">
      <c r="B19" s="17"/>
      <c r="C19" s="114"/>
      <c r="D19" s="218"/>
      <c r="E19" s="113"/>
      <c r="F19" s="128" t="s">
        <v>347</v>
      </c>
      <c r="G19" s="121"/>
      <c r="H19" s="126"/>
      <c r="I19" s="109"/>
      <c r="J19" s="126">
        <f>Fixa!J19</f>
        <v>0</v>
      </c>
      <c r="K19" s="127" t="e">
        <f>J19/$J$15</f>
        <v>#DIV/0!</v>
      </c>
    </row>
    <row r="20" spans="2:38" ht="13.5" customHeight="1">
      <c r="F20" s="128" t="s">
        <v>58</v>
      </c>
      <c r="G20" s="121"/>
      <c r="H20" s="126"/>
      <c r="I20" s="109"/>
      <c r="J20" s="126">
        <f>Fixa!J20</f>
        <v>0</v>
      </c>
      <c r="K20" s="127" t="e">
        <f>J20/$J$15</f>
        <v>#DIV/0!</v>
      </c>
    </row>
    <row r="21" spans="2:38" ht="13.5" customHeight="1">
      <c r="B21" s="17"/>
      <c r="C21" s="114"/>
      <c r="D21" s="218"/>
      <c r="E21" s="113"/>
      <c r="F21" s="128" t="s">
        <v>169</v>
      </c>
      <c r="G21" s="121"/>
      <c r="H21" s="126"/>
      <c r="I21" s="109"/>
      <c r="J21" s="126">
        <f>Fixa!J21</f>
        <v>0</v>
      </c>
      <c r="K21" s="127" t="e">
        <f>J21/$J$15</f>
        <v>#DIV/0!</v>
      </c>
      <c r="AL21" s="478" t="s">
        <v>298</v>
      </c>
    </row>
    <row r="22" spans="2:38" ht="17.25" customHeight="1">
      <c r="B22" s="531"/>
      <c r="C22" s="114"/>
      <c r="D22" s="218"/>
      <c r="E22" s="113"/>
      <c r="F22" s="94"/>
      <c r="G22" s="129"/>
      <c r="H22" s="129"/>
      <c r="I22" s="113"/>
      <c r="J22" s="533" t="s">
        <v>325</v>
      </c>
      <c r="K22" s="534" t="str">
        <f ca="1">IF(Preenchimento!$D$7="","",TODAY())</f>
        <v/>
      </c>
      <c r="N22" s="50" t="s">
        <v>121</v>
      </c>
      <c r="O22" s="82" t="s">
        <v>90</v>
      </c>
      <c r="P22" s="82">
        <v>9</v>
      </c>
      <c r="AI22" s="155"/>
      <c r="AL22" s="479"/>
    </row>
    <row r="23" spans="2:38" ht="6" customHeight="1">
      <c r="B23" s="113"/>
      <c r="C23" s="113"/>
      <c r="D23" s="113"/>
      <c r="E23" s="113"/>
      <c r="F23" s="113"/>
      <c r="G23" s="113"/>
      <c r="H23" s="219"/>
      <c r="I23" s="113"/>
      <c r="J23" s="113"/>
      <c r="K23" s="113"/>
      <c r="AL23" s="479"/>
    </row>
    <row r="24" spans="2:38" ht="33" customHeight="1">
      <c r="B24" s="14" t="s">
        <v>1</v>
      </c>
      <c r="C24" s="15" t="s">
        <v>0</v>
      </c>
      <c r="D24" s="16" t="s">
        <v>2</v>
      </c>
      <c r="E24" s="16" t="s">
        <v>47</v>
      </c>
      <c r="F24" s="16" t="s">
        <v>3</v>
      </c>
      <c r="G24" s="16" t="s">
        <v>46</v>
      </c>
      <c r="H24" s="16" t="s">
        <v>48</v>
      </c>
      <c r="I24" s="16" t="s">
        <v>123</v>
      </c>
      <c r="J24" s="15" t="s">
        <v>124</v>
      </c>
      <c r="K24" s="86" t="s">
        <v>180</v>
      </c>
      <c r="M24" s="146"/>
      <c r="N24" s="51" t="e">
        <f ca="1">SUM(N25:N505)/D25</f>
        <v>#VALUE!</v>
      </c>
      <c r="O24" s="16" t="s">
        <v>2</v>
      </c>
      <c r="P24" s="16" t="s">
        <v>47</v>
      </c>
      <c r="Q24" s="16" t="s">
        <v>3</v>
      </c>
      <c r="R24" s="16" t="s">
        <v>46</v>
      </c>
      <c r="S24" s="16" t="s">
        <v>48</v>
      </c>
      <c r="T24" s="16" t="s">
        <v>49</v>
      </c>
      <c r="U24" s="42" t="s">
        <v>91</v>
      </c>
      <c r="W24" s="210" t="s">
        <v>3</v>
      </c>
      <c r="AI24" s="220" t="e">
        <f ca="1">IF(ISERROR(AJ16),AJ15,AJ16)</f>
        <v>#NUM!</v>
      </c>
      <c r="AJ24" s="221"/>
      <c r="AL24" s="480" t="e">
        <f>TRUNC(ROUND((((IRR(AL25:AL505,0.01))+1)^12)-1,6),4)</f>
        <v>#VALUE!</v>
      </c>
    </row>
    <row r="25" spans="2:38" ht="12" customHeight="1">
      <c r="B25" s="222">
        <f ca="1">Fixa!B25</f>
        <v>46189</v>
      </c>
      <c r="C25" s="223">
        <f>Fixa!C25</f>
        <v>0</v>
      </c>
      <c r="D25" s="43" t="e">
        <f>ROUND(O25,2)</f>
        <v>#VALUE!</v>
      </c>
      <c r="E25" s="43">
        <f>ROUND(P25,2)</f>
        <v>0</v>
      </c>
      <c r="F25" s="43">
        <f>ROUND(Q25,2)</f>
        <v>0</v>
      </c>
      <c r="G25" s="43">
        <f>F25+E25</f>
        <v>0</v>
      </c>
      <c r="H25" s="43" t="e">
        <f ca="1">ROUND(S25,2)</f>
        <v>#VALUE!</v>
      </c>
      <c r="I25" s="43">
        <f>ROUND(T25+U25,2)</f>
        <v>0</v>
      </c>
      <c r="J25" s="43"/>
      <c r="K25" s="43" t="e">
        <f ca="1">IF(C25&gt;$AD$28,0,J25+G25+I25+H25)</f>
        <v>#VALUE!</v>
      </c>
      <c r="M25" s="224"/>
      <c r="N25" s="225" t="e">
        <f ca="1">SUM(H25+I25)</f>
        <v>#VALUE!</v>
      </c>
      <c r="O25" s="43" t="e">
        <f>ROUND(IF(Preenchimento!C88=2,"",Preenchimento!D25+SUM($AD$38:$AD$42)),$P$22)</f>
        <v>#VALUE!</v>
      </c>
      <c r="P25" s="43"/>
      <c r="Q25" s="43"/>
      <c r="R25" s="43"/>
      <c r="S25" s="43" t="e">
        <f ca="1">ROUND($AD$34*O25,$P$22)</f>
        <v>#VALUE!</v>
      </c>
      <c r="T25" s="43">
        <f>IF(C25&gt;=$AD$28,0,ROUND($AD$25*$AD$33,$P$22))</f>
        <v>0</v>
      </c>
      <c r="U25" s="226">
        <f>TRUNC(T25*Condições!$C$102,2)</f>
        <v>0</v>
      </c>
      <c r="V25" s="82">
        <f ca="1">MONTH(B25)</f>
        <v>6</v>
      </c>
      <c r="AC25" s="161" t="s">
        <v>6</v>
      </c>
      <c r="AD25" s="227">
        <f>Imovel</f>
        <v>0</v>
      </c>
      <c r="AF25" s="82">
        <v>1</v>
      </c>
      <c r="AG25" s="82" t="s">
        <v>10</v>
      </c>
      <c r="AI25" s="114">
        <f ca="1">Fixa!AG25</f>
        <v>3300</v>
      </c>
      <c r="AJ25" s="228"/>
      <c r="AL25" s="476" t="e">
        <f>-D25+Preenchimento!$I$9</f>
        <v>#VALUE!</v>
      </c>
    </row>
    <row r="26" spans="2:38" ht="12" customHeight="1">
      <c r="B26" s="222">
        <f ca="1">Fixa!B26</f>
        <v>46219</v>
      </c>
      <c r="C26" s="223" t="str">
        <f>Fixa!C26</f>
        <v/>
      </c>
      <c r="D26" s="43" t="e">
        <f t="shared" ref="D26:D57" si="0">ROUND(O26,2)</f>
        <v>#VALUE!</v>
      </c>
      <c r="E26" s="43" t="e">
        <f t="shared" ref="E26:F89" si="1">ROUND(P26,2)</f>
        <v>#VALUE!</v>
      </c>
      <c r="F26" s="43" t="e">
        <f t="shared" si="1"/>
        <v>#VALUE!</v>
      </c>
      <c r="G26" s="43" t="e">
        <f t="shared" ref="G26:G89" si="2">F26+E26</f>
        <v>#VALUE!</v>
      </c>
      <c r="H26" s="43" t="e">
        <f t="shared" ref="H26:H89" ca="1" si="3">ROUND(S26,2)</f>
        <v>#VALUE!</v>
      </c>
      <c r="I26" s="43">
        <f t="shared" ref="I26:I89" si="4">ROUND(T26+U26,2)</f>
        <v>0</v>
      </c>
      <c r="J26" s="229">
        <f>$AD$31</f>
        <v>25</v>
      </c>
      <c r="K26" s="43">
        <f>IF(C26&gt;$AD$28,0,J26+G26+I26+H26)</f>
        <v>0</v>
      </c>
      <c r="L26" s="230"/>
      <c r="M26" s="224"/>
      <c r="N26" s="225">
        <f>IF(C26&gt;$AD$28,0,(H26+I26)/(1.008^((12*(B26-$B$25))/365)))</f>
        <v>0</v>
      </c>
      <c r="O26" s="43" t="e">
        <f>ROUND((O25*(1+$AD$35)-P26),$P$22)</f>
        <v>#VALUE!</v>
      </c>
      <c r="P26" s="43" t="e">
        <f>ROUND(IF(Preenchimento!$G$39="Tabela Price",R26-Q26,(O25*(1+$AD$35))/($AD$28-C25)),$P$22)</f>
        <v>#VALUE!</v>
      </c>
      <c r="Q26" s="43" t="e">
        <f>IF(Preenchimento!$G$39="Tabela Price",O25*(1+$AD$35)*W26,O25*(1+'SAC Padrão_Sem Bonif'!$AD$35)*'SAC Padrão_Sem Bonif'!W26)</f>
        <v>#VALUE!</v>
      </c>
      <c r="R26" s="43" t="e">
        <f>IF(Preenchimento!$G$39="Tabela Price",IF(C26="","",((((((1+W26)^($Q$16-C25))*W26)/((1+W26)^($Q$16-C25)-1))*(O25*(1+$AD$35))))),Q26+P26)</f>
        <v>#VALUE!</v>
      </c>
      <c r="S26" s="43" t="e">
        <f t="shared" ref="S26:S89" ca="1" si="5">ROUND($AD$34*O26,$P$22)</f>
        <v>#VALUE!</v>
      </c>
      <c r="T26" s="43">
        <f>IF(C26&gt;=$AD$28,0,ROUND($AD$25*$AD$33,$P$22))</f>
        <v>0</v>
      </c>
      <c r="U26" s="226">
        <f>TRUNC(T26*Condições!$C$102,2)</f>
        <v>0</v>
      </c>
      <c r="V26" s="82">
        <f t="shared" ref="V26:V89" ca="1" si="6">MONTH(B26)</f>
        <v>7</v>
      </c>
      <c r="W26" s="231" t="str">
        <f>IF(C26="","",IF(AND(C26&gt;$AD$46,$AD$46&lt;&gt;""),$AE$29,$AD$29))</f>
        <v/>
      </c>
      <c r="X26" s="210"/>
      <c r="Y26" s="210"/>
      <c r="Z26" s="225"/>
      <c r="AC26" s="161" t="s">
        <v>32</v>
      </c>
      <c r="AD26" s="232">
        <f>Condições!C81</f>
        <v>0.35</v>
      </c>
      <c r="AF26" s="82">
        <f t="shared" ref="AF26:AF36" si="7">AF25+1</f>
        <v>2</v>
      </c>
      <c r="AG26" s="82" t="s">
        <v>11</v>
      </c>
      <c r="AI26" s="114">
        <f>IF(C26&gt;$AD$28,0,R26+S26+T26+U26+J26)</f>
        <v>0</v>
      </c>
      <c r="AJ26" s="233"/>
      <c r="AL26" s="477">
        <f ca="1">IFERROR(IF(V25&gt;$AD$28,0,R26),0)</f>
        <v>0</v>
      </c>
    </row>
    <row r="27" spans="2:38" ht="12" customHeight="1">
      <c r="B27" s="222">
        <f ca="1">Fixa!B27</f>
        <v>46250</v>
      </c>
      <c r="C27" s="223" t="str">
        <f>Fixa!C27</f>
        <v/>
      </c>
      <c r="D27" s="43" t="e">
        <f t="shared" si="0"/>
        <v>#VALUE!</v>
      </c>
      <c r="E27" s="43" t="e">
        <f t="shared" si="1"/>
        <v>#VALUE!</v>
      </c>
      <c r="F27" s="43" t="e">
        <f>ROUND(Q27,2)</f>
        <v>#VALUE!</v>
      </c>
      <c r="G27" s="43" t="e">
        <f t="shared" si="2"/>
        <v>#VALUE!</v>
      </c>
      <c r="H27" s="43" t="e">
        <f t="shared" ca="1" si="3"/>
        <v>#VALUE!</v>
      </c>
      <c r="I27" s="43">
        <f t="shared" si="4"/>
        <v>0</v>
      </c>
      <c r="J27" s="229">
        <f t="shared" ref="J27:J90" si="8">$AD$31</f>
        <v>25</v>
      </c>
      <c r="K27" s="43">
        <f t="shared" ref="K27:K90" si="9">IF(C27&gt;$AD$28,0,J27+G27+I27+H27)</f>
        <v>0</v>
      </c>
      <c r="M27" s="224"/>
      <c r="N27" s="225">
        <f t="shared" ref="N27:N90" si="10">IF(C27&gt;$AD$28,0,(H27+I27)/(1.008^((12*(B27-$B$25))/365)))</f>
        <v>0</v>
      </c>
      <c r="O27" s="43" t="e">
        <f t="shared" ref="O27:O90" si="11">ROUND((O26*(1+$AD$35)-P27),$P$22)</f>
        <v>#VALUE!</v>
      </c>
      <c r="P27" s="43" t="e">
        <f>ROUND(IF(Preenchimento!$G$39="Tabela Price",R27-Q27,(O26*(1+$AD$35))/($AD$28-C26)),$P$22)</f>
        <v>#VALUE!</v>
      </c>
      <c r="Q27" s="43" t="e">
        <f>IF(Preenchimento!$G$39="Tabela Price",O26*(1+$AD$35)*W27,O26*(1+'SAC Padrão_Sem Bonif'!$AD$35)*'SAC Padrão_Sem Bonif'!W27)</f>
        <v>#VALUE!</v>
      </c>
      <c r="R27" s="43" t="e">
        <f>IF(Preenchimento!$G$39="Tabela Price",IF(C27="","",((((((1+W27)^($Q$16-C26))*W27)/((1+W27)^($Q$16-C26)-1))*(O26*(1+$AD$35))))),Q27+P27)</f>
        <v>#VALUE!</v>
      </c>
      <c r="S27" s="43" t="e">
        <f t="shared" ca="1" si="5"/>
        <v>#VALUE!</v>
      </c>
      <c r="T27" s="43">
        <f t="shared" ref="T27:T90" si="12">IF(C27&gt;=$AD$28,0,ROUND($AD$25*$AD$33,$P$22))</f>
        <v>0</v>
      </c>
      <c r="U27" s="226">
        <f>TRUNC(T27*Condições!$C$102,2)</f>
        <v>0</v>
      </c>
      <c r="V27" s="82">
        <f t="shared" ca="1" si="6"/>
        <v>8</v>
      </c>
      <c r="W27" s="231" t="str">
        <f t="shared" ref="W27:W90" si="13">IF(C27="","",IF(AND(C27&gt;$AD$46,$AD$46&lt;&gt;""),$AE$29,$AD$29))</f>
        <v/>
      </c>
      <c r="X27" s="210"/>
      <c r="Y27" s="210"/>
      <c r="Z27" s="210"/>
      <c r="AC27" s="161" t="s">
        <v>23</v>
      </c>
      <c r="AD27" s="161">
        <v>480</v>
      </c>
      <c r="AF27" s="82">
        <f t="shared" si="7"/>
        <v>3</v>
      </c>
      <c r="AG27" s="82" t="s">
        <v>12</v>
      </c>
      <c r="AI27" s="114">
        <f t="shared" ref="AI27:AI90" si="14">IF(C27&gt;$AD$28,0,R27+S27+T27+U27+J27)</f>
        <v>0</v>
      </c>
      <c r="AJ27" s="113"/>
      <c r="AL27" s="477">
        <f t="shared" ref="AL27:AL90" ca="1" si="15">IFERROR(IF(V26&gt;$AD$28,0,R27),0)</f>
        <v>0</v>
      </c>
    </row>
    <row r="28" spans="2:38" ht="12" customHeight="1">
      <c r="B28" s="222">
        <f ca="1">Fixa!B28</f>
        <v>46281</v>
      </c>
      <c r="C28" s="223" t="str">
        <f>Fixa!C28</f>
        <v/>
      </c>
      <c r="D28" s="43" t="e">
        <f t="shared" si="0"/>
        <v>#VALUE!</v>
      </c>
      <c r="E28" s="43" t="e">
        <f t="shared" si="1"/>
        <v>#VALUE!</v>
      </c>
      <c r="F28" s="43" t="e">
        <f t="shared" si="1"/>
        <v>#VALUE!</v>
      </c>
      <c r="G28" s="43" t="e">
        <f t="shared" si="2"/>
        <v>#VALUE!</v>
      </c>
      <c r="H28" s="43" t="e">
        <f t="shared" ca="1" si="3"/>
        <v>#VALUE!</v>
      </c>
      <c r="I28" s="43">
        <f>ROUND(T28+U28,2)</f>
        <v>0</v>
      </c>
      <c r="J28" s="229">
        <f t="shared" si="8"/>
        <v>25</v>
      </c>
      <c r="K28" s="43">
        <f t="shared" si="9"/>
        <v>0</v>
      </c>
      <c r="M28" s="224"/>
      <c r="N28" s="225">
        <f t="shared" si="10"/>
        <v>0</v>
      </c>
      <c r="O28" s="43" t="e">
        <f t="shared" si="11"/>
        <v>#VALUE!</v>
      </c>
      <c r="P28" s="43" t="e">
        <f>ROUND(IF(Preenchimento!$G$39="Tabela Price",R28-Q28,(O27*(1+$AD$35))/($AD$28-C27)),$P$22)</f>
        <v>#VALUE!</v>
      </c>
      <c r="Q28" s="43" t="e">
        <f>IF(Preenchimento!$G$39="Tabela Price",O27*(1+$AD$35)*W28,O27*(1+'SAC Padrão_Sem Bonif'!$AD$35)*'SAC Padrão_Sem Bonif'!W28)</f>
        <v>#VALUE!</v>
      </c>
      <c r="R28" s="43" t="e">
        <f>IF(Preenchimento!$G$39="Tabela Price",IF(C28="","",((((((1+W28)^($Q$16-C27))*W28)/((1+W28)^($Q$16-C27)-1))*(O27*(1+$AD$35))))),Q28+P28)</f>
        <v>#VALUE!</v>
      </c>
      <c r="S28" s="43" t="e">
        <f t="shared" ca="1" si="5"/>
        <v>#VALUE!</v>
      </c>
      <c r="T28" s="43">
        <f t="shared" si="12"/>
        <v>0</v>
      </c>
      <c r="U28" s="226">
        <f>TRUNC(T28*Condições!$C$102,2)</f>
        <v>0</v>
      </c>
      <c r="V28" s="82">
        <f t="shared" ca="1" si="6"/>
        <v>9</v>
      </c>
      <c r="W28" s="231" t="str">
        <f t="shared" si="13"/>
        <v/>
      </c>
      <c r="X28" s="210"/>
      <c r="Y28" s="210"/>
      <c r="Z28" s="210"/>
      <c r="AC28" s="161" t="s">
        <v>4</v>
      </c>
      <c r="AD28" s="234">
        <f>IF(Apoio!$L$42=0,IF(OR(Preenchimento!D141="Sim",Preenchimento!D7="Portabilidade"),Preenchimento!D29,Preenchimento!D29*12),Apoio!$L$42)</f>
        <v>0</v>
      </c>
      <c r="AE28" s="235">
        <f>IF(AD30=AE30,1,2)</f>
        <v>1</v>
      </c>
      <c r="AF28" s="82">
        <f t="shared" si="7"/>
        <v>4</v>
      </c>
      <c r="AG28" s="82" t="s">
        <v>13</v>
      </c>
      <c r="AH28" s="236"/>
      <c r="AI28" s="114">
        <f t="shared" si="14"/>
        <v>0</v>
      </c>
      <c r="AJ28" s="113"/>
      <c r="AL28" s="477">
        <f t="shared" ca="1" si="15"/>
        <v>0</v>
      </c>
    </row>
    <row r="29" spans="2:38" ht="12" customHeight="1">
      <c r="B29" s="222">
        <f ca="1">Fixa!B29</f>
        <v>46311</v>
      </c>
      <c r="C29" s="223" t="str">
        <f>Fixa!C29</f>
        <v/>
      </c>
      <c r="D29" s="43" t="e">
        <f t="shared" si="0"/>
        <v>#VALUE!</v>
      </c>
      <c r="E29" s="43" t="e">
        <f t="shared" si="1"/>
        <v>#VALUE!</v>
      </c>
      <c r="F29" s="43" t="e">
        <f t="shared" si="1"/>
        <v>#VALUE!</v>
      </c>
      <c r="G29" s="43" t="e">
        <f t="shared" si="2"/>
        <v>#VALUE!</v>
      </c>
      <c r="H29" s="43" t="e">
        <f t="shared" ca="1" si="3"/>
        <v>#VALUE!</v>
      </c>
      <c r="I29" s="43">
        <f t="shared" si="4"/>
        <v>0</v>
      </c>
      <c r="J29" s="229">
        <f t="shared" si="8"/>
        <v>25</v>
      </c>
      <c r="K29" s="43">
        <f t="shared" si="9"/>
        <v>0</v>
      </c>
      <c r="M29" s="224"/>
      <c r="N29" s="225">
        <f t="shared" si="10"/>
        <v>0</v>
      </c>
      <c r="O29" s="43" t="e">
        <f t="shared" si="11"/>
        <v>#VALUE!</v>
      </c>
      <c r="P29" s="43" t="e">
        <f>ROUND(IF(Preenchimento!$G$39="Tabela Price",R29-Q29,(O28*(1+$AD$35))/($AD$28-C28)),$P$22)</f>
        <v>#VALUE!</v>
      </c>
      <c r="Q29" s="43" t="e">
        <f>IF(Preenchimento!$G$39="Tabela Price",O28*(1+$AD$35)*W29,O28*(1+'SAC Padrão_Sem Bonif'!$AD$35)*'SAC Padrão_Sem Bonif'!W29)</f>
        <v>#VALUE!</v>
      </c>
      <c r="R29" s="43" t="e">
        <f>IF(Preenchimento!$G$39="Tabela Price",IF(C29="","",((((((1+W29)^($Q$16-C28))*W29)/((1+W29)^($Q$16-C28)-1))*(O28*(1+$AD$35))))),Q29+P29)</f>
        <v>#VALUE!</v>
      </c>
      <c r="S29" s="43" t="e">
        <f t="shared" ca="1" si="5"/>
        <v>#VALUE!</v>
      </c>
      <c r="T29" s="43">
        <f t="shared" si="12"/>
        <v>0</v>
      </c>
      <c r="U29" s="226">
        <f>TRUNC(T29*Condições!$C$102,2)</f>
        <v>0</v>
      </c>
      <c r="V29" s="82">
        <f t="shared" ca="1" si="6"/>
        <v>10</v>
      </c>
      <c r="W29" s="231" t="str">
        <f t="shared" si="13"/>
        <v/>
      </c>
      <c r="X29" s="210"/>
      <c r="Y29" s="210"/>
      <c r="Z29" s="210"/>
      <c r="AC29" s="161" t="s">
        <v>35</v>
      </c>
      <c r="AD29" s="217" t="e">
        <f>ROUND((1+AD30)^(1/12)-1,P22+2)</f>
        <v>#VALUE!</v>
      </c>
      <c r="AE29" s="217" t="e">
        <f>ROUND((1+AE30)^(1/12)-1,P22+2)</f>
        <v>#VALUE!</v>
      </c>
      <c r="AF29" s="82">
        <f t="shared" si="7"/>
        <v>5</v>
      </c>
      <c r="AG29" s="82" t="s">
        <v>14</v>
      </c>
      <c r="AH29" s="236"/>
      <c r="AI29" s="114">
        <f t="shared" si="14"/>
        <v>0</v>
      </c>
      <c r="AJ29" s="113"/>
      <c r="AL29" s="477">
        <f t="shared" ca="1" si="15"/>
        <v>0</v>
      </c>
    </row>
    <row r="30" spans="2:38" ht="12" customHeight="1">
      <c r="B30" s="222">
        <f ca="1">Fixa!B30</f>
        <v>46342</v>
      </c>
      <c r="C30" s="223" t="str">
        <f>Fixa!C30</f>
        <v/>
      </c>
      <c r="D30" s="43" t="e">
        <f t="shared" si="0"/>
        <v>#VALUE!</v>
      </c>
      <c r="E30" s="43" t="e">
        <f t="shared" si="1"/>
        <v>#VALUE!</v>
      </c>
      <c r="F30" s="43" t="e">
        <f t="shared" si="1"/>
        <v>#VALUE!</v>
      </c>
      <c r="G30" s="43" t="e">
        <f t="shared" si="2"/>
        <v>#VALUE!</v>
      </c>
      <c r="H30" s="43" t="e">
        <f t="shared" ca="1" si="3"/>
        <v>#VALUE!</v>
      </c>
      <c r="I30" s="43">
        <f t="shared" si="4"/>
        <v>0</v>
      </c>
      <c r="J30" s="229">
        <f t="shared" si="8"/>
        <v>25</v>
      </c>
      <c r="K30" s="43">
        <f t="shared" si="9"/>
        <v>0</v>
      </c>
      <c r="M30" s="224"/>
      <c r="N30" s="225">
        <f t="shared" si="10"/>
        <v>0</v>
      </c>
      <c r="O30" s="43" t="e">
        <f t="shared" si="11"/>
        <v>#VALUE!</v>
      </c>
      <c r="P30" s="43" t="e">
        <f>ROUND(IF(Preenchimento!$G$39="Tabela Price",R30-Q30,(O29*(1+$AD$35))/($AD$28-C29)),$P$22)</f>
        <v>#VALUE!</v>
      </c>
      <c r="Q30" s="43" t="e">
        <f>IF(Preenchimento!$G$39="Tabela Price",O29*(1+$AD$35)*W30,O29*(1+'SAC Padrão_Sem Bonif'!$AD$35)*'SAC Padrão_Sem Bonif'!W30)</f>
        <v>#VALUE!</v>
      </c>
      <c r="R30" s="43" t="e">
        <f>IF(Preenchimento!$G$39="Tabela Price",IF(C30="","",((((((1+W30)^($Q$16-C29))*W30)/((1+W30)^($Q$16-C29)-1))*(O29*(1+$AD$35))))),Q30+P30)</f>
        <v>#VALUE!</v>
      </c>
      <c r="S30" s="43" t="e">
        <f t="shared" ca="1" si="5"/>
        <v>#VALUE!</v>
      </c>
      <c r="T30" s="43">
        <f t="shared" si="12"/>
        <v>0</v>
      </c>
      <c r="U30" s="226">
        <f>TRUNC(T30*Condições!$C$102,2)</f>
        <v>0</v>
      </c>
      <c r="V30" s="82">
        <f t="shared" ca="1" si="6"/>
        <v>11</v>
      </c>
      <c r="W30" s="231" t="str">
        <f t="shared" si="13"/>
        <v/>
      </c>
      <c r="X30" s="210"/>
      <c r="Y30" s="210"/>
      <c r="Z30" s="210"/>
      <c r="AC30" s="161" t="s">
        <v>36</v>
      </c>
      <c r="AD30" s="217" t="str">
        <f>IF(Preenchimento!D18="Parcelas Variáveis",D16,IF(Preenchimento!D18="Parcelas Fixas",Condições!G66,""))</f>
        <v/>
      </c>
      <c r="AE30" s="237" t="str">
        <f>AD30</f>
        <v/>
      </c>
      <c r="AF30" s="82">
        <f t="shared" si="7"/>
        <v>6</v>
      </c>
      <c r="AG30" s="82" t="s">
        <v>15</v>
      </c>
      <c r="AH30" s="236"/>
      <c r="AI30" s="114">
        <f t="shared" si="14"/>
        <v>0</v>
      </c>
      <c r="AJ30" s="113"/>
      <c r="AL30" s="477">
        <f t="shared" ca="1" si="15"/>
        <v>0</v>
      </c>
    </row>
    <row r="31" spans="2:38" ht="12" customHeight="1">
      <c r="B31" s="222">
        <f ca="1">Fixa!B31</f>
        <v>46372</v>
      </c>
      <c r="C31" s="223" t="str">
        <f>Fixa!C31</f>
        <v/>
      </c>
      <c r="D31" s="43" t="e">
        <f t="shared" si="0"/>
        <v>#VALUE!</v>
      </c>
      <c r="E31" s="43" t="e">
        <f t="shared" si="1"/>
        <v>#VALUE!</v>
      </c>
      <c r="F31" s="43" t="e">
        <f t="shared" si="1"/>
        <v>#VALUE!</v>
      </c>
      <c r="G31" s="43" t="e">
        <f t="shared" si="2"/>
        <v>#VALUE!</v>
      </c>
      <c r="H31" s="43" t="e">
        <f t="shared" ca="1" si="3"/>
        <v>#VALUE!</v>
      </c>
      <c r="I31" s="43">
        <f t="shared" si="4"/>
        <v>0</v>
      </c>
      <c r="J31" s="229">
        <f t="shared" si="8"/>
        <v>25</v>
      </c>
      <c r="K31" s="43">
        <f t="shared" si="9"/>
        <v>0</v>
      </c>
      <c r="M31" s="224"/>
      <c r="N31" s="225">
        <f t="shared" si="10"/>
        <v>0</v>
      </c>
      <c r="O31" s="43" t="e">
        <f t="shared" si="11"/>
        <v>#VALUE!</v>
      </c>
      <c r="P31" s="43" t="e">
        <f>ROUND(IF(Preenchimento!$G$39="Tabela Price",R31-Q31,(O30*(1+$AD$35))/($AD$28-C30)),$P$22)</f>
        <v>#VALUE!</v>
      </c>
      <c r="Q31" s="43" t="e">
        <f>IF(Preenchimento!$G$39="Tabela Price",O30*(1+$AD$35)*W31,O30*(1+'SAC Padrão_Sem Bonif'!$AD$35)*'SAC Padrão_Sem Bonif'!W31)</f>
        <v>#VALUE!</v>
      </c>
      <c r="R31" s="43" t="e">
        <f>IF(Preenchimento!$G$39="Tabela Price",IF(C31="","",((((((1+W31)^($Q$16-C30))*W31)/((1+W31)^($Q$16-C30)-1))*(O30*(1+$AD$35))))),Q31+P31)</f>
        <v>#VALUE!</v>
      </c>
      <c r="S31" s="43" t="e">
        <f t="shared" ca="1" si="5"/>
        <v>#VALUE!</v>
      </c>
      <c r="T31" s="43">
        <f t="shared" si="12"/>
        <v>0</v>
      </c>
      <c r="U31" s="226">
        <f>TRUNC(T31*Condições!$C$102,2)</f>
        <v>0</v>
      </c>
      <c r="V31" s="82">
        <f t="shared" ca="1" si="6"/>
        <v>12</v>
      </c>
      <c r="W31" s="231" t="str">
        <f t="shared" si="13"/>
        <v/>
      </c>
      <c r="X31" s="210"/>
      <c r="Y31" s="210"/>
      <c r="Z31" s="210"/>
      <c r="AC31" s="161" t="s">
        <v>24</v>
      </c>
      <c r="AD31" s="227">
        <f>IF(Preenchimento!D17="Funcionários",Condições!C106,Condições!C105)</f>
        <v>25</v>
      </c>
      <c r="AE31" s="238"/>
      <c r="AF31" s="82">
        <f t="shared" si="7"/>
        <v>7</v>
      </c>
      <c r="AG31" s="82" t="s">
        <v>16</v>
      </c>
      <c r="AH31" s="236"/>
      <c r="AI31" s="114">
        <f t="shared" si="14"/>
        <v>0</v>
      </c>
      <c r="AJ31" s="113"/>
      <c r="AL31" s="477">
        <f t="shared" ca="1" si="15"/>
        <v>0</v>
      </c>
    </row>
    <row r="32" spans="2:38" ht="12" customHeight="1">
      <c r="B32" s="222">
        <f ca="1">Fixa!B32</f>
        <v>46403</v>
      </c>
      <c r="C32" s="223" t="str">
        <f>Fixa!C32</f>
        <v/>
      </c>
      <c r="D32" s="43" t="e">
        <f t="shared" si="0"/>
        <v>#VALUE!</v>
      </c>
      <c r="E32" s="43" t="e">
        <f t="shared" si="1"/>
        <v>#VALUE!</v>
      </c>
      <c r="F32" s="43" t="e">
        <f t="shared" si="1"/>
        <v>#VALUE!</v>
      </c>
      <c r="G32" s="43" t="e">
        <f t="shared" si="2"/>
        <v>#VALUE!</v>
      </c>
      <c r="H32" s="43" t="e">
        <f t="shared" ca="1" si="3"/>
        <v>#VALUE!</v>
      </c>
      <c r="I32" s="43">
        <f t="shared" si="4"/>
        <v>0</v>
      </c>
      <c r="J32" s="229">
        <f t="shared" si="8"/>
        <v>25</v>
      </c>
      <c r="K32" s="43">
        <f t="shared" si="9"/>
        <v>0</v>
      </c>
      <c r="M32" s="224"/>
      <c r="N32" s="225">
        <f t="shared" si="10"/>
        <v>0</v>
      </c>
      <c r="O32" s="43" t="e">
        <f t="shared" si="11"/>
        <v>#VALUE!</v>
      </c>
      <c r="P32" s="43" t="e">
        <f>ROUND(IF(Preenchimento!$G$39="Tabela Price",R32-Q32,(O31*(1+$AD$35))/($AD$28-C31)),$P$22)</f>
        <v>#VALUE!</v>
      </c>
      <c r="Q32" s="43" t="e">
        <f>IF(Preenchimento!$G$39="Tabela Price",O31*(1+$AD$35)*W32,O31*(1+'SAC Padrão_Sem Bonif'!$AD$35)*'SAC Padrão_Sem Bonif'!W32)</f>
        <v>#VALUE!</v>
      </c>
      <c r="R32" s="43" t="e">
        <f>IF(Preenchimento!$G$39="Tabela Price",IF(C32="","",((((((1+W32)^($Q$16-C31))*W32)/((1+W32)^($Q$16-C31)-1))*(O31*(1+$AD$35))))),Q32+P32)</f>
        <v>#VALUE!</v>
      </c>
      <c r="S32" s="43" t="e">
        <f t="shared" ca="1" si="5"/>
        <v>#VALUE!</v>
      </c>
      <c r="T32" s="43">
        <f t="shared" si="12"/>
        <v>0</v>
      </c>
      <c r="U32" s="226">
        <f>TRUNC(T32*Condições!$C$102,2)</f>
        <v>0</v>
      </c>
      <c r="V32" s="82">
        <f t="shared" ca="1" si="6"/>
        <v>1</v>
      </c>
      <c r="W32" s="231" t="str">
        <f t="shared" si="13"/>
        <v/>
      </c>
      <c r="X32" s="210"/>
      <c r="Y32" s="210"/>
      <c r="Z32" s="210"/>
      <c r="AC32" s="161" t="s">
        <v>29</v>
      </c>
      <c r="AD32" s="161">
        <f>MAX(Preenchimento!D11:E11)</f>
        <v>0</v>
      </c>
      <c r="AF32" s="82">
        <f t="shared" si="7"/>
        <v>8</v>
      </c>
      <c r="AG32" s="82" t="s">
        <v>17</v>
      </c>
      <c r="AH32" s="236"/>
      <c r="AI32" s="114">
        <f t="shared" si="14"/>
        <v>0</v>
      </c>
      <c r="AJ32" s="113"/>
      <c r="AL32" s="477">
        <f t="shared" ca="1" si="15"/>
        <v>0</v>
      </c>
    </row>
    <row r="33" spans="2:38" ht="12" customHeight="1">
      <c r="B33" s="222">
        <f ca="1">Fixa!B33</f>
        <v>46434</v>
      </c>
      <c r="C33" s="223" t="str">
        <f>Fixa!C33</f>
        <v/>
      </c>
      <c r="D33" s="43" t="e">
        <f t="shared" si="0"/>
        <v>#VALUE!</v>
      </c>
      <c r="E33" s="43" t="e">
        <f t="shared" si="1"/>
        <v>#VALUE!</v>
      </c>
      <c r="F33" s="43" t="e">
        <f t="shared" si="1"/>
        <v>#VALUE!</v>
      </c>
      <c r="G33" s="43" t="e">
        <f t="shared" si="2"/>
        <v>#VALUE!</v>
      </c>
      <c r="H33" s="43" t="e">
        <f t="shared" ca="1" si="3"/>
        <v>#VALUE!</v>
      </c>
      <c r="I33" s="43">
        <f t="shared" si="4"/>
        <v>0</v>
      </c>
      <c r="J33" s="229">
        <f t="shared" si="8"/>
        <v>25</v>
      </c>
      <c r="K33" s="43">
        <f t="shared" si="9"/>
        <v>0</v>
      </c>
      <c r="M33" s="224"/>
      <c r="N33" s="225">
        <f t="shared" si="10"/>
        <v>0</v>
      </c>
      <c r="O33" s="43" t="e">
        <f t="shared" si="11"/>
        <v>#VALUE!</v>
      </c>
      <c r="P33" s="43" t="e">
        <f>ROUND(IF(Preenchimento!$G$39="Tabela Price",R33-Q33,(O32*(1+$AD$35))/($AD$28-C32)),$P$22)</f>
        <v>#VALUE!</v>
      </c>
      <c r="Q33" s="43" t="e">
        <f>IF(Preenchimento!$G$39="Tabela Price",O32*(1+$AD$35)*W33,O32*(1+'SAC Padrão_Sem Bonif'!$AD$35)*'SAC Padrão_Sem Bonif'!W33)</f>
        <v>#VALUE!</v>
      </c>
      <c r="R33" s="43" t="e">
        <f>IF(Preenchimento!$G$39="Tabela Price",IF(C33="","",((((((1+W33)^($Q$16-C32))*W33)/((1+W33)^($Q$16-C32)-1))*(O32*(1+$AD$35))))),Q33+P33)</f>
        <v>#VALUE!</v>
      </c>
      <c r="S33" s="43" t="e">
        <f t="shared" ca="1" si="5"/>
        <v>#VALUE!</v>
      </c>
      <c r="T33" s="43">
        <f t="shared" si="12"/>
        <v>0</v>
      </c>
      <c r="U33" s="226">
        <f>TRUNC(T33*Condições!$C$102,2)</f>
        <v>0</v>
      </c>
      <c r="V33" s="82">
        <f t="shared" ca="1" si="6"/>
        <v>2</v>
      </c>
      <c r="W33" s="231" t="str">
        <f t="shared" si="13"/>
        <v/>
      </c>
      <c r="X33" s="210"/>
      <c r="Y33" s="210"/>
      <c r="Z33" s="210"/>
      <c r="AC33" s="161" t="s">
        <v>28</v>
      </c>
      <c r="AD33" s="239">
        <f>Fixa!AC51</f>
        <v>5.0000000000000002E-5</v>
      </c>
      <c r="AF33" s="82">
        <f t="shared" si="7"/>
        <v>9</v>
      </c>
      <c r="AG33" s="82" t="s">
        <v>18</v>
      </c>
      <c r="AH33" s="236"/>
      <c r="AI33" s="114">
        <f t="shared" si="14"/>
        <v>0</v>
      </c>
      <c r="AJ33" s="113"/>
      <c r="AL33" s="477">
        <f t="shared" ca="1" si="15"/>
        <v>0</v>
      </c>
    </row>
    <row r="34" spans="2:38" ht="12" customHeight="1">
      <c r="B34" s="222">
        <f ca="1">Fixa!B34</f>
        <v>46462</v>
      </c>
      <c r="C34" s="223" t="str">
        <f>Fixa!C34</f>
        <v/>
      </c>
      <c r="D34" s="43" t="e">
        <f t="shared" si="0"/>
        <v>#VALUE!</v>
      </c>
      <c r="E34" s="43" t="e">
        <f t="shared" si="1"/>
        <v>#VALUE!</v>
      </c>
      <c r="F34" s="43" t="e">
        <f t="shared" si="1"/>
        <v>#VALUE!</v>
      </c>
      <c r="G34" s="43" t="e">
        <f t="shared" si="2"/>
        <v>#VALUE!</v>
      </c>
      <c r="H34" s="43" t="e">
        <f t="shared" ca="1" si="3"/>
        <v>#VALUE!</v>
      </c>
      <c r="I34" s="43">
        <f t="shared" si="4"/>
        <v>0</v>
      </c>
      <c r="J34" s="229">
        <f t="shared" si="8"/>
        <v>25</v>
      </c>
      <c r="K34" s="43">
        <f t="shared" si="9"/>
        <v>0</v>
      </c>
      <c r="M34" s="224"/>
      <c r="N34" s="225">
        <f t="shared" si="10"/>
        <v>0</v>
      </c>
      <c r="O34" s="43" t="e">
        <f t="shared" si="11"/>
        <v>#VALUE!</v>
      </c>
      <c r="P34" s="43" t="e">
        <f>ROUND(IF(Preenchimento!$G$39="Tabela Price",R34-Q34,(O33*(1+$AD$35))/($AD$28-C33)),$P$22)</f>
        <v>#VALUE!</v>
      </c>
      <c r="Q34" s="43" t="e">
        <f>IF(Preenchimento!$G$39="Tabela Price",O33*(1+$AD$35)*W34,O33*(1+'SAC Padrão_Sem Bonif'!$AD$35)*'SAC Padrão_Sem Bonif'!W34)</f>
        <v>#VALUE!</v>
      </c>
      <c r="R34" s="43" t="e">
        <f>IF(Preenchimento!$G$39="Tabela Price",IF(C34="","",((((((1+W34)^($Q$16-C33))*W34)/((1+W34)^($Q$16-C33)-1))*(O33*(1+$AD$35))))),Q34+P34)</f>
        <v>#VALUE!</v>
      </c>
      <c r="S34" s="43" t="e">
        <f t="shared" ca="1" si="5"/>
        <v>#VALUE!</v>
      </c>
      <c r="T34" s="43">
        <f t="shared" si="12"/>
        <v>0</v>
      </c>
      <c r="U34" s="226">
        <f>TRUNC(T34*Condições!$C$102,2)</f>
        <v>0</v>
      </c>
      <c r="V34" s="82">
        <f t="shared" ca="1" si="6"/>
        <v>3</v>
      </c>
      <c r="W34" s="231" t="str">
        <f t="shared" si="13"/>
        <v/>
      </c>
      <c r="X34" s="210"/>
      <c r="Y34" s="210"/>
      <c r="Z34" s="210"/>
      <c r="AC34" s="161" t="s">
        <v>30</v>
      </c>
      <c r="AD34" s="240">
        <f ca="1">Fixa!AC52</f>
        <v>7.1000000000000004E-3</v>
      </c>
      <c r="AF34" s="82">
        <f t="shared" si="7"/>
        <v>10</v>
      </c>
      <c r="AG34" s="82" t="s">
        <v>19</v>
      </c>
      <c r="AH34" s="236"/>
      <c r="AI34" s="114">
        <f t="shared" si="14"/>
        <v>0</v>
      </c>
      <c r="AJ34" s="113"/>
      <c r="AL34" s="477">
        <f t="shared" ca="1" si="15"/>
        <v>0</v>
      </c>
    </row>
    <row r="35" spans="2:38" ht="12" customHeight="1">
      <c r="B35" s="222">
        <f ca="1">Fixa!B35</f>
        <v>46493</v>
      </c>
      <c r="C35" s="223" t="str">
        <f>Fixa!C35</f>
        <v/>
      </c>
      <c r="D35" s="43" t="e">
        <f t="shared" si="0"/>
        <v>#VALUE!</v>
      </c>
      <c r="E35" s="43" t="e">
        <f t="shared" si="1"/>
        <v>#VALUE!</v>
      </c>
      <c r="F35" s="43" t="e">
        <f t="shared" si="1"/>
        <v>#VALUE!</v>
      </c>
      <c r="G35" s="43" t="e">
        <f t="shared" si="2"/>
        <v>#VALUE!</v>
      </c>
      <c r="H35" s="43" t="e">
        <f t="shared" ca="1" si="3"/>
        <v>#VALUE!</v>
      </c>
      <c r="I35" s="43">
        <f t="shared" si="4"/>
        <v>0</v>
      </c>
      <c r="J35" s="229">
        <f t="shared" si="8"/>
        <v>25</v>
      </c>
      <c r="K35" s="43">
        <f t="shared" si="9"/>
        <v>0</v>
      </c>
      <c r="M35" s="224"/>
      <c r="N35" s="225">
        <f t="shared" si="10"/>
        <v>0</v>
      </c>
      <c r="O35" s="43" t="e">
        <f t="shared" si="11"/>
        <v>#VALUE!</v>
      </c>
      <c r="P35" s="43" t="e">
        <f>ROUND(IF(Preenchimento!$G$39="Tabela Price",R35-Q35,(O34*(1+$AD$35))/($AD$28-C34)),$P$22)</f>
        <v>#VALUE!</v>
      </c>
      <c r="Q35" s="43" t="e">
        <f>IF(Preenchimento!$G$39="Tabela Price",O34*(1+$AD$35)*W35,O34*(1+'SAC Padrão_Sem Bonif'!$AD$35)*'SAC Padrão_Sem Bonif'!W35)</f>
        <v>#VALUE!</v>
      </c>
      <c r="R35" s="43" t="e">
        <f>IF(Preenchimento!$G$39="Tabela Price",IF(C35="","",((((((1+W35)^($Q$16-C34))*W35)/((1+W35)^($Q$16-C34)-1))*(O34*(1+$AD$35))))),Q35+P35)</f>
        <v>#VALUE!</v>
      </c>
      <c r="S35" s="43" t="e">
        <f t="shared" ca="1" si="5"/>
        <v>#VALUE!</v>
      </c>
      <c r="T35" s="43">
        <f t="shared" si="12"/>
        <v>0</v>
      </c>
      <c r="U35" s="226">
        <f>TRUNC(T35*Condições!$C$102,2)</f>
        <v>0</v>
      </c>
      <c r="V35" s="82">
        <f t="shared" ca="1" si="6"/>
        <v>4</v>
      </c>
      <c r="W35" s="231" t="str">
        <f t="shared" si="13"/>
        <v/>
      </c>
      <c r="X35" s="210"/>
      <c r="Y35" s="210"/>
      <c r="Z35" s="210"/>
      <c r="AC35" s="161" t="s">
        <v>37</v>
      </c>
      <c r="AD35" s="217">
        <f>ROUND((1+Preenchimento!D22)^(1/12)-1,9+2)</f>
        <v>0</v>
      </c>
      <c r="AF35" s="82">
        <f t="shared" si="7"/>
        <v>11</v>
      </c>
      <c r="AG35" s="82" t="s">
        <v>20</v>
      </c>
      <c r="AH35" s="236"/>
      <c r="AI35" s="114">
        <f t="shared" si="14"/>
        <v>0</v>
      </c>
      <c r="AJ35" s="113"/>
      <c r="AL35" s="477">
        <f t="shared" ca="1" si="15"/>
        <v>0</v>
      </c>
    </row>
    <row r="36" spans="2:38" ht="12" customHeight="1">
      <c r="B36" s="222">
        <f ca="1">Fixa!B36</f>
        <v>46523</v>
      </c>
      <c r="C36" s="223" t="str">
        <f>Fixa!C36</f>
        <v/>
      </c>
      <c r="D36" s="43" t="e">
        <f t="shared" si="0"/>
        <v>#VALUE!</v>
      </c>
      <c r="E36" s="43" t="e">
        <f t="shared" si="1"/>
        <v>#VALUE!</v>
      </c>
      <c r="F36" s="43" t="e">
        <f t="shared" si="1"/>
        <v>#VALUE!</v>
      </c>
      <c r="G36" s="43" t="e">
        <f t="shared" si="2"/>
        <v>#VALUE!</v>
      </c>
      <c r="H36" s="43" t="e">
        <f t="shared" ca="1" si="3"/>
        <v>#VALUE!</v>
      </c>
      <c r="I36" s="43">
        <f t="shared" si="4"/>
        <v>0</v>
      </c>
      <c r="J36" s="229">
        <f t="shared" si="8"/>
        <v>25</v>
      </c>
      <c r="K36" s="43">
        <f t="shared" si="9"/>
        <v>0</v>
      </c>
      <c r="M36" s="224"/>
      <c r="N36" s="225">
        <f t="shared" si="10"/>
        <v>0</v>
      </c>
      <c r="O36" s="43" t="e">
        <f t="shared" si="11"/>
        <v>#VALUE!</v>
      </c>
      <c r="P36" s="43" t="e">
        <f>ROUND(IF(Preenchimento!$G$39="Tabela Price",R36-Q36,(O35*(1+$AD$35))/($AD$28-C35)),$P$22)</f>
        <v>#VALUE!</v>
      </c>
      <c r="Q36" s="43" t="e">
        <f>IF(Preenchimento!$G$39="Tabela Price",O35*(1+$AD$35)*W36,O35*(1+'SAC Padrão_Sem Bonif'!$AD$35)*'SAC Padrão_Sem Bonif'!W36)</f>
        <v>#VALUE!</v>
      </c>
      <c r="R36" s="43" t="e">
        <f>IF(Preenchimento!$G$39="Tabela Price",IF(C36="","",((((((1+W36)^($Q$16-C35))*W36)/((1+W36)^($Q$16-C35)-1))*(O35*(1+$AD$35))))),Q36+P36)</f>
        <v>#VALUE!</v>
      </c>
      <c r="S36" s="43" t="e">
        <f t="shared" ca="1" si="5"/>
        <v>#VALUE!</v>
      </c>
      <c r="T36" s="43">
        <f t="shared" si="12"/>
        <v>0</v>
      </c>
      <c r="U36" s="226">
        <f>TRUNC(T36*Condições!$C$102,2)</f>
        <v>0</v>
      </c>
      <c r="V36" s="82">
        <f t="shared" ca="1" si="6"/>
        <v>5</v>
      </c>
      <c r="W36" s="231" t="str">
        <f t="shared" si="13"/>
        <v/>
      </c>
      <c r="X36" s="210"/>
      <c r="Y36" s="210"/>
      <c r="Z36" s="210"/>
      <c r="AC36" s="241"/>
      <c r="AD36" s="217"/>
      <c r="AF36" s="82">
        <f t="shared" si="7"/>
        <v>12</v>
      </c>
      <c r="AG36" s="82" t="s">
        <v>21</v>
      </c>
      <c r="AH36" s="236"/>
      <c r="AI36" s="114">
        <f t="shared" si="14"/>
        <v>0</v>
      </c>
      <c r="AJ36" s="113"/>
      <c r="AL36" s="477">
        <f t="shared" ca="1" si="15"/>
        <v>0</v>
      </c>
    </row>
    <row r="37" spans="2:38" ht="12" customHeight="1">
      <c r="B37" s="222">
        <f ca="1">Fixa!B37</f>
        <v>46554</v>
      </c>
      <c r="C37" s="223" t="str">
        <f>Fixa!C37</f>
        <v/>
      </c>
      <c r="D37" s="43" t="e">
        <f t="shared" si="0"/>
        <v>#VALUE!</v>
      </c>
      <c r="E37" s="43" t="e">
        <f t="shared" si="1"/>
        <v>#VALUE!</v>
      </c>
      <c r="F37" s="43" t="e">
        <f t="shared" si="1"/>
        <v>#VALUE!</v>
      </c>
      <c r="G37" s="43" t="e">
        <f t="shared" si="2"/>
        <v>#VALUE!</v>
      </c>
      <c r="H37" s="43" t="e">
        <f t="shared" ca="1" si="3"/>
        <v>#VALUE!</v>
      </c>
      <c r="I37" s="43">
        <f t="shared" si="4"/>
        <v>0</v>
      </c>
      <c r="J37" s="229">
        <f t="shared" si="8"/>
        <v>25</v>
      </c>
      <c r="K37" s="43">
        <f t="shared" si="9"/>
        <v>0</v>
      </c>
      <c r="M37" s="224"/>
      <c r="N37" s="225">
        <f t="shared" si="10"/>
        <v>0</v>
      </c>
      <c r="O37" s="43" t="e">
        <f t="shared" si="11"/>
        <v>#VALUE!</v>
      </c>
      <c r="P37" s="43" t="e">
        <f>ROUND(IF(Preenchimento!$G$39="Tabela Price",R37-Q37,(O36*(1+$AD$35))/($AD$28-C36)),$P$22)</f>
        <v>#VALUE!</v>
      </c>
      <c r="Q37" s="43" t="e">
        <f>IF(Preenchimento!$G$39="Tabela Price",O36*(1+$AD$35)*W37,O36*(1+'SAC Padrão_Sem Bonif'!$AD$35)*'SAC Padrão_Sem Bonif'!W37)</f>
        <v>#VALUE!</v>
      </c>
      <c r="R37" s="43" t="e">
        <f>IF(Preenchimento!$G$39="Tabela Price",IF(C37="","",((((((1+W37)^($Q$16-C36))*W37)/((1+W37)^($Q$16-C36)-1))*(O36*(1+$AD$35))))),Q37+P37)</f>
        <v>#VALUE!</v>
      </c>
      <c r="S37" s="43" t="e">
        <f t="shared" ca="1" si="5"/>
        <v>#VALUE!</v>
      </c>
      <c r="T37" s="43">
        <f t="shared" si="12"/>
        <v>0</v>
      </c>
      <c r="U37" s="226">
        <f>TRUNC(T37*Condições!$C$102,2)</f>
        <v>0</v>
      </c>
      <c r="V37" s="82">
        <f t="shared" ca="1" si="6"/>
        <v>6</v>
      </c>
      <c r="W37" s="231" t="str">
        <f t="shared" si="13"/>
        <v/>
      </c>
      <c r="X37" s="210"/>
      <c r="Y37" s="210"/>
      <c r="Z37" s="210"/>
      <c r="AC37" s="161" t="s">
        <v>63</v>
      </c>
      <c r="AD37" s="227">
        <f>Preenchimento!C72</f>
        <v>0</v>
      </c>
      <c r="AH37" s="236"/>
      <c r="AI37" s="114">
        <f t="shared" si="14"/>
        <v>0</v>
      </c>
      <c r="AJ37" s="113"/>
      <c r="AL37" s="477">
        <f t="shared" ca="1" si="15"/>
        <v>0</v>
      </c>
    </row>
    <row r="38" spans="2:38" ht="12" customHeight="1">
      <c r="B38" s="222">
        <f ca="1">Fixa!B38</f>
        <v>46584</v>
      </c>
      <c r="C38" s="223" t="str">
        <f>Fixa!C38</f>
        <v/>
      </c>
      <c r="D38" s="43" t="e">
        <f t="shared" si="0"/>
        <v>#VALUE!</v>
      </c>
      <c r="E38" s="43" t="e">
        <f t="shared" si="1"/>
        <v>#VALUE!</v>
      </c>
      <c r="F38" s="43" t="e">
        <f t="shared" si="1"/>
        <v>#VALUE!</v>
      </c>
      <c r="G38" s="43" t="e">
        <f t="shared" si="2"/>
        <v>#VALUE!</v>
      </c>
      <c r="H38" s="43" t="e">
        <f t="shared" ca="1" si="3"/>
        <v>#VALUE!</v>
      </c>
      <c r="I38" s="43">
        <f t="shared" si="4"/>
        <v>0</v>
      </c>
      <c r="J38" s="229">
        <f t="shared" si="8"/>
        <v>25</v>
      </c>
      <c r="K38" s="43">
        <f t="shared" si="9"/>
        <v>0</v>
      </c>
      <c r="M38" s="224"/>
      <c r="N38" s="225">
        <f t="shared" si="10"/>
        <v>0</v>
      </c>
      <c r="O38" s="43" t="e">
        <f t="shared" si="11"/>
        <v>#VALUE!</v>
      </c>
      <c r="P38" s="43" t="e">
        <f>ROUND(IF(Preenchimento!$G$39="Tabela Price",R38-Q38,(O37*(1+$AD$35))/($AD$28-C37)),$P$22)</f>
        <v>#VALUE!</v>
      </c>
      <c r="Q38" s="43" t="e">
        <f>IF(Preenchimento!$G$39="Tabela Price",O37*(1+$AD$35)*W38,O37*(1+'SAC Padrão_Sem Bonif'!$AD$35)*'SAC Padrão_Sem Bonif'!W38)</f>
        <v>#VALUE!</v>
      </c>
      <c r="R38" s="43" t="e">
        <f>IF(Preenchimento!$G$39="Tabela Price",IF(C38="","",((((((1+W38)^($Q$16-C37))*W38)/((1+W38)^($Q$16-C37)-1))*(O37*(1+$AD$35))))),Q38+P38)</f>
        <v>#VALUE!</v>
      </c>
      <c r="S38" s="43" t="e">
        <f t="shared" ca="1" si="5"/>
        <v>#VALUE!</v>
      </c>
      <c r="T38" s="43">
        <f t="shared" si="12"/>
        <v>0</v>
      </c>
      <c r="U38" s="226">
        <f>TRUNC(T38*Condições!$C$102,2)</f>
        <v>0</v>
      </c>
      <c r="V38" s="82">
        <f t="shared" ca="1" si="6"/>
        <v>7</v>
      </c>
      <c r="W38" s="231" t="str">
        <f t="shared" si="13"/>
        <v/>
      </c>
      <c r="X38" s="210"/>
      <c r="Y38" s="210"/>
      <c r="Z38" s="210"/>
      <c r="AC38" s="80" t="s">
        <v>60</v>
      </c>
      <c r="AD38" s="242">
        <f>Fixa!AC54</f>
        <v>0</v>
      </c>
      <c r="AE38" s="82" t="str">
        <f>Fixa!AE54</f>
        <v>FALSO</v>
      </c>
      <c r="AI38" s="114">
        <f t="shared" si="14"/>
        <v>0</v>
      </c>
      <c r="AJ38" s="113"/>
      <c r="AL38" s="477">
        <f t="shared" ca="1" si="15"/>
        <v>0</v>
      </c>
    </row>
    <row r="39" spans="2:38" ht="12" customHeight="1">
      <c r="B39" s="222">
        <f ca="1">Fixa!B39</f>
        <v>46615</v>
      </c>
      <c r="C39" s="223" t="str">
        <f>Fixa!C39</f>
        <v/>
      </c>
      <c r="D39" s="43" t="e">
        <f t="shared" si="0"/>
        <v>#VALUE!</v>
      </c>
      <c r="E39" s="43" t="e">
        <f t="shared" si="1"/>
        <v>#VALUE!</v>
      </c>
      <c r="F39" s="43" t="e">
        <f t="shared" si="1"/>
        <v>#VALUE!</v>
      </c>
      <c r="G39" s="43" t="e">
        <f t="shared" si="2"/>
        <v>#VALUE!</v>
      </c>
      <c r="H39" s="43" t="e">
        <f t="shared" ca="1" si="3"/>
        <v>#VALUE!</v>
      </c>
      <c r="I39" s="43">
        <f t="shared" si="4"/>
        <v>0</v>
      </c>
      <c r="J39" s="229">
        <f t="shared" si="8"/>
        <v>25</v>
      </c>
      <c r="K39" s="43">
        <f t="shared" si="9"/>
        <v>0</v>
      </c>
      <c r="M39" s="224"/>
      <c r="N39" s="225">
        <f t="shared" si="10"/>
        <v>0</v>
      </c>
      <c r="O39" s="43" t="e">
        <f t="shared" si="11"/>
        <v>#VALUE!</v>
      </c>
      <c r="P39" s="43" t="e">
        <f>ROUND(IF(Preenchimento!$G$39="Tabela Price",R39-Q39,(O38*(1+$AD$35))/($AD$28-C38)),$P$22)</f>
        <v>#VALUE!</v>
      </c>
      <c r="Q39" s="43" t="e">
        <f>IF(Preenchimento!$G$39="Tabela Price",O38*(1+$AD$35)*W39,O38*(1+'SAC Padrão_Sem Bonif'!$AD$35)*'SAC Padrão_Sem Bonif'!W39)</f>
        <v>#VALUE!</v>
      </c>
      <c r="R39" s="43" t="e">
        <f>IF(Preenchimento!$G$39="Tabela Price",IF(C39="","",((((((1+W39)^($Q$16-C38))*W39)/((1+W39)^($Q$16-C38)-1))*(O38*(1+$AD$35))))),Q39+P39)</f>
        <v>#VALUE!</v>
      </c>
      <c r="S39" s="43" t="e">
        <f t="shared" ca="1" si="5"/>
        <v>#VALUE!</v>
      </c>
      <c r="T39" s="43">
        <f t="shared" si="12"/>
        <v>0</v>
      </c>
      <c r="U39" s="226">
        <f>TRUNC(T39*Condições!$C$102,2)</f>
        <v>0</v>
      </c>
      <c r="V39" s="82">
        <f t="shared" ca="1" si="6"/>
        <v>8</v>
      </c>
      <c r="W39" s="231" t="str">
        <f t="shared" si="13"/>
        <v/>
      </c>
      <c r="X39" s="210"/>
      <c r="Y39" s="210"/>
      <c r="Z39" s="210"/>
      <c r="AC39" s="80" t="s">
        <v>169</v>
      </c>
      <c r="AD39" s="242">
        <f>Fixa!AC55</f>
        <v>0</v>
      </c>
      <c r="AE39" s="82" t="str">
        <f>Fixa!AE55</f>
        <v>FALSO</v>
      </c>
      <c r="AI39" s="114">
        <f t="shared" si="14"/>
        <v>0</v>
      </c>
      <c r="AJ39" s="113"/>
      <c r="AL39" s="477">
        <f t="shared" ca="1" si="15"/>
        <v>0</v>
      </c>
    </row>
    <row r="40" spans="2:38" ht="12" customHeight="1">
      <c r="B40" s="222">
        <f ca="1">Fixa!B40</f>
        <v>46646</v>
      </c>
      <c r="C40" s="223" t="str">
        <f>Fixa!C40</f>
        <v/>
      </c>
      <c r="D40" s="43" t="e">
        <f t="shared" si="0"/>
        <v>#VALUE!</v>
      </c>
      <c r="E40" s="43" t="e">
        <f t="shared" si="1"/>
        <v>#VALUE!</v>
      </c>
      <c r="F40" s="43" t="e">
        <f t="shared" si="1"/>
        <v>#VALUE!</v>
      </c>
      <c r="G40" s="43" t="e">
        <f t="shared" si="2"/>
        <v>#VALUE!</v>
      </c>
      <c r="H40" s="43" t="e">
        <f t="shared" ca="1" si="3"/>
        <v>#VALUE!</v>
      </c>
      <c r="I40" s="43">
        <f t="shared" si="4"/>
        <v>0</v>
      </c>
      <c r="J40" s="229">
        <f t="shared" si="8"/>
        <v>25</v>
      </c>
      <c r="K40" s="43">
        <f t="shared" si="9"/>
        <v>0</v>
      </c>
      <c r="M40" s="224"/>
      <c r="N40" s="225">
        <f t="shared" si="10"/>
        <v>0</v>
      </c>
      <c r="O40" s="43" t="e">
        <f t="shared" si="11"/>
        <v>#VALUE!</v>
      </c>
      <c r="P40" s="43" t="e">
        <f>ROUND(IF(Preenchimento!$G$39="Tabela Price",R40-Q40,(O39*(1+$AD$35))/($AD$28-C39)),$P$22)</f>
        <v>#VALUE!</v>
      </c>
      <c r="Q40" s="43" t="e">
        <f>IF(Preenchimento!$G$39="Tabela Price",O39*(1+$AD$35)*W40,O39*(1+'SAC Padrão_Sem Bonif'!$AD$35)*'SAC Padrão_Sem Bonif'!W40)</f>
        <v>#VALUE!</v>
      </c>
      <c r="R40" s="43" t="e">
        <f>IF(Preenchimento!$G$39="Tabela Price",IF(C40="","",((((((1+W40)^($Q$16-C39))*W40)/((1+W40)^($Q$16-C39)-1))*(O39*(1+$AD$35))))),Q40+P40)</f>
        <v>#VALUE!</v>
      </c>
      <c r="S40" s="43" t="e">
        <f t="shared" ca="1" si="5"/>
        <v>#VALUE!</v>
      </c>
      <c r="T40" s="43">
        <f t="shared" si="12"/>
        <v>0</v>
      </c>
      <c r="U40" s="226">
        <f>TRUNC(T40*Condições!$C$102,2)</f>
        <v>0</v>
      </c>
      <c r="V40" s="82">
        <f t="shared" ca="1" si="6"/>
        <v>9</v>
      </c>
      <c r="W40" s="231" t="str">
        <f t="shared" si="13"/>
        <v/>
      </c>
      <c r="X40" s="210"/>
      <c r="Y40" s="210"/>
      <c r="Z40" s="210"/>
      <c r="AC40" s="80" t="s">
        <v>348</v>
      </c>
      <c r="AD40" s="242">
        <f>Fixa!AC56</f>
        <v>0</v>
      </c>
      <c r="AE40" s="82" t="str">
        <f>Fixa!AE56</f>
        <v>FALSO</v>
      </c>
      <c r="AI40" s="114">
        <f t="shared" si="14"/>
        <v>0</v>
      </c>
      <c r="AJ40" s="113"/>
      <c r="AL40" s="477">
        <f t="shared" ca="1" si="15"/>
        <v>0</v>
      </c>
    </row>
    <row r="41" spans="2:38" ht="12" customHeight="1">
      <c r="B41" s="222">
        <f ca="1">Fixa!B41</f>
        <v>46676</v>
      </c>
      <c r="C41" s="223" t="str">
        <f>Fixa!C41</f>
        <v/>
      </c>
      <c r="D41" s="43" t="e">
        <f t="shared" si="0"/>
        <v>#VALUE!</v>
      </c>
      <c r="E41" s="43" t="e">
        <f t="shared" si="1"/>
        <v>#VALUE!</v>
      </c>
      <c r="F41" s="43" t="e">
        <f t="shared" si="1"/>
        <v>#VALUE!</v>
      </c>
      <c r="G41" s="43" t="e">
        <f t="shared" si="2"/>
        <v>#VALUE!</v>
      </c>
      <c r="H41" s="43" t="e">
        <f t="shared" ca="1" si="3"/>
        <v>#VALUE!</v>
      </c>
      <c r="I41" s="43">
        <f t="shared" si="4"/>
        <v>0</v>
      </c>
      <c r="J41" s="229">
        <f t="shared" si="8"/>
        <v>25</v>
      </c>
      <c r="K41" s="43">
        <f t="shared" si="9"/>
        <v>0</v>
      </c>
      <c r="M41" s="224"/>
      <c r="N41" s="225">
        <f t="shared" si="10"/>
        <v>0</v>
      </c>
      <c r="O41" s="43" t="e">
        <f t="shared" si="11"/>
        <v>#VALUE!</v>
      </c>
      <c r="P41" s="43" t="e">
        <f>ROUND(IF(Preenchimento!$G$39="Tabela Price",R41-Q41,(O40*(1+$AD$35))/($AD$28-C40)),$P$22)</f>
        <v>#VALUE!</v>
      </c>
      <c r="Q41" s="43" t="e">
        <f>IF(Preenchimento!$G$39="Tabela Price",O40*(1+$AD$35)*W41,O40*(1+'SAC Padrão_Sem Bonif'!$AD$35)*'SAC Padrão_Sem Bonif'!W41)</f>
        <v>#VALUE!</v>
      </c>
      <c r="R41" s="43" t="e">
        <f>IF(Preenchimento!$G$39="Tabela Price",IF(C41="","",((((((1+W41)^($Q$16-C40))*W41)/((1+W41)^($Q$16-C40)-1))*(O40*(1+$AD$35))))),Q41+P41)</f>
        <v>#VALUE!</v>
      </c>
      <c r="S41" s="43" t="e">
        <f t="shared" ca="1" si="5"/>
        <v>#VALUE!</v>
      </c>
      <c r="T41" s="43">
        <f t="shared" si="12"/>
        <v>0</v>
      </c>
      <c r="U41" s="226">
        <f>TRUNC(T41*Condições!$C$102,2)</f>
        <v>0</v>
      </c>
      <c r="V41" s="82">
        <f t="shared" ca="1" si="6"/>
        <v>10</v>
      </c>
      <c r="W41" s="231" t="str">
        <f t="shared" si="13"/>
        <v/>
      </c>
      <c r="X41" s="210"/>
      <c r="Y41" s="210"/>
      <c r="Z41" s="210"/>
      <c r="AC41" s="80" t="s">
        <v>58</v>
      </c>
      <c r="AD41" s="242">
        <f>Fixa!AC57</f>
        <v>0</v>
      </c>
      <c r="AE41" s="82" t="str">
        <f>Fixa!AE57</f>
        <v>FALSO</v>
      </c>
      <c r="AI41" s="114">
        <f t="shared" si="14"/>
        <v>0</v>
      </c>
      <c r="AJ41" s="113"/>
      <c r="AL41" s="477">
        <f t="shared" ca="1" si="15"/>
        <v>0</v>
      </c>
    </row>
    <row r="42" spans="2:38" ht="12" customHeight="1">
      <c r="B42" s="222">
        <f ca="1">Fixa!B42</f>
        <v>46707</v>
      </c>
      <c r="C42" s="223" t="str">
        <f>Fixa!C42</f>
        <v/>
      </c>
      <c r="D42" s="43" t="e">
        <f t="shared" si="0"/>
        <v>#VALUE!</v>
      </c>
      <c r="E42" s="43" t="e">
        <f t="shared" si="1"/>
        <v>#VALUE!</v>
      </c>
      <c r="F42" s="43" t="e">
        <f t="shared" si="1"/>
        <v>#VALUE!</v>
      </c>
      <c r="G42" s="43" t="e">
        <f t="shared" si="2"/>
        <v>#VALUE!</v>
      </c>
      <c r="H42" s="43" t="e">
        <f t="shared" ca="1" si="3"/>
        <v>#VALUE!</v>
      </c>
      <c r="I42" s="43">
        <f t="shared" si="4"/>
        <v>0</v>
      </c>
      <c r="J42" s="229">
        <f t="shared" si="8"/>
        <v>25</v>
      </c>
      <c r="K42" s="43">
        <f t="shared" si="9"/>
        <v>0</v>
      </c>
      <c r="M42" s="224"/>
      <c r="N42" s="225">
        <f t="shared" si="10"/>
        <v>0</v>
      </c>
      <c r="O42" s="43" t="e">
        <f t="shared" si="11"/>
        <v>#VALUE!</v>
      </c>
      <c r="P42" s="43" t="e">
        <f>ROUND(IF(Preenchimento!$G$39="Tabela Price",R42-Q42,(O41*(1+$AD$35))/($AD$28-C41)),$P$22)</f>
        <v>#VALUE!</v>
      </c>
      <c r="Q42" s="43" t="e">
        <f>IF(Preenchimento!$G$39="Tabela Price",O41*(1+$AD$35)*W42,O41*(1+'SAC Padrão_Sem Bonif'!$AD$35)*'SAC Padrão_Sem Bonif'!W42)</f>
        <v>#VALUE!</v>
      </c>
      <c r="R42" s="43" t="e">
        <f>IF(Preenchimento!$G$39="Tabela Price",IF(C42="","",((((((1+W42)^($Q$16-C41))*W42)/((1+W42)^($Q$16-C41)-1))*(O41*(1+$AD$35))))),Q42+P42)</f>
        <v>#VALUE!</v>
      </c>
      <c r="S42" s="43" t="e">
        <f t="shared" ca="1" si="5"/>
        <v>#VALUE!</v>
      </c>
      <c r="T42" s="43">
        <f t="shared" si="12"/>
        <v>0</v>
      </c>
      <c r="U42" s="226">
        <f>TRUNC(T42*Condições!$C$102,2)</f>
        <v>0</v>
      </c>
      <c r="V42" s="82">
        <f t="shared" ca="1" si="6"/>
        <v>11</v>
      </c>
      <c r="W42" s="231" t="str">
        <f t="shared" si="13"/>
        <v/>
      </c>
      <c r="X42" s="210"/>
      <c r="Y42" s="210"/>
      <c r="Z42" s="210"/>
      <c r="AC42" s="80" t="s">
        <v>61</v>
      </c>
      <c r="AD42" s="242">
        <f>Fixa!AC58</f>
        <v>0</v>
      </c>
      <c r="AE42" s="82" t="str">
        <f>Fixa!AE58</f>
        <v>FALSO</v>
      </c>
      <c r="AI42" s="114">
        <f t="shared" si="14"/>
        <v>0</v>
      </c>
      <c r="AJ42" s="113"/>
      <c r="AL42" s="477">
        <f t="shared" ca="1" si="15"/>
        <v>0</v>
      </c>
    </row>
    <row r="43" spans="2:38" ht="12" customHeight="1">
      <c r="B43" s="222">
        <f ca="1">Fixa!B43</f>
        <v>46737</v>
      </c>
      <c r="C43" s="223" t="str">
        <f>Fixa!C43</f>
        <v/>
      </c>
      <c r="D43" s="43" t="e">
        <f t="shared" si="0"/>
        <v>#VALUE!</v>
      </c>
      <c r="E43" s="43" t="e">
        <f t="shared" si="1"/>
        <v>#VALUE!</v>
      </c>
      <c r="F43" s="43" t="e">
        <f t="shared" si="1"/>
        <v>#VALUE!</v>
      </c>
      <c r="G43" s="43" t="e">
        <f t="shared" si="2"/>
        <v>#VALUE!</v>
      </c>
      <c r="H43" s="43" t="e">
        <f t="shared" ca="1" si="3"/>
        <v>#VALUE!</v>
      </c>
      <c r="I43" s="43">
        <f t="shared" si="4"/>
        <v>0</v>
      </c>
      <c r="J43" s="229">
        <f t="shared" si="8"/>
        <v>25</v>
      </c>
      <c r="K43" s="43">
        <f t="shared" si="9"/>
        <v>0</v>
      </c>
      <c r="M43" s="224"/>
      <c r="N43" s="225">
        <f t="shared" si="10"/>
        <v>0</v>
      </c>
      <c r="O43" s="43" t="e">
        <f t="shared" si="11"/>
        <v>#VALUE!</v>
      </c>
      <c r="P43" s="43" t="e">
        <f>ROUND(IF(Preenchimento!$G$39="Tabela Price",R43-Q43,(O42*(1+$AD$35))/($AD$28-C42)),$P$22)</f>
        <v>#VALUE!</v>
      </c>
      <c r="Q43" s="43" t="e">
        <f>IF(Preenchimento!$G$39="Tabela Price",O42*(1+$AD$35)*W43,O42*(1+'SAC Padrão_Sem Bonif'!$AD$35)*'SAC Padrão_Sem Bonif'!W43)</f>
        <v>#VALUE!</v>
      </c>
      <c r="R43" s="43" t="e">
        <f>IF(Preenchimento!$G$39="Tabela Price",IF(C43="","",((((((1+W43)^($Q$16-C42))*W43)/((1+W43)^($Q$16-C42)-1))*(O42*(1+$AD$35))))),Q43+P43)</f>
        <v>#VALUE!</v>
      </c>
      <c r="S43" s="43" t="e">
        <f t="shared" ca="1" si="5"/>
        <v>#VALUE!</v>
      </c>
      <c r="T43" s="43">
        <f t="shared" si="12"/>
        <v>0</v>
      </c>
      <c r="U43" s="226">
        <f>TRUNC(T43*Condições!$C$102,2)</f>
        <v>0</v>
      </c>
      <c r="V43" s="82">
        <f t="shared" ca="1" si="6"/>
        <v>12</v>
      </c>
      <c r="W43" s="231" t="str">
        <f t="shared" si="13"/>
        <v/>
      </c>
      <c r="X43" s="210"/>
      <c r="Y43" s="210"/>
      <c r="Z43" s="210"/>
      <c r="AC43" s="243" t="s">
        <v>80</v>
      </c>
      <c r="AD43" s="238" t="e">
        <f ca="1">(IF(    AND(VALUE(MID(TEXT(AI24*100,"0,0000000000000000"),(FIND(",",AI24*100)+3),1))=5,((AI24*100-(INT((AI24*100*1000))/1000))&gt;0)),ROUNDUP(AI24*100,2),    IF(   AND(VALUE(MID(TEXT(AI24*100,"0,0000000000000000"),(FIND(",",AI24*100)+3),1))=5,((AI24*100-(INT((AI24*100*100))/100))=0), VALUE(MID(TEXT(AI24*100,"0,0000000000000000"),(FIND(",",AI24*100)+2),1))&lt;&gt;ODD(VALUE(MID(TEXT(AI24*100,"0,0000000000000000"),(FIND(",",AI24*100)+2),1)))                                 ),ROUNDDOWN(AI24*100,2),      IF(   AND(VALUE(MID(TEXT(AI24*100,"0,0000000000000000"),(FIND(",",AI24*100)+3),1))=5,EVEN(VALUE(MID(TEXT(AI24*100,"0,0000000000000000"),(FIND(",",AI24*100)+2),1)))=VALUE(MID(TEXT(AI24*100,"0,0000000000000000"),(FIND(",",AI24*100)+2),1))),ROUNDDOWN(AI24*100,2),IF(VALUE(MID(TEXT(AI24*100,"0,0000000000000000"),(FIND(",",AI24*100)+3),1))&lt;5,ROUNDDOWN(AI24*100,2),ROUNDUP(AI24*100,2))))))/100</f>
        <v>#NUM!</v>
      </c>
      <c r="AI43" s="114">
        <f t="shared" si="14"/>
        <v>0</v>
      </c>
      <c r="AJ43" s="113"/>
      <c r="AL43" s="477">
        <f t="shared" ca="1" si="15"/>
        <v>0</v>
      </c>
    </row>
    <row r="44" spans="2:38" ht="12" customHeight="1">
      <c r="B44" s="222">
        <f ca="1">Fixa!B44</f>
        <v>46768</v>
      </c>
      <c r="C44" s="223" t="str">
        <f>Fixa!C44</f>
        <v/>
      </c>
      <c r="D44" s="43" t="e">
        <f t="shared" si="0"/>
        <v>#VALUE!</v>
      </c>
      <c r="E44" s="43" t="e">
        <f t="shared" si="1"/>
        <v>#VALUE!</v>
      </c>
      <c r="F44" s="43" t="e">
        <f t="shared" si="1"/>
        <v>#VALUE!</v>
      </c>
      <c r="G44" s="43" t="e">
        <f t="shared" si="2"/>
        <v>#VALUE!</v>
      </c>
      <c r="H44" s="43" t="e">
        <f t="shared" ca="1" si="3"/>
        <v>#VALUE!</v>
      </c>
      <c r="I44" s="43">
        <f t="shared" si="4"/>
        <v>0</v>
      </c>
      <c r="J44" s="229">
        <f t="shared" si="8"/>
        <v>25</v>
      </c>
      <c r="K44" s="43">
        <f t="shared" si="9"/>
        <v>0</v>
      </c>
      <c r="M44" s="224"/>
      <c r="N44" s="225">
        <f t="shared" si="10"/>
        <v>0</v>
      </c>
      <c r="O44" s="43" t="e">
        <f t="shared" si="11"/>
        <v>#VALUE!</v>
      </c>
      <c r="P44" s="43" t="e">
        <f>ROUND(IF(Preenchimento!$G$39="Tabela Price",R44-Q44,(O43*(1+$AD$35))/($AD$28-C43)),$P$22)</f>
        <v>#VALUE!</v>
      </c>
      <c r="Q44" s="43" t="e">
        <f>IF(Preenchimento!$G$39="Tabela Price",O43*(1+$AD$35)*W44,O43*(1+'SAC Padrão_Sem Bonif'!$AD$35)*'SAC Padrão_Sem Bonif'!W44)</f>
        <v>#VALUE!</v>
      </c>
      <c r="R44" s="43" t="e">
        <f>IF(Preenchimento!$G$39="Tabela Price",IF(C44="","",((((((1+W44)^($Q$16-C43))*W44)/((1+W44)^($Q$16-C43)-1))*(O43*(1+$AD$35))))),Q44+P44)</f>
        <v>#VALUE!</v>
      </c>
      <c r="S44" s="43" t="e">
        <f t="shared" ca="1" si="5"/>
        <v>#VALUE!</v>
      </c>
      <c r="T44" s="43">
        <f t="shared" si="12"/>
        <v>0</v>
      </c>
      <c r="U44" s="226">
        <f>TRUNC(T44*Condições!$C$102,2)</f>
        <v>0</v>
      </c>
      <c r="V44" s="82">
        <f t="shared" ca="1" si="6"/>
        <v>1</v>
      </c>
      <c r="W44" s="231" t="str">
        <f t="shared" si="13"/>
        <v/>
      </c>
      <c r="X44" s="210"/>
      <c r="Y44" s="210"/>
      <c r="Z44" s="210"/>
      <c r="AI44" s="114">
        <f t="shared" si="14"/>
        <v>0</v>
      </c>
      <c r="AJ44" s="113"/>
      <c r="AL44" s="477">
        <f t="shared" ca="1" si="15"/>
        <v>0</v>
      </c>
    </row>
    <row r="45" spans="2:38" ht="12" customHeight="1">
      <c r="B45" s="222">
        <f ca="1">Fixa!B45</f>
        <v>46799</v>
      </c>
      <c r="C45" s="223" t="str">
        <f>Fixa!C45</f>
        <v/>
      </c>
      <c r="D45" s="43" t="e">
        <f t="shared" si="0"/>
        <v>#VALUE!</v>
      </c>
      <c r="E45" s="43" t="e">
        <f t="shared" si="1"/>
        <v>#VALUE!</v>
      </c>
      <c r="F45" s="43" t="e">
        <f t="shared" si="1"/>
        <v>#VALUE!</v>
      </c>
      <c r="G45" s="43" t="e">
        <f t="shared" si="2"/>
        <v>#VALUE!</v>
      </c>
      <c r="H45" s="43" t="e">
        <f t="shared" ca="1" si="3"/>
        <v>#VALUE!</v>
      </c>
      <c r="I45" s="43">
        <f t="shared" si="4"/>
        <v>0</v>
      </c>
      <c r="J45" s="229">
        <f t="shared" si="8"/>
        <v>25</v>
      </c>
      <c r="K45" s="43">
        <f t="shared" si="9"/>
        <v>0</v>
      </c>
      <c r="M45" s="224"/>
      <c r="N45" s="225">
        <f t="shared" si="10"/>
        <v>0</v>
      </c>
      <c r="O45" s="43" t="e">
        <f t="shared" si="11"/>
        <v>#VALUE!</v>
      </c>
      <c r="P45" s="43" t="e">
        <f>ROUND(IF(Preenchimento!$G$39="Tabela Price",R45-Q45,(O44*(1+$AD$35))/($AD$28-C44)),$P$22)</f>
        <v>#VALUE!</v>
      </c>
      <c r="Q45" s="43" t="e">
        <f>IF(Preenchimento!$G$39="Tabela Price",O44*(1+$AD$35)*W45,O44*(1+'SAC Padrão_Sem Bonif'!$AD$35)*'SAC Padrão_Sem Bonif'!W45)</f>
        <v>#VALUE!</v>
      </c>
      <c r="R45" s="43" t="e">
        <f>IF(Preenchimento!$G$39="Tabela Price",IF(C45="","",((((((1+W45)^($Q$16-C44))*W45)/((1+W45)^($Q$16-C44)-1))*(O44*(1+$AD$35))))),Q45+P45)</f>
        <v>#VALUE!</v>
      </c>
      <c r="S45" s="43" t="e">
        <f t="shared" ca="1" si="5"/>
        <v>#VALUE!</v>
      </c>
      <c r="T45" s="43">
        <f t="shared" si="12"/>
        <v>0</v>
      </c>
      <c r="U45" s="226">
        <f>TRUNC(T45*Condições!$C$102,2)</f>
        <v>0</v>
      </c>
      <c r="V45" s="82">
        <f t="shared" ca="1" si="6"/>
        <v>2</v>
      </c>
      <c r="W45" s="231" t="str">
        <f t="shared" si="13"/>
        <v/>
      </c>
      <c r="X45" s="210"/>
      <c r="Y45" s="210"/>
      <c r="Z45" s="210"/>
      <c r="AC45" s="244" t="s">
        <v>99</v>
      </c>
      <c r="AD45" s="82">
        <v>36</v>
      </c>
      <c r="AI45" s="114">
        <f t="shared" si="14"/>
        <v>0</v>
      </c>
      <c r="AJ45" s="113"/>
      <c r="AL45" s="477">
        <f t="shared" ca="1" si="15"/>
        <v>0</v>
      </c>
    </row>
    <row r="46" spans="2:38" ht="12" customHeight="1">
      <c r="B46" s="222">
        <f ca="1">Fixa!B46</f>
        <v>46828</v>
      </c>
      <c r="C46" s="223" t="str">
        <f>Fixa!C46</f>
        <v/>
      </c>
      <c r="D46" s="43" t="e">
        <f t="shared" si="0"/>
        <v>#VALUE!</v>
      </c>
      <c r="E46" s="43" t="e">
        <f t="shared" si="1"/>
        <v>#VALUE!</v>
      </c>
      <c r="F46" s="43" t="e">
        <f t="shared" si="1"/>
        <v>#VALUE!</v>
      </c>
      <c r="G46" s="43" t="e">
        <f t="shared" si="2"/>
        <v>#VALUE!</v>
      </c>
      <c r="H46" s="43" t="e">
        <f t="shared" ca="1" si="3"/>
        <v>#VALUE!</v>
      </c>
      <c r="I46" s="43">
        <f t="shared" si="4"/>
        <v>0</v>
      </c>
      <c r="J46" s="229">
        <f t="shared" si="8"/>
        <v>25</v>
      </c>
      <c r="K46" s="43">
        <f t="shared" si="9"/>
        <v>0</v>
      </c>
      <c r="M46" s="224"/>
      <c r="N46" s="225">
        <f t="shared" si="10"/>
        <v>0</v>
      </c>
      <c r="O46" s="43" t="e">
        <f t="shared" si="11"/>
        <v>#VALUE!</v>
      </c>
      <c r="P46" s="43" t="e">
        <f>ROUND(IF(Preenchimento!$G$39="Tabela Price",R46-Q46,(O45*(1+$AD$35))/($AD$28-C45)),$P$22)</f>
        <v>#VALUE!</v>
      </c>
      <c r="Q46" s="43" t="e">
        <f>IF(Preenchimento!$G$39="Tabela Price",O45*(1+$AD$35)*W46,O45*(1+'SAC Padrão_Sem Bonif'!$AD$35)*'SAC Padrão_Sem Bonif'!W46)</f>
        <v>#VALUE!</v>
      </c>
      <c r="R46" s="43" t="e">
        <f>IF(Preenchimento!$G$39="Tabela Price",IF(C46="","",((((((1+W46)^($Q$16-C45))*W46)/((1+W46)^($Q$16-C45)-1))*(O45*(1+$AD$35))))),Q46+P46)</f>
        <v>#VALUE!</v>
      </c>
      <c r="S46" s="43" t="e">
        <f t="shared" ca="1" si="5"/>
        <v>#VALUE!</v>
      </c>
      <c r="T46" s="43">
        <f t="shared" si="12"/>
        <v>0</v>
      </c>
      <c r="U46" s="226">
        <f>TRUNC(T46*Condições!$C$102,2)</f>
        <v>0</v>
      </c>
      <c r="V46" s="82">
        <f t="shared" ca="1" si="6"/>
        <v>3</v>
      </c>
      <c r="W46" s="231" t="str">
        <f t="shared" si="13"/>
        <v/>
      </c>
      <c r="X46" s="210"/>
      <c r="Y46" s="210"/>
      <c r="Z46" s="210"/>
      <c r="AD46" s="82">
        <v>120</v>
      </c>
      <c r="AI46" s="114">
        <f t="shared" si="14"/>
        <v>0</v>
      </c>
      <c r="AJ46" s="113"/>
      <c r="AL46" s="477">
        <f t="shared" ca="1" si="15"/>
        <v>0</v>
      </c>
    </row>
    <row r="47" spans="2:38" ht="12" customHeight="1">
      <c r="B47" s="222">
        <f ca="1">Fixa!B47</f>
        <v>46859</v>
      </c>
      <c r="C47" s="223" t="str">
        <f>Fixa!C47</f>
        <v/>
      </c>
      <c r="D47" s="43" t="e">
        <f t="shared" si="0"/>
        <v>#VALUE!</v>
      </c>
      <c r="E47" s="43" t="e">
        <f t="shared" si="1"/>
        <v>#VALUE!</v>
      </c>
      <c r="F47" s="43" t="e">
        <f t="shared" si="1"/>
        <v>#VALUE!</v>
      </c>
      <c r="G47" s="43" t="e">
        <f t="shared" si="2"/>
        <v>#VALUE!</v>
      </c>
      <c r="H47" s="43" t="e">
        <f t="shared" ca="1" si="3"/>
        <v>#VALUE!</v>
      </c>
      <c r="I47" s="43">
        <f t="shared" si="4"/>
        <v>0</v>
      </c>
      <c r="J47" s="229">
        <f t="shared" si="8"/>
        <v>25</v>
      </c>
      <c r="K47" s="43">
        <f t="shared" si="9"/>
        <v>0</v>
      </c>
      <c r="M47" s="224"/>
      <c r="N47" s="225">
        <f t="shared" si="10"/>
        <v>0</v>
      </c>
      <c r="O47" s="43" t="e">
        <f t="shared" si="11"/>
        <v>#VALUE!</v>
      </c>
      <c r="P47" s="43" t="e">
        <f>ROUND(IF(Preenchimento!$G$39="Tabela Price",R47-Q47,(O46*(1+$AD$35))/($AD$28-C46)),$P$22)</f>
        <v>#VALUE!</v>
      </c>
      <c r="Q47" s="43" t="e">
        <f>IF(Preenchimento!$G$39="Tabela Price",O46*(1+$AD$35)*W47,O46*(1+'SAC Padrão_Sem Bonif'!$AD$35)*'SAC Padrão_Sem Bonif'!W47)</f>
        <v>#VALUE!</v>
      </c>
      <c r="R47" s="43" t="e">
        <f>IF(Preenchimento!$G$39="Tabela Price",IF(C47="","",((((((1+W47)^($Q$16-C46))*W47)/((1+W47)^($Q$16-C46)-1))*(O46*(1+$AD$35))))),Q47+P47)</f>
        <v>#VALUE!</v>
      </c>
      <c r="S47" s="43" t="e">
        <f t="shared" ca="1" si="5"/>
        <v>#VALUE!</v>
      </c>
      <c r="T47" s="43">
        <f t="shared" si="12"/>
        <v>0</v>
      </c>
      <c r="U47" s="226">
        <f>TRUNC(T47*Condições!$C$102,2)</f>
        <v>0</v>
      </c>
      <c r="V47" s="82">
        <f t="shared" ca="1" si="6"/>
        <v>4</v>
      </c>
      <c r="W47" s="231" t="str">
        <f t="shared" si="13"/>
        <v/>
      </c>
      <c r="X47" s="210"/>
      <c r="Y47" s="210"/>
      <c r="Z47" s="210"/>
      <c r="AI47" s="114">
        <f t="shared" si="14"/>
        <v>0</v>
      </c>
      <c r="AJ47" s="113"/>
      <c r="AL47" s="477">
        <f t="shared" ca="1" si="15"/>
        <v>0</v>
      </c>
    </row>
    <row r="48" spans="2:38" ht="12" customHeight="1">
      <c r="B48" s="222">
        <f ca="1">Fixa!B48</f>
        <v>46889</v>
      </c>
      <c r="C48" s="223" t="str">
        <f>Fixa!C48</f>
        <v/>
      </c>
      <c r="D48" s="43" t="e">
        <f t="shared" si="0"/>
        <v>#VALUE!</v>
      </c>
      <c r="E48" s="43" t="e">
        <f t="shared" si="1"/>
        <v>#VALUE!</v>
      </c>
      <c r="F48" s="43" t="e">
        <f t="shared" si="1"/>
        <v>#VALUE!</v>
      </c>
      <c r="G48" s="43" t="e">
        <f t="shared" si="2"/>
        <v>#VALUE!</v>
      </c>
      <c r="H48" s="43" t="e">
        <f t="shared" ca="1" si="3"/>
        <v>#VALUE!</v>
      </c>
      <c r="I48" s="43">
        <f t="shared" si="4"/>
        <v>0</v>
      </c>
      <c r="J48" s="229">
        <f t="shared" si="8"/>
        <v>25</v>
      </c>
      <c r="K48" s="43">
        <f t="shared" si="9"/>
        <v>0</v>
      </c>
      <c r="M48" s="224"/>
      <c r="N48" s="225">
        <f t="shared" si="10"/>
        <v>0</v>
      </c>
      <c r="O48" s="43" t="e">
        <f t="shared" si="11"/>
        <v>#VALUE!</v>
      </c>
      <c r="P48" s="43" t="e">
        <f>ROUND(IF(Preenchimento!$G$39="Tabela Price",R48-Q48,(O47*(1+$AD$35))/($AD$28-C47)),$P$22)</f>
        <v>#VALUE!</v>
      </c>
      <c r="Q48" s="43" t="e">
        <f>IF(Preenchimento!$G$39="Tabela Price",O47*(1+$AD$35)*W48,O47*(1+'SAC Padrão_Sem Bonif'!$AD$35)*'SAC Padrão_Sem Bonif'!W48)</f>
        <v>#VALUE!</v>
      </c>
      <c r="R48" s="43" t="e">
        <f>IF(Preenchimento!$G$39="Tabela Price",IF(C48="","",((((((1+W48)^($Q$16-C47))*W48)/((1+W48)^($Q$16-C47)-1))*(O47*(1+$AD$35))))),Q48+P48)</f>
        <v>#VALUE!</v>
      </c>
      <c r="S48" s="43" t="e">
        <f t="shared" ca="1" si="5"/>
        <v>#VALUE!</v>
      </c>
      <c r="T48" s="43">
        <f t="shared" si="12"/>
        <v>0</v>
      </c>
      <c r="U48" s="226">
        <f>TRUNC(T48*Condições!$C$102,2)</f>
        <v>0</v>
      </c>
      <c r="V48" s="82">
        <f t="shared" ca="1" si="6"/>
        <v>5</v>
      </c>
      <c r="W48" s="231" t="str">
        <f t="shared" si="13"/>
        <v/>
      </c>
      <c r="X48" s="210"/>
      <c r="Y48" s="210"/>
      <c r="Z48" s="210"/>
      <c r="AI48" s="114">
        <f t="shared" si="14"/>
        <v>0</v>
      </c>
      <c r="AJ48" s="113"/>
      <c r="AL48" s="477">
        <f t="shared" ca="1" si="15"/>
        <v>0</v>
      </c>
    </row>
    <row r="49" spans="2:38" ht="12" customHeight="1">
      <c r="B49" s="222">
        <f ca="1">Fixa!B49</f>
        <v>46920</v>
      </c>
      <c r="C49" s="223" t="str">
        <f>Fixa!C49</f>
        <v/>
      </c>
      <c r="D49" s="43" t="e">
        <f t="shared" si="0"/>
        <v>#VALUE!</v>
      </c>
      <c r="E49" s="43" t="e">
        <f t="shared" si="1"/>
        <v>#VALUE!</v>
      </c>
      <c r="F49" s="43" t="e">
        <f t="shared" si="1"/>
        <v>#VALUE!</v>
      </c>
      <c r="G49" s="43" t="e">
        <f t="shared" si="2"/>
        <v>#VALUE!</v>
      </c>
      <c r="H49" s="43" t="e">
        <f t="shared" ca="1" si="3"/>
        <v>#VALUE!</v>
      </c>
      <c r="I49" s="43">
        <f t="shared" si="4"/>
        <v>0</v>
      </c>
      <c r="J49" s="229">
        <f t="shared" si="8"/>
        <v>25</v>
      </c>
      <c r="K49" s="43">
        <f t="shared" si="9"/>
        <v>0</v>
      </c>
      <c r="M49" s="224"/>
      <c r="N49" s="225">
        <f t="shared" si="10"/>
        <v>0</v>
      </c>
      <c r="O49" s="43" t="e">
        <f t="shared" si="11"/>
        <v>#VALUE!</v>
      </c>
      <c r="P49" s="43" t="e">
        <f>ROUND(IF(Preenchimento!$G$39="Tabela Price",R49-Q49,(O48*(1+$AD$35))/($AD$28-C48)),$P$22)</f>
        <v>#VALUE!</v>
      </c>
      <c r="Q49" s="43" t="e">
        <f>IF(Preenchimento!$G$39="Tabela Price",O48*(1+$AD$35)*W49,O48*(1+'SAC Padrão_Sem Bonif'!$AD$35)*'SAC Padrão_Sem Bonif'!W49)</f>
        <v>#VALUE!</v>
      </c>
      <c r="R49" s="43" t="e">
        <f>IF(Preenchimento!$G$39="Tabela Price",IF(C49="","",((((((1+W49)^($Q$16-C48))*W49)/((1+W49)^($Q$16-C48)-1))*(O48*(1+$AD$35))))),Q49+P49)</f>
        <v>#VALUE!</v>
      </c>
      <c r="S49" s="43" t="e">
        <f t="shared" ca="1" si="5"/>
        <v>#VALUE!</v>
      </c>
      <c r="T49" s="43">
        <f t="shared" si="12"/>
        <v>0</v>
      </c>
      <c r="U49" s="226">
        <f>TRUNC(T49*Condições!$C$102,2)</f>
        <v>0</v>
      </c>
      <c r="V49" s="82">
        <f t="shared" ca="1" si="6"/>
        <v>6</v>
      </c>
      <c r="W49" s="231" t="str">
        <f t="shared" si="13"/>
        <v/>
      </c>
      <c r="X49" s="210"/>
      <c r="Y49" s="210"/>
      <c r="Z49" s="210"/>
      <c r="AI49" s="114">
        <f t="shared" si="14"/>
        <v>0</v>
      </c>
      <c r="AJ49" s="113"/>
      <c r="AL49" s="477">
        <f t="shared" ca="1" si="15"/>
        <v>0</v>
      </c>
    </row>
    <row r="50" spans="2:38" ht="12" customHeight="1">
      <c r="B50" s="222">
        <f ca="1">Fixa!B50</f>
        <v>46950</v>
      </c>
      <c r="C50" s="223" t="str">
        <f>Fixa!C50</f>
        <v/>
      </c>
      <c r="D50" s="43" t="e">
        <f t="shared" si="0"/>
        <v>#VALUE!</v>
      </c>
      <c r="E50" s="43" t="e">
        <f t="shared" si="1"/>
        <v>#VALUE!</v>
      </c>
      <c r="F50" s="43" t="e">
        <f t="shared" si="1"/>
        <v>#VALUE!</v>
      </c>
      <c r="G50" s="43" t="e">
        <f t="shared" si="2"/>
        <v>#VALUE!</v>
      </c>
      <c r="H50" s="43" t="e">
        <f t="shared" ca="1" si="3"/>
        <v>#VALUE!</v>
      </c>
      <c r="I50" s="43">
        <f t="shared" si="4"/>
        <v>0</v>
      </c>
      <c r="J50" s="229">
        <f t="shared" si="8"/>
        <v>25</v>
      </c>
      <c r="K50" s="43">
        <f t="shared" si="9"/>
        <v>0</v>
      </c>
      <c r="M50" s="224"/>
      <c r="N50" s="225">
        <f t="shared" si="10"/>
        <v>0</v>
      </c>
      <c r="O50" s="43" t="e">
        <f t="shared" si="11"/>
        <v>#VALUE!</v>
      </c>
      <c r="P50" s="43" t="e">
        <f>ROUND(IF(Preenchimento!$G$39="Tabela Price",R50-Q50,(O49*(1+$AD$35))/($AD$28-C49)),$P$22)</f>
        <v>#VALUE!</v>
      </c>
      <c r="Q50" s="43" t="e">
        <f>IF(Preenchimento!$G$39="Tabela Price",O49*(1+$AD$35)*W50,O49*(1+'SAC Padrão_Sem Bonif'!$AD$35)*'SAC Padrão_Sem Bonif'!W50)</f>
        <v>#VALUE!</v>
      </c>
      <c r="R50" s="43" t="e">
        <f>IF(Preenchimento!$G$39="Tabela Price",IF(C50="","",((((((1+W50)^($Q$16-C49))*W50)/((1+W50)^($Q$16-C49)-1))*(O49*(1+$AD$35))))),Q50+P50)</f>
        <v>#VALUE!</v>
      </c>
      <c r="S50" s="43" t="e">
        <f t="shared" ca="1" si="5"/>
        <v>#VALUE!</v>
      </c>
      <c r="T50" s="43">
        <f t="shared" si="12"/>
        <v>0</v>
      </c>
      <c r="U50" s="226">
        <f>TRUNC(T50*Condições!$C$102,2)</f>
        <v>0</v>
      </c>
      <c r="V50" s="82">
        <f t="shared" ca="1" si="6"/>
        <v>7</v>
      </c>
      <c r="W50" s="231" t="str">
        <f t="shared" si="13"/>
        <v/>
      </c>
      <c r="X50" s="210"/>
      <c r="Y50" s="210"/>
      <c r="Z50" s="210"/>
      <c r="AI50" s="114">
        <f t="shared" si="14"/>
        <v>0</v>
      </c>
      <c r="AJ50" s="113"/>
      <c r="AL50" s="477">
        <f t="shared" ca="1" si="15"/>
        <v>0</v>
      </c>
    </row>
    <row r="51" spans="2:38" ht="12" customHeight="1">
      <c r="B51" s="222">
        <f ca="1">Fixa!B51</f>
        <v>46981</v>
      </c>
      <c r="C51" s="223" t="str">
        <f>Fixa!C51</f>
        <v/>
      </c>
      <c r="D51" s="43" t="e">
        <f t="shared" si="0"/>
        <v>#VALUE!</v>
      </c>
      <c r="E51" s="43" t="e">
        <f t="shared" si="1"/>
        <v>#VALUE!</v>
      </c>
      <c r="F51" s="43" t="e">
        <f t="shared" si="1"/>
        <v>#VALUE!</v>
      </c>
      <c r="G51" s="43" t="e">
        <f t="shared" si="2"/>
        <v>#VALUE!</v>
      </c>
      <c r="H51" s="43" t="e">
        <f t="shared" ca="1" si="3"/>
        <v>#VALUE!</v>
      </c>
      <c r="I51" s="43">
        <f t="shared" si="4"/>
        <v>0</v>
      </c>
      <c r="J51" s="229">
        <f t="shared" si="8"/>
        <v>25</v>
      </c>
      <c r="K51" s="43">
        <f t="shared" si="9"/>
        <v>0</v>
      </c>
      <c r="M51" s="224"/>
      <c r="N51" s="225">
        <f t="shared" si="10"/>
        <v>0</v>
      </c>
      <c r="O51" s="43" t="e">
        <f t="shared" si="11"/>
        <v>#VALUE!</v>
      </c>
      <c r="P51" s="43" t="e">
        <f>ROUND(IF(Preenchimento!$G$39="Tabela Price",R51-Q51,(O50*(1+$AD$35))/($AD$28-C50)),$P$22)</f>
        <v>#VALUE!</v>
      </c>
      <c r="Q51" s="43" t="e">
        <f>IF(Preenchimento!$G$39="Tabela Price",O50*(1+$AD$35)*W51,O50*(1+'SAC Padrão_Sem Bonif'!$AD$35)*'SAC Padrão_Sem Bonif'!W51)</f>
        <v>#VALUE!</v>
      </c>
      <c r="R51" s="43" t="e">
        <f>IF(Preenchimento!$G$39="Tabela Price",IF(C51="","",((((((1+W51)^($Q$16-C50))*W51)/((1+W51)^($Q$16-C50)-1))*(O50*(1+$AD$35))))),Q51+P51)</f>
        <v>#VALUE!</v>
      </c>
      <c r="S51" s="43" t="e">
        <f t="shared" ca="1" si="5"/>
        <v>#VALUE!</v>
      </c>
      <c r="T51" s="43">
        <f t="shared" si="12"/>
        <v>0</v>
      </c>
      <c r="U51" s="226">
        <f>TRUNC(T51*Condições!$C$102,2)</f>
        <v>0</v>
      </c>
      <c r="V51" s="82">
        <f t="shared" ca="1" si="6"/>
        <v>8</v>
      </c>
      <c r="W51" s="231" t="str">
        <f t="shared" si="13"/>
        <v/>
      </c>
      <c r="X51" s="210"/>
      <c r="Y51" s="210"/>
      <c r="Z51" s="210"/>
      <c r="AI51" s="114">
        <f t="shared" si="14"/>
        <v>0</v>
      </c>
      <c r="AJ51" s="113"/>
      <c r="AL51" s="477">
        <f t="shared" ca="1" si="15"/>
        <v>0</v>
      </c>
    </row>
    <row r="52" spans="2:38" ht="12" customHeight="1">
      <c r="B52" s="222">
        <f ca="1">Fixa!B52</f>
        <v>47012</v>
      </c>
      <c r="C52" s="223" t="str">
        <f>Fixa!C52</f>
        <v/>
      </c>
      <c r="D52" s="43" t="e">
        <f t="shared" si="0"/>
        <v>#VALUE!</v>
      </c>
      <c r="E52" s="43" t="e">
        <f t="shared" si="1"/>
        <v>#VALUE!</v>
      </c>
      <c r="F52" s="43" t="e">
        <f t="shared" si="1"/>
        <v>#VALUE!</v>
      </c>
      <c r="G52" s="43" t="e">
        <f t="shared" si="2"/>
        <v>#VALUE!</v>
      </c>
      <c r="H52" s="43" t="e">
        <f t="shared" ca="1" si="3"/>
        <v>#VALUE!</v>
      </c>
      <c r="I52" s="43">
        <f t="shared" si="4"/>
        <v>0</v>
      </c>
      <c r="J52" s="229">
        <f t="shared" si="8"/>
        <v>25</v>
      </c>
      <c r="K52" s="43">
        <f t="shared" si="9"/>
        <v>0</v>
      </c>
      <c r="M52" s="224"/>
      <c r="N52" s="225">
        <f t="shared" si="10"/>
        <v>0</v>
      </c>
      <c r="O52" s="43" t="e">
        <f t="shared" si="11"/>
        <v>#VALUE!</v>
      </c>
      <c r="P52" s="43" t="e">
        <f>ROUND(IF(Preenchimento!$G$39="Tabela Price",R52-Q52,(O51*(1+$AD$35))/($AD$28-C51)),$P$22)</f>
        <v>#VALUE!</v>
      </c>
      <c r="Q52" s="43" t="e">
        <f>IF(Preenchimento!$G$39="Tabela Price",O51*(1+$AD$35)*W52,O51*(1+'SAC Padrão_Sem Bonif'!$AD$35)*'SAC Padrão_Sem Bonif'!W52)</f>
        <v>#VALUE!</v>
      </c>
      <c r="R52" s="43" t="e">
        <f>IF(Preenchimento!$G$39="Tabela Price",IF(C52="","",((((((1+W52)^($Q$16-C51))*W52)/((1+W52)^($Q$16-C51)-1))*(O51*(1+$AD$35))))),Q52+P52)</f>
        <v>#VALUE!</v>
      </c>
      <c r="S52" s="43" t="e">
        <f t="shared" ca="1" si="5"/>
        <v>#VALUE!</v>
      </c>
      <c r="T52" s="43">
        <f t="shared" si="12"/>
        <v>0</v>
      </c>
      <c r="U52" s="226">
        <f>TRUNC(T52*Condições!$C$102,2)</f>
        <v>0</v>
      </c>
      <c r="V52" s="82">
        <f t="shared" ca="1" si="6"/>
        <v>9</v>
      </c>
      <c r="W52" s="231" t="str">
        <f t="shared" si="13"/>
        <v/>
      </c>
      <c r="X52" s="210"/>
      <c r="Y52" s="210"/>
      <c r="Z52" s="210"/>
      <c r="AI52" s="114">
        <f t="shared" si="14"/>
        <v>0</v>
      </c>
      <c r="AJ52" s="113"/>
      <c r="AL52" s="477">
        <f t="shared" ca="1" si="15"/>
        <v>0</v>
      </c>
    </row>
    <row r="53" spans="2:38" ht="12" customHeight="1">
      <c r="B53" s="222">
        <f ca="1">Fixa!B53</f>
        <v>47042</v>
      </c>
      <c r="C53" s="223" t="str">
        <f>Fixa!C53</f>
        <v/>
      </c>
      <c r="D53" s="43" t="e">
        <f t="shared" si="0"/>
        <v>#VALUE!</v>
      </c>
      <c r="E53" s="43" t="e">
        <f t="shared" si="1"/>
        <v>#VALUE!</v>
      </c>
      <c r="F53" s="43" t="e">
        <f t="shared" si="1"/>
        <v>#VALUE!</v>
      </c>
      <c r="G53" s="43" t="e">
        <f t="shared" si="2"/>
        <v>#VALUE!</v>
      </c>
      <c r="H53" s="43" t="e">
        <f t="shared" ca="1" si="3"/>
        <v>#VALUE!</v>
      </c>
      <c r="I53" s="43">
        <f t="shared" si="4"/>
        <v>0</v>
      </c>
      <c r="J53" s="229">
        <f t="shared" si="8"/>
        <v>25</v>
      </c>
      <c r="K53" s="43">
        <f t="shared" si="9"/>
        <v>0</v>
      </c>
      <c r="M53" s="224"/>
      <c r="N53" s="225">
        <f t="shared" si="10"/>
        <v>0</v>
      </c>
      <c r="O53" s="43" t="e">
        <f t="shared" si="11"/>
        <v>#VALUE!</v>
      </c>
      <c r="P53" s="43" t="e">
        <f>ROUND(IF(Preenchimento!$G$39="Tabela Price",R53-Q53,(O52*(1+$AD$35))/($AD$28-C52)),$P$22)</f>
        <v>#VALUE!</v>
      </c>
      <c r="Q53" s="43" t="e">
        <f>IF(Preenchimento!$G$39="Tabela Price",O52*(1+$AD$35)*W53,O52*(1+'SAC Padrão_Sem Bonif'!$AD$35)*'SAC Padrão_Sem Bonif'!W53)</f>
        <v>#VALUE!</v>
      </c>
      <c r="R53" s="43" t="e">
        <f>IF(Preenchimento!$G$39="Tabela Price",IF(C53="","",((((((1+W53)^($Q$16-C52))*W53)/((1+W53)^($Q$16-C52)-1))*(O52*(1+$AD$35))))),Q53+P53)</f>
        <v>#VALUE!</v>
      </c>
      <c r="S53" s="43" t="e">
        <f t="shared" ca="1" si="5"/>
        <v>#VALUE!</v>
      </c>
      <c r="T53" s="43">
        <f t="shared" si="12"/>
        <v>0</v>
      </c>
      <c r="U53" s="226">
        <f>TRUNC(T53*Condições!$C$102,2)</f>
        <v>0</v>
      </c>
      <c r="V53" s="82">
        <f t="shared" ca="1" si="6"/>
        <v>10</v>
      </c>
      <c r="W53" s="231" t="str">
        <f t="shared" si="13"/>
        <v/>
      </c>
      <c r="X53" s="210"/>
      <c r="Y53" s="210"/>
      <c r="Z53" s="210"/>
      <c r="AI53" s="114">
        <f t="shared" si="14"/>
        <v>0</v>
      </c>
      <c r="AJ53" s="113"/>
      <c r="AL53" s="477">
        <f t="shared" ca="1" si="15"/>
        <v>0</v>
      </c>
    </row>
    <row r="54" spans="2:38" ht="12" customHeight="1">
      <c r="B54" s="222">
        <f ca="1">Fixa!B54</f>
        <v>47073</v>
      </c>
      <c r="C54" s="223" t="str">
        <f>Fixa!C54</f>
        <v/>
      </c>
      <c r="D54" s="43" t="e">
        <f t="shared" si="0"/>
        <v>#VALUE!</v>
      </c>
      <c r="E54" s="43" t="e">
        <f t="shared" si="1"/>
        <v>#VALUE!</v>
      </c>
      <c r="F54" s="43" t="e">
        <f t="shared" si="1"/>
        <v>#VALUE!</v>
      </c>
      <c r="G54" s="43" t="e">
        <f t="shared" si="2"/>
        <v>#VALUE!</v>
      </c>
      <c r="H54" s="43" t="e">
        <f t="shared" ca="1" si="3"/>
        <v>#VALUE!</v>
      </c>
      <c r="I54" s="43">
        <f t="shared" si="4"/>
        <v>0</v>
      </c>
      <c r="J54" s="229">
        <f t="shared" si="8"/>
        <v>25</v>
      </c>
      <c r="K54" s="43">
        <f t="shared" si="9"/>
        <v>0</v>
      </c>
      <c r="M54" s="224"/>
      <c r="N54" s="225">
        <f t="shared" si="10"/>
        <v>0</v>
      </c>
      <c r="O54" s="43" t="e">
        <f t="shared" si="11"/>
        <v>#VALUE!</v>
      </c>
      <c r="P54" s="43" t="e">
        <f>ROUND(IF(Preenchimento!$G$39="Tabela Price",R54-Q54,(O53*(1+$AD$35))/($AD$28-C53)),$P$22)</f>
        <v>#VALUE!</v>
      </c>
      <c r="Q54" s="43" t="e">
        <f>IF(Preenchimento!$G$39="Tabela Price",O53*(1+$AD$35)*W54,O53*(1+'SAC Padrão_Sem Bonif'!$AD$35)*'SAC Padrão_Sem Bonif'!W54)</f>
        <v>#VALUE!</v>
      </c>
      <c r="R54" s="43" t="e">
        <f>IF(Preenchimento!$G$39="Tabela Price",IF(C54="","",((((((1+W54)^($Q$16-C53))*W54)/((1+W54)^($Q$16-C53)-1))*(O53*(1+$AD$35))))),Q54+P54)</f>
        <v>#VALUE!</v>
      </c>
      <c r="S54" s="43" t="e">
        <f t="shared" ca="1" si="5"/>
        <v>#VALUE!</v>
      </c>
      <c r="T54" s="43">
        <f t="shared" si="12"/>
        <v>0</v>
      </c>
      <c r="U54" s="226">
        <f>TRUNC(T54*Condições!$C$102,2)</f>
        <v>0</v>
      </c>
      <c r="V54" s="82">
        <f t="shared" ca="1" si="6"/>
        <v>11</v>
      </c>
      <c r="W54" s="231" t="str">
        <f t="shared" si="13"/>
        <v/>
      </c>
      <c r="X54" s="210"/>
      <c r="Y54" s="210"/>
      <c r="Z54" s="210"/>
      <c r="AI54" s="114">
        <f t="shared" si="14"/>
        <v>0</v>
      </c>
      <c r="AJ54" s="113"/>
      <c r="AL54" s="477">
        <f t="shared" ca="1" si="15"/>
        <v>0</v>
      </c>
    </row>
    <row r="55" spans="2:38" ht="12" customHeight="1">
      <c r="B55" s="222">
        <f ca="1">Fixa!B55</f>
        <v>47103</v>
      </c>
      <c r="C55" s="223" t="str">
        <f>Fixa!C55</f>
        <v/>
      </c>
      <c r="D55" s="43" t="e">
        <f t="shared" si="0"/>
        <v>#VALUE!</v>
      </c>
      <c r="E55" s="43" t="e">
        <f t="shared" si="1"/>
        <v>#VALUE!</v>
      </c>
      <c r="F55" s="43" t="e">
        <f t="shared" si="1"/>
        <v>#VALUE!</v>
      </c>
      <c r="G55" s="43" t="e">
        <f t="shared" si="2"/>
        <v>#VALUE!</v>
      </c>
      <c r="H55" s="43" t="e">
        <f t="shared" ca="1" si="3"/>
        <v>#VALUE!</v>
      </c>
      <c r="I55" s="43">
        <f t="shared" si="4"/>
        <v>0</v>
      </c>
      <c r="J55" s="229">
        <f t="shared" si="8"/>
        <v>25</v>
      </c>
      <c r="K55" s="43">
        <f t="shared" si="9"/>
        <v>0</v>
      </c>
      <c r="M55" s="224"/>
      <c r="N55" s="225">
        <f t="shared" si="10"/>
        <v>0</v>
      </c>
      <c r="O55" s="43" t="e">
        <f t="shared" si="11"/>
        <v>#VALUE!</v>
      </c>
      <c r="P55" s="43" t="e">
        <f>ROUND(IF(Preenchimento!$G$39="Tabela Price",R55-Q55,(O54*(1+$AD$35))/($AD$28-C54)),$P$22)</f>
        <v>#VALUE!</v>
      </c>
      <c r="Q55" s="43" t="e">
        <f>IF(Preenchimento!$G$39="Tabela Price",O54*(1+$AD$35)*W55,O54*(1+'SAC Padrão_Sem Bonif'!$AD$35)*'SAC Padrão_Sem Bonif'!W55)</f>
        <v>#VALUE!</v>
      </c>
      <c r="R55" s="43" t="e">
        <f>IF(Preenchimento!$G$39="Tabela Price",IF(C55="","",((((((1+W55)^($Q$16-C54))*W55)/((1+W55)^($Q$16-C54)-1))*(O54*(1+$AD$35))))),Q55+P55)</f>
        <v>#VALUE!</v>
      </c>
      <c r="S55" s="43" t="e">
        <f t="shared" ca="1" si="5"/>
        <v>#VALUE!</v>
      </c>
      <c r="T55" s="43">
        <f t="shared" si="12"/>
        <v>0</v>
      </c>
      <c r="U55" s="226">
        <f>TRUNC(T55*Condições!$C$102,2)</f>
        <v>0</v>
      </c>
      <c r="V55" s="82">
        <f t="shared" ca="1" si="6"/>
        <v>12</v>
      </c>
      <c r="W55" s="231" t="str">
        <f t="shared" si="13"/>
        <v/>
      </c>
      <c r="X55" s="210"/>
      <c r="Y55" s="210"/>
      <c r="Z55" s="210"/>
      <c r="AI55" s="114">
        <f t="shared" si="14"/>
        <v>0</v>
      </c>
      <c r="AJ55" s="113"/>
      <c r="AL55" s="477">
        <f t="shared" ca="1" si="15"/>
        <v>0</v>
      </c>
    </row>
    <row r="56" spans="2:38" ht="12" customHeight="1">
      <c r="B56" s="222">
        <f ca="1">Fixa!B56</f>
        <v>47134</v>
      </c>
      <c r="C56" s="223" t="str">
        <f>Fixa!C56</f>
        <v/>
      </c>
      <c r="D56" s="43" t="e">
        <f t="shared" si="0"/>
        <v>#VALUE!</v>
      </c>
      <c r="E56" s="43" t="e">
        <f t="shared" si="1"/>
        <v>#VALUE!</v>
      </c>
      <c r="F56" s="43" t="e">
        <f t="shared" si="1"/>
        <v>#VALUE!</v>
      </c>
      <c r="G56" s="43" t="e">
        <f t="shared" si="2"/>
        <v>#VALUE!</v>
      </c>
      <c r="H56" s="43" t="e">
        <f t="shared" ca="1" si="3"/>
        <v>#VALUE!</v>
      </c>
      <c r="I56" s="43">
        <f t="shared" si="4"/>
        <v>0</v>
      </c>
      <c r="J56" s="229">
        <f t="shared" si="8"/>
        <v>25</v>
      </c>
      <c r="K56" s="43">
        <f t="shared" si="9"/>
        <v>0</v>
      </c>
      <c r="M56" s="224"/>
      <c r="N56" s="225">
        <f t="shared" si="10"/>
        <v>0</v>
      </c>
      <c r="O56" s="43" t="e">
        <f t="shared" si="11"/>
        <v>#VALUE!</v>
      </c>
      <c r="P56" s="43" t="e">
        <f>ROUND(IF(Preenchimento!$G$39="Tabela Price",R56-Q56,(O55*(1+$AD$35))/($AD$28-C55)),$P$22)</f>
        <v>#VALUE!</v>
      </c>
      <c r="Q56" s="43" t="e">
        <f>IF(Preenchimento!$G$39="Tabela Price",O55*(1+$AD$35)*W56,O55*(1+'SAC Padrão_Sem Bonif'!$AD$35)*'SAC Padrão_Sem Bonif'!W56)</f>
        <v>#VALUE!</v>
      </c>
      <c r="R56" s="43" t="e">
        <f>IF(Preenchimento!$G$39="Tabela Price",IF(C56="","",((((((1+W56)^($Q$16-C55))*W56)/((1+W56)^($Q$16-C55)-1))*(O55*(1+$AD$35))))),Q56+P56)</f>
        <v>#VALUE!</v>
      </c>
      <c r="S56" s="43" t="e">
        <f t="shared" ca="1" si="5"/>
        <v>#VALUE!</v>
      </c>
      <c r="T56" s="43">
        <f t="shared" si="12"/>
        <v>0</v>
      </c>
      <c r="U56" s="226">
        <f>TRUNC(T56*Condições!$C$102,2)</f>
        <v>0</v>
      </c>
      <c r="V56" s="82">
        <f t="shared" ca="1" si="6"/>
        <v>1</v>
      </c>
      <c r="W56" s="231" t="str">
        <f t="shared" si="13"/>
        <v/>
      </c>
      <c r="X56" s="210"/>
      <c r="Y56" s="210"/>
      <c r="Z56" s="210"/>
      <c r="AI56" s="114">
        <f t="shared" si="14"/>
        <v>0</v>
      </c>
      <c r="AJ56" s="113"/>
      <c r="AL56" s="477">
        <f t="shared" ca="1" si="15"/>
        <v>0</v>
      </c>
    </row>
    <row r="57" spans="2:38" ht="12" customHeight="1">
      <c r="B57" s="222">
        <f ca="1">Fixa!B57</f>
        <v>47165</v>
      </c>
      <c r="C57" s="223" t="str">
        <f>Fixa!C57</f>
        <v/>
      </c>
      <c r="D57" s="43" t="e">
        <f t="shared" si="0"/>
        <v>#VALUE!</v>
      </c>
      <c r="E57" s="43" t="e">
        <f t="shared" si="1"/>
        <v>#VALUE!</v>
      </c>
      <c r="F57" s="43" t="e">
        <f t="shared" si="1"/>
        <v>#VALUE!</v>
      </c>
      <c r="G57" s="43" t="e">
        <f t="shared" si="2"/>
        <v>#VALUE!</v>
      </c>
      <c r="H57" s="43" t="e">
        <f t="shared" ca="1" si="3"/>
        <v>#VALUE!</v>
      </c>
      <c r="I57" s="43">
        <f t="shared" si="4"/>
        <v>0</v>
      </c>
      <c r="J57" s="229">
        <f t="shared" si="8"/>
        <v>25</v>
      </c>
      <c r="K57" s="43">
        <f t="shared" si="9"/>
        <v>0</v>
      </c>
      <c r="M57" s="224"/>
      <c r="N57" s="225">
        <f t="shared" si="10"/>
        <v>0</v>
      </c>
      <c r="O57" s="43" t="e">
        <f t="shared" si="11"/>
        <v>#VALUE!</v>
      </c>
      <c r="P57" s="43" t="e">
        <f>ROUND(IF(Preenchimento!$G$39="Tabela Price",R57-Q57,(O56*(1+$AD$35))/($AD$28-C56)),$P$22)</f>
        <v>#VALUE!</v>
      </c>
      <c r="Q57" s="43" t="e">
        <f>IF(Preenchimento!$G$39="Tabela Price",O56*(1+$AD$35)*W57,O56*(1+'SAC Padrão_Sem Bonif'!$AD$35)*'SAC Padrão_Sem Bonif'!W57)</f>
        <v>#VALUE!</v>
      </c>
      <c r="R57" s="43" t="e">
        <f>IF(Preenchimento!$G$39="Tabela Price",IF(C57="","",((((((1+W57)^($Q$16-C56))*W57)/((1+W57)^($Q$16-C56)-1))*(O56*(1+$AD$35))))),Q57+P57)</f>
        <v>#VALUE!</v>
      </c>
      <c r="S57" s="43" t="e">
        <f t="shared" ca="1" si="5"/>
        <v>#VALUE!</v>
      </c>
      <c r="T57" s="43">
        <f t="shared" si="12"/>
        <v>0</v>
      </c>
      <c r="U57" s="226">
        <f>TRUNC(T57*Condições!$C$102,2)</f>
        <v>0</v>
      </c>
      <c r="V57" s="82">
        <f t="shared" ca="1" si="6"/>
        <v>2</v>
      </c>
      <c r="W57" s="231" t="str">
        <f t="shared" si="13"/>
        <v/>
      </c>
      <c r="X57" s="210"/>
      <c r="Y57" s="210"/>
      <c r="Z57" s="210"/>
      <c r="AI57" s="114">
        <f t="shared" si="14"/>
        <v>0</v>
      </c>
      <c r="AJ57" s="113"/>
      <c r="AL57" s="477">
        <f t="shared" ca="1" si="15"/>
        <v>0</v>
      </c>
    </row>
    <row r="58" spans="2:38" ht="12" customHeight="1">
      <c r="B58" s="222">
        <f ca="1">Fixa!B58</f>
        <v>47193</v>
      </c>
      <c r="C58" s="223" t="str">
        <f>Fixa!C58</f>
        <v/>
      </c>
      <c r="D58" s="43" t="e">
        <f t="shared" ref="D58:D90" si="16">ROUND(O58,2)</f>
        <v>#VALUE!</v>
      </c>
      <c r="E58" s="43" t="e">
        <f t="shared" si="1"/>
        <v>#VALUE!</v>
      </c>
      <c r="F58" s="43" t="e">
        <f t="shared" si="1"/>
        <v>#VALUE!</v>
      </c>
      <c r="G58" s="43" t="e">
        <f t="shared" si="2"/>
        <v>#VALUE!</v>
      </c>
      <c r="H58" s="43" t="e">
        <f t="shared" ca="1" si="3"/>
        <v>#VALUE!</v>
      </c>
      <c r="I58" s="43">
        <f t="shared" si="4"/>
        <v>0</v>
      </c>
      <c r="J58" s="229">
        <f t="shared" si="8"/>
        <v>25</v>
      </c>
      <c r="K58" s="43">
        <f t="shared" si="9"/>
        <v>0</v>
      </c>
      <c r="M58" s="224"/>
      <c r="N58" s="225">
        <f t="shared" si="10"/>
        <v>0</v>
      </c>
      <c r="O58" s="43" t="e">
        <f t="shared" si="11"/>
        <v>#VALUE!</v>
      </c>
      <c r="P58" s="43" t="e">
        <f>ROUND(IF(Preenchimento!$G$39="Tabela Price",R58-Q58,(O57*(1+$AD$35))/($AD$28-C57)),$P$22)</f>
        <v>#VALUE!</v>
      </c>
      <c r="Q58" s="43" t="e">
        <f>IF(Preenchimento!$G$39="Tabela Price",O57*(1+$AD$35)*W58,O57*(1+'SAC Padrão_Sem Bonif'!$AD$35)*'SAC Padrão_Sem Bonif'!W58)</f>
        <v>#VALUE!</v>
      </c>
      <c r="R58" s="43" t="e">
        <f>IF(Preenchimento!$G$39="Tabela Price",IF(C58="","",((((((1+W58)^($Q$16-C57))*W58)/((1+W58)^($Q$16-C57)-1))*(O57*(1+$AD$35))))),Q58+P58)</f>
        <v>#VALUE!</v>
      </c>
      <c r="S58" s="43" t="e">
        <f t="shared" ca="1" si="5"/>
        <v>#VALUE!</v>
      </c>
      <c r="T58" s="43">
        <f t="shared" si="12"/>
        <v>0</v>
      </c>
      <c r="U58" s="226">
        <f>TRUNC(T58*Condições!$C$102,2)</f>
        <v>0</v>
      </c>
      <c r="V58" s="82">
        <f t="shared" ca="1" si="6"/>
        <v>3</v>
      </c>
      <c r="W58" s="231" t="str">
        <f t="shared" si="13"/>
        <v/>
      </c>
      <c r="X58" s="210"/>
      <c r="Y58" s="210"/>
      <c r="Z58" s="210"/>
      <c r="AI58" s="114">
        <f t="shared" si="14"/>
        <v>0</v>
      </c>
      <c r="AJ58" s="113"/>
      <c r="AL58" s="477">
        <f t="shared" ca="1" si="15"/>
        <v>0</v>
      </c>
    </row>
    <row r="59" spans="2:38" ht="12" customHeight="1">
      <c r="B59" s="222">
        <f ca="1">Fixa!B59</f>
        <v>47224</v>
      </c>
      <c r="C59" s="223" t="str">
        <f>Fixa!C59</f>
        <v/>
      </c>
      <c r="D59" s="43" t="e">
        <f t="shared" si="16"/>
        <v>#VALUE!</v>
      </c>
      <c r="E59" s="43" t="e">
        <f t="shared" si="1"/>
        <v>#VALUE!</v>
      </c>
      <c r="F59" s="43" t="e">
        <f t="shared" si="1"/>
        <v>#VALUE!</v>
      </c>
      <c r="G59" s="43" t="e">
        <f t="shared" si="2"/>
        <v>#VALUE!</v>
      </c>
      <c r="H59" s="43" t="e">
        <f t="shared" ca="1" si="3"/>
        <v>#VALUE!</v>
      </c>
      <c r="I59" s="43">
        <f t="shared" si="4"/>
        <v>0</v>
      </c>
      <c r="J59" s="229">
        <f t="shared" si="8"/>
        <v>25</v>
      </c>
      <c r="K59" s="43">
        <f t="shared" si="9"/>
        <v>0</v>
      </c>
      <c r="M59" s="224"/>
      <c r="N59" s="225">
        <f t="shared" si="10"/>
        <v>0</v>
      </c>
      <c r="O59" s="43" t="e">
        <f t="shared" si="11"/>
        <v>#VALUE!</v>
      </c>
      <c r="P59" s="43" t="e">
        <f>ROUND(IF(Preenchimento!$G$39="Tabela Price",R59-Q59,(O58*(1+$AD$35))/($AD$28-C58)),$P$22)</f>
        <v>#VALUE!</v>
      </c>
      <c r="Q59" s="43" t="e">
        <f>IF(Preenchimento!$G$39="Tabela Price",O58*(1+$AD$35)*W59,O58*(1+'SAC Padrão_Sem Bonif'!$AD$35)*'SAC Padrão_Sem Bonif'!W59)</f>
        <v>#VALUE!</v>
      </c>
      <c r="R59" s="43" t="e">
        <f>IF(Preenchimento!$G$39="Tabela Price",IF(C59="","",((((((1+W59)^($Q$16-C58))*W59)/((1+W59)^($Q$16-C58)-1))*(O58*(1+$AD$35))))),Q59+P59)</f>
        <v>#VALUE!</v>
      </c>
      <c r="S59" s="43" t="e">
        <f t="shared" ca="1" si="5"/>
        <v>#VALUE!</v>
      </c>
      <c r="T59" s="43">
        <f t="shared" si="12"/>
        <v>0</v>
      </c>
      <c r="U59" s="226">
        <f>TRUNC(T59*Condições!$C$102,2)</f>
        <v>0</v>
      </c>
      <c r="V59" s="82">
        <f t="shared" ca="1" si="6"/>
        <v>4</v>
      </c>
      <c r="W59" s="231" t="str">
        <f t="shared" si="13"/>
        <v/>
      </c>
      <c r="X59" s="210"/>
      <c r="Y59" s="210"/>
      <c r="Z59" s="210"/>
      <c r="AI59" s="114">
        <f t="shared" si="14"/>
        <v>0</v>
      </c>
      <c r="AJ59" s="113"/>
      <c r="AL59" s="477">
        <f t="shared" ca="1" si="15"/>
        <v>0</v>
      </c>
    </row>
    <row r="60" spans="2:38" ht="12" customHeight="1">
      <c r="B60" s="222">
        <f ca="1">Fixa!B60</f>
        <v>47254</v>
      </c>
      <c r="C60" s="223" t="str">
        <f>Fixa!C60</f>
        <v/>
      </c>
      <c r="D60" s="43" t="e">
        <f t="shared" si="16"/>
        <v>#VALUE!</v>
      </c>
      <c r="E60" s="43" t="e">
        <f t="shared" si="1"/>
        <v>#VALUE!</v>
      </c>
      <c r="F60" s="43" t="e">
        <f t="shared" si="1"/>
        <v>#VALUE!</v>
      </c>
      <c r="G60" s="43" t="e">
        <f t="shared" si="2"/>
        <v>#VALUE!</v>
      </c>
      <c r="H60" s="43" t="e">
        <f t="shared" ca="1" si="3"/>
        <v>#VALUE!</v>
      </c>
      <c r="I60" s="43">
        <f t="shared" si="4"/>
        <v>0</v>
      </c>
      <c r="J60" s="229">
        <f t="shared" si="8"/>
        <v>25</v>
      </c>
      <c r="K60" s="43">
        <f t="shared" si="9"/>
        <v>0</v>
      </c>
      <c r="M60" s="224"/>
      <c r="N60" s="225">
        <f t="shared" si="10"/>
        <v>0</v>
      </c>
      <c r="O60" s="43" t="e">
        <f t="shared" si="11"/>
        <v>#VALUE!</v>
      </c>
      <c r="P60" s="43" t="e">
        <f>ROUND(IF(Preenchimento!$G$39="Tabela Price",R60-Q60,(O59*(1+$AD$35))/($AD$28-C59)),$P$22)</f>
        <v>#VALUE!</v>
      </c>
      <c r="Q60" s="43" t="e">
        <f>IF(Preenchimento!$G$39="Tabela Price",O59*(1+$AD$35)*W60,O59*(1+'SAC Padrão_Sem Bonif'!$AD$35)*'SAC Padrão_Sem Bonif'!W60)</f>
        <v>#VALUE!</v>
      </c>
      <c r="R60" s="43" t="e">
        <f>IF(Preenchimento!$G$39="Tabela Price",IF(C60="","",((((((1+W60)^($Q$16-C59))*W60)/((1+W60)^($Q$16-C59)-1))*(O59*(1+$AD$35))))),Q60+P60)</f>
        <v>#VALUE!</v>
      </c>
      <c r="S60" s="43" t="e">
        <f t="shared" ca="1" si="5"/>
        <v>#VALUE!</v>
      </c>
      <c r="T60" s="43">
        <f t="shared" si="12"/>
        <v>0</v>
      </c>
      <c r="U60" s="226">
        <f>TRUNC(T60*Condições!$C$102,2)</f>
        <v>0</v>
      </c>
      <c r="V60" s="82">
        <f t="shared" ca="1" si="6"/>
        <v>5</v>
      </c>
      <c r="W60" s="231" t="str">
        <f t="shared" si="13"/>
        <v/>
      </c>
      <c r="X60" s="210"/>
      <c r="Y60" s="210"/>
      <c r="Z60" s="210"/>
      <c r="AI60" s="114">
        <f t="shared" si="14"/>
        <v>0</v>
      </c>
      <c r="AJ60" s="113"/>
      <c r="AL60" s="477">
        <f t="shared" ca="1" si="15"/>
        <v>0</v>
      </c>
    </row>
    <row r="61" spans="2:38" ht="12" customHeight="1">
      <c r="B61" s="222">
        <f ca="1">Fixa!B61</f>
        <v>47285</v>
      </c>
      <c r="C61" s="223" t="str">
        <f>Fixa!C61</f>
        <v/>
      </c>
      <c r="D61" s="43" t="e">
        <f t="shared" si="16"/>
        <v>#VALUE!</v>
      </c>
      <c r="E61" s="43" t="e">
        <f t="shared" si="1"/>
        <v>#VALUE!</v>
      </c>
      <c r="F61" s="43" t="e">
        <f t="shared" si="1"/>
        <v>#VALUE!</v>
      </c>
      <c r="G61" s="43" t="e">
        <f t="shared" si="2"/>
        <v>#VALUE!</v>
      </c>
      <c r="H61" s="43" t="e">
        <f t="shared" ca="1" si="3"/>
        <v>#VALUE!</v>
      </c>
      <c r="I61" s="43">
        <f t="shared" si="4"/>
        <v>0</v>
      </c>
      <c r="J61" s="229">
        <f t="shared" si="8"/>
        <v>25</v>
      </c>
      <c r="K61" s="43">
        <f t="shared" si="9"/>
        <v>0</v>
      </c>
      <c r="M61" s="224"/>
      <c r="N61" s="225">
        <f t="shared" si="10"/>
        <v>0</v>
      </c>
      <c r="O61" s="43" t="e">
        <f t="shared" si="11"/>
        <v>#VALUE!</v>
      </c>
      <c r="P61" s="43" t="e">
        <f>ROUND(IF(Preenchimento!$G$39="Tabela Price",R61-Q61,(O60*(1+$AD$35))/($AD$28-C60)),$P$22)</f>
        <v>#VALUE!</v>
      </c>
      <c r="Q61" s="43" t="e">
        <f>IF(Preenchimento!$G$39="Tabela Price",O60*(1+$AD$35)*W61,O60*(1+'SAC Padrão_Sem Bonif'!$AD$35)*'SAC Padrão_Sem Bonif'!W61)</f>
        <v>#VALUE!</v>
      </c>
      <c r="R61" s="43" t="e">
        <f>IF(Preenchimento!$G$39="Tabela Price",IF(C61="","",((((((1+W61)^($Q$16-C60))*W61)/((1+W61)^($Q$16-C60)-1))*(O60*(1+$AD$35))))),Q61+P61)</f>
        <v>#VALUE!</v>
      </c>
      <c r="S61" s="43" t="e">
        <f t="shared" ca="1" si="5"/>
        <v>#VALUE!</v>
      </c>
      <c r="T61" s="43">
        <f t="shared" si="12"/>
        <v>0</v>
      </c>
      <c r="U61" s="226">
        <f>TRUNC(T61*Condições!$C$102,2)</f>
        <v>0</v>
      </c>
      <c r="V61" s="82">
        <f t="shared" ca="1" si="6"/>
        <v>6</v>
      </c>
      <c r="W61" s="231" t="str">
        <f t="shared" si="13"/>
        <v/>
      </c>
      <c r="X61" s="210"/>
      <c r="Y61" s="210"/>
      <c r="Z61" s="210"/>
      <c r="AI61" s="114">
        <f t="shared" si="14"/>
        <v>0</v>
      </c>
      <c r="AJ61" s="113"/>
      <c r="AL61" s="477">
        <f t="shared" ca="1" si="15"/>
        <v>0</v>
      </c>
    </row>
    <row r="62" spans="2:38" ht="12" customHeight="1">
      <c r="B62" s="222">
        <f ca="1">Fixa!B62</f>
        <v>47315</v>
      </c>
      <c r="C62" s="223" t="str">
        <f>Fixa!C62</f>
        <v/>
      </c>
      <c r="D62" s="43" t="e">
        <f t="shared" si="16"/>
        <v>#VALUE!</v>
      </c>
      <c r="E62" s="43" t="e">
        <f t="shared" si="1"/>
        <v>#VALUE!</v>
      </c>
      <c r="F62" s="43" t="e">
        <f t="shared" si="1"/>
        <v>#VALUE!</v>
      </c>
      <c r="G62" s="43" t="e">
        <f t="shared" si="2"/>
        <v>#VALUE!</v>
      </c>
      <c r="H62" s="43" t="e">
        <f t="shared" ca="1" si="3"/>
        <v>#VALUE!</v>
      </c>
      <c r="I62" s="43">
        <f t="shared" si="4"/>
        <v>0</v>
      </c>
      <c r="J62" s="229">
        <f t="shared" si="8"/>
        <v>25</v>
      </c>
      <c r="K62" s="43">
        <f t="shared" si="9"/>
        <v>0</v>
      </c>
      <c r="M62" s="224"/>
      <c r="N62" s="225">
        <f t="shared" si="10"/>
        <v>0</v>
      </c>
      <c r="O62" s="43" t="e">
        <f t="shared" si="11"/>
        <v>#VALUE!</v>
      </c>
      <c r="P62" s="43" t="e">
        <f>ROUND(IF(Preenchimento!$G$39="Tabela Price",R62-Q62,(O61*(1+$AD$35))/($AD$28-C61)),$P$22)</f>
        <v>#VALUE!</v>
      </c>
      <c r="Q62" s="43" t="e">
        <f>IF(Preenchimento!$G$39="Tabela Price",O61*(1+$AD$35)*W62,O61*(1+'SAC Padrão_Sem Bonif'!$AD$35)*'SAC Padrão_Sem Bonif'!W62)</f>
        <v>#VALUE!</v>
      </c>
      <c r="R62" s="43" t="e">
        <f>IF(Preenchimento!$G$39="Tabela Price",IF(C62="","",((((((1+W62)^($Q$16-C61))*W62)/((1+W62)^($Q$16-C61)-1))*(O61*(1+$AD$35))))),Q62+P62)</f>
        <v>#VALUE!</v>
      </c>
      <c r="S62" s="43" t="e">
        <f t="shared" ca="1" si="5"/>
        <v>#VALUE!</v>
      </c>
      <c r="T62" s="43">
        <f t="shared" si="12"/>
        <v>0</v>
      </c>
      <c r="U62" s="226">
        <f>TRUNC(T62*Condições!$C$102,2)</f>
        <v>0</v>
      </c>
      <c r="V62" s="82">
        <f t="shared" ca="1" si="6"/>
        <v>7</v>
      </c>
      <c r="W62" s="231" t="str">
        <f t="shared" si="13"/>
        <v/>
      </c>
      <c r="X62" s="210"/>
      <c r="Y62" s="210"/>
      <c r="Z62" s="210"/>
      <c r="AI62" s="114">
        <f t="shared" si="14"/>
        <v>0</v>
      </c>
      <c r="AJ62" s="113"/>
      <c r="AL62" s="477">
        <f t="shared" ca="1" si="15"/>
        <v>0</v>
      </c>
    </row>
    <row r="63" spans="2:38" ht="12" customHeight="1">
      <c r="B63" s="222">
        <f ca="1">Fixa!B63</f>
        <v>47346</v>
      </c>
      <c r="C63" s="223" t="str">
        <f>Fixa!C63</f>
        <v/>
      </c>
      <c r="D63" s="43" t="e">
        <f t="shared" si="16"/>
        <v>#VALUE!</v>
      </c>
      <c r="E63" s="43" t="e">
        <f t="shared" si="1"/>
        <v>#VALUE!</v>
      </c>
      <c r="F63" s="43" t="e">
        <f t="shared" si="1"/>
        <v>#VALUE!</v>
      </c>
      <c r="G63" s="43" t="e">
        <f t="shared" si="2"/>
        <v>#VALUE!</v>
      </c>
      <c r="H63" s="43" t="e">
        <f t="shared" ca="1" si="3"/>
        <v>#VALUE!</v>
      </c>
      <c r="I63" s="43">
        <f t="shared" si="4"/>
        <v>0</v>
      </c>
      <c r="J63" s="229">
        <f t="shared" si="8"/>
        <v>25</v>
      </c>
      <c r="K63" s="43">
        <f t="shared" si="9"/>
        <v>0</v>
      </c>
      <c r="M63" s="224"/>
      <c r="N63" s="225">
        <f t="shared" si="10"/>
        <v>0</v>
      </c>
      <c r="O63" s="43" t="e">
        <f t="shared" si="11"/>
        <v>#VALUE!</v>
      </c>
      <c r="P63" s="43" t="e">
        <f>ROUND(IF(Preenchimento!$G$39="Tabela Price",R63-Q63,(O62*(1+$AD$35))/($AD$28-C62)),$P$22)</f>
        <v>#VALUE!</v>
      </c>
      <c r="Q63" s="43" t="e">
        <f>IF(Preenchimento!$G$39="Tabela Price",O62*(1+$AD$35)*W63,O62*(1+'SAC Padrão_Sem Bonif'!$AD$35)*'SAC Padrão_Sem Bonif'!W63)</f>
        <v>#VALUE!</v>
      </c>
      <c r="R63" s="43" t="e">
        <f>IF(Preenchimento!$G$39="Tabela Price",IF(C63="","",((((((1+W63)^($Q$16-C62))*W63)/((1+W63)^($Q$16-C62)-1))*(O62*(1+$AD$35))))),Q63+P63)</f>
        <v>#VALUE!</v>
      </c>
      <c r="S63" s="43" t="e">
        <f t="shared" ca="1" si="5"/>
        <v>#VALUE!</v>
      </c>
      <c r="T63" s="43">
        <f t="shared" si="12"/>
        <v>0</v>
      </c>
      <c r="U63" s="226">
        <f>TRUNC(T63*Condições!$C$102,2)</f>
        <v>0</v>
      </c>
      <c r="V63" s="82">
        <f t="shared" ca="1" si="6"/>
        <v>8</v>
      </c>
      <c r="W63" s="231" t="str">
        <f t="shared" si="13"/>
        <v/>
      </c>
      <c r="X63" s="210"/>
      <c r="Y63" s="210"/>
      <c r="Z63" s="210"/>
      <c r="AI63" s="114">
        <f t="shared" si="14"/>
        <v>0</v>
      </c>
      <c r="AJ63" s="113"/>
      <c r="AL63" s="477">
        <f t="shared" ca="1" si="15"/>
        <v>0</v>
      </c>
    </row>
    <row r="64" spans="2:38" ht="12" customHeight="1">
      <c r="B64" s="222">
        <f ca="1">Fixa!B64</f>
        <v>47377</v>
      </c>
      <c r="C64" s="223" t="str">
        <f>Fixa!C64</f>
        <v/>
      </c>
      <c r="D64" s="43" t="e">
        <f t="shared" si="16"/>
        <v>#VALUE!</v>
      </c>
      <c r="E64" s="43" t="e">
        <f t="shared" si="1"/>
        <v>#VALUE!</v>
      </c>
      <c r="F64" s="43" t="e">
        <f t="shared" si="1"/>
        <v>#VALUE!</v>
      </c>
      <c r="G64" s="43" t="e">
        <f t="shared" si="2"/>
        <v>#VALUE!</v>
      </c>
      <c r="H64" s="43" t="e">
        <f t="shared" ca="1" si="3"/>
        <v>#VALUE!</v>
      </c>
      <c r="I64" s="43">
        <f t="shared" si="4"/>
        <v>0</v>
      </c>
      <c r="J64" s="229">
        <f t="shared" si="8"/>
        <v>25</v>
      </c>
      <c r="K64" s="43">
        <f t="shared" si="9"/>
        <v>0</v>
      </c>
      <c r="M64" s="224"/>
      <c r="N64" s="225">
        <f t="shared" si="10"/>
        <v>0</v>
      </c>
      <c r="O64" s="43" t="e">
        <f t="shared" si="11"/>
        <v>#VALUE!</v>
      </c>
      <c r="P64" s="43" t="e">
        <f>ROUND(IF(Preenchimento!$G$39="Tabela Price",R64-Q64,(O63*(1+$AD$35))/($AD$28-C63)),$P$22)</f>
        <v>#VALUE!</v>
      </c>
      <c r="Q64" s="43" t="e">
        <f>IF(Preenchimento!$G$39="Tabela Price",O63*(1+$AD$35)*W64,O63*(1+'SAC Padrão_Sem Bonif'!$AD$35)*'SAC Padrão_Sem Bonif'!W64)</f>
        <v>#VALUE!</v>
      </c>
      <c r="R64" s="43" t="e">
        <f>IF(Preenchimento!$G$39="Tabela Price",IF(C64="","",((((((1+W64)^($Q$16-C63))*W64)/((1+W64)^($Q$16-C63)-1))*(O63*(1+$AD$35))))),Q64+P64)</f>
        <v>#VALUE!</v>
      </c>
      <c r="S64" s="43" t="e">
        <f t="shared" ca="1" si="5"/>
        <v>#VALUE!</v>
      </c>
      <c r="T64" s="43">
        <f t="shared" si="12"/>
        <v>0</v>
      </c>
      <c r="U64" s="226">
        <f>TRUNC(T64*Condições!$C$102,2)</f>
        <v>0</v>
      </c>
      <c r="V64" s="82">
        <f t="shared" ca="1" si="6"/>
        <v>9</v>
      </c>
      <c r="W64" s="231" t="str">
        <f t="shared" si="13"/>
        <v/>
      </c>
      <c r="X64" s="210"/>
      <c r="Y64" s="210"/>
      <c r="Z64" s="210"/>
      <c r="AI64" s="114">
        <f t="shared" si="14"/>
        <v>0</v>
      </c>
      <c r="AJ64" s="113"/>
      <c r="AL64" s="477">
        <f t="shared" ca="1" si="15"/>
        <v>0</v>
      </c>
    </row>
    <row r="65" spans="2:38" ht="12" customHeight="1">
      <c r="B65" s="222">
        <f ca="1">Fixa!B65</f>
        <v>47407</v>
      </c>
      <c r="C65" s="223" t="str">
        <f>Fixa!C65</f>
        <v/>
      </c>
      <c r="D65" s="43" t="e">
        <f t="shared" si="16"/>
        <v>#VALUE!</v>
      </c>
      <c r="E65" s="43" t="e">
        <f t="shared" si="1"/>
        <v>#VALUE!</v>
      </c>
      <c r="F65" s="43" t="e">
        <f t="shared" si="1"/>
        <v>#VALUE!</v>
      </c>
      <c r="G65" s="43" t="e">
        <f t="shared" si="2"/>
        <v>#VALUE!</v>
      </c>
      <c r="H65" s="43" t="e">
        <f t="shared" ca="1" si="3"/>
        <v>#VALUE!</v>
      </c>
      <c r="I65" s="43">
        <f t="shared" si="4"/>
        <v>0</v>
      </c>
      <c r="J65" s="229">
        <f t="shared" si="8"/>
        <v>25</v>
      </c>
      <c r="K65" s="43">
        <f t="shared" si="9"/>
        <v>0</v>
      </c>
      <c r="M65" s="224"/>
      <c r="N65" s="225">
        <f t="shared" si="10"/>
        <v>0</v>
      </c>
      <c r="O65" s="43" t="e">
        <f t="shared" si="11"/>
        <v>#VALUE!</v>
      </c>
      <c r="P65" s="43" t="e">
        <f>ROUND(IF(Preenchimento!$G$39="Tabela Price",R65-Q65,(O64*(1+$AD$35))/($AD$28-C64)),$P$22)</f>
        <v>#VALUE!</v>
      </c>
      <c r="Q65" s="43" t="e">
        <f>IF(Preenchimento!$G$39="Tabela Price",O64*(1+$AD$35)*W65,O64*(1+'SAC Padrão_Sem Bonif'!$AD$35)*'SAC Padrão_Sem Bonif'!W65)</f>
        <v>#VALUE!</v>
      </c>
      <c r="R65" s="43" t="e">
        <f>IF(Preenchimento!$G$39="Tabela Price",IF(C65="","",((((((1+W65)^($Q$16-C64))*W65)/((1+W65)^($Q$16-C64)-1))*(O64*(1+$AD$35))))),Q65+P65)</f>
        <v>#VALUE!</v>
      </c>
      <c r="S65" s="43" t="e">
        <f t="shared" ca="1" si="5"/>
        <v>#VALUE!</v>
      </c>
      <c r="T65" s="43">
        <f t="shared" si="12"/>
        <v>0</v>
      </c>
      <c r="U65" s="226">
        <f>TRUNC(T65*Condições!$C$102,2)</f>
        <v>0</v>
      </c>
      <c r="V65" s="82">
        <f t="shared" ca="1" si="6"/>
        <v>10</v>
      </c>
      <c r="W65" s="231" t="str">
        <f t="shared" si="13"/>
        <v/>
      </c>
      <c r="X65" s="210"/>
      <c r="Y65" s="210"/>
      <c r="Z65" s="210"/>
      <c r="AI65" s="114">
        <f t="shared" si="14"/>
        <v>0</v>
      </c>
      <c r="AJ65" s="113"/>
      <c r="AL65" s="477">
        <f t="shared" ca="1" si="15"/>
        <v>0</v>
      </c>
    </row>
    <row r="66" spans="2:38" ht="12" customHeight="1">
      <c r="B66" s="222">
        <f ca="1">Fixa!B66</f>
        <v>47438</v>
      </c>
      <c r="C66" s="223" t="str">
        <f>Fixa!C66</f>
        <v/>
      </c>
      <c r="D66" s="43" t="e">
        <f t="shared" si="16"/>
        <v>#VALUE!</v>
      </c>
      <c r="E66" s="43" t="e">
        <f t="shared" si="1"/>
        <v>#VALUE!</v>
      </c>
      <c r="F66" s="43" t="e">
        <f t="shared" si="1"/>
        <v>#VALUE!</v>
      </c>
      <c r="G66" s="43" t="e">
        <f t="shared" si="2"/>
        <v>#VALUE!</v>
      </c>
      <c r="H66" s="43" t="e">
        <f t="shared" ca="1" si="3"/>
        <v>#VALUE!</v>
      </c>
      <c r="I66" s="43">
        <f t="shared" si="4"/>
        <v>0</v>
      </c>
      <c r="J66" s="229">
        <f t="shared" si="8"/>
        <v>25</v>
      </c>
      <c r="K66" s="43">
        <f t="shared" si="9"/>
        <v>0</v>
      </c>
      <c r="M66" s="224"/>
      <c r="N66" s="225">
        <f t="shared" si="10"/>
        <v>0</v>
      </c>
      <c r="O66" s="43" t="e">
        <f t="shared" si="11"/>
        <v>#VALUE!</v>
      </c>
      <c r="P66" s="43" t="e">
        <f>ROUND(IF(Preenchimento!$G$39="Tabela Price",R66-Q66,(O65*(1+$AD$35))/($AD$28-C65)),$P$22)</f>
        <v>#VALUE!</v>
      </c>
      <c r="Q66" s="43" t="e">
        <f>IF(Preenchimento!$G$39="Tabela Price",O65*(1+$AD$35)*W66,O65*(1+'SAC Padrão_Sem Bonif'!$AD$35)*'SAC Padrão_Sem Bonif'!W66)</f>
        <v>#VALUE!</v>
      </c>
      <c r="R66" s="43" t="e">
        <f>IF(Preenchimento!$G$39="Tabela Price",IF(C66="","",((((((1+W66)^($Q$16-C65))*W66)/((1+W66)^($Q$16-C65)-1))*(O65*(1+$AD$35))))),Q66+P66)</f>
        <v>#VALUE!</v>
      </c>
      <c r="S66" s="43" t="e">
        <f t="shared" ca="1" si="5"/>
        <v>#VALUE!</v>
      </c>
      <c r="T66" s="43">
        <f t="shared" si="12"/>
        <v>0</v>
      </c>
      <c r="U66" s="226">
        <f>TRUNC(T66*Condições!$C$102,2)</f>
        <v>0</v>
      </c>
      <c r="V66" s="82">
        <f t="shared" ca="1" si="6"/>
        <v>11</v>
      </c>
      <c r="W66" s="231" t="str">
        <f t="shared" si="13"/>
        <v/>
      </c>
      <c r="X66" s="210"/>
      <c r="Y66" s="210"/>
      <c r="Z66" s="210"/>
      <c r="AI66" s="114">
        <f t="shared" si="14"/>
        <v>0</v>
      </c>
      <c r="AJ66" s="113"/>
      <c r="AL66" s="477">
        <f t="shared" ca="1" si="15"/>
        <v>0</v>
      </c>
    </row>
    <row r="67" spans="2:38" ht="12" customHeight="1">
      <c r="B67" s="222">
        <f ca="1">Fixa!B67</f>
        <v>47468</v>
      </c>
      <c r="C67" s="223" t="str">
        <f>Fixa!C67</f>
        <v/>
      </c>
      <c r="D67" s="43" t="e">
        <f t="shared" si="16"/>
        <v>#VALUE!</v>
      </c>
      <c r="E67" s="43" t="e">
        <f t="shared" si="1"/>
        <v>#VALUE!</v>
      </c>
      <c r="F67" s="43" t="e">
        <f t="shared" si="1"/>
        <v>#VALUE!</v>
      </c>
      <c r="G67" s="43" t="e">
        <f t="shared" si="2"/>
        <v>#VALUE!</v>
      </c>
      <c r="H67" s="43" t="e">
        <f t="shared" ca="1" si="3"/>
        <v>#VALUE!</v>
      </c>
      <c r="I67" s="43">
        <f t="shared" si="4"/>
        <v>0</v>
      </c>
      <c r="J67" s="229">
        <f t="shared" si="8"/>
        <v>25</v>
      </c>
      <c r="K67" s="43">
        <f t="shared" si="9"/>
        <v>0</v>
      </c>
      <c r="M67" s="224"/>
      <c r="N67" s="225">
        <f t="shared" si="10"/>
        <v>0</v>
      </c>
      <c r="O67" s="43" t="e">
        <f t="shared" si="11"/>
        <v>#VALUE!</v>
      </c>
      <c r="P67" s="43" t="e">
        <f>ROUND(IF(Preenchimento!$G$39="Tabela Price",R67-Q67,(O66*(1+$AD$35))/($AD$28-C66)),$P$22)</f>
        <v>#VALUE!</v>
      </c>
      <c r="Q67" s="43" t="e">
        <f>IF(Preenchimento!$G$39="Tabela Price",O66*(1+$AD$35)*W67,O66*(1+'SAC Padrão_Sem Bonif'!$AD$35)*'SAC Padrão_Sem Bonif'!W67)</f>
        <v>#VALUE!</v>
      </c>
      <c r="R67" s="43" t="e">
        <f>IF(Preenchimento!$G$39="Tabela Price",IF(C67="","",((((((1+W67)^($Q$16-C66))*W67)/((1+W67)^($Q$16-C66)-1))*(O66*(1+$AD$35))))),Q67+P67)</f>
        <v>#VALUE!</v>
      </c>
      <c r="S67" s="43" t="e">
        <f t="shared" ca="1" si="5"/>
        <v>#VALUE!</v>
      </c>
      <c r="T67" s="43">
        <f t="shared" si="12"/>
        <v>0</v>
      </c>
      <c r="U67" s="226">
        <f>TRUNC(T67*Condições!$C$102,2)</f>
        <v>0</v>
      </c>
      <c r="V67" s="82">
        <f t="shared" ca="1" si="6"/>
        <v>12</v>
      </c>
      <c r="W67" s="231" t="str">
        <f t="shared" si="13"/>
        <v/>
      </c>
      <c r="X67" s="210"/>
      <c r="Y67" s="210"/>
      <c r="Z67" s="210"/>
      <c r="AI67" s="114">
        <f t="shared" si="14"/>
        <v>0</v>
      </c>
      <c r="AJ67" s="113"/>
      <c r="AL67" s="477">
        <f t="shared" ca="1" si="15"/>
        <v>0</v>
      </c>
    </row>
    <row r="68" spans="2:38" ht="12" customHeight="1">
      <c r="B68" s="222">
        <f ca="1">Fixa!B68</f>
        <v>47499</v>
      </c>
      <c r="C68" s="223" t="str">
        <f>Fixa!C68</f>
        <v/>
      </c>
      <c r="D68" s="43" t="e">
        <f t="shared" si="16"/>
        <v>#VALUE!</v>
      </c>
      <c r="E68" s="43" t="e">
        <f t="shared" si="1"/>
        <v>#VALUE!</v>
      </c>
      <c r="F68" s="43" t="e">
        <f t="shared" si="1"/>
        <v>#VALUE!</v>
      </c>
      <c r="G68" s="43" t="e">
        <f t="shared" si="2"/>
        <v>#VALUE!</v>
      </c>
      <c r="H68" s="43" t="e">
        <f t="shared" ca="1" si="3"/>
        <v>#VALUE!</v>
      </c>
      <c r="I68" s="43">
        <f t="shared" si="4"/>
        <v>0</v>
      </c>
      <c r="J68" s="229">
        <f t="shared" si="8"/>
        <v>25</v>
      </c>
      <c r="K68" s="43">
        <f t="shared" si="9"/>
        <v>0</v>
      </c>
      <c r="M68" s="224"/>
      <c r="N68" s="225">
        <f t="shared" si="10"/>
        <v>0</v>
      </c>
      <c r="O68" s="43" t="e">
        <f t="shared" si="11"/>
        <v>#VALUE!</v>
      </c>
      <c r="P68" s="43" t="e">
        <f>ROUND(IF(Preenchimento!$G$39="Tabela Price",R68-Q68,(O67*(1+$AD$35))/($AD$28-C67)),$P$22)</f>
        <v>#VALUE!</v>
      </c>
      <c r="Q68" s="43" t="e">
        <f>IF(Preenchimento!$G$39="Tabela Price",O67*(1+$AD$35)*W68,O67*(1+'SAC Padrão_Sem Bonif'!$AD$35)*'SAC Padrão_Sem Bonif'!W68)</f>
        <v>#VALUE!</v>
      </c>
      <c r="R68" s="43" t="e">
        <f>IF(Preenchimento!$G$39="Tabela Price",IF(C68="","",((((((1+W68)^($Q$16-C67))*W68)/((1+W68)^($Q$16-C67)-1))*(O67*(1+$AD$35))))),Q68+P68)</f>
        <v>#VALUE!</v>
      </c>
      <c r="S68" s="43" t="e">
        <f t="shared" ca="1" si="5"/>
        <v>#VALUE!</v>
      </c>
      <c r="T68" s="43">
        <f t="shared" si="12"/>
        <v>0</v>
      </c>
      <c r="U68" s="226">
        <f>TRUNC(T68*Condições!$C$102,2)</f>
        <v>0</v>
      </c>
      <c r="V68" s="82">
        <f t="shared" ca="1" si="6"/>
        <v>1</v>
      </c>
      <c r="W68" s="231" t="str">
        <f t="shared" si="13"/>
        <v/>
      </c>
      <c r="X68" s="210"/>
      <c r="Y68" s="210"/>
      <c r="Z68" s="210"/>
      <c r="AI68" s="114">
        <f t="shared" si="14"/>
        <v>0</v>
      </c>
      <c r="AJ68" s="113"/>
      <c r="AL68" s="477">
        <f t="shared" ca="1" si="15"/>
        <v>0</v>
      </c>
    </row>
    <row r="69" spans="2:38" ht="12" customHeight="1">
      <c r="B69" s="222">
        <f ca="1">Fixa!B69</f>
        <v>47530</v>
      </c>
      <c r="C69" s="223" t="str">
        <f>Fixa!C69</f>
        <v/>
      </c>
      <c r="D69" s="43" t="e">
        <f t="shared" si="16"/>
        <v>#VALUE!</v>
      </c>
      <c r="E69" s="43" t="e">
        <f t="shared" si="1"/>
        <v>#VALUE!</v>
      </c>
      <c r="F69" s="43" t="e">
        <f t="shared" si="1"/>
        <v>#VALUE!</v>
      </c>
      <c r="G69" s="43" t="e">
        <f t="shared" si="2"/>
        <v>#VALUE!</v>
      </c>
      <c r="H69" s="43" t="e">
        <f t="shared" ca="1" si="3"/>
        <v>#VALUE!</v>
      </c>
      <c r="I69" s="43">
        <f t="shared" si="4"/>
        <v>0</v>
      </c>
      <c r="J69" s="229">
        <f t="shared" si="8"/>
        <v>25</v>
      </c>
      <c r="K69" s="43">
        <f t="shared" si="9"/>
        <v>0</v>
      </c>
      <c r="M69" s="224"/>
      <c r="N69" s="225">
        <f t="shared" si="10"/>
        <v>0</v>
      </c>
      <c r="O69" s="43" t="e">
        <f t="shared" si="11"/>
        <v>#VALUE!</v>
      </c>
      <c r="P69" s="43" t="e">
        <f>ROUND(IF(Preenchimento!$G$39="Tabela Price",R69-Q69,(O68*(1+$AD$35))/($AD$28-C68)),$P$22)</f>
        <v>#VALUE!</v>
      </c>
      <c r="Q69" s="43" t="e">
        <f>IF(Preenchimento!$G$39="Tabela Price",O68*(1+$AD$35)*W69,O68*(1+'SAC Padrão_Sem Bonif'!$AD$35)*'SAC Padrão_Sem Bonif'!W69)</f>
        <v>#VALUE!</v>
      </c>
      <c r="R69" s="43" t="e">
        <f>IF(Preenchimento!$G$39="Tabela Price",IF(C69="","",((((((1+W69)^($Q$16-C68))*W69)/((1+W69)^($Q$16-C68)-1))*(O68*(1+$AD$35))))),Q69+P69)</f>
        <v>#VALUE!</v>
      </c>
      <c r="S69" s="43" t="e">
        <f t="shared" ca="1" si="5"/>
        <v>#VALUE!</v>
      </c>
      <c r="T69" s="43">
        <f t="shared" si="12"/>
        <v>0</v>
      </c>
      <c r="U69" s="226">
        <f>TRUNC(T69*Condições!$C$102,2)</f>
        <v>0</v>
      </c>
      <c r="V69" s="82">
        <f t="shared" ca="1" si="6"/>
        <v>2</v>
      </c>
      <c r="W69" s="231" t="str">
        <f t="shared" si="13"/>
        <v/>
      </c>
      <c r="X69" s="210"/>
      <c r="Y69" s="210"/>
      <c r="Z69" s="210"/>
      <c r="AI69" s="114">
        <f t="shared" si="14"/>
        <v>0</v>
      </c>
      <c r="AJ69" s="113"/>
      <c r="AL69" s="477">
        <f t="shared" ca="1" si="15"/>
        <v>0</v>
      </c>
    </row>
    <row r="70" spans="2:38" ht="12" customHeight="1">
      <c r="B70" s="222">
        <f ca="1">Fixa!B70</f>
        <v>47558</v>
      </c>
      <c r="C70" s="223" t="str">
        <f>Fixa!C70</f>
        <v/>
      </c>
      <c r="D70" s="43" t="e">
        <f t="shared" si="16"/>
        <v>#VALUE!</v>
      </c>
      <c r="E70" s="43" t="e">
        <f t="shared" si="1"/>
        <v>#VALUE!</v>
      </c>
      <c r="F70" s="43" t="e">
        <f t="shared" si="1"/>
        <v>#VALUE!</v>
      </c>
      <c r="G70" s="43" t="e">
        <f t="shared" si="2"/>
        <v>#VALUE!</v>
      </c>
      <c r="H70" s="43" t="e">
        <f t="shared" ca="1" si="3"/>
        <v>#VALUE!</v>
      </c>
      <c r="I70" s="43">
        <f t="shared" si="4"/>
        <v>0</v>
      </c>
      <c r="J70" s="229">
        <f t="shared" si="8"/>
        <v>25</v>
      </c>
      <c r="K70" s="43">
        <f t="shared" si="9"/>
        <v>0</v>
      </c>
      <c r="M70" s="224"/>
      <c r="N70" s="225">
        <f t="shared" si="10"/>
        <v>0</v>
      </c>
      <c r="O70" s="43" t="e">
        <f t="shared" si="11"/>
        <v>#VALUE!</v>
      </c>
      <c r="P70" s="43" t="e">
        <f>ROUND(IF(Preenchimento!$G$39="Tabela Price",R70-Q70,(O69*(1+$AD$35))/($AD$28-C69)),$P$22)</f>
        <v>#VALUE!</v>
      </c>
      <c r="Q70" s="43" t="e">
        <f>IF(Preenchimento!$G$39="Tabela Price",O69*(1+$AD$35)*W70,O69*(1+'SAC Padrão_Sem Bonif'!$AD$35)*'SAC Padrão_Sem Bonif'!W70)</f>
        <v>#VALUE!</v>
      </c>
      <c r="R70" s="43" t="e">
        <f>IF(Preenchimento!$G$39="Tabela Price",IF(C70="","",((((((1+W70)^($Q$16-C69))*W70)/((1+W70)^($Q$16-C69)-1))*(O69*(1+$AD$35))))),Q70+P70)</f>
        <v>#VALUE!</v>
      </c>
      <c r="S70" s="43" t="e">
        <f t="shared" ca="1" si="5"/>
        <v>#VALUE!</v>
      </c>
      <c r="T70" s="43">
        <f t="shared" si="12"/>
        <v>0</v>
      </c>
      <c r="U70" s="226">
        <f>TRUNC(T70*Condições!$C$102,2)</f>
        <v>0</v>
      </c>
      <c r="V70" s="82">
        <f t="shared" ca="1" si="6"/>
        <v>3</v>
      </c>
      <c r="W70" s="231" t="str">
        <f t="shared" si="13"/>
        <v/>
      </c>
      <c r="X70" s="210"/>
      <c r="Y70" s="210"/>
      <c r="Z70" s="210"/>
      <c r="AI70" s="114">
        <f t="shared" si="14"/>
        <v>0</v>
      </c>
      <c r="AJ70" s="113"/>
      <c r="AL70" s="477">
        <f t="shared" ca="1" si="15"/>
        <v>0</v>
      </c>
    </row>
    <row r="71" spans="2:38" ht="12" customHeight="1">
      <c r="B71" s="222">
        <f ca="1">Fixa!B71</f>
        <v>47589</v>
      </c>
      <c r="C71" s="223" t="str">
        <f>Fixa!C71</f>
        <v/>
      </c>
      <c r="D71" s="43" t="e">
        <f t="shared" si="16"/>
        <v>#VALUE!</v>
      </c>
      <c r="E71" s="43" t="e">
        <f t="shared" si="1"/>
        <v>#VALUE!</v>
      </c>
      <c r="F71" s="43" t="e">
        <f t="shared" si="1"/>
        <v>#VALUE!</v>
      </c>
      <c r="G71" s="43" t="e">
        <f t="shared" si="2"/>
        <v>#VALUE!</v>
      </c>
      <c r="H71" s="43" t="e">
        <f t="shared" ca="1" si="3"/>
        <v>#VALUE!</v>
      </c>
      <c r="I71" s="43">
        <f t="shared" si="4"/>
        <v>0</v>
      </c>
      <c r="J71" s="229">
        <f t="shared" si="8"/>
        <v>25</v>
      </c>
      <c r="K71" s="43">
        <f t="shared" si="9"/>
        <v>0</v>
      </c>
      <c r="M71" s="224"/>
      <c r="N71" s="225">
        <f t="shared" si="10"/>
        <v>0</v>
      </c>
      <c r="O71" s="43" t="e">
        <f t="shared" si="11"/>
        <v>#VALUE!</v>
      </c>
      <c r="P71" s="43" t="e">
        <f>ROUND(IF(Preenchimento!$G$39="Tabela Price",R71-Q71,(O70*(1+$AD$35))/($AD$28-C70)),$P$22)</f>
        <v>#VALUE!</v>
      </c>
      <c r="Q71" s="43" t="e">
        <f>IF(Preenchimento!$G$39="Tabela Price",O70*(1+$AD$35)*W71,O70*(1+'SAC Padrão_Sem Bonif'!$AD$35)*'SAC Padrão_Sem Bonif'!W71)</f>
        <v>#VALUE!</v>
      </c>
      <c r="R71" s="43" t="e">
        <f>IF(Preenchimento!$G$39="Tabela Price",IF(C71="","",((((((1+W71)^($Q$16-C70))*W71)/((1+W71)^($Q$16-C70)-1))*(O70*(1+$AD$35))))),Q71+P71)</f>
        <v>#VALUE!</v>
      </c>
      <c r="S71" s="43" t="e">
        <f t="shared" ca="1" si="5"/>
        <v>#VALUE!</v>
      </c>
      <c r="T71" s="43">
        <f t="shared" si="12"/>
        <v>0</v>
      </c>
      <c r="U71" s="226">
        <f>TRUNC(T71*Condições!$C$102,2)</f>
        <v>0</v>
      </c>
      <c r="V71" s="82">
        <f t="shared" ca="1" si="6"/>
        <v>4</v>
      </c>
      <c r="W71" s="231" t="str">
        <f t="shared" si="13"/>
        <v/>
      </c>
      <c r="X71" s="210"/>
      <c r="Y71" s="210"/>
      <c r="Z71" s="210"/>
      <c r="AI71" s="114">
        <f t="shared" si="14"/>
        <v>0</v>
      </c>
      <c r="AJ71" s="113"/>
      <c r="AL71" s="477">
        <f t="shared" ca="1" si="15"/>
        <v>0</v>
      </c>
    </row>
    <row r="72" spans="2:38" ht="12" customHeight="1">
      <c r="B72" s="222">
        <f ca="1">Fixa!B72</f>
        <v>47619</v>
      </c>
      <c r="C72" s="223" t="str">
        <f>Fixa!C72</f>
        <v/>
      </c>
      <c r="D72" s="43" t="e">
        <f t="shared" si="16"/>
        <v>#VALUE!</v>
      </c>
      <c r="E72" s="43" t="e">
        <f t="shared" si="1"/>
        <v>#VALUE!</v>
      </c>
      <c r="F72" s="43" t="e">
        <f t="shared" si="1"/>
        <v>#VALUE!</v>
      </c>
      <c r="G72" s="43" t="e">
        <f t="shared" si="2"/>
        <v>#VALUE!</v>
      </c>
      <c r="H72" s="43" t="e">
        <f t="shared" ca="1" si="3"/>
        <v>#VALUE!</v>
      </c>
      <c r="I72" s="43">
        <f t="shared" si="4"/>
        <v>0</v>
      </c>
      <c r="J72" s="229">
        <f t="shared" si="8"/>
        <v>25</v>
      </c>
      <c r="K72" s="43">
        <f t="shared" si="9"/>
        <v>0</v>
      </c>
      <c r="M72" s="224"/>
      <c r="N72" s="225">
        <f t="shared" si="10"/>
        <v>0</v>
      </c>
      <c r="O72" s="43" t="e">
        <f t="shared" si="11"/>
        <v>#VALUE!</v>
      </c>
      <c r="P72" s="43" t="e">
        <f>ROUND(IF(Preenchimento!$G$39="Tabela Price",R72-Q72,(O71*(1+$AD$35))/($AD$28-C71)),$P$22)</f>
        <v>#VALUE!</v>
      </c>
      <c r="Q72" s="43" t="e">
        <f>IF(Preenchimento!$G$39="Tabela Price",O71*(1+$AD$35)*W72,O71*(1+'SAC Padrão_Sem Bonif'!$AD$35)*'SAC Padrão_Sem Bonif'!W72)</f>
        <v>#VALUE!</v>
      </c>
      <c r="R72" s="43" t="e">
        <f>IF(Preenchimento!$G$39="Tabela Price",IF(C72="","",((((((1+W72)^($Q$16-C71))*W72)/((1+W72)^($Q$16-C71)-1))*(O71*(1+$AD$35))))),Q72+P72)</f>
        <v>#VALUE!</v>
      </c>
      <c r="S72" s="43" t="e">
        <f t="shared" ca="1" si="5"/>
        <v>#VALUE!</v>
      </c>
      <c r="T72" s="43">
        <f t="shared" si="12"/>
        <v>0</v>
      </c>
      <c r="U72" s="226">
        <f>TRUNC(T72*Condições!$C$102,2)</f>
        <v>0</v>
      </c>
      <c r="V72" s="82">
        <f t="shared" ca="1" si="6"/>
        <v>5</v>
      </c>
      <c r="W72" s="231" t="str">
        <f t="shared" si="13"/>
        <v/>
      </c>
      <c r="X72" s="210"/>
      <c r="Y72" s="210"/>
      <c r="Z72" s="210"/>
      <c r="AI72" s="114">
        <f t="shared" si="14"/>
        <v>0</v>
      </c>
      <c r="AJ72" s="113"/>
      <c r="AL72" s="477">
        <f t="shared" ca="1" si="15"/>
        <v>0</v>
      </c>
    </row>
    <row r="73" spans="2:38" ht="12" customHeight="1">
      <c r="B73" s="222">
        <f ca="1">Fixa!B73</f>
        <v>47650</v>
      </c>
      <c r="C73" s="223" t="str">
        <f>Fixa!C73</f>
        <v/>
      </c>
      <c r="D73" s="43" t="e">
        <f t="shared" si="16"/>
        <v>#VALUE!</v>
      </c>
      <c r="E73" s="43" t="e">
        <f t="shared" si="1"/>
        <v>#VALUE!</v>
      </c>
      <c r="F73" s="43" t="e">
        <f t="shared" si="1"/>
        <v>#VALUE!</v>
      </c>
      <c r="G73" s="43" t="e">
        <f t="shared" si="2"/>
        <v>#VALUE!</v>
      </c>
      <c r="H73" s="43" t="e">
        <f t="shared" ca="1" si="3"/>
        <v>#VALUE!</v>
      </c>
      <c r="I73" s="43">
        <f t="shared" si="4"/>
        <v>0</v>
      </c>
      <c r="J73" s="229">
        <f t="shared" si="8"/>
        <v>25</v>
      </c>
      <c r="K73" s="43">
        <f t="shared" si="9"/>
        <v>0</v>
      </c>
      <c r="M73" s="224"/>
      <c r="N73" s="225">
        <f t="shared" si="10"/>
        <v>0</v>
      </c>
      <c r="O73" s="43" t="e">
        <f t="shared" si="11"/>
        <v>#VALUE!</v>
      </c>
      <c r="P73" s="43" t="e">
        <f>ROUND(IF(Preenchimento!$G$39="Tabela Price",R73-Q73,(O72*(1+$AD$35))/($AD$28-C72)),$P$22)</f>
        <v>#VALUE!</v>
      </c>
      <c r="Q73" s="43" t="e">
        <f>IF(Preenchimento!$G$39="Tabela Price",O72*(1+$AD$35)*W73,O72*(1+'SAC Padrão_Sem Bonif'!$AD$35)*'SAC Padrão_Sem Bonif'!W73)</f>
        <v>#VALUE!</v>
      </c>
      <c r="R73" s="43" t="e">
        <f>IF(Preenchimento!$G$39="Tabela Price",IF(C73="","",((((((1+W73)^($Q$16-C72))*W73)/((1+W73)^($Q$16-C72)-1))*(O72*(1+$AD$35))))),Q73+P73)</f>
        <v>#VALUE!</v>
      </c>
      <c r="S73" s="43" t="e">
        <f t="shared" ca="1" si="5"/>
        <v>#VALUE!</v>
      </c>
      <c r="T73" s="43">
        <f t="shared" si="12"/>
        <v>0</v>
      </c>
      <c r="U73" s="226">
        <f>TRUNC(T73*Condições!$C$102,2)</f>
        <v>0</v>
      </c>
      <c r="V73" s="82">
        <f t="shared" ca="1" si="6"/>
        <v>6</v>
      </c>
      <c r="W73" s="231" t="str">
        <f t="shared" si="13"/>
        <v/>
      </c>
      <c r="X73" s="210"/>
      <c r="Y73" s="210"/>
      <c r="Z73" s="210"/>
      <c r="AI73" s="114">
        <f t="shared" si="14"/>
        <v>0</v>
      </c>
      <c r="AJ73" s="113"/>
      <c r="AL73" s="477">
        <f t="shared" ca="1" si="15"/>
        <v>0</v>
      </c>
    </row>
    <row r="74" spans="2:38" ht="12" customHeight="1">
      <c r="B74" s="222">
        <f ca="1">Fixa!B74</f>
        <v>47680</v>
      </c>
      <c r="C74" s="223" t="str">
        <f>Fixa!C74</f>
        <v/>
      </c>
      <c r="D74" s="43" t="e">
        <f t="shared" si="16"/>
        <v>#VALUE!</v>
      </c>
      <c r="E74" s="43" t="e">
        <f t="shared" si="1"/>
        <v>#VALUE!</v>
      </c>
      <c r="F74" s="43" t="e">
        <f t="shared" si="1"/>
        <v>#VALUE!</v>
      </c>
      <c r="G74" s="43" t="e">
        <f t="shared" si="2"/>
        <v>#VALUE!</v>
      </c>
      <c r="H74" s="43" t="e">
        <f t="shared" ca="1" si="3"/>
        <v>#VALUE!</v>
      </c>
      <c r="I74" s="43">
        <f t="shared" si="4"/>
        <v>0</v>
      </c>
      <c r="J74" s="229">
        <f t="shared" si="8"/>
        <v>25</v>
      </c>
      <c r="K74" s="43">
        <f t="shared" si="9"/>
        <v>0</v>
      </c>
      <c r="M74" s="224"/>
      <c r="N74" s="225">
        <f t="shared" si="10"/>
        <v>0</v>
      </c>
      <c r="O74" s="43" t="e">
        <f t="shared" si="11"/>
        <v>#VALUE!</v>
      </c>
      <c r="P74" s="43" t="e">
        <f>ROUND(IF(Preenchimento!$G$39="Tabela Price",R74-Q74,(O73*(1+$AD$35))/($AD$28-C73)),$P$22)</f>
        <v>#VALUE!</v>
      </c>
      <c r="Q74" s="43" t="e">
        <f>IF(Preenchimento!$G$39="Tabela Price",O73*(1+$AD$35)*W74,O73*(1+'SAC Padrão_Sem Bonif'!$AD$35)*'SAC Padrão_Sem Bonif'!W74)</f>
        <v>#VALUE!</v>
      </c>
      <c r="R74" s="43" t="e">
        <f>IF(Preenchimento!$G$39="Tabela Price",IF(C74="","",((((((1+W74)^($Q$16-C73))*W74)/((1+W74)^($Q$16-C73)-1))*(O73*(1+$AD$35))))),Q74+P74)</f>
        <v>#VALUE!</v>
      </c>
      <c r="S74" s="43" t="e">
        <f t="shared" ca="1" si="5"/>
        <v>#VALUE!</v>
      </c>
      <c r="T74" s="43">
        <f t="shared" si="12"/>
        <v>0</v>
      </c>
      <c r="U74" s="226">
        <f>TRUNC(T74*Condições!$C$102,2)</f>
        <v>0</v>
      </c>
      <c r="V74" s="82">
        <f t="shared" ca="1" si="6"/>
        <v>7</v>
      </c>
      <c r="W74" s="231" t="str">
        <f t="shared" si="13"/>
        <v/>
      </c>
      <c r="X74" s="210"/>
      <c r="Y74" s="210"/>
      <c r="Z74" s="210"/>
      <c r="AI74" s="114">
        <f t="shared" si="14"/>
        <v>0</v>
      </c>
      <c r="AJ74" s="113"/>
      <c r="AL74" s="477">
        <f t="shared" ca="1" si="15"/>
        <v>0</v>
      </c>
    </row>
    <row r="75" spans="2:38" ht="12" customHeight="1">
      <c r="B75" s="222">
        <f ca="1">Fixa!B75</f>
        <v>47711</v>
      </c>
      <c r="C75" s="223" t="str">
        <f>Fixa!C75</f>
        <v/>
      </c>
      <c r="D75" s="43" t="e">
        <f t="shared" si="16"/>
        <v>#VALUE!</v>
      </c>
      <c r="E75" s="43" t="e">
        <f t="shared" si="1"/>
        <v>#VALUE!</v>
      </c>
      <c r="F75" s="43" t="e">
        <f t="shared" si="1"/>
        <v>#VALUE!</v>
      </c>
      <c r="G75" s="43" t="e">
        <f t="shared" si="2"/>
        <v>#VALUE!</v>
      </c>
      <c r="H75" s="43" t="e">
        <f t="shared" ca="1" si="3"/>
        <v>#VALUE!</v>
      </c>
      <c r="I75" s="43">
        <f t="shared" si="4"/>
        <v>0</v>
      </c>
      <c r="J75" s="229">
        <f t="shared" si="8"/>
        <v>25</v>
      </c>
      <c r="K75" s="43">
        <f t="shared" si="9"/>
        <v>0</v>
      </c>
      <c r="M75" s="224"/>
      <c r="N75" s="225">
        <f t="shared" si="10"/>
        <v>0</v>
      </c>
      <c r="O75" s="43" t="e">
        <f t="shared" si="11"/>
        <v>#VALUE!</v>
      </c>
      <c r="P75" s="43" t="e">
        <f>ROUND(IF(Preenchimento!$G$39="Tabela Price",R75-Q75,(O74*(1+$AD$35))/($AD$28-C74)),$P$22)</f>
        <v>#VALUE!</v>
      </c>
      <c r="Q75" s="43" t="e">
        <f>IF(Preenchimento!$G$39="Tabela Price",O74*(1+$AD$35)*W75,O74*(1+'SAC Padrão_Sem Bonif'!$AD$35)*'SAC Padrão_Sem Bonif'!W75)</f>
        <v>#VALUE!</v>
      </c>
      <c r="R75" s="43" t="e">
        <f>IF(Preenchimento!$G$39="Tabela Price",IF(C75="","",((((((1+W75)^($Q$16-C74))*W75)/((1+W75)^($Q$16-C74)-1))*(O74*(1+$AD$35))))),Q75+P75)</f>
        <v>#VALUE!</v>
      </c>
      <c r="S75" s="43" t="e">
        <f t="shared" ca="1" si="5"/>
        <v>#VALUE!</v>
      </c>
      <c r="T75" s="43">
        <f t="shared" si="12"/>
        <v>0</v>
      </c>
      <c r="U75" s="226">
        <f>TRUNC(T75*Condições!$C$102,2)</f>
        <v>0</v>
      </c>
      <c r="V75" s="82">
        <f t="shared" ca="1" si="6"/>
        <v>8</v>
      </c>
      <c r="W75" s="231" t="str">
        <f t="shared" si="13"/>
        <v/>
      </c>
      <c r="X75" s="210"/>
      <c r="Y75" s="210"/>
      <c r="Z75" s="210"/>
      <c r="AI75" s="114">
        <f t="shared" si="14"/>
        <v>0</v>
      </c>
      <c r="AJ75" s="113"/>
      <c r="AL75" s="477">
        <f t="shared" ca="1" si="15"/>
        <v>0</v>
      </c>
    </row>
    <row r="76" spans="2:38" ht="12" customHeight="1">
      <c r="B76" s="222">
        <f ca="1">Fixa!B76</f>
        <v>47742</v>
      </c>
      <c r="C76" s="223" t="str">
        <f>Fixa!C76</f>
        <v/>
      </c>
      <c r="D76" s="43" t="e">
        <f t="shared" si="16"/>
        <v>#VALUE!</v>
      </c>
      <c r="E76" s="43" t="e">
        <f t="shared" si="1"/>
        <v>#VALUE!</v>
      </c>
      <c r="F76" s="43" t="e">
        <f t="shared" si="1"/>
        <v>#VALUE!</v>
      </c>
      <c r="G76" s="43" t="e">
        <f t="shared" si="2"/>
        <v>#VALUE!</v>
      </c>
      <c r="H76" s="43" t="e">
        <f t="shared" ca="1" si="3"/>
        <v>#VALUE!</v>
      </c>
      <c r="I76" s="43">
        <f t="shared" si="4"/>
        <v>0</v>
      </c>
      <c r="J76" s="229">
        <f t="shared" si="8"/>
        <v>25</v>
      </c>
      <c r="K76" s="43">
        <f t="shared" si="9"/>
        <v>0</v>
      </c>
      <c r="M76" s="224"/>
      <c r="N76" s="225">
        <f t="shared" si="10"/>
        <v>0</v>
      </c>
      <c r="O76" s="43" t="e">
        <f t="shared" si="11"/>
        <v>#VALUE!</v>
      </c>
      <c r="P76" s="43" t="e">
        <f>ROUND(IF(Preenchimento!$G$39="Tabela Price",R76-Q76,(O75*(1+$AD$35))/($AD$28-C75)),$P$22)</f>
        <v>#VALUE!</v>
      </c>
      <c r="Q76" s="43" t="e">
        <f>IF(Preenchimento!$G$39="Tabela Price",O75*(1+$AD$35)*W76,O75*(1+'SAC Padrão_Sem Bonif'!$AD$35)*'SAC Padrão_Sem Bonif'!W76)</f>
        <v>#VALUE!</v>
      </c>
      <c r="R76" s="43" t="e">
        <f>IF(Preenchimento!$G$39="Tabela Price",IF(C76="","",((((((1+W76)^($Q$16-C75))*W76)/((1+W76)^($Q$16-C75)-1))*(O75*(1+$AD$35))))),Q76+P76)</f>
        <v>#VALUE!</v>
      </c>
      <c r="S76" s="43" t="e">
        <f t="shared" ca="1" si="5"/>
        <v>#VALUE!</v>
      </c>
      <c r="T76" s="43">
        <f t="shared" si="12"/>
        <v>0</v>
      </c>
      <c r="U76" s="226">
        <f>TRUNC(T76*Condições!$C$102,2)</f>
        <v>0</v>
      </c>
      <c r="V76" s="82">
        <f t="shared" ca="1" si="6"/>
        <v>9</v>
      </c>
      <c r="W76" s="231" t="str">
        <f t="shared" si="13"/>
        <v/>
      </c>
      <c r="X76" s="210"/>
      <c r="Y76" s="210"/>
      <c r="Z76" s="210"/>
      <c r="AI76" s="114">
        <f t="shared" si="14"/>
        <v>0</v>
      </c>
      <c r="AJ76" s="113"/>
      <c r="AL76" s="477">
        <f t="shared" ca="1" si="15"/>
        <v>0</v>
      </c>
    </row>
    <row r="77" spans="2:38" ht="12" customHeight="1">
      <c r="B77" s="222">
        <f ca="1">Fixa!B77</f>
        <v>47772</v>
      </c>
      <c r="C77" s="223" t="str">
        <f>Fixa!C77</f>
        <v/>
      </c>
      <c r="D77" s="43" t="e">
        <f t="shared" si="16"/>
        <v>#VALUE!</v>
      </c>
      <c r="E77" s="43" t="e">
        <f t="shared" si="1"/>
        <v>#VALUE!</v>
      </c>
      <c r="F77" s="43" t="e">
        <f t="shared" si="1"/>
        <v>#VALUE!</v>
      </c>
      <c r="G77" s="43" t="e">
        <f t="shared" si="2"/>
        <v>#VALUE!</v>
      </c>
      <c r="H77" s="43" t="e">
        <f t="shared" ca="1" si="3"/>
        <v>#VALUE!</v>
      </c>
      <c r="I77" s="43">
        <f t="shared" si="4"/>
        <v>0</v>
      </c>
      <c r="J77" s="229">
        <f t="shared" si="8"/>
        <v>25</v>
      </c>
      <c r="K77" s="43">
        <f t="shared" si="9"/>
        <v>0</v>
      </c>
      <c r="M77" s="224"/>
      <c r="N77" s="225">
        <f t="shared" si="10"/>
        <v>0</v>
      </c>
      <c r="O77" s="43" t="e">
        <f t="shared" si="11"/>
        <v>#VALUE!</v>
      </c>
      <c r="P77" s="43" t="e">
        <f>ROUND(IF(Preenchimento!$G$39="Tabela Price",R77-Q77,(O76*(1+$AD$35))/($AD$28-C76)),$P$22)</f>
        <v>#VALUE!</v>
      </c>
      <c r="Q77" s="43" t="e">
        <f>IF(Preenchimento!$G$39="Tabela Price",O76*(1+$AD$35)*W77,O76*(1+'SAC Padrão_Sem Bonif'!$AD$35)*'SAC Padrão_Sem Bonif'!W77)</f>
        <v>#VALUE!</v>
      </c>
      <c r="R77" s="43" t="e">
        <f>IF(Preenchimento!$G$39="Tabela Price",IF(C77="","",((((((1+W77)^($Q$16-C76))*W77)/((1+W77)^($Q$16-C76)-1))*(O76*(1+$AD$35))))),Q77+P77)</f>
        <v>#VALUE!</v>
      </c>
      <c r="S77" s="43" t="e">
        <f t="shared" ca="1" si="5"/>
        <v>#VALUE!</v>
      </c>
      <c r="T77" s="43">
        <f t="shared" si="12"/>
        <v>0</v>
      </c>
      <c r="U77" s="226">
        <f>TRUNC(T77*Condições!$C$102,2)</f>
        <v>0</v>
      </c>
      <c r="V77" s="82">
        <f t="shared" ca="1" si="6"/>
        <v>10</v>
      </c>
      <c r="W77" s="231" t="str">
        <f t="shared" si="13"/>
        <v/>
      </c>
      <c r="X77" s="210"/>
      <c r="Y77" s="210"/>
      <c r="Z77" s="210"/>
      <c r="AI77" s="114">
        <f t="shared" si="14"/>
        <v>0</v>
      </c>
      <c r="AJ77" s="113"/>
      <c r="AL77" s="477">
        <f t="shared" ca="1" si="15"/>
        <v>0</v>
      </c>
    </row>
    <row r="78" spans="2:38" ht="12" customHeight="1">
      <c r="B78" s="222">
        <f ca="1">Fixa!B78</f>
        <v>47803</v>
      </c>
      <c r="C78" s="223" t="str">
        <f>Fixa!C78</f>
        <v/>
      </c>
      <c r="D78" s="43" t="e">
        <f t="shared" si="16"/>
        <v>#VALUE!</v>
      </c>
      <c r="E78" s="43" t="e">
        <f t="shared" si="1"/>
        <v>#VALUE!</v>
      </c>
      <c r="F78" s="43" t="e">
        <f t="shared" si="1"/>
        <v>#VALUE!</v>
      </c>
      <c r="G78" s="43" t="e">
        <f t="shared" si="2"/>
        <v>#VALUE!</v>
      </c>
      <c r="H78" s="43" t="e">
        <f t="shared" ca="1" si="3"/>
        <v>#VALUE!</v>
      </c>
      <c r="I78" s="43">
        <f t="shared" si="4"/>
        <v>0</v>
      </c>
      <c r="J78" s="229">
        <f t="shared" si="8"/>
        <v>25</v>
      </c>
      <c r="K78" s="43">
        <f t="shared" si="9"/>
        <v>0</v>
      </c>
      <c r="M78" s="224"/>
      <c r="N78" s="225">
        <f t="shared" si="10"/>
        <v>0</v>
      </c>
      <c r="O78" s="43" t="e">
        <f t="shared" si="11"/>
        <v>#VALUE!</v>
      </c>
      <c r="P78" s="43" t="e">
        <f>ROUND(IF(Preenchimento!$G$39="Tabela Price",R78-Q78,(O77*(1+$AD$35))/($AD$28-C77)),$P$22)</f>
        <v>#VALUE!</v>
      </c>
      <c r="Q78" s="43" t="e">
        <f>IF(Preenchimento!$G$39="Tabela Price",O77*(1+$AD$35)*W78,O77*(1+'SAC Padrão_Sem Bonif'!$AD$35)*'SAC Padrão_Sem Bonif'!W78)</f>
        <v>#VALUE!</v>
      </c>
      <c r="R78" s="43" t="e">
        <f>IF(Preenchimento!$G$39="Tabela Price",IF(C78="","",((((((1+W78)^($Q$16-C77))*W78)/((1+W78)^($Q$16-C77)-1))*(O77*(1+$AD$35))))),Q78+P78)</f>
        <v>#VALUE!</v>
      </c>
      <c r="S78" s="43" t="e">
        <f t="shared" ca="1" si="5"/>
        <v>#VALUE!</v>
      </c>
      <c r="T78" s="43">
        <f t="shared" si="12"/>
        <v>0</v>
      </c>
      <c r="U78" s="226">
        <f>TRUNC(T78*Condições!$C$102,2)</f>
        <v>0</v>
      </c>
      <c r="V78" s="82">
        <f t="shared" ca="1" si="6"/>
        <v>11</v>
      </c>
      <c r="W78" s="231" t="str">
        <f t="shared" si="13"/>
        <v/>
      </c>
      <c r="X78" s="210"/>
      <c r="Y78" s="210"/>
      <c r="Z78" s="210"/>
      <c r="AI78" s="114">
        <f t="shared" si="14"/>
        <v>0</v>
      </c>
      <c r="AJ78" s="113"/>
      <c r="AL78" s="477">
        <f t="shared" ca="1" si="15"/>
        <v>0</v>
      </c>
    </row>
    <row r="79" spans="2:38" ht="12" customHeight="1">
      <c r="B79" s="222">
        <f ca="1">Fixa!B79</f>
        <v>47833</v>
      </c>
      <c r="C79" s="223" t="str">
        <f>Fixa!C79</f>
        <v/>
      </c>
      <c r="D79" s="43" t="e">
        <f t="shared" si="16"/>
        <v>#VALUE!</v>
      </c>
      <c r="E79" s="43" t="e">
        <f t="shared" si="1"/>
        <v>#VALUE!</v>
      </c>
      <c r="F79" s="43" t="e">
        <f t="shared" si="1"/>
        <v>#VALUE!</v>
      </c>
      <c r="G79" s="43" t="e">
        <f t="shared" si="2"/>
        <v>#VALUE!</v>
      </c>
      <c r="H79" s="43" t="e">
        <f t="shared" ca="1" si="3"/>
        <v>#VALUE!</v>
      </c>
      <c r="I79" s="43">
        <f t="shared" si="4"/>
        <v>0</v>
      </c>
      <c r="J79" s="229">
        <f t="shared" si="8"/>
        <v>25</v>
      </c>
      <c r="K79" s="43">
        <f t="shared" si="9"/>
        <v>0</v>
      </c>
      <c r="M79" s="224"/>
      <c r="N79" s="225">
        <f t="shared" si="10"/>
        <v>0</v>
      </c>
      <c r="O79" s="43" t="e">
        <f t="shared" si="11"/>
        <v>#VALUE!</v>
      </c>
      <c r="P79" s="43" t="e">
        <f>ROUND(IF(Preenchimento!$G$39="Tabela Price",R79-Q79,(O78*(1+$AD$35))/($AD$28-C78)),$P$22)</f>
        <v>#VALUE!</v>
      </c>
      <c r="Q79" s="43" t="e">
        <f>IF(Preenchimento!$G$39="Tabela Price",O78*(1+$AD$35)*W79,O78*(1+'SAC Padrão_Sem Bonif'!$AD$35)*'SAC Padrão_Sem Bonif'!W79)</f>
        <v>#VALUE!</v>
      </c>
      <c r="R79" s="43" t="e">
        <f>IF(Preenchimento!$G$39="Tabela Price",IF(C79="","",((((((1+W79)^($Q$16-C78))*W79)/((1+W79)^($Q$16-C78)-1))*(O78*(1+$AD$35))))),Q79+P79)</f>
        <v>#VALUE!</v>
      </c>
      <c r="S79" s="43" t="e">
        <f t="shared" ca="1" si="5"/>
        <v>#VALUE!</v>
      </c>
      <c r="T79" s="43">
        <f t="shared" si="12"/>
        <v>0</v>
      </c>
      <c r="U79" s="226">
        <f>TRUNC(T79*Condições!$C$102,2)</f>
        <v>0</v>
      </c>
      <c r="V79" s="82">
        <f t="shared" ca="1" si="6"/>
        <v>12</v>
      </c>
      <c r="W79" s="231" t="str">
        <f t="shared" si="13"/>
        <v/>
      </c>
      <c r="X79" s="210"/>
      <c r="Y79" s="210"/>
      <c r="Z79" s="210"/>
      <c r="AI79" s="114">
        <f t="shared" si="14"/>
        <v>0</v>
      </c>
      <c r="AJ79" s="113"/>
      <c r="AL79" s="477">
        <f t="shared" ca="1" si="15"/>
        <v>0</v>
      </c>
    </row>
    <row r="80" spans="2:38" ht="12" customHeight="1">
      <c r="B80" s="222">
        <f ca="1">Fixa!B80</f>
        <v>47864</v>
      </c>
      <c r="C80" s="223" t="str">
        <f>Fixa!C80</f>
        <v/>
      </c>
      <c r="D80" s="43" t="e">
        <f t="shared" si="16"/>
        <v>#VALUE!</v>
      </c>
      <c r="E80" s="43" t="e">
        <f t="shared" si="1"/>
        <v>#VALUE!</v>
      </c>
      <c r="F80" s="43" t="e">
        <f t="shared" si="1"/>
        <v>#VALUE!</v>
      </c>
      <c r="G80" s="43" t="e">
        <f t="shared" si="2"/>
        <v>#VALUE!</v>
      </c>
      <c r="H80" s="43" t="e">
        <f t="shared" ca="1" si="3"/>
        <v>#VALUE!</v>
      </c>
      <c r="I80" s="43">
        <f t="shared" si="4"/>
        <v>0</v>
      </c>
      <c r="J80" s="229">
        <f t="shared" si="8"/>
        <v>25</v>
      </c>
      <c r="K80" s="43">
        <f t="shared" si="9"/>
        <v>0</v>
      </c>
      <c r="M80" s="224"/>
      <c r="N80" s="225">
        <f t="shared" si="10"/>
        <v>0</v>
      </c>
      <c r="O80" s="43" t="e">
        <f t="shared" si="11"/>
        <v>#VALUE!</v>
      </c>
      <c r="P80" s="43" t="e">
        <f>ROUND(IF(Preenchimento!$G$39="Tabela Price",R80-Q80,(O79*(1+$AD$35))/($AD$28-C79)),$P$22)</f>
        <v>#VALUE!</v>
      </c>
      <c r="Q80" s="43" t="e">
        <f>IF(Preenchimento!$G$39="Tabela Price",O79*(1+$AD$35)*W80,O79*(1+'SAC Padrão_Sem Bonif'!$AD$35)*'SAC Padrão_Sem Bonif'!W80)</f>
        <v>#VALUE!</v>
      </c>
      <c r="R80" s="43" t="e">
        <f>IF(Preenchimento!$G$39="Tabela Price",IF(C80="","",((((((1+W80)^($Q$16-C79))*W80)/((1+W80)^($Q$16-C79)-1))*(O79*(1+$AD$35))))),Q80+P80)</f>
        <v>#VALUE!</v>
      </c>
      <c r="S80" s="43" t="e">
        <f t="shared" ca="1" si="5"/>
        <v>#VALUE!</v>
      </c>
      <c r="T80" s="43">
        <f t="shared" si="12"/>
        <v>0</v>
      </c>
      <c r="U80" s="226">
        <f>TRUNC(T80*Condições!$C$102,2)</f>
        <v>0</v>
      </c>
      <c r="V80" s="82">
        <f t="shared" ca="1" si="6"/>
        <v>1</v>
      </c>
      <c r="W80" s="231" t="str">
        <f t="shared" si="13"/>
        <v/>
      </c>
      <c r="X80" s="210"/>
      <c r="Y80" s="210"/>
      <c r="Z80" s="210"/>
      <c r="AI80" s="114">
        <f t="shared" si="14"/>
        <v>0</v>
      </c>
      <c r="AJ80" s="113"/>
      <c r="AL80" s="477">
        <f t="shared" ca="1" si="15"/>
        <v>0</v>
      </c>
    </row>
    <row r="81" spans="2:38" ht="12" customHeight="1">
      <c r="B81" s="222">
        <f ca="1">Fixa!B81</f>
        <v>47895</v>
      </c>
      <c r="C81" s="223" t="str">
        <f>Fixa!C81</f>
        <v/>
      </c>
      <c r="D81" s="43" t="e">
        <f t="shared" si="16"/>
        <v>#VALUE!</v>
      </c>
      <c r="E81" s="43" t="e">
        <f t="shared" si="1"/>
        <v>#VALUE!</v>
      </c>
      <c r="F81" s="43" t="e">
        <f t="shared" si="1"/>
        <v>#VALUE!</v>
      </c>
      <c r="G81" s="43" t="e">
        <f t="shared" si="2"/>
        <v>#VALUE!</v>
      </c>
      <c r="H81" s="43" t="e">
        <f t="shared" ca="1" si="3"/>
        <v>#VALUE!</v>
      </c>
      <c r="I81" s="43">
        <f t="shared" si="4"/>
        <v>0</v>
      </c>
      <c r="J81" s="229">
        <f t="shared" si="8"/>
        <v>25</v>
      </c>
      <c r="K81" s="43">
        <f t="shared" si="9"/>
        <v>0</v>
      </c>
      <c r="M81" s="224"/>
      <c r="N81" s="225">
        <f t="shared" si="10"/>
        <v>0</v>
      </c>
      <c r="O81" s="43" t="e">
        <f t="shared" si="11"/>
        <v>#VALUE!</v>
      </c>
      <c r="P81" s="43" t="e">
        <f>ROUND(IF(Preenchimento!$G$39="Tabela Price",R81-Q81,(O80*(1+$AD$35))/($AD$28-C80)),$P$22)</f>
        <v>#VALUE!</v>
      </c>
      <c r="Q81" s="43" t="e">
        <f>IF(Preenchimento!$G$39="Tabela Price",O80*(1+$AD$35)*W81,O80*(1+'SAC Padrão_Sem Bonif'!$AD$35)*'SAC Padrão_Sem Bonif'!W81)</f>
        <v>#VALUE!</v>
      </c>
      <c r="R81" s="43" t="e">
        <f>IF(Preenchimento!$G$39="Tabela Price",IF(C81="","",((((((1+W81)^($Q$16-C80))*W81)/((1+W81)^($Q$16-C80)-1))*(O80*(1+$AD$35))))),Q81+P81)</f>
        <v>#VALUE!</v>
      </c>
      <c r="S81" s="43" t="e">
        <f t="shared" ca="1" si="5"/>
        <v>#VALUE!</v>
      </c>
      <c r="T81" s="43">
        <f t="shared" si="12"/>
        <v>0</v>
      </c>
      <c r="U81" s="226">
        <f>TRUNC(T81*Condições!$C$102,2)</f>
        <v>0</v>
      </c>
      <c r="V81" s="82">
        <f t="shared" ca="1" si="6"/>
        <v>2</v>
      </c>
      <c r="W81" s="231" t="str">
        <f t="shared" si="13"/>
        <v/>
      </c>
      <c r="X81" s="210"/>
      <c r="Y81" s="210"/>
      <c r="Z81" s="210"/>
      <c r="AI81" s="114">
        <f t="shared" si="14"/>
        <v>0</v>
      </c>
      <c r="AJ81" s="113"/>
      <c r="AL81" s="477">
        <f t="shared" ca="1" si="15"/>
        <v>0</v>
      </c>
    </row>
    <row r="82" spans="2:38" ht="12" customHeight="1">
      <c r="B82" s="222">
        <f ca="1">Fixa!B82</f>
        <v>47923</v>
      </c>
      <c r="C82" s="223" t="str">
        <f>Fixa!C82</f>
        <v/>
      </c>
      <c r="D82" s="43" t="e">
        <f t="shared" si="16"/>
        <v>#VALUE!</v>
      </c>
      <c r="E82" s="43" t="e">
        <f t="shared" si="1"/>
        <v>#VALUE!</v>
      </c>
      <c r="F82" s="43" t="e">
        <f t="shared" si="1"/>
        <v>#VALUE!</v>
      </c>
      <c r="G82" s="43" t="e">
        <f t="shared" si="2"/>
        <v>#VALUE!</v>
      </c>
      <c r="H82" s="43" t="e">
        <f t="shared" ca="1" si="3"/>
        <v>#VALUE!</v>
      </c>
      <c r="I82" s="43">
        <f t="shared" si="4"/>
        <v>0</v>
      </c>
      <c r="J82" s="229">
        <f t="shared" si="8"/>
        <v>25</v>
      </c>
      <c r="K82" s="43">
        <f t="shared" si="9"/>
        <v>0</v>
      </c>
      <c r="M82" s="224"/>
      <c r="N82" s="225">
        <f t="shared" si="10"/>
        <v>0</v>
      </c>
      <c r="O82" s="43" t="e">
        <f t="shared" si="11"/>
        <v>#VALUE!</v>
      </c>
      <c r="P82" s="43" t="e">
        <f>ROUND(IF(Preenchimento!$G$39="Tabela Price",R82-Q82,(O81*(1+$AD$35))/($AD$28-C81)),$P$22)</f>
        <v>#VALUE!</v>
      </c>
      <c r="Q82" s="43" t="e">
        <f>IF(Preenchimento!$G$39="Tabela Price",O81*(1+$AD$35)*W82,O81*(1+'SAC Padrão_Sem Bonif'!$AD$35)*'SAC Padrão_Sem Bonif'!W82)</f>
        <v>#VALUE!</v>
      </c>
      <c r="R82" s="43" t="e">
        <f>IF(Preenchimento!$G$39="Tabela Price",IF(C82="","",((((((1+W82)^($Q$16-C81))*W82)/((1+W82)^($Q$16-C81)-1))*(O81*(1+$AD$35))))),Q82+P82)</f>
        <v>#VALUE!</v>
      </c>
      <c r="S82" s="43" t="e">
        <f t="shared" ca="1" si="5"/>
        <v>#VALUE!</v>
      </c>
      <c r="T82" s="43">
        <f t="shared" si="12"/>
        <v>0</v>
      </c>
      <c r="U82" s="226">
        <f>TRUNC(T82*Condições!$C$102,2)</f>
        <v>0</v>
      </c>
      <c r="V82" s="82">
        <f t="shared" ca="1" si="6"/>
        <v>3</v>
      </c>
      <c r="W82" s="231" t="str">
        <f t="shared" si="13"/>
        <v/>
      </c>
      <c r="X82" s="210"/>
      <c r="Y82" s="210"/>
      <c r="Z82" s="210"/>
      <c r="AI82" s="114">
        <f t="shared" si="14"/>
        <v>0</v>
      </c>
      <c r="AJ82" s="113"/>
      <c r="AL82" s="477">
        <f t="shared" ca="1" si="15"/>
        <v>0</v>
      </c>
    </row>
    <row r="83" spans="2:38" ht="12" customHeight="1">
      <c r="B83" s="222">
        <f ca="1">Fixa!B83</f>
        <v>47954</v>
      </c>
      <c r="C83" s="223" t="str">
        <f>Fixa!C83</f>
        <v/>
      </c>
      <c r="D83" s="43" t="e">
        <f t="shared" si="16"/>
        <v>#VALUE!</v>
      </c>
      <c r="E83" s="43" t="e">
        <f t="shared" si="1"/>
        <v>#VALUE!</v>
      </c>
      <c r="F83" s="43" t="e">
        <f t="shared" si="1"/>
        <v>#VALUE!</v>
      </c>
      <c r="G83" s="43" t="e">
        <f t="shared" si="2"/>
        <v>#VALUE!</v>
      </c>
      <c r="H83" s="43" t="e">
        <f t="shared" ca="1" si="3"/>
        <v>#VALUE!</v>
      </c>
      <c r="I83" s="43">
        <f t="shared" si="4"/>
        <v>0</v>
      </c>
      <c r="J83" s="229">
        <f t="shared" si="8"/>
        <v>25</v>
      </c>
      <c r="K83" s="43">
        <f t="shared" si="9"/>
        <v>0</v>
      </c>
      <c r="M83" s="224"/>
      <c r="N83" s="225">
        <f t="shared" si="10"/>
        <v>0</v>
      </c>
      <c r="O83" s="43" t="e">
        <f t="shared" si="11"/>
        <v>#VALUE!</v>
      </c>
      <c r="P83" s="43" t="e">
        <f>ROUND(IF(Preenchimento!$G$39="Tabela Price",R83-Q83,(O82*(1+$AD$35))/($AD$28-C82)),$P$22)</f>
        <v>#VALUE!</v>
      </c>
      <c r="Q83" s="43" t="e">
        <f>IF(Preenchimento!$G$39="Tabela Price",O82*(1+$AD$35)*W83,O82*(1+'SAC Padrão_Sem Bonif'!$AD$35)*'SAC Padrão_Sem Bonif'!W83)</f>
        <v>#VALUE!</v>
      </c>
      <c r="R83" s="43" t="e">
        <f>IF(Preenchimento!$G$39="Tabela Price",IF(C83="","",((((((1+W83)^($Q$16-C82))*W83)/((1+W83)^($Q$16-C82)-1))*(O82*(1+$AD$35))))),Q83+P83)</f>
        <v>#VALUE!</v>
      </c>
      <c r="S83" s="43" t="e">
        <f t="shared" ca="1" si="5"/>
        <v>#VALUE!</v>
      </c>
      <c r="T83" s="43">
        <f t="shared" si="12"/>
        <v>0</v>
      </c>
      <c r="U83" s="226">
        <f>TRUNC(T83*Condições!$C$102,2)</f>
        <v>0</v>
      </c>
      <c r="V83" s="82">
        <f t="shared" ca="1" si="6"/>
        <v>4</v>
      </c>
      <c r="W83" s="231" t="str">
        <f t="shared" si="13"/>
        <v/>
      </c>
      <c r="X83" s="210"/>
      <c r="Y83" s="210"/>
      <c r="Z83" s="210"/>
      <c r="AI83" s="114">
        <f t="shared" si="14"/>
        <v>0</v>
      </c>
      <c r="AJ83" s="113"/>
      <c r="AL83" s="477">
        <f t="shared" ca="1" si="15"/>
        <v>0</v>
      </c>
    </row>
    <row r="84" spans="2:38" ht="12" customHeight="1">
      <c r="B84" s="222">
        <f ca="1">Fixa!B84</f>
        <v>47984</v>
      </c>
      <c r="C84" s="223" t="str">
        <f>Fixa!C84</f>
        <v/>
      </c>
      <c r="D84" s="43" t="e">
        <f t="shared" si="16"/>
        <v>#VALUE!</v>
      </c>
      <c r="E84" s="43" t="e">
        <f t="shared" si="1"/>
        <v>#VALUE!</v>
      </c>
      <c r="F84" s="43" t="e">
        <f t="shared" si="1"/>
        <v>#VALUE!</v>
      </c>
      <c r="G84" s="43" t="e">
        <f t="shared" si="2"/>
        <v>#VALUE!</v>
      </c>
      <c r="H84" s="43" t="e">
        <f t="shared" ca="1" si="3"/>
        <v>#VALUE!</v>
      </c>
      <c r="I84" s="43">
        <f t="shared" si="4"/>
        <v>0</v>
      </c>
      <c r="J84" s="229">
        <f t="shared" si="8"/>
        <v>25</v>
      </c>
      <c r="K84" s="43">
        <f t="shared" si="9"/>
        <v>0</v>
      </c>
      <c r="M84" s="224"/>
      <c r="N84" s="225">
        <f t="shared" si="10"/>
        <v>0</v>
      </c>
      <c r="O84" s="43" t="e">
        <f t="shared" si="11"/>
        <v>#VALUE!</v>
      </c>
      <c r="P84" s="43" t="e">
        <f>ROUND(IF(Preenchimento!$G$39="Tabela Price",R84-Q84,(O83*(1+$AD$35))/($AD$28-C83)),$P$22)</f>
        <v>#VALUE!</v>
      </c>
      <c r="Q84" s="43" t="e">
        <f>IF(Preenchimento!$G$39="Tabela Price",O83*(1+$AD$35)*W84,O83*(1+'SAC Padrão_Sem Bonif'!$AD$35)*'SAC Padrão_Sem Bonif'!W84)</f>
        <v>#VALUE!</v>
      </c>
      <c r="R84" s="43" t="e">
        <f>IF(Preenchimento!$G$39="Tabela Price",IF(C84="","",((((((1+W84)^($Q$16-C83))*W84)/((1+W84)^($Q$16-C83)-1))*(O83*(1+$AD$35))))),Q84+P84)</f>
        <v>#VALUE!</v>
      </c>
      <c r="S84" s="43" t="e">
        <f t="shared" ca="1" si="5"/>
        <v>#VALUE!</v>
      </c>
      <c r="T84" s="43">
        <f t="shared" si="12"/>
        <v>0</v>
      </c>
      <c r="U84" s="226">
        <f>TRUNC(T84*Condições!$C$102,2)</f>
        <v>0</v>
      </c>
      <c r="V84" s="82">
        <f t="shared" ca="1" si="6"/>
        <v>5</v>
      </c>
      <c r="W84" s="231" t="str">
        <f t="shared" si="13"/>
        <v/>
      </c>
      <c r="X84" s="210"/>
      <c r="Y84" s="210"/>
      <c r="Z84" s="210"/>
      <c r="AI84" s="114">
        <f t="shared" si="14"/>
        <v>0</v>
      </c>
      <c r="AJ84" s="113"/>
      <c r="AL84" s="477">
        <f t="shared" ca="1" si="15"/>
        <v>0</v>
      </c>
    </row>
    <row r="85" spans="2:38" ht="12" customHeight="1">
      <c r="B85" s="222">
        <f ca="1">Fixa!B85</f>
        <v>48015</v>
      </c>
      <c r="C85" s="223" t="str">
        <f>Fixa!C85</f>
        <v/>
      </c>
      <c r="D85" s="43" t="e">
        <f t="shared" si="16"/>
        <v>#VALUE!</v>
      </c>
      <c r="E85" s="43" t="e">
        <f t="shared" si="1"/>
        <v>#VALUE!</v>
      </c>
      <c r="F85" s="43" t="e">
        <f t="shared" si="1"/>
        <v>#VALUE!</v>
      </c>
      <c r="G85" s="43" t="e">
        <f t="shared" si="2"/>
        <v>#VALUE!</v>
      </c>
      <c r="H85" s="43" t="e">
        <f t="shared" ca="1" si="3"/>
        <v>#VALUE!</v>
      </c>
      <c r="I85" s="43">
        <f t="shared" si="4"/>
        <v>0</v>
      </c>
      <c r="J85" s="229">
        <f t="shared" si="8"/>
        <v>25</v>
      </c>
      <c r="K85" s="43">
        <f t="shared" si="9"/>
        <v>0</v>
      </c>
      <c r="M85" s="224"/>
      <c r="N85" s="225">
        <f t="shared" si="10"/>
        <v>0</v>
      </c>
      <c r="O85" s="43" t="e">
        <f t="shared" si="11"/>
        <v>#VALUE!</v>
      </c>
      <c r="P85" s="43" t="e">
        <f>ROUND(IF(Preenchimento!$G$39="Tabela Price",R85-Q85,(O84*(1+$AD$35))/($AD$28-C84)),$P$22)</f>
        <v>#VALUE!</v>
      </c>
      <c r="Q85" s="43" t="e">
        <f>IF(Preenchimento!$G$39="Tabela Price",O84*(1+$AD$35)*W85,O84*(1+'SAC Padrão_Sem Bonif'!$AD$35)*'SAC Padrão_Sem Bonif'!W85)</f>
        <v>#VALUE!</v>
      </c>
      <c r="R85" s="43" t="e">
        <f>IF(Preenchimento!$G$39="Tabela Price",IF(C85="","",((((((1+W85)^($Q$16-C84))*W85)/((1+W85)^($Q$16-C84)-1))*(O84*(1+$AD$35))))),Q85+P85)</f>
        <v>#VALUE!</v>
      </c>
      <c r="S85" s="43" t="e">
        <f t="shared" ca="1" si="5"/>
        <v>#VALUE!</v>
      </c>
      <c r="T85" s="43">
        <f t="shared" si="12"/>
        <v>0</v>
      </c>
      <c r="U85" s="226">
        <f>TRUNC(T85*Condições!$C$102,2)</f>
        <v>0</v>
      </c>
      <c r="V85" s="82">
        <f t="shared" ca="1" si="6"/>
        <v>6</v>
      </c>
      <c r="W85" s="231" t="str">
        <f t="shared" si="13"/>
        <v/>
      </c>
      <c r="X85" s="210"/>
      <c r="Y85" s="210"/>
      <c r="Z85" s="210"/>
      <c r="AI85" s="114">
        <f t="shared" si="14"/>
        <v>0</v>
      </c>
      <c r="AJ85" s="113"/>
      <c r="AL85" s="477">
        <f t="shared" ca="1" si="15"/>
        <v>0</v>
      </c>
    </row>
    <row r="86" spans="2:38" ht="12" customHeight="1">
      <c r="B86" s="222">
        <f ca="1">Fixa!B86</f>
        <v>48045</v>
      </c>
      <c r="C86" s="223" t="str">
        <f>Fixa!C86</f>
        <v/>
      </c>
      <c r="D86" s="43" t="e">
        <f t="shared" si="16"/>
        <v>#VALUE!</v>
      </c>
      <c r="E86" s="43" t="e">
        <f t="shared" si="1"/>
        <v>#VALUE!</v>
      </c>
      <c r="F86" s="43" t="e">
        <f t="shared" si="1"/>
        <v>#VALUE!</v>
      </c>
      <c r="G86" s="43" t="e">
        <f t="shared" si="2"/>
        <v>#VALUE!</v>
      </c>
      <c r="H86" s="43" t="e">
        <f t="shared" ca="1" si="3"/>
        <v>#VALUE!</v>
      </c>
      <c r="I86" s="43">
        <f t="shared" si="4"/>
        <v>0</v>
      </c>
      <c r="J86" s="229">
        <f t="shared" si="8"/>
        <v>25</v>
      </c>
      <c r="K86" s="43">
        <f t="shared" si="9"/>
        <v>0</v>
      </c>
      <c r="M86" s="224"/>
      <c r="N86" s="225">
        <f t="shared" si="10"/>
        <v>0</v>
      </c>
      <c r="O86" s="43" t="e">
        <f t="shared" si="11"/>
        <v>#VALUE!</v>
      </c>
      <c r="P86" s="43" t="e">
        <f>ROUND(IF(Preenchimento!$G$39="Tabela Price",R86-Q86,(O85*(1+$AD$35))/($AD$28-C85)),$P$22)</f>
        <v>#VALUE!</v>
      </c>
      <c r="Q86" s="43" t="e">
        <f>IF(Preenchimento!$G$39="Tabela Price",O85*(1+$AD$35)*W86,O85*(1+'SAC Padrão_Sem Bonif'!$AD$35)*'SAC Padrão_Sem Bonif'!W86)</f>
        <v>#VALUE!</v>
      </c>
      <c r="R86" s="43" t="e">
        <f>IF(Preenchimento!$G$39="Tabela Price",IF(C86="","",((((((1+W86)^($Q$16-C85))*W86)/((1+W86)^($Q$16-C85)-1))*(O85*(1+$AD$35))))),Q86+P86)</f>
        <v>#VALUE!</v>
      </c>
      <c r="S86" s="43" t="e">
        <f t="shared" ca="1" si="5"/>
        <v>#VALUE!</v>
      </c>
      <c r="T86" s="43">
        <f t="shared" si="12"/>
        <v>0</v>
      </c>
      <c r="U86" s="226">
        <f>TRUNC(T86*Condições!$C$102,2)</f>
        <v>0</v>
      </c>
      <c r="V86" s="82">
        <f t="shared" ca="1" si="6"/>
        <v>7</v>
      </c>
      <c r="W86" s="231" t="str">
        <f t="shared" si="13"/>
        <v/>
      </c>
      <c r="X86" s="210"/>
      <c r="Y86" s="210"/>
      <c r="Z86" s="210"/>
      <c r="AI86" s="114">
        <f t="shared" si="14"/>
        <v>0</v>
      </c>
      <c r="AJ86" s="113"/>
      <c r="AL86" s="477">
        <f t="shared" ca="1" si="15"/>
        <v>0</v>
      </c>
    </row>
    <row r="87" spans="2:38" ht="12" customHeight="1">
      <c r="B87" s="222">
        <f ca="1">Fixa!B87</f>
        <v>48076</v>
      </c>
      <c r="C87" s="223" t="str">
        <f>Fixa!C87</f>
        <v/>
      </c>
      <c r="D87" s="43" t="e">
        <f t="shared" si="16"/>
        <v>#VALUE!</v>
      </c>
      <c r="E87" s="43" t="e">
        <f t="shared" si="1"/>
        <v>#VALUE!</v>
      </c>
      <c r="F87" s="43" t="e">
        <f t="shared" si="1"/>
        <v>#VALUE!</v>
      </c>
      <c r="G87" s="43" t="e">
        <f t="shared" si="2"/>
        <v>#VALUE!</v>
      </c>
      <c r="H87" s="43" t="e">
        <f t="shared" ca="1" si="3"/>
        <v>#VALUE!</v>
      </c>
      <c r="I87" s="43">
        <f t="shared" si="4"/>
        <v>0</v>
      </c>
      <c r="J87" s="229">
        <f t="shared" si="8"/>
        <v>25</v>
      </c>
      <c r="K87" s="43">
        <f t="shared" si="9"/>
        <v>0</v>
      </c>
      <c r="M87" s="224"/>
      <c r="N87" s="225">
        <f t="shared" si="10"/>
        <v>0</v>
      </c>
      <c r="O87" s="43" t="e">
        <f t="shared" si="11"/>
        <v>#VALUE!</v>
      </c>
      <c r="P87" s="43" t="e">
        <f>ROUND(IF(Preenchimento!$G$39="Tabela Price",R87-Q87,(O86*(1+$AD$35))/($AD$28-C86)),$P$22)</f>
        <v>#VALUE!</v>
      </c>
      <c r="Q87" s="43" t="e">
        <f>IF(Preenchimento!$G$39="Tabela Price",O86*(1+$AD$35)*W87,O86*(1+'SAC Padrão_Sem Bonif'!$AD$35)*'SAC Padrão_Sem Bonif'!W87)</f>
        <v>#VALUE!</v>
      </c>
      <c r="R87" s="43" t="e">
        <f>IF(Preenchimento!$G$39="Tabela Price",IF(C87="","",((((((1+W87)^($Q$16-C86))*W87)/((1+W87)^($Q$16-C86)-1))*(O86*(1+$AD$35))))),Q87+P87)</f>
        <v>#VALUE!</v>
      </c>
      <c r="S87" s="43" t="e">
        <f t="shared" ca="1" si="5"/>
        <v>#VALUE!</v>
      </c>
      <c r="T87" s="43">
        <f t="shared" si="12"/>
        <v>0</v>
      </c>
      <c r="U87" s="226">
        <f>TRUNC(T87*Condições!$C$102,2)</f>
        <v>0</v>
      </c>
      <c r="V87" s="82">
        <f t="shared" ca="1" si="6"/>
        <v>8</v>
      </c>
      <c r="W87" s="231" t="str">
        <f t="shared" si="13"/>
        <v/>
      </c>
      <c r="X87" s="210"/>
      <c r="Y87" s="210"/>
      <c r="Z87" s="210"/>
      <c r="AI87" s="114">
        <f t="shared" si="14"/>
        <v>0</v>
      </c>
      <c r="AJ87" s="113"/>
      <c r="AL87" s="477">
        <f t="shared" ca="1" si="15"/>
        <v>0</v>
      </c>
    </row>
    <row r="88" spans="2:38" ht="12" customHeight="1">
      <c r="B88" s="222">
        <f ca="1">Fixa!B88</f>
        <v>48107</v>
      </c>
      <c r="C88" s="223" t="str">
        <f>Fixa!C88</f>
        <v/>
      </c>
      <c r="D88" s="43" t="e">
        <f t="shared" si="16"/>
        <v>#VALUE!</v>
      </c>
      <c r="E88" s="43" t="e">
        <f t="shared" si="1"/>
        <v>#VALUE!</v>
      </c>
      <c r="F88" s="43" t="e">
        <f t="shared" si="1"/>
        <v>#VALUE!</v>
      </c>
      <c r="G88" s="43" t="e">
        <f t="shared" si="2"/>
        <v>#VALUE!</v>
      </c>
      <c r="H88" s="43" t="e">
        <f t="shared" ca="1" si="3"/>
        <v>#VALUE!</v>
      </c>
      <c r="I88" s="43">
        <f t="shared" si="4"/>
        <v>0</v>
      </c>
      <c r="J88" s="229">
        <f t="shared" si="8"/>
        <v>25</v>
      </c>
      <c r="K88" s="43">
        <f t="shared" si="9"/>
        <v>0</v>
      </c>
      <c r="M88" s="224"/>
      <c r="N88" s="225">
        <f t="shared" si="10"/>
        <v>0</v>
      </c>
      <c r="O88" s="43" t="e">
        <f t="shared" si="11"/>
        <v>#VALUE!</v>
      </c>
      <c r="P88" s="43" t="e">
        <f>ROUND(IF(Preenchimento!$G$39="Tabela Price",R88-Q88,(O87*(1+$AD$35))/($AD$28-C87)),$P$22)</f>
        <v>#VALUE!</v>
      </c>
      <c r="Q88" s="43" t="e">
        <f>IF(Preenchimento!$G$39="Tabela Price",O87*(1+$AD$35)*W88,O87*(1+'SAC Padrão_Sem Bonif'!$AD$35)*'SAC Padrão_Sem Bonif'!W88)</f>
        <v>#VALUE!</v>
      </c>
      <c r="R88" s="43" t="e">
        <f>IF(Preenchimento!$G$39="Tabela Price",IF(C88="","",((((((1+W88)^($Q$16-C87))*W88)/((1+W88)^($Q$16-C87)-1))*(O87*(1+$AD$35))))),Q88+P88)</f>
        <v>#VALUE!</v>
      </c>
      <c r="S88" s="43" t="e">
        <f t="shared" ca="1" si="5"/>
        <v>#VALUE!</v>
      </c>
      <c r="T88" s="43">
        <f t="shared" si="12"/>
        <v>0</v>
      </c>
      <c r="U88" s="226">
        <f>TRUNC(T88*Condições!$C$102,2)</f>
        <v>0</v>
      </c>
      <c r="V88" s="82">
        <f t="shared" ca="1" si="6"/>
        <v>9</v>
      </c>
      <c r="W88" s="231" t="str">
        <f t="shared" si="13"/>
        <v/>
      </c>
      <c r="X88" s="210"/>
      <c r="Y88" s="210"/>
      <c r="Z88" s="210"/>
      <c r="AI88" s="114">
        <f t="shared" si="14"/>
        <v>0</v>
      </c>
      <c r="AJ88" s="113"/>
      <c r="AL88" s="477">
        <f t="shared" ca="1" si="15"/>
        <v>0</v>
      </c>
    </row>
    <row r="89" spans="2:38" ht="12" customHeight="1">
      <c r="B89" s="222">
        <f ca="1">Fixa!B89</f>
        <v>48137</v>
      </c>
      <c r="C89" s="223" t="str">
        <f>Fixa!C89</f>
        <v/>
      </c>
      <c r="D89" s="43" t="e">
        <f t="shared" si="16"/>
        <v>#VALUE!</v>
      </c>
      <c r="E89" s="43" t="e">
        <f t="shared" si="1"/>
        <v>#VALUE!</v>
      </c>
      <c r="F89" s="43" t="e">
        <f t="shared" si="1"/>
        <v>#VALUE!</v>
      </c>
      <c r="G89" s="43" t="e">
        <f t="shared" si="2"/>
        <v>#VALUE!</v>
      </c>
      <c r="H89" s="43" t="e">
        <f t="shared" ca="1" si="3"/>
        <v>#VALUE!</v>
      </c>
      <c r="I89" s="43">
        <f t="shared" si="4"/>
        <v>0</v>
      </c>
      <c r="J89" s="229">
        <f t="shared" si="8"/>
        <v>25</v>
      </c>
      <c r="K89" s="43">
        <f t="shared" si="9"/>
        <v>0</v>
      </c>
      <c r="M89" s="224"/>
      <c r="N89" s="225">
        <f t="shared" si="10"/>
        <v>0</v>
      </c>
      <c r="O89" s="43" t="e">
        <f t="shared" si="11"/>
        <v>#VALUE!</v>
      </c>
      <c r="P89" s="43" t="e">
        <f>ROUND(IF(Preenchimento!$G$39="Tabela Price",R89-Q89,(O88*(1+$AD$35))/($AD$28-C88)),$P$22)</f>
        <v>#VALUE!</v>
      </c>
      <c r="Q89" s="43" t="e">
        <f>IF(Preenchimento!$G$39="Tabela Price",O88*(1+$AD$35)*W89,O88*(1+'SAC Padrão_Sem Bonif'!$AD$35)*'SAC Padrão_Sem Bonif'!W89)</f>
        <v>#VALUE!</v>
      </c>
      <c r="R89" s="43" t="e">
        <f>IF(Preenchimento!$G$39="Tabela Price",IF(C89="","",((((((1+W89)^($Q$16-C88))*W89)/((1+W89)^($Q$16-C88)-1))*(O88*(1+$AD$35))))),Q89+P89)</f>
        <v>#VALUE!</v>
      </c>
      <c r="S89" s="43" t="e">
        <f t="shared" ca="1" si="5"/>
        <v>#VALUE!</v>
      </c>
      <c r="T89" s="43">
        <f t="shared" si="12"/>
        <v>0</v>
      </c>
      <c r="U89" s="226">
        <f>TRUNC(T89*Condições!$C$102,2)</f>
        <v>0</v>
      </c>
      <c r="V89" s="82">
        <f t="shared" ca="1" si="6"/>
        <v>10</v>
      </c>
      <c r="W89" s="231" t="str">
        <f t="shared" si="13"/>
        <v/>
      </c>
      <c r="X89" s="210"/>
      <c r="Y89" s="210"/>
      <c r="Z89" s="210"/>
      <c r="AI89" s="114">
        <f t="shared" si="14"/>
        <v>0</v>
      </c>
      <c r="AJ89" s="113"/>
      <c r="AL89" s="477">
        <f t="shared" ca="1" si="15"/>
        <v>0</v>
      </c>
    </row>
    <row r="90" spans="2:38" ht="12" customHeight="1">
      <c r="B90" s="222">
        <f ca="1">Fixa!B90</f>
        <v>48168</v>
      </c>
      <c r="C90" s="223" t="str">
        <f>Fixa!C90</f>
        <v/>
      </c>
      <c r="D90" s="43" t="e">
        <f t="shared" si="16"/>
        <v>#VALUE!</v>
      </c>
      <c r="E90" s="43" t="e">
        <f>ROUND(P90,2)</f>
        <v>#VALUE!</v>
      </c>
      <c r="F90" s="43" t="e">
        <f>ROUND(Q90,2)</f>
        <v>#VALUE!</v>
      </c>
      <c r="G90" s="43" t="e">
        <f t="shared" ref="G90:G153" si="17">F90+E90</f>
        <v>#VALUE!</v>
      </c>
      <c r="H90" s="43" t="e">
        <f t="shared" ref="H90:H153" ca="1" si="18">ROUND(S90,2)</f>
        <v>#VALUE!</v>
      </c>
      <c r="I90" s="43">
        <f t="shared" ref="I90:I153" si="19">ROUND(T90+U90,2)</f>
        <v>0</v>
      </c>
      <c r="J90" s="229">
        <f t="shared" si="8"/>
        <v>25</v>
      </c>
      <c r="K90" s="43">
        <f t="shared" si="9"/>
        <v>0</v>
      </c>
      <c r="M90" s="224"/>
      <c r="N90" s="225">
        <f t="shared" si="10"/>
        <v>0</v>
      </c>
      <c r="O90" s="43" t="e">
        <f t="shared" si="11"/>
        <v>#VALUE!</v>
      </c>
      <c r="P90" s="43" t="e">
        <f>ROUND(IF(Preenchimento!$G$39="Tabela Price",R90-Q90,(O89*(1+$AD$35))/($AD$28-C89)),$P$22)</f>
        <v>#VALUE!</v>
      </c>
      <c r="Q90" s="43" t="e">
        <f>IF(Preenchimento!$G$39="Tabela Price",O89*(1+$AD$35)*W90,O89*(1+'SAC Padrão_Sem Bonif'!$AD$35)*'SAC Padrão_Sem Bonif'!W90)</f>
        <v>#VALUE!</v>
      </c>
      <c r="R90" s="43" t="e">
        <f>IF(Preenchimento!$G$39="Tabela Price",IF(C90="","",((((((1+W90)^($Q$16-C89))*W90)/((1+W90)^($Q$16-C89)-1))*(O89*(1+$AD$35))))),Q90+P90)</f>
        <v>#VALUE!</v>
      </c>
      <c r="S90" s="43" t="e">
        <f t="shared" ref="S90:S153" ca="1" si="20">ROUND($AD$34*O90,$P$22)</f>
        <v>#VALUE!</v>
      </c>
      <c r="T90" s="43">
        <f t="shared" si="12"/>
        <v>0</v>
      </c>
      <c r="U90" s="226">
        <f>TRUNC(T90*Condições!$C$102,2)</f>
        <v>0</v>
      </c>
      <c r="V90" s="82">
        <f t="shared" ref="V90:V153" ca="1" si="21">MONTH(B90)</f>
        <v>11</v>
      </c>
      <c r="W90" s="231" t="str">
        <f t="shared" si="13"/>
        <v/>
      </c>
      <c r="X90" s="210"/>
      <c r="Y90" s="210"/>
      <c r="Z90" s="210"/>
      <c r="AI90" s="114">
        <f t="shared" si="14"/>
        <v>0</v>
      </c>
      <c r="AJ90" s="113"/>
      <c r="AL90" s="477">
        <f t="shared" ca="1" si="15"/>
        <v>0</v>
      </c>
    </row>
    <row r="91" spans="2:38" ht="12" customHeight="1">
      <c r="B91" s="222">
        <f ca="1">Fixa!B91</f>
        <v>48198</v>
      </c>
      <c r="C91" s="223" t="str">
        <f>Fixa!C91</f>
        <v/>
      </c>
      <c r="D91" s="43" t="e">
        <f t="shared" ref="D91:F154" si="22">ROUND(O91,2)</f>
        <v>#VALUE!</v>
      </c>
      <c r="E91" s="43" t="e">
        <f t="shared" si="22"/>
        <v>#VALUE!</v>
      </c>
      <c r="F91" s="43" t="e">
        <f t="shared" si="22"/>
        <v>#VALUE!</v>
      </c>
      <c r="G91" s="43" t="e">
        <f t="shared" si="17"/>
        <v>#VALUE!</v>
      </c>
      <c r="H91" s="43" t="e">
        <f t="shared" ca="1" si="18"/>
        <v>#VALUE!</v>
      </c>
      <c r="I91" s="43">
        <f t="shared" si="19"/>
        <v>0</v>
      </c>
      <c r="J91" s="229">
        <f t="shared" ref="J91:J154" si="23">$AD$31</f>
        <v>25</v>
      </c>
      <c r="K91" s="43">
        <f t="shared" ref="K91:K154" si="24">IF(C91&gt;$AD$28,0,J91+G91+I91+H91)</f>
        <v>0</v>
      </c>
      <c r="M91" s="224"/>
      <c r="N91" s="225">
        <f t="shared" ref="N91:N154" si="25">IF(C91&gt;$AD$28,0,(H91+I91)/(1.008^((12*(B91-$B$25))/365)))</f>
        <v>0</v>
      </c>
      <c r="O91" s="43" t="e">
        <f t="shared" ref="O91:O154" si="26">ROUND((O90*(1+$AD$35)-P91),$P$22)</f>
        <v>#VALUE!</v>
      </c>
      <c r="P91" s="43" t="e">
        <f>ROUND(IF(Preenchimento!$G$39="Tabela Price",R91-Q91,(O90*(1+$AD$35))/($AD$28-C90)),$P$22)</f>
        <v>#VALUE!</v>
      </c>
      <c r="Q91" s="43" t="e">
        <f>IF(Preenchimento!$G$39="Tabela Price",O90*(1+$AD$35)*W91,O90*(1+'SAC Padrão_Sem Bonif'!$AD$35)*'SAC Padrão_Sem Bonif'!W91)</f>
        <v>#VALUE!</v>
      </c>
      <c r="R91" s="43" t="e">
        <f>IF(Preenchimento!$G$39="Tabela Price",IF(C91="","",((((((1+W91)^($Q$16-C90))*W91)/((1+W91)^($Q$16-C90)-1))*(O90*(1+$AD$35))))),Q91+P91)</f>
        <v>#VALUE!</v>
      </c>
      <c r="S91" s="43" t="e">
        <f t="shared" ca="1" si="20"/>
        <v>#VALUE!</v>
      </c>
      <c r="T91" s="43">
        <f t="shared" ref="T91:T154" si="27">IF(C91&gt;=$AD$28,0,ROUND($AD$25*$AD$33,$P$22))</f>
        <v>0</v>
      </c>
      <c r="U91" s="226">
        <f>TRUNC(T91*Condições!$C$102,2)</f>
        <v>0</v>
      </c>
      <c r="V91" s="82">
        <f t="shared" ca="1" si="21"/>
        <v>12</v>
      </c>
      <c r="W91" s="231" t="str">
        <f t="shared" ref="W91:W154" si="28">IF(C91="","",IF(AND(C91&gt;$AD$46,$AD$46&lt;&gt;""),$AE$29,$AD$29))</f>
        <v/>
      </c>
      <c r="X91" s="210"/>
      <c r="Y91" s="210"/>
      <c r="Z91" s="210"/>
      <c r="AI91" s="114">
        <f t="shared" ref="AI91:AI154" si="29">IF(C91&gt;$AD$28,0,R91+S91+T91+U91+J91)</f>
        <v>0</v>
      </c>
      <c r="AJ91" s="113"/>
      <c r="AL91" s="477">
        <f t="shared" ref="AL91:AL154" ca="1" si="30">IFERROR(IF(V90&gt;$AD$28,0,R91),0)</f>
        <v>0</v>
      </c>
    </row>
    <row r="92" spans="2:38" ht="12" customHeight="1">
      <c r="B92" s="222">
        <f ca="1">Fixa!B92</f>
        <v>48229</v>
      </c>
      <c r="C92" s="223" t="str">
        <f>Fixa!C92</f>
        <v/>
      </c>
      <c r="D92" s="43" t="e">
        <f t="shared" si="22"/>
        <v>#VALUE!</v>
      </c>
      <c r="E92" s="43" t="e">
        <f t="shared" si="22"/>
        <v>#VALUE!</v>
      </c>
      <c r="F92" s="43" t="e">
        <f t="shared" si="22"/>
        <v>#VALUE!</v>
      </c>
      <c r="G92" s="43" t="e">
        <f t="shared" si="17"/>
        <v>#VALUE!</v>
      </c>
      <c r="H92" s="43" t="e">
        <f t="shared" ca="1" si="18"/>
        <v>#VALUE!</v>
      </c>
      <c r="I92" s="43">
        <f t="shared" si="19"/>
        <v>0</v>
      </c>
      <c r="J92" s="229">
        <f t="shared" si="23"/>
        <v>25</v>
      </c>
      <c r="K92" s="43">
        <f t="shared" si="24"/>
        <v>0</v>
      </c>
      <c r="M92" s="224"/>
      <c r="N92" s="225">
        <f t="shared" si="25"/>
        <v>0</v>
      </c>
      <c r="O92" s="43" t="e">
        <f t="shared" si="26"/>
        <v>#VALUE!</v>
      </c>
      <c r="P92" s="43" t="e">
        <f>ROUND(IF(Preenchimento!$G$39="Tabela Price",R92-Q92,(O91*(1+$AD$35))/($AD$28-C91)),$P$22)</f>
        <v>#VALUE!</v>
      </c>
      <c r="Q92" s="43" t="e">
        <f>IF(Preenchimento!$G$39="Tabela Price",O91*(1+$AD$35)*W92,O91*(1+'SAC Padrão_Sem Bonif'!$AD$35)*'SAC Padrão_Sem Bonif'!W92)</f>
        <v>#VALUE!</v>
      </c>
      <c r="R92" s="43" t="e">
        <f>IF(Preenchimento!$G$39="Tabela Price",IF(C92="","",((((((1+W92)^($Q$16-C91))*W92)/((1+W92)^($Q$16-C91)-1))*(O91*(1+$AD$35))))),Q92+P92)</f>
        <v>#VALUE!</v>
      </c>
      <c r="S92" s="43" t="e">
        <f t="shared" ca="1" si="20"/>
        <v>#VALUE!</v>
      </c>
      <c r="T92" s="43">
        <f t="shared" si="27"/>
        <v>0</v>
      </c>
      <c r="U92" s="226">
        <f>TRUNC(T92*Condições!$C$102,2)</f>
        <v>0</v>
      </c>
      <c r="V92" s="82">
        <f t="shared" ca="1" si="21"/>
        <v>1</v>
      </c>
      <c r="W92" s="231" t="str">
        <f t="shared" si="28"/>
        <v/>
      </c>
      <c r="X92" s="210"/>
      <c r="Y92" s="210"/>
      <c r="Z92" s="210"/>
      <c r="AI92" s="114">
        <f t="shared" si="29"/>
        <v>0</v>
      </c>
      <c r="AJ92" s="113"/>
      <c r="AL92" s="477">
        <f t="shared" ca="1" si="30"/>
        <v>0</v>
      </c>
    </row>
    <row r="93" spans="2:38" ht="12" customHeight="1">
      <c r="B93" s="222">
        <f ca="1">Fixa!B93</f>
        <v>48260</v>
      </c>
      <c r="C93" s="223" t="str">
        <f>Fixa!C93</f>
        <v/>
      </c>
      <c r="D93" s="43" t="e">
        <f t="shared" si="22"/>
        <v>#VALUE!</v>
      </c>
      <c r="E93" s="43" t="e">
        <f t="shared" si="22"/>
        <v>#VALUE!</v>
      </c>
      <c r="F93" s="43" t="e">
        <f t="shared" si="22"/>
        <v>#VALUE!</v>
      </c>
      <c r="G93" s="43" t="e">
        <f t="shared" si="17"/>
        <v>#VALUE!</v>
      </c>
      <c r="H93" s="43" t="e">
        <f t="shared" ca="1" si="18"/>
        <v>#VALUE!</v>
      </c>
      <c r="I93" s="43">
        <f t="shared" si="19"/>
        <v>0</v>
      </c>
      <c r="J93" s="229">
        <f t="shared" si="23"/>
        <v>25</v>
      </c>
      <c r="K93" s="43">
        <f t="shared" si="24"/>
        <v>0</v>
      </c>
      <c r="M93" s="224"/>
      <c r="N93" s="225">
        <f t="shared" si="25"/>
        <v>0</v>
      </c>
      <c r="O93" s="43" t="e">
        <f t="shared" si="26"/>
        <v>#VALUE!</v>
      </c>
      <c r="P93" s="43" t="e">
        <f>ROUND(IF(Preenchimento!$G$39="Tabela Price",R93-Q93,(O92*(1+$AD$35))/($AD$28-C92)),$P$22)</f>
        <v>#VALUE!</v>
      </c>
      <c r="Q93" s="43" t="e">
        <f>IF(Preenchimento!$G$39="Tabela Price",O92*(1+$AD$35)*W93,O92*(1+'SAC Padrão_Sem Bonif'!$AD$35)*'SAC Padrão_Sem Bonif'!W93)</f>
        <v>#VALUE!</v>
      </c>
      <c r="R93" s="43" t="e">
        <f>IF(Preenchimento!$G$39="Tabela Price",IF(C93="","",((((((1+W93)^($Q$16-C92))*W93)/((1+W93)^($Q$16-C92)-1))*(O92*(1+$AD$35))))),Q93+P93)</f>
        <v>#VALUE!</v>
      </c>
      <c r="S93" s="43" t="e">
        <f t="shared" ca="1" si="20"/>
        <v>#VALUE!</v>
      </c>
      <c r="T93" s="43">
        <f t="shared" si="27"/>
        <v>0</v>
      </c>
      <c r="U93" s="226">
        <f>TRUNC(T93*Condições!$C$102,2)</f>
        <v>0</v>
      </c>
      <c r="V93" s="82">
        <f t="shared" ca="1" si="21"/>
        <v>2</v>
      </c>
      <c r="W93" s="231" t="str">
        <f t="shared" si="28"/>
        <v/>
      </c>
      <c r="X93" s="210"/>
      <c r="Y93" s="210"/>
      <c r="Z93" s="210"/>
      <c r="AI93" s="114">
        <f t="shared" si="29"/>
        <v>0</v>
      </c>
      <c r="AJ93" s="113"/>
      <c r="AL93" s="477">
        <f t="shared" ca="1" si="30"/>
        <v>0</v>
      </c>
    </row>
    <row r="94" spans="2:38" ht="12" customHeight="1">
      <c r="B94" s="222">
        <f ca="1">Fixa!B94</f>
        <v>48289</v>
      </c>
      <c r="C94" s="223" t="str">
        <f>Fixa!C94</f>
        <v/>
      </c>
      <c r="D94" s="43" t="e">
        <f t="shared" si="22"/>
        <v>#VALUE!</v>
      </c>
      <c r="E94" s="43" t="e">
        <f t="shared" si="22"/>
        <v>#VALUE!</v>
      </c>
      <c r="F94" s="43" t="e">
        <f t="shared" si="22"/>
        <v>#VALUE!</v>
      </c>
      <c r="G94" s="43" t="e">
        <f t="shared" si="17"/>
        <v>#VALUE!</v>
      </c>
      <c r="H94" s="43" t="e">
        <f t="shared" ca="1" si="18"/>
        <v>#VALUE!</v>
      </c>
      <c r="I94" s="43">
        <f t="shared" si="19"/>
        <v>0</v>
      </c>
      <c r="J94" s="229">
        <f t="shared" si="23"/>
        <v>25</v>
      </c>
      <c r="K94" s="43">
        <f t="shared" si="24"/>
        <v>0</v>
      </c>
      <c r="M94" s="224"/>
      <c r="N94" s="225">
        <f t="shared" si="25"/>
        <v>0</v>
      </c>
      <c r="O94" s="43" t="e">
        <f t="shared" si="26"/>
        <v>#VALUE!</v>
      </c>
      <c r="P94" s="43" t="e">
        <f>ROUND(IF(Preenchimento!$G$39="Tabela Price",R94-Q94,(O93*(1+$AD$35))/($AD$28-C93)),$P$22)</f>
        <v>#VALUE!</v>
      </c>
      <c r="Q94" s="43" t="e">
        <f>IF(Preenchimento!$G$39="Tabela Price",O93*(1+$AD$35)*W94,O93*(1+'SAC Padrão_Sem Bonif'!$AD$35)*'SAC Padrão_Sem Bonif'!W94)</f>
        <v>#VALUE!</v>
      </c>
      <c r="R94" s="43" t="e">
        <f>IF(Preenchimento!$G$39="Tabela Price",IF(C94="","",((((((1+W94)^($Q$16-C93))*W94)/((1+W94)^($Q$16-C93)-1))*(O93*(1+$AD$35))))),Q94+P94)</f>
        <v>#VALUE!</v>
      </c>
      <c r="S94" s="43" t="e">
        <f t="shared" ca="1" si="20"/>
        <v>#VALUE!</v>
      </c>
      <c r="T94" s="43">
        <f t="shared" si="27"/>
        <v>0</v>
      </c>
      <c r="U94" s="226">
        <f>TRUNC(T94*Condições!$C$102,2)</f>
        <v>0</v>
      </c>
      <c r="V94" s="82">
        <f t="shared" ca="1" si="21"/>
        <v>3</v>
      </c>
      <c r="W94" s="231" t="str">
        <f t="shared" si="28"/>
        <v/>
      </c>
      <c r="X94" s="210"/>
      <c r="Y94" s="210"/>
      <c r="Z94" s="210"/>
      <c r="AI94" s="114">
        <f t="shared" si="29"/>
        <v>0</v>
      </c>
      <c r="AJ94" s="113"/>
      <c r="AL94" s="477">
        <f t="shared" ca="1" si="30"/>
        <v>0</v>
      </c>
    </row>
    <row r="95" spans="2:38" ht="12" customHeight="1">
      <c r="B95" s="222">
        <f ca="1">Fixa!B95</f>
        <v>48320</v>
      </c>
      <c r="C95" s="223" t="str">
        <f>Fixa!C95</f>
        <v/>
      </c>
      <c r="D95" s="43" t="e">
        <f t="shared" si="22"/>
        <v>#VALUE!</v>
      </c>
      <c r="E95" s="43" t="e">
        <f t="shared" si="22"/>
        <v>#VALUE!</v>
      </c>
      <c r="F95" s="43" t="e">
        <f t="shared" si="22"/>
        <v>#VALUE!</v>
      </c>
      <c r="G95" s="43" t="e">
        <f t="shared" si="17"/>
        <v>#VALUE!</v>
      </c>
      <c r="H95" s="43" t="e">
        <f t="shared" ca="1" si="18"/>
        <v>#VALUE!</v>
      </c>
      <c r="I95" s="43">
        <f t="shared" si="19"/>
        <v>0</v>
      </c>
      <c r="J95" s="229">
        <f t="shared" si="23"/>
        <v>25</v>
      </c>
      <c r="K95" s="43">
        <f t="shared" si="24"/>
        <v>0</v>
      </c>
      <c r="M95" s="224"/>
      <c r="N95" s="225">
        <f t="shared" si="25"/>
        <v>0</v>
      </c>
      <c r="O95" s="43" t="e">
        <f t="shared" si="26"/>
        <v>#VALUE!</v>
      </c>
      <c r="P95" s="43" t="e">
        <f>ROUND(IF(Preenchimento!$G$39="Tabela Price",R95-Q95,(O94*(1+$AD$35))/($AD$28-C94)),$P$22)</f>
        <v>#VALUE!</v>
      </c>
      <c r="Q95" s="43" t="e">
        <f>IF(Preenchimento!$G$39="Tabela Price",O94*(1+$AD$35)*W95,O94*(1+'SAC Padrão_Sem Bonif'!$AD$35)*'SAC Padrão_Sem Bonif'!W95)</f>
        <v>#VALUE!</v>
      </c>
      <c r="R95" s="43" t="e">
        <f>IF(Preenchimento!$G$39="Tabela Price",IF(C95="","",((((((1+W95)^($Q$16-C94))*W95)/((1+W95)^($Q$16-C94)-1))*(O94*(1+$AD$35))))),Q95+P95)</f>
        <v>#VALUE!</v>
      </c>
      <c r="S95" s="43" t="e">
        <f t="shared" ca="1" si="20"/>
        <v>#VALUE!</v>
      </c>
      <c r="T95" s="43">
        <f t="shared" si="27"/>
        <v>0</v>
      </c>
      <c r="U95" s="226">
        <f>TRUNC(T95*Condições!$C$102,2)</f>
        <v>0</v>
      </c>
      <c r="V95" s="82">
        <f t="shared" ca="1" si="21"/>
        <v>4</v>
      </c>
      <c r="W95" s="231" t="str">
        <f t="shared" si="28"/>
        <v/>
      </c>
      <c r="X95" s="210"/>
      <c r="Y95" s="210"/>
      <c r="Z95" s="210"/>
      <c r="AI95" s="114">
        <f t="shared" si="29"/>
        <v>0</v>
      </c>
      <c r="AJ95" s="113"/>
      <c r="AL95" s="477">
        <f t="shared" ca="1" si="30"/>
        <v>0</v>
      </c>
    </row>
    <row r="96" spans="2:38" ht="12" customHeight="1">
      <c r="B96" s="222">
        <f ca="1">Fixa!B96</f>
        <v>48350</v>
      </c>
      <c r="C96" s="223" t="str">
        <f>Fixa!C96</f>
        <v/>
      </c>
      <c r="D96" s="43" t="e">
        <f t="shared" si="22"/>
        <v>#VALUE!</v>
      </c>
      <c r="E96" s="43" t="e">
        <f t="shared" si="22"/>
        <v>#VALUE!</v>
      </c>
      <c r="F96" s="43" t="e">
        <f t="shared" si="22"/>
        <v>#VALUE!</v>
      </c>
      <c r="G96" s="43" t="e">
        <f t="shared" si="17"/>
        <v>#VALUE!</v>
      </c>
      <c r="H96" s="43" t="e">
        <f t="shared" ca="1" si="18"/>
        <v>#VALUE!</v>
      </c>
      <c r="I96" s="43">
        <f t="shared" si="19"/>
        <v>0</v>
      </c>
      <c r="J96" s="229">
        <f t="shared" si="23"/>
        <v>25</v>
      </c>
      <c r="K96" s="43">
        <f t="shared" si="24"/>
        <v>0</v>
      </c>
      <c r="M96" s="224"/>
      <c r="N96" s="225">
        <f t="shared" si="25"/>
        <v>0</v>
      </c>
      <c r="O96" s="43" t="e">
        <f t="shared" si="26"/>
        <v>#VALUE!</v>
      </c>
      <c r="P96" s="43" t="e">
        <f>ROUND(IF(Preenchimento!$G$39="Tabela Price",R96-Q96,(O95*(1+$AD$35))/($AD$28-C95)),$P$22)</f>
        <v>#VALUE!</v>
      </c>
      <c r="Q96" s="43" t="e">
        <f>IF(Preenchimento!$G$39="Tabela Price",O95*(1+$AD$35)*W96,O95*(1+'SAC Padrão_Sem Bonif'!$AD$35)*'SAC Padrão_Sem Bonif'!W96)</f>
        <v>#VALUE!</v>
      </c>
      <c r="R96" s="43" t="e">
        <f>IF(Preenchimento!$G$39="Tabela Price",IF(C96="","",((((((1+W96)^($Q$16-C95))*W96)/((1+W96)^($Q$16-C95)-1))*(O95*(1+$AD$35))))),Q96+P96)</f>
        <v>#VALUE!</v>
      </c>
      <c r="S96" s="43" t="e">
        <f t="shared" ca="1" si="20"/>
        <v>#VALUE!</v>
      </c>
      <c r="T96" s="43">
        <f t="shared" si="27"/>
        <v>0</v>
      </c>
      <c r="U96" s="226">
        <f>TRUNC(T96*Condições!$C$102,2)</f>
        <v>0</v>
      </c>
      <c r="V96" s="82">
        <f t="shared" ca="1" si="21"/>
        <v>5</v>
      </c>
      <c r="W96" s="231" t="str">
        <f t="shared" si="28"/>
        <v/>
      </c>
      <c r="X96" s="210"/>
      <c r="Y96" s="210"/>
      <c r="Z96" s="210"/>
      <c r="AI96" s="114">
        <f t="shared" si="29"/>
        <v>0</v>
      </c>
      <c r="AJ96" s="113"/>
      <c r="AL96" s="477">
        <f t="shared" ca="1" si="30"/>
        <v>0</v>
      </c>
    </row>
    <row r="97" spans="2:38" ht="12" customHeight="1">
      <c r="B97" s="222">
        <f ca="1">Fixa!B97</f>
        <v>48381</v>
      </c>
      <c r="C97" s="223" t="str">
        <f>Fixa!C97</f>
        <v/>
      </c>
      <c r="D97" s="43" t="e">
        <f t="shared" si="22"/>
        <v>#VALUE!</v>
      </c>
      <c r="E97" s="43" t="e">
        <f t="shared" si="22"/>
        <v>#VALUE!</v>
      </c>
      <c r="F97" s="43" t="e">
        <f t="shared" si="22"/>
        <v>#VALUE!</v>
      </c>
      <c r="G97" s="43" t="e">
        <f t="shared" si="17"/>
        <v>#VALUE!</v>
      </c>
      <c r="H97" s="43" t="e">
        <f t="shared" ca="1" si="18"/>
        <v>#VALUE!</v>
      </c>
      <c r="I97" s="43">
        <f t="shared" si="19"/>
        <v>0</v>
      </c>
      <c r="J97" s="229">
        <f t="shared" si="23"/>
        <v>25</v>
      </c>
      <c r="K97" s="43">
        <f t="shared" si="24"/>
        <v>0</v>
      </c>
      <c r="M97" s="224"/>
      <c r="N97" s="225">
        <f t="shared" si="25"/>
        <v>0</v>
      </c>
      <c r="O97" s="43" t="e">
        <f t="shared" si="26"/>
        <v>#VALUE!</v>
      </c>
      <c r="P97" s="43" t="e">
        <f>ROUND(IF(Preenchimento!$G$39="Tabela Price",R97-Q97,(O96*(1+$AD$35))/($AD$28-C96)),$P$22)</f>
        <v>#VALUE!</v>
      </c>
      <c r="Q97" s="43" t="e">
        <f>IF(Preenchimento!$G$39="Tabela Price",O96*(1+$AD$35)*W97,O96*(1+'SAC Padrão_Sem Bonif'!$AD$35)*'SAC Padrão_Sem Bonif'!W97)</f>
        <v>#VALUE!</v>
      </c>
      <c r="R97" s="43" t="e">
        <f>IF(Preenchimento!$G$39="Tabela Price",IF(C97="","",((((((1+W97)^($Q$16-C96))*W97)/((1+W97)^($Q$16-C96)-1))*(O96*(1+$AD$35))))),Q97+P97)</f>
        <v>#VALUE!</v>
      </c>
      <c r="S97" s="43" t="e">
        <f t="shared" ca="1" si="20"/>
        <v>#VALUE!</v>
      </c>
      <c r="T97" s="43">
        <f t="shared" si="27"/>
        <v>0</v>
      </c>
      <c r="U97" s="226">
        <f>TRUNC(T97*Condições!$C$102,2)</f>
        <v>0</v>
      </c>
      <c r="V97" s="82">
        <f t="shared" ca="1" si="21"/>
        <v>6</v>
      </c>
      <c r="W97" s="231" t="str">
        <f t="shared" si="28"/>
        <v/>
      </c>
      <c r="X97" s="210"/>
      <c r="Y97" s="210"/>
      <c r="Z97" s="210"/>
      <c r="AI97" s="114">
        <f t="shared" si="29"/>
        <v>0</v>
      </c>
      <c r="AJ97" s="113"/>
      <c r="AL97" s="477">
        <f t="shared" ca="1" si="30"/>
        <v>0</v>
      </c>
    </row>
    <row r="98" spans="2:38" ht="12" customHeight="1">
      <c r="B98" s="222">
        <f ca="1">Fixa!B98</f>
        <v>48411</v>
      </c>
      <c r="C98" s="223" t="str">
        <f>Fixa!C98</f>
        <v/>
      </c>
      <c r="D98" s="43" t="e">
        <f t="shared" si="22"/>
        <v>#VALUE!</v>
      </c>
      <c r="E98" s="43" t="e">
        <f t="shared" si="22"/>
        <v>#VALUE!</v>
      </c>
      <c r="F98" s="43" t="e">
        <f t="shared" si="22"/>
        <v>#VALUE!</v>
      </c>
      <c r="G98" s="43" t="e">
        <f t="shared" si="17"/>
        <v>#VALUE!</v>
      </c>
      <c r="H98" s="43" t="e">
        <f t="shared" ca="1" si="18"/>
        <v>#VALUE!</v>
      </c>
      <c r="I98" s="43">
        <f t="shared" si="19"/>
        <v>0</v>
      </c>
      <c r="J98" s="229">
        <f t="shared" si="23"/>
        <v>25</v>
      </c>
      <c r="K98" s="43">
        <f t="shared" si="24"/>
        <v>0</v>
      </c>
      <c r="M98" s="224"/>
      <c r="N98" s="225">
        <f t="shared" si="25"/>
        <v>0</v>
      </c>
      <c r="O98" s="43" t="e">
        <f t="shared" si="26"/>
        <v>#VALUE!</v>
      </c>
      <c r="P98" s="43" t="e">
        <f>ROUND(IF(Preenchimento!$G$39="Tabela Price",R98-Q98,(O97*(1+$AD$35))/($AD$28-C97)),$P$22)</f>
        <v>#VALUE!</v>
      </c>
      <c r="Q98" s="43" t="e">
        <f>IF(Preenchimento!$G$39="Tabela Price",O97*(1+$AD$35)*W98,O97*(1+'SAC Padrão_Sem Bonif'!$AD$35)*'SAC Padrão_Sem Bonif'!W98)</f>
        <v>#VALUE!</v>
      </c>
      <c r="R98" s="43" t="e">
        <f>IF(Preenchimento!$G$39="Tabela Price",IF(C98="","",((((((1+W98)^($Q$16-C97))*W98)/((1+W98)^($Q$16-C97)-1))*(O97*(1+$AD$35))))),Q98+P98)</f>
        <v>#VALUE!</v>
      </c>
      <c r="S98" s="43" t="e">
        <f t="shared" ca="1" si="20"/>
        <v>#VALUE!</v>
      </c>
      <c r="T98" s="43">
        <f t="shared" si="27"/>
        <v>0</v>
      </c>
      <c r="U98" s="226">
        <f>TRUNC(T98*Condições!$C$102,2)</f>
        <v>0</v>
      </c>
      <c r="V98" s="82">
        <f t="shared" ca="1" si="21"/>
        <v>7</v>
      </c>
      <c r="W98" s="231" t="str">
        <f t="shared" si="28"/>
        <v/>
      </c>
      <c r="X98" s="210"/>
      <c r="Y98" s="210"/>
      <c r="Z98" s="210"/>
      <c r="AI98" s="114">
        <f t="shared" si="29"/>
        <v>0</v>
      </c>
      <c r="AJ98" s="113"/>
      <c r="AL98" s="477">
        <f t="shared" ca="1" si="30"/>
        <v>0</v>
      </c>
    </row>
    <row r="99" spans="2:38" ht="12" customHeight="1">
      <c r="B99" s="222">
        <f ca="1">Fixa!B99</f>
        <v>48442</v>
      </c>
      <c r="C99" s="223" t="str">
        <f>Fixa!C99</f>
        <v/>
      </c>
      <c r="D99" s="43" t="e">
        <f t="shared" si="22"/>
        <v>#VALUE!</v>
      </c>
      <c r="E99" s="43" t="e">
        <f t="shared" si="22"/>
        <v>#VALUE!</v>
      </c>
      <c r="F99" s="43" t="e">
        <f t="shared" si="22"/>
        <v>#VALUE!</v>
      </c>
      <c r="G99" s="43" t="e">
        <f t="shared" si="17"/>
        <v>#VALUE!</v>
      </c>
      <c r="H99" s="43" t="e">
        <f t="shared" ca="1" si="18"/>
        <v>#VALUE!</v>
      </c>
      <c r="I99" s="43">
        <f t="shared" si="19"/>
        <v>0</v>
      </c>
      <c r="J99" s="229">
        <f t="shared" si="23"/>
        <v>25</v>
      </c>
      <c r="K99" s="43">
        <f t="shared" si="24"/>
        <v>0</v>
      </c>
      <c r="M99" s="224"/>
      <c r="N99" s="225">
        <f t="shared" si="25"/>
        <v>0</v>
      </c>
      <c r="O99" s="43" t="e">
        <f t="shared" si="26"/>
        <v>#VALUE!</v>
      </c>
      <c r="P99" s="43" t="e">
        <f>ROUND(IF(Preenchimento!$G$39="Tabela Price",R99-Q99,(O98*(1+$AD$35))/($AD$28-C98)),$P$22)</f>
        <v>#VALUE!</v>
      </c>
      <c r="Q99" s="43" t="e">
        <f>IF(Preenchimento!$G$39="Tabela Price",O98*(1+$AD$35)*W99,O98*(1+'SAC Padrão_Sem Bonif'!$AD$35)*'SAC Padrão_Sem Bonif'!W99)</f>
        <v>#VALUE!</v>
      </c>
      <c r="R99" s="43" t="e">
        <f>IF(Preenchimento!$G$39="Tabela Price",IF(C99="","",((((((1+W99)^($Q$16-C98))*W99)/((1+W99)^($Q$16-C98)-1))*(O98*(1+$AD$35))))),Q99+P99)</f>
        <v>#VALUE!</v>
      </c>
      <c r="S99" s="43" t="e">
        <f t="shared" ca="1" si="20"/>
        <v>#VALUE!</v>
      </c>
      <c r="T99" s="43">
        <f t="shared" si="27"/>
        <v>0</v>
      </c>
      <c r="U99" s="226">
        <f>TRUNC(T99*Condições!$C$102,2)</f>
        <v>0</v>
      </c>
      <c r="V99" s="82">
        <f t="shared" ca="1" si="21"/>
        <v>8</v>
      </c>
      <c r="W99" s="231" t="str">
        <f t="shared" si="28"/>
        <v/>
      </c>
      <c r="X99" s="210"/>
      <c r="Y99" s="210"/>
      <c r="Z99" s="210"/>
      <c r="AI99" s="114">
        <f t="shared" si="29"/>
        <v>0</v>
      </c>
      <c r="AJ99" s="113"/>
      <c r="AL99" s="477">
        <f t="shared" ca="1" si="30"/>
        <v>0</v>
      </c>
    </row>
    <row r="100" spans="2:38" ht="12" customHeight="1">
      <c r="B100" s="222">
        <f ca="1">Fixa!B100</f>
        <v>48473</v>
      </c>
      <c r="C100" s="223" t="str">
        <f>Fixa!C100</f>
        <v/>
      </c>
      <c r="D100" s="43" t="e">
        <f t="shared" si="22"/>
        <v>#VALUE!</v>
      </c>
      <c r="E100" s="43" t="e">
        <f t="shared" si="22"/>
        <v>#VALUE!</v>
      </c>
      <c r="F100" s="43" t="e">
        <f t="shared" si="22"/>
        <v>#VALUE!</v>
      </c>
      <c r="G100" s="43" t="e">
        <f t="shared" si="17"/>
        <v>#VALUE!</v>
      </c>
      <c r="H100" s="43" t="e">
        <f t="shared" ca="1" si="18"/>
        <v>#VALUE!</v>
      </c>
      <c r="I100" s="43">
        <f t="shared" si="19"/>
        <v>0</v>
      </c>
      <c r="J100" s="229">
        <f t="shared" si="23"/>
        <v>25</v>
      </c>
      <c r="K100" s="43">
        <f t="shared" si="24"/>
        <v>0</v>
      </c>
      <c r="M100" s="224"/>
      <c r="N100" s="225">
        <f t="shared" si="25"/>
        <v>0</v>
      </c>
      <c r="O100" s="43" t="e">
        <f t="shared" si="26"/>
        <v>#VALUE!</v>
      </c>
      <c r="P100" s="43" t="e">
        <f>ROUND(IF(Preenchimento!$G$39="Tabela Price",R100-Q100,(O99*(1+$AD$35))/($AD$28-C99)),$P$22)</f>
        <v>#VALUE!</v>
      </c>
      <c r="Q100" s="43" t="e">
        <f>IF(Preenchimento!$G$39="Tabela Price",O99*(1+$AD$35)*W100,O99*(1+'SAC Padrão_Sem Bonif'!$AD$35)*'SAC Padrão_Sem Bonif'!W100)</f>
        <v>#VALUE!</v>
      </c>
      <c r="R100" s="43" t="e">
        <f>IF(Preenchimento!$G$39="Tabela Price",IF(C100="","",((((((1+W100)^($Q$16-C99))*W100)/((1+W100)^($Q$16-C99)-1))*(O99*(1+$AD$35))))),Q100+P100)</f>
        <v>#VALUE!</v>
      </c>
      <c r="S100" s="43" t="e">
        <f t="shared" ca="1" si="20"/>
        <v>#VALUE!</v>
      </c>
      <c r="T100" s="43">
        <f t="shared" si="27"/>
        <v>0</v>
      </c>
      <c r="U100" s="226">
        <f>TRUNC(T100*Condições!$C$102,2)</f>
        <v>0</v>
      </c>
      <c r="V100" s="82">
        <f t="shared" ca="1" si="21"/>
        <v>9</v>
      </c>
      <c r="W100" s="231" t="str">
        <f t="shared" si="28"/>
        <v/>
      </c>
      <c r="X100" s="210"/>
      <c r="Y100" s="210"/>
      <c r="Z100" s="210"/>
      <c r="AI100" s="114">
        <f t="shared" si="29"/>
        <v>0</v>
      </c>
      <c r="AJ100" s="113"/>
      <c r="AL100" s="477">
        <f t="shared" ca="1" si="30"/>
        <v>0</v>
      </c>
    </row>
    <row r="101" spans="2:38" ht="12" customHeight="1">
      <c r="B101" s="222">
        <f ca="1">Fixa!B101</f>
        <v>48503</v>
      </c>
      <c r="C101" s="223" t="str">
        <f>Fixa!C101</f>
        <v/>
      </c>
      <c r="D101" s="43" t="e">
        <f t="shared" si="22"/>
        <v>#VALUE!</v>
      </c>
      <c r="E101" s="43" t="e">
        <f t="shared" si="22"/>
        <v>#VALUE!</v>
      </c>
      <c r="F101" s="43" t="e">
        <f t="shared" si="22"/>
        <v>#VALUE!</v>
      </c>
      <c r="G101" s="43" t="e">
        <f t="shared" si="17"/>
        <v>#VALUE!</v>
      </c>
      <c r="H101" s="43" t="e">
        <f t="shared" ca="1" si="18"/>
        <v>#VALUE!</v>
      </c>
      <c r="I101" s="43">
        <f t="shared" si="19"/>
        <v>0</v>
      </c>
      <c r="J101" s="229">
        <f t="shared" si="23"/>
        <v>25</v>
      </c>
      <c r="K101" s="43">
        <f t="shared" si="24"/>
        <v>0</v>
      </c>
      <c r="M101" s="224"/>
      <c r="N101" s="225">
        <f t="shared" si="25"/>
        <v>0</v>
      </c>
      <c r="O101" s="43" t="e">
        <f t="shared" si="26"/>
        <v>#VALUE!</v>
      </c>
      <c r="P101" s="43" t="e">
        <f>ROUND(IF(Preenchimento!$G$39="Tabela Price",R101-Q101,(O100*(1+$AD$35))/($AD$28-C100)),$P$22)</f>
        <v>#VALUE!</v>
      </c>
      <c r="Q101" s="43" t="e">
        <f>IF(Preenchimento!$G$39="Tabela Price",O100*(1+$AD$35)*W101,O100*(1+'SAC Padrão_Sem Bonif'!$AD$35)*'SAC Padrão_Sem Bonif'!W101)</f>
        <v>#VALUE!</v>
      </c>
      <c r="R101" s="43" t="e">
        <f>IF(Preenchimento!$G$39="Tabela Price",IF(C101="","",((((((1+W101)^($Q$16-C100))*W101)/((1+W101)^($Q$16-C100)-1))*(O100*(1+$AD$35))))),Q101+P101)</f>
        <v>#VALUE!</v>
      </c>
      <c r="S101" s="43" t="e">
        <f t="shared" ca="1" si="20"/>
        <v>#VALUE!</v>
      </c>
      <c r="T101" s="43">
        <f t="shared" si="27"/>
        <v>0</v>
      </c>
      <c r="U101" s="226">
        <f>TRUNC(T101*Condições!$C$102,2)</f>
        <v>0</v>
      </c>
      <c r="V101" s="82">
        <f t="shared" ca="1" si="21"/>
        <v>10</v>
      </c>
      <c r="W101" s="231" t="str">
        <f t="shared" si="28"/>
        <v/>
      </c>
      <c r="X101" s="210"/>
      <c r="Y101" s="210"/>
      <c r="Z101" s="210"/>
      <c r="AI101" s="114">
        <f t="shared" si="29"/>
        <v>0</v>
      </c>
      <c r="AJ101" s="113"/>
      <c r="AL101" s="477">
        <f t="shared" ca="1" si="30"/>
        <v>0</v>
      </c>
    </row>
    <row r="102" spans="2:38" ht="12" customHeight="1">
      <c r="B102" s="222">
        <f ca="1">Fixa!B102</f>
        <v>48534</v>
      </c>
      <c r="C102" s="223" t="str">
        <f>Fixa!C102</f>
        <v/>
      </c>
      <c r="D102" s="43" t="e">
        <f t="shared" si="22"/>
        <v>#VALUE!</v>
      </c>
      <c r="E102" s="43" t="e">
        <f t="shared" si="22"/>
        <v>#VALUE!</v>
      </c>
      <c r="F102" s="43" t="e">
        <f t="shared" si="22"/>
        <v>#VALUE!</v>
      </c>
      <c r="G102" s="43" t="e">
        <f t="shared" si="17"/>
        <v>#VALUE!</v>
      </c>
      <c r="H102" s="43" t="e">
        <f t="shared" ca="1" si="18"/>
        <v>#VALUE!</v>
      </c>
      <c r="I102" s="43">
        <f t="shared" si="19"/>
        <v>0</v>
      </c>
      <c r="J102" s="229">
        <f t="shared" si="23"/>
        <v>25</v>
      </c>
      <c r="K102" s="43">
        <f t="shared" si="24"/>
        <v>0</v>
      </c>
      <c r="M102" s="224"/>
      <c r="N102" s="225">
        <f t="shared" si="25"/>
        <v>0</v>
      </c>
      <c r="O102" s="43" t="e">
        <f t="shared" si="26"/>
        <v>#VALUE!</v>
      </c>
      <c r="P102" s="43" t="e">
        <f>ROUND(IF(Preenchimento!$G$39="Tabela Price",R102-Q102,(O101*(1+$AD$35))/($AD$28-C101)),$P$22)</f>
        <v>#VALUE!</v>
      </c>
      <c r="Q102" s="43" t="e">
        <f>IF(Preenchimento!$G$39="Tabela Price",O101*(1+$AD$35)*W102,O101*(1+'SAC Padrão_Sem Bonif'!$AD$35)*'SAC Padrão_Sem Bonif'!W102)</f>
        <v>#VALUE!</v>
      </c>
      <c r="R102" s="43" t="e">
        <f>IF(Preenchimento!$G$39="Tabela Price",IF(C102="","",((((((1+W102)^($Q$16-C101))*W102)/((1+W102)^($Q$16-C101)-1))*(O101*(1+$AD$35))))),Q102+P102)</f>
        <v>#VALUE!</v>
      </c>
      <c r="S102" s="43" t="e">
        <f t="shared" ca="1" si="20"/>
        <v>#VALUE!</v>
      </c>
      <c r="T102" s="43">
        <f t="shared" si="27"/>
        <v>0</v>
      </c>
      <c r="U102" s="226">
        <f>TRUNC(T102*Condições!$C$102,2)</f>
        <v>0</v>
      </c>
      <c r="V102" s="82">
        <f t="shared" ca="1" si="21"/>
        <v>11</v>
      </c>
      <c r="W102" s="231" t="str">
        <f t="shared" si="28"/>
        <v/>
      </c>
      <c r="X102" s="210"/>
      <c r="Y102" s="210"/>
      <c r="Z102" s="210"/>
      <c r="AI102" s="114">
        <f t="shared" si="29"/>
        <v>0</v>
      </c>
      <c r="AJ102" s="113"/>
      <c r="AL102" s="477">
        <f t="shared" ca="1" si="30"/>
        <v>0</v>
      </c>
    </row>
    <row r="103" spans="2:38" ht="12" customHeight="1">
      <c r="B103" s="222">
        <f ca="1">Fixa!B103</f>
        <v>48564</v>
      </c>
      <c r="C103" s="223" t="str">
        <f>Fixa!C103</f>
        <v/>
      </c>
      <c r="D103" s="43" t="e">
        <f t="shared" si="22"/>
        <v>#VALUE!</v>
      </c>
      <c r="E103" s="43" t="e">
        <f t="shared" si="22"/>
        <v>#VALUE!</v>
      </c>
      <c r="F103" s="43" t="e">
        <f t="shared" si="22"/>
        <v>#VALUE!</v>
      </c>
      <c r="G103" s="43" t="e">
        <f t="shared" si="17"/>
        <v>#VALUE!</v>
      </c>
      <c r="H103" s="43" t="e">
        <f t="shared" ca="1" si="18"/>
        <v>#VALUE!</v>
      </c>
      <c r="I103" s="43">
        <f t="shared" si="19"/>
        <v>0</v>
      </c>
      <c r="J103" s="229">
        <f t="shared" si="23"/>
        <v>25</v>
      </c>
      <c r="K103" s="43">
        <f t="shared" si="24"/>
        <v>0</v>
      </c>
      <c r="M103" s="224"/>
      <c r="N103" s="225">
        <f t="shared" si="25"/>
        <v>0</v>
      </c>
      <c r="O103" s="43" t="e">
        <f t="shared" si="26"/>
        <v>#VALUE!</v>
      </c>
      <c r="P103" s="43" t="e">
        <f>ROUND(IF(Preenchimento!$G$39="Tabela Price",R103-Q103,(O102*(1+$AD$35))/($AD$28-C102)),$P$22)</f>
        <v>#VALUE!</v>
      </c>
      <c r="Q103" s="43" t="e">
        <f>IF(Preenchimento!$G$39="Tabela Price",O102*(1+$AD$35)*W103,O102*(1+'SAC Padrão_Sem Bonif'!$AD$35)*'SAC Padrão_Sem Bonif'!W103)</f>
        <v>#VALUE!</v>
      </c>
      <c r="R103" s="43" t="e">
        <f>IF(Preenchimento!$G$39="Tabela Price",IF(C103="","",((((((1+W103)^($Q$16-C102))*W103)/((1+W103)^($Q$16-C102)-1))*(O102*(1+$AD$35))))),Q103+P103)</f>
        <v>#VALUE!</v>
      </c>
      <c r="S103" s="43" t="e">
        <f t="shared" ca="1" si="20"/>
        <v>#VALUE!</v>
      </c>
      <c r="T103" s="43">
        <f t="shared" si="27"/>
        <v>0</v>
      </c>
      <c r="U103" s="226">
        <f>TRUNC(T103*Condições!$C$102,2)</f>
        <v>0</v>
      </c>
      <c r="V103" s="82">
        <f t="shared" ca="1" si="21"/>
        <v>12</v>
      </c>
      <c r="W103" s="231" t="str">
        <f t="shared" si="28"/>
        <v/>
      </c>
      <c r="X103" s="210"/>
      <c r="Y103" s="210"/>
      <c r="Z103" s="210"/>
      <c r="AI103" s="114">
        <f t="shared" si="29"/>
        <v>0</v>
      </c>
      <c r="AJ103" s="113"/>
      <c r="AL103" s="477">
        <f t="shared" ca="1" si="30"/>
        <v>0</v>
      </c>
    </row>
    <row r="104" spans="2:38" ht="12" customHeight="1">
      <c r="B104" s="222">
        <f ca="1">Fixa!B104</f>
        <v>48595</v>
      </c>
      <c r="C104" s="223" t="str">
        <f>Fixa!C104</f>
        <v/>
      </c>
      <c r="D104" s="43" t="e">
        <f t="shared" si="22"/>
        <v>#VALUE!</v>
      </c>
      <c r="E104" s="43" t="e">
        <f t="shared" si="22"/>
        <v>#VALUE!</v>
      </c>
      <c r="F104" s="43" t="e">
        <f t="shared" si="22"/>
        <v>#VALUE!</v>
      </c>
      <c r="G104" s="43" t="e">
        <f t="shared" si="17"/>
        <v>#VALUE!</v>
      </c>
      <c r="H104" s="43" t="e">
        <f t="shared" ca="1" si="18"/>
        <v>#VALUE!</v>
      </c>
      <c r="I104" s="43">
        <f t="shared" si="19"/>
        <v>0</v>
      </c>
      <c r="J104" s="229">
        <f t="shared" si="23"/>
        <v>25</v>
      </c>
      <c r="K104" s="43">
        <f t="shared" si="24"/>
        <v>0</v>
      </c>
      <c r="M104" s="224"/>
      <c r="N104" s="225">
        <f t="shared" si="25"/>
        <v>0</v>
      </c>
      <c r="O104" s="43" t="e">
        <f t="shared" si="26"/>
        <v>#VALUE!</v>
      </c>
      <c r="P104" s="43" t="e">
        <f>ROUND(IF(Preenchimento!$G$39="Tabela Price",R104-Q104,(O103*(1+$AD$35))/($AD$28-C103)),$P$22)</f>
        <v>#VALUE!</v>
      </c>
      <c r="Q104" s="43" t="e">
        <f>IF(Preenchimento!$G$39="Tabela Price",O103*(1+$AD$35)*W104,O103*(1+'SAC Padrão_Sem Bonif'!$AD$35)*'SAC Padrão_Sem Bonif'!W104)</f>
        <v>#VALUE!</v>
      </c>
      <c r="R104" s="43" t="e">
        <f>IF(Preenchimento!$G$39="Tabela Price",IF(C104="","",((((((1+W104)^($Q$16-C103))*W104)/((1+W104)^($Q$16-C103)-1))*(O103*(1+$AD$35))))),Q104+P104)</f>
        <v>#VALUE!</v>
      </c>
      <c r="S104" s="43" t="e">
        <f t="shared" ca="1" si="20"/>
        <v>#VALUE!</v>
      </c>
      <c r="T104" s="43">
        <f t="shared" si="27"/>
        <v>0</v>
      </c>
      <c r="U104" s="226">
        <f>TRUNC(T104*Condições!$C$102,2)</f>
        <v>0</v>
      </c>
      <c r="V104" s="82">
        <f t="shared" ca="1" si="21"/>
        <v>1</v>
      </c>
      <c r="W104" s="231" t="str">
        <f t="shared" si="28"/>
        <v/>
      </c>
      <c r="X104" s="210"/>
      <c r="Y104" s="210"/>
      <c r="Z104" s="210"/>
      <c r="AI104" s="114">
        <f t="shared" si="29"/>
        <v>0</v>
      </c>
      <c r="AJ104" s="113"/>
      <c r="AL104" s="477">
        <f t="shared" ca="1" si="30"/>
        <v>0</v>
      </c>
    </row>
    <row r="105" spans="2:38" ht="12" customHeight="1">
      <c r="B105" s="222">
        <f ca="1">Fixa!B105</f>
        <v>48626</v>
      </c>
      <c r="C105" s="223" t="str">
        <f>Fixa!C105</f>
        <v/>
      </c>
      <c r="D105" s="43" t="e">
        <f t="shared" si="22"/>
        <v>#VALUE!</v>
      </c>
      <c r="E105" s="43" t="e">
        <f t="shared" si="22"/>
        <v>#VALUE!</v>
      </c>
      <c r="F105" s="43" t="e">
        <f t="shared" si="22"/>
        <v>#VALUE!</v>
      </c>
      <c r="G105" s="43" t="e">
        <f t="shared" si="17"/>
        <v>#VALUE!</v>
      </c>
      <c r="H105" s="43" t="e">
        <f t="shared" ca="1" si="18"/>
        <v>#VALUE!</v>
      </c>
      <c r="I105" s="43">
        <f t="shared" si="19"/>
        <v>0</v>
      </c>
      <c r="J105" s="229">
        <f t="shared" si="23"/>
        <v>25</v>
      </c>
      <c r="K105" s="43">
        <f t="shared" si="24"/>
        <v>0</v>
      </c>
      <c r="M105" s="224"/>
      <c r="N105" s="225">
        <f t="shared" si="25"/>
        <v>0</v>
      </c>
      <c r="O105" s="43" t="e">
        <f t="shared" si="26"/>
        <v>#VALUE!</v>
      </c>
      <c r="P105" s="43" t="e">
        <f>ROUND(IF(Preenchimento!$G$39="Tabela Price",R105-Q105,(O104*(1+$AD$35))/($AD$28-C104)),$P$22)</f>
        <v>#VALUE!</v>
      </c>
      <c r="Q105" s="43" t="e">
        <f>IF(Preenchimento!$G$39="Tabela Price",O104*(1+$AD$35)*W105,O104*(1+'SAC Padrão_Sem Bonif'!$AD$35)*'SAC Padrão_Sem Bonif'!W105)</f>
        <v>#VALUE!</v>
      </c>
      <c r="R105" s="43" t="e">
        <f>IF(Preenchimento!$G$39="Tabela Price",IF(C105="","",((((((1+W105)^($Q$16-C104))*W105)/((1+W105)^($Q$16-C104)-1))*(O104*(1+$AD$35))))),Q105+P105)</f>
        <v>#VALUE!</v>
      </c>
      <c r="S105" s="43" t="e">
        <f t="shared" ca="1" si="20"/>
        <v>#VALUE!</v>
      </c>
      <c r="T105" s="43">
        <f t="shared" si="27"/>
        <v>0</v>
      </c>
      <c r="U105" s="226">
        <f>TRUNC(T105*Condições!$C$102,2)</f>
        <v>0</v>
      </c>
      <c r="V105" s="82">
        <f t="shared" ca="1" si="21"/>
        <v>2</v>
      </c>
      <c r="W105" s="231" t="str">
        <f t="shared" si="28"/>
        <v/>
      </c>
      <c r="X105" s="210"/>
      <c r="Y105" s="210"/>
      <c r="Z105" s="210"/>
      <c r="AI105" s="114">
        <f t="shared" si="29"/>
        <v>0</v>
      </c>
      <c r="AJ105" s="113"/>
      <c r="AL105" s="477">
        <f t="shared" ca="1" si="30"/>
        <v>0</v>
      </c>
    </row>
    <row r="106" spans="2:38" ht="12" customHeight="1">
      <c r="B106" s="222">
        <f ca="1">Fixa!B106</f>
        <v>48654</v>
      </c>
      <c r="C106" s="223" t="str">
        <f>Fixa!C106</f>
        <v/>
      </c>
      <c r="D106" s="43" t="e">
        <f t="shared" si="22"/>
        <v>#VALUE!</v>
      </c>
      <c r="E106" s="43" t="e">
        <f t="shared" si="22"/>
        <v>#VALUE!</v>
      </c>
      <c r="F106" s="43" t="e">
        <f t="shared" si="22"/>
        <v>#VALUE!</v>
      </c>
      <c r="G106" s="43" t="e">
        <f t="shared" si="17"/>
        <v>#VALUE!</v>
      </c>
      <c r="H106" s="43" t="e">
        <f t="shared" ca="1" si="18"/>
        <v>#VALUE!</v>
      </c>
      <c r="I106" s="43">
        <f t="shared" si="19"/>
        <v>0</v>
      </c>
      <c r="J106" s="229">
        <f t="shared" si="23"/>
        <v>25</v>
      </c>
      <c r="K106" s="43">
        <f t="shared" si="24"/>
        <v>0</v>
      </c>
      <c r="M106" s="224"/>
      <c r="N106" s="225">
        <f t="shared" si="25"/>
        <v>0</v>
      </c>
      <c r="O106" s="43" t="e">
        <f t="shared" si="26"/>
        <v>#VALUE!</v>
      </c>
      <c r="P106" s="43" t="e">
        <f>ROUND(IF(Preenchimento!$G$39="Tabela Price",R106-Q106,(O105*(1+$AD$35))/($AD$28-C105)),$P$22)</f>
        <v>#VALUE!</v>
      </c>
      <c r="Q106" s="43" t="e">
        <f>IF(Preenchimento!$G$39="Tabela Price",O105*(1+$AD$35)*W106,O105*(1+'SAC Padrão_Sem Bonif'!$AD$35)*'SAC Padrão_Sem Bonif'!W106)</f>
        <v>#VALUE!</v>
      </c>
      <c r="R106" s="43" t="e">
        <f>IF(Preenchimento!$G$39="Tabela Price",IF(C106="","",((((((1+W106)^($Q$16-C105))*W106)/((1+W106)^($Q$16-C105)-1))*(O105*(1+$AD$35))))),Q106+P106)</f>
        <v>#VALUE!</v>
      </c>
      <c r="S106" s="43" t="e">
        <f t="shared" ca="1" si="20"/>
        <v>#VALUE!</v>
      </c>
      <c r="T106" s="43">
        <f t="shared" si="27"/>
        <v>0</v>
      </c>
      <c r="U106" s="226">
        <f>TRUNC(T106*Condições!$C$102,2)</f>
        <v>0</v>
      </c>
      <c r="V106" s="82">
        <f t="shared" ca="1" si="21"/>
        <v>3</v>
      </c>
      <c r="W106" s="231" t="str">
        <f t="shared" si="28"/>
        <v/>
      </c>
      <c r="X106" s="210"/>
      <c r="Y106" s="210"/>
      <c r="Z106" s="210"/>
      <c r="AI106" s="114">
        <f t="shared" si="29"/>
        <v>0</v>
      </c>
      <c r="AJ106" s="113"/>
      <c r="AL106" s="477">
        <f t="shared" ca="1" si="30"/>
        <v>0</v>
      </c>
    </row>
    <row r="107" spans="2:38" ht="12" customHeight="1">
      <c r="B107" s="222">
        <f ca="1">Fixa!B107</f>
        <v>48685</v>
      </c>
      <c r="C107" s="223" t="str">
        <f>Fixa!C107</f>
        <v/>
      </c>
      <c r="D107" s="43" t="e">
        <f t="shared" si="22"/>
        <v>#VALUE!</v>
      </c>
      <c r="E107" s="43" t="e">
        <f t="shared" si="22"/>
        <v>#VALUE!</v>
      </c>
      <c r="F107" s="43" t="e">
        <f t="shared" si="22"/>
        <v>#VALUE!</v>
      </c>
      <c r="G107" s="43" t="e">
        <f t="shared" si="17"/>
        <v>#VALUE!</v>
      </c>
      <c r="H107" s="43" t="e">
        <f t="shared" ca="1" si="18"/>
        <v>#VALUE!</v>
      </c>
      <c r="I107" s="43">
        <f t="shared" si="19"/>
        <v>0</v>
      </c>
      <c r="J107" s="229">
        <f t="shared" si="23"/>
        <v>25</v>
      </c>
      <c r="K107" s="43">
        <f t="shared" si="24"/>
        <v>0</v>
      </c>
      <c r="M107" s="224"/>
      <c r="N107" s="225">
        <f t="shared" si="25"/>
        <v>0</v>
      </c>
      <c r="O107" s="43" t="e">
        <f t="shared" si="26"/>
        <v>#VALUE!</v>
      </c>
      <c r="P107" s="43" t="e">
        <f>ROUND(IF(Preenchimento!$G$39="Tabela Price",R107-Q107,(O106*(1+$AD$35))/($AD$28-C106)),$P$22)</f>
        <v>#VALUE!</v>
      </c>
      <c r="Q107" s="43" t="e">
        <f>IF(Preenchimento!$G$39="Tabela Price",O106*(1+$AD$35)*W107,O106*(1+'SAC Padrão_Sem Bonif'!$AD$35)*'SAC Padrão_Sem Bonif'!W107)</f>
        <v>#VALUE!</v>
      </c>
      <c r="R107" s="43" t="e">
        <f>IF(Preenchimento!$G$39="Tabela Price",IF(C107="","",((((((1+W107)^($Q$16-C106))*W107)/((1+W107)^($Q$16-C106)-1))*(O106*(1+$AD$35))))),Q107+P107)</f>
        <v>#VALUE!</v>
      </c>
      <c r="S107" s="43" t="e">
        <f t="shared" ca="1" si="20"/>
        <v>#VALUE!</v>
      </c>
      <c r="T107" s="43">
        <f t="shared" si="27"/>
        <v>0</v>
      </c>
      <c r="U107" s="226">
        <f>TRUNC(T107*Condições!$C$102,2)</f>
        <v>0</v>
      </c>
      <c r="V107" s="82">
        <f t="shared" ca="1" si="21"/>
        <v>4</v>
      </c>
      <c r="W107" s="231" t="str">
        <f t="shared" si="28"/>
        <v/>
      </c>
      <c r="X107" s="210"/>
      <c r="Y107" s="210"/>
      <c r="Z107" s="210"/>
      <c r="AI107" s="114">
        <f t="shared" si="29"/>
        <v>0</v>
      </c>
      <c r="AJ107" s="113"/>
      <c r="AL107" s="477">
        <f t="shared" ca="1" si="30"/>
        <v>0</v>
      </c>
    </row>
    <row r="108" spans="2:38" ht="12" customHeight="1">
      <c r="B108" s="222">
        <f ca="1">Fixa!B108</f>
        <v>48715</v>
      </c>
      <c r="C108" s="223" t="str">
        <f>Fixa!C108</f>
        <v/>
      </c>
      <c r="D108" s="43" t="e">
        <f t="shared" si="22"/>
        <v>#VALUE!</v>
      </c>
      <c r="E108" s="43" t="e">
        <f t="shared" si="22"/>
        <v>#VALUE!</v>
      </c>
      <c r="F108" s="43" t="e">
        <f t="shared" si="22"/>
        <v>#VALUE!</v>
      </c>
      <c r="G108" s="43" t="e">
        <f t="shared" si="17"/>
        <v>#VALUE!</v>
      </c>
      <c r="H108" s="43" t="e">
        <f t="shared" ca="1" si="18"/>
        <v>#VALUE!</v>
      </c>
      <c r="I108" s="43">
        <f t="shared" si="19"/>
        <v>0</v>
      </c>
      <c r="J108" s="229">
        <f t="shared" si="23"/>
        <v>25</v>
      </c>
      <c r="K108" s="43">
        <f t="shared" si="24"/>
        <v>0</v>
      </c>
      <c r="M108" s="224"/>
      <c r="N108" s="225">
        <f t="shared" si="25"/>
        <v>0</v>
      </c>
      <c r="O108" s="43" t="e">
        <f t="shared" si="26"/>
        <v>#VALUE!</v>
      </c>
      <c r="P108" s="43" t="e">
        <f>ROUND(IF(Preenchimento!$G$39="Tabela Price",R108-Q108,(O107*(1+$AD$35))/($AD$28-C107)),$P$22)</f>
        <v>#VALUE!</v>
      </c>
      <c r="Q108" s="43" t="e">
        <f>IF(Preenchimento!$G$39="Tabela Price",O107*(1+$AD$35)*W108,O107*(1+'SAC Padrão_Sem Bonif'!$AD$35)*'SAC Padrão_Sem Bonif'!W108)</f>
        <v>#VALUE!</v>
      </c>
      <c r="R108" s="43" t="e">
        <f>IF(Preenchimento!$G$39="Tabela Price",IF(C108="","",((((((1+W108)^($Q$16-C107))*W108)/((1+W108)^($Q$16-C107)-1))*(O107*(1+$AD$35))))),Q108+P108)</f>
        <v>#VALUE!</v>
      </c>
      <c r="S108" s="43" t="e">
        <f t="shared" ca="1" si="20"/>
        <v>#VALUE!</v>
      </c>
      <c r="T108" s="43">
        <f t="shared" si="27"/>
        <v>0</v>
      </c>
      <c r="U108" s="226">
        <f>TRUNC(T108*Condições!$C$102,2)</f>
        <v>0</v>
      </c>
      <c r="V108" s="82">
        <f t="shared" ca="1" si="21"/>
        <v>5</v>
      </c>
      <c r="W108" s="231" t="str">
        <f t="shared" si="28"/>
        <v/>
      </c>
      <c r="X108" s="210"/>
      <c r="Y108" s="210"/>
      <c r="Z108" s="210"/>
      <c r="AI108" s="114">
        <f t="shared" si="29"/>
        <v>0</v>
      </c>
      <c r="AJ108" s="113"/>
      <c r="AL108" s="477">
        <f t="shared" ca="1" si="30"/>
        <v>0</v>
      </c>
    </row>
    <row r="109" spans="2:38" ht="12" customHeight="1">
      <c r="B109" s="222">
        <f ca="1">Fixa!B109</f>
        <v>48746</v>
      </c>
      <c r="C109" s="223" t="str">
        <f>Fixa!C109</f>
        <v/>
      </c>
      <c r="D109" s="43" t="e">
        <f t="shared" si="22"/>
        <v>#VALUE!</v>
      </c>
      <c r="E109" s="43" t="e">
        <f t="shared" si="22"/>
        <v>#VALUE!</v>
      </c>
      <c r="F109" s="43" t="e">
        <f t="shared" si="22"/>
        <v>#VALUE!</v>
      </c>
      <c r="G109" s="43" t="e">
        <f t="shared" si="17"/>
        <v>#VALUE!</v>
      </c>
      <c r="H109" s="43" t="e">
        <f t="shared" ca="1" si="18"/>
        <v>#VALUE!</v>
      </c>
      <c r="I109" s="43">
        <f t="shared" si="19"/>
        <v>0</v>
      </c>
      <c r="J109" s="229">
        <f t="shared" si="23"/>
        <v>25</v>
      </c>
      <c r="K109" s="43">
        <f t="shared" si="24"/>
        <v>0</v>
      </c>
      <c r="M109" s="224"/>
      <c r="N109" s="225">
        <f t="shared" si="25"/>
        <v>0</v>
      </c>
      <c r="O109" s="43" t="e">
        <f t="shared" si="26"/>
        <v>#VALUE!</v>
      </c>
      <c r="P109" s="43" t="e">
        <f>ROUND(IF(Preenchimento!$G$39="Tabela Price",R109-Q109,(O108*(1+$AD$35))/($AD$28-C108)),$P$22)</f>
        <v>#VALUE!</v>
      </c>
      <c r="Q109" s="43" t="e">
        <f>IF(Preenchimento!$G$39="Tabela Price",O108*(1+$AD$35)*W109,O108*(1+'SAC Padrão_Sem Bonif'!$AD$35)*'SAC Padrão_Sem Bonif'!W109)</f>
        <v>#VALUE!</v>
      </c>
      <c r="R109" s="43" t="e">
        <f>IF(Preenchimento!$G$39="Tabela Price",IF(C109="","",((((((1+W109)^($Q$16-C108))*W109)/((1+W109)^($Q$16-C108)-1))*(O108*(1+$AD$35))))),Q109+P109)</f>
        <v>#VALUE!</v>
      </c>
      <c r="S109" s="43" t="e">
        <f t="shared" ca="1" si="20"/>
        <v>#VALUE!</v>
      </c>
      <c r="T109" s="43">
        <f t="shared" si="27"/>
        <v>0</v>
      </c>
      <c r="U109" s="226">
        <f>TRUNC(T109*Condições!$C$102,2)</f>
        <v>0</v>
      </c>
      <c r="V109" s="82">
        <f t="shared" ca="1" si="21"/>
        <v>6</v>
      </c>
      <c r="W109" s="231" t="str">
        <f t="shared" si="28"/>
        <v/>
      </c>
      <c r="X109" s="210"/>
      <c r="Y109" s="210"/>
      <c r="Z109" s="210"/>
      <c r="AI109" s="114">
        <f t="shared" si="29"/>
        <v>0</v>
      </c>
      <c r="AJ109" s="113"/>
      <c r="AL109" s="477">
        <f t="shared" ca="1" si="30"/>
        <v>0</v>
      </c>
    </row>
    <row r="110" spans="2:38" ht="12" customHeight="1">
      <c r="B110" s="222">
        <f ca="1">Fixa!B110</f>
        <v>48776</v>
      </c>
      <c r="C110" s="223" t="str">
        <f>Fixa!C110</f>
        <v/>
      </c>
      <c r="D110" s="43" t="e">
        <f t="shared" si="22"/>
        <v>#VALUE!</v>
      </c>
      <c r="E110" s="43" t="e">
        <f t="shared" si="22"/>
        <v>#VALUE!</v>
      </c>
      <c r="F110" s="43" t="e">
        <f t="shared" si="22"/>
        <v>#VALUE!</v>
      </c>
      <c r="G110" s="43" t="e">
        <f t="shared" si="17"/>
        <v>#VALUE!</v>
      </c>
      <c r="H110" s="43" t="e">
        <f t="shared" ca="1" si="18"/>
        <v>#VALUE!</v>
      </c>
      <c r="I110" s="43">
        <f t="shared" si="19"/>
        <v>0</v>
      </c>
      <c r="J110" s="229">
        <f t="shared" si="23"/>
        <v>25</v>
      </c>
      <c r="K110" s="43">
        <f t="shared" si="24"/>
        <v>0</v>
      </c>
      <c r="M110" s="224"/>
      <c r="N110" s="225">
        <f t="shared" si="25"/>
        <v>0</v>
      </c>
      <c r="O110" s="43" t="e">
        <f t="shared" si="26"/>
        <v>#VALUE!</v>
      </c>
      <c r="P110" s="43" t="e">
        <f>ROUND(IF(Preenchimento!$G$39="Tabela Price",R110-Q110,(O109*(1+$AD$35))/($AD$28-C109)),$P$22)</f>
        <v>#VALUE!</v>
      </c>
      <c r="Q110" s="43" t="e">
        <f>IF(Preenchimento!$G$39="Tabela Price",O109*(1+$AD$35)*W110,O109*(1+'SAC Padrão_Sem Bonif'!$AD$35)*'SAC Padrão_Sem Bonif'!W110)</f>
        <v>#VALUE!</v>
      </c>
      <c r="R110" s="43" t="e">
        <f>IF(Preenchimento!$G$39="Tabela Price",IF(C110="","",((((((1+W110)^($Q$16-C109))*W110)/((1+W110)^($Q$16-C109)-1))*(O109*(1+$AD$35))))),Q110+P110)</f>
        <v>#VALUE!</v>
      </c>
      <c r="S110" s="43" t="e">
        <f t="shared" ca="1" si="20"/>
        <v>#VALUE!</v>
      </c>
      <c r="T110" s="43">
        <f t="shared" si="27"/>
        <v>0</v>
      </c>
      <c r="U110" s="226">
        <f>TRUNC(T110*Condições!$C$102,2)</f>
        <v>0</v>
      </c>
      <c r="V110" s="82">
        <f t="shared" ca="1" si="21"/>
        <v>7</v>
      </c>
      <c r="W110" s="231" t="str">
        <f t="shared" si="28"/>
        <v/>
      </c>
      <c r="X110" s="210"/>
      <c r="Y110" s="210"/>
      <c r="Z110" s="210"/>
      <c r="AI110" s="114">
        <f t="shared" si="29"/>
        <v>0</v>
      </c>
      <c r="AJ110" s="113"/>
      <c r="AL110" s="477">
        <f t="shared" ca="1" si="30"/>
        <v>0</v>
      </c>
    </row>
    <row r="111" spans="2:38" ht="12" customHeight="1">
      <c r="B111" s="222">
        <f ca="1">Fixa!B111</f>
        <v>48807</v>
      </c>
      <c r="C111" s="223" t="str">
        <f>Fixa!C111</f>
        <v/>
      </c>
      <c r="D111" s="43" t="e">
        <f t="shared" si="22"/>
        <v>#VALUE!</v>
      </c>
      <c r="E111" s="43" t="e">
        <f t="shared" si="22"/>
        <v>#VALUE!</v>
      </c>
      <c r="F111" s="43" t="e">
        <f t="shared" si="22"/>
        <v>#VALUE!</v>
      </c>
      <c r="G111" s="43" t="e">
        <f t="shared" si="17"/>
        <v>#VALUE!</v>
      </c>
      <c r="H111" s="43" t="e">
        <f t="shared" ca="1" si="18"/>
        <v>#VALUE!</v>
      </c>
      <c r="I111" s="43">
        <f t="shared" si="19"/>
        <v>0</v>
      </c>
      <c r="J111" s="229">
        <f t="shared" si="23"/>
        <v>25</v>
      </c>
      <c r="K111" s="43">
        <f t="shared" si="24"/>
        <v>0</v>
      </c>
      <c r="M111" s="224"/>
      <c r="N111" s="225">
        <f t="shared" si="25"/>
        <v>0</v>
      </c>
      <c r="O111" s="43" t="e">
        <f t="shared" si="26"/>
        <v>#VALUE!</v>
      </c>
      <c r="P111" s="43" t="e">
        <f>ROUND(IF(Preenchimento!$G$39="Tabela Price",R111-Q111,(O110*(1+$AD$35))/($AD$28-C110)),$P$22)</f>
        <v>#VALUE!</v>
      </c>
      <c r="Q111" s="43" t="e">
        <f>IF(Preenchimento!$G$39="Tabela Price",O110*(1+$AD$35)*W111,O110*(1+'SAC Padrão_Sem Bonif'!$AD$35)*'SAC Padrão_Sem Bonif'!W111)</f>
        <v>#VALUE!</v>
      </c>
      <c r="R111" s="43" t="e">
        <f>IF(Preenchimento!$G$39="Tabela Price",IF(C111="","",((((((1+W111)^($Q$16-C110))*W111)/((1+W111)^($Q$16-C110)-1))*(O110*(1+$AD$35))))),Q111+P111)</f>
        <v>#VALUE!</v>
      </c>
      <c r="S111" s="43" t="e">
        <f t="shared" ca="1" si="20"/>
        <v>#VALUE!</v>
      </c>
      <c r="T111" s="43">
        <f t="shared" si="27"/>
        <v>0</v>
      </c>
      <c r="U111" s="226">
        <f>TRUNC(T111*Condições!$C$102,2)</f>
        <v>0</v>
      </c>
      <c r="V111" s="82">
        <f t="shared" ca="1" si="21"/>
        <v>8</v>
      </c>
      <c r="W111" s="231" t="str">
        <f t="shared" si="28"/>
        <v/>
      </c>
      <c r="X111" s="210"/>
      <c r="Y111" s="210"/>
      <c r="Z111" s="210"/>
      <c r="AI111" s="114">
        <f t="shared" si="29"/>
        <v>0</v>
      </c>
      <c r="AJ111" s="113"/>
      <c r="AL111" s="477">
        <f t="shared" ca="1" si="30"/>
        <v>0</v>
      </c>
    </row>
    <row r="112" spans="2:38" ht="12" customHeight="1">
      <c r="B112" s="222">
        <f ca="1">Fixa!B112</f>
        <v>48838</v>
      </c>
      <c r="C112" s="223" t="str">
        <f>Fixa!C112</f>
        <v/>
      </c>
      <c r="D112" s="43" t="e">
        <f t="shared" si="22"/>
        <v>#VALUE!</v>
      </c>
      <c r="E112" s="43" t="e">
        <f t="shared" si="22"/>
        <v>#VALUE!</v>
      </c>
      <c r="F112" s="43" t="e">
        <f t="shared" si="22"/>
        <v>#VALUE!</v>
      </c>
      <c r="G112" s="43" t="e">
        <f t="shared" si="17"/>
        <v>#VALUE!</v>
      </c>
      <c r="H112" s="43" t="e">
        <f t="shared" ca="1" si="18"/>
        <v>#VALUE!</v>
      </c>
      <c r="I112" s="43">
        <f t="shared" si="19"/>
        <v>0</v>
      </c>
      <c r="J112" s="229">
        <f t="shared" si="23"/>
        <v>25</v>
      </c>
      <c r="K112" s="43">
        <f t="shared" si="24"/>
        <v>0</v>
      </c>
      <c r="M112" s="224"/>
      <c r="N112" s="225">
        <f t="shared" si="25"/>
        <v>0</v>
      </c>
      <c r="O112" s="43" t="e">
        <f t="shared" si="26"/>
        <v>#VALUE!</v>
      </c>
      <c r="P112" s="43" t="e">
        <f>ROUND(IF(Preenchimento!$G$39="Tabela Price",R112-Q112,(O111*(1+$AD$35))/($AD$28-C111)),$P$22)</f>
        <v>#VALUE!</v>
      </c>
      <c r="Q112" s="43" t="e">
        <f>IF(Preenchimento!$G$39="Tabela Price",O111*(1+$AD$35)*W112,O111*(1+'SAC Padrão_Sem Bonif'!$AD$35)*'SAC Padrão_Sem Bonif'!W112)</f>
        <v>#VALUE!</v>
      </c>
      <c r="R112" s="43" t="e">
        <f>IF(Preenchimento!$G$39="Tabela Price",IF(C112="","",((((((1+W112)^($Q$16-C111))*W112)/((1+W112)^($Q$16-C111)-1))*(O111*(1+$AD$35))))),Q112+P112)</f>
        <v>#VALUE!</v>
      </c>
      <c r="S112" s="43" t="e">
        <f t="shared" ca="1" si="20"/>
        <v>#VALUE!</v>
      </c>
      <c r="T112" s="43">
        <f t="shared" si="27"/>
        <v>0</v>
      </c>
      <c r="U112" s="226">
        <f>TRUNC(T112*Condições!$C$102,2)</f>
        <v>0</v>
      </c>
      <c r="V112" s="82">
        <f t="shared" ca="1" si="21"/>
        <v>9</v>
      </c>
      <c r="W112" s="231" t="str">
        <f t="shared" si="28"/>
        <v/>
      </c>
      <c r="X112" s="210"/>
      <c r="Y112" s="210"/>
      <c r="Z112" s="210"/>
      <c r="AI112" s="114">
        <f t="shared" si="29"/>
        <v>0</v>
      </c>
      <c r="AJ112" s="113"/>
      <c r="AL112" s="477">
        <f t="shared" ca="1" si="30"/>
        <v>0</v>
      </c>
    </row>
    <row r="113" spans="2:38" ht="12" customHeight="1">
      <c r="B113" s="222">
        <f ca="1">Fixa!B113</f>
        <v>48868</v>
      </c>
      <c r="C113" s="223" t="str">
        <f>Fixa!C113</f>
        <v/>
      </c>
      <c r="D113" s="43" t="e">
        <f t="shared" si="22"/>
        <v>#VALUE!</v>
      </c>
      <c r="E113" s="43" t="e">
        <f t="shared" si="22"/>
        <v>#VALUE!</v>
      </c>
      <c r="F113" s="43" t="e">
        <f t="shared" si="22"/>
        <v>#VALUE!</v>
      </c>
      <c r="G113" s="43" t="e">
        <f t="shared" si="17"/>
        <v>#VALUE!</v>
      </c>
      <c r="H113" s="43" t="e">
        <f t="shared" ca="1" si="18"/>
        <v>#VALUE!</v>
      </c>
      <c r="I113" s="43">
        <f t="shared" si="19"/>
        <v>0</v>
      </c>
      <c r="J113" s="229">
        <f t="shared" si="23"/>
        <v>25</v>
      </c>
      <c r="K113" s="43">
        <f t="shared" si="24"/>
        <v>0</v>
      </c>
      <c r="M113" s="224"/>
      <c r="N113" s="225">
        <f t="shared" si="25"/>
        <v>0</v>
      </c>
      <c r="O113" s="43" t="e">
        <f t="shared" si="26"/>
        <v>#VALUE!</v>
      </c>
      <c r="P113" s="43" t="e">
        <f>ROUND(IF(Preenchimento!$G$39="Tabela Price",R113-Q113,(O112*(1+$AD$35))/($AD$28-C112)),$P$22)</f>
        <v>#VALUE!</v>
      </c>
      <c r="Q113" s="43" t="e">
        <f>IF(Preenchimento!$G$39="Tabela Price",O112*(1+$AD$35)*W113,O112*(1+'SAC Padrão_Sem Bonif'!$AD$35)*'SAC Padrão_Sem Bonif'!W113)</f>
        <v>#VALUE!</v>
      </c>
      <c r="R113" s="43" t="e">
        <f>IF(Preenchimento!$G$39="Tabela Price",IF(C113="","",((((((1+W113)^($Q$16-C112))*W113)/((1+W113)^($Q$16-C112)-1))*(O112*(1+$AD$35))))),Q113+P113)</f>
        <v>#VALUE!</v>
      </c>
      <c r="S113" s="43" t="e">
        <f t="shared" ca="1" si="20"/>
        <v>#VALUE!</v>
      </c>
      <c r="T113" s="43">
        <f t="shared" si="27"/>
        <v>0</v>
      </c>
      <c r="U113" s="226">
        <f>TRUNC(T113*Condições!$C$102,2)</f>
        <v>0</v>
      </c>
      <c r="V113" s="82">
        <f t="shared" ca="1" si="21"/>
        <v>10</v>
      </c>
      <c r="W113" s="231" t="str">
        <f t="shared" si="28"/>
        <v/>
      </c>
      <c r="X113" s="210"/>
      <c r="Y113" s="210"/>
      <c r="Z113" s="210"/>
      <c r="AI113" s="114">
        <f t="shared" si="29"/>
        <v>0</v>
      </c>
      <c r="AJ113" s="113"/>
      <c r="AL113" s="477">
        <f t="shared" ca="1" si="30"/>
        <v>0</v>
      </c>
    </row>
    <row r="114" spans="2:38" ht="12" customHeight="1">
      <c r="B114" s="222">
        <f ca="1">Fixa!B114</f>
        <v>48899</v>
      </c>
      <c r="C114" s="223" t="str">
        <f>Fixa!C114</f>
        <v/>
      </c>
      <c r="D114" s="43" t="e">
        <f t="shared" si="22"/>
        <v>#VALUE!</v>
      </c>
      <c r="E114" s="43" t="e">
        <f t="shared" si="22"/>
        <v>#VALUE!</v>
      </c>
      <c r="F114" s="43" t="e">
        <f t="shared" si="22"/>
        <v>#VALUE!</v>
      </c>
      <c r="G114" s="43" t="e">
        <f t="shared" si="17"/>
        <v>#VALUE!</v>
      </c>
      <c r="H114" s="43" t="e">
        <f t="shared" ca="1" si="18"/>
        <v>#VALUE!</v>
      </c>
      <c r="I114" s="43">
        <f t="shared" si="19"/>
        <v>0</v>
      </c>
      <c r="J114" s="229">
        <f t="shared" si="23"/>
        <v>25</v>
      </c>
      <c r="K114" s="43">
        <f t="shared" si="24"/>
        <v>0</v>
      </c>
      <c r="M114" s="224"/>
      <c r="N114" s="225">
        <f t="shared" si="25"/>
        <v>0</v>
      </c>
      <c r="O114" s="43" t="e">
        <f t="shared" si="26"/>
        <v>#VALUE!</v>
      </c>
      <c r="P114" s="43" t="e">
        <f>ROUND(IF(Preenchimento!$G$39="Tabela Price",R114-Q114,(O113*(1+$AD$35))/($AD$28-C113)),$P$22)</f>
        <v>#VALUE!</v>
      </c>
      <c r="Q114" s="43" t="e">
        <f>IF(Preenchimento!$G$39="Tabela Price",O113*(1+$AD$35)*W114,O113*(1+'SAC Padrão_Sem Bonif'!$AD$35)*'SAC Padrão_Sem Bonif'!W114)</f>
        <v>#VALUE!</v>
      </c>
      <c r="R114" s="43" t="e">
        <f>IF(Preenchimento!$G$39="Tabela Price",IF(C114="","",((((((1+W114)^($Q$16-C113))*W114)/((1+W114)^($Q$16-C113)-1))*(O113*(1+$AD$35))))),Q114+P114)</f>
        <v>#VALUE!</v>
      </c>
      <c r="S114" s="43" t="e">
        <f t="shared" ca="1" si="20"/>
        <v>#VALUE!</v>
      </c>
      <c r="T114" s="43">
        <f t="shared" si="27"/>
        <v>0</v>
      </c>
      <c r="U114" s="226">
        <f>TRUNC(T114*Condições!$C$102,2)</f>
        <v>0</v>
      </c>
      <c r="V114" s="82">
        <f t="shared" ca="1" si="21"/>
        <v>11</v>
      </c>
      <c r="W114" s="231" t="str">
        <f t="shared" si="28"/>
        <v/>
      </c>
      <c r="X114" s="210"/>
      <c r="Y114" s="210"/>
      <c r="Z114" s="210"/>
      <c r="AI114" s="114">
        <f t="shared" si="29"/>
        <v>0</v>
      </c>
      <c r="AJ114" s="113"/>
      <c r="AL114" s="477">
        <f t="shared" ca="1" si="30"/>
        <v>0</v>
      </c>
    </row>
    <row r="115" spans="2:38" ht="12" customHeight="1">
      <c r="B115" s="222">
        <f ca="1">Fixa!B115</f>
        <v>48929</v>
      </c>
      <c r="C115" s="223" t="str">
        <f>Fixa!C115</f>
        <v/>
      </c>
      <c r="D115" s="43" t="e">
        <f t="shared" si="22"/>
        <v>#VALUE!</v>
      </c>
      <c r="E115" s="43" t="e">
        <f t="shared" si="22"/>
        <v>#VALUE!</v>
      </c>
      <c r="F115" s="43" t="e">
        <f t="shared" si="22"/>
        <v>#VALUE!</v>
      </c>
      <c r="G115" s="43" t="e">
        <f t="shared" si="17"/>
        <v>#VALUE!</v>
      </c>
      <c r="H115" s="43" t="e">
        <f t="shared" ca="1" si="18"/>
        <v>#VALUE!</v>
      </c>
      <c r="I115" s="43">
        <f t="shared" si="19"/>
        <v>0</v>
      </c>
      <c r="J115" s="229">
        <f t="shared" si="23"/>
        <v>25</v>
      </c>
      <c r="K115" s="43">
        <f t="shared" si="24"/>
        <v>0</v>
      </c>
      <c r="M115" s="224"/>
      <c r="N115" s="225">
        <f t="shared" si="25"/>
        <v>0</v>
      </c>
      <c r="O115" s="43" t="e">
        <f t="shared" si="26"/>
        <v>#VALUE!</v>
      </c>
      <c r="P115" s="43" t="e">
        <f>ROUND(IF(Preenchimento!$G$39="Tabela Price",R115-Q115,(O114*(1+$AD$35))/($AD$28-C114)),$P$22)</f>
        <v>#VALUE!</v>
      </c>
      <c r="Q115" s="43" t="e">
        <f>IF(Preenchimento!$G$39="Tabela Price",O114*(1+$AD$35)*W115,O114*(1+'SAC Padrão_Sem Bonif'!$AD$35)*'SAC Padrão_Sem Bonif'!W115)</f>
        <v>#VALUE!</v>
      </c>
      <c r="R115" s="43" t="e">
        <f>IF(Preenchimento!$G$39="Tabela Price",IF(C115="","",((((((1+W115)^($Q$16-C114))*W115)/((1+W115)^($Q$16-C114)-1))*(O114*(1+$AD$35))))),Q115+P115)</f>
        <v>#VALUE!</v>
      </c>
      <c r="S115" s="43" t="e">
        <f t="shared" ca="1" si="20"/>
        <v>#VALUE!</v>
      </c>
      <c r="T115" s="43">
        <f t="shared" si="27"/>
        <v>0</v>
      </c>
      <c r="U115" s="226">
        <f>TRUNC(T115*Condições!$C$102,2)</f>
        <v>0</v>
      </c>
      <c r="V115" s="82">
        <f t="shared" ca="1" si="21"/>
        <v>12</v>
      </c>
      <c r="W115" s="231" t="str">
        <f t="shared" si="28"/>
        <v/>
      </c>
      <c r="X115" s="210"/>
      <c r="Y115" s="210"/>
      <c r="Z115" s="210"/>
      <c r="AI115" s="114">
        <f t="shared" si="29"/>
        <v>0</v>
      </c>
      <c r="AJ115" s="113"/>
      <c r="AL115" s="477">
        <f t="shared" ca="1" si="30"/>
        <v>0</v>
      </c>
    </row>
    <row r="116" spans="2:38" ht="12" customHeight="1">
      <c r="B116" s="222">
        <f ca="1">Fixa!B116</f>
        <v>48960</v>
      </c>
      <c r="C116" s="223" t="str">
        <f>Fixa!C116</f>
        <v/>
      </c>
      <c r="D116" s="43" t="e">
        <f t="shared" si="22"/>
        <v>#VALUE!</v>
      </c>
      <c r="E116" s="43" t="e">
        <f t="shared" si="22"/>
        <v>#VALUE!</v>
      </c>
      <c r="F116" s="43" t="e">
        <f t="shared" si="22"/>
        <v>#VALUE!</v>
      </c>
      <c r="G116" s="43" t="e">
        <f t="shared" si="17"/>
        <v>#VALUE!</v>
      </c>
      <c r="H116" s="43" t="e">
        <f t="shared" ca="1" si="18"/>
        <v>#VALUE!</v>
      </c>
      <c r="I116" s="43">
        <f t="shared" si="19"/>
        <v>0</v>
      </c>
      <c r="J116" s="229">
        <f t="shared" si="23"/>
        <v>25</v>
      </c>
      <c r="K116" s="43">
        <f t="shared" si="24"/>
        <v>0</v>
      </c>
      <c r="M116" s="224"/>
      <c r="N116" s="225">
        <f t="shared" si="25"/>
        <v>0</v>
      </c>
      <c r="O116" s="43" t="e">
        <f t="shared" si="26"/>
        <v>#VALUE!</v>
      </c>
      <c r="P116" s="43" t="e">
        <f>ROUND(IF(Preenchimento!$G$39="Tabela Price",R116-Q116,(O115*(1+$AD$35))/($AD$28-C115)),$P$22)</f>
        <v>#VALUE!</v>
      </c>
      <c r="Q116" s="43" t="e">
        <f>IF(Preenchimento!$G$39="Tabela Price",O115*(1+$AD$35)*W116,O115*(1+'SAC Padrão_Sem Bonif'!$AD$35)*'SAC Padrão_Sem Bonif'!W116)</f>
        <v>#VALUE!</v>
      </c>
      <c r="R116" s="43" t="e">
        <f>IF(Preenchimento!$G$39="Tabela Price",IF(C116="","",((((((1+W116)^($Q$16-C115))*W116)/((1+W116)^($Q$16-C115)-1))*(O115*(1+$AD$35))))),Q116+P116)</f>
        <v>#VALUE!</v>
      </c>
      <c r="S116" s="43" t="e">
        <f t="shared" ca="1" si="20"/>
        <v>#VALUE!</v>
      </c>
      <c r="T116" s="43">
        <f t="shared" si="27"/>
        <v>0</v>
      </c>
      <c r="U116" s="226">
        <f>TRUNC(T116*Condições!$C$102,2)</f>
        <v>0</v>
      </c>
      <c r="V116" s="82">
        <f t="shared" ca="1" si="21"/>
        <v>1</v>
      </c>
      <c r="W116" s="231" t="str">
        <f t="shared" si="28"/>
        <v/>
      </c>
      <c r="X116" s="210"/>
      <c r="Y116" s="210"/>
      <c r="Z116" s="210"/>
      <c r="AI116" s="114">
        <f t="shared" si="29"/>
        <v>0</v>
      </c>
      <c r="AJ116" s="113"/>
      <c r="AL116" s="477">
        <f t="shared" ca="1" si="30"/>
        <v>0</v>
      </c>
    </row>
    <row r="117" spans="2:38" ht="12" customHeight="1">
      <c r="B117" s="222">
        <f ca="1">Fixa!B117</f>
        <v>48991</v>
      </c>
      <c r="C117" s="223" t="str">
        <f>Fixa!C117</f>
        <v/>
      </c>
      <c r="D117" s="43" t="e">
        <f t="shared" si="22"/>
        <v>#VALUE!</v>
      </c>
      <c r="E117" s="43" t="e">
        <f t="shared" si="22"/>
        <v>#VALUE!</v>
      </c>
      <c r="F117" s="43" t="e">
        <f t="shared" si="22"/>
        <v>#VALUE!</v>
      </c>
      <c r="G117" s="43" t="e">
        <f t="shared" si="17"/>
        <v>#VALUE!</v>
      </c>
      <c r="H117" s="43" t="e">
        <f t="shared" ca="1" si="18"/>
        <v>#VALUE!</v>
      </c>
      <c r="I117" s="43">
        <f t="shared" si="19"/>
        <v>0</v>
      </c>
      <c r="J117" s="229">
        <f t="shared" si="23"/>
        <v>25</v>
      </c>
      <c r="K117" s="43">
        <f t="shared" si="24"/>
        <v>0</v>
      </c>
      <c r="M117" s="224"/>
      <c r="N117" s="225">
        <f t="shared" si="25"/>
        <v>0</v>
      </c>
      <c r="O117" s="43" t="e">
        <f t="shared" si="26"/>
        <v>#VALUE!</v>
      </c>
      <c r="P117" s="43" t="e">
        <f>ROUND(IF(Preenchimento!$G$39="Tabela Price",R117-Q117,(O116*(1+$AD$35))/($AD$28-C116)),$P$22)</f>
        <v>#VALUE!</v>
      </c>
      <c r="Q117" s="43" t="e">
        <f>IF(Preenchimento!$G$39="Tabela Price",O116*(1+$AD$35)*W117,O116*(1+'SAC Padrão_Sem Bonif'!$AD$35)*'SAC Padrão_Sem Bonif'!W117)</f>
        <v>#VALUE!</v>
      </c>
      <c r="R117" s="43" t="e">
        <f>IF(Preenchimento!$G$39="Tabela Price",IF(C117="","",((((((1+W117)^($Q$16-C116))*W117)/((1+W117)^($Q$16-C116)-1))*(O116*(1+$AD$35))))),Q117+P117)</f>
        <v>#VALUE!</v>
      </c>
      <c r="S117" s="43" t="e">
        <f t="shared" ca="1" si="20"/>
        <v>#VALUE!</v>
      </c>
      <c r="T117" s="43">
        <f t="shared" si="27"/>
        <v>0</v>
      </c>
      <c r="U117" s="226">
        <f>TRUNC(T117*Condições!$C$102,2)</f>
        <v>0</v>
      </c>
      <c r="V117" s="82">
        <f t="shared" ca="1" si="21"/>
        <v>2</v>
      </c>
      <c r="W117" s="231" t="str">
        <f t="shared" si="28"/>
        <v/>
      </c>
      <c r="X117" s="210"/>
      <c r="Y117" s="210"/>
      <c r="Z117" s="210"/>
      <c r="AI117" s="114">
        <f t="shared" si="29"/>
        <v>0</v>
      </c>
      <c r="AJ117" s="113"/>
      <c r="AL117" s="477">
        <f t="shared" ca="1" si="30"/>
        <v>0</v>
      </c>
    </row>
    <row r="118" spans="2:38" ht="12" customHeight="1">
      <c r="B118" s="222">
        <f ca="1">Fixa!B118</f>
        <v>49019</v>
      </c>
      <c r="C118" s="223" t="str">
        <f>Fixa!C118</f>
        <v/>
      </c>
      <c r="D118" s="43" t="e">
        <f t="shared" si="22"/>
        <v>#VALUE!</v>
      </c>
      <c r="E118" s="43" t="e">
        <f t="shared" si="22"/>
        <v>#VALUE!</v>
      </c>
      <c r="F118" s="43" t="e">
        <f t="shared" si="22"/>
        <v>#VALUE!</v>
      </c>
      <c r="G118" s="43" t="e">
        <f t="shared" si="17"/>
        <v>#VALUE!</v>
      </c>
      <c r="H118" s="43" t="e">
        <f t="shared" ca="1" si="18"/>
        <v>#VALUE!</v>
      </c>
      <c r="I118" s="43">
        <f t="shared" si="19"/>
        <v>0</v>
      </c>
      <c r="J118" s="229">
        <f t="shared" si="23"/>
        <v>25</v>
      </c>
      <c r="K118" s="43">
        <f t="shared" si="24"/>
        <v>0</v>
      </c>
      <c r="M118" s="224"/>
      <c r="N118" s="225">
        <f t="shared" si="25"/>
        <v>0</v>
      </c>
      <c r="O118" s="43" t="e">
        <f t="shared" si="26"/>
        <v>#VALUE!</v>
      </c>
      <c r="P118" s="43" t="e">
        <f>ROUND(IF(Preenchimento!$G$39="Tabela Price",R118-Q118,(O117*(1+$AD$35))/($AD$28-C117)),$P$22)</f>
        <v>#VALUE!</v>
      </c>
      <c r="Q118" s="43" t="e">
        <f>IF(Preenchimento!$G$39="Tabela Price",O117*(1+$AD$35)*W118,O117*(1+'SAC Padrão_Sem Bonif'!$AD$35)*'SAC Padrão_Sem Bonif'!W118)</f>
        <v>#VALUE!</v>
      </c>
      <c r="R118" s="43" t="e">
        <f>IF(Preenchimento!$G$39="Tabela Price",IF(C118="","",((((((1+W118)^($Q$16-C117))*W118)/((1+W118)^($Q$16-C117)-1))*(O117*(1+$AD$35))))),Q118+P118)</f>
        <v>#VALUE!</v>
      </c>
      <c r="S118" s="43" t="e">
        <f t="shared" ca="1" si="20"/>
        <v>#VALUE!</v>
      </c>
      <c r="T118" s="43">
        <f t="shared" si="27"/>
        <v>0</v>
      </c>
      <c r="U118" s="226">
        <f>TRUNC(T118*Condições!$C$102,2)</f>
        <v>0</v>
      </c>
      <c r="V118" s="82">
        <f t="shared" ca="1" si="21"/>
        <v>3</v>
      </c>
      <c r="W118" s="231" t="str">
        <f t="shared" si="28"/>
        <v/>
      </c>
      <c r="X118" s="210"/>
      <c r="Y118" s="210"/>
      <c r="Z118" s="210"/>
      <c r="AI118" s="114">
        <f t="shared" si="29"/>
        <v>0</v>
      </c>
      <c r="AJ118" s="113"/>
      <c r="AL118" s="477">
        <f t="shared" ca="1" si="30"/>
        <v>0</v>
      </c>
    </row>
    <row r="119" spans="2:38" ht="12" customHeight="1">
      <c r="B119" s="222">
        <f ca="1">Fixa!B119</f>
        <v>49050</v>
      </c>
      <c r="C119" s="223" t="str">
        <f>Fixa!C119</f>
        <v/>
      </c>
      <c r="D119" s="43" t="e">
        <f t="shared" si="22"/>
        <v>#VALUE!</v>
      </c>
      <c r="E119" s="43" t="e">
        <f t="shared" si="22"/>
        <v>#VALUE!</v>
      </c>
      <c r="F119" s="43" t="e">
        <f t="shared" si="22"/>
        <v>#VALUE!</v>
      </c>
      <c r="G119" s="43" t="e">
        <f t="shared" si="17"/>
        <v>#VALUE!</v>
      </c>
      <c r="H119" s="43" t="e">
        <f t="shared" ca="1" si="18"/>
        <v>#VALUE!</v>
      </c>
      <c r="I119" s="43">
        <f t="shared" si="19"/>
        <v>0</v>
      </c>
      <c r="J119" s="229">
        <f t="shared" si="23"/>
        <v>25</v>
      </c>
      <c r="K119" s="43">
        <f t="shared" si="24"/>
        <v>0</v>
      </c>
      <c r="M119" s="224"/>
      <c r="N119" s="225">
        <f t="shared" si="25"/>
        <v>0</v>
      </c>
      <c r="O119" s="43" t="e">
        <f t="shared" si="26"/>
        <v>#VALUE!</v>
      </c>
      <c r="P119" s="43" t="e">
        <f>ROUND(IF(Preenchimento!$G$39="Tabela Price",R119-Q119,(O118*(1+$AD$35))/($AD$28-C118)),$P$22)</f>
        <v>#VALUE!</v>
      </c>
      <c r="Q119" s="43" t="e">
        <f>IF(Preenchimento!$G$39="Tabela Price",O118*(1+$AD$35)*W119,O118*(1+'SAC Padrão_Sem Bonif'!$AD$35)*'SAC Padrão_Sem Bonif'!W119)</f>
        <v>#VALUE!</v>
      </c>
      <c r="R119" s="43" t="e">
        <f>IF(Preenchimento!$G$39="Tabela Price",IF(C119="","",((((((1+W119)^($Q$16-C118))*W119)/((1+W119)^($Q$16-C118)-1))*(O118*(1+$AD$35))))),Q119+P119)</f>
        <v>#VALUE!</v>
      </c>
      <c r="S119" s="43" t="e">
        <f t="shared" ca="1" si="20"/>
        <v>#VALUE!</v>
      </c>
      <c r="T119" s="43">
        <f t="shared" si="27"/>
        <v>0</v>
      </c>
      <c r="U119" s="226">
        <f>TRUNC(T119*Condições!$C$102,2)</f>
        <v>0</v>
      </c>
      <c r="V119" s="82">
        <f t="shared" ca="1" si="21"/>
        <v>4</v>
      </c>
      <c r="W119" s="231" t="str">
        <f t="shared" si="28"/>
        <v/>
      </c>
      <c r="X119" s="210"/>
      <c r="Y119" s="210"/>
      <c r="Z119" s="210"/>
      <c r="AI119" s="114">
        <f t="shared" si="29"/>
        <v>0</v>
      </c>
      <c r="AJ119" s="113"/>
      <c r="AL119" s="477">
        <f t="shared" ca="1" si="30"/>
        <v>0</v>
      </c>
    </row>
    <row r="120" spans="2:38" ht="12" customHeight="1">
      <c r="B120" s="222">
        <f ca="1">Fixa!B120</f>
        <v>49080</v>
      </c>
      <c r="C120" s="223" t="str">
        <f>Fixa!C120</f>
        <v/>
      </c>
      <c r="D120" s="43" t="e">
        <f t="shared" si="22"/>
        <v>#VALUE!</v>
      </c>
      <c r="E120" s="43" t="e">
        <f t="shared" si="22"/>
        <v>#VALUE!</v>
      </c>
      <c r="F120" s="43" t="e">
        <f t="shared" si="22"/>
        <v>#VALUE!</v>
      </c>
      <c r="G120" s="43" t="e">
        <f t="shared" si="17"/>
        <v>#VALUE!</v>
      </c>
      <c r="H120" s="43" t="e">
        <f t="shared" ca="1" si="18"/>
        <v>#VALUE!</v>
      </c>
      <c r="I120" s="43">
        <f t="shared" si="19"/>
        <v>0</v>
      </c>
      <c r="J120" s="229">
        <f t="shared" si="23"/>
        <v>25</v>
      </c>
      <c r="K120" s="43">
        <f t="shared" si="24"/>
        <v>0</v>
      </c>
      <c r="M120" s="224"/>
      <c r="N120" s="225">
        <f t="shared" si="25"/>
        <v>0</v>
      </c>
      <c r="O120" s="43" t="e">
        <f t="shared" si="26"/>
        <v>#VALUE!</v>
      </c>
      <c r="P120" s="43" t="e">
        <f>ROUND(IF(Preenchimento!$G$39="Tabela Price",R120-Q120,(O119*(1+$AD$35))/($AD$28-C119)),$P$22)</f>
        <v>#VALUE!</v>
      </c>
      <c r="Q120" s="43" t="e">
        <f>IF(Preenchimento!$G$39="Tabela Price",O119*(1+$AD$35)*W120,O119*(1+'SAC Padrão_Sem Bonif'!$AD$35)*'SAC Padrão_Sem Bonif'!W120)</f>
        <v>#VALUE!</v>
      </c>
      <c r="R120" s="43" t="e">
        <f>IF(Preenchimento!$G$39="Tabela Price",IF(C120="","",((((((1+W120)^($Q$16-C119))*W120)/((1+W120)^($Q$16-C119)-1))*(O119*(1+$AD$35))))),Q120+P120)</f>
        <v>#VALUE!</v>
      </c>
      <c r="S120" s="43" t="e">
        <f t="shared" ca="1" si="20"/>
        <v>#VALUE!</v>
      </c>
      <c r="T120" s="43">
        <f t="shared" si="27"/>
        <v>0</v>
      </c>
      <c r="U120" s="226">
        <f>TRUNC(T120*Condições!$C$102,2)</f>
        <v>0</v>
      </c>
      <c r="V120" s="82">
        <f t="shared" ca="1" si="21"/>
        <v>5</v>
      </c>
      <c r="W120" s="231" t="str">
        <f t="shared" si="28"/>
        <v/>
      </c>
      <c r="X120" s="210"/>
      <c r="Y120" s="210"/>
      <c r="Z120" s="210"/>
      <c r="AI120" s="114">
        <f t="shared" si="29"/>
        <v>0</v>
      </c>
      <c r="AJ120" s="113"/>
      <c r="AL120" s="477">
        <f t="shared" ca="1" si="30"/>
        <v>0</v>
      </c>
    </row>
    <row r="121" spans="2:38" ht="12" customHeight="1">
      <c r="B121" s="222">
        <f ca="1">Fixa!B121</f>
        <v>49111</v>
      </c>
      <c r="C121" s="223" t="str">
        <f>Fixa!C121</f>
        <v/>
      </c>
      <c r="D121" s="43" t="e">
        <f t="shared" si="22"/>
        <v>#VALUE!</v>
      </c>
      <c r="E121" s="43" t="e">
        <f t="shared" si="22"/>
        <v>#VALUE!</v>
      </c>
      <c r="F121" s="43" t="e">
        <f t="shared" si="22"/>
        <v>#VALUE!</v>
      </c>
      <c r="G121" s="43" t="e">
        <f t="shared" si="17"/>
        <v>#VALUE!</v>
      </c>
      <c r="H121" s="43" t="e">
        <f t="shared" ca="1" si="18"/>
        <v>#VALUE!</v>
      </c>
      <c r="I121" s="43">
        <f t="shared" si="19"/>
        <v>0</v>
      </c>
      <c r="J121" s="229">
        <f t="shared" si="23"/>
        <v>25</v>
      </c>
      <c r="K121" s="43">
        <f t="shared" si="24"/>
        <v>0</v>
      </c>
      <c r="M121" s="224"/>
      <c r="N121" s="225">
        <f t="shared" si="25"/>
        <v>0</v>
      </c>
      <c r="O121" s="43" t="e">
        <f t="shared" si="26"/>
        <v>#VALUE!</v>
      </c>
      <c r="P121" s="43" t="e">
        <f>ROUND(IF(Preenchimento!$G$39="Tabela Price",R121-Q121,(O120*(1+$AD$35))/($AD$28-C120)),$P$22)</f>
        <v>#VALUE!</v>
      </c>
      <c r="Q121" s="43" t="e">
        <f>IF(Preenchimento!$G$39="Tabela Price",O120*(1+$AD$35)*W121,O120*(1+'SAC Padrão_Sem Bonif'!$AD$35)*'SAC Padrão_Sem Bonif'!W121)</f>
        <v>#VALUE!</v>
      </c>
      <c r="R121" s="43" t="e">
        <f>IF(Preenchimento!$G$39="Tabela Price",IF(C121="","",((((((1+W121)^($Q$16-C120))*W121)/((1+W121)^($Q$16-C120)-1))*(O120*(1+$AD$35))))),Q121+P121)</f>
        <v>#VALUE!</v>
      </c>
      <c r="S121" s="43" t="e">
        <f t="shared" ca="1" si="20"/>
        <v>#VALUE!</v>
      </c>
      <c r="T121" s="43">
        <f t="shared" si="27"/>
        <v>0</v>
      </c>
      <c r="U121" s="226">
        <f>TRUNC(T121*Condições!$C$102,2)</f>
        <v>0</v>
      </c>
      <c r="V121" s="82">
        <f t="shared" ca="1" si="21"/>
        <v>6</v>
      </c>
      <c r="W121" s="231" t="str">
        <f t="shared" si="28"/>
        <v/>
      </c>
      <c r="X121" s="210"/>
      <c r="Y121" s="210"/>
      <c r="Z121" s="210"/>
      <c r="AI121" s="114">
        <f t="shared" si="29"/>
        <v>0</v>
      </c>
      <c r="AJ121" s="113"/>
      <c r="AL121" s="477">
        <f t="shared" ca="1" si="30"/>
        <v>0</v>
      </c>
    </row>
    <row r="122" spans="2:38" ht="12" customHeight="1">
      <c r="B122" s="222">
        <f ca="1">Fixa!B122</f>
        <v>49141</v>
      </c>
      <c r="C122" s="223" t="str">
        <f>Fixa!C122</f>
        <v/>
      </c>
      <c r="D122" s="43" t="e">
        <f t="shared" si="22"/>
        <v>#VALUE!</v>
      </c>
      <c r="E122" s="43" t="e">
        <f t="shared" si="22"/>
        <v>#VALUE!</v>
      </c>
      <c r="F122" s="43" t="e">
        <f t="shared" si="22"/>
        <v>#VALUE!</v>
      </c>
      <c r="G122" s="43" t="e">
        <f t="shared" si="17"/>
        <v>#VALUE!</v>
      </c>
      <c r="H122" s="43" t="e">
        <f t="shared" ca="1" si="18"/>
        <v>#VALUE!</v>
      </c>
      <c r="I122" s="43">
        <f t="shared" si="19"/>
        <v>0</v>
      </c>
      <c r="J122" s="229">
        <f t="shared" si="23"/>
        <v>25</v>
      </c>
      <c r="K122" s="43">
        <f t="shared" si="24"/>
        <v>0</v>
      </c>
      <c r="M122" s="224"/>
      <c r="N122" s="225">
        <f t="shared" si="25"/>
        <v>0</v>
      </c>
      <c r="O122" s="43" t="e">
        <f t="shared" si="26"/>
        <v>#VALUE!</v>
      </c>
      <c r="P122" s="43" t="e">
        <f>ROUND(IF(Preenchimento!$G$39="Tabela Price",R122-Q122,(O121*(1+$AD$35))/($AD$28-C121)),$P$22)</f>
        <v>#VALUE!</v>
      </c>
      <c r="Q122" s="43" t="e">
        <f>IF(Preenchimento!$G$39="Tabela Price",O121*(1+$AD$35)*W122,O121*(1+'SAC Padrão_Sem Bonif'!$AD$35)*'SAC Padrão_Sem Bonif'!W122)</f>
        <v>#VALUE!</v>
      </c>
      <c r="R122" s="43" t="e">
        <f>IF(Preenchimento!$G$39="Tabela Price",IF(C122="","",((((((1+W122)^($Q$16-C121))*W122)/((1+W122)^($Q$16-C121)-1))*(O121*(1+$AD$35))))),Q122+P122)</f>
        <v>#VALUE!</v>
      </c>
      <c r="S122" s="43" t="e">
        <f t="shared" ca="1" si="20"/>
        <v>#VALUE!</v>
      </c>
      <c r="T122" s="43">
        <f t="shared" si="27"/>
        <v>0</v>
      </c>
      <c r="U122" s="226">
        <f>TRUNC(T122*Condições!$C$102,2)</f>
        <v>0</v>
      </c>
      <c r="V122" s="82">
        <f t="shared" ca="1" si="21"/>
        <v>7</v>
      </c>
      <c r="W122" s="231" t="str">
        <f t="shared" si="28"/>
        <v/>
      </c>
      <c r="X122" s="210"/>
      <c r="Y122" s="210"/>
      <c r="Z122" s="210"/>
      <c r="AI122" s="114">
        <f t="shared" si="29"/>
        <v>0</v>
      </c>
      <c r="AJ122" s="113"/>
      <c r="AL122" s="477">
        <f t="shared" ca="1" si="30"/>
        <v>0</v>
      </c>
    </row>
    <row r="123" spans="2:38" ht="12" customHeight="1">
      <c r="B123" s="222">
        <f ca="1">Fixa!B123</f>
        <v>49172</v>
      </c>
      <c r="C123" s="223" t="str">
        <f>Fixa!C123</f>
        <v/>
      </c>
      <c r="D123" s="43" t="e">
        <f t="shared" si="22"/>
        <v>#VALUE!</v>
      </c>
      <c r="E123" s="43" t="e">
        <f t="shared" si="22"/>
        <v>#VALUE!</v>
      </c>
      <c r="F123" s="43" t="e">
        <f t="shared" si="22"/>
        <v>#VALUE!</v>
      </c>
      <c r="G123" s="43" t="e">
        <f t="shared" si="17"/>
        <v>#VALUE!</v>
      </c>
      <c r="H123" s="43" t="e">
        <f t="shared" ca="1" si="18"/>
        <v>#VALUE!</v>
      </c>
      <c r="I123" s="43">
        <f t="shared" si="19"/>
        <v>0</v>
      </c>
      <c r="J123" s="229">
        <f t="shared" si="23"/>
        <v>25</v>
      </c>
      <c r="K123" s="43">
        <f t="shared" si="24"/>
        <v>0</v>
      </c>
      <c r="M123" s="224"/>
      <c r="N123" s="225">
        <f t="shared" si="25"/>
        <v>0</v>
      </c>
      <c r="O123" s="43" t="e">
        <f t="shared" si="26"/>
        <v>#VALUE!</v>
      </c>
      <c r="P123" s="43" t="e">
        <f>ROUND(IF(Preenchimento!$G$39="Tabela Price",R123-Q123,(O122*(1+$AD$35))/($AD$28-C122)),$P$22)</f>
        <v>#VALUE!</v>
      </c>
      <c r="Q123" s="43" t="e">
        <f>IF(Preenchimento!$G$39="Tabela Price",O122*(1+$AD$35)*W123,O122*(1+'SAC Padrão_Sem Bonif'!$AD$35)*'SAC Padrão_Sem Bonif'!W123)</f>
        <v>#VALUE!</v>
      </c>
      <c r="R123" s="43" t="e">
        <f>IF(Preenchimento!$G$39="Tabela Price",IF(C123="","",((((((1+W123)^($Q$16-C122))*W123)/((1+W123)^($Q$16-C122)-1))*(O122*(1+$AD$35))))),Q123+P123)</f>
        <v>#VALUE!</v>
      </c>
      <c r="S123" s="43" t="e">
        <f t="shared" ca="1" si="20"/>
        <v>#VALUE!</v>
      </c>
      <c r="T123" s="43">
        <f t="shared" si="27"/>
        <v>0</v>
      </c>
      <c r="U123" s="226">
        <f>TRUNC(T123*Condições!$C$102,2)</f>
        <v>0</v>
      </c>
      <c r="V123" s="82">
        <f t="shared" ca="1" si="21"/>
        <v>8</v>
      </c>
      <c r="W123" s="231" t="str">
        <f t="shared" si="28"/>
        <v/>
      </c>
      <c r="X123" s="210"/>
      <c r="Y123" s="210"/>
      <c r="Z123" s="210"/>
      <c r="AI123" s="114">
        <f t="shared" si="29"/>
        <v>0</v>
      </c>
      <c r="AJ123" s="113"/>
      <c r="AL123" s="477">
        <f t="shared" ca="1" si="30"/>
        <v>0</v>
      </c>
    </row>
    <row r="124" spans="2:38" ht="12" customHeight="1">
      <c r="B124" s="222">
        <f ca="1">Fixa!B124</f>
        <v>49203</v>
      </c>
      <c r="C124" s="223" t="str">
        <f>Fixa!C124</f>
        <v/>
      </c>
      <c r="D124" s="43" t="e">
        <f t="shared" si="22"/>
        <v>#VALUE!</v>
      </c>
      <c r="E124" s="43" t="e">
        <f t="shared" si="22"/>
        <v>#VALUE!</v>
      </c>
      <c r="F124" s="43" t="e">
        <f t="shared" si="22"/>
        <v>#VALUE!</v>
      </c>
      <c r="G124" s="43" t="e">
        <f t="shared" si="17"/>
        <v>#VALUE!</v>
      </c>
      <c r="H124" s="43" t="e">
        <f t="shared" ca="1" si="18"/>
        <v>#VALUE!</v>
      </c>
      <c r="I124" s="43">
        <f t="shared" si="19"/>
        <v>0</v>
      </c>
      <c r="J124" s="229">
        <f t="shared" si="23"/>
        <v>25</v>
      </c>
      <c r="K124" s="43">
        <f t="shared" si="24"/>
        <v>0</v>
      </c>
      <c r="M124" s="224"/>
      <c r="N124" s="225">
        <f t="shared" si="25"/>
        <v>0</v>
      </c>
      <c r="O124" s="43" t="e">
        <f t="shared" si="26"/>
        <v>#VALUE!</v>
      </c>
      <c r="P124" s="43" t="e">
        <f>ROUND(IF(Preenchimento!$G$39="Tabela Price",R124-Q124,(O123*(1+$AD$35))/($AD$28-C123)),$P$22)</f>
        <v>#VALUE!</v>
      </c>
      <c r="Q124" s="43" t="e">
        <f>IF(Preenchimento!$G$39="Tabela Price",O123*(1+$AD$35)*W124,O123*(1+'SAC Padrão_Sem Bonif'!$AD$35)*'SAC Padrão_Sem Bonif'!W124)</f>
        <v>#VALUE!</v>
      </c>
      <c r="R124" s="43" t="e">
        <f>IF(Preenchimento!$G$39="Tabela Price",IF(C124="","",((((((1+W124)^($Q$16-C123))*W124)/((1+W124)^($Q$16-C123)-1))*(O123*(1+$AD$35))))),Q124+P124)</f>
        <v>#VALUE!</v>
      </c>
      <c r="S124" s="43" t="e">
        <f t="shared" ca="1" si="20"/>
        <v>#VALUE!</v>
      </c>
      <c r="T124" s="43">
        <f t="shared" si="27"/>
        <v>0</v>
      </c>
      <c r="U124" s="226">
        <f>TRUNC(T124*Condições!$C$102,2)</f>
        <v>0</v>
      </c>
      <c r="V124" s="82">
        <f t="shared" ca="1" si="21"/>
        <v>9</v>
      </c>
      <c r="W124" s="231" t="str">
        <f t="shared" si="28"/>
        <v/>
      </c>
      <c r="X124" s="210"/>
      <c r="Y124" s="210"/>
      <c r="Z124" s="210"/>
      <c r="AI124" s="114">
        <f t="shared" si="29"/>
        <v>0</v>
      </c>
      <c r="AJ124" s="113"/>
      <c r="AL124" s="477">
        <f t="shared" ca="1" si="30"/>
        <v>0</v>
      </c>
    </row>
    <row r="125" spans="2:38" ht="12" customHeight="1">
      <c r="B125" s="222">
        <f ca="1">Fixa!B125</f>
        <v>49233</v>
      </c>
      <c r="C125" s="223" t="str">
        <f>Fixa!C125</f>
        <v/>
      </c>
      <c r="D125" s="43" t="e">
        <f t="shared" si="22"/>
        <v>#VALUE!</v>
      </c>
      <c r="E125" s="43" t="e">
        <f t="shared" si="22"/>
        <v>#VALUE!</v>
      </c>
      <c r="F125" s="43" t="e">
        <f t="shared" si="22"/>
        <v>#VALUE!</v>
      </c>
      <c r="G125" s="43" t="e">
        <f t="shared" si="17"/>
        <v>#VALUE!</v>
      </c>
      <c r="H125" s="43" t="e">
        <f t="shared" ca="1" si="18"/>
        <v>#VALUE!</v>
      </c>
      <c r="I125" s="43">
        <f t="shared" si="19"/>
        <v>0</v>
      </c>
      <c r="J125" s="229">
        <f t="shared" si="23"/>
        <v>25</v>
      </c>
      <c r="K125" s="43">
        <f t="shared" si="24"/>
        <v>0</v>
      </c>
      <c r="M125" s="224"/>
      <c r="N125" s="225">
        <f t="shared" si="25"/>
        <v>0</v>
      </c>
      <c r="O125" s="43" t="e">
        <f t="shared" si="26"/>
        <v>#VALUE!</v>
      </c>
      <c r="P125" s="43" t="e">
        <f>ROUND(IF(Preenchimento!$G$39="Tabela Price",R125-Q125,(O124*(1+$AD$35))/($AD$28-C124)),$P$22)</f>
        <v>#VALUE!</v>
      </c>
      <c r="Q125" s="43" t="e">
        <f>IF(Preenchimento!$G$39="Tabela Price",O124*(1+$AD$35)*W125,O124*(1+'SAC Padrão_Sem Bonif'!$AD$35)*'SAC Padrão_Sem Bonif'!W125)</f>
        <v>#VALUE!</v>
      </c>
      <c r="R125" s="43" t="e">
        <f>IF(Preenchimento!$G$39="Tabela Price",IF(C125="","",((((((1+W125)^($Q$16-C124))*W125)/((1+W125)^($Q$16-C124)-1))*(O124*(1+$AD$35))))),Q125+P125)</f>
        <v>#VALUE!</v>
      </c>
      <c r="S125" s="43" t="e">
        <f t="shared" ca="1" si="20"/>
        <v>#VALUE!</v>
      </c>
      <c r="T125" s="43">
        <f t="shared" si="27"/>
        <v>0</v>
      </c>
      <c r="U125" s="226">
        <f>TRUNC(T125*Condições!$C$102,2)</f>
        <v>0</v>
      </c>
      <c r="V125" s="82">
        <f t="shared" ca="1" si="21"/>
        <v>10</v>
      </c>
      <c r="W125" s="231" t="str">
        <f t="shared" si="28"/>
        <v/>
      </c>
      <c r="X125" s="210"/>
      <c r="Y125" s="210"/>
      <c r="Z125" s="210"/>
      <c r="AI125" s="114">
        <f t="shared" si="29"/>
        <v>0</v>
      </c>
      <c r="AJ125" s="113"/>
      <c r="AL125" s="477">
        <f t="shared" ca="1" si="30"/>
        <v>0</v>
      </c>
    </row>
    <row r="126" spans="2:38" ht="12" customHeight="1">
      <c r="B126" s="222">
        <f ca="1">Fixa!B126</f>
        <v>49264</v>
      </c>
      <c r="C126" s="223" t="str">
        <f>Fixa!C126</f>
        <v/>
      </c>
      <c r="D126" s="43" t="e">
        <f t="shared" si="22"/>
        <v>#VALUE!</v>
      </c>
      <c r="E126" s="43" t="e">
        <f t="shared" si="22"/>
        <v>#VALUE!</v>
      </c>
      <c r="F126" s="43" t="e">
        <f t="shared" si="22"/>
        <v>#VALUE!</v>
      </c>
      <c r="G126" s="43" t="e">
        <f t="shared" si="17"/>
        <v>#VALUE!</v>
      </c>
      <c r="H126" s="43" t="e">
        <f t="shared" ca="1" si="18"/>
        <v>#VALUE!</v>
      </c>
      <c r="I126" s="43">
        <f t="shared" si="19"/>
        <v>0</v>
      </c>
      <c r="J126" s="229">
        <f t="shared" si="23"/>
        <v>25</v>
      </c>
      <c r="K126" s="43">
        <f t="shared" si="24"/>
        <v>0</v>
      </c>
      <c r="M126" s="224"/>
      <c r="N126" s="225">
        <f t="shared" si="25"/>
        <v>0</v>
      </c>
      <c r="O126" s="43" t="e">
        <f t="shared" si="26"/>
        <v>#VALUE!</v>
      </c>
      <c r="P126" s="43" t="e">
        <f>ROUND(IF(Preenchimento!$G$39="Tabela Price",R126-Q126,(O125*(1+$AD$35))/($AD$28-C125)),$P$22)</f>
        <v>#VALUE!</v>
      </c>
      <c r="Q126" s="43" t="e">
        <f>IF(Preenchimento!$G$39="Tabela Price",O125*(1+$AD$35)*W126,O125*(1+'SAC Padrão_Sem Bonif'!$AD$35)*'SAC Padrão_Sem Bonif'!W126)</f>
        <v>#VALUE!</v>
      </c>
      <c r="R126" s="43" t="e">
        <f>IF(Preenchimento!$G$39="Tabela Price",IF(C126="","",((((((1+W126)^($Q$16-C125))*W126)/((1+W126)^($Q$16-C125)-1))*(O125*(1+$AD$35))))),Q126+P126)</f>
        <v>#VALUE!</v>
      </c>
      <c r="S126" s="43" t="e">
        <f t="shared" ca="1" si="20"/>
        <v>#VALUE!</v>
      </c>
      <c r="T126" s="43">
        <f t="shared" si="27"/>
        <v>0</v>
      </c>
      <c r="U126" s="226">
        <f>TRUNC(T126*Condições!$C$102,2)</f>
        <v>0</v>
      </c>
      <c r="V126" s="82">
        <f t="shared" ca="1" si="21"/>
        <v>11</v>
      </c>
      <c r="W126" s="231" t="str">
        <f t="shared" si="28"/>
        <v/>
      </c>
      <c r="X126" s="210"/>
      <c r="Y126" s="210"/>
      <c r="Z126" s="210"/>
      <c r="AI126" s="114">
        <f t="shared" si="29"/>
        <v>0</v>
      </c>
      <c r="AJ126" s="113"/>
      <c r="AL126" s="477">
        <f t="shared" ca="1" si="30"/>
        <v>0</v>
      </c>
    </row>
    <row r="127" spans="2:38" ht="12" customHeight="1">
      <c r="B127" s="222">
        <f ca="1">Fixa!B127</f>
        <v>49294</v>
      </c>
      <c r="C127" s="223" t="str">
        <f>Fixa!C127</f>
        <v/>
      </c>
      <c r="D127" s="43" t="e">
        <f t="shared" si="22"/>
        <v>#VALUE!</v>
      </c>
      <c r="E127" s="43" t="e">
        <f t="shared" si="22"/>
        <v>#VALUE!</v>
      </c>
      <c r="F127" s="43" t="e">
        <f t="shared" si="22"/>
        <v>#VALUE!</v>
      </c>
      <c r="G127" s="43" t="e">
        <f t="shared" si="17"/>
        <v>#VALUE!</v>
      </c>
      <c r="H127" s="43" t="e">
        <f t="shared" ca="1" si="18"/>
        <v>#VALUE!</v>
      </c>
      <c r="I127" s="43">
        <f t="shared" si="19"/>
        <v>0</v>
      </c>
      <c r="J127" s="229">
        <f t="shared" si="23"/>
        <v>25</v>
      </c>
      <c r="K127" s="43">
        <f t="shared" si="24"/>
        <v>0</v>
      </c>
      <c r="M127" s="224"/>
      <c r="N127" s="225">
        <f t="shared" si="25"/>
        <v>0</v>
      </c>
      <c r="O127" s="43" t="e">
        <f t="shared" si="26"/>
        <v>#VALUE!</v>
      </c>
      <c r="P127" s="43" t="e">
        <f>ROUND(IF(Preenchimento!$G$39="Tabela Price",R127-Q127,(O126*(1+$AD$35))/($AD$28-C126)),$P$22)</f>
        <v>#VALUE!</v>
      </c>
      <c r="Q127" s="43" t="e">
        <f>IF(Preenchimento!$G$39="Tabela Price",O126*(1+$AD$35)*W127,O126*(1+'SAC Padrão_Sem Bonif'!$AD$35)*'SAC Padrão_Sem Bonif'!W127)</f>
        <v>#VALUE!</v>
      </c>
      <c r="R127" s="43" t="e">
        <f>IF(Preenchimento!$G$39="Tabela Price",IF(C127="","",((((((1+W127)^($Q$16-C126))*W127)/((1+W127)^($Q$16-C126)-1))*(O126*(1+$AD$35))))),Q127+P127)</f>
        <v>#VALUE!</v>
      </c>
      <c r="S127" s="43" t="e">
        <f t="shared" ca="1" si="20"/>
        <v>#VALUE!</v>
      </c>
      <c r="T127" s="43">
        <f t="shared" si="27"/>
        <v>0</v>
      </c>
      <c r="U127" s="226">
        <f>TRUNC(T127*Condições!$C$102,2)</f>
        <v>0</v>
      </c>
      <c r="V127" s="82">
        <f t="shared" ca="1" si="21"/>
        <v>12</v>
      </c>
      <c r="W127" s="231" t="str">
        <f t="shared" si="28"/>
        <v/>
      </c>
      <c r="X127" s="210"/>
      <c r="Y127" s="210"/>
      <c r="Z127" s="210"/>
      <c r="AI127" s="114">
        <f t="shared" si="29"/>
        <v>0</v>
      </c>
      <c r="AJ127" s="113"/>
      <c r="AL127" s="477">
        <f t="shared" ca="1" si="30"/>
        <v>0</v>
      </c>
    </row>
    <row r="128" spans="2:38" ht="12" customHeight="1">
      <c r="B128" s="222">
        <f ca="1">Fixa!B128</f>
        <v>49325</v>
      </c>
      <c r="C128" s="223" t="str">
        <f>Fixa!C128</f>
        <v/>
      </c>
      <c r="D128" s="43" t="e">
        <f t="shared" si="22"/>
        <v>#VALUE!</v>
      </c>
      <c r="E128" s="43" t="e">
        <f t="shared" si="22"/>
        <v>#VALUE!</v>
      </c>
      <c r="F128" s="43" t="e">
        <f t="shared" si="22"/>
        <v>#VALUE!</v>
      </c>
      <c r="G128" s="43" t="e">
        <f t="shared" si="17"/>
        <v>#VALUE!</v>
      </c>
      <c r="H128" s="43" t="e">
        <f t="shared" ca="1" si="18"/>
        <v>#VALUE!</v>
      </c>
      <c r="I128" s="43">
        <f t="shared" si="19"/>
        <v>0</v>
      </c>
      <c r="J128" s="229">
        <f t="shared" si="23"/>
        <v>25</v>
      </c>
      <c r="K128" s="43">
        <f t="shared" si="24"/>
        <v>0</v>
      </c>
      <c r="M128" s="224"/>
      <c r="N128" s="225">
        <f t="shared" si="25"/>
        <v>0</v>
      </c>
      <c r="O128" s="43" t="e">
        <f t="shared" si="26"/>
        <v>#VALUE!</v>
      </c>
      <c r="P128" s="43" t="e">
        <f>ROUND(IF(Preenchimento!$G$39="Tabela Price",R128-Q128,(O127*(1+$AD$35))/($AD$28-C127)),$P$22)</f>
        <v>#VALUE!</v>
      </c>
      <c r="Q128" s="43" t="e">
        <f>IF(Preenchimento!$G$39="Tabela Price",O127*(1+$AD$35)*W128,O127*(1+'SAC Padrão_Sem Bonif'!$AD$35)*'SAC Padrão_Sem Bonif'!W128)</f>
        <v>#VALUE!</v>
      </c>
      <c r="R128" s="43" t="e">
        <f>IF(Preenchimento!$G$39="Tabela Price",IF(C128="","",((((((1+W128)^($Q$16-C127))*W128)/((1+W128)^($Q$16-C127)-1))*(O127*(1+$AD$35))))),Q128+P128)</f>
        <v>#VALUE!</v>
      </c>
      <c r="S128" s="43" t="e">
        <f t="shared" ca="1" si="20"/>
        <v>#VALUE!</v>
      </c>
      <c r="T128" s="43">
        <f t="shared" si="27"/>
        <v>0</v>
      </c>
      <c r="U128" s="226">
        <f>TRUNC(T128*Condições!$C$102,2)</f>
        <v>0</v>
      </c>
      <c r="V128" s="82">
        <f t="shared" ca="1" si="21"/>
        <v>1</v>
      </c>
      <c r="W128" s="231" t="str">
        <f t="shared" si="28"/>
        <v/>
      </c>
      <c r="X128" s="210"/>
      <c r="Y128" s="210"/>
      <c r="Z128" s="210"/>
      <c r="AI128" s="114">
        <f t="shared" si="29"/>
        <v>0</v>
      </c>
      <c r="AJ128" s="113"/>
      <c r="AL128" s="477">
        <f t="shared" ca="1" si="30"/>
        <v>0</v>
      </c>
    </row>
    <row r="129" spans="2:38" ht="12" customHeight="1">
      <c r="B129" s="222">
        <f ca="1">Fixa!B129</f>
        <v>49356</v>
      </c>
      <c r="C129" s="223" t="str">
        <f>Fixa!C129</f>
        <v/>
      </c>
      <c r="D129" s="43" t="e">
        <f t="shared" si="22"/>
        <v>#VALUE!</v>
      </c>
      <c r="E129" s="43" t="e">
        <f t="shared" si="22"/>
        <v>#VALUE!</v>
      </c>
      <c r="F129" s="43" t="e">
        <f t="shared" si="22"/>
        <v>#VALUE!</v>
      </c>
      <c r="G129" s="43" t="e">
        <f t="shared" si="17"/>
        <v>#VALUE!</v>
      </c>
      <c r="H129" s="43" t="e">
        <f t="shared" ca="1" si="18"/>
        <v>#VALUE!</v>
      </c>
      <c r="I129" s="43">
        <f t="shared" si="19"/>
        <v>0</v>
      </c>
      <c r="J129" s="229">
        <f t="shared" si="23"/>
        <v>25</v>
      </c>
      <c r="K129" s="43">
        <f t="shared" si="24"/>
        <v>0</v>
      </c>
      <c r="M129" s="224"/>
      <c r="N129" s="225">
        <f t="shared" si="25"/>
        <v>0</v>
      </c>
      <c r="O129" s="43" t="e">
        <f t="shared" si="26"/>
        <v>#VALUE!</v>
      </c>
      <c r="P129" s="43" t="e">
        <f>ROUND(IF(Preenchimento!$G$39="Tabela Price",R129-Q129,(O128*(1+$AD$35))/($AD$28-C128)),$P$22)</f>
        <v>#VALUE!</v>
      </c>
      <c r="Q129" s="43" t="e">
        <f>IF(Preenchimento!$G$39="Tabela Price",O128*(1+$AD$35)*W129,O128*(1+'SAC Padrão_Sem Bonif'!$AD$35)*'SAC Padrão_Sem Bonif'!W129)</f>
        <v>#VALUE!</v>
      </c>
      <c r="R129" s="43" t="e">
        <f>IF(Preenchimento!$G$39="Tabela Price",IF(C129="","",((((((1+W129)^($Q$16-C128))*W129)/((1+W129)^($Q$16-C128)-1))*(O128*(1+$AD$35))))),Q129+P129)</f>
        <v>#VALUE!</v>
      </c>
      <c r="S129" s="43" t="e">
        <f t="shared" ca="1" si="20"/>
        <v>#VALUE!</v>
      </c>
      <c r="T129" s="43">
        <f t="shared" si="27"/>
        <v>0</v>
      </c>
      <c r="U129" s="226">
        <f>TRUNC(T129*Condições!$C$102,2)</f>
        <v>0</v>
      </c>
      <c r="V129" s="82">
        <f t="shared" ca="1" si="21"/>
        <v>2</v>
      </c>
      <c r="W129" s="231" t="str">
        <f t="shared" si="28"/>
        <v/>
      </c>
      <c r="X129" s="210"/>
      <c r="Y129" s="210"/>
      <c r="Z129" s="210"/>
      <c r="AI129" s="114">
        <f t="shared" si="29"/>
        <v>0</v>
      </c>
      <c r="AJ129" s="113"/>
      <c r="AL129" s="477">
        <f t="shared" ca="1" si="30"/>
        <v>0</v>
      </c>
    </row>
    <row r="130" spans="2:38" ht="12" customHeight="1">
      <c r="B130" s="222">
        <f ca="1">Fixa!B130</f>
        <v>49384</v>
      </c>
      <c r="C130" s="223" t="str">
        <f>Fixa!C130</f>
        <v/>
      </c>
      <c r="D130" s="43" t="e">
        <f t="shared" si="22"/>
        <v>#VALUE!</v>
      </c>
      <c r="E130" s="43" t="e">
        <f t="shared" si="22"/>
        <v>#VALUE!</v>
      </c>
      <c r="F130" s="43" t="e">
        <f t="shared" si="22"/>
        <v>#VALUE!</v>
      </c>
      <c r="G130" s="43" t="e">
        <f t="shared" si="17"/>
        <v>#VALUE!</v>
      </c>
      <c r="H130" s="43" t="e">
        <f t="shared" ca="1" si="18"/>
        <v>#VALUE!</v>
      </c>
      <c r="I130" s="43">
        <f t="shared" si="19"/>
        <v>0</v>
      </c>
      <c r="J130" s="229">
        <f t="shared" si="23"/>
        <v>25</v>
      </c>
      <c r="K130" s="43">
        <f t="shared" si="24"/>
        <v>0</v>
      </c>
      <c r="M130" s="224"/>
      <c r="N130" s="225">
        <f t="shared" si="25"/>
        <v>0</v>
      </c>
      <c r="O130" s="43" t="e">
        <f t="shared" si="26"/>
        <v>#VALUE!</v>
      </c>
      <c r="P130" s="43" t="e">
        <f>ROUND(IF(Preenchimento!$G$39="Tabela Price",R130-Q130,(O129*(1+$AD$35))/($AD$28-C129)),$P$22)</f>
        <v>#VALUE!</v>
      </c>
      <c r="Q130" s="43" t="e">
        <f>IF(Preenchimento!$G$39="Tabela Price",O129*(1+$AD$35)*W130,O129*(1+'SAC Padrão_Sem Bonif'!$AD$35)*'SAC Padrão_Sem Bonif'!W130)</f>
        <v>#VALUE!</v>
      </c>
      <c r="R130" s="43" t="e">
        <f>IF(Preenchimento!$G$39="Tabela Price",IF(C130="","",((((((1+W130)^($Q$16-C129))*W130)/((1+W130)^($Q$16-C129)-1))*(O129*(1+$AD$35))))),Q130+P130)</f>
        <v>#VALUE!</v>
      </c>
      <c r="S130" s="43" t="e">
        <f t="shared" ca="1" si="20"/>
        <v>#VALUE!</v>
      </c>
      <c r="T130" s="43">
        <f t="shared" si="27"/>
        <v>0</v>
      </c>
      <c r="U130" s="226">
        <f>TRUNC(T130*Condições!$C$102,2)</f>
        <v>0</v>
      </c>
      <c r="V130" s="82">
        <f t="shared" ca="1" si="21"/>
        <v>3</v>
      </c>
      <c r="W130" s="231" t="str">
        <f t="shared" si="28"/>
        <v/>
      </c>
      <c r="X130" s="210"/>
      <c r="Y130" s="210"/>
      <c r="Z130" s="210"/>
      <c r="AI130" s="114">
        <f t="shared" si="29"/>
        <v>0</v>
      </c>
      <c r="AJ130" s="113"/>
      <c r="AL130" s="477">
        <f t="shared" ca="1" si="30"/>
        <v>0</v>
      </c>
    </row>
    <row r="131" spans="2:38" ht="12" customHeight="1">
      <c r="B131" s="222">
        <f ca="1">Fixa!B131</f>
        <v>49415</v>
      </c>
      <c r="C131" s="223" t="str">
        <f>Fixa!C131</f>
        <v/>
      </c>
      <c r="D131" s="43" t="e">
        <f t="shared" si="22"/>
        <v>#VALUE!</v>
      </c>
      <c r="E131" s="43" t="e">
        <f t="shared" si="22"/>
        <v>#VALUE!</v>
      </c>
      <c r="F131" s="43" t="e">
        <f t="shared" si="22"/>
        <v>#VALUE!</v>
      </c>
      <c r="G131" s="43" t="e">
        <f t="shared" si="17"/>
        <v>#VALUE!</v>
      </c>
      <c r="H131" s="43" t="e">
        <f t="shared" ca="1" si="18"/>
        <v>#VALUE!</v>
      </c>
      <c r="I131" s="43">
        <f t="shared" si="19"/>
        <v>0</v>
      </c>
      <c r="J131" s="229">
        <f t="shared" si="23"/>
        <v>25</v>
      </c>
      <c r="K131" s="43">
        <f t="shared" si="24"/>
        <v>0</v>
      </c>
      <c r="M131" s="224"/>
      <c r="N131" s="225">
        <f t="shared" si="25"/>
        <v>0</v>
      </c>
      <c r="O131" s="43" t="e">
        <f t="shared" si="26"/>
        <v>#VALUE!</v>
      </c>
      <c r="P131" s="43" t="e">
        <f>ROUND(IF(Preenchimento!$G$39="Tabela Price",R131-Q131,(O130*(1+$AD$35))/($AD$28-C130)),$P$22)</f>
        <v>#VALUE!</v>
      </c>
      <c r="Q131" s="43" t="e">
        <f>IF(Preenchimento!$G$39="Tabela Price",O130*(1+$AD$35)*W131,O130*(1+'SAC Padrão_Sem Bonif'!$AD$35)*'SAC Padrão_Sem Bonif'!W131)</f>
        <v>#VALUE!</v>
      </c>
      <c r="R131" s="43" t="e">
        <f>IF(Preenchimento!$G$39="Tabela Price",IF(C131="","",((((((1+W131)^($Q$16-C130))*W131)/((1+W131)^($Q$16-C130)-1))*(O130*(1+$AD$35))))),Q131+P131)</f>
        <v>#VALUE!</v>
      </c>
      <c r="S131" s="43" t="e">
        <f t="shared" ca="1" si="20"/>
        <v>#VALUE!</v>
      </c>
      <c r="T131" s="43">
        <f t="shared" si="27"/>
        <v>0</v>
      </c>
      <c r="U131" s="226">
        <f>TRUNC(T131*Condições!$C$102,2)</f>
        <v>0</v>
      </c>
      <c r="V131" s="82">
        <f t="shared" ca="1" si="21"/>
        <v>4</v>
      </c>
      <c r="W131" s="231" t="str">
        <f t="shared" si="28"/>
        <v/>
      </c>
      <c r="X131" s="210"/>
      <c r="Y131" s="210"/>
      <c r="Z131" s="210"/>
      <c r="AI131" s="114">
        <f t="shared" si="29"/>
        <v>0</v>
      </c>
      <c r="AJ131" s="113"/>
      <c r="AL131" s="477">
        <f t="shared" ca="1" si="30"/>
        <v>0</v>
      </c>
    </row>
    <row r="132" spans="2:38" ht="12" customHeight="1">
      <c r="B132" s="222">
        <f ca="1">Fixa!B132</f>
        <v>49445</v>
      </c>
      <c r="C132" s="223" t="str">
        <f>Fixa!C132</f>
        <v/>
      </c>
      <c r="D132" s="43" t="e">
        <f t="shared" si="22"/>
        <v>#VALUE!</v>
      </c>
      <c r="E132" s="43" t="e">
        <f t="shared" si="22"/>
        <v>#VALUE!</v>
      </c>
      <c r="F132" s="43" t="e">
        <f t="shared" si="22"/>
        <v>#VALUE!</v>
      </c>
      <c r="G132" s="43" t="e">
        <f t="shared" si="17"/>
        <v>#VALUE!</v>
      </c>
      <c r="H132" s="43" t="e">
        <f t="shared" ca="1" si="18"/>
        <v>#VALUE!</v>
      </c>
      <c r="I132" s="43">
        <f t="shared" si="19"/>
        <v>0</v>
      </c>
      <c r="J132" s="229">
        <f t="shared" si="23"/>
        <v>25</v>
      </c>
      <c r="K132" s="43">
        <f t="shared" si="24"/>
        <v>0</v>
      </c>
      <c r="M132" s="224"/>
      <c r="N132" s="225">
        <f t="shared" si="25"/>
        <v>0</v>
      </c>
      <c r="O132" s="43" t="e">
        <f t="shared" si="26"/>
        <v>#VALUE!</v>
      </c>
      <c r="P132" s="43" t="e">
        <f>ROUND(IF(Preenchimento!$G$39="Tabela Price",R132-Q132,(O131*(1+$AD$35))/($AD$28-C131)),$P$22)</f>
        <v>#VALUE!</v>
      </c>
      <c r="Q132" s="43" t="e">
        <f>IF(Preenchimento!$G$39="Tabela Price",O131*(1+$AD$35)*W132,O131*(1+'SAC Padrão_Sem Bonif'!$AD$35)*'SAC Padrão_Sem Bonif'!W132)</f>
        <v>#VALUE!</v>
      </c>
      <c r="R132" s="43" t="e">
        <f>IF(Preenchimento!$G$39="Tabela Price",IF(C132="","",((((((1+W132)^($Q$16-C131))*W132)/((1+W132)^($Q$16-C131)-1))*(O131*(1+$AD$35))))),Q132+P132)</f>
        <v>#VALUE!</v>
      </c>
      <c r="S132" s="43" t="e">
        <f t="shared" ca="1" si="20"/>
        <v>#VALUE!</v>
      </c>
      <c r="T132" s="43">
        <f t="shared" si="27"/>
        <v>0</v>
      </c>
      <c r="U132" s="226">
        <f>TRUNC(T132*Condições!$C$102,2)</f>
        <v>0</v>
      </c>
      <c r="V132" s="82">
        <f t="shared" ca="1" si="21"/>
        <v>5</v>
      </c>
      <c r="W132" s="231" t="str">
        <f t="shared" si="28"/>
        <v/>
      </c>
      <c r="X132" s="210"/>
      <c r="Y132" s="210"/>
      <c r="Z132" s="210"/>
      <c r="AI132" s="114">
        <f t="shared" si="29"/>
        <v>0</v>
      </c>
      <c r="AJ132" s="113"/>
      <c r="AL132" s="477">
        <f t="shared" ca="1" si="30"/>
        <v>0</v>
      </c>
    </row>
    <row r="133" spans="2:38" ht="12" customHeight="1">
      <c r="B133" s="222">
        <f ca="1">Fixa!B133</f>
        <v>49476</v>
      </c>
      <c r="C133" s="223" t="str">
        <f>Fixa!C133</f>
        <v/>
      </c>
      <c r="D133" s="43" t="e">
        <f t="shared" si="22"/>
        <v>#VALUE!</v>
      </c>
      <c r="E133" s="43" t="e">
        <f t="shared" si="22"/>
        <v>#VALUE!</v>
      </c>
      <c r="F133" s="43" t="e">
        <f t="shared" si="22"/>
        <v>#VALUE!</v>
      </c>
      <c r="G133" s="43" t="e">
        <f t="shared" si="17"/>
        <v>#VALUE!</v>
      </c>
      <c r="H133" s="43" t="e">
        <f t="shared" ca="1" si="18"/>
        <v>#VALUE!</v>
      </c>
      <c r="I133" s="43">
        <f t="shared" si="19"/>
        <v>0</v>
      </c>
      <c r="J133" s="229">
        <f t="shared" si="23"/>
        <v>25</v>
      </c>
      <c r="K133" s="43">
        <f t="shared" si="24"/>
        <v>0</v>
      </c>
      <c r="M133" s="224"/>
      <c r="N133" s="225">
        <f t="shared" si="25"/>
        <v>0</v>
      </c>
      <c r="O133" s="43" t="e">
        <f t="shared" si="26"/>
        <v>#VALUE!</v>
      </c>
      <c r="P133" s="43" t="e">
        <f>ROUND(IF(Preenchimento!$G$39="Tabela Price",R133-Q133,(O132*(1+$AD$35))/($AD$28-C132)),$P$22)</f>
        <v>#VALUE!</v>
      </c>
      <c r="Q133" s="43" t="e">
        <f>IF(Preenchimento!$G$39="Tabela Price",O132*(1+$AD$35)*W133,O132*(1+'SAC Padrão_Sem Bonif'!$AD$35)*'SAC Padrão_Sem Bonif'!W133)</f>
        <v>#VALUE!</v>
      </c>
      <c r="R133" s="43" t="e">
        <f>IF(Preenchimento!$G$39="Tabela Price",IF(C133="","",((((((1+W133)^($Q$16-C132))*W133)/((1+W133)^($Q$16-C132)-1))*(O132*(1+$AD$35))))),Q133+P133)</f>
        <v>#VALUE!</v>
      </c>
      <c r="S133" s="43" t="e">
        <f t="shared" ca="1" si="20"/>
        <v>#VALUE!</v>
      </c>
      <c r="T133" s="43">
        <f t="shared" si="27"/>
        <v>0</v>
      </c>
      <c r="U133" s="226">
        <f>TRUNC(T133*Condições!$C$102,2)</f>
        <v>0</v>
      </c>
      <c r="V133" s="82">
        <f t="shared" ca="1" si="21"/>
        <v>6</v>
      </c>
      <c r="W133" s="231" t="str">
        <f t="shared" si="28"/>
        <v/>
      </c>
      <c r="X133" s="210"/>
      <c r="Y133" s="210"/>
      <c r="Z133" s="210"/>
      <c r="AI133" s="114">
        <f t="shared" si="29"/>
        <v>0</v>
      </c>
      <c r="AJ133" s="113"/>
      <c r="AL133" s="477">
        <f t="shared" ca="1" si="30"/>
        <v>0</v>
      </c>
    </row>
    <row r="134" spans="2:38" ht="12" customHeight="1">
      <c r="B134" s="222">
        <f ca="1">Fixa!B134</f>
        <v>49506</v>
      </c>
      <c r="C134" s="223" t="str">
        <f>Fixa!C134</f>
        <v/>
      </c>
      <c r="D134" s="43" t="e">
        <f t="shared" si="22"/>
        <v>#VALUE!</v>
      </c>
      <c r="E134" s="43" t="e">
        <f t="shared" si="22"/>
        <v>#VALUE!</v>
      </c>
      <c r="F134" s="43" t="e">
        <f t="shared" si="22"/>
        <v>#VALUE!</v>
      </c>
      <c r="G134" s="43" t="e">
        <f t="shared" si="17"/>
        <v>#VALUE!</v>
      </c>
      <c r="H134" s="43" t="e">
        <f t="shared" ca="1" si="18"/>
        <v>#VALUE!</v>
      </c>
      <c r="I134" s="43">
        <f t="shared" si="19"/>
        <v>0</v>
      </c>
      <c r="J134" s="229">
        <f t="shared" si="23"/>
        <v>25</v>
      </c>
      <c r="K134" s="43">
        <f t="shared" si="24"/>
        <v>0</v>
      </c>
      <c r="M134" s="224"/>
      <c r="N134" s="225">
        <f t="shared" si="25"/>
        <v>0</v>
      </c>
      <c r="O134" s="43" t="e">
        <f t="shared" si="26"/>
        <v>#VALUE!</v>
      </c>
      <c r="P134" s="43" t="e">
        <f>ROUND(IF(Preenchimento!$G$39="Tabela Price",R134-Q134,(O133*(1+$AD$35))/($AD$28-C133)),$P$22)</f>
        <v>#VALUE!</v>
      </c>
      <c r="Q134" s="43" t="e">
        <f>IF(Preenchimento!$G$39="Tabela Price",O133*(1+$AD$35)*W134,O133*(1+'SAC Padrão_Sem Bonif'!$AD$35)*'SAC Padrão_Sem Bonif'!W134)</f>
        <v>#VALUE!</v>
      </c>
      <c r="R134" s="43" t="e">
        <f>IF(Preenchimento!$G$39="Tabela Price",IF(C134="","",((((((1+W134)^($Q$16-C133))*W134)/((1+W134)^($Q$16-C133)-1))*(O133*(1+$AD$35))))),Q134+P134)</f>
        <v>#VALUE!</v>
      </c>
      <c r="S134" s="43" t="e">
        <f t="shared" ca="1" si="20"/>
        <v>#VALUE!</v>
      </c>
      <c r="T134" s="43">
        <f t="shared" si="27"/>
        <v>0</v>
      </c>
      <c r="U134" s="226">
        <f>TRUNC(T134*Condições!$C$102,2)</f>
        <v>0</v>
      </c>
      <c r="V134" s="82">
        <f t="shared" ca="1" si="21"/>
        <v>7</v>
      </c>
      <c r="W134" s="231" t="str">
        <f t="shared" si="28"/>
        <v/>
      </c>
      <c r="X134" s="210"/>
      <c r="Y134" s="210"/>
      <c r="Z134" s="210"/>
      <c r="AI134" s="114">
        <f t="shared" si="29"/>
        <v>0</v>
      </c>
      <c r="AJ134" s="113"/>
      <c r="AL134" s="477">
        <f t="shared" ca="1" si="30"/>
        <v>0</v>
      </c>
    </row>
    <row r="135" spans="2:38" ht="12" customHeight="1">
      <c r="B135" s="222">
        <f ca="1">Fixa!B135</f>
        <v>49537</v>
      </c>
      <c r="C135" s="223" t="str">
        <f>Fixa!C135</f>
        <v/>
      </c>
      <c r="D135" s="43" t="e">
        <f t="shared" si="22"/>
        <v>#VALUE!</v>
      </c>
      <c r="E135" s="43" t="e">
        <f t="shared" si="22"/>
        <v>#VALUE!</v>
      </c>
      <c r="F135" s="43" t="e">
        <f t="shared" si="22"/>
        <v>#VALUE!</v>
      </c>
      <c r="G135" s="43" t="e">
        <f t="shared" si="17"/>
        <v>#VALUE!</v>
      </c>
      <c r="H135" s="43" t="e">
        <f t="shared" ca="1" si="18"/>
        <v>#VALUE!</v>
      </c>
      <c r="I135" s="43">
        <f t="shared" si="19"/>
        <v>0</v>
      </c>
      <c r="J135" s="229">
        <f t="shared" si="23"/>
        <v>25</v>
      </c>
      <c r="K135" s="43">
        <f t="shared" si="24"/>
        <v>0</v>
      </c>
      <c r="M135" s="224"/>
      <c r="N135" s="225">
        <f t="shared" si="25"/>
        <v>0</v>
      </c>
      <c r="O135" s="43" t="e">
        <f t="shared" si="26"/>
        <v>#VALUE!</v>
      </c>
      <c r="P135" s="43" t="e">
        <f>ROUND(IF(Preenchimento!$G$39="Tabela Price",R135-Q135,(O134*(1+$AD$35))/($AD$28-C134)),$P$22)</f>
        <v>#VALUE!</v>
      </c>
      <c r="Q135" s="43" t="e">
        <f>IF(Preenchimento!$G$39="Tabela Price",O134*(1+$AD$35)*W135,O134*(1+'SAC Padrão_Sem Bonif'!$AD$35)*'SAC Padrão_Sem Bonif'!W135)</f>
        <v>#VALUE!</v>
      </c>
      <c r="R135" s="43" t="e">
        <f>IF(Preenchimento!$G$39="Tabela Price",IF(C135="","",((((((1+W135)^($Q$16-C134))*W135)/((1+W135)^($Q$16-C134)-1))*(O134*(1+$AD$35))))),Q135+P135)</f>
        <v>#VALUE!</v>
      </c>
      <c r="S135" s="43" t="e">
        <f t="shared" ca="1" si="20"/>
        <v>#VALUE!</v>
      </c>
      <c r="T135" s="43">
        <f t="shared" si="27"/>
        <v>0</v>
      </c>
      <c r="U135" s="226">
        <f>TRUNC(T135*Condições!$C$102,2)</f>
        <v>0</v>
      </c>
      <c r="V135" s="82">
        <f t="shared" ca="1" si="21"/>
        <v>8</v>
      </c>
      <c r="W135" s="231" t="str">
        <f t="shared" si="28"/>
        <v/>
      </c>
      <c r="X135" s="210"/>
      <c r="Y135" s="210"/>
      <c r="Z135" s="210"/>
      <c r="AI135" s="114">
        <f t="shared" si="29"/>
        <v>0</v>
      </c>
      <c r="AJ135" s="113"/>
      <c r="AL135" s="477">
        <f t="shared" ca="1" si="30"/>
        <v>0</v>
      </c>
    </row>
    <row r="136" spans="2:38" ht="12" customHeight="1">
      <c r="B136" s="222">
        <f ca="1">Fixa!B136</f>
        <v>49568</v>
      </c>
      <c r="C136" s="223" t="str">
        <f>Fixa!C136</f>
        <v/>
      </c>
      <c r="D136" s="43" t="e">
        <f t="shared" si="22"/>
        <v>#VALUE!</v>
      </c>
      <c r="E136" s="43" t="e">
        <f t="shared" si="22"/>
        <v>#VALUE!</v>
      </c>
      <c r="F136" s="43" t="e">
        <f t="shared" si="22"/>
        <v>#VALUE!</v>
      </c>
      <c r="G136" s="43" t="e">
        <f t="shared" si="17"/>
        <v>#VALUE!</v>
      </c>
      <c r="H136" s="43" t="e">
        <f t="shared" ca="1" si="18"/>
        <v>#VALUE!</v>
      </c>
      <c r="I136" s="43">
        <f t="shared" si="19"/>
        <v>0</v>
      </c>
      <c r="J136" s="229">
        <f t="shared" si="23"/>
        <v>25</v>
      </c>
      <c r="K136" s="43">
        <f t="shared" si="24"/>
        <v>0</v>
      </c>
      <c r="M136" s="224"/>
      <c r="N136" s="225">
        <f t="shared" si="25"/>
        <v>0</v>
      </c>
      <c r="O136" s="43" t="e">
        <f t="shared" si="26"/>
        <v>#VALUE!</v>
      </c>
      <c r="P136" s="43" t="e">
        <f>ROUND(IF(Preenchimento!$G$39="Tabela Price",R136-Q136,(O135*(1+$AD$35))/($AD$28-C135)),$P$22)</f>
        <v>#VALUE!</v>
      </c>
      <c r="Q136" s="43" t="e">
        <f>IF(Preenchimento!$G$39="Tabela Price",O135*(1+$AD$35)*W136,O135*(1+'SAC Padrão_Sem Bonif'!$AD$35)*'SAC Padrão_Sem Bonif'!W136)</f>
        <v>#VALUE!</v>
      </c>
      <c r="R136" s="43" t="e">
        <f>IF(Preenchimento!$G$39="Tabela Price",IF(C136="","",((((((1+W136)^($Q$16-C135))*W136)/((1+W136)^($Q$16-C135)-1))*(O135*(1+$AD$35))))),Q136+P136)</f>
        <v>#VALUE!</v>
      </c>
      <c r="S136" s="43" t="e">
        <f t="shared" ca="1" si="20"/>
        <v>#VALUE!</v>
      </c>
      <c r="T136" s="43">
        <f t="shared" si="27"/>
        <v>0</v>
      </c>
      <c r="U136" s="226">
        <f>TRUNC(T136*Condições!$C$102,2)</f>
        <v>0</v>
      </c>
      <c r="V136" s="82">
        <f t="shared" ca="1" si="21"/>
        <v>9</v>
      </c>
      <c r="W136" s="231" t="str">
        <f t="shared" si="28"/>
        <v/>
      </c>
      <c r="X136" s="210"/>
      <c r="Y136" s="210"/>
      <c r="Z136" s="210"/>
      <c r="AI136" s="114">
        <f t="shared" si="29"/>
        <v>0</v>
      </c>
      <c r="AJ136" s="113"/>
      <c r="AL136" s="477">
        <f t="shared" ca="1" si="30"/>
        <v>0</v>
      </c>
    </row>
    <row r="137" spans="2:38" ht="12" customHeight="1">
      <c r="B137" s="222">
        <f ca="1">Fixa!B137</f>
        <v>49598</v>
      </c>
      <c r="C137" s="223" t="str">
        <f>Fixa!C137</f>
        <v/>
      </c>
      <c r="D137" s="43" t="e">
        <f t="shared" si="22"/>
        <v>#VALUE!</v>
      </c>
      <c r="E137" s="43" t="e">
        <f t="shared" si="22"/>
        <v>#VALUE!</v>
      </c>
      <c r="F137" s="43" t="e">
        <f t="shared" si="22"/>
        <v>#VALUE!</v>
      </c>
      <c r="G137" s="43" t="e">
        <f t="shared" si="17"/>
        <v>#VALUE!</v>
      </c>
      <c r="H137" s="43" t="e">
        <f t="shared" ca="1" si="18"/>
        <v>#VALUE!</v>
      </c>
      <c r="I137" s="43">
        <f t="shared" si="19"/>
        <v>0</v>
      </c>
      <c r="J137" s="229">
        <f t="shared" si="23"/>
        <v>25</v>
      </c>
      <c r="K137" s="43">
        <f t="shared" si="24"/>
        <v>0</v>
      </c>
      <c r="M137" s="224"/>
      <c r="N137" s="225">
        <f t="shared" si="25"/>
        <v>0</v>
      </c>
      <c r="O137" s="43" t="e">
        <f t="shared" si="26"/>
        <v>#VALUE!</v>
      </c>
      <c r="P137" s="43" t="e">
        <f>ROUND(IF(Preenchimento!$G$39="Tabela Price",R137-Q137,(O136*(1+$AD$35))/($AD$28-C136)),$P$22)</f>
        <v>#VALUE!</v>
      </c>
      <c r="Q137" s="43" t="e">
        <f>IF(Preenchimento!$G$39="Tabela Price",O136*(1+$AD$35)*W137,O136*(1+'SAC Padrão_Sem Bonif'!$AD$35)*'SAC Padrão_Sem Bonif'!W137)</f>
        <v>#VALUE!</v>
      </c>
      <c r="R137" s="43" t="e">
        <f>IF(Preenchimento!$G$39="Tabela Price",IF(C137="","",((((((1+W137)^($Q$16-C136))*W137)/((1+W137)^($Q$16-C136)-1))*(O136*(1+$AD$35))))),Q137+P137)</f>
        <v>#VALUE!</v>
      </c>
      <c r="S137" s="43" t="e">
        <f t="shared" ca="1" si="20"/>
        <v>#VALUE!</v>
      </c>
      <c r="T137" s="43">
        <f t="shared" si="27"/>
        <v>0</v>
      </c>
      <c r="U137" s="226">
        <f>TRUNC(T137*Condições!$C$102,2)</f>
        <v>0</v>
      </c>
      <c r="V137" s="82">
        <f t="shared" ca="1" si="21"/>
        <v>10</v>
      </c>
      <c r="W137" s="231" t="str">
        <f t="shared" si="28"/>
        <v/>
      </c>
      <c r="X137" s="210"/>
      <c r="Y137" s="210"/>
      <c r="Z137" s="210"/>
      <c r="AI137" s="114">
        <f t="shared" si="29"/>
        <v>0</v>
      </c>
      <c r="AJ137" s="113"/>
      <c r="AL137" s="477">
        <f t="shared" ca="1" si="30"/>
        <v>0</v>
      </c>
    </row>
    <row r="138" spans="2:38" ht="12" customHeight="1">
      <c r="B138" s="222">
        <f ca="1">Fixa!B138</f>
        <v>49629</v>
      </c>
      <c r="C138" s="223" t="str">
        <f>Fixa!C138</f>
        <v/>
      </c>
      <c r="D138" s="43" t="e">
        <f t="shared" si="22"/>
        <v>#VALUE!</v>
      </c>
      <c r="E138" s="43" t="e">
        <f t="shared" si="22"/>
        <v>#VALUE!</v>
      </c>
      <c r="F138" s="43" t="e">
        <f t="shared" si="22"/>
        <v>#VALUE!</v>
      </c>
      <c r="G138" s="43" t="e">
        <f t="shared" si="17"/>
        <v>#VALUE!</v>
      </c>
      <c r="H138" s="43" t="e">
        <f t="shared" ca="1" si="18"/>
        <v>#VALUE!</v>
      </c>
      <c r="I138" s="43">
        <f t="shared" si="19"/>
        <v>0</v>
      </c>
      <c r="J138" s="229">
        <f t="shared" si="23"/>
        <v>25</v>
      </c>
      <c r="K138" s="43">
        <f t="shared" si="24"/>
        <v>0</v>
      </c>
      <c r="M138" s="224"/>
      <c r="N138" s="225">
        <f t="shared" si="25"/>
        <v>0</v>
      </c>
      <c r="O138" s="43" t="e">
        <f t="shared" si="26"/>
        <v>#VALUE!</v>
      </c>
      <c r="P138" s="43" t="e">
        <f>ROUND(IF(Preenchimento!$G$39="Tabela Price",R138-Q138,(O137*(1+$AD$35))/($AD$28-C137)),$P$22)</f>
        <v>#VALUE!</v>
      </c>
      <c r="Q138" s="43" t="e">
        <f>IF(Preenchimento!$G$39="Tabela Price",O137*(1+$AD$35)*W138,O137*(1+'SAC Padrão_Sem Bonif'!$AD$35)*'SAC Padrão_Sem Bonif'!W138)</f>
        <v>#VALUE!</v>
      </c>
      <c r="R138" s="43" t="e">
        <f>IF(Preenchimento!$G$39="Tabela Price",IF(C138="","",((((((1+W138)^($Q$16-C137))*W138)/((1+W138)^($Q$16-C137)-1))*(O137*(1+$AD$35))))),Q138+P138)</f>
        <v>#VALUE!</v>
      </c>
      <c r="S138" s="43" t="e">
        <f t="shared" ca="1" si="20"/>
        <v>#VALUE!</v>
      </c>
      <c r="T138" s="43">
        <f t="shared" si="27"/>
        <v>0</v>
      </c>
      <c r="U138" s="226">
        <f>TRUNC(T138*Condições!$C$102,2)</f>
        <v>0</v>
      </c>
      <c r="V138" s="82">
        <f t="shared" ca="1" si="21"/>
        <v>11</v>
      </c>
      <c r="W138" s="231" t="str">
        <f t="shared" si="28"/>
        <v/>
      </c>
      <c r="X138" s="210"/>
      <c r="Y138" s="210"/>
      <c r="Z138" s="210"/>
      <c r="AI138" s="114">
        <f t="shared" si="29"/>
        <v>0</v>
      </c>
      <c r="AJ138" s="113"/>
      <c r="AL138" s="477">
        <f t="shared" ca="1" si="30"/>
        <v>0</v>
      </c>
    </row>
    <row r="139" spans="2:38" ht="12" customHeight="1">
      <c r="B139" s="222">
        <f ca="1">Fixa!B139</f>
        <v>49659</v>
      </c>
      <c r="C139" s="223" t="str">
        <f>Fixa!C139</f>
        <v/>
      </c>
      <c r="D139" s="43" t="e">
        <f t="shared" si="22"/>
        <v>#VALUE!</v>
      </c>
      <c r="E139" s="43" t="e">
        <f t="shared" si="22"/>
        <v>#VALUE!</v>
      </c>
      <c r="F139" s="43" t="e">
        <f t="shared" si="22"/>
        <v>#VALUE!</v>
      </c>
      <c r="G139" s="43" t="e">
        <f t="shared" si="17"/>
        <v>#VALUE!</v>
      </c>
      <c r="H139" s="43" t="e">
        <f t="shared" ca="1" si="18"/>
        <v>#VALUE!</v>
      </c>
      <c r="I139" s="43">
        <f t="shared" si="19"/>
        <v>0</v>
      </c>
      <c r="J139" s="229">
        <f t="shared" si="23"/>
        <v>25</v>
      </c>
      <c r="K139" s="43">
        <f t="shared" si="24"/>
        <v>0</v>
      </c>
      <c r="M139" s="224"/>
      <c r="N139" s="225">
        <f t="shared" si="25"/>
        <v>0</v>
      </c>
      <c r="O139" s="43" t="e">
        <f t="shared" si="26"/>
        <v>#VALUE!</v>
      </c>
      <c r="P139" s="43" t="e">
        <f>ROUND(IF(Preenchimento!$G$39="Tabela Price",R139-Q139,(O138*(1+$AD$35))/($AD$28-C138)),$P$22)</f>
        <v>#VALUE!</v>
      </c>
      <c r="Q139" s="43" t="e">
        <f>IF(Preenchimento!$G$39="Tabela Price",O138*(1+$AD$35)*W139,O138*(1+'SAC Padrão_Sem Bonif'!$AD$35)*'SAC Padrão_Sem Bonif'!W139)</f>
        <v>#VALUE!</v>
      </c>
      <c r="R139" s="43" t="e">
        <f>IF(Preenchimento!$G$39="Tabela Price",IF(C139="","",((((((1+W139)^($Q$16-C138))*W139)/((1+W139)^($Q$16-C138)-1))*(O138*(1+$AD$35))))),Q139+P139)</f>
        <v>#VALUE!</v>
      </c>
      <c r="S139" s="43" t="e">
        <f t="shared" ca="1" si="20"/>
        <v>#VALUE!</v>
      </c>
      <c r="T139" s="43">
        <f t="shared" si="27"/>
        <v>0</v>
      </c>
      <c r="U139" s="226">
        <f>TRUNC(T139*Condições!$C$102,2)</f>
        <v>0</v>
      </c>
      <c r="V139" s="82">
        <f t="shared" ca="1" si="21"/>
        <v>12</v>
      </c>
      <c r="W139" s="231" t="str">
        <f t="shared" si="28"/>
        <v/>
      </c>
      <c r="X139" s="210"/>
      <c r="Y139" s="210"/>
      <c r="Z139" s="210"/>
      <c r="AI139" s="114">
        <f t="shared" si="29"/>
        <v>0</v>
      </c>
      <c r="AJ139" s="113"/>
      <c r="AL139" s="477">
        <f t="shared" ca="1" si="30"/>
        <v>0</v>
      </c>
    </row>
    <row r="140" spans="2:38" ht="12" customHeight="1">
      <c r="B140" s="222">
        <f ca="1">Fixa!B140</f>
        <v>49690</v>
      </c>
      <c r="C140" s="223" t="str">
        <f>Fixa!C140</f>
        <v/>
      </c>
      <c r="D140" s="43" t="e">
        <f t="shared" si="22"/>
        <v>#VALUE!</v>
      </c>
      <c r="E140" s="43" t="e">
        <f t="shared" si="22"/>
        <v>#VALUE!</v>
      </c>
      <c r="F140" s="43" t="e">
        <f t="shared" si="22"/>
        <v>#VALUE!</v>
      </c>
      <c r="G140" s="43" t="e">
        <f t="shared" si="17"/>
        <v>#VALUE!</v>
      </c>
      <c r="H140" s="43" t="e">
        <f t="shared" ca="1" si="18"/>
        <v>#VALUE!</v>
      </c>
      <c r="I140" s="43">
        <f t="shared" si="19"/>
        <v>0</v>
      </c>
      <c r="J140" s="229">
        <f t="shared" si="23"/>
        <v>25</v>
      </c>
      <c r="K140" s="43">
        <f t="shared" si="24"/>
        <v>0</v>
      </c>
      <c r="M140" s="224"/>
      <c r="N140" s="225">
        <f t="shared" si="25"/>
        <v>0</v>
      </c>
      <c r="O140" s="43" t="e">
        <f t="shared" si="26"/>
        <v>#VALUE!</v>
      </c>
      <c r="P140" s="43" t="e">
        <f>ROUND(IF(Preenchimento!$G$39="Tabela Price",R140-Q140,(O139*(1+$AD$35))/($AD$28-C139)),$P$22)</f>
        <v>#VALUE!</v>
      </c>
      <c r="Q140" s="43" t="e">
        <f>IF(Preenchimento!$G$39="Tabela Price",O139*(1+$AD$35)*W140,O139*(1+'SAC Padrão_Sem Bonif'!$AD$35)*'SAC Padrão_Sem Bonif'!W140)</f>
        <v>#VALUE!</v>
      </c>
      <c r="R140" s="43" t="e">
        <f>IF(Preenchimento!$G$39="Tabela Price",IF(C140="","",((((((1+W140)^($Q$16-C139))*W140)/((1+W140)^($Q$16-C139)-1))*(O139*(1+$AD$35))))),Q140+P140)</f>
        <v>#VALUE!</v>
      </c>
      <c r="S140" s="43" t="e">
        <f t="shared" ca="1" si="20"/>
        <v>#VALUE!</v>
      </c>
      <c r="T140" s="43">
        <f t="shared" si="27"/>
        <v>0</v>
      </c>
      <c r="U140" s="226">
        <f>TRUNC(T140*Condições!$C$102,2)</f>
        <v>0</v>
      </c>
      <c r="V140" s="82">
        <f t="shared" ca="1" si="21"/>
        <v>1</v>
      </c>
      <c r="W140" s="231" t="str">
        <f t="shared" si="28"/>
        <v/>
      </c>
      <c r="X140" s="210"/>
      <c r="Y140" s="210"/>
      <c r="Z140" s="210"/>
      <c r="AI140" s="114">
        <f t="shared" si="29"/>
        <v>0</v>
      </c>
      <c r="AJ140" s="113"/>
      <c r="AL140" s="477">
        <f t="shared" ca="1" si="30"/>
        <v>0</v>
      </c>
    </row>
    <row r="141" spans="2:38" ht="12" customHeight="1">
      <c r="B141" s="222">
        <f ca="1">Fixa!B141</f>
        <v>49721</v>
      </c>
      <c r="C141" s="223" t="str">
        <f>Fixa!C141</f>
        <v/>
      </c>
      <c r="D141" s="43" t="e">
        <f t="shared" si="22"/>
        <v>#VALUE!</v>
      </c>
      <c r="E141" s="43" t="e">
        <f t="shared" si="22"/>
        <v>#VALUE!</v>
      </c>
      <c r="F141" s="43" t="e">
        <f t="shared" si="22"/>
        <v>#VALUE!</v>
      </c>
      <c r="G141" s="43" t="e">
        <f t="shared" si="17"/>
        <v>#VALUE!</v>
      </c>
      <c r="H141" s="43" t="e">
        <f t="shared" ca="1" si="18"/>
        <v>#VALUE!</v>
      </c>
      <c r="I141" s="43">
        <f t="shared" si="19"/>
        <v>0</v>
      </c>
      <c r="J141" s="229">
        <f t="shared" si="23"/>
        <v>25</v>
      </c>
      <c r="K141" s="43">
        <f t="shared" si="24"/>
        <v>0</v>
      </c>
      <c r="M141" s="224"/>
      <c r="N141" s="225">
        <f t="shared" si="25"/>
        <v>0</v>
      </c>
      <c r="O141" s="43" t="e">
        <f t="shared" si="26"/>
        <v>#VALUE!</v>
      </c>
      <c r="P141" s="43" t="e">
        <f>ROUND(IF(Preenchimento!$G$39="Tabela Price",R141-Q141,(O140*(1+$AD$35))/($AD$28-C140)),$P$22)</f>
        <v>#VALUE!</v>
      </c>
      <c r="Q141" s="43" t="e">
        <f>IF(Preenchimento!$G$39="Tabela Price",O140*(1+$AD$35)*W141,O140*(1+'SAC Padrão_Sem Bonif'!$AD$35)*'SAC Padrão_Sem Bonif'!W141)</f>
        <v>#VALUE!</v>
      </c>
      <c r="R141" s="43" t="e">
        <f>IF(Preenchimento!$G$39="Tabela Price",IF(C141="","",((((((1+W141)^($Q$16-C140))*W141)/((1+W141)^($Q$16-C140)-1))*(O140*(1+$AD$35))))),Q141+P141)</f>
        <v>#VALUE!</v>
      </c>
      <c r="S141" s="43" t="e">
        <f t="shared" ca="1" si="20"/>
        <v>#VALUE!</v>
      </c>
      <c r="T141" s="43">
        <f t="shared" si="27"/>
        <v>0</v>
      </c>
      <c r="U141" s="226">
        <f>TRUNC(T141*Condições!$C$102,2)</f>
        <v>0</v>
      </c>
      <c r="V141" s="82">
        <f t="shared" ca="1" si="21"/>
        <v>2</v>
      </c>
      <c r="W141" s="231" t="str">
        <f t="shared" si="28"/>
        <v/>
      </c>
      <c r="X141" s="210"/>
      <c r="Y141" s="210"/>
      <c r="Z141" s="210"/>
      <c r="AI141" s="114">
        <f t="shared" si="29"/>
        <v>0</v>
      </c>
      <c r="AJ141" s="113"/>
      <c r="AL141" s="477">
        <f t="shared" ca="1" si="30"/>
        <v>0</v>
      </c>
    </row>
    <row r="142" spans="2:38" ht="12" customHeight="1">
      <c r="B142" s="222">
        <f ca="1">Fixa!B142</f>
        <v>49750</v>
      </c>
      <c r="C142" s="223" t="str">
        <f>Fixa!C142</f>
        <v/>
      </c>
      <c r="D142" s="43" t="e">
        <f t="shared" si="22"/>
        <v>#VALUE!</v>
      </c>
      <c r="E142" s="43" t="e">
        <f t="shared" si="22"/>
        <v>#VALUE!</v>
      </c>
      <c r="F142" s="43" t="e">
        <f t="shared" si="22"/>
        <v>#VALUE!</v>
      </c>
      <c r="G142" s="43" t="e">
        <f t="shared" si="17"/>
        <v>#VALUE!</v>
      </c>
      <c r="H142" s="43" t="e">
        <f t="shared" ca="1" si="18"/>
        <v>#VALUE!</v>
      </c>
      <c r="I142" s="43">
        <f t="shared" si="19"/>
        <v>0</v>
      </c>
      <c r="J142" s="229">
        <f t="shared" si="23"/>
        <v>25</v>
      </c>
      <c r="K142" s="43">
        <f t="shared" si="24"/>
        <v>0</v>
      </c>
      <c r="M142" s="224"/>
      <c r="N142" s="225">
        <f t="shared" si="25"/>
        <v>0</v>
      </c>
      <c r="O142" s="43" t="e">
        <f t="shared" si="26"/>
        <v>#VALUE!</v>
      </c>
      <c r="P142" s="43" t="e">
        <f>ROUND(IF(Preenchimento!$G$39="Tabela Price",R142-Q142,(O141*(1+$AD$35))/($AD$28-C141)),$P$22)</f>
        <v>#VALUE!</v>
      </c>
      <c r="Q142" s="43" t="e">
        <f>IF(Preenchimento!$G$39="Tabela Price",O141*(1+$AD$35)*W142,O141*(1+'SAC Padrão_Sem Bonif'!$AD$35)*'SAC Padrão_Sem Bonif'!W142)</f>
        <v>#VALUE!</v>
      </c>
      <c r="R142" s="43" t="e">
        <f>IF(Preenchimento!$G$39="Tabela Price",IF(C142="","",((((((1+W142)^($Q$16-C141))*W142)/((1+W142)^($Q$16-C141)-1))*(O141*(1+$AD$35))))),Q142+P142)</f>
        <v>#VALUE!</v>
      </c>
      <c r="S142" s="43" t="e">
        <f t="shared" ca="1" si="20"/>
        <v>#VALUE!</v>
      </c>
      <c r="T142" s="43">
        <f t="shared" si="27"/>
        <v>0</v>
      </c>
      <c r="U142" s="226">
        <f>TRUNC(T142*Condições!$C$102,2)</f>
        <v>0</v>
      </c>
      <c r="V142" s="82">
        <f t="shared" ca="1" si="21"/>
        <v>3</v>
      </c>
      <c r="W142" s="231" t="str">
        <f t="shared" si="28"/>
        <v/>
      </c>
      <c r="X142" s="210"/>
      <c r="Y142" s="210"/>
      <c r="Z142" s="210"/>
      <c r="AI142" s="114">
        <f t="shared" si="29"/>
        <v>0</v>
      </c>
      <c r="AJ142" s="113"/>
      <c r="AL142" s="477">
        <f t="shared" ca="1" si="30"/>
        <v>0</v>
      </c>
    </row>
    <row r="143" spans="2:38" ht="12" customHeight="1">
      <c r="B143" s="222">
        <f ca="1">Fixa!B143</f>
        <v>49781</v>
      </c>
      <c r="C143" s="223" t="str">
        <f>Fixa!C143</f>
        <v/>
      </c>
      <c r="D143" s="43" t="e">
        <f t="shared" si="22"/>
        <v>#VALUE!</v>
      </c>
      <c r="E143" s="43" t="e">
        <f t="shared" si="22"/>
        <v>#VALUE!</v>
      </c>
      <c r="F143" s="43" t="e">
        <f t="shared" si="22"/>
        <v>#VALUE!</v>
      </c>
      <c r="G143" s="43" t="e">
        <f t="shared" si="17"/>
        <v>#VALUE!</v>
      </c>
      <c r="H143" s="43" t="e">
        <f t="shared" ca="1" si="18"/>
        <v>#VALUE!</v>
      </c>
      <c r="I143" s="43">
        <f t="shared" si="19"/>
        <v>0</v>
      </c>
      <c r="J143" s="229">
        <f t="shared" si="23"/>
        <v>25</v>
      </c>
      <c r="K143" s="43">
        <f t="shared" si="24"/>
        <v>0</v>
      </c>
      <c r="M143" s="224"/>
      <c r="N143" s="225">
        <f t="shared" si="25"/>
        <v>0</v>
      </c>
      <c r="O143" s="43" t="e">
        <f t="shared" si="26"/>
        <v>#VALUE!</v>
      </c>
      <c r="P143" s="43" t="e">
        <f>ROUND(IF(Preenchimento!$G$39="Tabela Price",R143-Q143,(O142*(1+$AD$35))/($AD$28-C142)),$P$22)</f>
        <v>#VALUE!</v>
      </c>
      <c r="Q143" s="43" t="e">
        <f>IF(Preenchimento!$G$39="Tabela Price",O142*(1+$AD$35)*W143,O142*(1+'SAC Padrão_Sem Bonif'!$AD$35)*'SAC Padrão_Sem Bonif'!W143)</f>
        <v>#VALUE!</v>
      </c>
      <c r="R143" s="43" t="e">
        <f>IF(Preenchimento!$G$39="Tabela Price",IF(C143="","",((((((1+W143)^($Q$16-C142))*W143)/((1+W143)^($Q$16-C142)-1))*(O142*(1+$AD$35))))),Q143+P143)</f>
        <v>#VALUE!</v>
      </c>
      <c r="S143" s="43" t="e">
        <f t="shared" ca="1" si="20"/>
        <v>#VALUE!</v>
      </c>
      <c r="T143" s="43">
        <f t="shared" si="27"/>
        <v>0</v>
      </c>
      <c r="U143" s="226">
        <f>TRUNC(T143*Condições!$C$102,2)</f>
        <v>0</v>
      </c>
      <c r="V143" s="82">
        <f t="shared" ca="1" si="21"/>
        <v>4</v>
      </c>
      <c r="W143" s="231" t="str">
        <f t="shared" si="28"/>
        <v/>
      </c>
      <c r="X143" s="210"/>
      <c r="Y143" s="210"/>
      <c r="Z143" s="210"/>
      <c r="AI143" s="114">
        <f t="shared" si="29"/>
        <v>0</v>
      </c>
      <c r="AJ143" s="113"/>
      <c r="AL143" s="477">
        <f t="shared" ca="1" si="30"/>
        <v>0</v>
      </c>
    </row>
    <row r="144" spans="2:38" ht="12" customHeight="1">
      <c r="B144" s="222">
        <f ca="1">Fixa!B144</f>
        <v>49811</v>
      </c>
      <c r="C144" s="223" t="str">
        <f>Fixa!C144</f>
        <v/>
      </c>
      <c r="D144" s="43" t="e">
        <f t="shared" si="22"/>
        <v>#VALUE!</v>
      </c>
      <c r="E144" s="43" t="e">
        <f t="shared" si="22"/>
        <v>#VALUE!</v>
      </c>
      <c r="F144" s="43" t="e">
        <f t="shared" si="22"/>
        <v>#VALUE!</v>
      </c>
      <c r="G144" s="43" t="e">
        <f t="shared" si="17"/>
        <v>#VALUE!</v>
      </c>
      <c r="H144" s="43" t="e">
        <f t="shared" ca="1" si="18"/>
        <v>#VALUE!</v>
      </c>
      <c r="I144" s="43">
        <f t="shared" si="19"/>
        <v>0</v>
      </c>
      <c r="J144" s="229">
        <f t="shared" si="23"/>
        <v>25</v>
      </c>
      <c r="K144" s="43">
        <f t="shared" si="24"/>
        <v>0</v>
      </c>
      <c r="M144" s="224"/>
      <c r="N144" s="225">
        <f t="shared" si="25"/>
        <v>0</v>
      </c>
      <c r="O144" s="43" t="e">
        <f t="shared" si="26"/>
        <v>#VALUE!</v>
      </c>
      <c r="P144" s="43" t="e">
        <f>ROUND(IF(Preenchimento!$G$39="Tabela Price",R144-Q144,(O143*(1+$AD$35))/($AD$28-C143)),$P$22)</f>
        <v>#VALUE!</v>
      </c>
      <c r="Q144" s="43" t="e">
        <f>IF(Preenchimento!$G$39="Tabela Price",O143*(1+$AD$35)*W144,O143*(1+'SAC Padrão_Sem Bonif'!$AD$35)*'SAC Padrão_Sem Bonif'!W144)</f>
        <v>#VALUE!</v>
      </c>
      <c r="R144" s="43" t="e">
        <f>IF(Preenchimento!$G$39="Tabela Price",IF(C144="","",((((((1+W144)^($Q$16-C143))*W144)/((1+W144)^($Q$16-C143)-1))*(O143*(1+$AD$35))))),Q144+P144)</f>
        <v>#VALUE!</v>
      </c>
      <c r="S144" s="43" t="e">
        <f t="shared" ca="1" si="20"/>
        <v>#VALUE!</v>
      </c>
      <c r="T144" s="43">
        <f t="shared" si="27"/>
        <v>0</v>
      </c>
      <c r="U144" s="226">
        <f>TRUNC(T144*Condições!$C$102,2)</f>
        <v>0</v>
      </c>
      <c r="V144" s="82">
        <f t="shared" ca="1" si="21"/>
        <v>5</v>
      </c>
      <c r="W144" s="231" t="str">
        <f t="shared" si="28"/>
        <v/>
      </c>
      <c r="X144" s="210"/>
      <c r="Y144" s="210"/>
      <c r="Z144" s="210"/>
      <c r="AI144" s="114">
        <f t="shared" si="29"/>
        <v>0</v>
      </c>
      <c r="AJ144" s="113"/>
      <c r="AL144" s="477">
        <f t="shared" ca="1" si="30"/>
        <v>0</v>
      </c>
    </row>
    <row r="145" spans="2:38" ht="12" customHeight="1">
      <c r="B145" s="222">
        <f ca="1">Fixa!B145</f>
        <v>49842</v>
      </c>
      <c r="C145" s="223" t="str">
        <f>Fixa!C145</f>
        <v/>
      </c>
      <c r="D145" s="43" t="e">
        <f t="shared" si="22"/>
        <v>#VALUE!</v>
      </c>
      <c r="E145" s="43" t="e">
        <f t="shared" si="22"/>
        <v>#VALUE!</v>
      </c>
      <c r="F145" s="43" t="e">
        <f t="shared" si="22"/>
        <v>#VALUE!</v>
      </c>
      <c r="G145" s="43" t="e">
        <f t="shared" si="17"/>
        <v>#VALUE!</v>
      </c>
      <c r="H145" s="43" t="e">
        <f t="shared" ca="1" si="18"/>
        <v>#VALUE!</v>
      </c>
      <c r="I145" s="43">
        <f t="shared" si="19"/>
        <v>0</v>
      </c>
      <c r="J145" s="229">
        <f t="shared" si="23"/>
        <v>25</v>
      </c>
      <c r="K145" s="43">
        <f t="shared" si="24"/>
        <v>0</v>
      </c>
      <c r="M145" s="224"/>
      <c r="N145" s="225">
        <f t="shared" si="25"/>
        <v>0</v>
      </c>
      <c r="O145" s="43" t="e">
        <f t="shared" si="26"/>
        <v>#VALUE!</v>
      </c>
      <c r="P145" s="43" t="e">
        <f>ROUND(IF(Preenchimento!$G$39="Tabela Price",R145-Q145,(O144*(1+$AD$35))/($AD$28-C144)),$P$22)</f>
        <v>#VALUE!</v>
      </c>
      <c r="Q145" s="43" t="e">
        <f>IF(Preenchimento!$G$39="Tabela Price",O144*(1+$AD$35)*W145,O144*(1+'SAC Padrão_Sem Bonif'!$AD$35)*'SAC Padrão_Sem Bonif'!W145)</f>
        <v>#VALUE!</v>
      </c>
      <c r="R145" s="43" t="e">
        <f>IF(Preenchimento!$G$39="Tabela Price",IF(C145="","",((((((1+W145)^($Q$16-C144))*W145)/((1+W145)^($Q$16-C144)-1))*(O144*(1+$AD$35))))),Q145+P145)</f>
        <v>#VALUE!</v>
      </c>
      <c r="S145" s="43" t="e">
        <f t="shared" ca="1" si="20"/>
        <v>#VALUE!</v>
      </c>
      <c r="T145" s="43">
        <f t="shared" si="27"/>
        <v>0</v>
      </c>
      <c r="U145" s="226">
        <f>TRUNC(T145*Condições!$C$102,2)</f>
        <v>0</v>
      </c>
      <c r="V145" s="82">
        <f t="shared" ca="1" si="21"/>
        <v>6</v>
      </c>
      <c r="W145" s="231" t="str">
        <f t="shared" si="28"/>
        <v/>
      </c>
      <c r="X145" s="210"/>
      <c r="Y145" s="210"/>
      <c r="Z145" s="210"/>
      <c r="AI145" s="114">
        <f t="shared" si="29"/>
        <v>0</v>
      </c>
      <c r="AJ145" s="113"/>
      <c r="AL145" s="477">
        <f t="shared" ca="1" si="30"/>
        <v>0</v>
      </c>
    </row>
    <row r="146" spans="2:38" ht="12" customHeight="1">
      <c r="B146" s="222">
        <f ca="1">Fixa!B146</f>
        <v>49872</v>
      </c>
      <c r="C146" s="223" t="str">
        <f>Fixa!C146</f>
        <v/>
      </c>
      <c r="D146" s="43" t="e">
        <f t="shared" si="22"/>
        <v>#VALUE!</v>
      </c>
      <c r="E146" s="43" t="e">
        <f t="shared" si="22"/>
        <v>#VALUE!</v>
      </c>
      <c r="F146" s="43" t="e">
        <f t="shared" si="22"/>
        <v>#VALUE!</v>
      </c>
      <c r="G146" s="43" t="e">
        <f t="shared" si="17"/>
        <v>#VALUE!</v>
      </c>
      <c r="H146" s="43" t="e">
        <f t="shared" ca="1" si="18"/>
        <v>#VALUE!</v>
      </c>
      <c r="I146" s="43">
        <f t="shared" si="19"/>
        <v>0</v>
      </c>
      <c r="J146" s="229">
        <f t="shared" si="23"/>
        <v>25</v>
      </c>
      <c r="K146" s="43">
        <f t="shared" si="24"/>
        <v>0</v>
      </c>
      <c r="M146" s="224"/>
      <c r="N146" s="225">
        <f t="shared" si="25"/>
        <v>0</v>
      </c>
      <c r="O146" s="43" t="e">
        <f t="shared" si="26"/>
        <v>#VALUE!</v>
      </c>
      <c r="P146" s="43" t="e">
        <f>ROUND(IF(Preenchimento!$G$39="Tabela Price",R146-Q146,(O145*(1+$AD$35))/($AD$28-C145)),$P$22)</f>
        <v>#VALUE!</v>
      </c>
      <c r="Q146" s="43" t="e">
        <f>IF(Preenchimento!$G$39="Tabela Price",O145*(1+$AD$35)*W146,O145*(1+'SAC Padrão_Sem Bonif'!$AD$35)*'SAC Padrão_Sem Bonif'!W146)</f>
        <v>#VALUE!</v>
      </c>
      <c r="R146" s="43" t="e">
        <f>IF(Preenchimento!$G$39="Tabela Price",IF(C146="","",((((((1+W146)^($Q$16-C145))*W146)/((1+W146)^($Q$16-C145)-1))*(O145*(1+$AD$35))))),Q146+P146)</f>
        <v>#VALUE!</v>
      </c>
      <c r="S146" s="43" t="e">
        <f t="shared" ca="1" si="20"/>
        <v>#VALUE!</v>
      </c>
      <c r="T146" s="43">
        <f t="shared" si="27"/>
        <v>0</v>
      </c>
      <c r="U146" s="226">
        <f>TRUNC(T146*Condições!$C$102,2)</f>
        <v>0</v>
      </c>
      <c r="V146" s="82">
        <f t="shared" ca="1" si="21"/>
        <v>7</v>
      </c>
      <c r="W146" s="231" t="str">
        <f t="shared" si="28"/>
        <v/>
      </c>
      <c r="X146" s="210"/>
      <c r="Y146" s="210"/>
      <c r="Z146" s="210"/>
      <c r="AI146" s="114">
        <f t="shared" si="29"/>
        <v>0</v>
      </c>
      <c r="AJ146" s="113"/>
      <c r="AL146" s="477">
        <f t="shared" ca="1" si="30"/>
        <v>0</v>
      </c>
    </row>
    <row r="147" spans="2:38" ht="12" customHeight="1">
      <c r="B147" s="222">
        <f ca="1">Fixa!B147</f>
        <v>49903</v>
      </c>
      <c r="C147" s="223" t="str">
        <f>Fixa!C147</f>
        <v/>
      </c>
      <c r="D147" s="43" t="e">
        <f t="shared" si="22"/>
        <v>#VALUE!</v>
      </c>
      <c r="E147" s="43" t="e">
        <f t="shared" si="22"/>
        <v>#VALUE!</v>
      </c>
      <c r="F147" s="43" t="e">
        <f t="shared" si="22"/>
        <v>#VALUE!</v>
      </c>
      <c r="G147" s="43" t="e">
        <f t="shared" si="17"/>
        <v>#VALUE!</v>
      </c>
      <c r="H147" s="43" t="e">
        <f t="shared" ca="1" si="18"/>
        <v>#VALUE!</v>
      </c>
      <c r="I147" s="43">
        <f t="shared" si="19"/>
        <v>0</v>
      </c>
      <c r="J147" s="229">
        <f t="shared" si="23"/>
        <v>25</v>
      </c>
      <c r="K147" s="43">
        <f t="shared" si="24"/>
        <v>0</v>
      </c>
      <c r="M147" s="224"/>
      <c r="N147" s="225">
        <f t="shared" si="25"/>
        <v>0</v>
      </c>
      <c r="O147" s="43" t="e">
        <f t="shared" si="26"/>
        <v>#VALUE!</v>
      </c>
      <c r="P147" s="43" t="e">
        <f>ROUND(IF(Preenchimento!$G$39="Tabela Price",R147-Q147,(O146*(1+$AD$35))/($AD$28-C146)),$P$22)</f>
        <v>#VALUE!</v>
      </c>
      <c r="Q147" s="43" t="e">
        <f>IF(Preenchimento!$G$39="Tabela Price",O146*(1+$AD$35)*W147,O146*(1+'SAC Padrão_Sem Bonif'!$AD$35)*'SAC Padrão_Sem Bonif'!W147)</f>
        <v>#VALUE!</v>
      </c>
      <c r="R147" s="43" t="e">
        <f>IF(Preenchimento!$G$39="Tabela Price",IF(C147="","",((((((1+W147)^($Q$16-C146))*W147)/((1+W147)^($Q$16-C146)-1))*(O146*(1+$AD$35))))),Q147+P147)</f>
        <v>#VALUE!</v>
      </c>
      <c r="S147" s="43" t="e">
        <f t="shared" ca="1" si="20"/>
        <v>#VALUE!</v>
      </c>
      <c r="T147" s="43">
        <f t="shared" si="27"/>
        <v>0</v>
      </c>
      <c r="U147" s="226">
        <f>TRUNC(T147*Condições!$C$102,2)</f>
        <v>0</v>
      </c>
      <c r="V147" s="82">
        <f t="shared" ca="1" si="21"/>
        <v>8</v>
      </c>
      <c r="W147" s="231" t="str">
        <f t="shared" si="28"/>
        <v/>
      </c>
      <c r="X147" s="210"/>
      <c r="Y147" s="210"/>
      <c r="Z147" s="210"/>
      <c r="AI147" s="114">
        <f t="shared" si="29"/>
        <v>0</v>
      </c>
      <c r="AJ147" s="113"/>
      <c r="AL147" s="477">
        <f t="shared" ca="1" si="30"/>
        <v>0</v>
      </c>
    </row>
    <row r="148" spans="2:38" ht="12" customHeight="1">
      <c r="B148" s="222">
        <f ca="1">Fixa!B148</f>
        <v>49934</v>
      </c>
      <c r="C148" s="223" t="str">
        <f>Fixa!C148</f>
        <v/>
      </c>
      <c r="D148" s="43" t="e">
        <f t="shared" si="22"/>
        <v>#VALUE!</v>
      </c>
      <c r="E148" s="43" t="e">
        <f t="shared" si="22"/>
        <v>#VALUE!</v>
      </c>
      <c r="F148" s="43" t="e">
        <f t="shared" si="22"/>
        <v>#VALUE!</v>
      </c>
      <c r="G148" s="43" t="e">
        <f t="shared" si="17"/>
        <v>#VALUE!</v>
      </c>
      <c r="H148" s="43" t="e">
        <f t="shared" ca="1" si="18"/>
        <v>#VALUE!</v>
      </c>
      <c r="I148" s="43">
        <f t="shared" si="19"/>
        <v>0</v>
      </c>
      <c r="J148" s="229">
        <f t="shared" si="23"/>
        <v>25</v>
      </c>
      <c r="K148" s="43">
        <f t="shared" si="24"/>
        <v>0</v>
      </c>
      <c r="M148" s="224"/>
      <c r="N148" s="225">
        <f t="shared" si="25"/>
        <v>0</v>
      </c>
      <c r="O148" s="43" t="e">
        <f t="shared" si="26"/>
        <v>#VALUE!</v>
      </c>
      <c r="P148" s="43" t="e">
        <f>ROUND(IF(Preenchimento!$G$39="Tabela Price",R148-Q148,(O147*(1+$AD$35))/($AD$28-C147)),$P$22)</f>
        <v>#VALUE!</v>
      </c>
      <c r="Q148" s="43" t="e">
        <f>IF(Preenchimento!$G$39="Tabela Price",O147*(1+$AD$35)*W148,O147*(1+'SAC Padrão_Sem Bonif'!$AD$35)*'SAC Padrão_Sem Bonif'!W148)</f>
        <v>#VALUE!</v>
      </c>
      <c r="R148" s="43" t="e">
        <f>IF(Preenchimento!$G$39="Tabela Price",IF(C148="","",((((((1+W148)^($Q$16-C147))*W148)/((1+W148)^($Q$16-C147)-1))*(O147*(1+$AD$35))))),Q148+P148)</f>
        <v>#VALUE!</v>
      </c>
      <c r="S148" s="43" t="e">
        <f t="shared" ca="1" si="20"/>
        <v>#VALUE!</v>
      </c>
      <c r="T148" s="43">
        <f t="shared" si="27"/>
        <v>0</v>
      </c>
      <c r="U148" s="226">
        <f>TRUNC(T148*Condições!$C$102,2)</f>
        <v>0</v>
      </c>
      <c r="V148" s="82">
        <f t="shared" ca="1" si="21"/>
        <v>9</v>
      </c>
      <c r="W148" s="231" t="str">
        <f t="shared" si="28"/>
        <v/>
      </c>
      <c r="X148" s="210"/>
      <c r="Y148" s="210"/>
      <c r="Z148" s="210"/>
      <c r="AI148" s="114">
        <f t="shared" si="29"/>
        <v>0</v>
      </c>
      <c r="AJ148" s="113"/>
      <c r="AL148" s="477">
        <f t="shared" ca="1" si="30"/>
        <v>0</v>
      </c>
    </row>
    <row r="149" spans="2:38" ht="12" customHeight="1">
      <c r="B149" s="222">
        <f ca="1">Fixa!B149</f>
        <v>49964</v>
      </c>
      <c r="C149" s="223" t="str">
        <f>Fixa!C149</f>
        <v/>
      </c>
      <c r="D149" s="43" t="e">
        <f t="shared" si="22"/>
        <v>#VALUE!</v>
      </c>
      <c r="E149" s="43" t="e">
        <f t="shared" si="22"/>
        <v>#VALUE!</v>
      </c>
      <c r="F149" s="43" t="e">
        <f t="shared" si="22"/>
        <v>#VALUE!</v>
      </c>
      <c r="G149" s="43" t="e">
        <f t="shared" si="17"/>
        <v>#VALUE!</v>
      </c>
      <c r="H149" s="43" t="e">
        <f t="shared" ca="1" si="18"/>
        <v>#VALUE!</v>
      </c>
      <c r="I149" s="43">
        <f t="shared" si="19"/>
        <v>0</v>
      </c>
      <c r="J149" s="229">
        <f t="shared" si="23"/>
        <v>25</v>
      </c>
      <c r="K149" s="43">
        <f t="shared" si="24"/>
        <v>0</v>
      </c>
      <c r="M149" s="224"/>
      <c r="N149" s="225">
        <f t="shared" si="25"/>
        <v>0</v>
      </c>
      <c r="O149" s="43" t="e">
        <f t="shared" si="26"/>
        <v>#VALUE!</v>
      </c>
      <c r="P149" s="43" t="e">
        <f>ROUND(IF(Preenchimento!$G$39="Tabela Price",R149-Q149,(O148*(1+$AD$35))/($AD$28-C148)),$P$22)</f>
        <v>#VALUE!</v>
      </c>
      <c r="Q149" s="43" t="e">
        <f>IF(Preenchimento!$G$39="Tabela Price",O148*(1+$AD$35)*W149,O148*(1+'SAC Padrão_Sem Bonif'!$AD$35)*'SAC Padrão_Sem Bonif'!W149)</f>
        <v>#VALUE!</v>
      </c>
      <c r="R149" s="43" t="e">
        <f>IF(Preenchimento!$G$39="Tabela Price",IF(C149="","",((((((1+W149)^($Q$16-C148))*W149)/((1+W149)^($Q$16-C148)-1))*(O148*(1+$AD$35))))),Q149+P149)</f>
        <v>#VALUE!</v>
      </c>
      <c r="S149" s="43" t="e">
        <f t="shared" ca="1" si="20"/>
        <v>#VALUE!</v>
      </c>
      <c r="T149" s="43">
        <f t="shared" si="27"/>
        <v>0</v>
      </c>
      <c r="U149" s="226">
        <f>TRUNC(T149*Condições!$C$102,2)</f>
        <v>0</v>
      </c>
      <c r="V149" s="82">
        <f t="shared" ca="1" si="21"/>
        <v>10</v>
      </c>
      <c r="W149" s="231" t="str">
        <f t="shared" si="28"/>
        <v/>
      </c>
      <c r="X149" s="210"/>
      <c r="Y149" s="210"/>
      <c r="Z149" s="210"/>
      <c r="AI149" s="114">
        <f t="shared" si="29"/>
        <v>0</v>
      </c>
      <c r="AJ149" s="113"/>
      <c r="AL149" s="477">
        <f t="shared" ca="1" si="30"/>
        <v>0</v>
      </c>
    </row>
    <row r="150" spans="2:38" ht="12" customHeight="1">
      <c r="B150" s="222">
        <f ca="1">Fixa!B150</f>
        <v>49995</v>
      </c>
      <c r="C150" s="223" t="str">
        <f>Fixa!C150</f>
        <v/>
      </c>
      <c r="D150" s="43" t="e">
        <f t="shared" si="22"/>
        <v>#VALUE!</v>
      </c>
      <c r="E150" s="43" t="e">
        <f t="shared" si="22"/>
        <v>#VALUE!</v>
      </c>
      <c r="F150" s="43" t="e">
        <f t="shared" si="22"/>
        <v>#VALUE!</v>
      </c>
      <c r="G150" s="43" t="e">
        <f t="shared" si="17"/>
        <v>#VALUE!</v>
      </c>
      <c r="H150" s="43" t="e">
        <f t="shared" ca="1" si="18"/>
        <v>#VALUE!</v>
      </c>
      <c r="I150" s="43">
        <f t="shared" si="19"/>
        <v>0</v>
      </c>
      <c r="J150" s="229">
        <f t="shared" si="23"/>
        <v>25</v>
      </c>
      <c r="K150" s="43">
        <f t="shared" si="24"/>
        <v>0</v>
      </c>
      <c r="M150" s="224"/>
      <c r="N150" s="225">
        <f t="shared" si="25"/>
        <v>0</v>
      </c>
      <c r="O150" s="43" t="e">
        <f t="shared" si="26"/>
        <v>#VALUE!</v>
      </c>
      <c r="P150" s="43" t="e">
        <f>ROUND(IF(Preenchimento!$G$39="Tabela Price",R150-Q150,(O149*(1+$AD$35))/($AD$28-C149)),$P$22)</f>
        <v>#VALUE!</v>
      </c>
      <c r="Q150" s="43" t="e">
        <f>IF(Preenchimento!$G$39="Tabela Price",O149*(1+$AD$35)*W150,O149*(1+'SAC Padrão_Sem Bonif'!$AD$35)*'SAC Padrão_Sem Bonif'!W150)</f>
        <v>#VALUE!</v>
      </c>
      <c r="R150" s="43" t="e">
        <f>IF(Preenchimento!$G$39="Tabela Price",IF(C150="","",((((((1+W150)^($Q$16-C149))*W150)/((1+W150)^($Q$16-C149)-1))*(O149*(1+$AD$35))))),Q150+P150)</f>
        <v>#VALUE!</v>
      </c>
      <c r="S150" s="43" t="e">
        <f t="shared" ca="1" si="20"/>
        <v>#VALUE!</v>
      </c>
      <c r="T150" s="43">
        <f t="shared" si="27"/>
        <v>0</v>
      </c>
      <c r="U150" s="226">
        <f>TRUNC(T150*Condições!$C$102,2)</f>
        <v>0</v>
      </c>
      <c r="V150" s="82">
        <f t="shared" ca="1" si="21"/>
        <v>11</v>
      </c>
      <c r="W150" s="231" t="str">
        <f t="shared" si="28"/>
        <v/>
      </c>
      <c r="X150" s="210"/>
      <c r="Y150" s="210"/>
      <c r="Z150" s="210"/>
      <c r="AI150" s="114">
        <f t="shared" si="29"/>
        <v>0</v>
      </c>
      <c r="AJ150" s="113"/>
      <c r="AL150" s="477">
        <f t="shared" ca="1" si="30"/>
        <v>0</v>
      </c>
    </row>
    <row r="151" spans="2:38" ht="12" customHeight="1">
      <c r="B151" s="222">
        <f ca="1">Fixa!B151</f>
        <v>50025</v>
      </c>
      <c r="C151" s="223" t="str">
        <f>Fixa!C151</f>
        <v/>
      </c>
      <c r="D151" s="43" t="e">
        <f t="shared" si="22"/>
        <v>#VALUE!</v>
      </c>
      <c r="E151" s="43" t="e">
        <f t="shared" si="22"/>
        <v>#VALUE!</v>
      </c>
      <c r="F151" s="43" t="e">
        <f t="shared" si="22"/>
        <v>#VALUE!</v>
      </c>
      <c r="G151" s="43" t="e">
        <f t="shared" si="17"/>
        <v>#VALUE!</v>
      </c>
      <c r="H151" s="43" t="e">
        <f t="shared" ca="1" si="18"/>
        <v>#VALUE!</v>
      </c>
      <c r="I151" s="43">
        <f t="shared" si="19"/>
        <v>0</v>
      </c>
      <c r="J151" s="229">
        <f t="shared" si="23"/>
        <v>25</v>
      </c>
      <c r="K151" s="43">
        <f t="shared" si="24"/>
        <v>0</v>
      </c>
      <c r="M151" s="224"/>
      <c r="N151" s="225">
        <f t="shared" si="25"/>
        <v>0</v>
      </c>
      <c r="O151" s="43" t="e">
        <f t="shared" si="26"/>
        <v>#VALUE!</v>
      </c>
      <c r="P151" s="43" t="e">
        <f>ROUND(IF(Preenchimento!$G$39="Tabela Price",R151-Q151,(O150*(1+$AD$35))/($AD$28-C150)),$P$22)</f>
        <v>#VALUE!</v>
      </c>
      <c r="Q151" s="43" t="e">
        <f>IF(Preenchimento!$G$39="Tabela Price",O150*(1+$AD$35)*W151,O150*(1+'SAC Padrão_Sem Bonif'!$AD$35)*'SAC Padrão_Sem Bonif'!W151)</f>
        <v>#VALUE!</v>
      </c>
      <c r="R151" s="43" t="e">
        <f>IF(Preenchimento!$G$39="Tabela Price",IF(C151="","",((((((1+W151)^($Q$16-C150))*W151)/((1+W151)^($Q$16-C150)-1))*(O150*(1+$AD$35))))),Q151+P151)</f>
        <v>#VALUE!</v>
      </c>
      <c r="S151" s="43" t="e">
        <f t="shared" ca="1" si="20"/>
        <v>#VALUE!</v>
      </c>
      <c r="T151" s="43">
        <f t="shared" si="27"/>
        <v>0</v>
      </c>
      <c r="U151" s="226">
        <f>TRUNC(T151*Condições!$C$102,2)</f>
        <v>0</v>
      </c>
      <c r="V151" s="82">
        <f t="shared" ca="1" si="21"/>
        <v>12</v>
      </c>
      <c r="W151" s="231" t="str">
        <f t="shared" si="28"/>
        <v/>
      </c>
      <c r="X151" s="210"/>
      <c r="Y151" s="210"/>
      <c r="Z151" s="210"/>
      <c r="AI151" s="114">
        <f t="shared" si="29"/>
        <v>0</v>
      </c>
      <c r="AJ151" s="113"/>
      <c r="AL151" s="477">
        <f t="shared" ca="1" si="30"/>
        <v>0</v>
      </c>
    </row>
    <row r="152" spans="2:38" ht="12" customHeight="1">
      <c r="B152" s="222">
        <f ca="1">Fixa!B152</f>
        <v>50056</v>
      </c>
      <c r="C152" s="223" t="str">
        <f>Fixa!C152</f>
        <v/>
      </c>
      <c r="D152" s="43" t="e">
        <f t="shared" si="22"/>
        <v>#VALUE!</v>
      </c>
      <c r="E152" s="43" t="e">
        <f t="shared" si="22"/>
        <v>#VALUE!</v>
      </c>
      <c r="F152" s="43" t="e">
        <f t="shared" si="22"/>
        <v>#VALUE!</v>
      </c>
      <c r="G152" s="43" t="e">
        <f t="shared" si="17"/>
        <v>#VALUE!</v>
      </c>
      <c r="H152" s="43" t="e">
        <f t="shared" ca="1" si="18"/>
        <v>#VALUE!</v>
      </c>
      <c r="I152" s="43">
        <f t="shared" si="19"/>
        <v>0</v>
      </c>
      <c r="J152" s="229">
        <f t="shared" si="23"/>
        <v>25</v>
      </c>
      <c r="K152" s="43">
        <f t="shared" si="24"/>
        <v>0</v>
      </c>
      <c r="M152" s="224"/>
      <c r="N152" s="225">
        <f t="shared" si="25"/>
        <v>0</v>
      </c>
      <c r="O152" s="43" t="e">
        <f t="shared" si="26"/>
        <v>#VALUE!</v>
      </c>
      <c r="P152" s="43" t="e">
        <f>ROUND(IF(Preenchimento!$G$39="Tabela Price",R152-Q152,(O151*(1+$AD$35))/($AD$28-C151)),$P$22)</f>
        <v>#VALUE!</v>
      </c>
      <c r="Q152" s="43" t="e">
        <f>IF(Preenchimento!$G$39="Tabela Price",O151*(1+$AD$35)*W152,O151*(1+'SAC Padrão_Sem Bonif'!$AD$35)*'SAC Padrão_Sem Bonif'!W152)</f>
        <v>#VALUE!</v>
      </c>
      <c r="R152" s="43" t="e">
        <f>IF(Preenchimento!$G$39="Tabela Price",IF(C152="","",((((((1+W152)^($Q$16-C151))*W152)/((1+W152)^($Q$16-C151)-1))*(O151*(1+$AD$35))))),Q152+P152)</f>
        <v>#VALUE!</v>
      </c>
      <c r="S152" s="43" t="e">
        <f t="shared" ca="1" si="20"/>
        <v>#VALUE!</v>
      </c>
      <c r="T152" s="43">
        <f t="shared" si="27"/>
        <v>0</v>
      </c>
      <c r="U152" s="226">
        <f>TRUNC(T152*Condições!$C$102,2)</f>
        <v>0</v>
      </c>
      <c r="V152" s="82">
        <f t="shared" ca="1" si="21"/>
        <v>1</v>
      </c>
      <c r="W152" s="231" t="str">
        <f t="shared" si="28"/>
        <v/>
      </c>
      <c r="X152" s="210"/>
      <c r="Y152" s="210"/>
      <c r="Z152" s="210"/>
      <c r="AI152" s="114">
        <f t="shared" si="29"/>
        <v>0</v>
      </c>
      <c r="AJ152" s="113"/>
      <c r="AL152" s="477">
        <f t="shared" ca="1" si="30"/>
        <v>0</v>
      </c>
    </row>
    <row r="153" spans="2:38" ht="12" customHeight="1">
      <c r="B153" s="222">
        <f ca="1">Fixa!B153</f>
        <v>50087</v>
      </c>
      <c r="C153" s="223" t="str">
        <f>Fixa!C153</f>
        <v/>
      </c>
      <c r="D153" s="43" t="e">
        <f t="shared" si="22"/>
        <v>#VALUE!</v>
      </c>
      <c r="E153" s="43" t="e">
        <f t="shared" si="22"/>
        <v>#VALUE!</v>
      </c>
      <c r="F153" s="43" t="e">
        <f t="shared" si="22"/>
        <v>#VALUE!</v>
      </c>
      <c r="G153" s="43" t="e">
        <f t="shared" si="17"/>
        <v>#VALUE!</v>
      </c>
      <c r="H153" s="43" t="e">
        <f t="shared" ca="1" si="18"/>
        <v>#VALUE!</v>
      </c>
      <c r="I153" s="43">
        <f t="shared" si="19"/>
        <v>0</v>
      </c>
      <c r="J153" s="229">
        <f t="shared" si="23"/>
        <v>25</v>
      </c>
      <c r="K153" s="43">
        <f t="shared" si="24"/>
        <v>0</v>
      </c>
      <c r="M153" s="224"/>
      <c r="N153" s="225">
        <f t="shared" si="25"/>
        <v>0</v>
      </c>
      <c r="O153" s="43" t="e">
        <f t="shared" si="26"/>
        <v>#VALUE!</v>
      </c>
      <c r="P153" s="43" t="e">
        <f>ROUND(IF(Preenchimento!$G$39="Tabela Price",R153-Q153,(O152*(1+$AD$35))/($AD$28-C152)),$P$22)</f>
        <v>#VALUE!</v>
      </c>
      <c r="Q153" s="43" t="e">
        <f>IF(Preenchimento!$G$39="Tabela Price",O152*(1+$AD$35)*W153,O152*(1+'SAC Padrão_Sem Bonif'!$AD$35)*'SAC Padrão_Sem Bonif'!W153)</f>
        <v>#VALUE!</v>
      </c>
      <c r="R153" s="43" t="e">
        <f>IF(Preenchimento!$G$39="Tabela Price",IF(C153="","",((((((1+W153)^($Q$16-C152))*W153)/((1+W153)^($Q$16-C152)-1))*(O152*(1+$AD$35))))),Q153+P153)</f>
        <v>#VALUE!</v>
      </c>
      <c r="S153" s="43" t="e">
        <f t="shared" ca="1" si="20"/>
        <v>#VALUE!</v>
      </c>
      <c r="T153" s="43">
        <f t="shared" si="27"/>
        <v>0</v>
      </c>
      <c r="U153" s="226">
        <f>TRUNC(T153*Condições!$C$102,2)</f>
        <v>0</v>
      </c>
      <c r="V153" s="82">
        <f t="shared" ca="1" si="21"/>
        <v>2</v>
      </c>
      <c r="W153" s="231" t="str">
        <f t="shared" si="28"/>
        <v/>
      </c>
      <c r="X153" s="210"/>
      <c r="Y153" s="210"/>
      <c r="Z153" s="210"/>
      <c r="AI153" s="114">
        <f t="shared" si="29"/>
        <v>0</v>
      </c>
      <c r="AJ153" s="113"/>
      <c r="AL153" s="477">
        <f t="shared" ca="1" si="30"/>
        <v>0</v>
      </c>
    </row>
    <row r="154" spans="2:38" ht="12" customHeight="1">
      <c r="B154" s="222">
        <f ca="1">Fixa!B154</f>
        <v>50115</v>
      </c>
      <c r="C154" s="223" t="str">
        <f>Fixa!C154</f>
        <v/>
      </c>
      <c r="D154" s="43" t="e">
        <f t="shared" si="22"/>
        <v>#VALUE!</v>
      </c>
      <c r="E154" s="43" t="e">
        <f t="shared" si="22"/>
        <v>#VALUE!</v>
      </c>
      <c r="F154" s="43" t="e">
        <f t="shared" si="22"/>
        <v>#VALUE!</v>
      </c>
      <c r="G154" s="43" t="e">
        <f t="shared" ref="G154:G217" si="31">F154+E154</f>
        <v>#VALUE!</v>
      </c>
      <c r="H154" s="43" t="e">
        <f t="shared" ref="H154:H217" ca="1" si="32">ROUND(S154,2)</f>
        <v>#VALUE!</v>
      </c>
      <c r="I154" s="43">
        <f t="shared" ref="I154:I217" si="33">ROUND(T154+U154,2)</f>
        <v>0</v>
      </c>
      <c r="J154" s="229">
        <f t="shared" si="23"/>
        <v>25</v>
      </c>
      <c r="K154" s="43">
        <f t="shared" si="24"/>
        <v>0</v>
      </c>
      <c r="M154" s="224"/>
      <c r="N154" s="225">
        <f t="shared" si="25"/>
        <v>0</v>
      </c>
      <c r="O154" s="43" t="e">
        <f t="shared" si="26"/>
        <v>#VALUE!</v>
      </c>
      <c r="P154" s="43" t="e">
        <f>ROUND(IF(Preenchimento!$G$39="Tabela Price",R154-Q154,(O153*(1+$AD$35))/($AD$28-C153)),$P$22)</f>
        <v>#VALUE!</v>
      </c>
      <c r="Q154" s="43" t="e">
        <f>IF(Preenchimento!$G$39="Tabela Price",O153*(1+$AD$35)*W154,O153*(1+'SAC Padrão_Sem Bonif'!$AD$35)*'SAC Padrão_Sem Bonif'!W154)</f>
        <v>#VALUE!</v>
      </c>
      <c r="R154" s="43" t="e">
        <f>IF(Preenchimento!$G$39="Tabela Price",IF(C154="","",((((((1+W154)^($Q$16-C153))*W154)/((1+W154)^($Q$16-C153)-1))*(O153*(1+$AD$35))))),Q154+P154)</f>
        <v>#VALUE!</v>
      </c>
      <c r="S154" s="43" t="e">
        <f t="shared" ref="S154:S217" ca="1" si="34">ROUND($AD$34*O154,$P$22)</f>
        <v>#VALUE!</v>
      </c>
      <c r="T154" s="43">
        <f t="shared" si="27"/>
        <v>0</v>
      </c>
      <c r="U154" s="226">
        <f>TRUNC(T154*Condições!$C$102,2)</f>
        <v>0</v>
      </c>
      <c r="V154" s="82">
        <f t="shared" ref="V154:V217" ca="1" si="35">MONTH(B154)</f>
        <v>3</v>
      </c>
      <c r="W154" s="231" t="str">
        <f t="shared" si="28"/>
        <v/>
      </c>
      <c r="X154" s="210"/>
      <c r="Y154" s="210"/>
      <c r="Z154" s="210"/>
      <c r="AI154" s="114">
        <f t="shared" si="29"/>
        <v>0</v>
      </c>
      <c r="AJ154" s="113"/>
      <c r="AL154" s="477">
        <f t="shared" ca="1" si="30"/>
        <v>0</v>
      </c>
    </row>
    <row r="155" spans="2:38" ht="12" customHeight="1">
      <c r="B155" s="222">
        <f ca="1">Fixa!B155</f>
        <v>50146</v>
      </c>
      <c r="C155" s="223" t="str">
        <f>Fixa!C155</f>
        <v/>
      </c>
      <c r="D155" s="43" t="e">
        <f t="shared" ref="D155:F218" si="36">ROUND(O155,2)</f>
        <v>#VALUE!</v>
      </c>
      <c r="E155" s="43" t="e">
        <f t="shared" si="36"/>
        <v>#VALUE!</v>
      </c>
      <c r="F155" s="43" t="e">
        <f t="shared" si="36"/>
        <v>#VALUE!</v>
      </c>
      <c r="G155" s="43" t="e">
        <f t="shared" si="31"/>
        <v>#VALUE!</v>
      </c>
      <c r="H155" s="43" t="e">
        <f t="shared" ca="1" si="32"/>
        <v>#VALUE!</v>
      </c>
      <c r="I155" s="43">
        <f t="shared" si="33"/>
        <v>0</v>
      </c>
      <c r="J155" s="229">
        <f t="shared" ref="J155:J218" si="37">$AD$31</f>
        <v>25</v>
      </c>
      <c r="K155" s="43">
        <f t="shared" ref="K155:K218" si="38">IF(C155&gt;$AD$28,0,J155+G155+I155+H155)</f>
        <v>0</v>
      </c>
      <c r="M155" s="224"/>
      <c r="N155" s="225">
        <f t="shared" ref="N155:N218" si="39">IF(C155&gt;$AD$28,0,(H155+I155)/(1.008^((12*(B155-$B$25))/365)))</f>
        <v>0</v>
      </c>
      <c r="O155" s="43" t="e">
        <f t="shared" ref="O155:O218" si="40">ROUND((O154*(1+$AD$35)-P155),$P$22)</f>
        <v>#VALUE!</v>
      </c>
      <c r="P155" s="43" t="e">
        <f>ROUND(IF(Preenchimento!$G$39="Tabela Price",R155-Q155,(O154*(1+$AD$35))/($AD$28-C154)),$P$22)</f>
        <v>#VALUE!</v>
      </c>
      <c r="Q155" s="43" t="e">
        <f>IF(Preenchimento!$G$39="Tabela Price",O154*(1+$AD$35)*W155,O154*(1+'SAC Padrão_Sem Bonif'!$AD$35)*'SAC Padrão_Sem Bonif'!W155)</f>
        <v>#VALUE!</v>
      </c>
      <c r="R155" s="43" t="e">
        <f>IF(Preenchimento!$G$39="Tabela Price",IF(C155="","",((((((1+W155)^($Q$16-C154))*W155)/((1+W155)^($Q$16-C154)-1))*(O154*(1+$AD$35))))),Q155+P155)</f>
        <v>#VALUE!</v>
      </c>
      <c r="S155" s="43" t="e">
        <f t="shared" ca="1" si="34"/>
        <v>#VALUE!</v>
      </c>
      <c r="T155" s="43">
        <f t="shared" ref="T155:T218" si="41">IF(C155&gt;=$AD$28,0,ROUND($AD$25*$AD$33,$P$22))</f>
        <v>0</v>
      </c>
      <c r="U155" s="226">
        <f>TRUNC(T155*Condições!$C$102,2)</f>
        <v>0</v>
      </c>
      <c r="V155" s="82">
        <f t="shared" ca="1" si="35"/>
        <v>4</v>
      </c>
      <c r="W155" s="231" t="str">
        <f t="shared" ref="W155:W218" si="42">IF(C155="","",IF(AND(C155&gt;$AD$46,$AD$46&lt;&gt;""),$AE$29,$AD$29))</f>
        <v/>
      </c>
      <c r="X155" s="210"/>
      <c r="Y155" s="210"/>
      <c r="Z155" s="210"/>
      <c r="AI155" s="114">
        <f t="shared" ref="AI155:AI218" si="43">IF(C155&gt;$AD$28,0,R155+S155+T155+U155+J155)</f>
        <v>0</v>
      </c>
      <c r="AJ155" s="113"/>
      <c r="AL155" s="477">
        <f t="shared" ref="AL155:AL218" ca="1" si="44">IFERROR(IF(V154&gt;$AD$28,0,R155),0)</f>
        <v>0</v>
      </c>
    </row>
    <row r="156" spans="2:38" ht="12" customHeight="1">
      <c r="B156" s="222">
        <f ca="1">Fixa!B156</f>
        <v>50176</v>
      </c>
      <c r="C156" s="223" t="str">
        <f>Fixa!C156</f>
        <v/>
      </c>
      <c r="D156" s="43" t="e">
        <f t="shared" si="36"/>
        <v>#VALUE!</v>
      </c>
      <c r="E156" s="43" t="e">
        <f t="shared" si="36"/>
        <v>#VALUE!</v>
      </c>
      <c r="F156" s="43" t="e">
        <f t="shared" si="36"/>
        <v>#VALUE!</v>
      </c>
      <c r="G156" s="43" t="e">
        <f t="shared" si="31"/>
        <v>#VALUE!</v>
      </c>
      <c r="H156" s="43" t="e">
        <f t="shared" ca="1" si="32"/>
        <v>#VALUE!</v>
      </c>
      <c r="I156" s="43">
        <f t="shared" si="33"/>
        <v>0</v>
      </c>
      <c r="J156" s="229">
        <f t="shared" si="37"/>
        <v>25</v>
      </c>
      <c r="K156" s="43">
        <f t="shared" si="38"/>
        <v>0</v>
      </c>
      <c r="M156" s="224"/>
      <c r="N156" s="225">
        <f t="shared" si="39"/>
        <v>0</v>
      </c>
      <c r="O156" s="43" t="e">
        <f t="shared" si="40"/>
        <v>#VALUE!</v>
      </c>
      <c r="P156" s="43" t="e">
        <f>ROUND(IF(Preenchimento!$G$39="Tabela Price",R156-Q156,(O155*(1+$AD$35))/($AD$28-C155)),$P$22)</f>
        <v>#VALUE!</v>
      </c>
      <c r="Q156" s="43" t="e">
        <f>IF(Preenchimento!$G$39="Tabela Price",O155*(1+$AD$35)*W156,O155*(1+'SAC Padrão_Sem Bonif'!$AD$35)*'SAC Padrão_Sem Bonif'!W156)</f>
        <v>#VALUE!</v>
      </c>
      <c r="R156" s="43" t="e">
        <f>IF(Preenchimento!$G$39="Tabela Price",IF(C156="","",((((((1+W156)^($Q$16-C155))*W156)/((1+W156)^($Q$16-C155)-1))*(O155*(1+$AD$35))))),Q156+P156)</f>
        <v>#VALUE!</v>
      </c>
      <c r="S156" s="43" t="e">
        <f t="shared" ca="1" si="34"/>
        <v>#VALUE!</v>
      </c>
      <c r="T156" s="43">
        <f t="shared" si="41"/>
        <v>0</v>
      </c>
      <c r="U156" s="226">
        <f>TRUNC(T156*Condições!$C$102,2)</f>
        <v>0</v>
      </c>
      <c r="V156" s="82">
        <f t="shared" ca="1" si="35"/>
        <v>5</v>
      </c>
      <c r="W156" s="231" t="str">
        <f t="shared" si="42"/>
        <v/>
      </c>
      <c r="X156" s="210"/>
      <c r="Y156" s="210"/>
      <c r="Z156" s="210"/>
      <c r="AI156" s="114">
        <f t="shared" si="43"/>
        <v>0</v>
      </c>
      <c r="AJ156" s="113"/>
      <c r="AL156" s="477">
        <f t="shared" ca="1" si="44"/>
        <v>0</v>
      </c>
    </row>
    <row r="157" spans="2:38" ht="12" customHeight="1">
      <c r="B157" s="222">
        <f ca="1">Fixa!B157</f>
        <v>50207</v>
      </c>
      <c r="C157" s="223" t="str">
        <f>Fixa!C157</f>
        <v/>
      </c>
      <c r="D157" s="43" t="e">
        <f t="shared" si="36"/>
        <v>#VALUE!</v>
      </c>
      <c r="E157" s="43" t="e">
        <f t="shared" si="36"/>
        <v>#VALUE!</v>
      </c>
      <c r="F157" s="43" t="e">
        <f t="shared" si="36"/>
        <v>#VALUE!</v>
      </c>
      <c r="G157" s="43" t="e">
        <f t="shared" si="31"/>
        <v>#VALUE!</v>
      </c>
      <c r="H157" s="43" t="e">
        <f t="shared" ca="1" si="32"/>
        <v>#VALUE!</v>
      </c>
      <c r="I157" s="43">
        <f t="shared" si="33"/>
        <v>0</v>
      </c>
      <c r="J157" s="229">
        <f t="shared" si="37"/>
        <v>25</v>
      </c>
      <c r="K157" s="43">
        <f t="shared" si="38"/>
        <v>0</v>
      </c>
      <c r="M157" s="224"/>
      <c r="N157" s="225">
        <f t="shared" si="39"/>
        <v>0</v>
      </c>
      <c r="O157" s="43" t="e">
        <f t="shared" si="40"/>
        <v>#VALUE!</v>
      </c>
      <c r="P157" s="43" t="e">
        <f>ROUND(IF(Preenchimento!$G$39="Tabela Price",R157-Q157,(O156*(1+$AD$35))/($AD$28-C156)),$P$22)</f>
        <v>#VALUE!</v>
      </c>
      <c r="Q157" s="43" t="e">
        <f>IF(Preenchimento!$G$39="Tabela Price",O156*(1+$AD$35)*W157,O156*(1+'SAC Padrão_Sem Bonif'!$AD$35)*'SAC Padrão_Sem Bonif'!W157)</f>
        <v>#VALUE!</v>
      </c>
      <c r="R157" s="43" t="e">
        <f>IF(Preenchimento!$G$39="Tabela Price",IF(C157="","",((((((1+W157)^($Q$16-C156))*W157)/((1+W157)^($Q$16-C156)-1))*(O156*(1+$AD$35))))),Q157+P157)</f>
        <v>#VALUE!</v>
      </c>
      <c r="S157" s="43" t="e">
        <f t="shared" ca="1" si="34"/>
        <v>#VALUE!</v>
      </c>
      <c r="T157" s="43">
        <f t="shared" si="41"/>
        <v>0</v>
      </c>
      <c r="U157" s="226">
        <f>TRUNC(T157*Condições!$C$102,2)</f>
        <v>0</v>
      </c>
      <c r="V157" s="82">
        <f t="shared" ca="1" si="35"/>
        <v>6</v>
      </c>
      <c r="W157" s="231" t="str">
        <f t="shared" si="42"/>
        <v/>
      </c>
      <c r="X157" s="210"/>
      <c r="Y157" s="210"/>
      <c r="Z157" s="210"/>
      <c r="AI157" s="114">
        <f t="shared" si="43"/>
        <v>0</v>
      </c>
      <c r="AJ157" s="113"/>
      <c r="AL157" s="477">
        <f t="shared" ca="1" si="44"/>
        <v>0</v>
      </c>
    </row>
    <row r="158" spans="2:38" ht="12" customHeight="1">
      <c r="B158" s="222">
        <f ca="1">Fixa!B158</f>
        <v>50237</v>
      </c>
      <c r="C158" s="223" t="str">
        <f>Fixa!C158</f>
        <v/>
      </c>
      <c r="D158" s="43" t="e">
        <f t="shared" si="36"/>
        <v>#VALUE!</v>
      </c>
      <c r="E158" s="43" t="e">
        <f t="shared" si="36"/>
        <v>#VALUE!</v>
      </c>
      <c r="F158" s="43" t="e">
        <f t="shared" si="36"/>
        <v>#VALUE!</v>
      </c>
      <c r="G158" s="43" t="e">
        <f t="shared" si="31"/>
        <v>#VALUE!</v>
      </c>
      <c r="H158" s="43" t="e">
        <f t="shared" ca="1" si="32"/>
        <v>#VALUE!</v>
      </c>
      <c r="I158" s="43">
        <f t="shared" si="33"/>
        <v>0</v>
      </c>
      <c r="J158" s="229">
        <f t="shared" si="37"/>
        <v>25</v>
      </c>
      <c r="K158" s="43">
        <f t="shared" si="38"/>
        <v>0</v>
      </c>
      <c r="M158" s="224"/>
      <c r="N158" s="225">
        <f t="shared" si="39"/>
        <v>0</v>
      </c>
      <c r="O158" s="43" t="e">
        <f t="shared" si="40"/>
        <v>#VALUE!</v>
      </c>
      <c r="P158" s="43" t="e">
        <f>ROUND(IF(Preenchimento!$G$39="Tabela Price",R158-Q158,(O157*(1+$AD$35))/($AD$28-C157)),$P$22)</f>
        <v>#VALUE!</v>
      </c>
      <c r="Q158" s="43" t="e">
        <f>IF(Preenchimento!$G$39="Tabela Price",O157*(1+$AD$35)*W158,O157*(1+'SAC Padrão_Sem Bonif'!$AD$35)*'SAC Padrão_Sem Bonif'!W158)</f>
        <v>#VALUE!</v>
      </c>
      <c r="R158" s="43" t="e">
        <f>IF(Preenchimento!$G$39="Tabela Price",IF(C158="","",((((((1+W158)^($Q$16-C157))*W158)/((1+W158)^($Q$16-C157)-1))*(O157*(1+$AD$35))))),Q158+P158)</f>
        <v>#VALUE!</v>
      </c>
      <c r="S158" s="43" t="e">
        <f t="shared" ca="1" si="34"/>
        <v>#VALUE!</v>
      </c>
      <c r="T158" s="43">
        <f t="shared" si="41"/>
        <v>0</v>
      </c>
      <c r="U158" s="226">
        <f>TRUNC(T158*Condições!$C$102,2)</f>
        <v>0</v>
      </c>
      <c r="V158" s="82">
        <f t="shared" ca="1" si="35"/>
        <v>7</v>
      </c>
      <c r="W158" s="231" t="str">
        <f t="shared" si="42"/>
        <v/>
      </c>
      <c r="X158" s="210"/>
      <c r="Y158" s="210"/>
      <c r="Z158" s="210"/>
      <c r="AI158" s="114">
        <f t="shared" si="43"/>
        <v>0</v>
      </c>
      <c r="AJ158" s="113"/>
      <c r="AL158" s="477">
        <f t="shared" ca="1" si="44"/>
        <v>0</v>
      </c>
    </row>
    <row r="159" spans="2:38" ht="12" customHeight="1">
      <c r="B159" s="222">
        <f ca="1">Fixa!B159</f>
        <v>50268</v>
      </c>
      <c r="C159" s="223" t="str">
        <f>Fixa!C159</f>
        <v/>
      </c>
      <c r="D159" s="43" t="e">
        <f t="shared" si="36"/>
        <v>#VALUE!</v>
      </c>
      <c r="E159" s="43" t="e">
        <f t="shared" si="36"/>
        <v>#VALUE!</v>
      </c>
      <c r="F159" s="43" t="e">
        <f t="shared" si="36"/>
        <v>#VALUE!</v>
      </c>
      <c r="G159" s="43" t="e">
        <f t="shared" si="31"/>
        <v>#VALUE!</v>
      </c>
      <c r="H159" s="43" t="e">
        <f t="shared" ca="1" si="32"/>
        <v>#VALUE!</v>
      </c>
      <c r="I159" s="43">
        <f t="shared" si="33"/>
        <v>0</v>
      </c>
      <c r="J159" s="229">
        <f t="shared" si="37"/>
        <v>25</v>
      </c>
      <c r="K159" s="43">
        <f t="shared" si="38"/>
        <v>0</v>
      </c>
      <c r="M159" s="224"/>
      <c r="N159" s="225">
        <f t="shared" si="39"/>
        <v>0</v>
      </c>
      <c r="O159" s="43" t="e">
        <f t="shared" si="40"/>
        <v>#VALUE!</v>
      </c>
      <c r="P159" s="43" t="e">
        <f>ROUND(IF(Preenchimento!$G$39="Tabela Price",R159-Q159,(O158*(1+$AD$35))/($AD$28-C158)),$P$22)</f>
        <v>#VALUE!</v>
      </c>
      <c r="Q159" s="43" t="e">
        <f>IF(Preenchimento!$G$39="Tabela Price",O158*(1+$AD$35)*W159,O158*(1+'SAC Padrão_Sem Bonif'!$AD$35)*'SAC Padrão_Sem Bonif'!W159)</f>
        <v>#VALUE!</v>
      </c>
      <c r="R159" s="43" t="e">
        <f>IF(Preenchimento!$G$39="Tabela Price",IF(C159="","",((((((1+W159)^($Q$16-C158))*W159)/((1+W159)^($Q$16-C158)-1))*(O158*(1+$AD$35))))),Q159+P159)</f>
        <v>#VALUE!</v>
      </c>
      <c r="S159" s="43" t="e">
        <f t="shared" ca="1" si="34"/>
        <v>#VALUE!</v>
      </c>
      <c r="T159" s="43">
        <f t="shared" si="41"/>
        <v>0</v>
      </c>
      <c r="U159" s="226">
        <f>TRUNC(T159*Condições!$C$102,2)</f>
        <v>0</v>
      </c>
      <c r="V159" s="82">
        <f t="shared" ca="1" si="35"/>
        <v>8</v>
      </c>
      <c r="W159" s="231" t="str">
        <f t="shared" si="42"/>
        <v/>
      </c>
      <c r="X159" s="210"/>
      <c r="Y159" s="210"/>
      <c r="Z159" s="210"/>
      <c r="AI159" s="114">
        <f t="shared" si="43"/>
        <v>0</v>
      </c>
      <c r="AJ159" s="113"/>
      <c r="AL159" s="477">
        <f t="shared" ca="1" si="44"/>
        <v>0</v>
      </c>
    </row>
    <row r="160" spans="2:38" ht="12" customHeight="1">
      <c r="B160" s="222">
        <f ca="1">Fixa!B160</f>
        <v>50299</v>
      </c>
      <c r="C160" s="223" t="str">
        <f>Fixa!C160</f>
        <v/>
      </c>
      <c r="D160" s="43" t="e">
        <f t="shared" si="36"/>
        <v>#VALUE!</v>
      </c>
      <c r="E160" s="43" t="e">
        <f t="shared" si="36"/>
        <v>#VALUE!</v>
      </c>
      <c r="F160" s="43" t="e">
        <f t="shared" si="36"/>
        <v>#VALUE!</v>
      </c>
      <c r="G160" s="43" t="e">
        <f t="shared" si="31"/>
        <v>#VALUE!</v>
      </c>
      <c r="H160" s="43" t="e">
        <f t="shared" ca="1" si="32"/>
        <v>#VALUE!</v>
      </c>
      <c r="I160" s="43">
        <f t="shared" si="33"/>
        <v>0</v>
      </c>
      <c r="J160" s="229">
        <f t="shared" si="37"/>
        <v>25</v>
      </c>
      <c r="K160" s="43">
        <f t="shared" si="38"/>
        <v>0</v>
      </c>
      <c r="M160" s="224"/>
      <c r="N160" s="225">
        <f t="shared" si="39"/>
        <v>0</v>
      </c>
      <c r="O160" s="43" t="e">
        <f t="shared" si="40"/>
        <v>#VALUE!</v>
      </c>
      <c r="P160" s="43" t="e">
        <f>ROUND(IF(Preenchimento!$G$39="Tabela Price",R160-Q160,(O159*(1+$AD$35))/($AD$28-C159)),$P$22)</f>
        <v>#VALUE!</v>
      </c>
      <c r="Q160" s="43" t="e">
        <f>IF(Preenchimento!$G$39="Tabela Price",O159*(1+$AD$35)*W160,O159*(1+'SAC Padrão_Sem Bonif'!$AD$35)*'SAC Padrão_Sem Bonif'!W160)</f>
        <v>#VALUE!</v>
      </c>
      <c r="R160" s="43" t="e">
        <f>IF(Preenchimento!$G$39="Tabela Price",IF(C160="","",((((((1+W160)^($Q$16-C159))*W160)/((1+W160)^($Q$16-C159)-1))*(O159*(1+$AD$35))))),Q160+P160)</f>
        <v>#VALUE!</v>
      </c>
      <c r="S160" s="43" t="e">
        <f t="shared" ca="1" si="34"/>
        <v>#VALUE!</v>
      </c>
      <c r="T160" s="43">
        <f t="shared" si="41"/>
        <v>0</v>
      </c>
      <c r="U160" s="226">
        <f>TRUNC(T160*Condições!$C$102,2)</f>
        <v>0</v>
      </c>
      <c r="V160" s="82">
        <f t="shared" ca="1" si="35"/>
        <v>9</v>
      </c>
      <c r="W160" s="231" t="str">
        <f t="shared" si="42"/>
        <v/>
      </c>
      <c r="X160" s="210"/>
      <c r="Y160" s="210"/>
      <c r="Z160" s="210"/>
      <c r="AI160" s="114">
        <f t="shared" si="43"/>
        <v>0</v>
      </c>
      <c r="AJ160" s="113"/>
      <c r="AL160" s="477">
        <f t="shared" ca="1" si="44"/>
        <v>0</v>
      </c>
    </row>
    <row r="161" spans="2:38" ht="12" customHeight="1">
      <c r="B161" s="222">
        <f ca="1">Fixa!B161</f>
        <v>50329</v>
      </c>
      <c r="C161" s="223" t="str">
        <f>Fixa!C161</f>
        <v/>
      </c>
      <c r="D161" s="43" t="e">
        <f t="shared" si="36"/>
        <v>#VALUE!</v>
      </c>
      <c r="E161" s="43" t="e">
        <f t="shared" si="36"/>
        <v>#VALUE!</v>
      </c>
      <c r="F161" s="43" t="e">
        <f t="shared" si="36"/>
        <v>#VALUE!</v>
      </c>
      <c r="G161" s="43" t="e">
        <f t="shared" si="31"/>
        <v>#VALUE!</v>
      </c>
      <c r="H161" s="43" t="e">
        <f t="shared" ca="1" si="32"/>
        <v>#VALUE!</v>
      </c>
      <c r="I161" s="43">
        <f t="shared" si="33"/>
        <v>0</v>
      </c>
      <c r="J161" s="229">
        <f t="shared" si="37"/>
        <v>25</v>
      </c>
      <c r="K161" s="43">
        <f t="shared" si="38"/>
        <v>0</v>
      </c>
      <c r="M161" s="224"/>
      <c r="N161" s="225">
        <f t="shared" si="39"/>
        <v>0</v>
      </c>
      <c r="O161" s="43" t="e">
        <f t="shared" si="40"/>
        <v>#VALUE!</v>
      </c>
      <c r="P161" s="43" t="e">
        <f>ROUND(IF(Preenchimento!$G$39="Tabela Price",R161-Q161,(O160*(1+$AD$35))/($AD$28-C160)),$P$22)</f>
        <v>#VALUE!</v>
      </c>
      <c r="Q161" s="43" t="e">
        <f>IF(Preenchimento!$G$39="Tabela Price",O160*(1+$AD$35)*W161,O160*(1+'SAC Padrão_Sem Bonif'!$AD$35)*'SAC Padrão_Sem Bonif'!W161)</f>
        <v>#VALUE!</v>
      </c>
      <c r="R161" s="43" t="e">
        <f>IF(Preenchimento!$G$39="Tabela Price",IF(C161="","",((((((1+W161)^($Q$16-C160))*W161)/((1+W161)^($Q$16-C160)-1))*(O160*(1+$AD$35))))),Q161+P161)</f>
        <v>#VALUE!</v>
      </c>
      <c r="S161" s="43" t="e">
        <f t="shared" ca="1" si="34"/>
        <v>#VALUE!</v>
      </c>
      <c r="T161" s="43">
        <f t="shared" si="41"/>
        <v>0</v>
      </c>
      <c r="U161" s="226">
        <f>TRUNC(T161*Condições!$C$102,2)</f>
        <v>0</v>
      </c>
      <c r="V161" s="82">
        <f t="shared" ca="1" si="35"/>
        <v>10</v>
      </c>
      <c r="W161" s="231" t="str">
        <f t="shared" si="42"/>
        <v/>
      </c>
      <c r="X161" s="210"/>
      <c r="Y161" s="210"/>
      <c r="Z161" s="210"/>
      <c r="AI161" s="114">
        <f t="shared" si="43"/>
        <v>0</v>
      </c>
      <c r="AJ161" s="113"/>
      <c r="AL161" s="477">
        <f t="shared" ca="1" si="44"/>
        <v>0</v>
      </c>
    </row>
    <row r="162" spans="2:38" ht="12" customHeight="1">
      <c r="B162" s="222">
        <f ca="1">Fixa!B162</f>
        <v>50360</v>
      </c>
      <c r="C162" s="223" t="str">
        <f>Fixa!C162</f>
        <v/>
      </c>
      <c r="D162" s="43" t="e">
        <f t="shared" si="36"/>
        <v>#VALUE!</v>
      </c>
      <c r="E162" s="43" t="e">
        <f t="shared" si="36"/>
        <v>#VALUE!</v>
      </c>
      <c r="F162" s="43" t="e">
        <f t="shared" si="36"/>
        <v>#VALUE!</v>
      </c>
      <c r="G162" s="43" t="e">
        <f t="shared" si="31"/>
        <v>#VALUE!</v>
      </c>
      <c r="H162" s="43" t="e">
        <f t="shared" ca="1" si="32"/>
        <v>#VALUE!</v>
      </c>
      <c r="I162" s="43">
        <f t="shared" si="33"/>
        <v>0</v>
      </c>
      <c r="J162" s="229">
        <f t="shared" si="37"/>
        <v>25</v>
      </c>
      <c r="K162" s="43">
        <f t="shared" si="38"/>
        <v>0</v>
      </c>
      <c r="M162" s="224"/>
      <c r="N162" s="225">
        <f t="shared" si="39"/>
        <v>0</v>
      </c>
      <c r="O162" s="43" t="e">
        <f t="shared" si="40"/>
        <v>#VALUE!</v>
      </c>
      <c r="P162" s="43" t="e">
        <f>ROUND(IF(Preenchimento!$G$39="Tabela Price",R162-Q162,(O161*(1+$AD$35))/($AD$28-C161)),$P$22)</f>
        <v>#VALUE!</v>
      </c>
      <c r="Q162" s="43" t="e">
        <f>IF(Preenchimento!$G$39="Tabela Price",O161*(1+$AD$35)*W162,O161*(1+'SAC Padrão_Sem Bonif'!$AD$35)*'SAC Padrão_Sem Bonif'!W162)</f>
        <v>#VALUE!</v>
      </c>
      <c r="R162" s="43" t="e">
        <f>IF(Preenchimento!$G$39="Tabela Price",IF(C162="","",((((((1+W162)^($Q$16-C161))*W162)/((1+W162)^($Q$16-C161)-1))*(O161*(1+$AD$35))))),Q162+P162)</f>
        <v>#VALUE!</v>
      </c>
      <c r="S162" s="43" t="e">
        <f t="shared" ca="1" si="34"/>
        <v>#VALUE!</v>
      </c>
      <c r="T162" s="43">
        <f t="shared" si="41"/>
        <v>0</v>
      </c>
      <c r="U162" s="226">
        <f>TRUNC(T162*Condições!$C$102,2)</f>
        <v>0</v>
      </c>
      <c r="V162" s="82">
        <f t="shared" ca="1" si="35"/>
        <v>11</v>
      </c>
      <c r="W162" s="231" t="str">
        <f t="shared" si="42"/>
        <v/>
      </c>
      <c r="X162" s="210"/>
      <c r="Y162" s="210"/>
      <c r="Z162" s="210"/>
      <c r="AI162" s="114">
        <f t="shared" si="43"/>
        <v>0</v>
      </c>
      <c r="AJ162" s="113"/>
      <c r="AL162" s="477">
        <f t="shared" ca="1" si="44"/>
        <v>0</v>
      </c>
    </row>
    <row r="163" spans="2:38" ht="12" customHeight="1">
      <c r="B163" s="222">
        <f ca="1">Fixa!B163</f>
        <v>50390</v>
      </c>
      <c r="C163" s="223" t="str">
        <f>Fixa!C163</f>
        <v/>
      </c>
      <c r="D163" s="43" t="e">
        <f t="shared" si="36"/>
        <v>#VALUE!</v>
      </c>
      <c r="E163" s="43" t="e">
        <f t="shared" si="36"/>
        <v>#VALUE!</v>
      </c>
      <c r="F163" s="43" t="e">
        <f t="shared" si="36"/>
        <v>#VALUE!</v>
      </c>
      <c r="G163" s="43" t="e">
        <f t="shared" si="31"/>
        <v>#VALUE!</v>
      </c>
      <c r="H163" s="43" t="e">
        <f t="shared" ca="1" si="32"/>
        <v>#VALUE!</v>
      </c>
      <c r="I163" s="43">
        <f t="shared" si="33"/>
        <v>0</v>
      </c>
      <c r="J163" s="229">
        <f t="shared" si="37"/>
        <v>25</v>
      </c>
      <c r="K163" s="43">
        <f t="shared" si="38"/>
        <v>0</v>
      </c>
      <c r="M163" s="224"/>
      <c r="N163" s="225">
        <f t="shared" si="39"/>
        <v>0</v>
      </c>
      <c r="O163" s="43" t="e">
        <f t="shared" si="40"/>
        <v>#VALUE!</v>
      </c>
      <c r="P163" s="43" t="e">
        <f>ROUND(IF(Preenchimento!$G$39="Tabela Price",R163-Q163,(O162*(1+$AD$35))/($AD$28-C162)),$P$22)</f>
        <v>#VALUE!</v>
      </c>
      <c r="Q163" s="43" t="e">
        <f>IF(Preenchimento!$G$39="Tabela Price",O162*(1+$AD$35)*W163,O162*(1+'SAC Padrão_Sem Bonif'!$AD$35)*'SAC Padrão_Sem Bonif'!W163)</f>
        <v>#VALUE!</v>
      </c>
      <c r="R163" s="43" t="e">
        <f>IF(Preenchimento!$G$39="Tabela Price",IF(C163="","",((((((1+W163)^($Q$16-C162))*W163)/((1+W163)^($Q$16-C162)-1))*(O162*(1+$AD$35))))),Q163+P163)</f>
        <v>#VALUE!</v>
      </c>
      <c r="S163" s="43" t="e">
        <f t="shared" ca="1" si="34"/>
        <v>#VALUE!</v>
      </c>
      <c r="T163" s="43">
        <f t="shared" si="41"/>
        <v>0</v>
      </c>
      <c r="U163" s="226">
        <f>TRUNC(T163*Condições!$C$102,2)</f>
        <v>0</v>
      </c>
      <c r="V163" s="82">
        <f t="shared" ca="1" si="35"/>
        <v>12</v>
      </c>
      <c r="W163" s="231" t="str">
        <f t="shared" si="42"/>
        <v/>
      </c>
      <c r="X163" s="210"/>
      <c r="Y163" s="210"/>
      <c r="Z163" s="210"/>
      <c r="AI163" s="114">
        <f t="shared" si="43"/>
        <v>0</v>
      </c>
      <c r="AJ163" s="113"/>
      <c r="AL163" s="477">
        <f t="shared" ca="1" si="44"/>
        <v>0</v>
      </c>
    </row>
    <row r="164" spans="2:38" ht="12" customHeight="1">
      <c r="B164" s="222">
        <f ca="1">Fixa!B164</f>
        <v>50421</v>
      </c>
      <c r="C164" s="223" t="str">
        <f>Fixa!C164</f>
        <v/>
      </c>
      <c r="D164" s="43" t="e">
        <f t="shared" si="36"/>
        <v>#VALUE!</v>
      </c>
      <c r="E164" s="43" t="e">
        <f t="shared" si="36"/>
        <v>#VALUE!</v>
      </c>
      <c r="F164" s="43" t="e">
        <f t="shared" si="36"/>
        <v>#VALUE!</v>
      </c>
      <c r="G164" s="43" t="e">
        <f t="shared" si="31"/>
        <v>#VALUE!</v>
      </c>
      <c r="H164" s="43" t="e">
        <f t="shared" ca="1" si="32"/>
        <v>#VALUE!</v>
      </c>
      <c r="I164" s="43">
        <f t="shared" si="33"/>
        <v>0</v>
      </c>
      <c r="J164" s="229">
        <f t="shared" si="37"/>
        <v>25</v>
      </c>
      <c r="K164" s="43">
        <f t="shared" si="38"/>
        <v>0</v>
      </c>
      <c r="M164" s="224"/>
      <c r="N164" s="225">
        <f t="shared" si="39"/>
        <v>0</v>
      </c>
      <c r="O164" s="43" t="e">
        <f t="shared" si="40"/>
        <v>#VALUE!</v>
      </c>
      <c r="P164" s="43" t="e">
        <f>ROUND(IF(Preenchimento!$G$39="Tabela Price",R164-Q164,(O163*(1+$AD$35))/($AD$28-C163)),$P$22)</f>
        <v>#VALUE!</v>
      </c>
      <c r="Q164" s="43" t="e">
        <f>IF(Preenchimento!$G$39="Tabela Price",O163*(1+$AD$35)*W164,O163*(1+'SAC Padrão_Sem Bonif'!$AD$35)*'SAC Padrão_Sem Bonif'!W164)</f>
        <v>#VALUE!</v>
      </c>
      <c r="R164" s="43" t="e">
        <f>IF(Preenchimento!$G$39="Tabela Price",IF(C164="","",((((((1+W164)^($Q$16-C163))*W164)/((1+W164)^($Q$16-C163)-1))*(O163*(1+$AD$35))))),Q164+P164)</f>
        <v>#VALUE!</v>
      </c>
      <c r="S164" s="43" t="e">
        <f t="shared" ca="1" si="34"/>
        <v>#VALUE!</v>
      </c>
      <c r="T164" s="43">
        <f t="shared" si="41"/>
        <v>0</v>
      </c>
      <c r="U164" s="226">
        <f>TRUNC(T164*Condições!$C$102,2)</f>
        <v>0</v>
      </c>
      <c r="V164" s="82">
        <f t="shared" ca="1" si="35"/>
        <v>1</v>
      </c>
      <c r="W164" s="231" t="str">
        <f t="shared" si="42"/>
        <v/>
      </c>
      <c r="X164" s="210"/>
      <c r="Y164" s="210"/>
      <c r="Z164" s="210"/>
      <c r="AI164" s="114">
        <f t="shared" si="43"/>
        <v>0</v>
      </c>
      <c r="AJ164" s="113"/>
      <c r="AL164" s="477">
        <f t="shared" ca="1" si="44"/>
        <v>0</v>
      </c>
    </row>
    <row r="165" spans="2:38" ht="12" customHeight="1">
      <c r="B165" s="222">
        <f ca="1">Fixa!B165</f>
        <v>50452</v>
      </c>
      <c r="C165" s="223" t="str">
        <f>Fixa!C165</f>
        <v/>
      </c>
      <c r="D165" s="43" t="e">
        <f t="shared" si="36"/>
        <v>#VALUE!</v>
      </c>
      <c r="E165" s="43" t="e">
        <f t="shared" si="36"/>
        <v>#VALUE!</v>
      </c>
      <c r="F165" s="43" t="e">
        <f t="shared" si="36"/>
        <v>#VALUE!</v>
      </c>
      <c r="G165" s="43" t="e">
        <f t="shared" si="31"/>
        <v>#VALUE!</v>
      </c>
      <c r="H165" s="43" t="e">
        <f t="shared" ca="1" si="32"/>
        <v>#VALUE!</v>
      </c>
      <c r="I165" s="43">
        <f t="shared" si="33"/>
        <v>0</v>
      </c>
      <c r="J165" s="229">
        <f t="shared" si="37"/>
        <v>25</v>
      </c>
      <c r="K165" s="43">
        <f t="shared" si="38"/>
        <v>0</v>
      </c>
      <c r="M165" s="224"/>
      <c r="N165" s="225">
        <f t="shared" si="39"/>
        <v>0</v>
      </c>
      <c r="O165" s="43" t="e">
        <f t="shared" si="40"/>
        <v>#VALUE!</v>
      </c>
      <c r="P165" s="43" t="e">
        <f>ROUND(IF(Preenchimento!$G$39="Tabela Price",R165-Q165,(O164*(1+$AD$35))/($AD$28-C164)),$P$22)</f>
        <v>#VALUE!</v>
      </c>
      <c r="Q165" s="43" t="e">
        <f>IF(Preenchimento!$G$39="Tabela Price",O164*(1+$AD$35)*W165,O164*(1+'SAC Padrão_Sem Bonif'!$AD$35)*'SAC Padrão_Sem Bonif'!W165)</f>
        <v>#VALUE!</v>
      </c>
      <c r="R165" s="43" t="e">
        <f>IF(Preenchimento!$G$39="Tabela Price",IF(C165="","",((((((1+W165)^($Q$16-C164))*W165)/((1+W165)^($Q$16-C164)-1))*(O164*(1+$AD$35))))),Q165+P165)</f>
        <v>#VALUE!</v>
      </c>
      <c r="S165" s="43" t="e">
        <f t="shared" ca="1" si="34"/>
        <v>#VALUE!</v>
      </c>
      <c r="T165" s="43">
        <f t="shared" si="41"/>
        <v>0</v>
      </c>
      <c r="U165" s="226">
        <f>TRUNC(T165*Condições!$C$102,2)</f>
        <v>0</v>
      </c>
      <c r="V165" s="82">
        <f t="shared" ca="1" si="35"/>
        <v>2</v>
      </c>
      <c r="W165" s="231" t="str">
        <f t="shared" si="42"/>
        <v/>
      </c>
      <c r="X165" s="210"/>
      <c r="Y165" s="210"/>
      <c r="Z165" s="210"/>
      <c r="AI165" s="114">
        <f t="shared" si="43"/>
        <v>0</v>
      </c>
      <c r="AJ165" s="113"/>
      <c r="AL165" s="477">
        <f t="shared" ca="1" si="44"/>
        <v>0</v>
      </c>
    </row>
    <row r="166" spans="2:38" ht="12" customHeight="1">
      <c r="B166" s="222">
        <f ca="1">Fixa!B166</f>
        <v>50480</v>
      </c>
      <c r="C166" s="223" t="str">
        <f>Fixa!C166</f>
        <v/>
      </c>
      <c r="D166" s="43" t="e">
        <f t="shared" si="36"/>
        <v>#VALUE!</v>
      </c>
      <c r="E166" s="43" t="e">
        <f t="shared" si="36"/>
        <v>#VALUE!</v>
      </c>
      <c r="F166" s="43" t="e">
        <f t="shared" si="36"/>
        <v>#VALUE!</v>
      </c>
      <c r="G166" s="43" t="e">
        <f t="shared" si="31"/>
        <v>#VALUE!</v>
      </c>
      <c r="H166" s="43" t="e">
        <f t="shared" ca="1" si="32"/>
        <v>#VALUE!</v>
      </c>
      <c r="I166" s="43">
        <f t="shared" si="33"/>
        <v>0</v>
      </c>
      <c r="J166" s="229">
        <f t="shared" si="37"/>
        <v>25</v>
      </c>
      <c r="K166" s="43">
        <f t="shared" si="38"/>
        <v>0</v>
      </c>
      <c r="M166" s="224"/>
      <c r="N166" s="225">
        <f t="shared" si="39"/>
        <v>0</v>
      </c>
      <c r="O166" s="43" t="e">
        <f t="shared" si="40"/>
        <v>#VALUE!</v>
      </c>
      <c r="P166" s="43" t="e">
        <f>ROUND(IF(Preenchimento!$G$39="Tabela Price",R166-Q166,(O165*(1+$AD$35))/($AD$28-C165)),$P$22)</f>
        <v>#VALUE!</v>
      </c>
      <c r="Q166" s="43" t="e">
        <f>IF(Preenchimento!$G$39="Tabela Price",O165*(1+$AD$35)*W166,O165*(1+'SAC Padrão_Sem Bonif'!$AD$35)*'SAC Padrão_Sem Bonif'!W166)</f>
        <v>#VALUE!</v>
      </c>
      <c r="R166" s="43" t="e">
        <f>IF(Preenchimento!$G$39="Tabela Price",IF(C166="","",((((((1+W166)^($Q$16-C165))*W166)/((1+W166)^($Q$16-C165)-1))*(O165*(1+$AD$35))))),Q166+P166)</f>
        <v>#VALUE!</v>
      </c>
      <c r="S166" s="43" t="e">
        <f t="shared" ca="1" si="34"/>
        <v>#VALUE!</v>
      </c>
      <c r="T166" s="43">
        <f t="shared" si="41"/>
        <v>0</v>
      </c>
      <c r="U166" s="226">
        <f>TRUNC(T166*Condições!$C$102,2)</f>
        <v>0</v>
      </c>
      <c r="V166" s="82">
        <f t="shared" ca="1" si="35"/>
        <v>3</v>
      </c>
      <c r="W166" s="231" t="str">
        <f t="shared" si="42"/>
        <v/>
      </c>
      <c r="X166" s="210"/>
      <c r="Y166" s="210"/>
      <c r="Z166" s="210"/>
      <c r="AI166" s="114">
        <f t="shared" si="43"/>
        <v>0</v>
      </c>
      <c r="AJ166" s="113"/>
      <c r="AL166" s="477">
        <f t="shared" ca="1" si="44"/>
        <v>0</v>
      </c>
    </row>
    <row r="167" spans="2:38" ht="12" customHeight="1">
      <c r="B167" s="222">
        <f ca="1">Fixa!B167</f>
        <v>50511</v>
      </c>
      <c r="C167" s="223" t="str">
        <f>Fixa!C167</f>
        <v/>
      </c>
      <c r="D167" s="43" t="e">
        <f t="shared" si="36"/>
        <v>#VALUE!</v>
      </c>
      <c r="E167" s="43" t="e">
        <f t="shared" si="36"/>
        <v>#VALUE!</v>
      </c>
      <c r="F167" s="43" t="e">
        <f t="shared" si="36"/>
        <v>#VALUE!</v>
      </c>
      <c r="G167" s="43" t="e">
        <f t="shared" si="31"/>
        <v>#VALUE!</v>
      </c>
      <c r="H167" s="43" t="e">
        <f t="shared" ca="1" si="32"/>
        <v>#VALUE!</v>
      </c>
      <c r="I167" s="43">
        <f t="shared" si="33"/>
        <v>0</v>
      </c>
      <c r="J167" s="229">
        <f t="shared" si="37"/>
        <v>25</v>
      </c>
      <c r="K167" s="43">
        <f t="shared" si="38"/>
        <v>0</v>
      </c>
      <c r="M167" s="224"/>
      <c r="N167" s="225">
        <f t="shared" si="39"/>
        <v>0</v>
      </c>
      <c r="O167" s="43" t="e">
        <f t="shared" si="40"/>
        <v>#VALUE!</v>
      </c>
      <c r="P167" s="43" t="e">
        <f>ROUND(IF(Preenchimento!$G$39="Tabela Price",R167-Q167,(O166*(1+$AD$35))/($AD$28-C166)),$P$22)</f>
        <v>#VALUE!</v>
      </c>
      <c r="Q167" s="43" t="e">
        <f>IF(Preenchimento!$G$39="Tabela Price",O166*(1+$AD$35)*W167,O166*(1+'SAC Padrão_Sem Bonif'!$AD$35)*'SAC Padrão_Sem Bonif'!W167)</f>
        <v>#VALUE!</v>
      </c>
      <c r="R167" s="43" t="e">
        <f>IF(Preenchimento!$G$39="Tabela Price",IF(C167="","",((((((1+W167)^($Q$16-C166))*W167)/((1+W167)^($Q$16-C166)-1))*(O166*(1+$AD$35))))),Q167+P167)</f>
        <v>#VALUE!</v>
      </c>
      <c r="S167" s="43" t="e">
        <f t="shared" ca="1" si="34"/>
        <v>#VALUE!</v>
      </c>
      <c r="T167" s="43">
        <f t="shared" si="41"/>
        <v>0</v>
      </c>
      <c r="U167" s="226">
        <f>TRUNC(T167*Condições!$C$102,2)</f>
        <v>0</v>
      </c>
      <c r="V167" s="82">
        <f t="shared" ca="1" si="35"/>
        <v>4</v>
      </c>
      <c r="W167" s="231" t="str">
        <f t="shared" si="42"/>
        <v/>
      </c>
      <c r="X167" s="210"/>
      <c r="Y167" s="210"/>
      <c r="Z167" s="210"/>
      <c r="AI167" s="114">
        <f t="shared" si="43"/>
        <v>0</v>
      </c>
      <c r="AJ167" s="113"/>
      <c r="AL167" s="477">
        <f t="shared" ca="1" si="44"/>
        <v>0</v>
      </c>
    </row>
    <row r="168" spans="2:38" ht="12" customHeight="1">
      <c r="B168" s="222">
        <f ca="1">Fixa!B168</f>
        <v>50541</v>
      </c>
      <c r="C168" s="223" t="str">
        <f>Fixa!C168</f>
        <v/>
      </c>
      <c r="D168" s="43" t="e">
        <f t="shared" si="36"/>
        <v>#VALUE!</v>
      </c>
      <c r="E168" s="43" t="e">
        <f t="shared" si="36"/>
        <v>#VALUE!</v>
      </c>
      <c r="F168" s="43" t="e">
        <f t="shared" si="36"/>
        <v>#VALUE!</v>
      </c>
      <c r="G168" s="43" t="e">
        <f t="shared" si="31"/>
        <v>#VALUE!</v>
      </c>
      <c r="H168" s="43" t="e">
        <f t="shared" ca="1" si="32"/>
        <v>#VALUE!</v>
      </c>
      <c r="I168" s="43">
        <f t="shared" si="33"/>
        <v>0</v>
      </c>
      <c r="J168" s="229">
        <f t="shared" si="37"/>
        <v>25</v>
      </c>
      <c r="K168" s="43">
        <f t="shared" si="38"/>
        <v>0</v>
      </c>
      <c r="M168" s="224"/>
      <c r="N168" s="225">
        <f t="shared" si="39"/>
        <v>0</v>
      </c>
      <c r="O168" s="43" t="e">
        <f t="shared" si="40"/>
        <v>#VALUE!</v>
      </c>
      <c r="P168" s="43" t="e">
        <f>ROUND(IF(Preenchimento!$G$39="Tabela Price",R168-Q168,(O167*(1+$AD$35))/($AD$28-C167)),$P$22)</f>
        <v>#VALUE!</v>
      </c>
      <c r="Q168" s="43" t="e">
        <f>IF(Preenchimento!$G$39="Tabela Price",O167*(1+$AD$35)*W168,O167*(1+'SAC Padrão_Sem Bonif'!$AD$35)*'SAC Padrão_Sem Bonif'!W168)</f>
        <v>#VALUE!</v>
      </c>
      <c r="R168" s="43" t="e">
        <f>IF(Preenchimento!$G$39="Tabela Price",IF(C168="","",((((((1+W168)^($Q$16-C167))*W168)/((1+W168)^($Q$16-C167)-1))*(O167*(1+$AD$35))))),Q168+P168)</f>
        <v>#VALUE!</v>
      </c>
      <c r="S168" s="43" t="e">
        <f t="shared" ca="1" si="34"/>
        <v>#VALUE!</v>
      </c>
      <c r="T168" s="43">
        <f t="shared" si="41"/>
        <v>0</v>
      </c>
      <c r="U168" s="226">
        <f>TRUNC(T168*Condições!$C$102,2)</f>
        <v>0</v>
      </c>
      <c r="V168" s="82">
        <f t="shared" ca="1" si="35"/>
        <v>5</v>
      </c>
      <c r="W168" s="231" t="str">
        <f t="shared" si="42"/>
        <v/>
      </c>
      <c r="X168" s="210"/>
      <c r="Y168" s="210"/>
      <c r="Z168" s="210"/>
      <c r="AI168" s="114">
        <f t="shared" si="43"/>
        <v>0</v>
      </c>
      <c r="AJ168" s="113"/>
      <c r="AL168" s="477">
        <f t="shared" ca="1" si="44"/>
        <v>0</v>
      </c>
    </row>
    <row r="169" spans="2:38" ht="12" customHeight="1">
      <c r="B169" s="222">
        <f ca="1">Fixa!B169</f>
        <v>50572</v>
      </c>
      <c r="C169" s="223" t="str">
        <f>Fixa!C169</f>
        <v/>
      </c>
      <c r="D169" s="43" t="e">
        <f t="shared" si="36"/>
        <v>#VALUE!</v>
      </c>
      <c r="E169" s="43" t="e">
        <f t="shared" si="36"/>
        <v>#VALUE!</v>
      </c>
      <c r="F169" s="43" t="e">
        <f t="shared" si="36"/>
        <v>#VALUE!</v>
      </c>
      <c r="G169" s="43" t="e">
        <f t="shared" si="31"/>
        <v>#VALUE!</v>
      </c>
      <c r="H169" s="43" t="e">
        <f t="shared" ca="1" si="32"/>
        <v>#VALUE!</v>
      </c>
      <c r="I169" s="43">
        <f t="shared" si="33"/>
        <v>0</v>
      </c>
      <c r="J169" s="229">
        <f t="shared" si="37"/>
        <v>25</v>
      </c>
      <c r="K169" s="43">
        <f t="shared" si="38"/>
        <v>0</v>
      </c>
      <c r="M169" s="224"/>
      <c r="N169" s="225">
        <f t="shared" si="39"/>
        <v>0</v>
      </c>
      <c r="O169" s="43" t="e">
        <f t="shared" si="40"/>
        <v>#VALUE!</v>
      </c>
      <c r="P169" s="43" t="e">
        <f>ROUND(IF(Preenchimento!$G$39="Tabela Price",R169-Q169,(O168*(1+$AD$35))/($AD$28-C168)),$P$22)</f>
        <v>#VALUE!</v>
      </c>
      <c r="Q169" s="43" t="e">
        <f>IF(Preenchimento!$G$39="Tabela Price",O168*(1+$AD$35)*W169,O168*(1+'SAC Padrão_Sem Bonif'!$AD$35)*'SAC Padrão_Sem Bonif'!W169)</f>
        <v>#VALUE!</v>
      </c>
      <c r="R169" s="43" t="e">
        <f>IF(Preenchimento!$G$39="Tabela Price",IF(C169="","",((((((1+W169)^($Q$16-C168))*W169)/((1+W169)^($Q$16-C168)-1))*(O168*(1+$AD$35))))),Q169+P169)</f>
        <v>#VALUE!</v>
      </c>
      <c r="S169" s="43" t="e">
        <f t="shared" ca="1" si="34"/>
        <v>#VALUE!</v>
      </c>
      <c r="T169" s="43">
        <f t="shared" si="41"/>
        <v>0</v>
      </c>
      <c r="U169" s="226">
        <f>TRUNC(T169*Condições!$C$102,2)</f>
        <v>0</v>
      </c>
      <c r="V169" s="82">
        <f t="shared" ca="1" si="35"/>
        <v>6</v>
      </c>
      <c r="W169" s="231" t="str">
        <f t="shared" si="42"/>
        <v/>
      </c>
      <c r="X169" s="210"/>
      <c r="Y169" s="210"/>
      <c r="Z169" s="210"/>
      <c r="AI169" s="114">
        <f t="shared" si="43"/>
        <v>0</v>
      </c>
      <c r="AJ169" s="113"/>
      <c r="AL169" s="477">
        <f t="shared" ca="1" si="44"/>
        <v>0</v>
      </c>
    </row>
    <row r="170" spans="2:38" ht="12" customHeight="1">
      <c r="B170" s="222">
        <f ca="1">Fixa!B170</f>
        <v>50602</v>
      </c>
      <c r="C170" s="223" t="str">
        <f>Fixa!C170</f>
        <v/>
      </c>
      <c r="D170" s="43" t="e">
        <f t="shared" si="36"/>
        <v>#VALUE!</v>
      </c>
      <c r="E170" s="43" t="e">
        <f t="shared" si="36"/>
        <v>#VALUE!</v>
      </c>
      <c r="F170" s="43" t="e">
        <f t="shared" si="36"/>
        <v>#VALUE!</v>
      </c>
      <c r="G170" s="43" t="e">
        <f t="shared" si="31"/>
        <v>#VALUE!</v>
      </c>
      <c r="H170" s="43" t="e">
        <f t="shared" ca="1" si="32"/>
        <v>#VALUE!</v>
      </c>
      <c r="I170" s="43">
        <f t="shared" si="33"/>
        <v>0</v>
      </c>
      <c r="J170" s="229">
        <f t="shared" si="37"/>
        <v>25</v>
      </c>
      <c r="K170" s="43">
        <f t="shared" si="38"/>
        <v>0</v>
      </c>
      <c r="M170" s="224"/>
      <c r="N170" s="225">
        <f t="shared" si="39"/>
        <v>0</v>
      </c>
      <c r="O170" s="43" t="e">
        <f t="shared" si="40"/>
        <v>#VALUE!</v>
      </c>
      <c r="P170" s="43" t="e">
        <f>ROUND(IF(Preenchimento!$G$39="Tabela Price",R170-Q170,(O169*(1+$AD$35))/($AD$28-C169)),$P$22)</f>
        <v>#VALUE!</v>
      </c>
      <c r="Q170" s="43" t="e">
        <f>IF(Preenchimento!$G$39="Tabela Price",O169*(1+$AD$35)*W170,O169*(1+'SAC Padrão_Sem Bonif'!$AD$35)*'SAC Padrão_Sem Bonif'!W170)</f>
        <v>#VALUE!</v>
      </c>
      <c r="R170" s="43" t="e">
        <f>IF(Preenchimento!$G$39="Tabela Price",IF(C170="","",((((((1+W170)^($Q$16-C169))*W170)/((1+W170)^($Q$16-C169)-1))*(O169*(1+$AD$35))))),Q170+P170)</f>
        <v>#VALUE!</v>
      </c>
      <c r="S170" s="43" t="e">
        <f t="shared" ca="1" si="34"/>
        <v>#VALUE!</v>
      </c>
      <c r="T170" s="43">
        <f t="shared" si="41"/>
        <v>0</v>
      </c>
      <c r="U170" s="226">
        <f>TRUNC(T170*Condições!$C$102,2)</f>
        <v>0</v>
      </c>
      <c r="V170" s="82">
        <f t="shared" ca="1" si="35"/>
        <v>7</v>
      </c>
      <c r="W170" s="231" t="str">
        <f t="shared" si="42"/>
        <v/>
      </c>
      <c r="X170" s="210"/>
      <c r="Y170" s="210"/>
      <c r="Z170" s="210"/>
      <c r="AI170" s="114">
        <f t="shared" si="43"/>
        <v>0</v>
      </c>
      <c r="AJ170" s="113"/>
      <c r="AL170" s="477">
        <f t="shared" ca="1" si="44"/>
        <v>0</v>
      </c>
    </row>
    <row r="171" spans="2:38" ht="12" customHeight="1">
      <c r="B171" s="222">
        <f ca="1">Fixa!B171</f>
        <v>50633</v>
      </c>
      <c r="C171" s="223" t="str">
        <f>Fixa!C171</f>
        <v/>
      </c>
      <c r="D171" s="43" t="e">
        <f t="shared" si="36"/>
        <v>#VALUE!</v>
      </c>
      <c r="E171" s="43" t="e">
        <f t="shared" si="36"/>
        <v>#VALUE!</v>
      </c>
      <c r="F171" s="43" t="e">
        <f t="shared" si="36"/>
        <v>#VALUE!</v>
      </c>
      <c r="G171" s="43" t="e">
        <f t="shared" si="31"/>
        <v>#VALUE!</v>
      </c>
      <c r="H171" s="43" t="e">
        <f t="shared" ca="1" si="32"/>
        <v>#VALUE!</v>
      </c>
      <c r="I171" s="43">
        <f t="shared" si="33"/>
        <v>0</v>
      </c>
      <c r="J171" s="229">
        <f t="shared" si="37"/>
        <v>25</v>
      </c>
      <c r="K171" s="43">
        <f t="shared" si="38"/>
        <v>0</v>
      </c>
      <c r="M171" s="224"/>
      <c r="N171" s="225">
        <f t="shared" si="39"/>
        <v>0</v>
      </c>
      <c r="O171" s="43" t="e">
        <f t="shared" si="40"/>
        <v>#VALUE!</v>
      </c>
      <c r="P171" s="43" t="e">
        <f>ROUND(IF(Preenchimento!$G$39="Tabela Price",R171-Q171,(O170*(1+$AD$35))/($AD$28-C170)),$P$22)</f>
        <v>#VALUE!</v>
      </c>
      <c r="Q171" s="43" t="e">
        <f>IF(Preenchimento!$G$39="Tabela Price",O170*(1+$AD$35)*W171,O170*(1+'SAC Padrão_Sem Bonif'!$AD$35)*'SAC Padrão_Sem Bonif'!W171)</f>
        <v>#VALUE!</v>
      </c>
      <c r="R171" s="43" t="e">
        <f>IF(Preenchimento!$G$39="Tabela Price",IF(C171="","",((((((1+W171)^($Q$16-C170))*W171)/((1+W171)^($Q$16-C170)-1))*(O170*(1+$AD$35))))),Q171+P171)</f>
        <v>#VALUE!</v>
      </c>
      <c r="S171" s="43" t="e">
        <f t="shared" ca="1" si="34"/>
        <v>#VALUE!</v>
      </c>
      <c r="T171" s="43">
        <f t="shared" si="41"/>
        <v>0</v>
      </c>
      <c r="U171" s="226">
        <f>TRUNC(T171*Condições!$C$102,2)</f>
        <v>0</v>
      </c>
      <c r="V171" s="82">
        <f t="shared" ca="1" si="35"/>
        <v>8</v>
      </c>
      <c r="W171" s="231" t="str">
        <f t="shared" si="42"/>
        <v/>
      </c>
      <c r="X171" s="210"/>
      <c r="Y171" s="210"/>
      <c r="Z171" s="210"/>
      <c r="AI171" s="114">
        <f t="shared" si="43"/>
        <v>0</v>
      </c>
      <c r="AJ171" s="113"/>
      <c r="AL171" s="477">
        <f t="shared" ca="1" si="44"/>
        <v>0</v>
      </c>
    </row>
    <row r="172" spans="2:38" ht="12" customHeight="1">
      <c r="B172" s="222">
        <f ca="1">Fixa!B172</f>
        <v>50664</v>
      </c>
      <c r="C172" s="223" t="str">
        <f>Fixa!C172</f>
        <v/>
      </c>
      <c r="D172" s="43" t="e">
        <f t="shared" si="36"/>
        <v>#VALUE!</v>
      </c>
      <c r="E172" s="43" t="e">
        <f t="shared" si="36"/>
        <v>#VALUE!</v>
      </c>
      <c r="F172" s="43" t="e">
        <f t="shared" si="36"/>
        <v>#VALUE!</v>
      </c>
      <c r="G172" s="43" t="e">
        <f t="shared" si="31"/>
        <v>#VALUE!</v>
      </c>
      <c r="H172" s="43" t="e">
        <f t="shared" ca="1" si="32"/>
        <v>#VALUE!</v>
      </c>
      <c r="I172" s="43">
        <f t="shared" si="33"/>
        <v>0</v>
      </c>
      <c r="J172" s="229">
        <f t="shared" si="37"/>
        <v>25</v>
      </c>
      <c r="K172" s="43">
        <f t="shared" si="38"/>
        <v>0</v>
      </c>
      <c r="M172" s="224"/>
      <c r="N172" s="225">
        <f t="shared" si="39"/>
        <v>0</v>
      </c>
      <c r="O172" s="43" t="e">
        <f t="shared" si="40"/>
        <v>#VALUE!</v>
      </c>
      <c r="P172" s="43" t="e">
        <f>ROUND(IF(Preenchimento!$G$39="Tabela Price",R172-Q172,(O171*(1+$AD$35))/($AD$28-C171)),$P$22)</f>
        <v>#VALUE!</v>
      </c>
      <c r="Q172" s="43" t="e">
        <f>IF(Preenchimento!$G$39="Tabela Price",O171*(1+$AD$35)*W172,O171*(1+'SAC Padrão_Sem Bonif'!$AD$35)*'SAC Padrão_Sem Bonif'!W172)</f>
        <v>#VALUE!</v>
      </c>
      <c r="R172" s="43" t="e">
        <f>IF(Preenchimento!$G$39="Tabela Price",IF(C172="","",((((((1+W172)^($Q$16-C171))*W172)/((1+W172)^($Q$16-C171)-1))*(O171*(1+$AD$35))))),Q172+P172)</f>
        <v>#VALUE!</v>
      </c>
      <c r="S172" s="43" t="e">
        <f t="shared" ca="1" si="34"/>
        <v>#VALUE!</v>
      </c>
      <c r="T172" s="43">
        <f t="shared" si="41"/>
        <v>0</v>
      </c>
      <c r="U172" s="226">
        <f>TRUNC(T172*Condições!$C$102,2)</f>
        <v>0</v>
      </c>
      <c r="V172" s="82">
        <f t="shared" ca="1" si="35"/>
        <v>9</v>
      </c>
      <c r="W172" s="231" t="str">
        <f t="shared" si="42"/>
        <v/>
      </c>
      <c r="X172" s="210"/>
      <c r="Y172" s="210"/>
      <c r="Z172" s="210"/>
      <c r="AI172" s="114">
        <f t="shared" si="43"/>
        <v>0</v>
      </c>
      <c r="AJ172" s="113"/>
      <c r="AL172" s="477">
        <f t="shared" ca="1" si="44"/>
        <v>0</v>
      </c>
    </row>
    <row r="173" spans="2:38" ht="12" customHeight="1">
      <c r="B173" s="222">
        <f ca="1">Fixa!B173</f>
        <v>50694</v>
      </c>
      <c r="C173" s="223" t="str">
        <f>Fixa!C173</f>
        <v/>
      </c>
      <c r="D173" s="43" t="e">
        <f t="shared" si="36"/>
        <v>#VALUE!</v>
      </c>
      <c r="E173" s="43" t="e">
        <f t="shared" si="36"/>
        <v>#VALUE!</v>
      </c>
      <c r="F173" s="43" t="e">
        <f t="shared" si="36"/>
        <v>#VALUE!</v>
      </c>
      <c r="G173" s="43" t="e">
        <f t="shared" si="31"/>
        <v>#VALUE!</v>
      </c>
      <c r="H173" s="43" t="e">
        <f t="shared" ca="1" si="32"/>
        <v>#VALUE!</v>
      </c>
      <c r="I173" s="43">
        <f t="shared" si="33"/>
        <v>0</v>
      </c>
      <c r="J173" s="229">
        <f t="shared" si="37"/>
        <v>25</v>
      </c>
      <c r="K173" s="43">
        <f t="shared" si="38"/>
        <v>0</v>
      </c>
      <c r="M173" s="224"/>
      <c r="N173" s="225">
        <f t="shared" si="39"/>
        <v>0</v>
      </c>
      <c r="O173" s="43" t="e">
        <f t="shared" si="40"/>
        <v>#VALUE!</v>
      </c>
      <c r="P173" s="43" t="e">
        <f>ROUND(IF(Preenchimento!$G$39="Tabela Price",R173-Q173,(O172*(1+$AD$35))/($AD$28-C172)),$P$22)</f>
        <v>#VALUE!</v>
      </c>
      <c r="Q173" s="43" t="e">
        <f>IF(Preenchimento!$G$39="Tabela Price",O172*(1+$AD$35)*W173,O172*(1+'SAC Padrão_Sem Bonif'!$AD$35)*'SAC Padrão_Sem Bonif'!W173)</f>
        <v>#VALUE!</v>
      </c>
      <c r="R173" s="43" t="e">
        <f>IF(Preenchimento!$G$39="Tabela Price",IF(C173="","",((((((1+W173)^($Q$16-C172))*W173)/((1+W173)^($Q$16-C172)-1))*(O172*(1+$AD$35))))),Q173+P173)</f>
        <v>#VALUE!</v>
      </c>
      <c r="S173" s="43" t="e">
        <f t="shared" ca="1" si="34"/>
        <v>#VALUE!</v>
      </c>
      <c r="T173" s="43">
        <f t="shared" si="41"/>
        <v>0</v>
      </c>
      <c r="U173" s="226">
        <f>TRUNC(T173*Condições!$C$102,2)</f>
        <v>0</v>
      </c>
      <c r="V173" s="82">
        <f t="shared" ca="1" si="35"/>
        <v>10</v>
      </c>
      <c r="W173" s="231" t="str">
        <f t="shared" si="42"/>
        <v/>
      </c>
      <c r="X173" s="210"/>
      <c r="Y173" s="210"/>
      <c r="Z173" s="210"/>
      <c r="AI173" s="114">
        <f t="shared" si="43"/>
        <v>0</v>
      </c>
      <c r="AJ173" s="113"/>
      <c r="AL173" s="477">
        <f t="shared" ca="1" si="44"/>
        <v>0</v>
      </c>
    </row>
    <row r="174" spans="2:38" ht="12" customHeight="1">
      <c r="B174" s="222">
        <f ca="1">Fixa!B174</f>
        <v>50725</v>
      </c>
      <c r="C174" s="223" t="str">
        <f>Fixa!C174</f>
        <v/>
      </c>
      <c r="D174" s="43" t="e">
        <f t="shared" si="36"/>
        <v>#VALUE!</v>
      </c>
      <c r="E174" s="43" t="e">
        <f t="shared" si="36"/>
        <v>#VALUE!</v>
      </c>
      <c r="F174" s="43" t="e">
        <f t="shared" si="36"/>
        <v>#VALUE!</v>
      </c>
      <c r="G174" s="43" t="e">
        <f t="shared" si="31"/>
        <v>#VALUE!</v>
      </c>
      <c r="H174" s="43" t="e">
        <f t="shared" ca="1" si="32"/>
        <v>#VALUE!</v>
      </c>
      <c r="I174" s="43">
        <f t="shared" si="33"/>
        <v>0</v>
      </c>
      <c r="J174" s="229">
        <f t="shared" si="37"/>
        <v>25</v>
      </c>
      <c r="K174" s="43">
        <f t="shared" si="38"/>
        <v>0</v>
      </c>
      <c r="M174" s="224"/>
      <c r="N174" s="225">
        <f t="shared" si="39"/>
        <v>0</v>
      </c>
      <c r="O174" s="43" t="e">
        <f t="shared" si="40"/>
        <v>#VALUE!</v>
      </c>
      <c r="P174" s="43" t="e">
        <f>ROUND(IF(Preenchimento!$G$39="Tabela Price",R174-Q174,(O173*(1+$AD$35))/($AD$28-C173)),$P$22)</f>
        <v>#VALUE!</v>
      </c>
      <c r="Q174" s="43" t="e">
        <f>IF(Preenchimento!$G$39="Tabela Price",O173*(1+$AD$35)*W174,O173*(1+'SAC Padrão_Sem Bonif'!$AD$35)*'SAC Padrão_Sem Bonif'!W174)</f>
        <v>#VALUE!</v>
      </c>
      <c r="R174" s="43" t="e">
        <f>IF(Preenchimento!$G$39="Tabela Price",IF(C174="","",((((((1+W174)^($Q$16-C173))*W174)/((1+W174)^($Q$16-C173)-1))*(O173*(1+$AD$35))))),Q174+P174)</f>
        <v>#VALUE!</v>
      </c>
      <c r="S174" s="43" t="e">
        <f t="shared" ca="1" si="34"/>
        <v>#VALUE!</v>
      </c>
      <c r="T174" s="43">
        <f t="shared" si="41"/>
        <v>0</v>
      </c>
      <c r="U174" s="226">
        <f>TRUNC(T174*Condições!$C$102,2)</f>
        <v>0</v>
      </c>
      <c r="V174" s="82">
        <f t="shared" ca="1" si="35"/>
        <v>11</v>
      </c>
      <c r="W174" s="231" t="str">
        <f t="shared" si="42"/>
        <v/>
      </c>
      <c r="X174" s="210"/>
      <c r="Y174" s="210"/>
      <c r="Z174" s="210"/>
      <c r="AI174" s="114">
        <f t="shared" si="43"/>
        <v>0</v>
      </c>
      <c r="AJ174" s="113"/>
      <c r="AL174" s="477">
        <f t="shared" ca="1" si="44"/>
        <v>0</v>
      </c>
    </row>
    <row r="175" spans="2:38" ht="12" customHeight="1">
      <c r="B175" s="222">
        <f ca="1">Fixa!B175</f>
        <v>50755</v>
      </c>
      <c r="C175" s="223" t="str">
        <f>Fixa!C175</f>
        <v/>
      </c>
      <c r="D175" s="43" t="e">
        <f t="shared" si="36"/>
        <v>#VALUE!</v>
      </c>
      <c r="E175" s="43" t="e">
        <f t="shared" si="36"/>
        <v>#VALUE!</v>
      </c>
      <c r="F175" s="43" t="e">
        <f t="shared" si="36"/>
        <v>#VALUE!</v>
      </c>
      <c r="G175" s="43" t="e">
        <f t="shared" si="31"/>
        <v>#VALUE!</v>
      </c>
      <c r="H175" s="43" t="e">
        <f t="shared" ca="1" si="32"/>
        <v>#VALUE!</v>
      </c>
      <c r="I175" s="43">
        <f t="shared" si="33"/>
        <v>0</v>
      </c>
      <c r="J175" s="229">
        <f t="shared" si="37"/>
        <v>25</v>
      </c>
      <c r="K175" s="43">
        <f t="shared" si="38"/>
        <v>0</v>
      </c>
      <c r="M175" s="224"/>
      <c r="N175" s="225">
        <f t="shared" si="39"/>
        <v>0</v>
      </c>
      <c r="O175" s="43" t="e">
        <f t="shared" si="40"/>
        <v>#VALUE!</v>
      </c>
      <c r="P175" s="43" t="e">
        <f>ROUND(IF(Preenchimento!$G$39="Tabela Price",R175-Q175,(O174*(1+$AD$35))/($AD$28-C174)),$P$22)</f>
        <v>#VALUE!</v>
      </c>
      <c r="Q175" s="43" t="e">
        <f>IF(Preenchimento!$G$39="Tabela Price",O174*(1+$AD$35)*W175,O174*(1+'SAC Padrão_Sem Bonif'!$AD$35)*'SAC Padrão_Sem Bonif'!W175)</f>
        <v>#VALUE!</v>
      </c>
      <c r="R175" s="43" t="e">
        <f>IF(Preenchimento!$G$39="Tabela Price",IF(C175="","",((((((1+W175)^($Q$16-C174))*W175)/((1+W175)^($Q$16-C174)-1))*(O174*(1+$AD$35))))),Q175+P175)</f>
        <v>#VALUE!</v>
      </c>
      <c r="S175" s="43" t="e">
        <f t="shared" ca="1" si="34"/>
        <v>#VALUE!</v>
      </c>
      <c r="T175" s="43">
        <f t="shared" si="41"/>
        <v>0</v>
      </c>
      <c r="U175" s="226">
        <f>TRUNC(T175*Condições!$C$102,2)</f>
        <v>0</v>
      </c>
      <c r="V175" s="82">
        <f t="shared" ca="1" si="35"/>
        <v>12</v>
      </c>
      <c r="W175" s="231" t="str">
        <f t="shared" si="42"/>
        <v/>
      </c>
      <c r="X175" s="210"/>
      <c r="Y175" s="210"/>
      <c r="Z175" s="210"/>
      <c r="AI175" s="114">
        <f t="shared" si="43"/>
        <v>0</v>
      </c>
      <c r="AJ175" s="113"/>
      <c r="AL175" s="477">
        <f t="shared" ca="1" si="44"/>
        <v>0</v>
      </c>
    </row>
    <row r="176" spans="2:38" ht="12" customHeight="1">
      <c r="B176" s="222">
        <f ca="1">Fixa!B176</f>
        <v>50786</v>
      </c>
      <c r="C176" s="223" t="str">
        <f>Fixa!C176</f>
        <v/>
      </c>
      <c r="D176" s="43" t="e">
        <f t="shared" si="36"/>
        <v>#VALUE!</v>
      </c>
      <c r="E176" s="43" t="e">
        <f t="shared" si="36"/>
        <v>#VALUE!</v>
      </c>
      <c r="F176" s="43" t="e">
        <f t="shared" si="36"/>
        <v>#VALUE!</v>
      </c>
      <c r="G176" s="43" t="e">
        <f t="shared" si="31"/>
        <v>#VALUE!</v>
      </c>
      <c r="H176" s="43" t="e">
        <f t="shared" ca="1" si="32"/>
        <v>#VALUE!</v>
      </c>
      <c r="I176" s="43">
        <f t="shared" si="33"/>
        <v>0</v>
      </c>
      <c r="J176" s="229">
        <f t="shared" si="37"/>
        <v>25</v>
      </c>
      <c r="K176" s="43">
        <f t="shared" si="38"/>
        <v>0</v>
      </c>
      <c r="M176" s="224"/>
      <c r="N176" s="225">
        <f t="shared" si="39"/>
        <v>0</v>
      </c>
      <c r="O176" s="43" t="e">
        <f t="shared" si="40"/>
        <v>#VALUE!</v>
      </c>
      <c r="P176" s="43" t="e">
        <f>ROUND(IF(Preenchimento!$G$39="Tabela Price",R176-Q176,(O175*(1+$AD$35))/($AD$28-C175)),$P$22)</f>
        <v>#VALUE!</v>
      </c>
      <c r="Q176" s="43" t="e">
        <f>IF(Preenchimento!$G$39="Tabela Price",O175*(1+$AD$35)*W176,O175*(1+'SAC Padrão_Sem Bonif'!$AD$35)*'SAC Padrão_Sem Bonif'!W176)</f>
        <v>#VALUE!</v>
      </c>
      <c r="R176" s="43" t="e">
        <f>IF(Preenchimento!$G$39="Tabela Price",IF(C176="","",((((((1+W176)^($Q$16-C175))*W176)/((1+W176)^($Q$16-C175)-1))*(O175*(1+$AD$35))))),Q176+P176)</f>
        <v>#VALUE!</v>
      </c>
      <c r="S176" s="43" t="e">
        <f t="shared" ca="1" si="34"/>
        <v>#VALUE!</v>
      </c>
      <c r="T176" s="43">
        <f t="shared" si="41"/>
        <v>0</v>
      </c>
      <c r="U176" s="226">
        <f>TRUNC(T176*Condições!$C$102,2)</f>
        <v>0</v>
      </c>
      <c r="V176" s="82">
        <f t="shared" ca="1" si="35"/>
        <v>1</v>
      </c>
      <c r="W176" s="231" t="str">
        <f t="shared" si="42"/>
        <v/>
      </c>
      <c r="X176" s="210"/>
      <c r="Y176" s="210"/>
      <c r="Z176" s="210"/>
      <c r="AI176" s="114">
        <f t="shared" si="43"/>
        <v>0</v>
      </c>
      <c r="AJ176" s="113"/>
      <c r="AL176" s="477">
        <f t="shared" ca="1" si="44"/>
        <v>0</v>
      </c>
    </row>
    <row r="177" spans="2:38" ht="12" customHeight="1">
      <c r="B177" s="222">
        <f ca="1">Fixa!B177</f>
        <v>50817</v>
      </c>
      <c r="C177" s="223" t="str">
        <f>Fixa!C177</f>
        <v/>
      </c>
      <c r="D177" s="43" t="e">
        <f t="shared" si="36"/>
        <v>#VALUE!</v>
      </c>
      <c r="E177" s="43" t="e">
        <f t="shared" si="36"/>
        <v>#VALUE!</v>
      </c>
      <c r="F177" s="43" t="e">
        <f t="shared" si="36"/>
        <v>#VALUE!</v>
      </c>
      <c r="G177" s="43" t="e">
        <f t="shared" si="31"/>
        <v>#VALUE!</v>
      </c>
      <c r="H177" s="43" t="e">
        <f t="shared" ca="1" si="32"/>
        <v>#VALUE!</v>
      </c>
      <c r="I177" s="43">
        <f t="shared" si="33"/>
        <v>0</v>
      </c>
      <c r="J177" s="229">
        <f t="shared" si="37"/>
        <v>25</v>
      </c>
      <c r="K177" s="43">
        <f t="shared" si="38"/>
        <v>0</v>
      </c>
      <c r="M177" s="224"/>
      <c r="N177" s="225">
        <f t="shared" si="39"/>
        <v>0</v>
      </c>
      <c r="O177" s="43" t="e">
        <f t="shared" si="40"/>
        <v>#VALUE!</v>
      </c>
      <c r="P177" s="43" t="e">
        <f>ROUND(IF(Preenchimento!$G$39="Tabela Price",R177-Q177,(O176*(1+$AD$35))/($AD$28-C176)),$P$22)</f>
        <v>#VALUE!</v>
      </c>
      <c r="Q177" s="43" t="e">
        <f>IF(Preenchimento!$G$39="Tabela Price",O176*(1+$AD$35)*W177,O176*(1+'SAC Padrão_Sem Bonif'!$AD$35)*'SAC Padrão_Sem Bonif'!W177)</f>
        <v>#VALUE!</v>
      </c>
      <c r="R177" s="43" t="e">
        <f>IF(Preenchimento!$G$39="Tabela Price",IF(C177="","",((((((1+W177)^($Q$16-C176))*W177)/((1+W177)^($Q$16-C176)-1))*(O176*(1+$AD$35))))),Q177+P177)</f>
        <v>#VALUE!</v>
      </c>
      <c r="S177" s="43" t="e">
        <f t="shared" ca="1" si="34"/>
        <v>#VALUE!</v>
      </c>
      <c r="T177" s="43">
        <f t="shared" si="41"/>
        <v>0</v>
      </c>
      <c r="U177" s="226">
        <f>TRUNC(T177*Condições!$C$102,2)</f>
        <v>0</v>
      </c>
      <c r="V177" s="82">
        <f t="shared" ca="1" si="35"/>
        <v>2</v>
      </c>
      <c r="W177" s="231" t="str">
        <f t="shared" si="42"/>
        <v/>
      </c>
      <c r="X177" s="210"/>
      <c r="Y177" s="210"/>
      <c r="Z177" s="210"/>
      <c r="AI177" s="114">
        <f t="shared" si="43"/>
        <v>0</v>
      </c>
      <c r="AJ177" s="113"/>
      <c r="AL177" s="477">
        <f t="shared" ca="1" si="44"/>
        <v>0</v>
      </c>
    </row>
    <row r="178" spans="2:38" ht="12" customHeight="1">
      <c r="B178" s="222">
        <f ca="1">Fixa!B178</f>
        <v>50845</v>
      </c>
      <c r="C178" s="223" t="str">
        <f>Fixa!C178</f>
        <v/>
      </c>
      <c r="D178" s="43" t="e">
        <f t="shared" si="36"/>
        <v>#VALUE!</v>
      </c>
      <c r="E178" s="43" t="e">
        <f t="shared" si="36"/>
        <v>#VALUE!</v>
      </c>
      <c r="F178" s="43" t="e">
        <f t="shared" si="36"/>
        <v>#VALUE!</v>
      </c>
      <c r="G178" s="43" t="e">
        <f t="shared" si="31"/>
        <v>#VALUE!</v>
      </c>
      <c r="H178" s="43" t="e">
        <f t="shared" ca="1" si="32"/>
        <v>#VALUE!</v>
      </c>
      <c r="I178" s="43">
        <f t="shared" si="33"/>
        <v>0</v>
      </c>
      <c r="J178" s="229">
        <f t="shared" si="37"/>
        <v>25</v>
      </c>
      <c r="K178" s="43">
        <f t="shared" si="38"/>
        <v>0</v>
      </c>
      <c r="M178" s="224"/>
      <c r="N178" s="225">
        <f t="shared" si="39"/>
        <v>0</v>
      </c>
      <c r="O178" s="43" t="e">
        <f t="shared" si="40"/>
        <v>#VALUE!</v>
      </c>
      <c r="P178" s="43" t="e">
        <f>ROUND(IF(Preenchimento!$G$39="Tabela Price",R178-Q178,(O177*(1+$AD$35))/($AD$28-C177)),$P$22)</f>
        <v>#VALUE!</v>
      </c>
      <c r="Q178" s="43" t="e">
        <f>IF(Preenchimento!$G$39="Tabela Price",O177*(1+$AD$35)*W178,O177*(1+'SAC Padrão_Sem Bonif'!$AD$35)*'SAC Padrão_Sem Bonif'!W178)</f>
        <v>#VALUE!</v>
      </c>
      <c r="R178" s="43" t="e">
        <f>IF(Preenchimento!$G$39="Tabela Price",IF(C178="","",((((((1+W178)^($Q$16-C177))*W178)/((1+W178)^($Q$16-C177)-1))*(O177*(1+$AD$35))))),Q178+P178)</f>
        <v>#VALUE!</v>
      </c>
      <c r="S178" s="43" t="e">
        <f t="shared" ca="1" si="34"/>
        <v>#VALUE!</v>
      </c>
      <c r="T178" s="43">
        <f t="shared" si="41"/>
        <v>0</v>
      </c>
      <c r="U178" s="226">
        <f>TRUNC(T178*Condições!$C$102,2)</f>
        <v>0</v>
      </c>
      <c r="V178" s="82">
        <f t="shared" ca="1" si="35"/>
        <v>3</v>
      </c>
      <c r="W178" s="231" t="str">
        <f t="shared" si="42"/>
        <v/>
      </c>
      <c r="X178" s="210"/>
      <c r="Y178" s="210"/>
      <c r="Z178" s="210"/>
      <c r="AI178" s="114">
        <f t="shared" si="43"/>
        <v>0</v>
      </c>
      <c r="AJ178" s="113"/>
      <c r="AL178" s="477">
        <f t="shared" ca="1" si="44"/>
        <v>0</v>
      </c>
    </row>
    <row r="179" spans="2:38" ht="12" customHeight="1">
      <c r="B179" s="222">
        <f ca="1">Fixa!B179</f>
        <v>50876</v>
      </c>
      <c r="C179" s="223" t="str">
        <f>Fixa!C179</f>
        <v/>
      </c>
      <c r="D179" s="43" t="e">
        <f t="shared" si="36"/>
        <v>#VALUE!</v>
      </c>
      <c r="E179" s="43" t="e">
        <f t="shared" si="36"/>
        <v>#VALUE!</v>
      </c>
      <c r="F179" s="43" t="e">
        <f t="shared" si="36"/>
        <v>#VALUE!</v>
      </c>
      <c r="G179" s="43" t="e">
        <f t="shared" si="31"/>
        <v>#VALUE!</v>
      </c>
      <c r="H179" s="43" t="e">
        <f t="shared" ca="1" si="32"/>
        <v>#VALUE!</v>
      </c>
      <c r="I179" s="43">
        <f t="shared" si="33"/>
        <v>0</v>
      </c>
      <c r="J179" s="229">
        <f t="shared" si="37"/>
        <v>25</v>
      </c>
      <c r="K179" s="43">
        <f t="shared" si="38"/>
        <v>0</v>
      </c>
      <c r="M179" s="224"/>
      <c r="N179" s="225">
        <f t="shared" si="39"/>
        <v>0</v>
      </c>
      <c r="O179" s="43" t="e">
        <f t="shared" si="40"/>
        <v>#VALUE!</v>
      </c>
      <c r="P179" s="43" t="e">
        <f>ROUND(IF(Preenchimento!$G$39="Tabela Price",R179-Q179,(O178*(1+$AD$35))/($AD$28-C178)),$P$22)</f>
        <v>#VALUE!</v>
      </c>
      <c r="Q179" s="43" t="e">
        <f>IF(Preenchimento!$G$39="Tabela Price",O178*(1+$AD$35)*W179,O178*(1+'SAC Padrão_Sem Bonif'!$AD$35)*'SAC Padrão_Sem Bonif'!W179)</f>
        <v>#VALUE!</v>
      </c>
      <c r="R179" s="43" t="e">
        <f>IF(Preenchimento!$G$39="Tabela Price",IF(C179="","",((((((1+W179)^($Q$16-C178))*W179)/((1+W179)^($Q$16-C178)-1))*(O178*(1+$AD$35))))),Q179+P179)</f>
        <v>#VALUE!</v>
      </c>
      <c r="S179" s="43" t="e">
        <f t="shared" ca="1" si="34"/>
        <v>#VALUE!</v>
      </c>
      <c r="T179" s="43">
        <f t="shared" si="41"/>
        <v>0</v>
      </c>
      <c r="U179" s="226">
        <f>TRUNC(T179*Condições!$C$102,2)</f>
        <v>0</v>
      </c>
      <c r="V179" s="82">
        <f t="shared" ca="1" si="35"/>
        <v>4</v>
      </c>
      <c r="W179" s="231" t="str">
        <f t="shared" si="42"/>
        <v/>
      </c>
      <c r="X179" s="210"/>
      <c r="Y179" s="210"/>
      <c r="Z179" s="210"/>
      <c r="AI179" s="114">
        <f t="shared" si="43"/>
        <v>0</v>
      </c>
      <c r="AJ179" s="113"/>
      <c r="AL179" s="477">
        <f t="shared" ca="1" si="44"/>
        <v>0</v>
      </c>
    </row>
    <row r="180" spans="2:38" ht="12" customHeight="1">
      <c r="B180" s="222">
        <f ca="1">Fixa!B180</f>
        <v>50906</v>
      </c>
      <c r="C180" s="223" t="str">
        <f>Fixa!C180</f>
        <v/>
      </c>
      <c r="D180" s="43" t="e">
        <f t="shared" si="36"/>
        <v>#VALUE!</v>
      </c>
      <c r="E180" s="43" t="e">
        <f t="shared" si="36"/>
        <v>#VALUE!</v>
      </c>
      <c r="F180" s="43" t="e">
        <f t="shared" si="36"/>
        <v>#VALUE!</v>
      </c>
      <c r="G180" s="43" t="e">
        <f t="shared" si="31"/>
        <v>#VALUE!</v>
      </c>
      <c r="H180" s="43" t="e">
        <f t="shared" ca="1" si="32"/>
        <v>#VALUE!</v>
      </c>
      <c r="I180" s="43">
        <f t="shared" si="33"/>
        <v>0</v>
      </c>
      <c r="J180" s="229">
        <f t="shared" si="37"/>
        <v>25</v>
      </c>
      <c r="K180" s="43">
        <f t="shared" si="38"/>
        <v>0</v>
      </c>
      <c r="M180" s="224"/>
      <c r="N180" s="225">
        <f t="shared" si="39"/>
        <v>0</v>
      </c>
      <c r="O180" s="43" t="e">
        <f t="shared" si="40"/>
        <v>#VALUE!</v>
      </c>
      <c r="P180" s="43" t="e">
        <f>ROUND(IF(Preenchimento!$G$39="Tabela Price",R180-Q180,(O179*(1+$AD$35))/($AD$28-C179)),$P$22)</f>
        <v>#VALUE!</v>
      </c>
      <c r="Q180" s="43" t="e">
        <f>IF(Preenchimento!$G$39="Tabela Price",O179*(1+$AD$35)*W180,O179*(1+'SAC Padrão_Sem Bonif'!$AD$35)*'SAC Padrão_Sem Bonif'!W180)</f>
        <v>#VALUE!</v>
      </c>
      <c r="R180" s="43" t="e">
        <f>IF(Preenchimento!$G$39="Tabela Price",IF(C180="","",((((((1+W180)^($Q$16-C179))*W180)/((1+W180)^($Q$16-C179)-1))*(O179*(1+$AD$35))))),Q180+P180)</f>
        <v>#VALUE!</v>
      </c>
      <c r="S180" s="43" t="e">
        <f t="shared" ca="1" si="34"/>
        <v>#VALUE!</v>
      </c>
      <c r="T180" s="43">
        <f t="shared" si="41"/>
        <v>0</v>
      </c>
      <c r="U180" s="226">
        <f>TRUNC(T180*Condições!$C$102,2)</f>
        <v>0</v>
      </c>
      <c r="V180" s="82">
        <f t="shared" ca="1" si="35"/>
        <v>5</v>
      </c>
      <c r="W180" s="231" t="str">
        <f t="shared" si="42"/>
        <v/>
      </c>
      <c r="X180" s="210"/>
      <c r="Y180" s="210"/>
      <c r="Z180" s="210"/>
      <c r="AI180" s="114">
        <f t="shared" si="43"/>
        <v>0</v>
      </c>
      <c r="AJ180" s="113"/>
      <c r="AL180" s="477">
        <f t="shared" ca="1" si="44"/>
        <v>0</v>
      </c>
    </row>
    <row r="181" spans="2:38" ht="12" customHeight="1">
      <c r="B181" s="222">
        <f ca="1">Fixa!B181</f>
        <v>50937</v>
      </c>
      <c r="C181" s="223" t="str">
        <f>Fixa!C181</f>
        <v/>
      </c>
      <c r="D181" s="43" t="e">
        <f t="shared" si="36"/>
        <v>#VALUE!</v>
      </c>
      <c r="E181" s="43" t="e">
        <f t="shared" si="36"/>
        <v>#VALUE!</v>
      </c>
      <c r="F181" s="43" t="e">
        <f t="shared" si="36"/>
        <v>#VALUE!</v>
      </c>
      <c r="G181" s="43" t="e">
        <f t="shared" si="31"/>
        <v>#VALUE!</v>
      </c>
      <c r="H181" s="43" t="e">
        <f t="shared" ca="1" si="32"/>
        <v>#VALUE!</v>
      </c>
      <c r="I181" s="43">
        <f t="shared" si="33"/>
        <v>0</v>
      </c>
      <c r="J181" s="229">
        <f t="shared" si="37"/>
        <v>25</v>
      </c>
      <c r="K181" s="43">
        <f t="shared" si="38"/>
        <v>0</v>
      </c>
      <c r="M181" s="224"/>
      <c r="N181" s="225">
        <f t="shared" si="39"/>
        <v>0</v>
      </c>
      <c r="O181" s="43" t="e">
        <f t="shared" si="40"/>
        <v>#VALUE!</v>
      </c>
      <c r="P181" s="43" t="e">
        <f>ROUND(IF(Preenchimento!$G$39="Tabela Price",R181-Q181,(O180*(1+$AD$35))/($AD$28-C180)),$P$22)</f>
        <v>#VALUE!</v>
      </c>
      <c r="Q181" s="43" t="e">
        <f>IF(Preenchimento!$G$39="Tabela Price",O180*(1+$AD$35)*W181,O180*(1+'SAC Padrão_Sem Bonif'!$AD$35)*'SAC Padrão_Sem Bonif'!W181)</f>
        <v>#VALUE!</v>
      </c>
      <c r="R181" s="43" t="e">
        <f>IF(Preenchimento!$G$39="Tabela Price",IF(C181="","",((((((1+W181)^($Q$16-C180))*W181)/((1+W181)^($Q$16-C180)-1))*(O180*(1+$AD$35))))),Q181+P181)</f>
        <v>#VALUE!</v>
      </c>
      <c r="S181" s="43" t="e">
        <f t="shared" ca="1" si="34"/>
        <v>#VALUE!</v>
      </c>
      <c r="T181" s="43">
        <f t="shared" si="41"/>
        <v>0</v>
      </c>
      <c r="U181" s="226">
        <f>TRUNC(T181*Condições!$C$102,2)</f>
        <v>0</v>
      </c>
      <c r="V181" s="82">
        <f t="shared" ca="1" si="35"/>
        <v>6</v>
      </c>
      <c r="W181" s="231" t="str">
        <f t="shared" si="42"/>
        <v/>
      </c>
      <c r="X181" s="210"/>
      <c r="Y181" s="210"/>
      <c r="Z181" s="210"/>
      <c r="AI181" s="114">
        <f t="shared" si="43"/>
        <v>0</v>
      </c>
      <c r="AJ181" s="113"/>
      <c r="AL181" s="477">
        <f t="shared" ca="1" si="44"/>
        <v>0</v>
      </c>
    </row>
    <row r="182" spans="2:38" ht="12" customHeight="1">
      <c r="B182" s="222">
        <f ca="1">Fixa!B182</f>
        <v>50967</v>
      </c>
      <c r="C182" s="223" t="str">
        <f>Fixa!C182</f>
        <v/>
      </c>
      <c r="D182" s="43" t="e">
        <f t="shared" si="36"/>
        <v>#VALUE!</v>
      </c>
      <c r="E182" s="43" t="e">
        <f t="shared" si="36"/>
        <v>#VALUE!</v>
      </c>
      <c r="F182" s="43" t="e">
        <f t="shared" si="36"/>
        <v>#VALUE!</v>
      </c>
      <c r="G182" s="43" t="e">
        <f t="shared" si="31"/>
        <v>#VALUE!</v>
      </c>
      <c r="H182" s="43" t="e">
        <f t="shared" ca="1" si="32"/>
        <v>#VALUE!</v>
      </c>
      <c r="I182" s="43">
        <f t="shared" si="33"/>
        <v>0</v>
      </c>
      <c r="J182" s="229">
        <f t="shared" si="37"/>
        <v>25</v>
      </c>
      <c r="K182" s="43">
        <f t="shared" si="38"/>
        <v>0</v>
      </c>
      <c r="M182" s="224"/>
      <c r="N182" s="225">
        <f t="shared" si="39"/>
        <v>0</v>
      </c>
      <c r="O182" s="43" t="e">
        <f t="shared" si="40"/>
        <v>#VALUE!</v>
      </c>
      <c r="P182" s="43" t="e">
        <f>ROUND(IF(Preenchimento!$G$39="Tabela Price",R182-Q182,(O181*(1+$AD$35))/($AD$28-C181)),$P$22)</f>
        <v>#VALUE!</v>
      </c>
      <c r="Q182" s="43" t="e">
        <f>IF(Preenchimento!$G$39="Tabela Price",O181*(1+$AD$35)*W182,O181*(1+'SAC Padrão_Sem Bonif'!$AD$35)*'SAC Padrão_Sem Bonif'!W182)</f>
        <v>#VALUE!</v>
      </c>
      <c r="R182" s="43" t="e">
        <f>IF(Preenchimento!$G$39="Tabela Price",IF(C182="","",((((((1+W182)^($Q$16-C181))*W182)/((1+W182)^($Q$16-C181)-1))*(O181*(1+$AD$35))))),Q182+P182)</f>
        <v>#VALUE!</v>
      </c>
      <c r="S182" s="43" t="e">
        <f t="shared" ca="1" si="34"/>
        <v>#VALUE!</v>
      </c>
      <c r="T182" s="43">
        <f t="shared" si="41"/>
        <v>0</v>
      </c>
      <c r="U182" s="226">
        <f>TRUNC(T182*Condições!$C$102,2)</f>
        <v>0</v>
      </c>
      <c r="V182" s="82">
        <f t="shared" ca="1" si="35"/>
        <v>7</v>
      </c>
      <c r="W182" s="231" t="str">
        <f t="shared" si="42"/>
        <v/>
      </c>
      <c r="X182" s="210"/>
      <c r="Y182" s="210"/>
      <c r="Z182" s="210"/>
      <c r="AI182" s="114">
        <f t="shared" si="43"/>
        <v>0</v>
      </c>
      <c r="AJ182" s="113"/>
      <c r="AL182" s="477">
        <f t="shared" ca="1" si="44"/>
        <v>0</v>
      </c>
    </row>
    <row r="183" spans="2:38" ht="12" customHeight="1">
      <c r="B183" s="222">
        <f ca="1">Fixa!B183</f>
        <v>50998</v>
      </c>
      <c r="C183" s="223" t="str">
        <f>Fixa!C183</f>
        <v/>
      </c>
      <c r="D183" s="43" t="e">
        <f t="shared" si="36"/>
        <v>#VALUE!</v>
      </c>
      <c r="E183" s="43" t="e">
        <f t="shared" si="36"/>
        <v>#VALUE!</v>
      </c>
      <c r="F183" s="43" t="e">
        <f t="shared" si="36"/>
        <v>#VALUE!</v>
      </c>
      <c r="G183" s="43" t="e">
        <f t="shared" si="31"/>
        <v>#VALUE!</v>
      </c>
      <c r="H183" s="43" t="e">
        <f t="shared" ca="1" si="32"/>
        <v>#VALUE!</v>
      </c>
      <c r="I183" s="43">
        <f t="shared" si="33"/>
        <v>0</v>
      </c>
      <c r="J183" s="229">
        <f t="shared" si="37"/>
        <v>25</v>
      </c>
      <c r="K183" s="43">
        <f t="shared" si="38"/>
        <v>0</v>
      </c>
      <c r="M183" s="224"/>
      <c r="N183" s="225">
        <f t="shared" si="39"/>
        <v>0</v>
      </c>
      <c r="O183" s="43" t="e">
        <f t="shared" si="40"/>
        <v>#VALUE!</v>
      </c>
      <c r="P183" s="43" t="e">
        <f>ROUND(IF(Preenchimento!$G$39="Tabela Price",R183-Q183,(O182*(1+$AD$35))/($AD$28-C182)),$P$22)</f>
        <v>#VALUE!</v>
      </c>
      <c r="Q183" s="43" t="e">
        <f>IF(Preenchimento!$G$39="Tabela Price",O182*(1+$AD$35)*W183,O182*(1+'SAC Padrão_Sem Bonif'!$AD$35)*'SAC Padrão_Sem Bonif'!W183)</f>
        <v>#VALUE!</v>
      </c>
      <c r="R183" s="43" t="e">
        <f>IF(Preenchimento!$G$39="Tabela Price",IF(C183="","",((((((1+W183)^($Q$16-C182))*W183)/((1+W183)^($Q$16-C182)-1))*(O182*(1+$AD$35))))),Q183+P183)</f>
        <v>#VALUE!</v>
      </c>
      <c r="S183" s="43" t="e">
        <f t="shared" ca="1" si="34"/>
        <v>#VALUE!</v>
      </c>
      <c r="T183" s="43">
        <f t="shared" si="41"/>
        <v>0</v>
      </c>
      <c r="U183" s="226">
        <f>TRUNC(T183*Condições!$C$102,2)</f>
        <v>0</v>
      </c>
      <c r="V183" s="82">
        <f t="shared" ca="1" si="35"/>
        <v>8</v>
      </c>
      <c r="W183" s="231" t="str">
        <f t="shared" si="42"/>
        <v/>
      </c>
      <c r="X183" s="210"/>
      <c r="Y183" s="210"/>
      <c r="Z183" s="210"/>
      <c r="AI183" s="114">
        <f t="shared" si="43"/>
        <v>0</v>
      </c>
      <c r="AJ183" s="113"/>
      <c r="AL183" s="477">
        <f t="shared" ca="1" si="44"/>
        <v>0</v>
      </c>
    </row>
    <row r="184" spans="2:38" ht="12" customHeight="1">
      <c r="B184" s="222">
        <f ca="1">Fixa!B184</f>
        <v>51029</v>
      </c>
      <c r="C184" s="223" t="str">
        <f>Fixa!C184</f>
        <v/>
      </c>
      <c r="D184" s="43" t="e">
        <f t="shared" si="36"/>
        <v>#VALUE!</v>
      </c>
      <c r="E184" s="43" t="e">
        <f t="shared" si="36"/>
        <v>#VALUE!</v>
      </c>
      <c r="F184" s="43" t="e">
        <f t="shared" si="36"/>
        <v>#VALUE!</v>
      </c>
      <c r="G184" s="43" t="e">
        <f t="shared" si="31"/>
        <v>#VALUE!</v>
      </c>
      <c r="H184" s="43" t="e">
        <f t="shared" ca="1" si="32"/>
        <v>#VALUE!</v>
      </c>
      <c r="I184" s="43">
        <f t="shared" si="33"/>
        <v>0</v>
      </c>
      <c r="J184" s="229">
        <f t="shared" si="37"/>
        <v>25</v>
      </c>
      <c r="K184" s="43">
        <f t="shared" si="38"/>
        <v>0</v>
      </c>
      <c r="M184" s="224"/>
      <c r="N184" s="225">
        <f t="shared" si="39"/>
        <v>0</v>
      </c>
      <c r="O184" s="43" t="e">
        <f t="shared" si="40"/>
        <v>#VALUE!</v>
      </c>
      <c r="P184" s="43" t="e">
        <f>ROUND(IF(Preenchimento!$G$39="Tabela Price",R184-Q184,(O183*(1+$AD$35))/($AD$28-C183)),$P$22)</f>
        <v>#VALUE!</v>
      </c>
      <c r="Q184" s="43" t="e">
        <f>IF(Preenchimento!$G$39="Tabela Price",O183*(1+$AD$35)*W184,O183*(1+'SAC Padrão_Sem Bonif'!$AD$35)*'SAC Padrão_Sem Bonif'!W184)</f>
        <v>#VALUE!</v>
      </c>
      <c r="R184" s="43" t="e">
        <f>IF(Preenchimento!$G$39="Tabela Price",IF(C184="","",((((((1+W184)^($Q$16-C183))*W184)/((1+W184)^($Q$16-C183)-1))*(O183*(1+$AD$35))))),Q184+P184)</f>
        <v>#VALUE!</v>
      </c>
      <c r="S184" s="43" t="e">
        <f t="shared" ca="1" si="34"/>
        <v>#VALUE!</v>
      </c>
      <c r="T184" s="43">
        <f t="shared" si="41"/>
        <v>0</v>
      </c>
      <c r="U184" s="226">
        <f>TRUNC(T184*Condições!$C$102,2)</f>
        <v>0</v>
      </c>
      <c r="V184" s="82">
        <f t="shared" ca="1" si="35"/>
        <v>9</v>
      </c>
      <c r="W184" s="231" t="str">
        <f t="shared" si="42"/>
        <v/>
      </c>
      <c r="X184" s="210"/>
      <c r="Y184" s="210"/>
      <c r="Z184" s="210"/>
      <c r="AI184" s="114">
        <f t="shared" si="43"/>
        <v>0</v>
      </c>
      <c r="AJ184" s="113"/>
      <c r="AL184" s="477">
        <f t="shared" ca="1" si="44"/>
        <v>0</v>
      </c>
    </row>
    <row r="185" spans="2:38" ht="12" customHeight="1">
      <c r="B185" s="222">
        <f ca="1">Fixa!B185</f>
        <v>51059</v>
      </c>
      <c r="C185" s="223" t="str">
        <f>Fixa!C185</f>
        <v/>
      </c>
      <c r="D185" s="43" t="e">
        <f t="shared" si="36"/>
        <v>#VALUE!</v>
      </c>
      <c r="E185" s="43" t="e">
        <f t="shared" si="36"/>
        <v>#VALUE!</v>
      </c>
      <c r="F185" s="43" t="e">
        <f t="shared" si="36"/>
        <v>#VALUE!</v>
      </c>
      <c r="G185" s="43" t="e">
        <f t="shared" si="31"/>
        <v>#VALUE!</v>
      </c>
      <c r="H185" s="43" t="e">
        <f t="shared" ca="1" si="32"/>
        <v>#VALUE!</v>
      </c>
      <c r="I185" s="43">
        <f t="shared" si="33"/>
        <v>0</v>
      </c>
      <c r="J185" s="229">
        <f t="shared" si="37"/>
        <v>25</v>
      </c>
      <c r="K185" s="43">
        <f t="shared" si="38"/>
        <v>0</v>
      </c>
      <c r="M185" s="224"/>
      <c r="N185" s="225">
        <f t="shared" si="39"/>
        <v>0</v>
      </c>
      <c r="O185" s="43" t="e">
        <f t="shared" si="40"/>
        <v>#VALUE!</v>
      </c>
      <c r="P185" s="43" t="e">
        <f>ROUND(IF(Preenchimento!$G$39="Tabela Price",R185-Q185,(O184*(1+$AD$35))/($AD$28-C184)),$P$22)</f>
        <v>#VALUE!</v>
      </c>
      <c r="Q185" s="43" t="e">
        <f>IF(Preenchimento!$G$39="Tabela Price",O184*(1+$AD$35)*W185,O184*(1+'SAC Padrão_Sem Bonif'!$AD$35)*'SAC Padrão_Sem Bonif'!W185)</f>
        <v>#VALUE!</v>
      </c>
      <c r="R185" s="43" t="e">
        <f>IF(Preenchimento!$G$39="Tabela Price",IF(C185="","",((((((1+W185)^($Q$16-C184))*W185)/((1+W185)^($Q$16-C184)-1))*(O184*(1+$AD$35))))),Q185+P185)</f>
        <v>#VALUE!</v>
      </c>
      <c r="S185" s="43" t="e">
        <f t="shared" ca="1" si="34"/>
        <v>#VALUE!</v>
      </c>
      <c r="T185" s="43">
        <f t="shared" si="41"/>
        <v>0</v>
      </c>
      <c r="U185" s="226">
        <f>TRUNC(T185*Condições!$C$102,2)</f>
        <v>0</v>
      </c>
      <c r="V185" s="82">
        <f t="shared" ca="1" si="35"/>
        <v>10</v>
      </c>
      <c r="W185" s="231" t="str">
        <f t="shared" si="42"/>
        <v/>
      </c>
      <c r="X185" s="210"/>
      <c r="Y185" s="210"/>
      <c r="Z185" s="210"/>
      <c r="AI185" s="114">
        <f t="shared" si="43"/>
        <v>0</v>
      </c>
      <c r="AJ185" s="113"/>
      <c r="AL185" s="477">
        <f t="shared" ca="1" si="44"/>
        <v>0</v>
      </c>
    </row>
    <row r="186" spans="2:38" ht="12" customHeight="1">
      <c r="B186" s="222">
        <f ca="1">Fixa!B186</f>
        <v>51090</v>
      </c>
      <c r="C186" s="223" t="str">
        <f>Fixa!C186</f>
        <v/>
      </c>
      <c r="D186" s="43" t="e">
        <f t="shared" si="36"/>
        <v>#VALUE!</v>
      </c>
      <c r="E186" s="43" t="e">
        <f t="shared" si="36"/>
        <v>#VALUE!</v>
      </c>
      <c r="F186" s="43" t="e">
        <f t="shared" si="36"/>
        <v>#VALUE!</v>
      </c>
      <c r="G186" s="43" t="e">
        <f t="shared" si="31"/>
        <v>#VALUE!</v>
      </c>
      <c r="H186" s="43" t="e">
        <f t="shared" ca="1" si="32"/>
        <v>#VALUE!</v>
      </c>
      <c r="I186" s="43">
        <f t="shared" si="33"/>
        <v>0</v>
      </c>
      <c r="J186" s="229">
        <f t="shared" si="37"/>
        <v>25</v>
      </c>
      <c r="K186" s="43">
        <f t="shared" si="38"/>
        <v>0</v>
      </c>
      <c r="M186" s="224"/>
      <c r="N186" s="225">
        <f t="shared" si="39"/>
        <v>0</v>
      </c>
      <c r="O186" s="43" t="e">
        <f t="shared" si="40"/>
        <v>#VALUE!</v>
      </c>
      <c r="P186" s="43" t="e">
        <f>ROUND(IF(Preenchimento!$G$39="Tabela Price",R186-Q186,(O185*(1+$AD$35))/($AD$28-C185)),$P$22)</f>
        <v>#VALUE!</v>
      </c>
      <c r="Q186" s="43" t="e">
        <f>IF(Preenchimento!$G$39="Tabela Price",O185*(1+$AD$35)*W186,O185*(1+'SAC Padrão_Sem Bonif'!$AD$35)*'SAC Padrão_Sem Bonif'!W186)</f>
        <v>#VALUE!</v>
      </c>
      <c r="R186" s="43" t="e">
        <f>IF(Preenchimento!$G$39="Tabela Price",IF(C186="","",((((((1+W186)^($Q$16-C185))*W186)/((1+W186)^($Q$16-C185)-1))*(O185*(1+$AD$35))))),Q186+P186)</f>
        <v>#VALUE!</v>
      </c>
      <c r="S186" s="43" t="e">
        <f t="shared" ca="1" si="34"/>
        <v>#VALUE!</v>
      </c>
      <c r="T186" s="43">
        <f t="shared" si="41"/>
        <v>0</v>
      </c>
      <c r="U186" s="226">
        <f>TRUNC(T186*Condições!$C$102,2)</f>
        <v>0</v>
      </c>
      <c r="V186" s="82">
        <f t="shared" ca="1" si="35"/>
        <v>11</v>
      </c>
      <c r="W186" s="231" t="str">
        <f t="shared" si="42"/>
        <v/>
      </c>
      <c r="X186" s="210"/>
      <c r="Y186" s="210"/>
      <c r="Z186" s="210"/>
      <c r="AI186" s="114">
        <f t="shared" si="43"/>
        <v>0</v>
      </c>
      <c r="AJ186" s="113"/>
      <c r="AL186" s="477">
        <f t="shared" ca="1" si="44"/>
        <v>0</v>
      </c>
    </row>
    <row r="187" spans="2:38" ht="12" customHeight="1">
      <c r="B187" s="222">
        <f ca="1">Fixa!B187</f>
        <v>51120</v>
      </c>
      <c r="C187" s="223" t="str">
        <f>Fixa!C187</f>
        <v/>
      </c>
      <c r="D187" s="43" t="e">
        <f t="shared" si="36"/>
        <v>#VALUE!</v>
      </c>
      <c r="E187" s="43" t="e">
        <f t="shared" si="36"/>
        <v>#VALUE!</v>
      </c>
      <c r="F187" s="43" t="e">
        <f t="shared" si="36"/>
        <v>#VALUE!</v>
      </c>
      <c r="G187" s="43" t="e">
        <f t="shared" si="31"/>
        <v>#VALUE!</v>
      </c>
      <c r="H187" s="43" t="e">
        <f t="shared" ca="1" si="32"/>
        <v>#VALUE!</v>
      </c>
      <c r="I187" s="43">
        <f t="shared" si="33"/>
        <v>0</v>
      </c>
      <c r="J187" s="229">
        <f t="shared" si="37"/>
        <v>25</v>
      </c>
      <c r="K187" s="43">
        <f t="shared" si="38"/>
        <v>0</v>
      </c>
      <c r="M187" s="224"/>
      <c r="N187" s="225">
        <f t="shared" si="39"/>
        <v>0</v>
      </c>
      <c r="O187" s="43" t="e">
        <f t="shared" si="40"/>
        <v>#VALUE!</v>
      </c>
      <c r="P187" s="43" t="e">
        <f>ROUND(IF(Preenchimento!$G$39="Tabela Price",R187-Q187,(O186*(1+$AD$35))/($AD$28-C186)),$P$22)</f>
        <v>#VALUE!</v>
      </c>
      <c r="Q187" s="43" t="e">
        <f>IF(Preenchimento!$G$39="Tabela Price",O186*(1+$AD$35)*W187,O186*(1+'SAC Padrão_Sem Bonif'!$AD$35)*'SAC Padrão_Sem Bonif'!W187)</f>
        <v>#VALUE!</v>
      </c>
      <c r="R187" s="43" t="e">
        <f>IF(Preenchimento!$G$39="Tabela Price",IF(C187="","",((((((1+W187)^($Q$16-C186))*W187)/((1+W187)^($Q$16-C186)-1))*(O186*(1+$AD$35))))),Q187+P187)</f>
        <v>#VALUE!</v>
      </c>
      <c r="S187" s="43" t="e">
        <f t="shared" ca="1" si="34"/>
        <v>#VALUE!</v>
      </c>
      <c r="T187" s="43">
        <f t="shared" si="41"/>
        <v>0</v>
      </c>
      <c r="U187" s="226">
        <f>TRUNC(T187*Condições!$C$102,2)</f>
        <v>0</v>
      </c>
      <c r="V187" s="82">
        <f t="shared" ca="1" si="35"/>
        <v>12</v>
      </c>
      <c r="W187" s="231" t="str">
        <f t="shared" si="42"/>
        <v/>
      </c>
      <c r="X187" s="210"/>
      <c r="Y187" s="210"/>
      <c r="Z187" s="210"/>
      <c r="AI187" s="114">
        <f t="shared" si="43"/>
        <v>0</v>
      </c>
      <c r="AJ187" s="113"/>
      <c r="AL187" s="477">
        <f t="shared" ca="1" si="44"/>
        <v>0</v>
      </c>
    </row>
    <row r="188" spans="2:38" ht="12" customHeight="1">
      <c r="B188" s="222">
        <f ca="1">Fixa!B188</f>
        <v>51151</v>
      </c>
      <c r="C188" s="223" t="str">
        <f>Fixa!C188</f>
        <v/>
      </c>
      <c r="D188" s="43" t="e">
        <f t="shared" si="36"/>
        <v>#VALUE!</v>
      </c>
      <c r="E188" s="43" t="e">
        <f t="shared" si="36"/>
        <v>#VALUE!</v>
      </c>
      <c r="F188" s="43" t="e">
        <f t="shared" si="36"/>
        <v>#VALUE!</v>
      </c>
      <c r="G188" s="43" t="e">
        <f t="shared" si="31"/>
        <v>#VALUE!</v>
      </c>
      <c r="H188" s="43" t="e">
        <f t="shared" ca="1" si="32"/>
        <v>#VALUE!</v>
      </c>
      <c r="I188" s="43">
        <f t="shared" si="33"/>
        <v>0</v>
      </c>
      <c r="J188" s="229">
        <f t="shared" si="37"/>
        <v>25</v>
      </c>
      <c r="K188" s="43">
        <f t="shared" si="38"/>
        <v>0</v>
      </c>
      <c r="M188" s="224"/>
      <c r="N188" s="225">
        <f t="shared" si="39"/>
        <v>0</v>
      </c>
      <c r="O188" s="43" t="e">
        <f t="shared" si="40"/>
        <v>#VALUE!</v>
      </c>
      <c r="P188" s="43" t="e">
        <f>ROUND(IF(Preenchimento!$G$39="Tabela Price",R188-Q188,(O187*(1+$AD$35))/($AD$28-C187)),$P$22)</f>
        <v>#VALUE!</v>
      </c>
      <c r="Q188" s="43" t="e">
        <f>IF(Preenchimento!$G$39="Tabela Price",O187*(1+$AD$35)*W188,O187*(1+'SAC Padrão_Sem Bonif'!$AD$35)*'SAC Padrão_Sem Bonif'!W188)</f>
        <v>#VALUE!</v>
      </c>
      <c r="R188" s="43" t="e">
        <f>IF(Preenchimento!$G$39="Tabela Price",IF(C188="","",((((((1+W188)^($Q$16-C187))*W188)/((1+W188)^($Q$16-C187)-1))*(O187*(1+$AD$35))))),Q188+P188)</f>
        <v>#VALUE!</v>
      </c>
      <c r="S188" s="43" t="e">
        <f t="shared" ca="1" si="34"/>
        <v>#VALUE!</v>
      </c>
      <c r="T188" s="43">
        <f t="shared" si="41"/>
        <v>0</v>
      </c>
      <c r="U188" s="226">
        <f>TRUNC(T188*Condições!$C$102,2)</f>
        <v>0</v>
      </c>
      <c r="V188" s="82">
        <f t="shared" ca="1" si="35"/>
        <v>1</v>
      </c>
      <c r="W188" s="231" t="str">
        <f t="shared" si="42"/>
        <v/>
      </c>
      <c r="X188" s="210"/>
      <c r="Y188" s="210"/>
      <c r="Z188" s="210"/>
      <c r="AI188" s="114">
        <f t="shared" si="43"/>
        <v>0</v>
      </c>
      <c r="AJ188" s="113"/>
      <c r="AL188" s="477">
        <f t="shared" ca="1" si="44"/>
        <v>0</v>
      </c>
    </row>
    <row r="189" spans="2:38" ht="12" customHeight="1">
      <c r="B189" s="222">
        <f ca="1">Fixa!B189</f>
        <v>51182</v>
      </c>
      <c r="C189" s="223" t="str">
        <f>Fixa!C189</f>
        <v/>
      </c>
      <c r="D189" s="43" t="e">
        <f t="shared" si="36"/>
        <v>#VALUE!</v>
      </c>
      <c r="E189" s="43" t="e">
        <f t="shared" si="36"/>
        <v>#VALUE!</v>
      </c>
      <c r="F189" s="43" t="e">
        <f t="shared" si="36"/>
        <v>#VALUE!</v>
      </c>
      <c r="G189" s="43" t="e">
        <f t="shared" si="31"/>
        <v>#VALUE!</v>
      </c>
      <c r="H189" s="43" t="e">
        <f t="shared" ca="1" si="32"/>
        <v>#VALUE!</v>
      </c>
      <c r="I189" s="43">
        <f t="shared" si="33"/>
        <v>0</v>
      </c>
      <c r="J189" s="229">
        <f t="shared" si="37"/>
        <v>25</v>
      </c>
      <c r="K189" s="43">
        <f t="shared" si="38"/>
        <v>0</v>
      </c>
      <c r="M189" s="224"/>
      <c r="N189" s="225">
        <f t="shared" si="39"/>
        <v>0</v>
      </c>
      <c r="O189" s="43" t="e">
        <f t="shared" si="40"/>
        <v>#VALUE!</v>
      </c>
      <c r="P189" s="43" t="e">
        <f>ROUND(IF(Preenchimento!$G$39="Tabela Price",R189-Q189,(O188*(1+$AD$35))/($AD$28-C188)),$P$22)</f>
        <v>#VALUE!</v>
      </c>
      <c r="Q189" s="43" t="e">
        <f>IF(Preenchimento!$G$39="Tabela Price",O188*(1+$AD$35)*W189,O188*(1+'SAC Padrão_Sem Bonif'!$AD$35)*'SAC Padrão_Sem Bonif'!W189)</f>
        <v>#VALUE!</v>
      </c>
      <c r="R189" s="43" t="e">
        <f>IF(Preenchimento!$G$39="Tabela Price",IF(C189="","",((((((1+W189)^($Q$16-C188))*W189)/((1+W189)^($Q$16-C188)-1))*(O188*(1+$AD$35))))),Q189+P189)</f>
        <v>#VALUE!</v>
      </c>
      <c r="S189" s="43" t="e">
        <f t="shared" ca="1" si="34"/>
        <v>#VALUE!</v>
      </c>
      <c r="T189" s="43">
        <f t="shared" si="41"/>
        <v>0</v>
      </c>
      <c r="U189" s="226">
        <f>TRUNC(T189*Condições!$C$102,2)</f>
        <v>0</v>
      </c>
      <c r="V189" s="82">
        <f t="shared" ca="1" si="35"/>
        <v>2</v>
      </c>
      <c r="W189" s="231" t="str">
        <f t="shared" si="42"/>
        <v/>
      </c>
      <c r="X189" s="210"/>
      <c r="Y189" s="210"/>
      <c r="Z189" s="210"/>
      <c r="AI189" s="114">
        <f t="shared" si="43"/>
        <v>0</v>
      </c>
      <c r="AJ189" s="113"/>
      <c r="AL189" s="477">
        <f t="shared" ca="1" si="44"/>
        <v>0</v>
      </c>
    </row>
    <row r="190" spans="2:38" ht="12" customHeight="1">
      <c r="B190" s="222">
        <f ca="1">Fixa!B190</f>
        <v>51211</v>
      </c>
      <c r="C190" s="223" t="str">
        <f>Fixa!C190</f>
        <v/>
      </c>
      <c r="D190" s="43" t="e">
        <f t="shared" si="36"/>
        <v>#VALUE!</v>
      </c>
      <c r="E190" s="43" t="e">
        <f t="shared" si="36"/>
        <v>#VALUE!</v>
      </c>
      <c r="F190" s="43" t="e">
        <f t="shared" si="36"/>
        <v>#VALUE!</v>
      </c>
      <c r="G190" s="43" t="e">
        <f t="shared" si="31"/>
        <v>#VALUE!</v>
      </c>
      <c r="H190" s="43" t="e">
        <f t="shared" ca="1" si="32"/>
        <v>#VALUE!</v>
      </c>
      <c r="I190" s="43">
        <f t="shared" si="33"/>
        <v>0</v>
      </c>
      <c r="J190" s="229">
        <f t="shared" si="37"/>
        <v>25</v>
      </c>
      <c r="K190" s="43">
        <f t="shared" si="38"/>
        <v>0</v>
      </c>
      <c r="M190" s="224"/>
      <c r="N190" s="225">
        <f t="shared" si="39"/>
        <v>0</v>
      </c>
      <c r="O190" s="43" t="e">
        <f t="shared" si="40"/>
        <v>#VALUE!</v>
      </c>
      <c r="P190" s="43" t="e">
        <f>ROUND(IF(Preenchimento!$G$39="Tabela Price",R190-Q190,(O189*(1+$AD$35))/($AD$28-C189)),$P$22)</f>
        <v>#VALUE!</v>
      </c>
      <c r="Q190" s="43" t="e">
        <f>IF(Preenchimento!$G$39="Tabela Price",O189*(1+$AD$35)*W190,O189*(1+'SAC Padrão_Sem Bonif'!$AD$35)*'SAC Padrão_Sem Bonif'!W190)</f>
        <v>#VALUE!</v>
      </c>
      <c r="R190" s="43" t="e">
        <f>IF(Preenchimento!$G$39="Tabela Price",IF(C190="","",((((((1+W190)^($Q$16-C189))*W190)/((1+W190)^($Q$16-C189)-1))*(O189*(1+$AD$35))))),Q190+P190)</f>
        <v>#VALUE!</v>
      </c>
      <c r="S190" s="43" t="e">
        <f t="shared" ca="1" si="34"/>
        <v>#VALUE!</v>
      </c>
      <c r="T190" s="43">
        <f t="shared" si="41"/>
        <v>0</v>
      </c>
      <c r="U190" s="226">
        <f>TRUNC(T190*Condições!$C$102,2)</f>
        <v>0</v>
      </c>
      <c r="V190" s="82">
        <f t="shared" ca="1" si="35"/>
        <v>3</v>
      </c>
      <c r="W190" s="231" t="str">
        <f t="shared" si="42"/>
        <v/>
      </c>
      <c r="X190" s="210"/>
      <c r="Y190" s="210"/>
      <c r="Z190" s="210"/>
      <c r="AI190" s="114">
        <f t="shared" si="43"/>
        <v>0</v>
      </c>
      <c r="AJ190" s="113"/>
      <c r="AL190" s="477">
        <f t="shared" ca="1" si="44"/>
        <v>0</v>
      </c>
    </row>
    <row r="191" spans="2:38" ht="12" customHeight="1">
      <c r="B191" s="222">
        <f ca="1">Fixa!B191</f>
        <v>51242</v>
      </c>
      <c r="C191" s="223" t="str">
        <f>Fixa!C191</f>
        <v/>
      </c>
      <c r="D191" s="43" t="e">
        <f t="shared" si="36"/>
        <v>#VALUE!</v>
      </c>
      <c r="E191" s="43" t="e">
        <f t="shared" si="36"/>
        <v>#VALUE!</v>
      </c>
      <c r="F191" s="43" t="e">
        <f t="shared" si="36"/>
        <v>#VALUE!</v>
      </c>
      <c r="G191" s="43" t="e">
        <f t="shared" si="31"/>
        <v>#VALUE!</v>
      </c>
      <c r="H191" s="43" t="e">
        <f t="shared" ca="1" si="32"/>
        <v>#VALUE!</v>
      </c>
      <c r="I191" s="43">
        <f t="shared" si="33"/>
        <v>0</v>
      </c>
      <c r="J191" s="229">
        <f t="shared" si="37"/>
        <v>25</v>
      </c>
      <c r="K191" s="43">
        <f t="shared" si="38"/>
        <v>0</v>
      </c>
      <c r="M191" s="224"/>
      <c r="N191" s="225">
        <f t="shared" si="39"/>
        <v>0</v>
      </c>
      <c r="O191" s="43" t="e">
        <f t="shared" si="40"/>
        <v>#VALUE!</v>
      </c>
      <c r="P191" s="43" t="e">
        <f>ROUND(IF(Preenchimento!$G$39="Tabela Price",R191-Q191,(O190*(1+$AD$35))/($AD$28-C190)),$P$22)</f>
        <v>#VALUE!</v>
      </c>
      <c r="Q191" s="43" t="e">
        <f>IF(Preenchimento!$G$39="Tabela Price",O190*(1+$AD$35)*W191,O190*(1+'SAC Padrão_Sem Bonif'!$AD$35)*'SAC Padrão_Sem Bonif'!W191)</f>
        <v>#VALUE!</v>
      </c>
      <c r="R191" s="43" t="e">
        <f>IF(Preenchimento!$G$39="Tabela Price",IF(C191="","",((((((1+W191)^($Q$16-C190))*W191)/((1+W191)^($Q$16-C190)-1))*(O190*(1+$AD$35))))),Q191+P191)</f>
        <v>#VALUE!</v>
      </c>
      <c r="S191" s="43" t="e">
        <f t="shared" ca="1" si="34"/>
        <v>#VALUE!</v>
      </c>
      <c r="T191" s="43">
        <f t="shared" si="41"/>
        <v>0</v>
      </c>
      <c r="U191" s="226">
        <f>TRUNC(T191*Condições!$C$102,2)</f>
        <v>0</v>
      </c>
      <c r="V191" s="82">
        <f t="shared" ca="1" si="35"/>
        <v>4</v>
      </c>
      <c r="W191" s="231" t="str">
        <f t="shared" si="42"/>
        <v/>
      </c>
      <c r="X191" s="210"/>
      <c r="Y191" s="210"/>
      <c r="Z191" s="210"/>
      <c r="AI191" s="114">
        <f t="shared" si="43"/>
        <v>0</v>
      </c>
      <c r="AJ191" s="113"/>
      <c r="AL191" s="477">
        <f t="shared" ca="1" si="44"/>
        <v>0</v>
      </c>
    </row>
    <row r="192" spans="2:38" ht="12" customHeight="1">
      <c r="B192" s="222">
        <f ca="1">Fixa!B192</f>
        <v>51272</v>
      </c>
      <c r="C192" s="223" t="str">
        <f>Fixa!C192</f>
        <v/>
      </c>
      <c r="D192" s="43" t="e">
        <f t="shared" si="36"/>
        <v>#VALUE!</v>
      </c>
      <c r="E192" s="43" t="e">
        <f t="shared" si="36"/>
        <v>#VALUE!</v>
      </c>
      <c r="F192" s="43" t="e">
        <f t="shared" si="36"/>
        <v>#VALUE!</v>
      </c>
      <c r="G192" s="43" t="e">
        <f t="shared" si="31"/>
        <v>#VALUE!</v>
      </c>
      <c r="H192" s="43" t="e">
        <f t="shared" ca="1" si="32"/>
        <v>#VALUE!</v>
      </c>
      <c r="I192" s="43">
        <f t="shared" si="33"/>
        <v>0</v>
      </c>
      <c r="J192" s="229">
        <f t="shared" si="37"/>
        <v>25</v>
      </c>
      <c r="K192" s="43">
        <f t="shared" si="38"/>
        <v>0</v>
      </c>
      <c r="M192" s="224"/>
      <c r="N192" s="225">
        <f t="shared" si="39"/>
        <v>0</v>
      </c>
      <c r="O192" s="43" t="e">
        <f t="shared" si="40"/>
        <v>#VALUE!</v>
      </c>
      <c r="P192" s="43" t="e">
        <f>ROUND(IF(Preenchimento!$G$39="Tabela Price",R192-Q192,(O191*(1+$AD$35))/($AD$28-C191)),$P$22)</f>
        <v>#VALUE!</v>
      </c>
      <c r="Q192" s="43" t="e">
        <f>IF(Preenchimento!$G$39="Tabela Price",O191*(1+$AD$35)*W192,O191*(1+'SAC Padrão_Sem Bonif'!$AD$35)*'SAC Padrão_Sem Bonif'!W192)</f>
        <v>#VALUE!</v>
      </c>
      <c r="R192" s="43" t="e">
        <f>IF(Preenchimento!$G$39="Tabela Price",IF(C192="","",((((((1+W192)^($Q$16-C191))*W192)/((1+W192)^($Q$16-C191)-1))*(O191*(1+$AD$35))))),Q192+P192)</f>
        <v>#VALUE!</v>
      </c>
      <c r="S192" s="43" t="e">
        <f t="shared" ca="1" si="34"/>
        <v>#VALUE!</v>
      </c>
      <c r="T192" s="43">
        <f t="shared" si="41"/>
        <v>0</v>
      </c>
      <c r="U192" s="226">
        <f>TRUNC(T192*Condições!$C$102,2)</f>
        <v>0</v>
      </c>
      <c r="V192" s="82">
        <f t="shared" ca="1" si="35"/>
        <v>5</v>
      </c>
      <c r="W192" s="231" t="str">
        <f t="shared" si="42"/>
        <v/>
      </c>
      <c r="X192" s="210"/>
      <c r="Y192" s="210"/>
      <c r="Z192" s="210"/>
      <c r="AI192" s="114">
        <f t="shared" si="43"/>
        <v>0</v>
      </c>
      <c r="AJ192" s="113"/>
      <c r="AL192" s="477">
        <f t="shared" ca="1" si="44"/>
        <v>0</v>
      </c>
    </row>
    <row r="193" spans="2:38" ht="12" customHeight="1">
      <c r="B193" s="222">
        <f ca="1">Fixa!B193</f>
        <v>51303</v>
      </c>
      <c r="C193" s="223" t="str">
        <f>Fixa!C193</f>
        <v/>
      </c>
      <c r="D193" s="43" t="e">
        <f t="shared" si="36"/>
        <v>#VALUE!</v>
      </c>
      <c r="E193" s="43" t="e">
        <f t="shared" si="36"/>
        <v>#VALUE!</v>
      </c>
      <c r="F193" s="43" t="e">
        <f t="shared" si="36"/>
        <v>#VALUE!</v>
      </c>
      <c r="G193" s="43" t="e">
        <f t="shared" si="31"/>
        <v>#VALUE!</v>
      </c>
      <c r="H193" s="43" t="e">
        <f t="shared" ca="1" si="32"/>
        <v>#VALUE!</v>
      </c>
      <c r="I193" s="43">
        <f t="shared" si="33"/>
        <v>0</v>
      </c>
      <c r="J193" s="229">
        <f t="shared" si="37"/>
        <v>25</v>
      </c>
      <c r="K193" s="43">
        <f t="shared" si="38"/>
        <v>0</v>
      </c>
      <c r="M193" s="224"/>
      <c r="N193" s="225">
        <f t="shared" si="39"/>
        <v>0</v>
      </c>
      <c r="O193" s="43" t="e">
        <f t="shared" si="40"/>
        <v>#VALUE!</v>
      </c>
      <c r="P193" s="43" t="e">
        <f>ROUND(IF(Preenchimento!$G$39="Tabela Price",R193-Q193,(O192*(1+$AD$35))/($AD$28-C192)),$P$22)</f>
        <v>#VALUE!</v>
      </c>
      <c r="Q193" s="43" t="e">
        <f>IF(Preenchimento!$G$39="Tabela Price",O192*(1+$AD$35)*W193,O192*(1+'SAC Padrão_Sem Bonif'!$AD$35)*'SAC Padrão_Sem Bonif'!W193)</f>
        <v>#VALUE!</v>
      </c>
      <c r="R193" s="43" t="e">
        <f>IF(Preenchimento!$G$39="Tabela Price",IF(C193="","",((((((1+W193)^($Q$16-C192))*W193)/((1+W193)^($Q$16-C192)-1))*(O192*(1+$AD$35))))),Q193+P193)</f>
        <v>#VALUE!</v>
      </c>
      <c r="S193" s="43" t="e">
        <f t="shared" ca="1" si="34"/>
        <v>#VALUE!</v>
      </c>
      <c r="T193" s="43">
        <f t="shared" si="41"/>
        <v>0</v>
      </c>
      <c r="U193" s="226">
        <f>TRUNC(T193*Condições!$C$102,2)</f>
        <v>0</v>
      </c>
      <c r="V193" s="82">
        <f t="shared" ca="1" si="35"/>
        <v>6</v>
      </c>
      <c r="W193" s="231" t="str">
        <f t="shared" si="42"/>
        <v/>
      </c>
      <c r="X193" s="210"/>
      <c r="Y193" s="210"/>
      <c r="Z193" s="210"/>
      <c r="AI193" s="114">
        <f t="shared" si="43"/>
        <v>0</v>
      </c>
      <c r="AJ193" s="113"/>
      <c r="AL193" s="477">
        <f t="shared" ca="1" si="44"/>
        <v>0</v>
      </c>
    </row>
    <row r="194" spans="2:38" ht="12" customHeight="1">
      <c r="B194" s="222">
        <f ca="1">Fixa!B194</f>
        <v>51333</v>
      </c>
      <c r="C194" s="223" t="str">
        <f>Fixa!C194</f>
        <v/>
      </c>
      <c r="D194" s="43" t="e">
        <f t="shared" si="36"/>
        <v>#VALUE!</v>
      </c>
      <c r="E194" s="43" t="e">
        <f t="shared" si="36"/>
        <v>#VALUE!</v>
      </c>
      <c r="F194" s="43" t="e">
        <f t="shared" si="36"/>
        <v>#VALUE!</v>
      </c>
      <c r="G194" s="43" t="e">
        <f t="shared" si="31"/>
        <v>#VALUE!</v>
      </c>
      <c r="H194" s="43" t="e">
        <f t="shared" ca="1" si="32"/>
        <v>#VALUE!</v>
      </c>
      <c r="I194" s="43">
        <f t="shared" si="33"/>
        <v>0</v>
      </c>
      <c r="J194" s="229">
        <f t="shared" si="37"/>
        <v>25</v>
      </c>
      <c r="K194" s="43">
        <f t="shared" si="38"/>
        <v>0</v>
      </c>
      <c r="M194" s="224"/>
      <c r="N194" s="225">
        <f t="shared" si="39"/>
        <v>0</v>
      </c>
      <c r="O194" s="43" t="e">
        <f t="shared" si="40"/>
        <v>#VALUE!</v>
      </c>
      <c r="P194" s="43" t="e">
        <f>ROUND(IF(Preenchimento!$G$39="Tabela Price",R194-Q194,(O193*(1+$AD$35))/($AD$28-C193)),$P$22)</f>
        <v>#VALUE!</v>
      </c>
      <c r="Q194" s="43" t="e">
        <f>IF(Preenchimento!$G$39="Tabela Price",O193*(1+$AD$35)*W194,O193*(1+'SAC Padrão_Sem Bonif'!$AD$35)*'SAC Padrão_Sem Bonif'!W194)</f>
        <v>#VALUE!</v>
      </c>
      <c r="R194" s="43" t="e">
        <f>IF(Preenchimento!$G$39="Tabela Price",IF(C194="","",((((((1+W194)^($Q$16-C193))*W194)/((1+W194)^($Q$16-C193)-1))*(O193*(1+$AD$35))))),Q194+P194)</f>
        <v>#VALUE!</v>
      </c>
      <c r="S194" s="43" t="e">
        <f t="shared" ca="1" si="34"/>
        <v>#VALUE!</v>
      </c>
      <c r="T194" s="43">
        <f t="shared" si="41"/>
        <v>0</v>
      </c>
      <c r="U194" s="226">
        <f>TRUNC(T194*Condições!$C$102,2)</f>
        <v>0</v>
      </c>
      <c r="V194" s="82">
        <f t="shared" ca="1" si="35"/>
        <v>7</v>
      </c>
      <c r="W194" s="231" t="str">
        <f t="shared" si="42"/>
        <v/>
      </c>
      <c r="X194" s="210"/>
      <c r="Y194" s="210"/>
      <c r="Z194" s="210"/>
      <c r="AI194" s="114">
        <f t="shared" si="43"/>
        <v>0</v>
      </c>
      <c r="AJ194" s="113"/>
      <c r="AL194" s="477">
        <f t="shared" ca="1" si="44"/>
        <v>0</v>
      </c>
    </row>
    <row r="195" spans="2:38" ht="12" customHeight="1">
      <c r="B195" s="222">
        <f ca="1">Fixa!B195</f>
        <v>51364</v>
      </c>
      <c r="C195" s="223" t="str">
        <f>Fixa!C195</f>
        <v/>
      </c>
      <c r="D195" s="43" t="e">
        <f t="shared" si="36"/>
        <v>#VALUE!</v>
      </c>
      <c r="E195" s="43" t="e">
        <f t="shared" si="36"/>
        <v>#VALUE!</v>
      </c>
      <c r="F195" s="43" t="e">
        <f t="shared" si="36"/>
        <v>#VALUE!</v>
      </c>
      <c r="G195" s="43" t="e">
        <f t="shared" si="31"/>
        <v>#VALUE!</v>
      </c>
      <c r="H195" s="43" t="e">
        <f t="shared" ca="1" si="32"/>
        <v>#VALUE!</v>
      </c>
      <c r="I195" s="43">
        <f t="shared" si="33"/>
        <v>0</v>
      </c>
      <c r="J195" s="229">
        <f t="shared" si="37"/>
        <v>25</v>
      </c>
      <c r="K195" s="43">
        <f t="shared" si="38"/>
        <v>0</v>
      </c>
      <c r="M195" s="224"/>
      <c r="N195" s="225">
        <f t="shared" si="39"/>
        <v>0</v>
      </c>
      <c r="O195" s="43" t="e">
        <f t="shared" si="40"/>
        <v>#VALUE!</v>
      </c>
      <c r="P195" s="43" t="e">
        <f>ROUND(IF(Preenchimento!$G$39="Tabela Price",R195-Q195,(O194*(1+$AD$35))/($AD$28-C194)),$P$22)</f>
        <v>#VALUE!</v>
      </c>
      <c r="Q195" s="43" t="e">
        <f>IF(Preenchimento!$G$39="Tabela Price",O194*(1+$AD$35)*W195,O194*(1+'SAC Padrão_Sem Bonif'!$AD$35)*'SAC Padrão_Sem Bonif'!W195)</f>
        <v>#VALUE!</v>
      </c>
      <c r="R195" s="43" t="e">
        <f>IF(Preenchimento!$G$39="Tabela Price",IF(C195="","",((((((1+W195)^($Q$16-C194))*W195)/((1+W195)^($Q$16-C194)-1))*(O194*(1+$AD$35))))),Q195+P195)</f>
        <v>#VALUE!</v>
      </c>
      <c r="S195" s="43" t="e">
        <f t="shared" ca="1" si="34"/>
        <v>#VALUE!</v>
      </c>
      <c r="T195" s="43">
        <f t="shared" si="41"/>
        <v>0</v>
      </c>
      <c r="U195" s="226">
        <f>TRUNC(T195*Condições!$C$102,2)</f>
        <v>0</v>
      </c>
      <c r="V195" s="82">
        <f t="shared" ca="1" si="35"/>
        <v>8</v>
      </c>
      <c r="W195" s="231" t="str">
        <f t="shared" si="42"/>
        <v/>
      </c>
      <c r="X195" s="210"/>
      <c r="Y195" s="210"/>
      <c r="Z195" s="210"/>
      <c r="AI195" s="114">
        <f t="shared" si="43"/>
        <v>0</v>
      </c>
      <c r="AJ195" s="113"/>
      <c r="AL195" s="477">
        <f t="shared" ca="1" si="44"/>
        <v>0</v>
      </c>
    </row>
    <row r="196" spans="2:38" ht="12" customHeight="1">
      <c r="B196" s="222">
        <f ca="1">Fixa!B196</f>
        <v>51395</v>
      </c>
      <c r="C196" s="223" t="str">
        <f>Fixa!C196</f>
        <v/>
      </c>
      <c r="D196" s="43" t="e">
        <f t="shared" si="36"/>
        <v>#VALUE!</v>
      </c>
      <c r="E196" s="43" t="e">
        <f t="shared" si="36"/>
        <v>#VALUE!</v>
      </c>
      <c r="F196" s="43" t="e">
        <f t="shared" si="36"/>
        <v>#VALUE!</v>
      </c>
      <c r="G196" s="43" t="e">
        <f t="shared" si="31"/>
        <v>#VALUE!</v>
      </c>
      <c r="H196" s="43" t="e">
        <f t="shared" ca="1" si="32"/>
        <v>#VALUE!</v>
      </c>
      <c r="I196" s="43">
        <f t="shared" si="33"/>
        <v>0</v>
      </c>
      <c r="J196" s="229">
        <f t="shared" si="37"/>
        <v>25</v>
      </c>
      <c r="K196" s="43">
        <f t="shared" si="38"/>
        <v>0</v>
      </c>
      <c r="M196" s="224"/>
      <c r="N196" s="225">
        <f t="shared" si="39"/>
        <v>0</v>
      </c>
      <c r="O196" s="43" t="e">
        <f t="shared" si="40"/>
        <v>#VALUE!</v>
      </c>
      <c r="P196" s="43" t="e">
        <f>ROUND(IF(Preenchimento!$G$39="Tabela Price",R196-Q196,(O195*(1+$AD$35))/($AD$28-C195)),$P$22)</f>
        <v>#VALUE!</v>
      </c>
      <c r="Q196" s="43" t="e">
        <f>IF(Preenchimento!$G$39="Tabela Price",O195*(1+$AD$35)*W196,O195*(1+'SAC Padrão_Sem Bonif'!$AD$35)*'SAC Padrão_Sem Bonif'!W196)</f>
        <v>#VALUE!</v>
      </c>
      <c r="R196" s="43" t="e">
        <f>IF(Preenchimento!$G$39="Tabela Price",IF(C196="","",((((((1+W196)^($Q$16-C195))*W196)/((1+W196)^($Q$16-C195)-1))*(O195*(1+$AD$35))))),Q196+P196)</f>
        <v>#VALUE!</v>
      </c>
      <c r="S196" s="43" t="e">
        <f t="shared" ca="1" si="34"/>
        <v>#VALUE!</v>
      </c>
      <c r="T196" s="43">
        <f t="shared" si="41"/>
        <v>0</v>
      </c>
      <c r="U196" s="226">
        <f>TRUNC(T196*Condições!$C$102,2)</f>
        <v>0</v>
      </c>
      <c r="V196" s="82">
        <f t="shared" ca="1" si="35"/>
        <v>9</v>
      </c>
      <c r="W196" s="231" t="str">
        <f t="shared" si="42"/>
        <v/>
      </c>
      <c r="X196" s="210"/>
      <c r="Y196" s="210"/>
      <c r="Z196" s="210"/>
      <c r="AI196" s="114">
        <f t="shared" si="43"/>
        <v>0</v>
      </c>
      <c r="AJ196" s="113"/>
      <c r="AL196" s="477">
        <f t="shared" ca="1" si="44"/>
        <v>0</v>
      </c>
    </row>
    <row r="197" spans="2:38" ht="12" customHeight="1">
      <c r="B197" s="222">
        <f ca="1">Fixa!B197</f>
        <v>51425</v>
      </c>
      <c r="C197" s="223" t="str">
        <f>Fixa!C197</f>
        <v/>
      </c>
      <c r="D197" s="43" t="e">
        <f t="shared" si="36"/>
        <v>#VALUE!</v>
      </c>
      <c r="E197" s="43" t="e">
        <f t="shared" si="36"/>
        <v>#VALUE!</v>
      </c>
      <c r="F197" s="43" t="e">
        <f t="shared" si="36"/>
        <v>#VALUE!</v>
      </c>
      <c r="G197" s="43" t="e">
        <f t="shared" si="31"/>
        <v>#VALUE!</v>
      </c>
      <c r="H197" s="43" t="e">
        <f t="shared" ca="1" si="32"/>
        <v>#VALUE!</v>
      </c>
      <c r="I197" s="43">
        <f t="shared" si="33"/>
        <v>0</v>
      </c>
      <c r="J197" s="229">
        <f t="shared" si="37"/>
        <v>25</v>
      </c>
      <c r="K197" s="43">
        <f t="shared" si="38"/>
        <v>0</v>
      </c>
      <c r="M197" s="224"/>
      <c r="N197" s="225">
        <f t="shared" si="39"/>
        <v>0</v>
      </c>
      <c r="O197" s="43" t="e">
        <f t="shared" si="40"/>
        <v>#VALUE!</v>
      </c>
      <c r="P197" s="43" t="e">
        <f>ROUND(IF(Preenchimento!$G$39="Tabela Price",R197-Q197,(O196*(1+$AD$35))/($AD$28-C196)),$P$22)</f>
        <v>#VALUE!</v>
      </c>
      <c r="Q197" s="43" t="e">
        <f>IF(Preenchimento!$G$39="Tabela Price",O196*(1+$AD$35)*W197,O196*(1+'SAC Padrão_Sem Bonif'!$AD$35)*'SAC Padrão_Sem Bonif'!W197)</f>
        <v>#VALUE!</v>
      </c>
      <c r="R197" s="43" t="e">
        <f>IF(Preenchimento!$G$39="Tabela Price",IF(C197="","",((((((1+W197)^($Q$16-C196))*W197)/((1+W197)^($Q$16-C196)-1))*(O196*(1+$AD$35))))),Q197+P197)</f>
        <v>#VALUE!</v>
      </c>
      <c r="S197" s="43" t="e">
        <f t="shared" ca="1" si="34"/>
        <v>#VALUE!</v>
      </c>
      <c r="T197" s="43">
        <f t="shared" si="41"/>
        <v>0</v>
      </c>
      <c r="U197" s="226">
        <f>TRUNC(T197*Condições!$C$102,2)</f>
        <v>0</v>
      </c>
      <c r="V197" s="82">
        <f t="shared" ca="1" si="35"/>
        <v>10</v>
      </c>
      <c r="W197" s="231" t="str">
        <f t="shared" si="42"/>
        <v/>
      </c>
      <c r="X197" s="210"/>
      <c r="Y197" s="210"/>
      <c r="Z197" s="210"/>
      <c r="AI197" s="114">
        <f t="shared" si="43"/>
        <v>0</v>
      </c>
      <c r="AJ197" s="113"/>
      <c r="AL197" s="477">
        <f t="shared" ca="1" si="44"/>
        <v>0</v>
      </c>
    </row>
    <row r="198" spans="2:38" ht="12" customHeight="1">
      <c r="B198" s="222">
        <f ca="1">Fixa!B198</f>
        <v>51456</v>
      </c>
      <c r="C198" s="223" t="str">
        <f>Fixa!C198</f>
        <v/>
      </c>
      <c r="D198" s="43" t="e">
        <f t="shared" si="36"/>
        <v>#VALUE!</v>
      </c>
      <c r="E198" s="43" t="e">
        <f t="shared" si="36"/>
        <v>#VALUE!</v>
      </c>
      <c r="F198" s="43" t="e">
        <f t="shared" si="36"/>
        <v>#VALUE!</v>
      </c>
      <c r="G198" s="43" t="e">
        <f t="shared" si="31"/>
        <v>#VALUE!</v>
      </c>
      <c r="H198" s="43" t="e">
        <f t="shared" ca="1" si="32"/>
        <v>#VALUE!</v>
      </c>
      <c r="I198" s="43">
        <f t="shared" si="33"/>
        <v>0</v>
      </c>
      <c r="J198" s="229">
        <f t="shared" si="37"/>
        <v>25</v>
      </c>
      <c r="K198" s="43">
        <f t="shared" si="38"/>
        <v>0</v>
      </c>
      <c r="M198" s="224"/>
      <c r="N198" s="225">
        <f t="shared" si="39"/>
        <v>0</v>
      </c>
      <c r="O198" s="43" t="e">
        <f t="shared" si="40"/>
        <v>#VALUE!</v>
      </c>
      <c r="P198" s="43" t="e">
        <f>ROUND(IF(Preenchimento!$G$39="Tabela Price",R198-Q198,(O197*(1+$AD$35))/($AD$28-C197)),$P$22)</f>
        <v>#VALUE!</v>
      </c>
      <c r="Q198" s="43" t="e">
        <f>IF(Preenchimento!$G$39="Tabela Price",O197*(1+$AD$35)*W198,O197*(1+'SAC Padrão_Sem Bonif'!$AD$35)*'SAC Padrão_Sem Bonif'!W198)</f>
        <v>#VALUE!</v>
      </c>
      <c r="R198" s="43" t="e">
        <f>IF(Preenchimento!$G$39="Tabela Price",IF(C198="","",((((((1+W198)^($Q$16-C197))*W198)/((1+W198)^($Q$16-C197)-1))*(O197*(1+$AD$35))))),Q198+P198)</f>
        <v>#VALUE!</v>
      </c>
      <c r="S198" s="43" t="e">
        <f t="shared" ca="1" si="34"/>
        <v>#VALUE!</v>
      </c>
      <c r="T198" s="43">
        <f t="shared" si="41"/>
        <v>0</v>
      </c>
      <c r="U198" s="226">
        <f>TRUNC(T198*Condições!$C$102,2)</f>
        <v>0</v>
      </c>
      <c r="V198" s="82">
        <f t="shared" ca="1" si="35"/>
        <v>11</v>
      </c>
      <c r="W198" s="231" t="str">
        <f t="shared" si="42"/>
        <v/>
      </c>
      <c r="X198" s="210"/>
      <c r="Y198" s="210"/>
      <c r="Z198" s="210"/>
      <c r="AI198" s="114">
        <f t="shared" si="43"/>
        <v>0</v>
      </c>
      <c r="AJ198" s="113"/>
      <c r="AL198" s="477">
        <f t="shared" ca="1" si="44"/>
        <v>0</v>
      </c>
    </row>
    <row r="199" spans="2:38" ht="12" customHeight="1">
      <c r="B199" s="222">
        <f ca="1">Fixa!B199</f>
        <v>51486</v>
      </c>
      <c r="C199" s="223" t="str">
        <f>Fixa!C199</f>
        <v/>
      </c>
      <c r="D199" s="43" t="e">
        <f t="shared" si="36"/>
        <v>#VALUE!</v>
      </c>
      <c r="E199" s="43" t="e">
        <f t="shared" si="36"/>
        <v>#VALUE!</v>
      </c>
      <c r="F199" s="43" t="e">
        <f t="shared" si="36"/>
        <v>#VALUE!</v>
      </c>
      <c r="G199" s="43" t="e">
        <f t="shared" si="31"/>
        <v>#VALUE!</v>
      </c>
      <c r="H199" s="43" t="e">
        <f t="shared" ca="1" si="32"/>
        <v>#VALUE!</v>
      </c>
      <c r="I199" s="43">
        <f t="shared" si="33"/>
        <v>0</v>
      </c>
      <c r="J199" s="229">
        <f t="shared" si="37"/>
        <v>25</v>
      </c>
      <c r="K199" s="43">
        <f t="shared" si="38"/>
        <v>0</v>
      </c>
      <c r="M199" s="224"/>
      <c r="N199" s="225">
        <f t="shared" si="39"/>
        <v>0</v>
      </c>
      <c r="O199" s="43" t="e">
        <f t="shared" si="40"/>
        <v>#VALUE!</v>
      </c>
      <c r="P199" s="43" t="e">
        <f>ROUND(IF(Preenchimento!$G$39="Tabela Price",R199-Q199,(O198*(1+$AD$35))/($AD$28-C198)),$P$22)</f>
        <v>#VALUE!</v>
      </c>
      <c r="Q199" s="43" t="e">
        <f>IF(Preenchimento!$G$39="Tabela Price",O198*(1+$AD$35)*W199,O198*(1+'SAC Padrão_Sem Bonif'!$AD$35)*'SAC Padrão_Sem Bonif'!W199)</f>
        <v>#VALUE!</v>
      </c>
      <c r="R199" s="43" t="e">
        <f>IF(Preenchimento!$G$39="Tabela Price",IF(C199="","",((((((1+W199)^($Q$16-C198))*W199)/((1+W199)^($Q$16-C198)-1))*(O198*(1+$AD$35))))),Q199+P199)</f>
        <v>#VALUE!</v>
      </c>
      <c r="S199" s="43" t="e">
        <f t="shared" ca="1" si="34"/>
        <v>#VALUE!</v>
      </c>
      <c r="T199" s="43">
        <f t="shared" si="41"/>
        <v>0</v>
      </c>
      <c r="U199" s="226">
        <f>TRUNC(T199*Condições!$C$102,2)</f>
        <v>0</v>
      </c>
      <c r="V199" s="82">
        <f t="shared" ca="1" si="35"/>
        <v>12</v>
      </c>
      <c r="W199" s="231" t="str">
        <f t="shared" si="42"/>
        <v/>
      </c>
      <c r="X199" s="210"/>
      <c r="Y199" s="210"/>
      <c r="Z199" s="210"/>
      <c r="AI199" s="114">
        <f t="shared" si="43"/>
        <v>0</v>
      </c>
      <c r="AJ199" s="113"/>
      <c r="AL199" s="477">
        <f t="shared" ca="1" si="44"/>
        <v>0</v>
      </c>
    </row>
    <row r="200" spans="2:38" ht="12" customHeight="1">
      <c r="B200" s="222">
        <f ca="1">Fixa!B200</f>
        <v>51517</v>
      </c>
      <c r="C200" s="223" t="str">
        <f>Fixa!C200</f>
        <v/>
      </c>
      <c r="D200" s="43" t="e">
        <f t="shared" si="36"/>
        <v>#VALUE!</v>
      </c>
      <c r="E200" s="43" t="e">
        <f t="shared" si="36"/>
        <v>#VALUE!</v>
      </c>
      <c r="F200" s="43" t="e">
        <f t="shared" si="36"/>
        <v>#VALUE!</v>
      </c>
      <c r="G200" s="43" t="e">
        <f t="shared" si="31"/>
        <v>#VALUE!</v>
      </c>
      <c r="H200" s="43" t="e">
        <f t="shared" ca="1" si="32"/>
        <v>#VALUE!</v>
      </c>
      <c r="I200" s="43">
        <f t="shared" si="33"/>
        <v>0</v>
      </c>
      <c r="J200" s="229">
        <f t="shared" si="37"/>
        <v>25</v>
      </c>
      <c r="K200" s="43">
        <f t="shared" si="38"/>
        <v>0</v>
      </c>
      <c r="M200" s="224"/>
      <c r="N200" s="225">
        <f t="shared" si="39"/>
        <v>0</v>
      </c>
      <c r="O200" s="43" t="e">
        <f t="shared" si="40"/>
        <v>#VALUE!</v>
      </c>
      <c r="P200" s="43" t="e">
        <f>ROUND(IF(Preenchimento!$G$39="Tabela Price",R200-Q200,(O199*(1+$AD$35))/($AD$28-C199)),$P$22)</f>
        <v>#VALUE!</v>
      </c>
      <c r="Q200" s="43" t="e">
        <f>IF(Preenchimento!$G$39="Tabela Price",O199*(1+$AD$35)*W200,O199*(1+'SAC Padrão_Sem Bonif'!$AD$35)*'SAC Padrão_Sem Bonif'!W200)</f>
        <v>#VALUE!</v>
      </c>
      <c r="R200" s="43" t="e">
        <f>IF(Preenchimento!$G$39="Tabela Price",IF(C200="","",((((((1+W200)^($Q$16-C199))*W200)/((1+W200)^($Q$16-C199)-1))*(O199*(1+$AD$35))))),Q200+P200)</f>
        <v>#VALUE!</v>
      </c>
      <c r="S200" s="43" t="e">
        <f t="shared" ca="1" si="34"/>
        <v>#VALUE!</v>
      </c>
      <c r="T200" s="43">
        <f t="shared" si="41"/>
        <v>0</v>
      </c>
      <c r="U200" s="226">
        <f>TRUNC(T200*Condições!$C$102,2)</f>
        <v>0</v>
      </c>
      <c r="V200" s="82">
        <f t="shared" ca="1" si="35"/>
        <v>1</v>
      </c>
      <c r="W200" s="231" t="str">
        <f t="shared" si="42"/>
        <v/>
      </c>
      <c r="X200" s="210"/>
      <c r="Y200" s="210"/>
      <c r="Z200" s="210"/>
      <c r="AI200" s="114">
        <f t="shared" si="43"/>
        <v>0</v>
      </c>
      <c r="AJ200" s="113"/>
      <c r="AL200" s="477">
        <f t="shared" ca="1" si="44"/>
        <v>0</v>
      </c>
    </row>
    <row r="201" spans="2:38" ht="12" customHeight="1">
      <c r="B201" s="222">
        <f ca="1">Fixa!B201</f>
        <v>51548</v>
      </c>
      <c r="C201" s="223" t="str">
        <f>Fixa!C201</f>
        <v/>
      </c>
      <c r="D201" s="43" t="e">
        <f t="shared" si="36"/>
        <v>#VALUE!</v>
      </c>
      <c r="E201" s="43" t="e">
        <f t="shared" si="36"/>
        <v>#VALUE!</v>
      </c>
      <c r="F201" s="43" t="e">
        <f t="shared" si="36"/>
        <v>#VALUE!</v>
      </c>
      <c r="G201" s="43" t="e">
        <f t="shared" si="31"/>
        <v>#VALUE!</v>
      </c>
      <c r="H201" s="43" t="e">
        <f t="shared" ca="1" si="32"/>
        <v>#VALUE!</v>
      </c>
      <c r="I201" s="43">
        <f t="shared" si="33"/>
        <v>0</v>
      </c>
      <c r="J201" s="229">
        <f t="shared" si="37"/>
        <v>25</v>
      </c>
      <c r="K201" s="43">
        <f t="shared" si="38"/>
        <v>0</v>
      </c>
      <c r="M201" s="224"/>
      <c r="N201" s="225">
        <f t="shared" si="39"/>
        <v>0</v>
      </c>
      <c r="O201" s="43" t="e">
        <f t="shared" si="40"/>
        <v>#VALUE!</v>
      </c>
      <c r="P201" s="43" t="e">
        <f>ROUND(IF(Preenchimento!$G$39="Tabela Price",R201-Q201,(O200*(1+$AD$35))/($AD$28-C200)),$P$22)</f>
        <v>#VALUE!</v>
      </c>
      <c r="Q201" s="43" t="e">
        <f>IF(Preenchimento!$G$39="Tabela Price",O200*(1+$AD$35)*W201,O200*(1+'SAC Padrão_Sem Bonif'!$AD$35)*'SAC Padrão_Sem Bonif'!W201)</f>
        <v>#VALUE!</v>
      </c>
      <c r="R201" s="43" t="e">
        <f>IF(Preenchimento!$G$39="Tabela Price",IF(C201="","",((((((1+W201)^($Q$16-C200))*W201)/((1+W201)^($Q$16-C200)-1))*(O200*(1+$AD$35))))),Q201+P201)</f>
        <v>#VALUE!</v>
      </c>
      <c r="S201" s="43" t="e">
        <f t="shared" ca="1" si="34"/>
        <v>#VALUE!</v>
      </c>
      <c r="T201" s="43">
        <f t="shared" si="41"/>
        <v>0</v>
      </c>
      <c r="U201" s="226">
        <f>TRUNC(T201*Condições!$C$102,2)</f>
        <v>0</v>
      </c>
      <c r="V201" s="82">
        <f t="shared" ca="1" si="35"/>
        <v>2</v>
      </c>
      <c r="W201" s="231" t="str">
        <f t="shared" si="42"/>
        <v/>
      </c>
      <c r="X201" s="210"/>
      <c r="Y201" s="210"/>
      <c r="Z201" s="210"/>
      <c r="AI201" s="114">
        <f t="shared" si="43"/>
        <v>0</v>
      </c>
      <c r="AJ201" s="113"/>
      <c r="AL201" s="477">
        <f t="shared" ca="1" si="44"/>
        <v>0</v>
      </c>
    </row>
    <row r="202" spans="2:38" ht="12" customHeight="1">
      <c r="B202" s="222">
        <f ca="1">Fixa!B202</f>
        <v>51576</v>
      </c>
      <c r="C202" s="223" t="str">
        <f>Fixa!C202</f>
        <v/>
      </c>
      <c r="D202" s="43" t="e">
        <f t="shared" si="36"/>
        <v>#VALUE!</v>
      </c>
      <c r="E202" s="43" t="e">
        <f t="shared" si="36"/>
        <v>#VALUE!</v>
      </c>
      <c r="F202" s="43" t="e">
        <f t="shared" si="36"/>
        <v>#VALUE!</v>
      </c>
      <c r="G202" s="43" t="e">
        <f t="shared" si="31"/>
        <v>#VALUE!</v>
      </c>
      <c r="H202" s="43" t="e">
        <f t="shared" ca="1" si="32"/>
        <v>#VALUE!</v>
      </c>
      <c r="I202" s="43">
        <f t="shared" si="33"/>
        <v>0</v>
      </c>
      <c r="J202" s="229">
        <f t="shared" si="37"/>
        <v>25</v>
      </c>
      <c r="K202" s="43">
        <f t="shared" si="38"/>
        <v>0</v>
      </c>
      <c r="M202" s="224"/>
      <c r="N202" s="225">
        <f t="shared" si="39"/>
        <v>0</v>
      </c>
      <c r="O202" s="43" t="e">
        <f t="shared" si="40"/>
        <v>#VALUE!</v>
      </c>
      <c r="P202" s="43" t="e">
        <f>ROUND(IF(Preenchimento!$G$39="Tabela Price",R202-Q202,(O201*(1+$AD$35))/($AD$28-C201)),$P$22)</f>
        <v>#VALUE!</v>
      </c>
      <c r="Q202" s="43" t="e">
        <f>IF(Preenchimento!$G$39="Tabela Price",O201*(1+$AD$35)*W202,O201*(1+'SAC Padrão_Sem Bonif'!$AD$35)*'SAC Padrão_Sem Bonif'!W202)</f>
        <v>#VALUE!</v>
      </c>
      <c r="R202" s="43" t="e">
        <f>IF(Preenchimento!$G$39="Tabela Price",IF(C202="","",((((((1+W202)^($Q$16-C201))*W202)/((1+W202)^($Q$16-C201)-1))*(O201*(1+$AD$35))))),Q202+P202)</f>
        <v>#VALUE!</v>
      </c>
      <c r="S202" s="43" t="e">
        <f t="shared" ca="1" si="34"/>
        <v>#VALUE!</v>
      </c>
      <c r="T202" s="43">
        <f t="shared" si="41"/>
        <v>0</v>
      </c>
      <c r="U202" s="226">
        <f>TRUNC(T202*Condições!$C$102,2)</f>
        <v>0</v>
      </c>
      <c r="V202" s="82">
        <f t="shared" ca="1" si="35"/>
        <v>3</v>
      </c>
      <c r="W202" s="231" t="str">
        <f t="shared" si="42"/>
        <v/>
      </c>
      <c r="X202" s="210"/>
      <c r="Y202" s="210"/>
      <c r="Z202" s="210"/>
      <c r="AI202" s="114">
        <f t="shared" si="43"/>
        <v>0</v>
      </c>
      <c r="AJ202" s="113"/>
      <c r="AL202" s="477">
        <f t="shared" ca="1" si="44"/>
        <v>0</v>
      </c>
    </row>
    <row r="203" spans="2:38" ht="12" customHeight="1">
      <c r="B203" s="222">
        <f ca="1">Fixa!B203</f>
        <v>51607</v>
      </c>
      <c r="C203" s="223" t="str">
        <f>Fixa!C203</f>
        <v/>
      </c>
      <c r="D203" s="43" t="e">
        <f t="shared" si="36"/>
        <v>#VALUE!</v>
      </c>
      <c r="E203" s="43" t="e">
        <f t="shared" si="36"/>
        <v>#VALUE!</v>
      </c>
      <c r="F203" s="43" t="e">
        <f t="shared" si="36"/>
        <v>#VALUE!</v>
      </c>
      <c r="G203" s="43" t="e">
        <f t="shared" si="31"/>
        <v>#VALUE!</v>
      </c>
      <c r="H203" s="43" t="e">
        <f t="shared" ca="1" si="32"/>
        <v>#VALUE!</v>
      </c>
      <c r="I203" s="43">
        <f t="shared" si="33"/>
        <v>0</v>
      </c>
      <c r="J203" s="229">
        <f t="shared" si="37"/>
        <v>25</v>
      </c>
      <c r="K203" s="43">
        <f t="shared" si="38"/>
        <v>0</v>
      </c>
      <c r="M203" s="224"/>
      <c r="N203" s="225">
        <f t="shared" si="39"/>
        <v>0</v>
      </c>
      <c r="O203" s="43" t="e">
        <f t="shared" si="40"/>
        <v>#VALUE!</v>
      </c>
      <c r="P203" s="43" t="e">
        <f>ROUND(IF(Preenchimento!$G$39="Tabela Price",R203-Q203,(O202*(1+$AD$35))/($AD$28-C202)),$P$22)</f>
        <v>#VALUE!</v>
      </c>
      <c r="Q203" s="43" t="e">
        <f>IF(Preenchimento!$G$39="Tabela Price",O202*(1+$AD$35)*W203,O202*(1+'SAC Padrão_Sem Bonif'!$AD$35)*'SAC Padrão_Sem Bonif'!W203)</f>
        <v>#VALUE!</v>
      </c>
      <c r="R203" s="43" t="e">
        <f>IF(Preenchimento!$G$39="Tabela Price",IF(C203="","",((((((1+W203)^($Q$16-C202))*W203)/((1+W203)^($Q$16-C202)-1))*(O202*(1+$AD$35))))),Q203+P203)</f>
        <v>#VALUE!</v>
      </c>
      <c r="S203" s="43" t="e">
        <f t="shared" ca="1" si="34"/>
        <v>#VALUE!</v>
      </c>
      <c r="T203" s="43">
        <f t="shared" si="41"/>
        <v>0</v>
      </c>
      <c r="U203" s="226">
        <f>TRUNC(T203*Condições!$C$102,2)</f>
        <v>0</v>
      </c>
      <c r="V203" s="82">
        <f t="shared" ca="1" si="35"/>
        <v>4</v>
      </c>
      <c r="W203" s="231" t="str">
        <f t="shared" si="42"/>
        <v/>
      </c>
      <c r="X203" s="210"/>
      <c r="Y203" s="210"/>
      <c r="Z203" s="210"/>
      <c r="AI203" s="114">
        <f t="shared" si="43"/>
        <v>0</v>
      </c>
      <c r="AJ203" s="113"/>
      <c r="AL203" s="477">
        <f t="shared" ca="1" si="44"/>
        <v>0</v>
      </c>
    </row>
    <row r="204" spans="2:38" ht="12" customHeight="1">
      <c r="B204" s="222">
        <f ca="1">Fixa!B204</f>
        <v>51637</v>
      </c>
      <c r="C204" s="223" t="str">
        <f>Fixa!C204</f>
        <v/>
      </c>
      <c r="D204" s="43" t="e">
        <f t="shared" si="36"/>
        <v>#VALUE!</v>
      </c>
      <c r="E204" s="43" t="e">
        <f t="shared" si="36"/>
        <v>#VALUE!</v>
      </c>
      <c r="F204" s="43" t="e">
        <f t="shared" si="36"/>
        <v>#VALUE!</v>
      </c>
      <c r="G204" s="43" t="e">
        <f t="shared" si="31"/>
        <v>#VALUE!</v>
      </c>
      <c r="H204" s="43" t="e">
        <f t="shared" ca="1" si="32"/>
        <v>#VALUE!</v>
      </c>
      <c r="I204" s="43">
        <f t="shared" si="33"/>
        <v>0</v>
      </c>
      <c r="J204" s="229">
        <f t="shared" si="37"/>
        <v>25</v>
      </c>
      <c r="K204" s="43">
        <f t="shared" si="38"/>
        <v>0</v>
      </c>
      <c r="M204" s="224"/>
      <c r="N204" s="225">
        <f t="shared" si="39"/>
        <v>0</v>
      </c>
      <c r="O204" s="43" t="e">
        <f t="shared" si="40"/>
        <v>#VALUE!</v>
      </c>
      <c r="P204" s="43" t="e">
        <f>ROUND(IF(Preenchimento!$G$39="Tabela Price",R204-Q204,(O203*(1+$AD$35))/($AD$28-C203)),$P$22)</f>
        <v>#VALUE!</v>
      </c>
      <c r="Q204" s="43" t="e">
        <f>IF(Preenchimento!$G$39="Tabela Price",O203*(1+$AD$35)*W204,O203*(1+'SAC Padrão_Sem Bonif'!$AD$35)*'SAC Padrão_Sem Bonif'!W204)</f>
        <v>#VALUE!</v>
      </c>
      <c r="R204" s="43" t="e">
        <f>IF(Preenchimento!$G$39="Tabela Price",IF(C204="","",((((((1+W204)^($Q$16-C203))*W204)/((1+W204)^($Q$16-C203)-1))*(O203*(1+$AD$35))))),Q204+P204)</f>
        <v>#VALUE!</v>
      </c>
      <c r="S204" s="43" t="e">
        <f t="shared" ca="1" si="34"/>
        <v>#VALUE!</v>
      </c>
      <c r="T204" s="43">
        <f t="shared" si="41"/>
        <v>0</v>
      </c>
      <c r="U204" s="226">
        <f>TRUNC(T204*Condições!$C$102,2)</f>
        <v>0</v>
      </c>
      <c r="V204" s="82">
        <f t="shared" ca="1" si="35"/>
        <v>5</v>
      </c>
      <c r="W204" s="231" t="str">
        <f t="shared" si="42"/>
        <v/>
      </c>
      <c r="X204" s="210"/>
      <c r="Y204" s="210"/>
      <c r="Z204" s="210"/>
      <c r="AI204" s="114">
        <f t="shared" si="43"/>
        <v>0</v>
      </c>
      <c r="AJ204" s="113"/>
      <c r="AL204" s="477">
        <f t="shared" ca="1" si="44"/>
        <v>0</v>
      </c>
    </row>
    <row r="205" spans="2:38" ht="12" customHeight="1">
      <c r="B205" s="222">
        <f ca="1">Fixa!B205</f>
        <v>51668</v>
      </c>
      <c r="C205" s="223" t="str">
        <f>Fixa!C205</f>
        <v/>
      </c>
      <c r="D205" s="43" t="e">
        <f t="shared" si="36"/>
        <v>#VALUE!</v>
      </c>
      <c r="E205" s="43" t="e">
        <f t="shared" si="36"/>
        <v>#VALUE!</v>
      </c>
      <c r="F205" s="43" t="e">
        <f t="shared" si="36"/>
        <v>#VALUE!</v>
      </c>
      <c r="G205" s="43" t="e">
        <f t="shared" si="31"/>
        <v>#VALUE!</v>
      </c>
      <c r="H205" s="43" t="e">
        <f t="shared" ca="1" si="32"/>
        <v>#VALUE!</v>
      </c>
      <c r="I205" s="43">
        <f t="shared" si="33"/>
        <v>0</v>
      </c>
      <c r="J205" s="229">
        <f t="shared" si="37"/>
        <v>25</v>
      </c>
      <c r="K205" s="43">
        <f t="shared" si="38"/>
        <v>0</v>
      </c>
      <c r="M205" s="224"/>
      <c r="N205" s="225">
        <f t="shared" si="39"/>
        <v>0</v>
      </c>
      <c r="O205" s="43" t="e">
        <f t="shared" si="40"/>
        <v>#VALUE!</v>
      </c>
      <c r="P205" s="43" t="e">
        <f>ROUND(IF(Preenchimento!$G$39="Tabela Price",R205-Q205,(O204*(1+$AD$35))/($AD$28-C204)),$P$22)</f>
        <v>#VALUE!</v>
      </c>
      <c r="Q205" s="43" t="e">
        <f>IF(Preenchimento!$G$39="Tabela Price",O204*(1+$AD$35)*W205,O204*(1+'SAC Padrão_Sem Bonif'!$AD$35)*'SAC Padrão_Sem Bonif'!W205)</f>
        <v>#VALUE!</v>
      </c>
      <c r="R205" s="43" t="e">
        <f>IF(Preenchimento!$G$39="Tabela Price",IF(C205="","",((((((1+W205)^($Q$16-C204))*W205)/((1+W205)^($Q$16-C204)-1))*(O204*(1+$AD$35))))),Q205+P205)</f>
        <v>#VALUE!</v>
      </c>
      <c r="S205" s="43" t="e">
        <f t="shared" ca="1" si="34"/>
        <v>#VALUE!</v>
      </c>
      <c r="T205" s="43">
        <f t="shared" si="41"/>
        <v>0</v>
      </c>
      <c r="U205" s="226">
        <f>TRUNC(T205*Condições!$C$102,2)</f>
        <v>0</v>
      </c>
      <c r="V205" s="82">
        <f t="shared" ca="1" si="35"/>
        <v>6</v>
      </c>
      <c r="W205" s="231" t="str">
        <f t="shared" si="42"/>
        <v/>
      </c>
      <c r="X205" s="210"/>
      <c r="Y205" s="210"/>
      <c r="Z205" s="210"/>
      <c r="AI205" s="114">
        <f t="shared" si="43"/>
        <v>0</v>
      </c>
      <c r="AJ205" s="113"/>
      <c r="AL205" s="477">
        <f t="shared" ca="1" si="44"/>
        <v>0</v>
      </c>
    </row>
    <row r="206" spans="2:38" ht="12" customHeight="1">
      <c r="B206" s="222">
        <f ca="1">Fixa!B206</f>
        <v>51698</v>
      </c>
      <c r="C206" s="223" t="str">
        <f>Fixa!C206</f>
        <v/>
      </c>
      <c r="D206" s="43" t="e">
        <f t="shared" si="36"/>
        <v>#VALUE!</v>
      </c>
      <c r="E206" s="43" t="e">
        <f t="shared" si="36"/>
        <v>#VALUE!</v>
      </c>
      <c r="F206" s="43" t="e">
        <f t="shared" si="36"/>
        <v>#VALUE!</v>
      </c>
      <c r="G206" s="43" t="e">
        <f t="shared" si="31"/>
        <v>#VALUE!</v>
      </c>
      <c r="H206" s="43" t="e">
        <f t="shared" ca="1" si="32"/>
        <v>#VALUE!</v>
      </c>
      <c r="I206" s="43">
        <f t="shared" si="33"/>
        <v>0</v>
      </c>
      <c r="J206" s="229">
        <f t="shared" si="37"/>
        <v>25</v>
      </c>
      <c r="K206" s="43">
        <f t="shared" si="38"/>
        <v>0</v>
      </c>
      <c r="M206" s="224"/>
      <c r="N206" s="225">
        <f t="shared" si="39"/>
        <v>0</v>
      </c>
      <c r="O206" s="43" t="e">
        <f t="shared" si="40"/>
        <v>#VALUE!</v>
      </c>
      <c r="P206" s="43" t="e">
        <f>ROUND(IF(Preenchimento!$G$39="Tabela Price",R206-Q206,(O205*(1+$AD$35))/($AD$28-C205)),$P$22)</f>
        <v>#VALUE!</v>
      </c>
      <c r="Q206" s="43" t="e">
        <f>IF(Preenchimento!$G$39="Tabela Price",O205*(1+$AD$35)*W206,O205*(1+'SAC Padrão_Sem Bonif'!$AD$35)*'SAC Padrão_Sem Bonif'!W206)</f>
        <v>#VALUE!</v>
      </c>
      <c r="R206" s="43" t="e">
        <f>IF(Preenchimento!$G$39="Tabela Price",IF(C206="","",((((((1+W206)^($Q$16-C205))*W206)/((1+W206)^($Q$16-C205)-1))*(O205*(1+$AD$35))))),Q206+P206)</f>
        <v>#VALUE!</v>
      </c>
      <c r="S206" s="43" t="e">
        <f t="shared" ca="1" si="34"/>
        <v>#VALUE!</v>
      </c>
      <c r="T206" s="43">
        <f t="shared" si="41"/>
        <v>0</v>
      </c>
      <c r="U206" s="226">
        <f>TRUNC(T206*Condições!$C$102,2)</f>
        <v>0</v>
      </c>
      <c r="V206" s="82">
        <f t="shared" ca="1" si="35"/>
        <v>7</v>
      </c>
      <c r="W206" s="231" t="str">
        <f t="shared" si="42"/>
        <v/>
      </c>
      <c r="X206" s="210"/>
      <c r="Y206" s="210"/>
      <c r="Z206" s="210"/>
      <c r="AI206" s="114">
        <f t="shared" si="43"/>
        <v>0</v>
      </c>
      <c r="AJ206" s="113"/>
      <c r="AL206" s="477">
        <f t="shared" ca="1" si="44"/>
        <v>0</v>
      </c>
    </row>
    <row r="207" spans="2:38" ht="12" customHeight="1">
      <c r="B207" s="222">
        <f ca="1">Fixa!B207</f>
        <v>51729</v>
      </c>
      <c r="C207" s="223" t="str">
        <f>Fixa!C207</f>
        <v/>
      </c>
      <c r="D207" s="43" t="e">
        <f t="shared" si="36"/>
        <v>#VALUE!</v>
      </c>
      <c r="E207" s="43" t="e">
        <f t="shared" si="36"/>
        <v>#VALUE!</v>
      </c>
      <c r="F207" s="43" t="e">
        <f t="shared" si="36"/>
        <v>#VALUE!</v>
      </c>
      <c r="G207" s="43" t="e">
        <f t="shared" si="31"/>
        <v>#VALUE!</v>
      </c>
      <c r="H207" s="43" t="e">
        <f t="shared" ca="1" si="32"/>
        <v>#VALUE!</v>
      </c>
      <c r="I207" s="43">
        <f t="shared" si="33"/>
        <v>0</v>
      </c>
      <c r="J207" s="229">
        <f t="shared" si="37"/>
        <v>25</v>
      </c>
      <c r="K207" s="43">
        <f t="shared" si="38"/>
        <v>0</v>
      </c>
      <c r="M207" s="224"/>
      <c r="N207" s="225">
        <f t="shared" si="39"/>
        <v>0</v>
      </c>
      <c r="O207" s="43" t="e">
        <f t="shared" si="40"/>
        <v>#VALUE!</v>
      </c>
      <c r="P207" s="43" t="e">
        <f>ROUND(IF(Preenchimento!$G$39="Tabela Price",R207-Q207,(O206*(1+$AD$35))/($AD$28-C206)),$P$22)</f>
        <v>#VALUE!</v>
      </c>
      <c r="Q207" s="43" t="e">
        <f>IF(Preenchimento!$G$39="Tabela Price",O206*(1+$AD$35)*W207,O206*(1+'SAC Padrão_Sem Bonif'!$AD$35)*'SAC Padrão_Sem Bonif'!W207)</f>
        <v>#VALUE!</v>
      </c>
      <c r="R207" s="43" t="e">
        <f>IF(Preenchimento!$G$39="Tabela Price",IF(C207="","",((((((1+W207)^($Q$16-C206))*W207)/((1+W207)^($Q$16-C206)-1))*(O206*(1+$AD$35))))),Q207+P207)</f>
        <v>#VALUE!</v>
      </c>
      <c r="S207" s="43" t="e">
        <f t="shared" ca="1" si="34"/>
        <v>#VALUE!</v>
      </c>
      <c r="T207" s="43">
        <f t="shared" si="41"/>
        <v>0</v>
      </c>
      <c r="U207" s="226">
        <f>TRUNC(T207*Condições!$C$102,2)</f>
        <v>0</v>
      </c>
      <c r="V207" s="82">
        <f t="shared" ca="1" si="35"/>
        <v>8</v>
      </c>
      <c r="W207" s="231" t="str">
        <f t="shared" si="42"/>
        <v/>
      </c>
      <c r="X207" s="210"/>
      <c r="Y207" s="210"/>
      <c r="Z207" s="210"/>
      <c r="AI207" s="114">
        <f t="shared" si="43"/>
        <v>0</v>
      </c>
      <c r="AJ207" s="113"/>
      <c r="AL207" s="477">
        <f t="shared" ca="1" si="44"/>
        <v>0</v>
      </c>
    </row>
    <row r="208" spans="2:38" ht="12" customHeight="1">
      <c r="B208" s="222">
        <f ca="1">Fixa!B208</f>
        <v>51760</v>
      </c>
      <c r="C208" s="223" t="str">
        <f>Fixa!C208</f>
        <v/>
      </c>
      <c r="D208" s="43" t="e">
        <f t="shared" si="36"/>
        <v>#VALUE!</v>
      </c>
      <c r="E208" s="43" t="e">
        <f t="shared" si="36"/>
        <v>#VALUE!</v>
      </c>
      <c r="F208" s="43" t="e">
        <f t="shared" si="36"/>
        <v>#VALUE!</v>
      </c>
      <c r="G208" s="43" t="e">
        <f t="shared" si="31"/>
        <v>#VALUE!</v>
      </c>
      <c r="H208" s="43" t="e">
        <f t="shared" ca="1" si="32"/>
        <v>#VALUE!</v>
      </c>
      <c r="I208" s="43">
        <f t="shared" si="33"/>
        <v>0</v>
      </c>
      <c r="J208" s="229">
        <f t="shared" si="37"/>
        <v>25</v>
      </c>
      <c r="K208" s="43">
        <f t="shared" si="38"/>
        <v>0</v>
      </c>
      <c r="M208" s="224"/>
      <c r="N208" s="225">
        <f t="shared" si="39"/>
        <v>0</v>
      </c>
      <c r="O208" s="43" t="e">
        <f t="shared" si="40"/>
        <v>#VALUE!</v>
      </c>
      <c r="P208" s="43" t="e">
        <f>ROUND(IF(Preenchimento!$G$39="Tabela Price",R208-Q208,(O207*(1+$AD$35))/($AD$28-C207)),$P$22)</f>
        <v>#VALUE!</v>
      </c>
      <c r="Q208" s="43" t="e">
        <f>IF(Preenchimento!$G$39="Tabela Price",O207*(1+$AD$35)*W208,O207*(1+'SAC Padrão_Sem Bonif'!$AD$35)*'SAC Padrão_Sem Bonif'!W208)</f>
        <v>#VALUE!</v>
      </c>
      <c r="R208" s="43" t="e">
        <f>IF(Preenchimento!$G$39="Tabela Price",IF(C208="","",((((((1+W208)^($Q$16-C207))*W208)/((1+W208)^($Q$16-C207)-1))*(O207*(1+$AD$35))))),Q208+P208)</f>
        <v>#VALUE!</v>
      </c>
      <c r="S208" s="43" t="e">
        <f t="shared" ca="1" si="34"/>
        <v>#VALUE!</v>
      </c>
      <c r="T208" s="43">
        <f t="shared" si="41"/>
        <v>0</v>
      </c>
      <c r="U208" s="226">
        <f>TRUNC(T208*Condições!$C$102,2)</f>
        <v>0</v>
      </c>
      <c r="V208" s="82">
        <f t="shared" ca="1" si="35"/>
        <v>9</v>
      </c>
      <c r="W208" s="231" t="str">
        <f t="shared" si="42"/>
        <v/>
      </c>
      <c r="X208" s="210"/>
      <c r="Y208" s="210"/>
      <c r="Z208" s="210"/>
      <c r="AI208" s="114">
        <f t="shared" si="43"/>
        <v>0</v>
      </c>
      <c r="AJ208" s="113"/>
      <c r="AL208" s="477">
        <f t="shared" ca="1" si="44"/>
        <v>0</v>
      </c>
    </row>
    <row r="209" spans="2:38" ht="12" customHeight="1">
      <c r="B209" s="222">
        <f ca="1">Fixa!B209</f>
        <v>51790</v>
      </c>
      <c r="C209" s="223" t="str">
        <f>Fixa!C209</f>
        <v/>
      </c>
      <c r="D209" s="43" t="e">
        <f t="shared" si="36"/>
        <v>#VALUE!</v>
      </c>
      <c r="E209" s="43" t="e">
        <f t="shared" si="36"/>
        <v>#VALUE!</v>
      </c>
      <c r="F209" s="43" t="e">
        <f t="shared" si="36"/>
        <v>#VALUE!</v>
      </c>
      <c r="G209" s="43" t="e">
        <f t="shared" si="31"/>
        <v>#VALUE!</v>
      </c>
      <c r="H209" s="43" t="e">
        <f t="shared" ca="1" si="32"/>
        <v>#VALUE!</v>
      </c>
      <c r="I209" s="43">
        <f t="shared" si="33"/>
        <v>0</v>
      </c>
      <c r="J209" s="229">
        <f t="shared" si="37"/>
        <v>25</v>
      </c>
      <c r="K209" s="43">
        <f t="shared" si="38"/>
        <v>0</v>
      </c>
      <c r="M209" s="224"/>
      <c r="N209" s="225">
        <f t="shared" si="39"/>
        <v>0</v>
      </c>
      <c r="O209" s="43" t="e">
        <f t="shared" si="40"/>
        <v>#VALUE!</v>
      </c>
      <c r="P209" s="43" t="e">
        <f>ROUND(IF(Preenchimento!$G$39="Tabela Price",R209-Q209,(O208*(1+$AD$35))/($AD$28-C208)),$P$22)</f>
        <v>#VALUE!</v>
      </c>
      <c r="Q209" s="43" t="e">
        <f>IF(Preenchimento!$G$39="Tabela Price",O208*(1+$AD$35)*W209,O208*(1+'SAC Padrão_Sem Bonif'!$AD$35)*'SAC Padrão_Sem Bonif'!W209)</f>
        <v>#VALUE!</v>
      </c>
      <c r="R209" s="43" t="e">
        <f>IF(Preenchimento!$G$39="Tabela Price",IF(C209="","",((((((1+W209)^($Q$16-C208))*W209)/((1+W209)^($Q$16-C208)-1))*(O208*(1+$AD$35))))),Q209+P209)</f>
        <v>#VALUE!</v>
      </c>
      <c r="S209" s="43" t="e">
        <f t="shared" ca="1" si="34"/>
        <v>#VALUE!</v>
      </c>
      <c r="T209" s="43">
        <f t="shared" si="41"/>
        <v>0</v>
      </c>
      <c r="U209" s="226">
        <f>TRUNC(T209*Condições!$C$102,2)</f>
        <v>0</v>
      </c>
      <c r="V209" s="82">
        <f t="shared" ca="1" si="35"/>
        <v>10</v>
      </c>
      <c r="W209" s="231" t="str">
        <f t="shared" si="42"/>
        <v/>
      </c>
      <c r="X209" s="210"/>
      <c r="Y209" s="210"/>
      <c r="Z209" s="210"/>
      <c r="AI209" s="114">
        <f t="shared" si="43"/>
        <v>0</v>
      </c>
      <c r="AJ209" s="113"/>
      <c r="AL209" s="477">
        <f t="shared" ca="1" si="44"/>
        <v>0</v>
      </c>
    </row>
    <row r="210" spans="2:38" ht="12" customHeight="1">
      <c r="B210" s="222">
        <f ca="1">Fixa!B210</f>
        <v>51821</v>
      </c>
      <c r="C210" s="223" t="str">
        <f>Fixa!C210</f>
        <v/>
      </c>
      <c r="D210" s="43" t="e">
        <f t="shared" si="36"/>
        <v>#VALUE!</v>
      </c>
      <c r="E210" s="43" t="e">
        <f t="shared" si="36"/>
        <v>#VALUE!</v>
      </c>
      <c r="F210" s="43" t="e">
        <f t="shared" si="36"/>
        <v>#VALUE!</v>
      </c>
      <c r="G210" s="43" t="e">
        <f t="shared" si="31"/>
        <v>#VALUE!</v>
      </c>
      <c r="H210" s="43" t="e">
        <f t="shared" ca="1" si="32"/>
        <v>#VALUE!</v>
      </c>
      <c r="I210" s="43">
        <f t="shared" si="33"/>
        <v>0</v>
      </c>
      <c r="J210" s="229">
        <f t="shared" si="37"/>
        <v>25</v>
      </c>
      <c r="K210" s="43">
        <f t="shared" si="38"/>
        <v>0</v>
      </c>
      <c r="M210" s="224"/>
      <c r="N210" s="225">
        <f t="shared" si="39"/>
        <v>0</v>
      </c>
      <c r="O210" s="43" t="e">
        <f t="shared" si="40"/>
        <v>#VALUE!</v>
      </c>
      <c r="P210" s="43" t="e">
        <f>ROUND(IF(Preenchimento!$G$39="Tabela Price",R210-Q210,(O209*(1+$AD$35))/($AD$28-C209)),$P$22)</f>
        <v>#VALUE!</v>
      </c>
      <c r="Q210" s="43" t="e">
        <f>IF(Preenchimento!$G$39="Tabela Price",O209*(1+$AD$35)*W210,O209*(1+'SAC Padrão_Sem Bonif'!$AD$35)*'SAC Padrão_Sem Bonif'!W210)</f>
        <v>#VALUE!</v>
      </c>
      <c r="R210" s="43" t="e">
        <f>IF(Preenchimento!$G$39="Tabela Price",IF(C210="","",((((((1+W210)^($Q$16-C209))*W210)/((1+W210)^($Q$16-C209)-1))*(O209*(1+$AD$35))))),Q210+P210)</f>
        <v>#VALUE!</v>
      </c>
      <c r="S210" s="43" t="e">
        <f t="shared" ca="1" si="34"/>
        <v>#VALUE!</v>
      </c>
      <c r="T210" s="43">
        <f t="shared" si="41"/>
        <v>0</v>
      </c>
      <c r="U210" s="226">
        <f>TRUNC(T210*Condições!$C$102,2)</f>
        <v>0</v>
      </c>
      <c r="V210" s="82">
        <f t="shared" ca="1" si="35"/>
        <v>11</v>
      </c>
      <c r="W210" s="231" t="str">
        <f t="shared" si="42"/>
        <v/>
      </c>
      <c r="X210" s="210"/>
      <c r="Y210" s="210"/>
      <c r="Z210" s="210"/>
      <c r="AI210" s="114">
        <f t="shared" si="43"/>
        <v>0</v>
      </c>
      <c r="AJ210" s="113"/>
      <c r="AL210" s="477">
        <f t="shared" ca="1" si="44"/>
        <v>0</v>
      </c>
    </row>
    <row r="211" spans="2:38" ht="12" customHeight="1">
      <c r="B211" s="222">
        <f ca="1">Fixa!B211</f>
        <v>51851</v>
      </c>
      <c r="C211" s="223" t="str">
        <f>Fixa!C211</f>
        <v/>
      </c>
      <c r="D211" s="43" t="e">
        <f t="shared" si="36"/>
        <v>#VALUE!</v>
      </c>
      <c r="E211" s="43" t="e">
        <f t="shared" si="36"/>
        <v>#VALUE!</v>
      </c>
      <c r="F211" s="43" t="e">
        <f t="shared" si="36"/>
        <v>#VALUE!</v>
      </c>
      <c r="G211" s="43" t="e">
        <f t="shared" si="31"/>
        <v>#VALUE!</v>
      </c>
      <c r="H211" s="43" t="e">
        <f t="shared" ca="1" si="32"/>
        <v>#VALUE!</v>
      </c>
      <c r="I211" s="43">
        <f t="shared" si="33"/>
        <v>0</v>
      </c>
      <c r="J211" s="229">
        <f t="shared" si="37"/>
        <v>25</v>
      </c>
      <c r="K211" s="43">
        <f t="shared" si="38"/>
        <v>0</v>
      </c>
      <c r="M211" s="224"/>
      <c r="N211" s="225">
        <f t="shared" si="39"/>
        <v>0</v>
      </c>
      <c r="O211" s="43" t="e">
        <f t="shared" si="40"/>
        <v>#VALUE!</v>
      </c>
      <c r="P211" s="43" t="e">
        <f>ROUND(IF(Preenchimento!$G$39="Tabela Price",R211-Q211,(O210*(1+$AD$35))/($AD$28-C210)),$P$22)</f>
        <v>#VALUE!</v>
      </c>
      <c r="Q211" s="43" t="e">
        <f>IF(Preenchimento!$G$39="Tabela Price",O210*(1+$AD$35)*W211,O210*(1+'SAC Padrão_Sem Bonif'!$AD$35)*'SAC Padrão_Sem Bonif'!W211)</f>
        <v>#VALUE!</v>
      </c>
      <c r="R211" s="43" t="e">
        <f>IF(Preenchimento!$G$39="Tabela Price",IF(C211="","",((((((1+W211)^($Q$16-C210))*W211)/((1+W211)^($Q$16-C210)-1))*(O210*(1+$AD$35))))),Q211+P211)</f>
        <v>#VALUE!</v>
      </c>
      <c r="S211" s="43" t="e">
        <f t="shared" ca="1" si="34"/>
        <v>#VALUE!</v>
      </c>
      <c r="T211" s="43">
        <f t="shared" si="41"/>
        <v>0</v>
      </c>
      <c r="U211" s="226">
        <f>TRUNC(T211*Condições!$C$102,2)</f>
        <v>0</v>
      </c>
      <c r="V211" s="82">
        <f t="shared" ca="1" si="35"/>
        <v>12</v>
      </c>
      <c r="W211" s="231" t="str">
        <f t="shared" si="42"/>
        <v/>
      </c>
      <c r="X211" s="210"/>
      <c r="Y211" s="210"/>
      <c r="Z211" s="210"/>
      <c r="AI211" s="114">
        <f t="shared" si="43"/>
        <v>0</v>
      </c>
      <c r="AJ211" s="113"/>
      <c r="AL211" s="477">
        <f t="shared" ca="1" si="44"/>
        <v>0</v>
      </c>
    </row>
    <row r="212" spans="2:38" ht="12" customHeight="1">
      <c r="B212" s="222">
        <f ca="1">Fixa!B212</f>
        <v>51882</v>
      </c>
      <c r="C212" s="223" t="str">
        <f>Fixa!C212</f>
        <v/>
      </c>
      <c r="D212" s="43" t="e">
        <f t="shared" si="36"/>
        <v>#VALUE!</v>
      </c>
      <c r="E212" s="43" t="e">
        <f t="shared" si="36"/>
        <v>#VALUE!</v>
      </c>
      <c r="F212" s="43" t="e">
        <f t="shared" si="36"/>
        <v>#VALUE!</v>
      </c>
      <c r="G212" s="43" t="e">
        <f t="shared" si="31"/>
        <v>#VALUE!</v>
      </c>
      <c r="H212" s="43" t="e">
        <f t="shared" ca="1" si="32"/>
        <v>#VALUE!</v>
      </c>
      <c r="I212" s="43">
        <f t="shared" si="33"/>
        <v>0</v>
      </c>
      <c r="J212" s="229">
        <f t="shared" si="37"/>
        <v>25</v>
      </c>
      <c r="K212" s="43">
        <f t="shared" si="38"/>
        <v>0</v>
      </c>
      <c r="M212" s="224"/>
      <c r="N212" s="225">
        <f t="shared" si="39"/>
        <v>0</v>
      </c>
      <c r="O212" s="43" t="e">
        <f t="shared" si="40"/>
        <v>#VALUE!</v>
      </c>
      <c r="P212" s="43" t="e">
        <f>ROUND(IF(Preenchimento!$G$39="Tabela Price",R212-Q212,(O211*(1+$AD$35))/($AD$28-C211)),$P$22)</f>
        <v>#VALUE!</v>
      </c>
      <c r="Q212" s="43" t="e">
        <f>IF(Preenchimento!$G$39="Tabela Price",O211*(1+$AD$35)*W212,O211*(1+'SAC Padrão_Sem Bonif'!$AD$35)*'SAC Padrão_Sem Bonif'!W212)</f>
        <v>#VALUE!</v>
      </c>
      <c r="R212" s="43" t="e">
        <f>IF(Preenchimento!$G$39="Tabela Price",IF(C212="","",((((((1+W212)^($Q$16-C211))*W212)/((1+W212)^($Q$16-C211)-1))*(O211*(1+$AD$35))))),Q212+P212)</f>
        <v>#VALUE!</v>
      </c>
      <c r="S212" s="43" t="e">
        <f t="shared" ca="1" si="34"/>
        <v>#VALUE!</v>
      </c>
      <c r="T212" s="43">
        <f t="shared" si="41"/>
        <v>0</v>
      </c>
      <c r="U212" s="226">
        <f>TRUNC(T212*Condições!$C$102,2)</f>
        <v>0</v>
      </c>
      <c r="V212" s="82">
        <f t="shared" ca="1" si="35"/>
        <v>1</v>
      </c>
      <c r="W212" s="231" t="str">
        <f t="shared" si="42"/>
        <v/>
      </c>
      <c r="X212" s="210"/>
      <c r="Y212" s="210"/>
      <c r="Z212" s="210"/>
      <c r="AI212" s="114">
        <f t="shared" si="43"/>
        <v>0</v>
      </c>
      <c r="AJ212" s="113"/>
      <c r="AL212" s="477">
        <f t="shared" ca="1" si="44"/>
        <v>0</v>
      </c>
    </row>
    <row r="213" spans="2:38" ht="12" customHeight="1">
      <c r="B213" s="222">
        <f ca="1">Fixa!B213</f>
        <v>51913</v>
      </c>
      <c r="C213" s="223" t="str">
        <f>Fixa!C213</f>
        <v/>
      </c>
      <c r="D213" s="43" t="e">
        <f t="shared" si="36"/>
        <v>#VALUE!</v>
      </c>
      <c r="E213" s="43" t="e">
        <f t="shared" si="36"/>
        <v>#VALUE!</v>
      </c>
      <c r="F213" s="43" t="e">
        <f t="shared" si="36"/>
        <v>#VALUE!</v>
      </c>
      <c r="G213" s="43" t="e">
        <f t="shared" si="31"/>
        <v>#VALUE!</v>
      </c>
      <c r="H213" s="43" t="e">
        <f t="shared" ca="1" si="32"/>
        <v>#VALUE!</v>
      </c>
      <c r="I213" s="43">
        <f t="shared" si="33"/>
        <v>0</v>
      </c>
      <c r="J213" s="229">
        <f t="shared" si="37"/>
        <v>25</v>
      </c>
      <c r="K213" s="43">
        <f t="shared" si="38"/>
        <v>0</v>
      </c>
      <c r="M213" s="224"/>
      <c r="N213" s="225">
        <f t="shared" si="39"/>
        <v>0</v>
      </c>
      <c r="O213" s="43" t="e">
        <f t="shared" si="40"/>
        <v>#VALUE!</v>
      </c>
      <c r="P213" s="43" t="e">
        <f>ROUND(IF(Preenchimento!$G$39="Tabela Price",R213-Q213,(O212*(1+$AD$35))/($AD$28-C212)),$P$22)</f>
        <v>#VALUE!</v>
      </c>
      <c r="Q213" s="43" t="e">
        <f>IF(Preenchimento!$G$39="Tabela Price",O212*(1+$AD$35)*W213,O212*(1+'SAC Padrão_Sem Bonif'!$AD$35)*'SAC Padrão_Sem Bonif'!W213)</f>
        <v>#VALUE!</v>
      </c>
      <c r="R213" s="43" t="e">
        <f>IF(Preenchimento!$G$39="Tabela Price",IF(C213="","",((((((1+W213)^($Q$16-C212))*W213)/((1+W213)^($Q$16-C212)-1))*(O212*(1+$AD$35))))),Q213+P213)</f>
        <v>#VALUE!</v>
      </c>
      <c r="S213" s="43" t="e">
        <f t="shared" ca="1" si="34"/>
        <v>#VALUE!</v>
      </c>
      <c r="T213" s="43">
        <f t="shared" si="41"/>
        <v>0</v>
      </c>
      <c r="U213" s="226">
        <f>TRUNC(T213*Condições!$C$102,2)</f>
        <v>0</v>
      </c>
      <c r="V213" s="82">
        <f t="shared" ca="1" si="35"/>
        <v>2</v>
      </c>
      <c r="W213" s="231" t="str">
        <f t="shared" si="42"/>
        <v/>
      </c>
      <c r="X213" s="210"/>
      <c r="Y213" s="210"/>
      <c r="Z213" s="210"/>
      <c r="AI213" s="114">
        <f t="shared" si="43"/>
        <v>0</v>
      </c>
      <c r="AJ213" s="113"/>
      <c r="AL213" s="477">
        <f t="shared" ca="1" si="44"/>
        <v>0</v>
      </c>
    </row>
    <row r="214" spans="2:38" ht="12" customHeight="1">
      <c r="B214" s="222">
        <f ca="1">Fixa!B214</f>
        <v>51941</v>
      </c>
      <c r="C214" s="223" t="str">
        <f>Fixa!C214</f>
        <v/>
      </c>
      <c r="D214" s="43" t="e">
        <f t="shared" si="36"/>
        <v>#VALUE!</v>
      </c>
      <c r="E214" s="43" t="e">
        <f t="shared" si="36"/>
        <v>#VALUE!</v>
      </c>
      <c r="F214" s="43" t="e">
        <f t="shared" si="36"/>
        <v>#VALUE!</v>
      </c>
      <c r="G214" s="43" t="e">
        <f t="shared" si="31"/>
        <v>#VALUE!</v>
      </c>
      <c r="H214" s="43" t="e">
        <f t="shared" ca="1" si="32"/>
        <v>#VALUE!</v>
      </c>
      <c r="I214" s="43">
        <f t="shared" si="33"/>
        <v>0</v>
      </c>
      <c r="J214" s="229">
        <f t="shared" si="37"/>
        <v>25</v>
      </c>
      <c r="K214" s="43">
        <f t="shared" si="38"/>
        <v>0</v>
      </c>
      <c r="M214" s="224"/>
      <c r="N214" s="225">
        <f t="shared" si="39"/>
        <v>0</v>
      </c>
      <c r="O214" s="43" t="e">
        <f t="shared" si="40"/>
        <v>#VALUE!</v>
      </c>
      <c r="P214" s="43" t="e">
        <f>ROUND(IF(Preenchimento!$G$39="Tabela Price",R214-Q214,(O213*(1+$AD$35))/($AD$28-C213)),$P$22)</f>
        <v>#VALUE!</v>
      </c>
      <c r="Q214" s="43" t="e">
        <f>IF(Preenchimento!$G$39="Tabela Price",O213*(1+$AD$35)*W214,O213*(1+'SAC Padrão_Sem Bonif'!$AD$35)*'SAC Padrão_Sem Bonif'!W214)</f>
        <v>#VALUE!</v>
      </c>
      <c r="R214" s="43" t="e">
        <f>IF(Preenchimento!$G$39="Tabela Price",IF(C214="","",((((((1+W214)^($Q$16-C213))*W214)/((1+W214)^($Q$16-C213)-1))*(O213*(1+$AD$35))))),Q214+P214)</f>
        <v>#VALUE!</v>
      </c>
      <c r="S214" s="43" t="e">
        <f t="shared" ca="1" si="34"/>
        <v>#VALUE!</v>
      </c>
      <c r="T214" s="43">
        <f t="shared" si="41"/>
        <v>0</v>
      </c>
      <c r="U214" s="226">
        <f>TRUNC(T214*Condições!$C$102,2)</f>
        <v>0</v>
      </c>
      <c r="V214" s="82">
        <f t="shared" ca="1" si="35"/>
        <v>3</v>
      </c>
      <c r="W214" s="231" t="str">
        <f t="shared" si="42"/>
        <v/>
      </c>
      <c r="X214" s="210"/>
      <c r="Y214" s="210"/>
      <c r="Z214" s="210"/>
      <c r="AI214" s="114">
        <f t="shared" si="43"/>
        <v>0</v>
      </c>
      <c r="AJ214" s="113"/>
      <c r="AL214" s="477">
        <f t="shared" ca="1" si="44"/>
        <v>0</v>
      </c>
    </row>
    <row r="215" spans="2:38" ht="12" customHeight="1">
      <c r="B215" s="222">
        <f ca="1">Fixa!B215</f>
        <v>51972</v>
      </c>
      <c r="C215" s="223" t="str">
        <f>Fixa!C215</f>
        <v/>
      </c>
      <c r="D215" s="43" t="e">
        <f t="shared" si="36"/>
        <v>#VALUE!</v>
      </c>
      <c r="E215" s="43" t="e">
        <f t="shared" si="36"/>
        <v>#VALUE!</v>
      </c>
      <c r="F215" s="43" t="e">
        <f t="shared" si="36"/>
        <v>#VALUE!</v>
      </c>
      <c r="G215" s="43" t="e">
        <f t="shared" si="31"/>
        <v>#VALUE!</v>
      </c>
      <c r="H215" s="43" t="e">
        <f t="shared" ca="1" si="32"/>
        <v>#VALUE!</v>
      </c>
      <c r="I215" s="43">
        <f t="shared" si="33"/>
        <v>0</v>
      </c>
      <c r="J215" s="229">
        <f t="shared" si="37"/>
        <v>25</v>
      </c>
      <c r="K215" s="43">
        <f t="shared" si="38"/>
        <v>0</v>
      </c>
      <c r="M215" s="224"/>
      <c r="N215" s="225">
        <f t="shared" si="39"/>
        <v>0</v>
      </c>
      <c r="O215" s="43" t="e">
        <f t="shared" si="40"/>
        <v>#VALUE!</v>
      </c>
      <c r="P215" s="43" t="e">
        <f>ROUND(IF(Preenchimento!$G$39="Tabela Price",R215-Q215,(O214*(1+$AD$35))/($AD$28-C214)),$P$22)</f>
        <v>#VALUE!</v>
      </c>
      <c r="Q215" s="43" t="e">
        <f>IF(Preenchimento!$G$39="Tabela Price",O214*(1+$AD$35)*W215,O214*(1+'SAC Padrão_Sem Bonif'!$AD$35)*'SAC Padrão_Sem Bonif'!W215)</f>
        <v>#VALUE!</v>
      </c>
      <c r="R215" s="43" t="e">
        <f>IF(Preenchimento!$G$39="Tabela Price",IF(C215="","",((((((1+W215)^($Q$16-C214))*W215)/((1+W215)^($Q$16-C214)-1))*(O214*(1+$AD$35))))),Q215+P215)</f>
        <v>#VALUE!</v>
      </c>
      <c r="S215" s="43" t="e">
        <f t="shared" ca="1" si="34"/>
        <v>#VALUE!</v>
      </c>
      <c r="T215" s="43">
        <f t="shared" si="41"/>
        <v>0</v>
      </c>
      <c r="U215" s="226">
        <f>TRUNC(T215*Condições!$C$102,2)</f>
        <v>0</v>
      </c>
      <c r="V215" s="82">
        <f t="shared" ca="1" si="35"/>
        <v>4</v>
      </c>
      <c r="W215" s="231" t="str">
        <f t="shared" si="42"/>
        <v/>
      </c>
      <c r="X215" s="210"/>
      <c r="Y215" s="210"/>
      <c r="Z215" s="210"/>
      <c r="AI215" s="114">
        <f t="shared" si="43"/>
        <v>0</v>
      </c>
      <c r="AJ215" s="113"/>
      <c r="AL215" s="477">
        <f t="shared" ca="1" si="44"/>
        <v>0</v>
      </c>
    </row>
    <row r="216" spans="2:38" ht="12" customHeight="1">
      <c r="B216" s="222">
        <f ca="1">Fixa!B216</f>
        <v>52002</v>
      </c>
      <c r="C216" s="223" t="str">
        <f>Fixa!C216</f>
        <v/>
      </c>
      <c r="D216" s="43" t="e">
        <f t="shared" si="36"/>
        <v>#VALUE!</v>
      </c>
      <c r="E216" s="43" t="e">
        <f t="shared" si="36"/>
        <v>#VALUE!</v>
      </c>
      <c r="F216" s="43" t="e">
        <f t="shared" si="36"/>
        <v>#VALUE!</v>
      </c>
      <c r="G216" s="43" t="e">
        <f t="shared" si="31"/>
        <v>#VALUE!</v>
      </c>
      <c r="H216" s="43" t="e">
        <f t="shared" ca="1" si="32"/>
        <v>#VALUE!</v>
      </c>
      <c r="I216" s="43">
        <f t="shared" si="33"/>
        <v>0</v>
      </c>
      <c r="J216" s="229">
        <f t="shared" si="37"/>
        <v>25</v>
      </c>
      <c r="K216" s="43">
        <f t="shared" si="38"/>
        <v>0</v>
      </c>
      <c r="M216" s="224"/>
      <c r="N216" s="225">
        <f t="shared" si="39"/>
        <v>0</v>
      </c>
      <c r="O216" s="43" t="e">
        <f t="shared" si="40"/>
        <v>#VALUE!</v>
      </c>
      <c r="P216" s="43" t="e">
        <f>ROUND(IF(Preenchimento!$G$39="Tabela Price",R216-Q216,(O215*(1+$AD$35))/($AD$28-C215)),$P$22)</f>
        <v>#VALUE!</v>
      </c>
      <c r="Q216" s="43" t="e">
        <f>IF(Preenchimento!$G$39="Tabela Price",O215*(1+$AD$35)*W216,O215*(1+'SAC Padrão_Sem Bonif'!$AD$35)*'SAC Padrão_Sem Bonif'!W216)</f>
        <v>#VALUE!</v>
      </c>
      <c r="R216" s="43" t="e">
        <f>IF(Preenchimento!$G$39="Tabela Price",IF(C216="","",((((((1+W216)^($Q$16-C215))*W216)/((1+W216)^($Q$16-C215)-1))*(O215*(1+$AD$35))))),Q216+P216)</f>
        <v>#VALUE!</v>
      </c>
      <c r="S216" s="43" t="e">
        <f t="shared" ca="1" si="34"/>
        <v>#VALUE!</v>
      </c>
      <c r="T216" s="43">
        <f t="shared" si="41"/>
        <v>0</v>
      </c>
      <c r="U216" s="226">
        <f>TRUNC(T216*Condições!$C$102,2)</f>
        <v>0</v>
      </c>
      <c r="V216" s="82">
        <f t="shared" ca="1" si="35"/>
        <v>5</v>
      </c>
      <c r="W216" s="231" t="str">
        <f t="shared" si="42"/>
        <v/>
      </c>
      <c r="X216" s="210"/>
      <c r="Y216" s="210"/>
      <c r="Z216" s="210"/>
      <c r="AI216" s="114">
        <f t="shared" si="43"/>
        <v>0</v>
      </c>
      <c r="AJ216" s="113"/>
      <c r="AL216" s="477">
        <f t="shared" ca="1" si="44"/>
        <v>0</v>
      </c>
    </row>
    <row r="217" spans="2:38" ht="12" customHeight="1">
      <c r="B217" s="222">
        <f ca="1">Fixa!B217</f>
        <v>52033</v>
      </c>
      <c r="C217" s="223" t="str">
        <f>Fixa!C217</f>
        <v/>
      </c>
      <c r="D217" s="43" t="e">
        <f t="shared" si="36"/>
        <v>#VALUE!</v>
      </c>
      <c r="E217" s="43" t="e">
        <f t="shared" si="36"/>
        <v>#VALUE!</v>
      </c>
      <c r="F217" s="43" t="e">
        <f t="shared" si="36"/>
        <v>#VALUE!</v>
      </c>
      <c r="G217" s="43" t="e">
        <f t="shared" si="31"/>
        <v>#VALUE!</v>
      </c>
      <c r="H217" s="43" t="e">
        <f t="shared" ca="1" si="32"/>
        <v>#VALUE!</v>
      </c>
      <c r="I217" s="43">
        <f t="shared" si="33"/>
        <v>0</v>
      </c>
      <c r="J217" s="229">
        <f t="shared" si="37"/>
        <v>25</v>
      </c>
      <c r="K217" s="43">
        <f t="shared" si="38"/>
        <v>0</v>
      </c>
      <c r="M217" s="224"/>
      <c r="N217" s="225">
        <f t="shared" si="39"/>
        <v>0</v>
      </c>
      <c r="O217" s="43" t="e">
        <f t="shared" si="40"/>
        <v>#VALUE!</v>
      </c>
      <c r="P217" s="43" t="e">
        <f>ROUND(IF(Preenchimento!$G$39="Tabela Price",R217-Q217,(O216*(1+$AD$35))/($AD$28-C216)),$P$22)</f>
        <v>#VALUE!</v>
      </c>
      <c r="Q217" s="43" t="e">
        <f>IF(Preenchimento!$G$39="Tabela Price",O216*(1+$AD$35)*W217,O216*(1+'SAC Padrão_Sem Bonif'!$AD$35)*'SAC Padrão_Sem Bonif'!W217)</f>
        <v>#VALUE!</v>
      </c>
      <c r="R217" s="43" t="e">
        <f>IF(Preenchimento!$G$39="Tabela Price",IF(C217="","",((((((1+W217)^($Q$16-C216))*W217)/((1+W217)^($Q$16-C216)-1))*(O216*(1+$AD$35))))),Q217+P217)</f>
        <v>#VALUE!</v>
      </c>
      <c r="S217" s="43" t="e">
        <f t="shared" ca="1" si="34"/>
        <v>#VALUE!</v>
      </c>
      <c r="T217" s="43">
        <f t="shared" si="41"/>
        <v>0</v>
      </c>
      <c r="U217" s="226">
        <f>TRUNC(T217*Condições!$C$102,2)</f>
        <v>0</v>
      </c>
      <c r="V217" s="82">
        <f t="shared" ca="1" si="35"/>
        <v>6</v>
      </c>
      <c r="W217" s="231" t="str">
        <f t="shared" si="42"/>
        <v/>
      </c>
      <c r="X217" s="210"/>
      <c r="Y217" s="210"/>
      <c r="Z217" s="210"/>
      <c r="AI217" s="114">
        <f t="shared" si="43"/>
        <v>0</v>
      </c>
      <c r="AJ217" s="113"/>
      <c r="AL217" s="477">
        <f t="shared" ca="1" si="44"/>
        <v>0</v>
      </c>
    </row>
    <row r="218" spans="2:38" ht="12" customHeight="1">
      <c r="B218" s="222">
        <f ca="1">Fixa!B218</f>
        <v>52063</v>
      </c>
      <c r="C218" s="223" t="str">
        <f>Fixa!C218</f>
        <v/>
      </c>
      <c r="D218" s="43" t="e">
        <f t="shared" si="36"/>
        <v>#VALUE!</v>
      </c>
      <c r="E218" s="43" t="e">
        <f t="shared" si="36"/>
        <v>#VALUE!</v>
      </c>
      <c r="F218" s="43" t="e">
        <f t="shared" si="36"/>
        <v>#VALUE!</v>
      </c>
      <c r="G218" s="43" t="e">
        <f t="shared" ref="G218:G281" si="45">F218+E218</f>
        <v>#VALUE!</v>
      </c>
      <c r="H218" s="43" t="e">
        <f t="shared" ref="H218:H281" ca="1" si="46">ROUND(S218,2)</f>
        <v>#VALUE!</v>
      </c>
      <c r="I218" s="43">
        <f t="shared" ref="I218:I281" si="47">ROUND(T218+U218,2)</f>
        <v>0</v>
      </c>
      <c r="J218" s="229">
        <f t="shared" si="37"/>
        <v>25</v>
      </c>
      <c r="K218" s="43">
        <f t="shared" si="38"/>
        <v>0</v>
      </c>
      <c r="M218" s="224"/>
      <c r="N218" s="225">
        <f t="shared" si="39"/>
        <v>0</v>
      </c>
      <c r="O218" s="43" t="e">
        <f t="shared" si="40"/>
        <v>#VALUE!</v>
      </c>
      <c r="P218" s="43" t="e">
        <f>ROUND(IF(Preenchimento!$G$39="Tabela Price",R218-Q218,(O217*(1+$AD$35))/($AD$28-C217)),$P$22)</f>
        <v>#VALUE!</v>
      </c>
      <c r="Q218" s="43" t="e">
        <f>IF(Preenchimento!$G$39="Tabela Price",O217*(1+$AD$35)*W218,O217*(1+'SAC Padrão_Sem Bonif'!$AD$35)*'SAC Padrão_Sem Bonif'!W218)</f>
        <v>#VALUE!</v>
      </c>
      <c r="R218" s="43" t="e">
        <f>IF(Preenchimento!$G$39="Tabela Price",IF(C218="","",((((((1+W218)^($Q$16-C217))*W218)/((1+W218)^($Q$16-C217)-1))*(O217*(1+$AD$35))))),Q218+P218)</f>
        <v>#VALUE!</v>
      </c>
      <c r="S218" s="43" t="e">
        <f t="shared" ref="S218:S281" ca="1" si="48">ROUND($AD$34*O218,$P$22)</f>
        <v>#VALUE!</v>
      </c>
      <c r="T218" s="43">
        <f t="shared" si="41"/>
        <v>0</v>
      </c>
      <c r="U218" s="226">
        <f>TRUNC(T218*Condições!$C$102,2)</f>
        <v>0</v>
      </c>
      <c r="V218" s="82">
        <f t="shared" ref="V218:V281" ca="1" si="49">MONTH(B218)</f>
        <v>7</v>
      </c>
      <c r="W218" s="231" t="str">
        <f t="shared" si="42"/>
        <v/>
      </c>
      <c r="X218" s="210"/>
      <c r="Y218" s="210"/>
      <c r="Z218" s="210"/>
      <c r="AI218" s="114">
        <f t="shared" si="43"/>
        <v>0</v>
      </c>
      <c r="AJ218" s="113"/>
      <c r="AL218" s="477">
        <f t="shared" ca="1" si="44"/>
        <v>0</v>
      </c>
    </row>
    <row r="219" spans="2:38" ht="12" customHeight="1">
      <c r="B219" s="222">
        <f ca="1">Fixa!B219</f>
        <v>52094</v>
      </c>
      <c r="C219" s="223" t="str">
        <f>Fixa!C219</f>
        <v/>
      </c>
      <c r="D219" s="43" t="e">
        <f t="shared" ref="D219:F282" si="50">ROUND(O219,2)</f>
        <v>#VALUE!</v>
      </c>
      <c r="E219" s="43" t="e">
        <f t="shared" si="50"/>
        <v>#VALUE!</v>
      </c>
      <c r="F219" s="43" t="e">
        <f t="shared" si="50"/>
        <v>#VALUE!</v>
      </c>
      <c r="G219" s="43" t="e">
        <f t="shared" si="45"/>
        <v>#VALUE!</v>
      </c>
      <c r="H219" s="43" t="e">
        <f t="shared" ca="1" si="46"/>
        <v>#VALUE!</v>
      </c>
      <c r="I219" s="43">
        <f t="shared" si="47"/>
        <v>0</v>
      </c>
      <c r="J219" s="229">
        <f t="shared" ref="J219:J282" si="51">$AD$31</f>
        <v>25</v>
      </c>
      <c r="K219" s="43">
        <f t="shared" ref="K219:K282" si="52">IF(C219&gt;$AD$28,0,J219+G219+I219+H219)</f>
        <v>0</v>
      </c>
      <c r="M219" s="224"/>
      <c r="N219" s="225">
        <f t="shared" ref="N219:N282" si="53">IF(C219&gt;$AD$28,0,(H219+I219)/(1.008^((12*(B219-$B$25))/365)))</f>
        <v>0</v>
      </c>
      <c r="O219" s="43" t="e">
        <f t="shared" ref="O219:O282" si="54">ROUND((O218*(1+$AD$35)-P219),$P$22)</f>
        <v>#VALUE!</v>
      </c>
      <c r="P219" s="43" t="e">
        <f>ROUND(IF(Preenchimento!$G$39="Tabela Price",R219-Q219,(O218*(1+$AD$35))/($AD$28-C218)),$P$22)</f>
        <v>#VALUE!</v>
      </c>
      <c r="Q219" s="43" t="e">
        <f>IF(Preenchimento!$G$39="Tabela Price",O218*(1+$AD$35)*W219,O218*(1+'SAC Padrão_Sem Bonif'!$AD$35)*'SAC Padrão_Sem Bonif'!W219)</f>
        <v>#VALUE!</v>
      </c>
      <c r="R219" s="43" t="e">
        <f>IF(Preenchimento!$G$39="Tabela Price",IF(C219="","",((((((1+W219)^($Q$16-C218))*W219)/((1+W219)^($Q$16-C218)-1))*(O218*(1+$AD$35))))),Q219+P219)</f>
        <v>#VALUE!</v>
      </c>
      <c r="S219" s="43" t="e">
        <f t="shared" ca="1" si="48"/>
        <v>#VALUE!</v>
      </c>
      <c r="T219" s="43">
        <f t="shared" ref="T219:T282" si="55">IF(C219&gt;=$AD$28,0,ROUND($AD$25*$AD$33,$P$22))</f>
        <v>0</v>
      </c>
      <c r="U219" s="226">
        <f>TRUNC(T219*Condições!$C$102,2)</f>
        <v>0</v>
      </c>
      <c r="V219" s="82">
        <f t="shared" ca="1" si="49"/>
        <v>8</v>
      </c>
      <c r="W219" s="231" t="str">
        <f t="shared" ref="W219:W282" si="56">IF(C219="","",IF(AND(C219&gt;$AD$46,$AD$46&lt;&gt;""),$AE$29,$AD$29))</f>
        <v/>
      </c>
      <c r="X219" s="210"/>
      <c r="Y219" s="210"/>
      <c r="Z219" s="210"/>
      <c r="AI219" s="114">
        <f t="shared" ref="AI219:AI282" si="57">IF(C219&gt;$AD$28,0,R219+S219+T219+U219+J219)</f>
        <v>0</v>
      </c>
      <c r="AJ219" s="113"/>
      <c r="AL219" s="477">
        <f t="shared" ref="AL219:AL282" ca="1" si="58">IFERROR(IF(V218&gt;$AD$28,0,R219),0)</f>
        <v>0</v>
      </c>
    </row>
    <row r="220" spans="2:38" ht="12" customHeight="1">
      <c r="B220" s="222">
        <f ca="1">Fixa!B220</f>
        <v>52125</v>
      </c>
      <c r="C220" s="223" t="str">
        <f>Fixa!C220</f>
        <v/>
      </c>
      <c r="D220" s="43" t="e">
        <f t="shared" si="50"/>
        <v>#VALUE!</v>
      </c>
      <c r="E220" s="43" t="e">
        <f t="shared" si="50"/>
        <v>#VALUE!</v>
      </c>
      <c r="F220" s="43" t="e">
        <f t="shared" si="50"/>
        <v>#VALUE!</v>
      </c>
      <c r="G220" s="43" t="e">
        <f t="shared" si="45"/>
        <v>#VALUE!</v>
      </c>
      <c r="H220" s="43" t="e">
        <f t="shared" ca="1" si="46"/>
        <v>#VALUE!</v>
      </c>
      <c r="I220" s="43">
        <f t="shared" si="47"/>
        <v>0</v>
      </c>
      <c r="J220" s="229">
        <f t="shared" si="51"/>
        <v>25</v>
      </c>
      <c r="K220" s="43">
        <f t="shared" si="52"/>
        <v>0</v>
      </c>
      <c r="M220" s="224"/>
      <c r="N220" s="225">
        <f t="shared" si="53"/>
        <v>0</v>
      </c>
      <c r="O220" s="43" t="e">
        <f t="shared" si="54"/>
        <v>#VALUE!</v>
      </c>
      <c r="P220" s="43" t="e">
        <f>ROUND(IF(Preenchimento!$G$39="Tabela Price",R220-Q220,(O219*(1+$AD$35))/($AD$28-C219)),$P$22)</f>
        <v>#VALUE!</v>
      </c>
      <c r="Q220" s="43" t="e">
        <f>IF(Preenchimento!$G$39="Tabela Price",O219*(1+$AD$35)*W220,O219*(1+'SAC Padrão_Sem Bonif'!$AD$35)*'SAC Padrão_Sem Bonif'!W220)</f>
        <v>#VALUE!</v>
      </c>
      <c r="R220" s="43" t="e">
        <f>IF(Preenchimento!$G$39="Tabela Price",IF(C220="","",((((((1+W220)^($Q$16-C219))*W220)/((1+W220)^($Q$16-C219)-1))*(O219*(1+$AD$35))))),Q220+P220)</f>
        <v>#VALUE!</v>
      </c>
      <c r="S220" s="43" t="e">
        <f t="shared" ca="1" si="48"/>
        <v>#VALUE!</v>
      </c>
      <c r="T220" s="43">
        <f t="shared" si="55"/>
        <v>0</v>
      </c>
      <c r="U220" s="226">
        <f>TRUNC(T220*Condições!$C$102,2)</f>
        <v>0</v>
      </c>
      <c r="V220" s="82">
        <f t="shared" ca="1" si="49"/>
        <v>9</v>
      </c>
      <c r="W220" s="231" t="str">
        <f t="shared" si="56"/>
        <v/>
      </c>
      <c r="X220" s="210"/>
      <c r="Y220" s="210"/>
      <c r="Z220" s="210"/>
      <c r="AI220" s="114">
        <f t="shared" si="57"/>
        <v>0</v>
      </c>
      <c r="AJ220" s="113"/>
      <c r="AL220" s="477">
        <f t="shared" ca="1" si="58"/>
        <v>0</v>
      </c>
    </row>
    <row r="221" spans="2:38" ht="12" customHeight="1">
      <c r="B221" s="222">
        <f ca="1">Fixa!B221</f>
        <v>52155</v>
      </c>
      <c r="C221" s="223" t="str">
        <f>Fixa!C221</f>
        <v/>
      </c>
      <c r="D221" s="43" t="e">
        <f t="shared" si="50"/>
        <v>#VALUE!</v>
      </c>
      <c r="E221" s="43" t="e">
        <f t="shared" si="50"/>
        <v>#VALUE!</v>
      </c>
      <c r="F221" s="43" t="e">
        <f t="shared" si="50"/>
        <v>#VALUE!</v>
      </c>
      <c r="G221" s="43" t="e">
        <f t="shared" si="45"/>
        <v>#VALUE!</v>
      </c>
      <c r="H221" s="43" t="e">
        <f t="shared" ca="1" si="46"/>
        <v>#VALUE!</v>
      </c>
      <c r="I221" s="43">
        <f t="shared" si="47"/>
        <v>0</v>
      </c>
      <c r="J221" s="229">
        <f t="shared" si="51"/>
        <v>25</v>
      </c>
      <c r="K221" s="43">
        <f t="shared" si="52"/>
        <v>0</v>
      </c>
      <c r="M221" s="224"/>
      <c r="N221" s="225">
        <f t="shared" si="53"/>
        <v>0</v>
      </c>
      <c r="O221" s="43" t="e">
        <f t="shared" si="54"/>
        <v>#VALUE!</v>
      </c>
      <c r="P221" s="43" t="e">
        <f>ROUND(IF(Preenchimento!$G$39="Tabela Price",R221-Q221,(O220*(1+$AD$35))/($AD$28-C220)),$P$22)</f>
        <v>#VALUE!</v>
      </c>
      <c r="Q221" s="43" t="e">
        <f>IF(Preenchimento!$G$39="Tabela Price",O220*(1+$AD$35)*W221,O220*(1+'SAC Padrão_Sem Bonif'!$AD$35)*'SAC Padrão_Sem Bonif'!W221)</f>
        <v>#VALUE!</v>
      </c>
      <c r="R221" s="43" t="e">
        <f>IF(Preenchimento!$G$39="Tabela Price",IF(C221="","",((((((1+W221)^($Q$16-C220))*W221)/((1+W221)^($Q$16-C220)-1))*(O220*(1+$AD$35))))),Q221+P221)</f>
        <v>#VALUE!</v>
      </c>
      <c r="S221" s="43" t="e">
        <f t="shared" ca="1" si="48"/>
        <v>#VALUE!</v>
      </c>
      <c r="T221" s="43">
        <f t="shared" si="55"/>
        <v>0</v>
      </c>
      <c r="U221" s="226">
        <f>TRUNC(T221*Condições!$C$102,2)</f>
        <v>0</v>
      </c>
      <c r="V221" s="82">
        <f t="shared" ca="1" si="49"/>
        <v>10</v>
      </c>
      <c r="W221" s="231" t="str">
        <f t="shared" si="56"/>
        <v/>
      </c>
      <c r="X221" s="210"/>
      <c r="Y221" s="210"/>
      <c r="Z221" s="210"/>
      <c r="AI221" s="114">
        <f t="shared" si="57"/>
        <v>0</v>
      </c>
      <c r="AJ221" s="113"/>
      <c r="AL221" s="477">
        <f t="shared" ca="1" si="58"/>
        <v>0</v>
      </c>
    </row>
    <row r="222" spans="2:38" ht="12" customHeight="1">
      <c r="B222" s="222">
        <f ca="1">Fixa!B222</f>
        <v>52186</v>
      </c>
      <c r="C222" s="223" t="str">
        <f>Fixa!C222</f>
        <v/>
      </c>
      <c r="D222" s="43" t="e">
        <f t="shared" si="50"/>
        <v>#VALUE!</v>
      </c>
      <c r="E222" s="43" t="e">
        <f t="shared" si="50"/>
        <v>#VALUE!</v>
      </c>
      <c r="F222" s="43" t="e">
        <f t="shared" si="50"/>
        <v>#VALUE!</v>
      </c>
      <c r="G222" s="43" t="e">
        <f t="shared" si="45"/>
        <v>#VALUE!</v>
      </c>
      <c r="H222" s="43" t="e">
        <f t="shared" ca="1" si="46"/>
        <v>#VALUE!</v>
      </c>
      <c r="I222" s="43">
        <f t="shared" si="47"/>
        <v>0</v>
      </c>
      <c r="J222" s="229">
        <f t="shared" si="51"/>
        <v>25</v>
      </c>
      <c r="K222" s="43">
        <f t="shared" si="52"/>
        <v>0</v>
      </c>
      <c r="M222" s="224"/>
      <c r="N222" s="225">
        <f t="shared" si="53"/>
        <v>0</v>
      </c>
      <c r="O222" s="43" t="e">
        <f t="shared" si="54"/>
        <v>#VALUE!</v>
      </c>
      <c r="P222" s="43" t="e">
        <f>ROUND(IF(Preenchimento!$G$39="Tabela Price",R222-Q222,(O221*(1+$AD$35))/($AD$28-C221)),$P$22)</f>
        <v>#VALUE!</v>
      </c>
      <c r="Q222" s="43" t="e">
        <f>IF(Preenchimento!$G$39="Tabela Price",O221*(1+$AD$35)*W222,O221*(1+'SAC Padrão_Sem Bonif'!$AD$35)*'SAC Padrão_Sem Bonif'!W222)</f>
        <v>#VALUE!</v>
      </c>
      <c r="R222" s="43" t="e">
        <f>IF(Preenchimento!$G$39="Tabela Price",IF(C222="","",((((((1+W222)^($Q$16-C221))*W222)/((1+W222)^($Q$16-C221)-1))*(O221*(1+$AD$35))))),Q222+P222)</f>
        <v>#VALUE!</v>
      </c>
      <c r="S222" s="43" t="e">
        <f t="shared" ca="1" si="48"/>
        <v>#VALUE!</v>
      </c>
      <c r="T222" s="43">
        <f t="shared" si="55"/>
        <v>0</v>
      </c>
      <c r="U222" s="226">
        <f>TRUNC(T222*Condições!$C$102,2)</f>
        <v>0</v>
      </c>
      <c r="V222" s="82">
        <f t="shared" ca="1" si="49"/>
        <v>11</v>
      </c>
      <c r="W222" s="231" t="str">
        <f t="shared" si="56"/>
        <v/>
      </c>
      <c r="X222" s="210"/>
      <c r="Y222" s="210"/>
      <c r="Z222" s="210"/>
      <c r="AI222" s="114">
        <f t="shared" si="57"/>
        <v>0</v>
      </c>
      <c r="AJ222" s="113"/>
      <c r="AL222" s="477">
        <f t="shared" ca="1" si="58"/>
        <v>0</v>
      </c>
    </row>
    <row r="223" spans="2:38" ht="12" customHeight="1">
      <c r="B223" s="222">
        <f ca="1">Fixa!B223</f>
        <v>52216</v>
      </c>
      <c r="C223" s="223" t="str">
        <f>Fixa!C223</f>
        <v/>
      </c>
      <c r="D223" s="43" t="e">
        <f t="shared" si="50"/>
        <v>#VALUE!</v>
      </c>
      <c r="E223" s="43" t="e">
        <f t="shared" si="50"/>
        <v>#VALUE!</v>
      </c>
      <c r="F223" s="43" t="e">
        <f t="shared" si="50"/>
        <v>#VALUE!</v>
      </c>
      <c r="G223" s="43" t="e">
        <f t="shared" si="45"/>
        <v>#VALUE!</v>
      </c>
      <c r="H223" s="43" t="e">
        <f t="shared" ca="1" si="46"/>
        <v>#VALUE!</v>
      </c>
      <c r="I223" s="43">
        <f t="shared" si="47"/>
        <v>0</v>
      </c>
      <c r="J223" s="229">
        <f t="shared" si="51"/>
        <v>25</v>
      </c>
      <c r="K223" s="43">
        <f t="shared" si="52"/>
        <v>0</v>
      </c>
      <c r="M223" s="224"/>
      <c r="N223" s="225">
        <f t="shared" si="53"/>
        <v>0</v>
      </c>
      <c r="O223" s="43" t="e">
        <f t="shared" si="54"/>
        <v>#VALUE!</v>
      </c>
      <c r="P223" s="43" t="e">
        <f>ROUND(IF(Preenchimento!$G$39="Tabela Price",R223-Q223,(O222*(1+$AD$35))/($AD$28-C222)),$P$22)</f>
        <v>#VALUE!</v>
      </c>
      <c r="Q223" s="43" t="e">
        <f>IF(Preenchimento!$G$39="Tabela Price",O222*(1+$AD$35)*W223,O222*(1+'SAC Padrão_Sem Bonif'!$AD$35)*'SAC Padrão_Sem Bonif'!W223)</f>
        <v>#VALUE!</v>
      </c>
      <c r="R223" s="43" t="e">
        <f>IF(Preenchimento!$G$39="Tabela Price",IF(C223="","",((((((1+W223)^($Q$16-C222))*W223)/((1+W223)^($Q$16-C222)-1))*(O222*(1+$AD$35))))),Q223+P223)</f>
        <v>#VALUE!</v>
      </c>
      <c r="S223" s="43" t="e">
        <f t="shared" ca="1" si="48"/>
        <v>#VALUE!</v>
      </c>
      <c r="T223" s="43">
        <f t="shared" si="55"/>
        <v>0</v>
      </c>
      <c r="U223" s="226">
        <f>TRUNC(T223*Condições!$C$102,2)</f>
        <v>0</v>
      </c>
      <c r="V223" s="82">
        <f t="shared" ca="1" si="49"/>
        <v>12</v>
      </c>
      <c r="W223" s="231" t="str">
        <f t="shared" si="56"/>
        <v/>
      </c>
      <c r="X223" s="210"/>
      <c r="Y223" s="210"/>
      <c r="Z223" s="210"/>
      <c r="AI223" s="114">
        <f t="shared" si="57"/>
        <v>0</v>
      </c>
      <c r="AJ223" s="113"/>
      <c r="AL223" s="477">
        <f t="shared" ca="1" si="58"/>
        <v>0</v>
      </c>
    </row>
    <row r="224" spans="2:38" ht="12" customHeight="1">
      <c r="B224" s="222">
        <f ca="1">Fixa!B224</f>
        <v>52247</v>
      </c>
      <c r="C224" s="223" t="str">
        <f>Fixa!C224</f>
        <v/>
      </c>
      <c r="D224" s="43" t="e">
        <f t="shared" si="50"/>
        <v>#VALUE!</v>
      </c>
      <c r="E224" s="43" t="e">
        <f t="shared" si="50"/>
        <v>#VALUE!</v>
      </c>
      <c r="F224" s="43" t="e">
        <f t="shared" si="50"/>
        <v>#VALUE!</v>
      </c>
      <c r="G224" s="43" t="e">
        <f t="shared" si="45"/>
        <v>#VALUE!</v>
      </c>
      <c r="H224" s="43" t="e">
        <f t="shared" ca="1" si="46"/>
        <v>#VALUE!</v>
      </c>
      <c r="I224" s="43">
        <f t="shared" si="47"/>
        <v>0</v>
      </c>
      <c r="J224" s="229">
        <f t="shared" si="51"/>
        <v>25</v>
      </c>
      <c r="K224" s="43">
        <f t="shared" si="52"/>
        <v>0</v>
      </c>
      <c r="M224" s="224"/>
      <c r="N224" s="225">
        <f t="shared" si="53"/>
        <v>0</v>
      </c>
      <c r="O224" s="43" t="e">
        <f t="shared" si="54"/>
        <v>#VALUE!</v>
      </c>
      <c r="P224" s="43" t="e">
        <f>ROUND(IF(Preenchimento!$G$39="Tabela Price",R224-Q224,(O223*(1+$AD$35))/($AD$28-C223)),$P$22)</f>
        <v>#VALUE!</v>
      </c>
      <c r="Q224" s="43" t="e">
        <f>IF(Preenchimento!$G$39="Tabela Price",O223*(1+$AD$35)*W224,O223*(1+'SAC Padrão_Sem Bonif'!$AD$35)*'SAC Padrão_Sem Bonif'!W224)</f>
        <v>#VALUE!</v>
      </c>
      <c r="R224" s="43" t="e">
        <f>IF(Preenchimento!$G$39="Tabela Price",IF(C224="","",((((((1+W224)^($Q$16-C223))*W224)/((1+W224)^($Q$16-C223)-1))*(O223*(1+$AD$35))))),Q224+P224)</f>
        <v>#VALUE!</v>
      </c>
      <c r="S224" s="43" t="e">
        <f t="shared" ca="1" si="48"/>
        <v>#VALUE!</v>
      </c>
      <c r="T224" s="43">
        <f t="shared" si="55"/>
        <v>0</v>
      </c>
      <c r="U224" s="226">
        <f>TRUNC(T224*Condições!$C$102,2)</f>
        <v>0</v>
      </c>
      <c r="V224" s="82">
        <f t="shared" ca="1" si="49"/>
        <v>1</v>
      </c>
      <c r="W224" s="231" t="str">
        <f t="shared" si="56"/>
        <v/>
      </c>
      <c r="X224" s="210"/>
      <c r="Y224" s="210"/>
      <c r="Z224" s="210"/>
      <c r="AI224" s="114">
        <f t="shared" si="57"/>
        <v>0</v>
      </c>
      <c r="AJ224" s="113"/>
      <c r="AL224" s="477">
        <f t="shared" ca="1" si="58"/>
        <v>0</v>
      </c>
    </row>
    <row r="225" spans="2:38" ht="12" customHeight="1">
      <c r="B225" s="222">
        <f ca="1">Fixa!B225</f>
        <v>52278</v>
      </c>
      <c r="C225" s="223" t="str">
        <f>Fixa!C225</f>
        <v/>
      </c>
      <c r="D225" s="43" t="e">
        <f t="shared" si="50"/>
        <v>#VALUE!</v>
      </c>
      <c r="E225" s="43" t="e">
        <f t="shared" si="50"/>
        <v>#VALUE!</v>
      </c>
      <c r="F225" s="43" t="e">
        <f t="shared" si="50"/>
        <v>#VALUE!</v>
      </c>
      <c r="G225" s="43" t="e">
        <f t="shared" si="45"/>
        <v>#VALUE!</v>
      </c>
      <c r="H225" s="43" t="e">
        <f t="shared" ca="1" si="46"/>
        <v>#VALUE!</v>
      </c>
      <c r="I225" s="43">
        <f t="shared" si="47"/>
        <v>0</v>
      </c>
      <c r="J225" s="229">
        <f t="shared" si="51"/>
        <v>25</v>
      </c>
      <c r="K225" s="43">
        <f t="shared" si="52"/>
        <v>0</v>
      </c>
      <c r="M225" s="224"/>
      <c r="N225" s="225">
        <f t="shared" si="53"/>
        <v>0</v>
      </c>
      <c r="O225" s="43" t="e">
        <f t="shared" si="54"/>
        <v>#VALUE!</v>
      </c>
      <c r="P225" s="43" t="e">
        <f>ROUND(IF(Preenchimento!$G$39="Tabela Price",R225-Q225,(O224*(1+$AD$35))/($AD$28-C224)),$P$22)</f>
        <v>#VALUE!</v>
      </c>
      <c r="Q225" s="43" t="e">
        <f>IF(Preenchimento!$G$39="Tabela Price",O224*(1+$AD$35)*W225,O224*(1+'SAC Padrão_Sem Bonif'!$AD$35)*'SAC Padrão_Sem Bonif'!W225)</f>
        <v>#VALUE!</v>
      </c>
      <c r="R225" s="43" t="e">
        <f>IF(Preenchimento!$G$39="Tabela Price",IF(C225="","",((((((1+W225)^($Q$16-C224))*W225)/((1+W225)^($Q$16-C224)-1))*(O224*(1+$AD$35))))),Q225+P225)</f>
        <v>#VALUE!</v>
      </c>
      <c r="S225" s="43" t="e">
        <f t="shared" ca="1" si="48"/>
        <v>#VALUE!</v>
      </c>
      <c r="T225" s="43">
        <f t="shared" si="55"/>
        <v>0</v>
      </c>
      <c r="U225" s="226">
        <f>TRUNC(T225*Condições!$C$102,2)</f>
        <v>0</v>
      </c>
      <c r="V225" s="82">
        <f t="shared" ca="1" si="49"/>
        <v>2</v>
      </c>
      <c r="W225" s="231" t="str">
        <f t="shared" si="56"/>
        <v/>
      </c>
      <c r="X225" s="210"/>
      <c r="Y225" s="210"/>
      <c r="Z225" s="210"/>
      <c r="AI225" s="114">
        <f t="shared" si="57"/>
        <v>0</v>
      </c>
      <c r="AJ225" s="113"/>
      <c r="AL225" s="477">
        <f t="shared" ca="1" si="58"/>
        <v>0</v>
      </c>
    </row>
    <row r="226" spans="2:38" ht="12" customHeight="1">
      <c r="B226" s="222">
        <f ca="1">Fixa!B226</f>
        <v>52306</v>
      </c>
      <c r="C226" s="223" t="str">
        <f>Fixa!C226</f>
        <v/>
      </c>
      <c r="D226" s="43" t="e">
        <f t="shared" si="50"/>
        <v>#VALUE!</v>
      </c>
      <c r="E226" s="43" t="e">
        <f t="shared" si="50"/>
        <v>#VALUE!</v>
      </c>
      <c r="F226" s="43" t="e">
        <f t="shared" si="50"/>
        <v>#VALUE!</v>
      </c>
      <c r="G226" s="43" t="e">
        <f t="shared" si="45"/>
        <v>#VALUE!</v>
      </c>
      <c r="H226" s="43" t="e">
        <f t="shared" ca="1" si="46"/>
        <v>#VALUE!</v>
      </c>
      <c r="I226" s="43">
        <f t="shared" si="47"/>
        <v>0</v>
      </c>
      <c r="J226" s="229">
        <f t="shared" si="51"/>
        <v>25</v>
      </c>
      <c r="K226" s="43">
        <f t="shared" si="52"/>
        <v>0</v>
      </c>
      <c r="M226" s="224"/>
      <c r="N226" s="225">
        <f t="shared" si="53"/>
        <v>0</v>
      </c>
      <c r="O226" s="43" t="e">
        <f t="shared" si="54"/>
        <v>#VALUE!</v>
      </c>
      <c r="P226" s="43" t="e">
        <f>ROUND(IF(Preenchimento!$G$39="Tabela Price",R226-Q226,(O225*(1+$AD$35))/($AD$28-C225)),$P$22)</f>
        <v>#VALUE!</v>
      </c>
      <c r="Q226" s="43" t="e">
        <f>IF(Preenchimento!$G$39="Tabela Price",O225*(1+$AD$35)*W226,O225*(1+'SAC Padrão_Sem Bonif'!$AD$35)*'SAC Padrão_Sem Bonif'!W226)</f>
        <v>#VALUE!</v>
      </c>
      <c r="R226" s="43" t="e">
        <f>IF(Preenchimento!$G$39="Tabela Price",IF(C226="","",((((((1+W226)^($Q$16-C225))*W226)/((1+W226)^($Q$16-C225)-1))*(O225*(1+$AD$35))))),Q226+P226)</f>
        <v>#VALUE!</v>
      </c>
      <c r="S226" s="43" t="e">
        <f t="shared" ca="1" si="48"/>
        <v>#VALUE!</v>
      </c>
      <c r="T226" s="43">
        <f t="shared" si="55"/>
        <v>0</v>
      </c>
      <c r="U226" s="226">
        <f>TRUNC(T226*Condições!$C$102,2)</f>
        <v>0</v>
      </c>
      <c r="V226" s="82">
        <f t="shared" ca="1" si="49"/>
        <v>3</v>
      </c>
      <c r="W226" s="231" t="str">
        <f t="shared" si="56"/>
        <v/>
      </c>
      <c r="X226" s="210"/>
      <c r="Y226" s="210"/>
      <c r="Z226" s="210"/>
      <c r="AI226" s="114">
        <f t="shared" si="57"/>
        <v>0</v>
      </c>
      <c r="AJ226" s="113"/>
      <c r="AL226" s="477">
        <f t="shared" ca="1" si="58"/>
        <v>0</v>
      </c>
    </row>
    <row r="227" spans="2:38" ht="12" customHeight="1">
      <c r="B227" s="222">
        <f ca="1">Fixa!B227</f>
        <v>52337</v>
      </c>
      <c r="C227" s="223" t="str">
        <f>Fixa!C227</f>
        <v/>
      </c>
      <c r="D227" s="43" t="e">
        <f t="shared" si="50"/>
        <v>#VALUE!</v>
      </c>
      <c r="E227" s="43" t="e">
        <f t="shared" si="50"/>
        <v>#VALUE!</v>
      </c>
      <c r="F227" s="43" t="e">
        <f t="shared" si="50"/>
        <v>#VALUE!</v>
      </c>
      <c r="G227" s="43" t="e">
        <f t="shared" si="45"/>
        <v>#VALUE!</v>
      </c>
      <c r="H227" s="43" t="e">
        <f t="shared" ca="1" si="46"/>
        <v>#VALUE!</v>
      </c>
      <c r="I227" s="43">
        <f t="shared" si="47"/>
        <v>0</v>
      </c>
      <c r="J227" s="229">
        <f t="shared" si="51"/>
        <v>25</v>
      </c>
      <c r="K227" s="43">
        <f t="shared" si="52"/>
        <v>0</v>
      </c>
      <c r="M227" s="224"/>
      <c r="N227" s="225">
        <f t="shared" si="53"/>
        <v>0</v>
      </c>
      <c r="O227" s="43" t="e">
        <f t="shared" si="54"/>
        <v>#VALUE!</v>
      </c>
      <c r="P227" s="43" t="e">
        <f>ROUND(IF(Preenchimento!$G$39="Tabela Price",R227-Q227,(O226*(1+$AD$35))/($AD$28-C226)),$P$22)</f>
        <v>#VALUE!</v>
      </c>
      <c r="Q227" s="43" t="e">
        <f>IF(Preenchimento!$G$39="Tabela Price",O226*(1+$AD$35)*W227,O226*(1+'SAC Padrão_Sem Bonif'!$AD$35)*'SAC Padrão_Sem Bonif'!W227)</f>
        <v>#VALUE!</v>
      </c>
      <c r="R227" s="43" t="e">
        <f>IF(Preenchimento!$G$39="Tabela Price",IF(C227="","",((((((1+W227)^($Q$16-C226))*W227)/((1+W227)^($Q$16-C226)-1))*(O226*(1+$AD$35))))),Q227+P227)</f>
        <v>#VALUE!</v>
      </c>
      <c r="S227" s="43" t="e">
        <f t="shared" ca="1" si="48"/>
        <v>#VALUE!</v>
      </c>
      <c r="T227" s="43">
        <f t="shared" si="55"/>
        <v>0</v>
      </c>
      <c r="U227" s="226">
        <f>TRUNC(T227*Condições!$C$102,2)</f>
        <v>0</v>
      </c>
      <c r="V227" s="82">
        <f t="shared" ca="1" si="49"/>
        <v>4</v>
      </c>
      <c r="W227" s="231" t="str">
        <f t="shared" si="56"/>
        <v/>
      </c>
      <c r="X227" s="210"/>
      <c r="Y227" s="210"/>
      <c r="Z227" s="210"/>
      <c r="AI227" s="114">
        <f t="shared" si="57"/>
        <v>0</v>
      </c>
      <c r="AJ227" s="113"/>
      <c r="AL227" s="477">
        <f t="shared" ca="1" si="58"/>
        <v>0</v>
      </c>
    </row>
    <row r="228" spans="2:38" ht="12" customHeight="1">
      <c r="B228" s="222">
        <f ca="1">Fixa!B228</f>
        <v>52367</v>
      </c>
      <c r="C228" s="223" t="str">
        <f>Fixa!C228</f>
        <v/>
      </c>
      <c r="D228" s="43" t="e">
        <f t="shared" si="50"/>
        <v>#VALUE!</v>
      </c>
      <c r="E228" s="43" t="e">
        <f t="shared" si="50"/>
        <v>#VALUE!</v>
      </c>
      <c r="F228" s="43" t="e">
        <f t="shared" si="50"/>
        <v>#VALUE!</v>
      </c>
      <c r="G228" s="43" t="e">
        <f t="shared" si="45"/>
        <v>#VALUE!</v>
      </c>
      <c r="H228" s="43" t="e">
        <f t="shared" ca="1" si="46"/>
        <v>#VALUE!</v>
      </c>
      <c r="I228" s="43">
        <f t="shared" si="47"/>
        <v>0</v>
      </c>
      <c r="J228" s="229">
        <f t="shared" si="51"/>
        <v>25</v>
      </c>
      <c r="K228" s="43">
        <f t="shared" si="52"/>
        <v>0</v>
      </c>
      <c r="M228" s="224"/>
      <c r="N228" s="225">
        <f t="shared" si="53"/>
        <v>0</v>
      </c>
      <c r="O228" s="43" t="e">
        <f t="shared" si="54"/>
        <v>#VALUE!</v>
      </c>
      <c r="P228" s="43" t="e">
        <f>ROUND(IF(Preenchimento!$G$39="Tabela Price",R228-Q228,(O227*(1+$AD$35))/($AD$28-C227)),$P$22)</f>
        <v>#VALUE!</v>
      </c>
      <c r="Q228" s="43" t="e">
        <f>IF(Preenchimento!$G$39="Tabela Price",O227*(1+$AD$35)*W228,O227*(1+'SAC Padrão_Sem Bonif'!$AD$35)*'SAC Padrão_Sem Bonif'!W228)</f>
        <v>#VALUE!</v>
      </c>
      <c r="R228" s="43" t="e">
        <f>IF(Preenchimento!$G$39="Tabela Price",IF(C228="","",((((((1+W228)^($Q$16-C227))*W228)/((1+W228)^($Q$16-C227)-1))*(O227*(1+$AD$35))))),Q228+P228)</f>
        <v>#VALUE!</v>
      </c>
      <c r="S228" s="43" t="e">
        <f t="shared" ca="1" si="48"/>
        <v>#VALUE!</v>
      </c>
      <c r="T228" s="43">
        <f t="shared" si="55"/>
        <v>0</v>
      </c>
      <c r="U228" s="226">
        <f>TRUNC(T228*Condições!$C$102,2)</f>
        <v>0</v>
      </c>
      <c r="V228" s="82">
        <f t="shared" ca="1" si="49"/>
        <v>5</v>
      </c>
      <c r="W228" s="231" t="str">
        <f t="shared" si="56"/>
        <v/>
      </c>
      <c r="X228" s="210"/>
      <c r="Y228" s="210"/>
      <c r="Z228" s="210"/>
      <c r="AI228" s="114">
        <f t="shared" si="57"/>
        <v>0</v>
      </c>
      <c r="AJ228" s="113"/>
      <c r="AL228" s="477">
        <f t="shared" ca="1" si="58"/>
        <v>0</v>
      </c>
    </row>
    <row r="229" spans="2:38" ht="12" customHeight="1">
      <c r="B229" s="222">
        <f ca="1">Fixa!B229</f>
        <v>52398</v>
      </c>
      <c r="C229" s="223" t="str">
        <f>Fixa!C229</f>
        <v/>
      </c>
      <c r="D229" s="43" t="e">
        <f t="shared" si="50"/>
        <v>#VALUE!</v>
      </c>
      <c r="E229" s="43" t="e">
        <f t="shared" si="50"/>
        <v>#VALUE!</v>
      </c>
      <c r="F229" s="43" t="e">
        <f t="shared" si="50"/>
        <v>#VALUE!</v>
      </c>
      <c r="G229" s="43" t="e">
        <f t="shared" si="45"/>
        <v>#VALUE!</v>
      </c>
      <c r="H229" s="43" t="e">
        <f t="shared" ca="1" si="46"/>
        <v>#VALUE!</v>
      </c>
      <c r="I229" s="43">
        <f t="shared" si="47"/>
        <v>0</v>
      </c>
      <c r="J229" s="229">
        <f t="shared" si="51"/>
        <v>25</v>
      </c>
      <c r="K229" s="43">
        <f t="shared" si="52"/>
        <v>0</v>
      </c>
      <c r="M229" s="224"/>
      <c r="N229" s="225">
        <f t="shared" si="53"/>
        <v>0</v>
      </c>
      <c r="O229" s="43" t="e">
        <f t="shared" si="54"/>
        <v>#VALUE!</v>
      </c>
      <c r="P229" s="43" t="e">
        <f>ROUND(IF(Preenchimento!$G$39="Tabela Price",R229-Q229,(O228*(1+$AD$35))/($AD$28-C228)),$P$22)</f>
        <v>#VALUE!</v>
      </c>
      <c r="Q229" s="43" t="e">
        <f>IF(Preenchimento!$G$39="Tabela Price",O228*(1+$AD$35)*W229,O228*(1+'SAC Padrão_Sem Bonif'!$AD$35)*'SAC Padrão_Sem Bonif'!W229)</f>
        <v>#VALUE!</v>
      </c>
      <c r="R229" s="43" t="e">
        <f>IF(Preenchimento!$G$39="Tabela Price",IF(C229="","",((((((1+W229)^($Q$16-C228))*W229)/((1+W229)^($Q$16-C228)-1))*(O228*(1+$AD$35))))),Q229+P229)</f>
        <v>#VALUE!</v>
      </c>
      <c r="S229" s="43" t="e">
        <f t="shared" ca="1" si="48"/>
        <v>#VALUE!</v>
      </c>
      <c r="T229" s="43">
        <f t="shared" si="55"/>
        <v>0</v>
      </c>
      <c r="U229" s="226">
        <f>TRUNC(T229*Condições!$C$102,2)</f>
        <v>0</v>
      </c>
      <c r="V229" s="82">
        <f t="shared" ca="1" si="49"/>
        <v>6</v>
      </c>
      <c r="W229" s="231" t="str">
        <f t="shared" si="56"/>
        <v/>
      </c>
      <c r="X229" s="210"/>
      <c r="Y229" s="210"/>
      <c r="Z229" s="210"/>
      <c r="AI229" s="114">
        <f t="shared" si="57"/>
        <v>0</v>
      </c>
      <c r="AJ229" s="113"/>
      <c r="AL229" s="477">
        <f t="shared" ca="1" si="58"/>
        <v>0</v>
      </c>
    </row>
    <row r="230" spans="2:38" ht="12" customHeight="1">
      <c r="B230" s="222">
        <f ca="1">Fixa!B230</f>
        <v>52428</v>
      </c>
      <c r="C230" s="223" t="str">
        <f>Fixa!C230</f>
        <v/>
      </c>
      <c r="D230" s="43" t="e">
        <f t="shared" si="50"/>
        <v>#VALUE!</v>
      </c>
      <c r="E230" s="43" t="e">
        <f t="shared" si="50"/>
        <v>#VALUE!</v>
      </c>
      <c r="F230" s="43" t="e">
        <f t="shared" si="50"/>
        <v>#VALUE!</v>
      </c>
      <c r="G230" s="43" t="e">
        <f t="shared" si="45"/>
        <v>#VALUE!</v>
      </c>
      <c r="H230" s="43" t="e">
        <f t="shared" ca="1" si="46"/>
        <v>#VALUE!</v>
      </c>
      <c r="I230" s="43">
        <f t="shared" si="47"/>
        <v>0</v>
      </c>
      <c r="J230" s="229">
        <f t="shared" si="51"/>
        <v>25</v>
      </c>
      <c r="K230" s="43">
        <f t="shared" si="52"/>
        <v>0</v>
      </c>
      <c r="M230" s="224"/>
      <c r="N230" s="225">
        <f t="shared" si="53"/>
        <v>0</v>
      </c>
      <c r="O230" s="43" t="e">
        <f t="shared" si="54"/>
        <v>#VALUE!</v>
      </c>
      <c r="P230" s="43" t="e">
        <f>ROUND(IF(Preenchimento!$G$39="Tabela Price",R230-Q230,(O229*(1+$AD$35))/($AD$28-C229)),$P$22)</f>
        <v>#VALUE!</v>
      </c>
      <c r="Q230" s="43" t="e">
        <f>IF(Preenchimento!$G$39="Tabela Price",O229*(1+$AD$35)*W230,O229*(1+'SAC Padrão_Sem Bonif'!$AD$35)*'SAC Padrão_Sem Bonif'!W230)</f>
        <v>#VALUE!</v>
      </c>
      <c r="R230" s="43" t="e">
        <f>IF(Preenchimento!$G$39="Tabela Price",IF(C230="","",((((((1+W230)^($Q$16-C229))*W230)/((1+W230)^($Q$16-C229)-1))*(O229*(1+$AD$35))))),Q230+P230)</f>
        <v>#VALUE!</v>
      </c>
      <c r="S230" s="43" t="e">
        <f t="shared" ca="1" si="48"/>
        <v>#VALUE!</v>
      </c>
      <c r="T230" s="43">
        <f t="shared" si="55"/>
        <v>0</v>
      </c>
      <c r="U230" s="226">
        <f>TRUNC(T230*Condições!$C$102,2)</f>
        <v>0</v>
      </c>
      <c r="V230" s="82">
        <f t="shared" ca="1" si="49"/>
        <v>7</v>
      </c>
      <c r="W230" s="231" t="str">
        <f t="shared" si="56"/>
        <v/>
      </c>
      <c r="X230" s="210"/>
      <c r="Y230" s="210"/>
      <c r="Z230" s="210"/>
      <c r="AI230" s="114">
        <f t="shared" si="57"/>
        <v>0</v>
      </c>
      <c r="AJ230" s="113"/>
      <c r="AL230" s="477">
        <f t="shared" ca="1" si="58"/>
        <v>0</v>
      </c>
    </row>
    <row r="231" spans="2:38" ht="12" customHeight="1">
      <c r="B231" s="222">
        <f ca="1">Fixa!B231</f>
        <v>52459</v>
      </c>
      <c r="C231" s="223" t="str">
        <f>Fixa!C231</f>
        <v/>
      </c>
      <c r="D231" s="43" t="e">
        <f t="shared" si="50"/>
        <v>#VALUE!</v>
      </c>
      <c r="E231" s="43" t="e">
        <f t="shared" si="50"/>
        <v>#VALUE!</v>
      </c>
      <c r="F231" s="43" t="e">
        <f t="shared" si="50"/>
        <v>#VALUE!</v>
      </c>
      <c r="G231" s="43" t="e">
        <f t="shared" si="45"/>
        <v>#VALUE!</v>
      </c>
      <c r="H231" s="43" t="e">
        <f t="shared" ca="1" si="46"/>
        <v>#VALUE!</v>
      </c>
      <c r="I231" s="43">
        <f t="shared" si="47"/>
        <v>0</v>
      </c>
      <c r="J231" s="229">
        <f t="shared" si="51"/>
        <v>25</v>
      </c>
      <c r="K231" s="43">
        <f t="shared" si="52"/>
        <v>0</v>
      </c>
      <c r="M231" s="224"/>
      <c r="N231" s="225">
        <f t="shared" si="53"/>
        <v>0</v>
      </c>
      <c r="O231" s="43" t="e">
        <f t="shared" si="54"/>
        <v>#VALUE!</v>
      </c>
      <c r="P231" s="43" t="e">
        <f>ROUND(IF(Preenchimento!$G$39="Tabela Price",R231-Q231,(O230*(1+$AD$35))/($AD$28-C230)),$P$22)</f>
        <v>#VALUE!</v>
      </c>
      <c r="Q231" s="43" t="e">
        <f>IF(Preenchimento!$G$39="Tabela Price",O230*(1+$AD$35)*W231,O230*(1+'SAC Padrão_Sem Bonif'!$AD$35)*'SAC Padrão_Sem Bonif'!W231)</f>
        <v>#VALUE!</v>
      </c>
      <c r="R231" s="43" t="e">
        <f>IF(Preenchimento!$G$39="Tabela Price",IF(C231="","",((((((1+W231)^($Q$16-C230))*W231)/((1+W231)^($Q$16-C230)-1))*(O230*(1+$AD$35))))),Q231+P231)</f>
        <v>#VALUE!</v>
      </c>
      <c r="S231" s="43" t="e">
        <f t="shared" ca="1" si="48"/>
        <v>#VALUE!</v>
      </c>
      <c r="T231" s="43">
        <f t="shared" si="55"/>
        <v>0</v>
      </c>
      <c r="U231" s="226">
        <f>TRUNC(T231*Condições!$C$102,2)</f>
        <v>0</v>
      </c>
      <c r="V231" s="82">
        <f t="shared" ca="1" si="49"/>
        <v>8</v>
      </c>
      <c r="W231" s="231" t="str">
        <f t="shared" si="56"/>
        <v/>
      </c>
      <c r="X231" s="210"/>
      <c r="Y231" s="210"/>
      <c r="Z231" s="210"/>
      <c r="AI231" s="114">
        <f t="shared" si="57"/>
        <v>0</v>
      </c>
      <c r="AJ231" s="113"/>
      <c r="AL231" s="477">
        <f t="shared" ca="1" si="58"/>
        <v>0</v>
      </c>
    </row>
    <row r="232" spans="2:38" ht="12" customHeight="1">
      <c r="B232" s="222">
        <f ca="1">Fixa!B232</f>
        <v>52490</v>
      </c>
      <c r="C232" s="223" t="str">
        <f>Fixa!C232</f>
        <v/>
      </c>
      <c r="D232" s="43" t="e">
        <f t="shared" si="50"/>
        <v>#VALUE!</v>
      </c>
      <c r="E232" s="43" t="e">
        <f t="shared" si="50"/>
        <v>#VALUE!</v>
      </c>
      <c r="F232" s="43" t="e">
        <f t="shared" si="50"/>
        <v>#VALUE!</v>
      </c>
      <c r="G232" s="43" t="e">
        <f t="shared" si="45"/>
        <v>#VALUE!</v>
      </c>
      <c r="H232" s="43" t="e">
        <f t="shared" ca="1" si="46"/>
        <v>#VALUE!</v>
      </c>
      <c r="I232" s="43">
        <f t="shared" si="47"/>
        <v>0</v>
      </c>
      <c r="J232" s="229">
        <f t="shared" si="51"/>
        <v>25</v>
      </c>
      <c r="K232" s="43">
        <f t="shared" si="52"/>
        <v>0</v>
      </c>
      <c r="M232" s="224"/>
      <c r="N232" s="225">
        <f t="shared" si="53"/>
        <v>0</v>
      </c>
      <c r="O232" s="43" t="e">
        <f t="shared" si="54"/>
        <v>#VALUE!</v>
      </c>
      <c r="P232" s="43" t="e">
        <f>ROUND(IF(Preenchimento!$G$39="Tabela Price",R232-Q232,(O231*(1+$AD$35))/($AD$28-C231)),$P$22)</f>
        <v>#VALUE!</v>
      </c>
      <c r="Q232" s="43" t="e">
        <f>IF(Preenchimento!$G$39="Tabela Price",O231*(1+$AD$35)*W232,O231*(1+'SAC Padrão_Sem Bonif'!$AD$35)*'SAC Padrão_Sem Bonif'!W232)</f>
        <v>#VALUE!</v>
      </c>
      <c r="R232" s="43" t="e">
        <f>IF(Preenchimento!$G$39="Tabela Price",IF(C232="","",((((((1+W232)^($Q$16-C231))*W232)/((1+W232)^($Q$16-C231)-1))*(O231*(1+$AD$35))))),Q232+P232)</f>
        <v>#VALUE!</v>
      </c>
      <c r="S232" s="43" t="e">
        <f t="shared" ca="1" si="48"/>
        <v>#VALUE!</v>
      </c>
      <c r="T232" s="43">
        <f t="shared" si="55"/>
        <v>0</v>
      </c>
      <c r="U232" s="226">
        <f>TRUNC(T232*Condições!$C$102,2)</f>
        <v>0</v>
      </c>
      <c r="V232" s="82">
        <f t="shared" ca="1" si="49"/>
        <v>9</v>
      </c>
      <c r="W232" s="231" t="str">
        <f t="shared" si="56"/>
        <v/>
      </c>
      <c r="X232" s="210"/>
      <c r="Y232" s="210"/>
      <c r="Z232" s="210"/>
      <c r="AI232" s="114">
        <f t="shared" si="57"/>
        <v>0</v>
      </c>
      <c r="AJ232" s="113"/>
      <c r="AL232" s="477">
        <f t="shared" ca="1" si="58"/>
        <v>0</v>
      </c>
    </row>
    <row r="233" spans="2:38" ht="12" customHeight="1">
      <c r="B233" s="222">
        <f ca="1">Fixa!B233</f>
        <v>52520</v>
      </c>
      <c r="C233" s="223" t="str">
        <f>Fixa!C233</f>
        <v/>
      </c>
      <c r="D233" s="43" t="e">
        <f t="shared" si="50"/>
        <v>#VALUE!</v>
      </c>
      <c r="E233" s="43" t="e">
        <f t="shared" si="50"/>
        <v>#VALUE!</v>
      </c>
      <c r="F233" s="43" t="e">
        <f t="shared" si="50"/>
        <v>#VALUE!</v>
      </c>
      <c r="G233" s="43" t="e">
        <f t="shared" si="45"/>
        <v>#VALUE!</v>
      </c>
      <c r="H233" s="43" t="e">
        <f t="shared" ca="1" si="46"/>
        <v>#VALUE!</v>
      </c>
      <c r="I233" s="43">
        <f t="shared" si="47"/>
        <v>0</v>
      </c>
      <c r="J233" s="229">
        <f t="shared" si="51"/>
        <v>25</v>
      </c>
      <c r="K233" s="43">
        <f t="shared" si="52"/>
        <v>0</v>
      </c>
      <c r="M233" s="224"/>
      <c r="N233" s="225">
        <f t="shared" si="53"/>
        <v>0</v>
      </c>
      <c r="O233" s="43" t="e">
        <f t="shared" si="54"/>
        <v>#VALUE!</v>
      </c>
      <c r="P233" s="43" t="e">
        <f>ROUND(IF(Preenchimento!$G$39="Tabela Price",R233-Q233,(O232*(1+$AD$35))/($AD$28-C232)),$P$22)</f>
        <v>#VALUE!</v>
      </c>
      <c r="Q233" s="43" t="e">
        <f>IF(Preenchimento!$G$39="Tabela Price",O232*(1+$AD$35)*W233,O232*(1+'SAC Padrão_Sem Bonif'!$AD$35)*'SAC Padrão_Sem Bonif'!W233)</f>
        <v>#VALUE!</v>
      </c>
      <c r="R233" s="43" t="e">
        <f>IF(Preenchimento!$G$39="Tabela Price",IF(C233="","",((((((1+W233)^($Q$16-C232))*W233)/((1+W233)^($Q$16-C232)-1))*(O232*(1+$AD$35))))),Q233+P233)</f>
        <v>#VALUE!</v>
      </c>
      <c r="S233" s="43" t="e">
        <f t="shared" ca="1" si="48"/>
        <v>#VALUE!</v>
      </c>
      <c r="T233" s="43">
        <f t="shared" si="55"/>
        <v>0</v>
      </c>
      <c r="U233" s="226">
        <f>TRUNC(T233*Condições!$C$102,2)</f>
        <v>0</v>
      </c>
      <c r="V233" s="82">
        <f t="shared" ca="1" si="49"/>
        <v>10</v>
      </c>
      <c r="W233" s="231" t="str">
        <f t="shared" si="56"/>
        <v/>
      </c>
      <c r="X233" s="210"/>
      <c r="Y233" s="210"/>
      <c r="Z233" s="210"/>
      <c r="AI233" s="114">
        <f t="shared" si="57"/>
        <v>0</v>
      </c>
      <c r="AJ233" s="113"/>
      <c r="AL233" s="477">
        <f t="shared" ca="1" si="58"/>
        <v>0</v>
      </c>
    </row>
    <row r="234" spans="2:38" ht="12" customHeight="1">
      <c r="B234" s="222">
        <f ca="1">Fixa!B234</f>
        <v>52551</v>
      </c>
      <c r="C234" s="223" t="str">
        <f>Fixa!C234</f>
        <v/>
      </c>
      <c r="D234" s="43" t="e">
        <f t="shared" si="50"/>
        <v>#VALUE!</v>
      </c>
      <c r="E234" s="43" t="e">
        <f t="shared" si="50"/>
        <v>#VALUE!</v>
      </c>
      <c r="F234" s="43" t="e">
        <f t="shared" si="50"/>
        <v>#VALUE!</v>
      </c>
      <c r="G234" s="43" t="e">
        <f t="shared" si="45"/>
        <v>#VALUE!</v>
      </c>
      <c r="H234" s="43" t="e">
        <f t="shared" ca="1" si="46"/>
        <v>#VALUE!</v>
      </c>
      <c r="I234" s="43">
        <f t="shared" si="47"/>
        <v>0</v>
      </c>
      <c r="J234" s="229">
        <f t="shared" si="51"/>
        <v>25</v>
      </c>
      <c r="K234" s="43">
        <f t="shared" si="52"/>
        <v>0</v>
      </c>
      <c r="M234" s="224"/>
      <c r="N234" s="225">
        <f t="shared" si="53"/>
        <v>0</v>
      </c>
      <c r="O234" s="43" t="e">
        <f t="shared" si="54"/>
        <v>#VALUE!</v>
      </c>
      <c r="P234" s="43" t="e">
        <f>ROUND(IF(Preenchimento!$G$39="Tabela Price",R234-Q234,(O233*(1+$AD$35))/($AD$28-C233)),$P$22)</f>
        <v>#VALUE!</v>
      </c>
      <c r="Q234" s="43" t="e">
        <f>IF(Preenchimento!$G$39="Tabela Price",O233*(1+$AD$35)*W234,O233*(1+'SAC Padrão_Sem Bonif'!$AD$35)*'SAC Padrão_Sem Bonif'!W234)</f>
        <v>#VALUE!</v>
      </c>
      <c r="R234" s="43" t="e">
        <f>IF(Preenchimento!$G$39="Tabela Price",IF(C234="","",((((((1+W234)^($Q$16-C233))*W234)/((1+W234)^($Q$16-C233)-1))*(O233*(1+$AD$35))))),Q234+P234)</f>
        <v>#VALUE!</v>
      </c>
      <c r="S234" s="43" t="e">
        <f t="shared" ca="1" si="48"/>
        <v>#VALUE!</v>
      </c>
      <c r="T234" s="43">
        <f t="shared" si="55"/>
        <v>0</v>
      </c>
      <c r="U234" s="226">
        <f>TRUNC(T234*Condições!$C$102,2)</f>
        <v>0</v>
      </c>
      <c r="V234" s="82">
        <f t="shared" ca="1" si="49"/>
        <v>11</v>
      </c>
      <c r="W234" s="231" t="str">
        <f t="shared" si="56"/>
        <v/>
      </c>
      <c r="X234" s="210"/>
      <c r="Y234" s="210"/>
      <c r="Z234" s="210"/>
      <c r="AI234" s="114">
        <f t="shared" si="57"/>
        <v>0</v>
      </c>
      <c r="AJ234" s="113"/>
      <c r="AL234" s="477">
        <f t="shared" ca="1" si="58"/>
        <v>0</v>
      </c>
    </row>
    <row r="235" spans="2:38" ht="12" customHeight="1">
      <c r="B235" s="222">
        <f ca="1">Fixa!B235</f>
        <v>52581</v>
      </c>
      <c r="C235" s="223" t="str">
        <f>Fixa!C235</f>
        <v/>
      </c>
      <c r="D235" s="43" t="e">
        <f t="shared" si="50"/>
        <v>#VALUE!</v>
      </c>
      <c r="E235" s="43" t="e">
        <f t="shared" si="50"/>
        <v>#VALUE!</v>
      </c>
      <c r="F235" s="43" t="e">
        <f t="shared" si="50"/>
        <v>#VALUE!</v>
      </c>
      <c r="G235" s="43" t="e">
        <f t="shared" si="45"/>
        <v>#VALUE!</v>
      </c>
      <c r="H235" s="43" t="e">
        <f t="shared" ca="1" si="46"/>
        <v>#VALUE!</v>
      </c>
      <c r="I235" s="43">
        <f t="shared" si="47"/>
        <v>0</v>
      </c>
      <c r="J235" s="229">
        <f t="shared" si="51"/>
        <v>25</v>
      </c>
      <c r="K235" s="43">
        <f t="shared" si="52"/>
        <v>0</v>
      </c>
      <c r="M235" s="224"/>
      <c r="N235" s="225">
        <f t="shared" si="53"/>
        <v>0</v>
      </c>
      <c r="O235" s="43" t="e">
        <f t="shared" si="54"/>
        <v>#VALUE!</v>
      </c>
      <c r="P235" s="43" t="e">
        <f>ROUND(IF(Preenchimento!$G$39="Tabela Price",R235-Q235,(O234*(1+$AD$35))/($AD$28-C234)),$P$22)</f>
        <v>#VALUE!</v>
      </c>
      <c r="Q235" s="43" t="e">
        <f>IF(Preenchimento!$G$39="Tabela Price",O234*(1+$AD$35)*W235,O234*(1+'SAC Padrão_Sem Bonif'!$AD$35)*'SAC Padrão_Sem Bonif'!W235)</f>
        <v>#VALUE!</v>
      </c>
      <c r="R235" s="43" t="e">
        <f>IF(Preenchimento!$G$39="Tabela Price",IF(C235="","",((((((1+W235)^($Q$16-C234))*W235)/((1+W235)^($Q$16-C234)-1))*(O234*(1+$AD$35))))),Q235+P235)</f>
        <v>#VALUE!</v>
      </c>
      <c r="S235" s="43" t="e">
        <f t="shared" ca="1" si="48"/>
        <v>#VALUE!</v>
      </c>
      <c r="T235" s="43">
        <f t="shared" si="55"/>
        <v>0</v>
      </c>
      <c r="U235" s="226">
        <f>TRUNC(T235*Condições!$C$102,2)</f>
        <v>0</v>
      </c>
      <c r="V235" s="82">
        <f t="shared" ca="1" si="49"/>
        <v>12</v>
      </c>
      <c r="W235" s="231" t="str">
        <f t="shared" si="56"/>
        <v/>
      </c>
      <c r="X235" s="210"/>
      <c r="Y235" s="210"/>
      <c r="Z235" s="210"/>
      <c r="AI235" s="114">
        <f t="shared" si="57"/>
        <v>0</v>
      </c>
      <c r="AJ235" s="113"/>
      <c r="AL235" s="477">
        <f t="shared" ca="1" si="58"/>
        <v>0</v>
      </c>
    </row>
    <row r="236" spans="2:38" ht="12" customHeight="1">
      <c r="B236" s="222">
        <f ca="1">Fixa!B236</f>
        <v>52612</v>
      </c>
      <c r="C236" s="223" t="str">
        <f>Fixa!C236</f>
        <v/>
      </c>
      <c r="D236" s="43" t="e">
        <f t="shared" si="50"/>
        <v>#VALUE!</v>
      </c>
      <c r="E236" s="43" t="e">
        <f t="shared" si="50"/>
        <v>#VALUE!</v>
      </c>
      <c r="F236" s="43" t="e">
        <f t="shared" si="50"/>
        <v>#VALUE!</v>
      </c>
      <c r="G236" s="43" t="e">
        <f t="shared" si="45"/>
        <v>#VALUE!</v>
      </c>
      <c r="H236" s="43" t="e">
        <f t="shared" ca="1" si="46"/>
        <v>#VALUE!</v>
      </c>
      <c r="I236" s="43">
        <f t="shared" si="47"/>
        <v>0</v>
      </c>
      <c r="J236" s="229">
        <f t="shared" si="51"/>
        <v>25</v>
      </c>
      <c r="K236" s="43">
        <f t="shared" si="52"/>
        <v>0</v>
      </c>
      <c r="M236" s="224"/>
      <c r="N236" s="225">
        <f t="shared" si="53"/>
        <v>0</v>
      </c>
      <c r="O236" s="43" t="e">
        <f t="shared" si="54"/>
        <v>#VALUE!</v>
      </c>
      <c r="P236" s="43" t="e">
        <f>ROUND(IF(Preenchimento!$G$39="Tabela Price",R236-Q236,(O235*(1+$AD$35))/($AD$28-C235)),$P$22)</f>
        <v>#VALUE!</v>
      </c>
      <c r="Q236" s="43" t="e">
        <f>IF(Preenchimento!$G$39="Tabela Price",O235*(1+$AD$35)*W236,O235*(1+'SAC Padrão_Sem Bonif'!$AD$35)*'SAC Padrão_Sem Bonif'!W236)</f>
        <v>#VALUE!</v>
      </c>
      <c r="R236" s="43" t="e">
        <f>IF(Preenchimento!$G$39="Tabela Price",IF(C236="","",((((((1+W236)^($Q$16-C235))*W236)/((1+W236)^($Q$16-C235)-1))*(O235*(1+$AD$35))))),Q236+P236)</f>
        <v>#VALUE!</v>
      </c>
      <c r="S236" s="43" t="e">
        <f t="shared" ca="1" si="48"/>
        <v>#VALUE!</v>
      </c>
      <c r="T236" s="43">
        <f t="shared" si="55"/>
        <v>0</v>
      </c>
      <c r="U236" s="226">
        <f>TRUNC(T236*Condições!$C$102,2)</f>
        <v>0</v>
      </c>
      <c r="V236" s="82">
        <f t="shared" ca="1" si="49"/>
        <v>1</v>
      </c>
      <c r="W236" s="231" t="str">
        <f t="shared" si="56"/>
        <v/>
      </c>
      <c r="X236" s="210"/>
      <c r="Y236" s="210"/>
      <c r="Z236" s="210"/>
      <c r="AI236" s="114">
        <f t="shared" si="57"/>
        <v>0</v>
      </c>
      <c r="AJ236" s="113"/>
      <c r="AL236" s="477">
        <f t="shared" ca="1" si="58"/>
        <v>0</v>
      </c>
    </row>
    <row r="237" spans="2:38" ht="12" customHeight="1">
      <c r="B237" s="222">
        <f ca="1">Fixa!B237</f>
        <v>52643</v>
      </c>
      <c r="C237" s="223" t="str">
        <f>Fixa!C237</f>
        <v/>
      </c>
      <c r="D237" s="43" t="e">
        <f t="shared" si="50"/>
        <v>#VALUE!</v>
      </c>
      <c r="E237" s="43" t="e">
        <f t="shared" si="50"/>
        <v>#VALUE!</v>
      </c>
      <c r="F237" s="43" t="e">
        <f t="shared" si="50"/>
        <v>#VALUE!</v>
      </c>
      <c r="G237" s="43" t="e">
        <f t="shared" si="45"/>
        <v>#VALUE!</v>
      </c>
      <c r="H237" s="43" t="e">
        <f t="shared" ca="1" si="46"/>
        <v>#VALUE!</v>
      </c>
      <c r="I237" s="43">
        <f t="shared" si="47"/>
        <v>0</v>
      </c>
      <c r="J237" s="229">
        <f t="shared" si="51"/>
        <v>25</v>
      </c>
      <c r="K237" s="43">
        <f t="shared" si="52"/>
        <v>0</v>
      </c>
      <c r="M237" s="224"/>
      <c r="N237" s="225">
        <f t="shared" si="53"/>
        <v>0</v>
      </c>
      <c r="O237" s="43" t="e">
        <f t="shared" si="54"/>
        <v>#VALUE!</v>
      </c>
      <c r="P237" s="43" t="e">
        <f>ROUND(IF(Preenchimento!$G$39="Tabela Price",R237-Q237,(O236*(1+$AD$35))/($AD$28-C236)),$P$22)</f>
        <v>#VALUE!</v>
      </c>
      <c r="Q237" s="43" t="e">
        <f>IF(Preenchimento!$G$39="Tabela Price",O236*(1+$AD$35)*W237,O236*(1+'SAC Padrão_Sem Bonif'!$AD$35)*'SAC Padrão_Sem Bonif'!W237)</f>
        <v>#VALUE!</v>
      </c>
      <c r="R237" s="43" t="e">
        <f>IF(Preenchimento!$G$39="Tabela Price",IF(C237="","",((((((1+W237)^($Q$16-C236))*W237)/((1+W237)^($Q$16-C236)-1))*(O236*(1+$AD$35))))),Q237+P237)</f>
        <v>#VALUE!</v>
      </c>
      <c r="S237" s="43" t="e">
        <f t="shared" ca="1" si="48"/>
        <v>#VALUE!</v>
      </c>
      <c r="T237" s="43">
        <f t="shared" si="55"/>
        <v>0</v>
      </c>
      <c r="U237" s="226">
        <f>TRUNC(T237*Condições!$C$102,2)</f>
        <v>0</v>
      </c>
      <c r="V237" s="82">
        <f t="shared" ca="1" si="49"/>
        <v>2</v>
      </c>
      <c r="W237" s="231" t="str">
        <f t="shared" si="56"/>
        <v/>
      </c>
      <c r="X237" s="210"/>
      <c r="Y237" s="210"/>
      <c r="Z237" s="210"/>
      <c r="AI237" s="114">
        <f t="shared" si="57"/>
        <v>0</v>
      </c>
      <c r="AJ237" s="113"/>
      <c r="AL237" s="477">
        <f t="shared" ca="1" si="58"/>
        <v>0</v>
      </c>
    </row>
    <row r="238" spans="2:38" ht="12" customHeight="1">
      <c r="B238" s="222">
        <f ca="1">Fixa!B238</f>
        <v>52672</v>
      </c>
      <c r="C238" s="223" t="str">
        <f>Fixa!C238</f>
        <v/>
      </c>
      <c r="D238" s="43" t="e">
        <f t="shared" si="50"/>
        <v>#VALUE!</v>
      </c>
      <c r="E238" s="43" t="e">
        <f t="shared" si="50"/>
        <v>#VALUE!</v>
      </c>
      <c r="F238" s="43" t="e">
        <f t="shared" si="50"/>
        <v>#VALUE!</v>
      </c>
      <c r="G238" s="43" t="e">
        <f t="shared" si="45"/>
        <v>#VALUE!</v>
      </c>
      <c r="H238" s="43" t="e">
        <f t="shared" ca="1" si="46"/>
        <v>#VALUE!</v>
      </c>
      <c r="I238" s="43">
        <f t="shared" si="47"/>
        <v>0</v>
      </c>
      <c r="J238" s="229">
        <f t="shared" si="51"/>
        <v>25</v>
      </c>
      <c r="K238" s="43">
        <f t="shared" si="52"/>
        <v>0</v>
      </c>
      <c r="M238" s="224"/>
      <c r="N238" s="225">
        <f t="shared" si="53"/>
        <v>0</v>
      </c>
      <c r="O238" s="43" t="e">
        <f t="shared" si="54"/>
        <v>#VALUE!</v>
      </c>
      <c r="P238" s="43" t="e">
        <f>ROUND(IF(Preenchimento!$G$39="Tabela Price",R238-Q238,(O237*(1+$AD$35))/($AD$28-C237)),$P$22)</f>
        <v>#VALUE!</v>
      </c>
      <c r="Q238" s="43" t="e">
        <f>IF(Preenchimento!$G$39="Tabela Price",O237*(1+$AD$35)*W238,O237*(1+'SAC Padrão_Sem Bonif'!$AD$35)*'SAC Padrão_Sem Bonif'!W238)</f>
        <v>#VALUE!</v>
      </c>
      <c r="R238" s="43" t="e">
        <f>IF(Preenchimento!$G$39="Tabela Price",IF(C238="","",((((((1+W238)^($Q$16-C237))*W238)/((1+W238)^($Q$16-C237)-1))*(O237*(1+$AD$35))))),Q238+P238)</f>
        <v>#VALUE!</v>
      </c>
      <c r="S238" s="43" t="e">
        <f t="shared" ca="1" si="48"/>
        <v>#VALUE!</v>
      </c>
      <c r="T238" s="43">
        <f t="shared" si="55"/>
        <v>0</v>
      </c>
      <c r="U238" s="226">
        <f>TRUNC(T238*Condições!$C$102,2)</f>
        <v>0</v>
      </c>
      <c r="V238" s="82">
        <f t="shared" ca="1" si="49"/>
        <v>3</v>
      </c>
      <c r="W238" s="231" t="str">
        <f t="shared" si="56"/>
        <v/>
      </c>
      <c r="X238" s="210"/>
      <c r="Y238" s="210"/>
      <c r="Z238" s="210"/>
      <c r="AI238" s="114">
        <f t="shared" si="57"/>
        <v>0</v>
      </c>
      <c r="AJ238" s="113"/>
      <c r="AL238" s="477">
        <f t="shared" ca="1" si="58"/>
        <v>0</v>
      </c>
    </row>
    <row r="239" spans="2:38" ht="12" customHeight="1">
      <c r="B239" s="222">
        <f ca="1">Fixa!B239</f>
        <v>52703</v>
      </c>
      <c r="C239" s="223" t="str">
        <f>Fixa!C239</f>
        <v/>
      </c>
      <c r="D239" s="43" t="e">
        <f t="shared" si="50"/>
        <v>#VALUE!</v>
      </c>
      <c r="E239" s="43" t="e">
        <f t="shared" si="50"/>
        <v>#VALUE!</v>
      </c>
      <c r="F239" s="43" t="e">
        <f t="shared" si="50"/>
        <v>#VALUE!</v>
      </c>
      <c r="G239" s="43" t="e">
        <f t="shared" si="45"/>
        <v>#VALUE!</v>
      </c>
      <c r="H239" s="43" t="e">
        <f t="shared" ca="1" si="46"/>
        <v>#VALUE!</v>
      </c>
      <c r="I239" s="43">
        <f t="shared" si="47"/>
        <v>0</v>
      </c>
      <c r="J239" s="229">
        <f t="shared" si="51"/>
        <v>25</v>
      </c>
      <c r="K239" s="43">
        <f t="shared" si="52"/>
        <v>0</v>
      </c>
      <c r="M239" s="224"/>
      <c r="N239" s="225">
        <f t="shared" si="53"/>
        <v>0</v>
      </c>
      <c r="O239" s="43" t="e">
        <f t="shared" si="54"/>
        <v>#VALUE!</v>
      </c>
      <c r="P239" s="43" t="e">
        <f>ROUND(IF(Preenchimento!$G$39="Tabela Price",R239-Q239,(O238*(1+$AD$35))/($AD$28-C238)),$P$22)</f>
        <v>#VALUE!</v>
      </c>
      <c r="Q239" s="43" t="e">
        <f>IF(Preenchimento!$G$39="Tabela Price",O238*(1+$AD$35)*W239,O238*(1+'SAC Padrão_Sem Bonif'!$AD$35)*'SAC Padrão_Sem Bonif'!W239)</f>
        <v>#VALUE!</v>
      </c>
      <c r="R239" s="43" t="e">
        <f>IF(Preenchimento!$G$39="Tabela Price",IF(C239="","",((((((1+W239)^($Q$16-C238))*W239)/((1+W239)^($Q$16-C238)-1))*(O238*(1+$AD$35))))),Q239+P239)</f>
        <v>#VALUE!</v>
      </c>
      <c r="S239" s="43" t="e">
        <f t="shared" ca="1" si="48"/>
        <v>#VALUE!</v>
      </c>
      <c r="T239" s="43">
        <f t="shared" si="55"/>
        <v>0</v>
      </c>
      <c r="U239" s="226">
        <f>TRUNC(T239*Condições!$C$102,2)</f>
        <v>0</v>
      </c>
      <c r="V239" s="82">
        <f t="shared" ca="1" si="49"/>
        <v>4</v>
      </c>
      <c r="W239" s="231" t="str">
        <f t="shared" si="56"/>
        <v/>
      </c>
      <c r="X239" s="210"/>
      <c r="Y239" s="210"/>
      <c r="Z239" s="210"/>
      <c r="AI239" s="114">
        <f t="shared" si="57"/>
        <v>0</v>
      </c>
      <c r="AJ239" s="113"/>
      <c r="AL239" s="477">
        <f t="shared" ca="1" si="58"/>
        <v>0</v>
      </c>
    </row>
    <row r="240" spans="2:38" ht="12" customHeight="1">
      <c r="B240" s="222">
        <f ca="1">Fixa!B240</f>
        <v>52733</v>
      </c>
      <c r="C240" s="223" t="str">
        <f>Fixa!C240</f>
        <v/>
      </c>
      <c r="D240" s="43" t="e">
        <f t="shared" si="50"/>
        <v>#VALUE!</v>
      </c>
      <c r="E240" s="43" t="e">
        <f t="shared" si="50"/>
        <v>#VALUE!</v>
      </c>
      <c r="F240" s="43" t="e">
        <f t="shared" si="50"/>
        <v>#VALUE!</v>
      </c>
      <c r="G240" s="43" t="e">
        <f t="shared" si="45"/>
        <v>#VALUE!</v>
      </c>
      <c r="H240" s="43" t="e">
        <f t="shared" ca="1" si="46"/>
        <v>#VALUE!</v>
      </c>
      <c r="I240" s="43">
        <f t="shared" si="47"/>
        <v>0</v>
      </c>
      <c r="J240" s="229">
        <f t="shared" si="51"/>
        <v>25</v>
      </c>
      <c r="K240" s="43">
        <f t="shared" si="52"/>
        <v>0</v>
      </c>
      <c r="M240" s="224"/>
      <c r="N240" s="225">
        <f t="shared" si="53"/>
        <v>0</v>
      </c>
      <c r="O240" s="43" t="e">
        <f t="shared" si="54"/>
        <v>#VALUE!</v>
      </c>
      <c r="P240" s="43" t="e">
        <f>ROUND(IF(Preenchimento!$G$39="Tabela Price",R240-Q240,(O239*(1+$AD$35))/($AD$28-C239)),$P$22)</f>
        <v>#VALUE!</v>
      </c>
      <c r="Q240" s="43" t="e">
        <f>IF(Preenchimento!$G$39="Tabela Price",O239*(1+$AD$35)*W240,O239*(1+'SAC Padrão_Sem Bonif'!$AD$35)*'SAC Padrão_Sem Bonif'!W240)</f>
        <v>#VALUE!</v>
      </c>
      <c r="R240" s="43" t="e">
        <f>IF(Preenchimento!$G$39="Tabela Price",IF(C240="","",((((((1+W240)^($Q$16-C239))*W240)/((1+W240)^($Q$16-C239)-1))*(O239*(1+$AD$35))))),Q240+P240)</f>
        <v>#VALUE!</v>
      </c>
      <c r="S240" s="43" t="e">
        <f t="shared" ca="1" si="48"/>
        <v>#VALUE!</v>
      </c>
      <c r="T240" s="43">
        <f t="shared" si="55"/>
        <v>0</v>
      </c>
      <c r="U240" s="226">
        <f>TRUNC(T240*Condições!$C$102,2)</f>
        <v>0</v>
      </c>
      <c r="V240" s="82">
        <f t="shared" ca="1" si="49"/>
        <v>5</v>
      </c>
      <c r="W240" s="231" t="str">
        <f t="shared" si="56"/>
        <v/>
      </c>
      <c r="X240" s="210"/>
      <c r="Y240" s="210"/>
      <c r="Z240" s="210"/>
      <c r="AI240" s="114">
        <f t="shared" si="57"/>
        <v>0</v>
      </c>
      <c r="AJ240" s="113"/>
      <c r="AL240" s="477">
        <f t="shared" ca="1" si="58"/>
        <v>0</v>
      </c>
    </row>
    <row r="241" spans="2:38" ht="12" customHeight="1">
      <c r="B241" s="222">
        <f ca="1">Fixa!B241</f>
        <v>52764</v>
      </c>
      <c r="C241" s="223" t="str">
        <f>Fixa!C241</f>
        <v/>
      </c>
      <c r="D241" s="43" t="e">
        <f t="shared" si="50"/>
        <v>#VALUE!</v>
      </c>
      <c r="E241" s="43" t="e">
        <f t="shared" si="50"/>
        <v>#VALUE!</v>
      </c>
      <c r="F241" s="43" t="e">
        <f t="shared" si="50"/>
        <v>#VALUE!</v>
      </c>
      <c r="G241" s="43" t="e">
        <f t="shared" si="45"/>
        <v>#VALUE!</v>
      </c>
      <c r="H241" s="43" t="e">
        <f t="shared" ca="1" si="46"/>
        <v>#VALUE!</v>
      </c>
      <c r="I241" s="43">
        <f t="shared" si="47"/>
        <v>0</v>
      </c>
      <c r="J241" s="229">
        <f t="shared" si="51"/>
        <v>25</v>
      </c>
      <c r="K241" s="43">
        <f t="shared" si="52"/>
        <v>0</v>
      </c>
      <c r="M241" s="224"/>
      <c r="N241" s="225">
        <f t="shared" si="53"/>
        <v>0</v>
      </c>
      <c r="O241" s="43" t="e">
        <f t="shared" si="54"/>
        <v>#VALUE!</v>
      </c>
      <c r="P241" s="43" t="e">
        <f>ROUND(IF(Preenchimento!$G$39="Tabela Price",R241-Q241,(O240*(1+$AD$35))/($AD$28-C240)),$P$22)</f>
        <v>#VALUE!</v>
      </c>
      <c r="Q241" s="43" t="e">
        <f>IF(Preenchimento!$G$39="Tabela Price",O240*(1+$AD$35)*W241,O240*(1+'SAC Padrão_Sem Bonif'!$AD$35)*'SAC Padrão_Sem Bonif'!W241)</f>
        <v>#VALUE!</v>
      </c>
      <c r="R241" s="43" t="e">
        <f>IF(Preenchimento!$G$39="Tabela Price",IF(C241="","",((((((1+W241)^($Q$16-C240))*W241)/((1+W241)^($Q$16-C240)-1))*(O240*(1+$AD$35))))),Q241+P241)</f>
        <v>#VALUE!</v>
      </c>
      <c r="S241" s="43" t="e">
        <f t="shared" ca="1" si="48"/>
        <v>#VALUE!</v>
      </c>
      <c r="T241" s="43">
        <f t="shared" si="55"/>
        <v>0</v>
      </c>
      <c r="U241" s="226">
        <f>TRUNC(T241*Condições!$C$102,2)</f>
        <v>0</v>
      </c>
      <c r="V241" s="82">
        <f t="shared" ca="1" si="49"/>
        <v>6</v>
      </c>
      <c r="W241" s="231" t="str">
        <f t="shared" si="56"/>
        <v/>
      </c>
      <c r="X241" s="210"/>
      <c r="Y241" s="210"/>
      <c r="Z241" s="210"/>
      <c r="AI241" s="114">
        <f t="shared" si="57"/>
        <v>0</v>
      </c>
      <c r="AJ241" s="113"/>
      <c r="AL241" s="477">
        <f t="shared" ca="1" si="58"/>
        <v>0</v>
      </c>
    </row>
    <row r="242" spans="2:38" ht="12" customHeight="1">
      <c r="B242" s="222">
        <f ca="1">Fixa!B242</f>
        <v>52794</v>
      </c>
      <c r="C242" s="223" t="str">
        <f>Fixa!C242</f>
        <v/>
      </c>
      <c r="D242" s="43" t="e">
        <f t="shared" si="50"/>
        <v>#VALUE!</v>
      </c>
      <c r="E242" s="43" t="e">
        <f t="shared" si="50"/>
        <v>#VALUE!</v>
      </c>
      <c r="F242" s="43" t="e">
        <f t="shared" si="50"/>
        <v>#VALUE!</v>
      </c>
      <c r="G242" s="43" t="e">
        <f t="shared" si="45"/>
        <v>#VALUE!</v>
      </c>
      <c r="H242" s="43" t="e">
        <f t="shared" ca="1" si="46"/>
        <v>#VALUE!</v>
      </c>
      <c r="I242" s="43">
        <f t="shared" si="47"/>
        <v>0</v>
      </c>
      <c r="J242" s="229">
        <f t="shared" si="51"/>
        <v>25</v>
      </c>
      <c r="K242" s="43">
        <f t="shared" si="52"/>
        <v>0</v>
      </c>
      <c r="M242" s="224"/>
      <c r="N242" s="225">
        <f t="shared" si="53"/>
        <v>0</v>
      </c>
      <c r="O242" s="43" t="e">
        <f t="shared" si="54"/>
        <v>#VALUE!</v>
      </c>
      <c r="P242" s="43" t="e">
        <f>ROUND(IF(Preenchimento!$G$39="Tabela Price",R242-Q242,(O241*(1+$AD$35))/($AD$28-C241)),$P$22)</f>
        <v>#VALUE!</v>
      </c>
      <c r="Q242" s="43" t="e">
        <f>IF(Preenchimento!$G$39="Tabela Price",O241*(1+$AD$35)*W242,O241*(1+'SAC Padrão_Sem Bonif'!$AD$35)*'SAC Padrão_Sem Bonif'!W242)</f>
        <v>#VALUE!</v>
      </c>
      <c r="R242" s="43" t="e">
        <f>IF(Preenchimento!$G$39="Tabela Price",IF(C242="","",((((((1+W242)^($Q$16-C241))*W242)/((1+W242)^($Q$16-C241)-1))*(O241*(1+$AD$35))))),Q242+P242)</f>
        <v>#VALUE!</v>
      </c>
      <c r="S242" s="43" t="e">
        <f t="shared" ca="1" si="48"/>
        <v>#VALUE!</v>
      </c>
      <c r="T242" s="43">
        <f t="shared" si="55"/>
        <v>0</v>
      </c>
      <c r="U242" s="226">
        <f>TRUNC(T242*Condições!$C$102,2)</f>
        <v>0</v>
      </c>
      <c r="V242" s="82">
        <f t="shared" ca="1" si="49"/>
        <v>7</v>
      </c>
      <c r="W242" s="231" t="str">
        <f t="shared" si="56"/>
        <v/>
      </c>
      <c r="X242" s="210"/>
      <c r="Y242" s="210"/>
      <c r="Z242" s="210"/>
      <c r="AI242" s="114">
        <f t="shared" si="57"/>
        <v>0</v>
      </c>
      <c r="AJ242" s="113"/>
      <c r="AL242" s="477">
        <f t="shared" ca="1" si="58"/>
        <v>0</v>
      </c>
    </row>
    <row r="243" spans="2:38" ht="12" customHeight="1">
      <c r="B243" s="222">
        <f ca="1">Fixa!B243</f>
        <v>52825</v>
      </c>
      <c r="C243" s="223" t="str">
        <f>Fixa!C243</f>
        <v/>
      </c>
      <c r="D243" s="43" t="e">
        <f t="shared" si="50"/>
        <v>#VALUE!</v>
      </c>
      <c r="E243" s="43" t="e">
        <f t="shared" si="50"/>
        <v>#VALUE!</v>
      </c>
      <c r="F243" s="43" t="e">
        <f t="shared" si="50"/>
        <v>#VALUE!</v>
      </c>
      <c r="G243" s="43" t="e">
        <f t="shared" si="45"/>
        <v>#VALUE!</v>
      </c>
      <c r="H243" s="43" t="e">
        <f t="shared" ca="1" si="46"/>
        <v>#VALUE!</v>
      </c>
      <c r="I243" s="43">
        <f t="shared" si="47"/>
        <v>0</v>
      </c>
      <c r="J243" s="229">
        <f t="shared" si="51"/>
        <v>25</v>
      </c>
      <c r="K243" s="43">
        <f t="shared" si="52"/>
        <v>0</v>
      </c>
      <c r="M243" s="224"/>
      <c r="N243" s="225">
        <f t="shared" si="53"/>
        <v>0</v>
      </c>
      <c r="O243" s="43" t="e">
        <f t="shared" si="54"/>
        <v>#VALUE!</v>
      </c>
      <c r="P243" s="43" t="e">
        <f>ROUND(IF(Preenchimento!$G$39="Tabela Price",R243-Q243,(O242*(1+$AD$35))/($AD$28-C242)),$P$22)</f>
        <v>#VALUE!</v>
      </c>
      <c r="Q243" s="43" t="e">
        <f>IF(Preenchimento!$G$39="Tabela Price",O242*(1+$AD$35)*W243,O242*(1+'SAC Padrão_Sem Bonif'!$AD$35)*'SAC Padrão_Sem Bonif'!W243)</f>
        <v>#VALUE!</v>
      </c>
      <c r="R243" s="43" t="e">
        <f>IF(Preenchimento!$G$39="Tabela Price",IF(C243="","",((((((1+W243)^($Q$16-C242))*W243)/((1+W243)^($Q$16-C242)-1))*(O242*(1+$AD$35))))),Q243+P243)</f>
        <v>#VALUE!</v>
      </c>
      <c r="S243" s="43" t="e">
        <f t="shared" ca="1" si="48"/>
        <v>#VALUE!</v>
      </c>
      <c r="T243" s="43">
        <f t="shared" si="55"/>
        <v>0</v>
      </c>
      <c r="U243" s="226">
        <f>TRUNC(T243*Condições!$C$102,2)</f>
        <v>0</v>
      </c>
      <c r="V243" s="82">
        <f t="shared" ca="1" si="49"/>
        <v>8</v>
      </c>
      <c r="W243" s="231" t="str">
        <f t="shared" si="56"/>
        <v/>
      </c>
      <c r="X243" s="210"/>
      <c r="Y243" s="210"/>
      <c r="Z243" s="210"/>
      <c r="AI243" s="114">
        <f t="shared" si="57"/>
        <v>0</v>
      </c>
      <c r="AJ243" s="113"/>
      <c r="AL243" s="477">
        <f t="shared" ca="1" si="58"/>
        <v>0</v>
      </c>
    </row>
    <row r="244" spans="2:38" ht="12" customHeight="1">
      <c r="B244" s="222">
        <f ca="1">Fixa!B244</f>
        <v>52856</v>
      </c>
      <c r="C244" s="223" t="str">
        <f>Fixa!C244</f>
        <v/>
      </c>
      <c r="D244" s="43" t="e">
        <f t="shared" si="50"/>
        <v>#VALUE!</v>
      </c>
      <c r="E244" s="43" t="e">
        <f t="shared" si="50"/>
        <v>#VALUE!</v>
      </c>
      <c r="F244" s="43" t="e">
        <f t="shared" si="50"/>
        <v>#VALUE!</v>
      </c>
      <c r="G244" s="43" t="e">
        <f t="shared" si="45"/>
        <v>#VALUE!</v>
      </c>
      <c r="H244" s="43" t="e">
        <f t="shared" ca="1" si="46"/>
        <v>#VALUE!</v>
      </c>
      <c r="I244" s="43">
        <f t="shared" si="47"/>
        <v>0</v>
      </c>
      <c r="J244" s="229">
        <f t="shared" si="51"/>
        <v>25</v>
      </c>
      <c r="K244" s="43">
        <f t="shared" si="52"/>
        <v>0</v>
      </c>
      <c r="M244" s="224"/>
      <c r="N244" s="225">
        <f t="shared" si="53"/>
        <v>0</v>
      </c>
      <c r="O244" s="43" t="e">
        <f t="shared" si="54"/>
        <v>#VALUE!</v>
      </c>
      <c r="P244" s="43" t="e">
        <f>ROUND(IF(Preenchimento!$G$39="Tabela Price",R244-Q244,(O243*(1+$AD$35))/($AD$28-C243)),$P$22)</f>
        <v>#VALUE!</v>
      </c>
      <c r="Q244" s="43" t="e">
        <f>IF(Preenchimento!$G$39="Tabela Price",O243*(1+$AD$35)*W244,O243*(1+'SAC Padrão_Sem Bonif'!$AD$35)*'SAC Padrão_Sem Bonif'!W244)</f>
        <v>#VALUE!</v>
      </c>
      <c r="R244" s="43" t="e">
        <f>IF(Preenchimento!$G$39="Tabela Price",IF(C244="","",((((((1+W244)^($Q$16-C243))*W244)/((1+W244)^($Q$16-C243)-1))*(O243*(1+$AD$35))))),Q244+P244)</f>
        <v>#VALUE!</v>
      </c>
      <c r="S244" s="43" t="e">
        <f t="shared" ca="1" si="48"/>
        <v>#VALUE!</v>
      </c>
      <c r="T244" s="43">
        <f t="shared" si="55"/>
        <v>0</v>
      </c>
      <c r="U244" s="226">
        <f>TRUNC(T244*Condições!$C$102,2)</f>
        <v>0</v>
      </c>
      <c r="V244" s="82">
        <f t="shared" ca="1" si="49"/>
        <v>9</v>
      </c>
      <c r="W244" s="231" t="str">
        <f t="shared" si="56"/>
        <v/>
      </c>
      <c r="X244" s="210"/>
      <c r="Y244" s="210"/>
      <c r="Z244" s="210"/>
      <c r="AI244" s="114">
        <f t="shared" si="57"/>
        <v>0</v>
      </c>
      <c r="AJ244" s="113"/>
      <c r="AL244" s="477">
        <f t="shared" ca="1" si="58"/>
        <v>0</v>
      </c>
    </row>
    <row r="245" spans="2:38" ht="12" customHeight="1">
      <c r="B245" s="222">
        <f ca="1">Fixa!B245</f>
        <v>52886</v>
      </c>
      <c r="C245" s="223" t="str">
        <f>Fixa!C245</f>
        <v/>
      </c>
      <c r="D245" s="43" t="e">
        <f t="shared" si="50"/>
        <v>#VALUE!</v>
      </c>
      <c r="E245" s="43" t="e">
        <f t="shared" si="50"/>
        <v>#VALUE!</v>
      </c>
      <c r="F245" s="43" t="e">
        <f t="shared" si="50"/>
        <v>#VALUE!</v>
      </c>
      <c r="G245" s="43" t="e">
        <f t="shared" si="45"/>
        <v>#VALUE!</v>
      </c>
      <c r="H245" s="43" t="e">
        <f t="shared" ca="1" si="46"/>
        <v>#VALUE!</v>
      </c>
      <c r="I245" s="43">
        <f t="shared" si="47"/>
        <v>0</v>
      </c>
      <c r="J245" s="229">
        <f t="shared" si="51"/>
        <v>25</v>
      </c>
      <c r="K245" s="43">
        <f t="shared" si="52"/>
        <v>0</v>
      </c>
      <c r="M245" s="224"/>
      <c r="N245" s="225">
        <f t="shared" si="53"/>
        <v>0</v>
      </c>
      <c r="O245" s="43" t="e">
        <f t="shared" si="54"/>
        <v>#VALUE!</v>
      </c>
      <c r="P245" s="43" t="e">
        <f>ROUND(IF(Preenchimento!$G$39="Tabela Price",R245-Q245,(O244*(1+$AD$35))/($AD$28-C244)),$P$22)</f>
        <v>#VALUE!</v>
      </c>
      <c r="Q245" s="43" t="e">
        <f>IF(Preenchimento!$G$39="Tabela Price",O244*(1+$AD$35)*W245,O244*(1+'SAC Padrão_Sem Bonif'!$AD$35)*'SAC Padrão_Sem Bonif'!W245)</f>
        <v>#VALUE!</v>
      </c>
      <c r="R245" s="43" t="e">
        <f>IF(Preenchimento!$G$39="Tabela Price",IF(C245="","",((((((1+W245)^($Q$16-C244))*W245)/((1+W245)^($Q$16-C244)-1))*(O244*(1+$AD$35))))),Q245+P245)</f>
        <v>#VALUE!</v>
      </c>
      <c r="S245" s="43" t="e">
        <f t="shared" ca="1" si="48"/>
        <v>#VALUE!</v>
      </c>
      <c r="T245" s="43">
        <f t="shared" si="55"/>
        <v>0</v>
      </c>
      <c r="U245" s="226">
        <f>TRUNC(T245*Condições!$C$102,2)</f>
        <v>0</v>
      </c>
      <c r="V245" s="82">
        <f t="shared" ca="1" si="49"/>
        <v>10</v>
      </c>
      <c r="W245" s="231" t="str">
        <f t="shared" si="56"/>
        <v/>
      </c>
      <c r="X245" s="210"/>
      <c r="Y245" s="210"/>
      <c r="Z245" s="210"/>
      <c r="AI245" s="114">
        <f t="shared" si="57"/>
        <v>0</v>
      </c>
      <c r="AJ245" s="113"/>
      <c r="AL245" s="477">
        <f t="shared" ca="1" si="58"/>
        <v>0</v>
      </c>
    </row>
    <row r="246" spans="2:38" ht="12" customHeight="1">
      <c r="B246" s="222">
        <f ca="1">Fixa!B246</f>
        <v>52917</v>
      </c>
      <c r="C246" s="223" t="str">
        <f>Fixa!C246</f>
        <v/>
      </c>
      <c r="D246" s="43" t="e">
        <f t="shared" si="50"/>
        <v>#VALUE!</v>
      </c>
      <c r="E246" s="43" t="e">
        <f t="shared" si="50"/>
        <v>#VALUE!</v>
      </c>
      <c r="F246" s="43" t="e">
        <f t="shared" si="50"/>
        <v>#VALUE!</v>
      </c>
      <c r="G246" s="43" t="e">
        <f t="shared" si="45"/>
        <v>#VALUE!</v>
      </c>
      <c r="H246" s="43" t="e">
        <f t="shared" ca="1" si="46"/>
        <v>#VALUE!</v>
      </c>
      <c r="I246" s="43">
        <f t="shared" si="47"/>
        <v>0</v>
      </c>
      <c r="J246" s="229">
        <f t="shared" si="51"/>
        <v>25</v>
      </c>
      <c r="K246" s="43">
        <f t="shared" si="52"/>
        <v>0</v>
      </c>
      <c r="M246" s="224"/>
      <c r="N246" s="225">
        <f t="shared" si="53"/>
        <v>0</v>
      </c>
      <c r="O246" s="43" t="e">
        <f t="shared" si="54"/>
        <v>#VALUE!</v>
      </c>
      <c r="P246" s="43" t="e">
        <f>ROUND(IF(Preenchimento!$G$39="Tabela Price",R246-Q246,(O245*(1+$AD$35))/($AD$28-C245)),$P$22)</f>
        <v>#VALUE!</v>
      </c>
      <c r="Q246" s="43" t="e">
        <f>IF(Preenchimento!$G$39="Tabela Price",O245*(1+$AD$35)*W246,O245*(1+'SAC Padrão_Sem Bonif'!$AD$35)*'SAC Padrão_Sem Bonif'!W246)</f>
        <v>#VALUE!</v>
      </c>
      <c r="R246" s="43" t="e">
        <f>IF(Preenchimento!$G$39="Tabela Price",IF(C246="","",((((((1+W246)^($Q$16-C245))*W246)/((1+W246)^($Q$16-C245)-1))*(O245*(1+$AD$35))))),Q246+P246)</f>
        <v>#VALUE!</v>
      </c>
      <c r="S246" s="43" t="e">
        <f t="shared" ca="1" si="48"/>
        <v>#VALUE!</v>
      </c>
      <c r="T246" s="43">
        <f t="shared" si="55"/>
        <v>0</v>
      </c>
      <c r="U246" s="226">
        <f>TRUNC(T246*Condições!$C$102,2)</f>
        <v>0</v>
      </c>
      <c r="V246" s="82">
        <f t="shared" ca="1" si="49"/>
        <v>11</v>
      </c>
      <c r="W246" s="231" t="str">
        <f t="shared" si="56"/>
        <v/>
      </c>
      <c r="X246" s="210"/>
      <c r="Y246" s="210"/>
      <c r="Z246" s="210"/>
      <c r="AI246" s="114">
        <f t="shared" si="57"/>
        <v>0</v>
      </c>
      <c r="AJ246" s="113"/>
      <c r="AL246" s="477">
        <f t="shared" ca="1" si="58"/>
        <v>0</v>
      </c>
    </row>
    <row r="247" spans="2:38" ht="12" customHeight="1">
      <c r="B247" s="222">
        <f ca="1">Fixa!B247</f>
        <v>52947</v>
      </c>
      <c r="C247" s="223" t="str">
        <f>Fixa!C247</f>
        <v/>
      </c>
      <c r="D247" s="43" t="e">
        <f t="shared" si="50"/>
        <v>#VALUE!</v>
      </c>
      <c r="E247" s="43" t="e">
        <f t="shared" si="50"/>
        <v>#VALUE!</v>
      </c>
      <c r="F247" s="43" t="e">
        <f t="shared" si="50"/>
        <v>#VALUE!</v>
      </c>
      <c r="G247" s="43" t="e">
        <f t="shared" si="45"/>
        <v>#VALUE!</v>
      </c>
      <c r="H247" s="43" t="e">
        <f t="shared" ca="1" si="46"/>
        <v>#VALUE!</v>
      </c>
      <c r="I247" s="43">
        <f t="shared" si="47"/>
        <v>0</v>
      </c>
      <c r="J247" s="229">
        <f t="shared" si="51"/>
        <v>25</v>
      </c>
      <c r="K247" s="43">
        <f t="shared" si="52"/>
        <v>0</v>
      </c>
      <c r="M247" s="224"/>
      <c r="N247" s="225">
        <f t="shared" si="53"/>
        <v>0</v>
      </c>
      <c r="O247" s="43" t="e">
        <f t="shared" si="54"/>
        <v>#VALUE!</v>
      </c>
      <c r="P247" s="43" t="e">
        <f>ROUND(IF(Preenchimento!$G$39="Tabela Price",R247-Q247,(O246*(1+$AD$35))/($AD$28-C246)),$P$22)</f>
        <v>#VALUE!</v>
      </c>
      <c r="Q247" s="43" t="e">
        <f>IF(Preenchimento!$G$39="Tabela Price",O246*(1+$AD$35)*W247,O246*(1+'SAC Padrão_Sem Bonif'!$AD$35)*'SAC Padrão_Sem Bonif'!W247)</f>
        <v>#VALUE!</v>
      </c>
      <c r="R247" s="43" t="e">
        <f>IF(Preenchimento!$G$39="Tabela Price",IF(C247="","",((((((1+W247)^($Q$16-C246))*W247)/((1+W247)^($Q$16-C246)-1))*(O246*(1+$AD$35))))),Q247+P247)</f>
        <v>#VALUE!</v>
      </c>
      <c r="S247" s="43" t="e">
        <f t="shared" ca="1" si="48"/>
        <v>#VALUE!</v>
      </c>
      <c r="T247" s="43">
        <f t="shared" si="55"/>
        <v>0</v>
      </c>
      <c r="U247" s="226">
        <f>TRUNC(T247*Condições!$C$102,2)</f>
        <v>0</v>
      </c>
      <c r="V247" s="82">
        <f t="shared" ca="1" si="49"/>
        <v>12</v>
      </c>
      <c r="W247" s="231" t="str">
        <f t="shared" si="56"/>
        <v/>
      </c>
      <c r="X247" s="210"/>
      <c r="Y247" s="210"/>
      <c r="Z247" s="210"/>
      <c r="AI247" s="114">
        <f t="shared" si="57"/>
        <v>0</v>
      </c>
      <c r="AJ247" s="113"/>
      <c r="AL247" s="477">
        <f t="shared" ca="1" si="58"/>
        <v>0</v>
      </c>
    </row>
    <row r="248" spans="2:38" ht="12" customHeight="1">
      <c r="B248" s="222">
        <f ca="1">Fixa!B248</f>
        <v>52978</v>
      </c>
      <c r="C248" s="223" t="str">
        <f>Fixa!C248</f>
        <v/>
      </c>
      <c r="D248" s="43" t="e">
        <f t="shared" si="50"/>
        <v>#VALUE!</v>
      </c>
      <c r="E248" s="43" t="e">
        <f t="shared" si="50"/>
        <v>#VALUE!</v>
      </c>
      <c r="F248" s="43" t="e">
        <f t="shared" si="50"/>
        <v>#VALUE!</v>
      </c>
      <c r="G248" s="43" t="e">
        <f t="shared" si="45"/>
        <v>#VALUE!</v>
      </c>
      <c r="H248" s="43" t="e">
        <f t="shared" ca="1" si="46"/>
        <v>#VALUE!</v>
      </c>
      <c r="I248" s="43">
        <f t="shared" si="47"/>
        <v>0</v>
      </c>
      <c r="J248" s="229">
        <f t="shared" si="51"/>
        <v>25</v>
      </c>
      <c r="K248" s="43">
        <f t="shared" si="52"/>
        <v>0</v>
      </c>
      <c r="M248" s="224"/>
      <c r="N248" s="225">
        <f t="shared" si="53"/>
        <v>0</v>
      </c>
      <c r="O248" s="43" t="e">
        <f t="shared" si="54"/>
        <v>#VALUE!</v>
      </c>
      <c r="P248" s="43" t="e">
        <f>ROUND(IF(Preenchimento!$G$39="Tabela Price",R248-Q248,(O247*(1+$AD$35))/($AD$28-C247)),$P$22)</f>
        <v>#VALUE!</v>
      </c>
      <c r="Q248" s="43" t="e">
        <f>IF(Preenchimento!$G$39="Tabela Price",O247*(1+$AD$35)*W248,O247*(1+'SAC Padrão_Sem Bonif'!$AD$35)*'SAC Padrão_Sem Bonif'!W248)</f>
        <v>#VALUE!</v>
      </c>
      <c r="R248" s="43" t="e">
        <f>IF(Preenchimento!$G$39="Tabela Price",IF(C248="","",((((((1+W248)^($Q$16-C247))*W248)/((1+W248)^($Q$16-C247)-1))*(O247*(1+$AD$35))))),Q248+P248)</f>
        <v>#VALUE!</v>
      </c>
      <c r="S248" s="43" t="e">
        <f t="shared" ca="1" si="48"/>
        <v>#VALUE!</v>
      </c>
      <c r="T248" s="43">
        <f t="shared" si="55"/>
        <v>0</v>
      </c>
      <c r="U248" s="226">
        <f>TRUNC(T248*Condições!$C$102,2)</f>
        <v>0</v>
      </c>
      <c r="V248" s="82">
        <f t="shared" ca="1" si="49"/>
        <v>1</v>
      </c>
      <c r="W248" s="231" t="str">
        <f t="shared" si="56"/>
        <v/>
      </c>
      <c r="X248" s="210"/>
      <c r="Y248" s="210"/>
      <c r="Z248" s="210"/>
      <c r="AI248" s="114">
        <f t="shared" si="57"/>
        <v>0</v>
      </c>
      <c r="AJ248" s="113"/>
      <c r="AL248" s="477">
        <f t="shared" ca="1" si="58"/>
        <v>0</v>
      </c>
    </row>
    <row r="249" spans="2:38" ht="12" customHeight="1">
      <c r="B249" s="222">
        <f ca="1">Fixa!B249</f>
        <v>53009</v>
      </c>
      <c r="C249" s="223" t="str">
        <f>Fixa!C249</f>
        <v/>
      </c>
      <c r="D249" s="43" t="e">
        <f t="shared" si="50"/>
        <v>#VALUE!</v>
      </c>
      <c r="E249" s="43" t="e">
        <f t="shared" si="50"/>
        <v>#VALUE!</v>
      </c>
      <c r="F249" s="43" t="e">
        <f t="shared" si="50"/>
        <v>#VALUE!</v>
      </c>
      <c r="G249" s="43" t="e">
        <f t="shared" si="45"/>
        <v>#VALUE!</v>
      </c>
      <c r="H249" s="43" t="e">
        <f t="shared" ca="1" si="46"/>
        <v>#VALUE!</v>
      </c>
      <c r="I249" s="43">
        <f t="shared" si="47"/>
        <v>0</v>
      </c>
      <c r="J249" s="229">
        <f t="shared" si="51"/>
        <v>25</v>
      </c>
      <c r="K249" s="43">
        <f t="shared" si="52"/>
        <v>0</v>
      </c>
      <c r="M249" s="224"/>
      <c r="N249" s="225">
        <f t="shared" si="53"/>
        <v>0</v>
      </c>
      <c r="O249" s="43" t="e">
        <f t="shared" si="54"/>
        <v>#VALUE!</v>
      </c>
      <c r="P249" s="43" t="e">
        <f>ROUND(IF(Preenchimento!$G$39="Tabela Price",R249-Q249,(O248*(1+$AD$35))/($AD$28-C248)),$P$22)</f>
        <v>#VALUE!</v>
      </c>
      <c r="Q249" s="43" t="e">
        <f>IF(Preenchimento!$G$39="Tabela Price",O248*(1+$AD$35)*W249,O248*(1+'SAC Padrão_Sem Bonif'!$AD$35)*'SAC Padrão_Sem Bonif'!W249)</f>
        <v>#VALUE!</v>
      </c>
      <c r="R249" s="43" t="e">
        <f>IF(Preenchimento!$G$39="Tabela Price",IF(C249="","",((((((1+W249)^($Q$16-C248))*W249)/((1+W249)^($Q$16-C248)-1))*(O248*(1+$AD$35))))),Q249+P249)</f>
        <v>#VALUE!</v>
      </c>
      <c r="S249" s="43" t="e">
        <f t="shared" ca="1" si="48"/>
        <v>#VALUE!</v>
      </c>
      <c r="T249" s="43">
        <f t="shared" si="55"/>
        <v>0</v>
      </c>
      <c r="U249" s="226">
        <f>TRUNC(T249*Condições!$C$102,2)</f>
        <v>0</v>
      </c>
      <c r="V249" s="82">
        <f t="shared" ca="1" si="49"/>
        <v>2</v>
      </c>
      <c r="W249" s="231" t="str">
        <f t="shared" si="56"/>
        <v/>
      </c>
      <c r="X249" s="210"/>
      <c r="Y249" s="210"/>
      <c r="Z249" s="210"/>
      <c r="AI249" s="114">
        <f t="shared" si="57"/>
        <v>0</v>
      </c>
      <c r="AJ249" s="113"/>
      <c r="AL249" s="477">
        <f t="shared" ca="1" si="58"/>
        <v>0</v>
      </c>
    </row>
    <row r="250" spans="2:38" ht="12" customHeight="1">
      <c r="B250" s="222">
        <f ca="1">Fixa!B250</f>
        <v>53037</v>
      </c>
      <c r="C250" s="223" t="str">
        <f>Fixa!C250</f>
        <v/>
      </c>
      <c r="D250" s="43" t="e">
        <f t="shared" si="50"/>
        <v>#VALUE!</v>
      </c>
      <c r="E250" s="43" t="e">
        <f t="shared" si="50"/>
        <v>#VALUE!</v>
      </c>
      <c r="F250" s="43" t="e">
        <f t="shared" si="50"/>
        <v>#VALUE!</v>
      </c>
      <c r="G250" s="43" t="e">
        <f t="shared" si="45"/>
        <v>#VALUE!</v>
      </c>
      <c r="H250" s="43" t="e">
        <f t="shared" ca="1" si="46"/>
        <v>#VALUE!</v>
      </c>
      <c r="I250" s="43">
        <f t="shared" si="47"/>
        <v>0</v>
      </c>
      <c r="J250" s="229">
        <f t="shared" si="51"/>
        <v>25</v>
      </c>
      <c r="K250" s="43">
        <f t="shared" si="52"/>
        <v>0</v>
      </c>
      <c r="M250" s="224"/>
      <c r="N250" s="225">
        <f t="shared" si="53"/>
        <v>0</v>
      </c>
      <c r="O250" s="43" t="e">
        <f t="shared" si="54"/>
        <v>#VALUE!</v>
      </c>
      <c r="P250" s="43" t="e">
        <f>ROUND(IF(Preenchimento!$G$39="Tabela Price",R250-Q250,(O249*(1+$AD$35))/($AD$28-C249)),$P$22)</f>
        <v>#VALUE!</v>
      </c>
      <c r="Q250" s="43" t="e">
        <f>IF(Preenchimento!$G$39="Tabela Price",O249*(1+$AD$35)*W250,O249*(1+'SAC Padrão_Sem Bonif'!$AD$35)*'SAC Padrão_Sem Bonif'!W250)</f>
        <v>#VALUE!</v>
      </c>
      <c r="R250" s="43" t="e">
        <f>IF(Preenchimento!$G$39="Tabela Price",IF(C250="","",((((((1+W250)^($Q$16-C249))*W250)/((1+W250)^($Q$16-C249)-1))*(O249*(1+$AD$35))))),Q250+P250)</f>
        <v>#VALUE!</v>
      </c>
      <c r="S250" s="43" t="e">
        <f t="shared" ca="1" si="48"/>
        <v>#VALUE!</v>
      </c>
      <c r="T250" s="43">
        <f t="shared" si="55"/>
        <v>0</v>
      </c>
      <c r="U250" s="226">
        <f>TRUNC(T250*Condições!$C$102,2)</f>
        <v>0</v>
      </c>
      <c r="V250" s="82">
        <f t="shared" ca="1" si="49"/>
        <v>3</v>
      </c>
      <c r="W250" s="231" t="str">
        <f t="shared" si="56"/>
        <v/>
      </c>
      <c r="X250" s="210"/>
      <c r="Y250" s="210"/>
      <c r="Z250" s="210"/>
      <c r="AI250" s="114">
        <f t="shared" si="57"/>
        <v>0</v>
      </c>
      <c r="AJ250" s="113"/>
      <c r="AL250" s="477">
        <f t="shared" ca="1" si="58"/>
        <v>0</v>
      </c>
    </row>
    <row r="251" spans="2:38" ht="12" customHeight="1">
      <c r="B251" s="222">
        <f ca="1">Fixa!B251</f>
        <v>53068</v>
      </c>
      <c r="C251" s="223" t="str">
        <f>Fixa!C251</f>
        <v/>
      </c>
      <c r="D251" s="43" t="e">
        <f t="shared" si="50"/>
        <v>#VALUE!</v>
      </c>
      <c r="E251" s="43" t="e">
        <f t="shared" si="50"/>
        <v>#VALUE!</v>
      </c>
      <c r="F251" s="43" t="e">
        <f t="shared" si="50"/>
        <v>#VALUE!</v>
      </c>
      <c r="G251" s="43" t="e">
        <f t="shared" si="45"/>
        <v>#VALUE!</v>
      </c>
      <c r="H251" s="43" t="e">
        <f t="shared" ca="1" si="46"/>
        <v>#VALUE!</v>
      </c>
      <c r="I251" s="43">
        <f t="shared" si="47"/>
        <v>0</v>
      </c>
      <c r="J251" s="229">
        <f t="shared" si="51"/>
        <v>25</v>
      </c>
      <c r="K251" s="43">
        <f t="shared" si="52"/>
        <v>0</v>
      </c>
      <c r="M251" s="224"/>
      <c r="N251" s="225">
        <f t="shared" si="53"/>
        <v>0</v>
      </c>
      <c r="O251" s="43" t="e">
        <f t="shared" si="54"/>
        <v>#VALUE!</v>
      </c>
      <c r="P251" s="43" t="e">
        <f>ROUND(IF(Preenchimento!$G$39="Tabela Price",R251-Q251,(O250*(1+$AD$35))/($AD$28-C250)),$P$22)</f>
        <v>#VALUE!</v>
      </c>
      <c r="Q251" s="43" t="e">
        <f>IF(Preenchimento!$G$39="Tabela Price",O250*(1+$AD$35)*W251,O250*(1+'SAC Padrão_Sem Bonif'!$AD$35)*'SAC Padrão_Sem Bonif'!W251)</f>
        <v>#VALUE!</v>
      </c>
      <c r="R251" s="43" t="e">
        <f>IF(Preenchimento!$G$39="Tabela Price",IF(C251="","",((((((1+W251)^($Q$16-C250))*W251)/((1+W251)^($Q$16-C250)-1))*(O250*(1+$AD$35))))),Q251+P251)</f>
        <v>#VALUE!</v>
      </c>
      <c r="S251" s="43" t="e">
        <f t="shared" ca="1" si="48"/>
        <v>#VALUE!</v>
      </c>
      <c r="T251" s="43">
        <f t="shared" si="55"/>
        <v>0</v>
      </c>
      <c r="U251" s="226">
        <f>TRUNC(T251*Condições!$C$102,2)</f>
        <v>0</v>
      </c>
      <c r="V251" s="82">
        <f t="shared" ca="1" si="49"/>
        <v>4</v>
      </c>
      <c r="W251" s="231" t="str">
        <f t="shared" si="56"/>
        <v/>
      </c>
      <c r="X251" s="210"/>
      <c r="Y251" s="210"/>
      <c r="Z251" s="210"/>
      <c r="AI251" s="114">
        <f t="shared" si="57"/>
        <v>0</v>
      </c>
      <c r="AJ251" s="113"/>
      <c r="AL251" s="477">
        <f t="shared" ca="1" si="58"/>
        <v>0</v>
      </c>
    </row>
    <row r="252" spans="2:38" ht="12" customHeight="1">
      <c r="B252" s="222">
        <f ca="1">Fixa!B252</f>
        <v>53098</v>
      </c>
      <c r="C252" s="223" t="str">
        <f>Fixa!C252</f>
        <v/>
      </c>
      <c r="D252" s="43" t="e">
        <f t="shared" si="50"/>
        <v>#VALUE!</v>
      </c>
      <c r="E252" s="43" t="e">
        <f t="shared" si="50"/>
        <v>#VALUE!</v>
      </c>
      <c r="F252" s="43" t="e">
        <f t="shared" si="50"/>
        <v>#VALUE!</v>
      </c>
      <c r="G252" s="43" t="e">
        <f t="shared" si="45"/>
        <v>#VALUE!</v>
      </c>
      <c r="H252" s="43" t="e">
        <f t="shared" ca="1" si="46"/>
        <v>#VALUE!</v>
      </c>
      <c r="I252" s="43">
        <f t="shared" si="47"/>
        <v>0</v>
      </c>
      <c r="J252" s="229">
        <f t="shared" si="51"/>
        <v>25</v>
      </c>
      <c r="K252" s="43">
        <f t="shared" si="52"/>
        <v>0</v>
      </c>
      <c r="M252" s="224"/>
      <c r="N252" s="225">
        <f t="shared" si="53"/>
        <v>0</v>
      </c>
      <c r="O252" s="43" t="e">
        <f t="shared" si="54"/>
        <v>#VALUE!</v>
      </c>
      <c r="P252" s="43" t="e">
        <f>ROUND(IF(Preenchimento!$G$39="Tabela Price",R252-Q252,(O251*(1+$AD$35))/($AD$28-C251)),$P$22)</f>
        <v>#VALUE!</v>
      </c>
      <c r="Q252" s="43" t="e">
        <f>IF(Preenchimento!$G$39="Tabela Price",O251*(1+$AD$35)*W252,O251*(1+'SAC Padrão_Sem Bonif'!$AD$35)*'SAC Padrão_Sem Bonif'!W252)</f>
        <v>#VALUE!</v>
      </c>
      <c r="R252" s="43" t="e">
        <f>IF(Preenchimento!$G$39="Tabela Price",IF(C252="","",((((((1+W252)^($Q$16-C251))*W252)/((1+W252)^($Q$16-C251)-1))*(O251*(1+$AD$35))))),Q252+P252)</f>
        <v>#VALUE!</v>
      </c>
      <c r="S252" s="43" t="e">
        <f t="shared" ca="1" si="48"/>
        <v>#VALUE!</v>
      </c>
      <c r="T252" s="43">
        <f t="shared" si="55"/>
        <v>0</v>
      </c>
      <c r="U252" s="226">
        <f>TRUNC(T252*Condições!$C$102,2)</f>
        <v>0</v>
      </c>
      <c r="V252" s="82">
        <f t="shared" ca="1" si="49"/>
        <v>5</v>
      </c>
      <c r="W252" s="231" t="str">
        <f t="shared" si="56"/>
        <v/>
      </c>
      <c r="X252" s="210"/>
      <c r="Y252" s="210"/>
      <c r="Z252" s="210"/>
      <c r="AI252" s="114">
        <f t="shared" si="57"/>
        <v>0</v>
      </c>
      <c r="AJ252" s="113"/>
      <c r="AL252" s="477">
        <f t="shared" ca="1" si="58"/>
        <v>0</v>
      </c>
    </row>
    <row r="253" spans="2:38" ht="12" customHeight="1">
      <c r="B253" s="222">
        <f ca="1">Fixa!B253</f>
        <v>53129</v>
      </c>
      <c r="C253" s="223" t="str">
        <f>Fixa!C253</f>
        <v/>
      </c>
      <c r="D253" s="43" t="e">
        <f t="shared" si="50"/>
        <v>#VALUE!</v>
      </c>
      <c r="E253" s="43" t="e">
        <f t="shared" si="50"/>
        <v>#VALUE!</v>
      </c>
      <c r="F253" s="43" t="e">
        <f t="shared" si="50"/>
        <v>#VALUE!</v>
      </c>
      <c r="G253" s="43" t="e">
        <f t="shared" si="45"/>
        <v>#VALUE!</v>
      </c>
      <c r="H253" s="43" t="e">
        <f t="shared" ca="1" si="46"/>
        <v>#VALUE!</v>
      </c>
      <c r="I253" s="43">
        <f t="shared" si="47"/>
        <v>0</v>
      </c>
      <c r="J253" s="229">
        <f t="shared" si="51"/>
        <v>25</v>
      </c>
      <c r="K253" s="43">
        <f t="shared" si="52"/>
        <v>0</v>
      </c>
      <c r="M253" s="224"/>
      <c r="N253" s="225">
        <f t="shared" si="53"/>
        <v>0</v>
      </c>
      <c r="O253" s="43" t="e">
        <f t="shared" si="54"/>
        <v>#VALUE!</v>
      </c>
      <c r="P253" s="43" t="e">
        <f>ROUND(IF(Preenchimento!$G$39="Tabela Price",R253-Q253,(O252*(1+$AD$35))/($AD$28-C252)),$P$22)</f>
        <v>#VALUE!</v>
      </c>
      <c r="Q253" s="43" t="e">
        <f>IF(Preenchimento!$G$39="Tabela Price",O252*(1+$AD$35)*W253,O252*(1+'SAC Padrão_Sem Bonif'!$AD$35)*'SAC Padrão_Sem Bonif'!W253)</f>
        <v>#VALUE!</v>
      </c>
      <c r="R253" s="43" t="e">
        <f>IF(Preenchimento!$G$39="Tabela Price",IF(C253="","",((((((1+W253)^($Q$16-C252))*W253)/((1+W253)^($Q$16-C252)-1))*(O252*(1+$AD$35))))),Q253+P253)</f>
        <v>#VALUE!</v>
      </c>
      <c r="S253" s="43" t="e">
        <f t="shared" ca="1" si="48"/>
        <v>#VALUE!</v>
      </c>
      <c r="T253" s="43">
        <f t="shared" si="55"/>
        <v>0</v>
      </c>
      <c r="U253" s="226">
        <f>TRUNC(T253*Condições!$C$102,2)</f>
        <v>0</v>
      </c>
      <c r="V253" s="82">
        <f t="shared" ca="1" si="49"/>
        <v>6</v>
      </c>
      <c r="W253" s="231" t="str">
        <f t="shared" si="56"/>
        <v/>
      </c>
      <c r="X253" s="210"/>
      <c r="Y253" s="210"/>
      <c r="Z253" s="210"/>
      <c r="AI253" s="114">
        <f t="shared" si="57"/>
        <v>0</v>
      </c>
      <c r="AJ253" s="113"/>
      <c r="AL253" s="477">
        <f t="shared" ca="1" si="58"/>
        <v>0</v>
      </c>
    </row>
    <row r="254" spans="2:38" ht="12" customHeight="1">
      <c r="B254" s="222">
        <f ca="1">Fixa!B254</f>
        <v>53159</v>
      </c>
      <c r="C254" s="223" t="str">
        <f>Fixa!C254</f>
        <v/>
      </c>
      <c r="D254" s="43" t="e">
        <f t="shared" si="50"/>
        <v>#VALUE!</v>
      </c>
      <c r="E254" s="43" t="e">
        <f t="shared" si="50"/>
        <v>#VALUE!</v>
      </c>
      <c r="F254" s="43" t="e">
        <f t="shared" si="50"/>
        <v>#VALUE!</v>
      </c>
      <c r="G254" s="43" t="e">
        <f t="shared" si="45"/>
        <v>#VALUE!</v>
      </c>
      <c r="H254" s="43" t="e">
        <f t="shared" ca="1" si="46"/>
        <v>#VALUE!</v>
      </c>
      <c r="I254" s="43">
        <f t="shared" si="47"/>
        <v>0</v>
      </c>
      <c r="J254" s="229">
        <f t="shared" si="51"/>
        <v>25</v>
      </c>
      <c r="K254" s="43">
        <f t="shared" si="52"/>
        <v>0</v>
      </c>
      <c r="M254" s="224"/>
      <c r="N254" s="225">
        <f t="shared" si="53"/>
        <v>0</v>
      </c>
      <c r="O254" s="43" t="e">
        <f t="shared" si="54"/>
        <v>#VALUE!</v>
      </c>
      <c r="P254" s="43" t="e">
        <f>ROUND(IF(Preenchimento!$G$39="Tabela Price",R254-Q254,(O253*(1+$AD$35))/($AD$28-C253)),$P$22)</f>
        <v>#VALUE!</v>
      </c>
      <c r="Q254" s="43" t="e">
        <f>IF(Preenchimento!$G$39="Tabela Price",O253*(1+$AD$35)*W254,O253*(1+'SAC Padrão_Sem Bonif'!$AD$35)*'SAC Padrão_Sem Bonif'!W254)</f>
        <v>#VALUE!</v>
      </c>
      <c r="R254" s="43" t="e">
        <f>IF(Preenchimento!$G$39="Tabela Price",IF(C254="","",((((((1+W254)^($Q$16-C253))*W254)/((1+W254)^($Q$16-C253)-1))*(O253*(1+$AD$35))))),Q254+P254)</f>
        <v>#VALUE!</v>
      </c>
      <c r="S254" s="43" t="e">
        <f t="shared" ca="1" si="48"/>
        <v>#VALUE!</v>
      </c>
      <c r="T254" s="43">
        <f t="shared" si="55"/>
        <v>0</v>
      </c>
      <c r="U254" s="226">
        <f>TRUNC(T254*Condições!$C$102,2)</f>
        <v>0</v>
      </c>
      <c r="V254" s="82">
        <f t="shared" ca="1" si="49"/>
        <v>7</v>
      </c>
      <c r="W254" s="231" t="str">
        <f t="shared" si="56"/>
        <v/>
      </c>
      <c r="X254" s="210"/>
      <c r="Y254" s="210"/>
      <c r="Z254" s="210"/>
      <c r="AI254" s="114">
        <f t="shared" si="57"/>
        <v>0</v>
      </c>
      <c r="AJ254" s="113"/>
      <c r="AL254" s="477">
        <f t="shared" ca="1" si="58"/>
        <v>0</v>
      </c>
    </row>
    <row r="255" spans="2:38" ht="12" customHeight="1">
      <c r="B255" s="222">
        <f ca="1">Fixa!B255</f>
        <v>53190</v>
      </c>
      <c r="C255" s="223" t="str">
        <f>Fixa!C255</f>
        <v/>
      </c>
      <c r="D255" s="43" t="e">
        <f t="shared" si="50"/>
        <v>#VALUE!</v>
      </c>
      <c r="E255" s="43" t="e">
        <f t="shared" si="50"/>
        <v>#VALUE!</v>
      </c>
      <c r="F255" s="43" t="e">
        <f t="shared" si="50"/>
        <v>#VALUE!</v>
      </c>
      <c r="G255" s="43" t="e">
        <f t="shared" si="45"/>
        <v>#VALUE!</v>
      </c>
      <c r="H255" s="43" t="e">
        <f t="shared" ca="1" si="46"/>
        <v>#VALUE!</v>
      </c>
      <c r="I255" s="43">
        <f t="shared" si="47"/>
        <v>0</v>
      </c>
      <c r="J255" s="229">
        <f t="shared" si="51"/>
        <v>25</v>
      </c>
      <c r="K255" s="43">
        <f t="shared" si="52"/>
        <v>0</v>
      </c>
      <c r="M255" s="224"/>
      <c r="N255" s="225">
        <f t="shared" si="53"/>
        <v>0</v>
      </c>
      <c r="O255" s="43" t="e">
        <f t="shared" si="54"/>
        <v>#VALUE!</v>
      </c>
      <c r="P255" s="43" t="e">
        <f>ROUND(IF(Preenchimento!$G$39="Tabela Price",R255-Q255,(O254*(1+$AD$35))/($AD$28-C254)),$P$22)</f>
        <v>#VALUE!</v>
      </c>
      <c r="Q255" s="43" t="e">
        <f>IF(Preenchimento!$G$39="Tabela Price",O254*(1+$AD$35)*W255,O254*(1+'SAC Padrão_Sem Bonif'!$AD$35)*'SAC Padrão_Sem Bonif'!W255)</f>
        <v>#VALUE!</v>
      </c>
      <c r="R255" s="43" t="e">
        <f>IF(Preenchimento!$G$39="Tabela Price",IF(C255="","",((((((1+W255)^($Q$16-C254))*W255)/((1+W255)^($Q$16-C254)-1))*(O254*(1+$AD$35))))),Q255+P255)</f>
        <v>#VALUE!</v>
      </c>
      <c r="S255" s="43" t="e">
        <f t="shared" ca="1" si="48"/>
        <v>#VALUE!</v>
      </c>
      <c r="T255" s="43">
        <f t="shared" si="55"/>
        <v>0</v>
      </c>
      <c r="U255" s="226">
        <f>TRUNC(T255*Condições!$C$102,2)</f>
        <v>0</v>
      </c>
      <c r="V255" s="82">
        <f t="shared" ca="1" si="49"/>
        <v>8</v>
      </c>
      <c r="W255" s="231" t="str">
        <f t="shared" si="56"/>
        <v/>
      </c>
      <c r="X255" s="210"/>
      <c r="Y255" s="210"/>
      <c r="Z255" s="210"/>
      <c r="AI255" s="114">
        <f t="shared" si="57"/>
        <v>0</v>
      </c>
      <c r="AJ255" s="113"/>
      <c r="AL255" s="477">
        <f t="shared" ca="1" si="58"/>
        <v>0</v>
      </c>
    </row>
    <row r="256" spans="2:38" ht="12" customHeight="1">
      <c r="B256" s="222">
        <f ca="1">Fixa!B256</f>
        <v>53221</v>
      </c>
      <c r="C256" s="223" t="str">
        <f>Fixa!C256</f>
        <v/>
      </c>
      <c r="D256" s="43" t="e">
        <f t="shared" si="50"/>
        <v>#VALUE!</v>
      </c>
      <c r="E256" s="43" t="e">
        <f t="shared" si="50"/>
        <v>#VALUE!</v>
      </c>
      <c r="F256" s="43" t="e">
        <f t="shared" si="50"/>
        <v>#VALUE!</v>
      </c>
      <c r="G256" s="43" t="e">
        <f t="shared" si="45"/>
        <v>#VALUE!</v>
      </c>
      <c r="H256" s="43" t="e">
        <f t="shared" ca="1" si="46"/>
        <v>#VALUE!</v>
      </c>
      <c r="I256" s="43">
        <f t="shared" si="47"/>
        <v>0</v>
      </c>
      <c r="J256" s="229">
        <f t="shared" si="51"/>
        <v>25</v>
      </c>
      <c r="K256" s="43">
        <f t="shared" si="52"/>
        <v>0</v>
      </c>
      <c r="M256" s="224"/>
      <c r="N256" s="225">
        <f t="shared" si="53"/>
        <v>0</v>
      </c>
      <c r="O256" s="43" t="e">
        <f t="shared" si="54"/>
        <v>#VALUE!</v>
      </c>
      <c r="P256" s="43" t="e">
        <f>ROUND(IF(Preenchimento!$G$39="Tabela Price",R256-Q256,(O255*(1+$AD$35))/($AD$28-C255)),$P$22)</f>
        <v>#VALUE!</v>
      </c>
      <c r="Q256" s="43" t="e">
        <f>IF(Preenchimento!$G$39="Tabela Price",O255*(1+$AD$35)*W256,O255*(1+'SAC Padrão_Sem Bonif'!$AD$35)*'SAC Padrão_Sem Bonif'!W256)</f>
        <v>#VALUE!</v>
      </c>
      <c r="R256" s="43" t="e">
        <f>IF(Preenchimento!$G$39="Tabela Price",IF(C256="","",((((((1+W256)^($Q$16-C255))*W256)/((1+W256)^($Q$16-C255)-1))*(O255*(1+$AD$35))))),Q256+P256)</f>
        <v>#VALUE!</v>
      </c>
      <c r="S256" s="43" t="e">
        <f t="shared" ca="1" si="48"/>
        <v>#VALUE!</v>
      </c>
      <c r="T256" s="43">
        <f t="shared" si="55"/>
        <v>0</v>
      </c>
      <c r="U256" s="226">
        <f>TRUNC(T256*Condições!$C$102,2)</f>
        <v>0</v>
      </c>
      <c r="V256" s="82">
        <f t="shared" ca="1" si="49"/>
        <v>9</v>
      </c>
      <c r="W256" s="231" t="str">
        <f t="shared" si="56"/>
        <v/>
      </c>
      <c r="X256" s="210"/>
      <c r="Y256" s="210"/>
      <c r="Z256" s="210"/>
      <c r="AI256" s="114">
        <f t="shared" si="57"/>
        <v>0</v>
      </c>
      <c r="AJ256" s="113"/>
      <c r="AL256" s="477">
        <f t="shared" ca="1" si="58"/>
        <v>0</v>
      </c>
    </row>
    <row r="257" spans="2:38" ht="12" customHeight="1">
      <c r="B257" s="222">
        <f ca="1">Fixa!B257</f>
        <v>53251</v>
      </c>
      <c r="C257" s="223" t="str">
        <f>Fixa!C257</f>
        <v/>
      </c>
      <c r="D257" s="43" t="e">
        <f t="shared" si="50"/>
        <v>#VALUE!</v>
      </c>
      <c r="E257" s="43" t="e">
        <f t="shared" si="50"/>
        <v>#VALUE!</v>
      </c>
      <c r="F257" s="43" t="e">
        <f t="shared" si="50"/>
        <v>#VALUE!</v>
      </c>
      <c r="G257" s="43" t="e">
        <f t="shared" si="45"/>
        <v>#VALUE!</v>
      </c>
      <c r="H257" s="43" t="e">
        <f t="shared" ca="1" si="46"/>
        <v>#VALUE!</v>
      </c>
      <c r="I257" s="43">
        <f t="shared" si="47"/>
        <v>0</v>
      </c>
      <c r="J257" s="229">
        <f t="shared" si="51"/>
        <v>25</v>
      </c>
      <c r="K257" s="43">
        <f t="shared" si="52"/>
        <v>0</v>
      </c>
      <c r="M257" s="224"/>
      <c r="N257" s="225">
        <f t="shared" si="53"/>
        <v>0</v>
      </c>
      <c r="O257" s="43" t="e">
        <f t="shared" si="54"/>
        <v>#VALUE!</v>
      </c>
      <c r="P257" s="43" t="e">
        <f>ROUND(IF(Preenchimento!$G$39="Tabela Price",R257-Q257,(O256*(1+$AD$35))/($AD$28-C256)),$P$22)</f>
        <v>#VALUE!</v>
      </c>
      <c r="Q257" s="43" t="e">
        <f>IF(Preenchimento!$G$39="Tabela Price",O256*(1+$AD$35)*W257,O256*(1+'SAC Padrão_Sem Bonif'!$AD$35)*'SAC Padrão_Sem Bonif'!W257)</f>
        <v>#VALUE!</v>
      </c>
      <c r="R257" s="43" t="e">
        <f>IF(Preenchimento!$G$39="Tabela Price",IF(C257="","",((((((1+W257)^($Q$16-C256))*W257)/((1+W257)^($Q$16-C256)-1))*(O256*(1+$AD$35))))),Q257+P257)</f>
        <v>#VALUE!</v>
      </c>
      <c r="S257" s="43" t="e">
        <f t="shared" ca="1" si="48"/>
        <v>#VALUE!</v>
      </c>
      <c r="T257" s="43">
        <f t="shared" si="55"/>
        <v>0</v>
      </c>
      <c r="U257" s="226">
        <f>TRUNC(T257*Condições!$C$102,2)</f>
        <v>0</v>
      </c>
      <c r="V257" s="82">
        <f t="shared" ca="1" si="49"/>
        <v>10</v>
      </c>
      <c r="W257" s="231" t="str">
        <f t="shared" si="56"/>
        <v/>
      </c>
      <c r="X257" s="210"/>
      <c r="Y257" s="210"/>
      <c r="Z257" s="210"/>
      <c r="AI257" s="114">
        <f t="shared" si="57"/>
        <v>0</v>
      </c>
      <c r="AJ257" s="113"/>
      <c r="AL257" s="477">
        <f t="shared" ca="1" si="58"/>
        <v>0</v>
      </c>
    </row>
    <row r="258" spans="2:38" ht="12" customHeight="1">
      <c r="B258" s="222">
        <f ca="1">Fixa!B258</f>
        <v>53282</v>
      </c>
      <c r="C258" s="223" t="str">
        <f>Fixa!C258</f>
        <v/>
      </c>
      <c r="D258" s="43" t="e">
        <f t="shared" si="50"/>
        <v>#VALUE!</v>
      </c>
      <c r="E258" s="43" t="e">
        <f t="shared" si="50"/>
        <v>#VALUE!</v>
      </c>
      <c r="F258" s="43" t="e">
        <f t="shared" si="50"/>
        <v>#VALUE!</v>
      </c>
      <c r="G258" s="43" t="e">
        <f t="shared" si="45"/>
        <v>#VALUE!</v>
      </c>
      <c r="H258" s="43" t="e">
        <f t="shared" ca="1" si="46"/>
        <v>#VALUE!</v>
      </c>
      <c r="I258" s="43">
        <f t="shared" si="47"/>
        <v>0</v>
      </c>
      <c r="J258" s="229">
        <f t="shared" si="51"/>
        <v>25</v>
      </c>
      <c r="K258" s="43">
        <f t="shared" si="52"/>
        <v>0</v>
      </c>
      <c r="M258" s="224"/>
      <c r="N258" s="225">
        <f t="shared" si="53"/>
        <v>0</v>
      </c>
      <c r="O258" s="43" t="e">
        <f t="shared" si="54"/>
        <v>#VALUE!</v>
      </c>
      <c r="P258" s="43" t="e">
        <f>ROUND(IF(Preenchimento!$G$39="Tabela Price",R258-Q258,(O257*(1+$AD$35))/($AD$28-C257)),$P$22)</f>
        <v>#VALUE!</v>
      </c>
      <c r="Q258" s="43" t="e">
        <f>IF(Preenchimento!$G$39="Tabela Price",O257*(1+$AD$35)*W258,O257*(1+'SAC Padrão_Sem Bonif'!$AD$35)*'SAC Padrão_Sem Bonif'!W258)</f>
        <v>#VALUE!</v>
      </c>
      <c r="R258" s="43" t="e">
        <f>IF(Preenchimento!$G$39="Tabela Price",IF(C258="","",((((((1+W258)^($Q$16-C257))*W258)/((1+W258)^($Q$16-C257)-1))*(O257*(1+$AD$35))))),Q258+P258)</f>
        <v>#VALUE!</v>
      </c>
      <c r="S258" s="43" t="e">
        <f t="shared" ca="1" si="48"/>
        <v>#VALUE!</v>
      </c>
      <c r="T258" s="43">
        <f t="shared" si="55"/>
        <v>0</v>
      </c>
      <c r="U258" s="226">
        <f>TRUNC(T258*Condições!$C$102,2)</f>
        <v>0</v>
      </c>
      <c r="V258" s="82">
        <f t="shared" ca="1" si="49"/>
        <v>11</v>
      </c>
      <c r="W258" s="231" t="str">
        <f t="shared" si="56"/>
        <v/>
      </c>
      <c r="X258" s="210"/>
      <c r="Y258" s="210"/>
      <c r="Z258" s="210"/>
      <c r="AI258" s="114">
        <f t="shared" si="57"/>
        <v>0</v>
      </c>
      <c r="AJ258" s="113"/>
      <c r="AL258" s="477">
        <f t="shared" ca="1" si="58"/>
        <v>0</v>
      </c>
    </row>
    <row r="259" spans="2:38" ht="12" customHeight="1">
      <c r="B259" s="222">
        <f ca="1">Fixa!B259</f>
        <v>53312</v>
      </c>
      <c r="C259" s="223" t="str">
        <f>Fixa!C259</f>
        <v/>
      </c>
      <c r="D259" s="43" t="e">
        <f t="shared" si="50"/>
        <v>#VALUE!</v>
      </c>
      <c r="E259" s="43" t="e">
        <f t="shared" si="50"/>
        <v>#VALUE!</v>
      </c>
      <c r="F259" s="43" t="e">
        <f t="shared" si="50"/>
        <v>#VALUE!</v>
      </c>
      <c r="G259" s="43" t="e">
        <f t="shared" si="45"/>
        <v>#VALUE!</v>
      </c>
      <c r="H259" s="43" t="e">
        <f t="shared" ca="1" si="46"/>
        <v>#VALUE!</v>
      </c>
      <c r="I259" s="43">
        <f t="shared" si="47"/>
        <v>0</v>
      </c>
      <c r="J259" s="229">
        <f t="shared" si="51"/>
        <v>25</v>
      </c>
      <c r="K259" s="43">
        <f t="shared" si="52"/>
        <v>0</v>
      </c>
      <c r="M259" s="224"/>
      <c r="N259" s="225">
        <f t="shared" si="53"/>
        <v>0</v>
      </c>
      <c r="O259" s="43" t="e">
        <f t="shared" si="54"/>
        <v>#VALUE!</v>
      </c>
      <c r="P259" s="43" t="e">
        <f>ROUND(IF(Preenchimento!$G$39="Tabela Price",R259-Q259,(O258*(1+$AD$35))/($AD$28-C258)),$P$22)</f>
        <v>#VALUE!</v>
      </c>
      <c r="Q259" s="43" t="e">
        <f>IF(Preenchimento!$G$39="Tabela Price",O258*(1+$AD$35)*W259,O258*(1+'SAC Padrão_Sem Bonif'!$AD$35)*'SAC Padrão_Sem Bonif'!W259)</f>
        <v>#VALUE!</v>
      </c>
      <c r="R259" s="43" t="e">
        <f>IF(Preenchimento!$G$39="Tabela Price",IF(C259="","",((((((1+W259)^($Q$16-C258))*W259)/((1+W259)^($Q$16-C258)-1))*(O258*(1+$AD$35))))),Q259+P259)</f>
        <v>#VALUE!</v>
      </c>
      <c r="S259" s="43" t="e">
        <f t="shared" ca="1" si="48"/>
        <v>#VALUE!</v>
      </c>
      <c r="T259" s="43">
        <f t="shared" si="55"/>
        <v>0</v>
      </c>
      <c r="U259" s="226">
        <f>TRUNC(T259*Condições!$C$102,2)</f>
        <v>0</v>
      </c>
      <c r="V259" s="82">
        <f t="shared" ca="1" si="49"/>
        <v>12</v>
      </c>
      <c r="W259" s="231" t="str">
        <f t="shared" si="56"/>
        <v/>
      </c>
      <c r="X259" s="210"/>
      <c r="Y259" s="210"/>
      <c r="Z259" s="210"/>
      <c r="AI259" s="114">
        <f t="shared" si="57"/>
        <v>0</v>
      </c>
      <c r="AJ259" s="113"/>
      <c r="AL259" s="477">
        <f t="shared" ca="1" si="58"/>
        <v>0</v>
      </c>
    </row>
    <row r="260" spans="2:38" ht="12" customHeight="1">
      <c r="B260" s="222">
        <f ca="1">Fixa!B260</f>
        <v>53343</v>
      </c>
      <c r="C260" s="223" t="str">
        <f>Fixa!C260</f>
        <v/>
      </c>
      <c r="D260" s="43" t="e">
        <f t="shared" si="50"/>
        <v>#VALUE!</v>
      </c>
      <c r="E260" s="43" t="e">
        <f t="shared" si="50"/>
        <v>#VALUE!</v>
      </c>
      <c r="F260" s="43" t="e">
        <f t="shared" si="50"/>
        <v>#VALUE!</v>
      </c>
      <c r="G260" s="43" t="e">
        <f t="shared" si="45"/>
        <v>#VALUE!</v>
      </c>
      <c r="H260" s="43" t="e">
        <f t="shared" ca="1" si="46"/>
        <v>#VALUE!</v>
      </c>
      <c r="I260" s="43">
        <f t="shared" si="47"/>
        <v>0</v>
      </c>
      <c r="J260" s="229">
        <f t="shared" si="51"/>
        <v>25</v>
      </c>
      <c r="K260" s="43">
        <f t="shared" si="52"/>
        <v>0</v>
      </c>
      <c r="M260" s="224"/>
      <c r="N260" s="225">
        <f t="shared" si="53"/>
        <v>0</v>
      </c>
      <c r="O260" s="43" t="e">
        <f t="shared" si="54"/>
        <v>#VALUE!</v>
      </c>
      <c r="P260" s="43" t="e">
        <f>ROUND(IF(Preenchimento!$G$39="Tabela Price",R260-Q260,(O259*(1+$AD$35))/($AD$28-C259)),$P$22)</f>
        <v>#VALUE!</v>
      </c>
      <c r="Q260" s="43" t="e">
        <f>IF(Preenchimento!$G$39="Tabela Price",O259*(1+$AD$35)*W260,O259*(1+'SAC Padrão_Sem Bonif'!$AD$35)*'SAC Padrão_Sem Bonif'!W260)</f>
        <v>#VALUE!</v>
      </c>
      <c r="R260" s="43" t="e">
        <f>IF(Preenchimento!$G$39="Tabela Price",IF(C260="","",((((((1+W260)^($Q$16-C259))*W260)/((1+W260)^($Q$16-C259)-1))*(O259*(1+$AD$35))))),Q260+P260)</f>
        <v>#VALUE!</v>
      </c>
      <c r="S260" s="43" t="e">
        <f t="shared" ca="1" si="48"/>
        <v>#VALUE!</v>
      </c>
      <c r="T260" s="43">
        <f t="shared" si="55"/>
        <v>0</v>
      </c>
      <c r="U260" s="226">
        <f>TRUNC(T260*Condições!$C$102,2)</f>
        <v>0</v>
      </c>
      <c r="V260" s="82">
        <f t="shared" ca="1" si="49"/>
        <v>1</v>
      </c>
      <c r="W260" s="231" t="str">
        <f t="shared" si="56"/>
        <v/>
      </c>
      <c r="X260" s="210"/>
      <c r="Y260" s="210"/>
      <c r="Z260" s="210"/>
      <c r="AI260" s="114">
        <f t="shared" si="57"/>
        <v>0</v>
      </c>
      <c r="AJ260" s="113"/>
      <c r="AL260" s="477">
        <f t="shared" ca="1" si="58"/>
        <v>0</v>
      </c>
    </row>
    <row r="261" spans="2:38" ht="12" customHeight="1">
      <c r="B261" s="222">
        <f ca="1">Fixa!B261</f>
        <v>53374</v>
      </c>
      <c r="C261" s="223" t="str">
        <f>Fixa!C261</f>
        <v/>
      </c>
      <c r="D261" s="43" t="e">
        <f t="shared" si="50"/>
        <v>#VALUE!</v>
      </c>
      <c r="E261" s="43" t="e">
        <f t="shared" si="50"/>
        <v>#VALUE!</v>
      </c>
      <c r="F261" s="43" t="e">
        <f t="shared" si="50"/>
        <v>#VALUE!</v>
      </c>
      <c r="G261" s="43" t="e">
        <f t="shared" si="45"/>
        <v>#VALUE!</v>
      </c>
      <c r="H261" s="43" t="e">
        <f t="shared" ca="1" si="46"/>
        <v>#VALUE!</v>
      </c>
      <c r="I261" s="43">
        <f t="shared" si="47"/>
        <v>0</v>
      </c>
      <c r="J261" s="229">
        <f t="shared" si="51"/>
        <v>25</v>
      </c>
      <c r="K261" s="43">
        <f t="shared" si="52"/>
        <v>0</v>
      </c>
      <c r="M261" s="224"/>
      <c r="N261" s="225">
        <f t="shared" si="53"/>
        <v>0</v>
      </c>
      <c r="O261" s="43" t="e">
        <f t="shared" si="54"/>
        <v>#VALUE!</v>
      </c>
      <c r="P261" s="43" t="e">
        <f>ROUND(IF(Preenchimento!$G$39="Tabela Price",R261-Q261,(O260*(1+$AD$35))/($AD$28-C260)),$P$22)</f>
        <v>#VALUE!</v>
      </c>
      <c r="Q261" s="43" t="e">
        <f>IF(Preenchimento!$G$39="Tabela Price",O260*(1+$AD$35)*W261,O260*(1+'SAC Padrão_Sem Bonif'!$AD$35)*'SAC Padrão_Sem Bonif'!W261)</f>
        <v>#VALUE!</v>
      </c>
      <c r="R261" s="43" t="e">
        <f>IF(Preenchimento!$G$39="Tabela Price",IF(C261="","",((((((1+W261)^($Q$16-C260))*W261)/((1+W261)^($Q$16-C260)-1))*(O260*(1+$AD$35))))),Q261+P261)</f>
        <v>#VALUE!</v>
      </c>
      <c r="S261" s="43" t="e">
        <f t="shared" ca="1" si="48"/>
        <v>#VALUE!</v>
      </c>
      <c r="T261" s="43">
        <f t="shared" si="55"/>
        <v>0</v>
      </c>
      <c r="U261" s="226">
        <f>TRUNC(T261*Condições!$C$102,2)</f>
        <v>0</v>
      </c>
      <c r="V261" s="82">
        <f t="shared" ca="1" si="49"/>
        <v>2</v>
      </c>
      <c r="W261" s="231" t="str">
        <f t="shared" si="56"/>
        <v/>
      </c>
      <c r="X261" s="210"/>
      <c r="Y261" s="210"/>
      <c r="Z261" s="210"/>
      <c r="AI261" s="114">
        <f t="shared" si="57"/>
        <v>0</v>
      </c>
      <c r="AJ261" s="113"/>
      <c r="AL261" s="477">
        <f t="shared" ca="1" si="58"/>
        <v>0</v>
      </c>
    </row>
    <row r="262" spans="2:38" ht="12" customHeight="1">
      <c r="B262" s="222">
        <f ca="1">Fixa!B262</f>
        <v>53402</v>
      </c>
      <c r="C262" s="223" t="str">
        <f>Fixa!C262</f>
        <v/>
      </c>
      <c r="D262" s="43" t="e">
        <f t="shared" si="50"/>
        <v>#VALUE!</v>
      </c>
      <c r="E262" s="43" t="e">
        <f t="shared" si="50"/>
        <v>#VALUE!</v>
      </c>
      <c r="F262" s="43" t="e">
        <f t="shared" si="50"/>
        <v>#VALUE!</v>
      </c>
      <c r="G262" s="43" t="e">
        <f t="shared" si="45"/>
        <v>#VALUE!</v>
      </c>
      <c r="H262" s="43" t="e">
        <f t="shared" ca="1" si="46"/>
        <v>#VALUE!</v>
      </c>
      <c r="I262" s="43">
        <f t="shared" si="47"/>
        <v>0</v>
      </c>
      <c r="J262" s="229">
        <f t="shared" si="51"/>
        <v>25</v>
      </c>
      <c r="K262" s="43">
        <f t="shared" si="52"/>
        <v>0</v>
      </c>
      <c r="M262" s="224"/>
      <c r="N262" s="225">
        <f t="shared" si="53"/>
        <v>0</v>
      </c>
      <c r="O262" s="43" t="e">
        <f t="shared" si="54"/>
        <v>#VALUE!</v>
      </c>
      <c r="P262" s="43" t="e">
        <f>ROUND(IF(Preenchimento!$G$39="Tabela Price",R262-Q262,(O261*(1+$AD$35))/($AD$28-C261)),$P$22)</f>
        <v>#VALUE!</v>
      </c>
      <c r="Q262" s="43" t="e">
        <f>IF(Preenchimento!$G$39="Tabela Price",O261*(1+$AD$35)*W262,O261*(1+'SAC Padrão_Sem Bonif'!$AD$35)*'SAC Padrão_Sem Bonif'!W262)</f>
        <v>#VALUE!</v>
      </c>
      <c r="R262" s="43" t="e">
        <f>IF(Preenchimento!$G$39="Tabela Price",IF(C262="","",((((((1+W262)^($Q$16-C261))*W262)/((1+W262)^($Q$16-C261)-1))*(O261*(1+$AD$35))))),Q262+P262)</f>
        <v>#VALUE!</v>
      </c>
      <c r="S262" s="43" t="e">
        <f t="shared" ca="1" si="48"/>
        <v>#VALUE!</v>
      </c>
      <c r="T262" s="43">
        <f t="shared" si="55"/>
        <v>0</v>
      </c>
      <c r="U262" s="226">
        <f>TRUNC(T262*Condições!$C$102,2)</f>
        <v>0</v>
      </c>
      <c r="V262" s="82">
        <f t="shared" ca="1" si="49"/>
        <v>3</v>
      </c>
      <c r="W262" s="231" t="str">
        <f t="shared" si="56"/>
        <v/>
      </c>
      <c r="X262" s="210"/>
      <c r="Y262" s="210"/>
      <c r="Z262" s="210"/>
      <c r="AI262" s="114">
        <f t="shared" si="57"/>
        <v>0</v>
      </c>
      <c r="AJ262" s="113"/>
      <c r="AL262" s="477">
        <f t="shared" ca="1" si="58"/>
        <v>0</v>
      </c>
    </row>
    <row r="263" spans="2:38" ht="12" customHeight="1">
      <c r="B263" s="222">
        <f ca="1">Fixa!B263</f>
        <v>53433</v>
      </c>
      <c r="C263" s="223" t="str">
        <f>Fixa!C263</f>
        <v/>
      </c>
      <c r="D263" s="43" t="e">
        <f t="shared" si="50"/>
        <v>#VALUE!</v>
      </c>
      <c r="E263" s="43" t="e">
        <f t="shared" si="50"/>
        <v>#VALUE!</v>
      </c>
      <c r="F263" s="43" t="e">
        <f t="shared" si="50"/>
        <v>#VALUE!</v>
      </c>
      <c r="G263" s="43" t="e">
        <f t="shared" si="45"/>
        <v>#VALUE!</v>
      </c>
      <c r="H263" s="43" t="e">
        <f t="shared" ca="1" si="46"/>
        <v>#VALUE!</v>
      </c>
      <c r="I263" s="43">
        <f t="shared" si="47"/>
        <v>0</v>
      </c>
      <c r="J263" s="229">
        <f t="shared" si="51"/>
        <v>25</v>
      </c>
      <c r="K263" s="43">
        <f t="shared" si="52"/>
        <v>0</v>
      </c>
      <c r="M263" s="224"/>
      <c r="N263" s="225">
        <f t="shared" si="53"/>
        <v>0</v>
      </c>
      <c r="O263" s="43" t="e">
        <f t="shared" si="54"/>
        <v>#VALUE!</v>
      </c>
      <c r="P263" s="43" t="e">
        <f>ROUND(IF(Preenchimento!$G$39="Tabela Price",R263-Q263,(O262*(1+$AD$35))/($AD$28-C262)),$P$22)</f>
        <v>#VALUE!</v>
      </c>
      <c r="Q263" s="43" t="e">
        <f>IF(Preenchimento!$G$39="Tabela Price",O262*(1+$AD$35)*W263,O262*(1+'SAC Padrão_Sem Bonif'!$AD$35)*'SAC Padrão_Sem Bonif'!W263)</f>
        <v>#VALUE!</v>
      </c>
      <c r="R263" s="43" t="e">
        <f>IF(Preenchimento!$G$39="Tabela Price",IF(C263="","",((((((1+W263)^($Q$16-C262))*W263)/((1+W263)^($Q$16-C262)-1))*(O262*(1+$AD$35))))),Q263+P263)</f>
        <v>#VALUE!</v>
      </c>
      <c r="S263" s="43" t="e">
        <f t="shared" ca="1" si="48"/>
        <v>#VALUE!</v>
      </c>
      <c r="T263" s="43">
        <f t="shared" si="55"/>
        <v>0</v>
      </c>
      <c r="U263" s="226">
        <f>TRUNC(T263*Condições!$C$102,2)</f>
        <v>0</v>
      </c>
      <c r="V263" s="82">
        <f t="shared" ca="1" si="49"/>
        <v>4</v>
      </c>
      <c r="W263" s="231" t="str">
        <f t="shared" si="56"/>
        <v/>
      </c>
      <c r="X263" s="210"/>
      <c r="Y263" s="210"/>
      <c r="Z263" s="210"/>
      <c r="AI263" s="114">
        <f t="shared" si="57"/>
        <v>0</v>
      </c>
      <c r="AJ263" s="113"/>
      <c r="AL263" s="477">
        <f t="shared" ca="1" si="58"/>
        <v>0</v>
      </c>
    </row>
    <row r="264" spans="2:38" ht="12" customHeight="1">
      <c r="B264" s="222">
        <f ca="1">Fixa!B264</f>
        <v>53463</v>
      </c>
      <c r="C264" s="223" t="str">
        <f>Fixa!C264</f>
        <v/>
      </c>
      <c r="D264" s="43" t="e">
        <f t="shared" si="50"/>
        <v>#VALUE!</v>
      </c>
      <c r="E264" s="43" t="e">
        <f t="shared" si="50"/>
        <v>#VALUE!</v>
      </c>
      <c r="F264" s="43" t="e">
        <f t="shared" si="50"/>
        <v>#VALUE!</v>
      </c>
      <c r="G264" s="43" t="e">
        <f t="shared" si="45"/>
        <v>#VALUE!</v>
      </c>
      <c r="H264" s="43" t="e">
        <f t="shared" ca="1" si="46"/>
        <v>#VALUE!</v>
      </c>
      <c r="I264" s="43">
        <f t="shared" si="47"/>
        <v>0</v>
      </c>
      <c r="J264" s="229">
        <f t="shared" si="51"/>
        <v>25</v>
      </c>
      <c r="K264" s="43">
        <f t="shared" si="52"/>
        <v>0</v>
      </c>
      <c r="M264" s="224"/>
      <c r="N264" s="225">
        <f t="shared" si="53"/>
        <v>0</v>
      </c>
      <c r="O264" s="43" t="e">
        <f t="shared" si="54"/>
        <v>#VALUE!</v>
      </c>
      <c r="P264" s="43" t="e">
        <f>ROUND(IF(Preenchimento!$G$39="Tabela Price",R264-Q264,(O263*(1+$AD$35))/($AD$28-C263)),$P$22)</f>
        <v>#VALUE!</v>
      </c>
      <c r="Q264" s="43" t="e">
        <f>IF(Preenchimento!$G$39="Tabela Price",O263*(1+$AD$35)*W264,O263*(1+'SAC Padrão_Sem Bonif'!$AD$35)*'SAC Padrão_Sem Bonif'!W264)</f>
        <v>#VALUE!</v>
      </c>
      <c r="R264" s="43" t="e">
        <f>IF(Preenchimento!$G$39="Tabela Price",IF(C264="","",((((((1+W264)^($Q$16-C263))*W264)/((1+W264)^($Q$16-C263)-1))*(O263*(1+$AD$35))))),Q264+P264)</f>
        <v>#VALUE!</v>
      </c>
      <c r="S264" s="43" t="e">
        <f t="shared" ca="1" si="48"/>
        <v>#VALUE!</v>
      </c>
      <c r="T264" s="43">
        <f t="shared" si="55"/>
        <v>0</v>
      </c>
      <c r="U264" s="226">
        <f>TRUNC(T264*Condições!$C$102,2)</f>
        <v>0</v>
      </c>
      <c r="V264" s="82">
        <f t="shared" ca="1" si="49"/>
        <v>5</v>
      </c>
      <c r="W264" s="231" t="str">
        <f t="shared" si="56"/>
        <v/>
      </c>
      <c r="X264" s="210"/>
      <c r="Y264" s="210"/>
      <c r="Z264" s="210"/>
      <c r="AI264" s="114">
        <f t="shared" si="57"/>
        <v>0</v>
      </c>
      <c r="AJ264" s="113"/>
      <c r="AL264" s="477">
        <f t="shared" ca="1" si="58"/>
        <v>0</v>
      </c>
    </row>
    <row r="265" spans="2:38" ht="12" customHeight="1">
      <c r="B265" s="222">
        <f ca="1">Fixa!B265</f>
        <v>53494</v>
      </c>
      <c r="C265" s="223" t="str">
        <f>Fixa!C265</f>
        <v/>
      </c>
      <c r="D265" s="43" t="e">
        <f t="shared" si="50"/>
        <v>#VALUE!</v>
      </c>
      <c r="E265" s="43" t="e">
        <f t="shared" si="50"/>
        <v>#VALUE!</v>
      </c>
      <c r="F265" s="43" t="e">
        <f t="shared" si="50"/>
        <v>#VALUE!</v>
      </c>
      <c r="G265" s="43" t="e">
        <f t="shared" si="45"/>
        <v>#VALUE!</v>
      </c>
      <c r="H265" s="43" t="e">
        <f t="shared" ca="1" si="46"/>
        <v>#VALUE!</v>
      </c>
      <c r="I265" s="43">
        <f t="shared" si="47"/>
        <v>0</v>
      </c>
      <c r="J265" s="229">
        <f t="shared" si="51"/>
        <v>25</v>
      </c>
      <c r="K265" s="43">
        <f t="shared" si="52"/>
        <v>0</v>
      </c>
      <c r="M265" s="224"/>
      <c r="N265" s="225">
        <f t="shared" si="53"/>
        <v>0</v>
      </c>
      <c r="O265" s="43" t="e">
        <f t="shared" si="54"/>
        <v>#VALUE!</v>
      </c>
      <c r="P265" s="43" t="e">
        <f>ROUND(IF(Preenchimento!$G$39="Tabela Price",R265-Q265,(O264*(1+$AD$35))/($AD$28-C264)),$P$22)</f>
        <v>#VALUE!</v>
      </c>
      <c r="Q265" s="43" t="e">
        <f>IF(Preenchimento!$G$39="Tabela Price",O264*(1+$AD$35)*W265,O264*(1+'SAC Padrão_Sem Bonif'!$AD$35)*'SAC Padrão_Sem Bonif'!W265)</f>
        <v>#VALUE!</v>
      </c>
      <c r="R265" s="43" t="e">
        <f>IF(Preenchimento!$G$39="Tabela Price",IF(C265="","",((((((1+W265)^($Q$16-C264))*W265)/((1+W265)^($Q$16-C264)-1))*(O264*(1+$AD$35))))),Q265+P265)</f>
        <v>#VALUE!</v>
      </c>
      <c r="S265" s="43" t="e">
        <f t="shared" ca="1" si="48"/>
        <v>#VALUE!</v>
      </c>
      <c r="T265" s="43">
        <f t="shared" si="55"/>
        <v>0</v>
      </c>
      <c r="U265" s="226">
        <f>TRUNC(T265*Condições!$C$102,2)</f>
        <v>0</v>
      </c>
      <c r="V265" s="82">
        <f t="shared" ca="1" si="49"/>
        <v>6</v>
      </c>
      <c r="W265" s="231" t="str">
        <f t="shared" si="56"/>
        <v/>
      </c>
      <c r="X265" s="210"/>
      <c r="Y265" s="210"/>
      <c r="Z265" s="210"/>
      <c r="AI265" s="114">
        <f t="shared" si="57"/>
        <v>0</v>
      </c>
      <c r="AJ265" s="113"/>
      <c r="AL265" s="477">
        <f t="shared" ca="1" si="58"/>
        <v>0</v>
      </c>
    </row>
    <row r="266" spans="2:38">
      <c r="B266" s="222">
        <f ca="1">Fixa!B266</f>
        <v>53524</v>
      </c>
      <c r="C266" s="223" t="str">
        <f>Fixa!C266</f>
        <v/>
      </c>
      <c r="D266" s="43" t="e">
        <f t="shared" si="50"/>
        <v>#VALUE!</v>
      </c>
      <c r="E266" s="43" t="e">
        <f t="shared" si="50"/>
        <v>#VALUE!</v>
      </c>
      <c r="F266" s="43" t="e">
        <f t="shared" si="50"/>
        <v>#VALUE!</v>
      </c>
      <c r="G266" s="43" t="e">
        <f t="shared" si="45"/>
        <v>#VALUE!</v>
      </c>
      <c r="H266" s="43" t="e">
        <f t="shared" ca="1" si="46"/>
        <v>#VALUE!</v>
      </c>
      <c r="I266" s="43">
        <f t="shared" si="47"/>
        <v>0</v>
      </c>
      <c r="J266" s="229">
        <f t="shared" si="51"/>
        <v>25</v>
      </c>
      <c r="K266" s="43">
        <f t="shared" si="52"/>
        <v>0</v>
      </c>
      <c r="M266" s="224"/>
      <c r="N266" s="225">
        <f t="shared" si="53"/>
        <v>0</v>
      </c>
      <c r="O266" s="43" t="e">
        <f t="shared" si="54"/>
        <v>#VALUE!</v>
      </c>
      <c r="P266" s="43" t="e">
        <f>ROUND(IF(Preenchimento!$G$39="Tabela Price",R266-Q266,(O265*(1+$AD$35))/($AD$28-C265)),$P$22)</f>
        <v>#VALUE!</v>
      </c>
      <c r="Q266" s="43" t="e">
        <f>IF(Preenchimento!$G$39="Tabela Price",O265*(1+$AD$35)*W266,O265*(1+'SAC Padrão_Sem Bonif'!$AD$35)*'SAC Padrão_Sem Bonif'!W266)</f>
        <v>#VALUE!</v>
      </c>
      <c r="R266" s="43" t="e">
        <f>IF(Preenchimento!$G$39="Tabela Price",IF(C266="","",((((((1+W266)^($Q$16-C265))*W266)/((1+W266)^($Q$16-C265)-1))*(O265*(1+$AD$35))))),Q266+P266)</f>
        <v>#VALUE!</v>
      </c>
      <c r="S266" s="43" t="e">
        <f t="shared" ca="1" si="48"/>
        <v>#VALUE!</v>
      </c>
      <c r="T266" s="43">
        <f t="shared" si="55"/>
        <v>0</v>
      </c>
      <c r="U266" s="226">
        <f>TRUNC(T266*Condições!$C$102,2)</f>
        <v>0</v>
      </c>
      <c r="V266" s="82">
        <f t="shared" ca="1" si="49"/>
        <v>7</v>
      </c>
      <c r="W266" s="231" t="str">
        <f t="shared" si="56"/>
        <v/>
      </c>
      <c r="X266" s="210"/>
      <c r="Y266" s="210"/>
      <c r="Z266" s="210"/>
      <c r="AI266" s="114">
        <f t="shared" si="57"/>
        <v>0</v>
      </c>
      <c r="AJ266" s="113"/>
      <c r="AL266" s="477">
        <f t="shared" ca="1" si="58"/>
        <v>0</v>
      </c>
    </row>
    <row r="267" spans="2:38">
      <c r="B267" s="222">
        <f ca="1">Fixa!B267</f>
        <v>53555</v>
      </c>
      <c r="C267" s="223" t="str">
        <f>Fixa!C267</f>
        <v/>
      </c>
      <c r="D267" s="43" t="e">
        <f t="shared" si="50"/>
        <v>#VALUE!</v>
      </c>
      <c r="E267" s="43" t="e">
        <f t="shared" si="50"/>
        <v>#VALUE!</v>
      </c>
      <c r="F267" s="43" t="e">
        <f t="shared" si="50"/>
        <v>#VALUE!</v>
      </c>
      <c r="G267" s="43" t="e">
        <f t="shared" si="45"/>
        <v>#VALUE!</v>
      </c>
      <c r="H267" s="43" t="e">
        <f t="shared" ca="1" si="46"/>
        <v>#VALUE!</v>
      </c>
      <c r="I267" s="43">
        <f t="shared" si="47"/>
        <v>0</v>
      </c>
      <c r="J267" s="229">
        <f t="shared" si="51"/>
        <v>25</v>
      </c>
      <c r="K267" s="43">
        <f t="shared" si="52"/>
        <v>0</v>
      </c>
      <c r="M267" s="224"/>
      <c r="N267" s="225">
        <f t="shared" si="53"/>
        <v>0</v>
      </c>
      <c r="O267" s="43" t="e">
        <f t="shared" si="54"/>
        <v>#VALUE!</v>
      </c>
      <c r="P267" s="43" t="e">
        <f>ROUND(IF(Preenchimento!$G$39="Tabela Price",R267-Q267,(O266*(1+$AD$35))/($AD$28-C266)),$P$22)</f>
        <v>#VALUE!</v>
      </c>
      <c r="Q267" s="43" t="e">
        <f>IF(Preenchimento!$G$39="Tabela Price",O266*(1+$AD$35)*W267,O266*(1+'SAC Padrão_Sem Bonif'!$AD$35)*'SAC Padrão_Sem Bonif'!W267)</f>
        <v>#VALUE!</v>
      </c>
      <c r="R267" s="43" t="e">
        <f>IF(Preenchimento!$G$39="Tabela Price",IF(C267="","",((((((1+W267)^($Q$16-C266))*W267)/((1+W267)^($Q$16-C266)-1))*(O266*(1+$AD$35))))),Q267+P267)</f>
        <v>#VALUE!</v>
      </c>
      <c r="S267" s="43" t="e">
        <f t="shared" ca="1" si="48"/>
        <v>#VALUE!</v>
      </c>
      <c r="T267" s="43">
        <f t="shared" si="55"/>
        <v>0</v>
      </c>
      <c r="U267" s="226">
        <f>TRUNC(T267*Condições!$C$102,2)</f>
        <v>0</v>
      </c>
      <c r="V267" s="82">
        <f t="shared" ca="1" si="49"/>
        <v>8</v>
      </c>
      <c r="W267" s="231" t="str">
        <f t="shared" si="56"/>
        <v/>
      </c>
      <c r="X267" s="210"/>
      <c r="Y267" s="210"/>
      <c r="Z267" s="210"/>
      <c r="AI267" s="114">
        <f t="shared" si="57"/>
        <v>0</v>
      </c>
      <c r="AJ267" s="113"/>
      <c r="AL267" s="477">
        <f t="shared" ca="1" si="58"/>
        <v>0</v>
      </c>
    </row>
    <row r="268" spans="2:38">
      <c r="B268" s="222">
        <f ca="1">Fixa!B268</f>
        <v>53586</v>
      </c>
      <c r="C268" s="223" t="str">
        <f>Fixa!C268</f>
        <v/>
      </c>
      <c r="D268" s="43" t="e">
        <f t="shared" si="50"/>
        <v>#VALUE!</v>
      </c>
      <c r="E268" s="43" t="e">
        <f t="shared" si="50"/>
        <v>#VALUE!</v>
      </c>
      <c r="F268" s="43" t="e">
        <f t="shared" si="50"/>
        <v>#VALUE!</v>
      </c>
      <c r="G268" s="43" t="e">
        <f t="shared" si="45"/>
        <v>#VALUE!</v>
      </c>
      <c r="H268" s="43" t="e">
        <f t="shared" ca="1" si="46"/>
        <v>#VALUE!</v>
      </c>
      <c r="I268" s="43">
        <f t="shared" si="47"/>
        <v>0</v>
      </c>
      <c r="J268" s="229">
        <f t="shared" si="51"/>
        <v>25</v>
      </c>
      <c r="K268" s="43">
        <f t="shared" si="52"/>
        <v>0</v>
      </c>
      <c r="L268" s="12"/>
      <c r="M268" s="224"/>
      <c r="N268" s="225">
        <f t="shared" si="53"/>
        <v>0</v>
      </c>
      <c r="O268" s="43" t="e">
        <f t="shared" si="54"/>
        <v>#VALUE!</v>
      </c>
      <c r="P268" s="43" t="e">
        <f>ROUND(IF(Preenchimento!$G$39="Tabela Price",R268-Q268,(O267*(1+$AD$35))/($AD$28-C267)),$P$22)</f>
        <v>#VALUE!</v>
      </c>
      <c r="Q268" s="43" t="e">
        <f>IF(Preenchimento!$G$39="Tabela Price",O267*(1+$AD$35)*W268,O267*(1+'SAC Padrão_Sem Bonif'!$AD$35)*'SAC Padrão_Sem Bonif'!W268)</f>
        <v>#VALUE!</v>
      </c>
      <c r="R268" s="43" t="e">
        <f>IF(Preenchimento!$G$39="Tabela Price",IF(C268="","",((((((1+W268)^($Q$16-C267))*W268)/((1+W268)^($Q$16-C267)-1))*(O267*(1+$AD$35))))),Q268+P268)</f>
        <v>#VALUE!</v>
      </c>
      <c r="S268" s="43" t="e">
        <f t="shared" ca="1" si="48"/>
        <v>#VALUE!</v>
      </c>
      <c r="T268" s="43">
        <f t="shared" si="55"/>
        <v>0</v>
      </c>
      <c r="U268" s="226">
        <f>TRUNC(T268*Condições!$C$102,2)</f>
        <v>0</v>
      </c>
      <c r="V268" s="82">
        <f t="shared" ca="1" si="49"/>
        <v>9</v>
      </c>
      <c r="W268" s="231" t="str">
        <f t="shared" si="56"/>
        <v/>
      </c>
      <c r="X268" s="210"/>
      <c r="Y268" s="210"/>
      <c r="Z268" s="210"/>
      <c r="AI268" s="114">
        <f t="shared" si="57"/>
        <v>0</v>
      </c>
      <c r="AJ268" s="113"/>
      <c r="AL268" s="477">
        <f t="shared" ca="1" si="58"/>
        <v>0</v>
      </c>
    </row>
    <row r="269" spans="2:38">
      <c r="B269" s="222">
        <f ca="1">Fixa!B269</f>
        <v>53616</v>
      </c>
      <c r="C269" s="223" t="str">
        <f>Fixa!C269</f>
        <v/>
      </c>
      <c r="D269" s="43" t="e">
        <f t="shared" si="50"/>
        <v>#VALUE!</v>
      </c>
      <c r="E269" s="43" t="e">
        <f t="shared" si="50"/>
        <v>#VALUE!</v>
      </c>
      <c r="F269" s="43" t="e">
        <f t="shared" si="50"/>
        <v>#VALUE!</v>
      </c>
      <c r="G269" s="43" t="e">
        <f t="shared" si="45"/>
        <v>#VALUE!</v>
      </c>
      <c r="H269" s="43" t="e">
        <f t="shared" ca="1" si="46"/>
        <v>#VALUE!</v>
      </c>
      <c r="I269" s="43">
        <f t="shared" si="47"/>
        <v>0</v>
      </c>
      <c r="J269" s="229">
        <f t="shared" si="51"/>
        <v>25</v>
      </c>
      <c r="K269" s="43">
        <f t="shared" si="52"/>
        <v>0</v>
      </c>
      <c r="L269" s="12"/>
      <c r="M269" s="224"/>
      <c r="N269" s="225">
        <f t="shared" si="53"/>
        <v>0</v>
      </c>
      <c r="O269" s="43" t="e">
        <f t="shared" si="54"/>
        <v>#VALUE!</v>
      </c>
      <c r="P269" s="43" t="e">
        <f>ROUND(IF(Preenchimento!$G$39="Tabela Price",R269-Q269,(O268*(1+$AD$35))/($AD$28-C268)),$P$22)</f>
        <v>#VALUE!</v>
      </c>
      <c r="Q269" s="43" t="e">
        <f>IF(Preenchimento!$G$39="Tabela Price",O268*(1+$AD$35)*W269,O268*(1+'SAC Padrão_Sem Bonif'!$AD$35)*'SAC Padrão_Sem Bonif'!W269)</f>
        <v>#VALUE!</v>
      </c>
      <c r="R269" s="43" t="e">
        <f>IF(Preenchimento!$G$39="Tabela Price",IF(C269="","",((((((1+W269)^($Q$16-C268))*W269)/((1+W269)^($Q$16-C268)-1))*(O268*(1+$AD$35))))),Q269+P269)</f>
        <v>#VALUE!</v>
      </c>
      <c r="S269" s="43" t="e">
        <f t="shared" ca="1" si="48"/>
        <v>#VALUE!</v>
      </c>
      <c r="T269" s="43">
        <f t="shared" si="55"/>
        <v>0</v>
      </c>
      <c r="U269" s="226">
        <f>TRUNC(T269*Condições!$C$102,2)</f>
        <v>0</v>
      </c>
      <c r="V269" s="82">
        <f t="shared" ca="1" si="49"/>
        <v>10</v>
      </c>
      <c r="W269" s="231" t="str">
        <f t="shared" si="56"/>
        <v/>
      </c>
      <c r="X269" s="210"/>
      <c r="Y269" s="210"/>
      <c r="Z269" s="210"/>
      <c r="AI269" s="114">
        <f t="shared" si="57"/>
        <v>0</v>
      </c>
      <c r="AJ269" s="113"/>
      <c r="AL269" s="477">
        <f t="shared" ca="1" si="58"/>
        <v>0</v>
      </c>
    </row>
    <row r="270" spans="2:38">
      <c r="B270" s="222">
        <f ca="1">Fixa!B270</f>
        <v>53647</v>
      </c>
      <c r="C270" s="223" t="str">
        <f>Fixa!C270</f>
        <v/>
      </c>
      <c r="D270" s="43" t="e">
        <f t="shared" si="50"/>
        <v>#VALUE!</v>
      </c>
      <c r="E270" s="43" t="e">
        <f t="shared" si="50"/>
        <v>#VALUE!</v>
      </c>
      <c r="F270" s="43" t="e">
        <f t="shared" si="50"/>
        <v>#VALUE!</v>
      </c>
      <c r="G270" s="43" t="e">
        <f t="shared" si="45"/>
        <v>#VALUE!</v>
      </c>
      <c r="H270" s="43" t="e">
        <f t="shared" ca="1" si="46"/>
        <v>#VALUE!</v>
      </c>
      <c r="I270" s="43">
        <f t="shared" si="47"/>
        <v>0</v>
      </c>
      <c r="J270" s="229">
        <f t="shared" si="51"/>
        <v>25</v>
      </c>
      <c r="K270" s="43">
        <f t="shared" si="52"/>
        <v>0</v>
      </c>
      <c r="L270" s="12"/>
      <c r="M270" s="224"/>
      <c r="N270" s="225">
        <f t="shared" si="53"/>
        <v>0</v>
      </c>
      <c r="O270" s="43" t="e">
        <f t="shared" si="54"/>
        <v>#VALUE!</v>
      </c>
      <c r="P270" s="43" t="e">
        <f>ROUND(IF(Preenchimento!$G$39="Tabela Price",R270-Q270,(O269*(1+$AD$35))/($AD$28-C269)),$P$22)</f>
        <v>#VALUE!</v>
      </c>
      <c r="Q270" s="43" t="e">
        <f>IF(Preenchimento!$G$39="Tabela Price",O269*(1+$AD$35)*W270,O269*(1+'SAC Padrão_Sem Bonif'!$AD$35)*'SAC Padrão_Sem Bonif'!W270)</f>
        <v>#VALUE!</v>
      </c>
      <c r="R270" s="43" t="e">
        <f>IF(Preenchimento!$G$39="Tabela Price",IF(C270="","",((((((1+W270)^($Q$16-C269))*W270)/((1+W270)^($Q$16-C269)-1))*(O269*(1+$AD$35))))),Q270+P270)</f>
        <v>#VALUE!</v>
      </c>
      <c r="S270" s="43" t="e">
        <f t="shared" ca="1" si="48"/>
        <v>#VALUE!</v>
      </c>
      <c r="T270" s="43">
        <f t="shared" si="55"/>
        <v>0</v>
      </c>
      <c r="U270" s="226">
        <f>TRUNC(T270*Condições!$C$102,2)</f>
        <v>0</v>
      </c>
      <c r="V270" s="82">
        <f t="shared" ca="1" si="49"/>
        <v>11</v>
      </c>
      <c r="W270" s="231" t="str">
        <f t="shared" si="56"/>
        <v/>
      </c>
      <c r="X270" s="210"/>
      <c r="Y270" s="210"/>
      <c r="Z270" s="210"/>
      <c r="AI270" s="114">
        <f t="shared" si="57"/>
        <v>0</v>
      </c>
      <c r="AJ270" s="113"/>
      <c r="AL270" s="477">
        <f t="shared" ca="1" si="58"/>
        <v>0</v>
      </c>
    </row>
    <row r="271" spans="2:38">
      <c r="B271" s="222">
        <f ca="1">Fixa!B271</f>
        <v>53677</v>
      </c>
      <c r="C271" s="223" t="str">
        <f>Fixa!C271</f>
        <v/>
      </c>
      <c r="D271" s="43" t="e">
        <f t="shared" si="50"/>
        <v>#VALUE!</v>
      </c>
      <c r="E271" s="43" t="e">
        <f t="shared" si="50"/>
        <v>#VALUE!</v>
      </c>
      <c r="F271" s="43" t="e">
        <f t="shared" si="50"/>
        <v>#VALUE!</v>
      </c>
      <c r="G271" s="43" t="e">
        <f t="shared" si="45"/>
        <v>#VALUE!</v>
      </c>
      <c r="H271" s="43" t="e">
        <f t="shared" ca="1" si="46"/>
        <v>#VALUE!</v>
      </c>
      <c r="I271" s="43">
        <f t="shared" si="47"/>
        <v>0</v>
      </c>
      <c r="J271" s="229">
        <f t="shared" si="51"/>
        <v>25</v>
      </c>
      <c r="K271" s="43">
        <f t="shared" si="52"/>
        <v>0</v>
      </c>
      <c r="L271" s="12"/>
      <c r="M271" s="224"/>
      <c r="N271" s="225">
        <f t="shared" si="53"/>
        <v>0</v>
      </c>
      <c r="O271" s="43" t="e">
        <f t="shared" si="54"/>
        <v>#VALUE!</v>
      </c>
      <c r="P271" s="43" t="e">
        <f>ROUND(IF(Preenchimento!$G$39="Tabela Price",R271-Q271,(O270*(1+$AD$35))/($AD$28-C270)),$P$22)</f>
        <v>#VALUE!</v>
      </c>
      <c r="Q271" s="43" t="e">
        <f>IF(Preenchimento!$G$39="Tabela Price",O270*(1+$AD$35)*W271,O270*(1+'SAC Padrão_Sem Bonif'!$AD$35)*'SAC Padrão_Sem Bonif'!W271)</f>
        <v>#VALUE!</v>
      </c>
      <c r="R271" s="43" t="e">
        <f>IF(Preenchimento!$G$39="Tabela Price",IF(C271="","",((((((1+W271)^($Q$16-C270))*W271)/((1+W271)^($Q$16-C270)-1))*(O270*(1+$AD$35))))),Q271+P271)</f>
        <v>#VALUE!</v>
      </c>
      <c r="S271" s="43" t="e">
        <f t="shared" ca="1" si="48"/>
        <v>#VALUE!</v>
      </c>
      <c r="T271" s="43">
        <f t="shared" si="55"/>
        <v>0</v>
      </c>
      <c r="U271" s="226">
        <f>TRUNC(T271*Condições!$C$102,2)</f>
        <v>0</v>
      </c>
      <c r="V271" s="82">
        <f t="shared" ca="1" si="49"/>
        <v>12</v>
      </c>
      <c r="W271" s="231" t="str">
        <f t="shared" si="56"/>
        <v/>
      </c>
      <c r="X271" s="210"/>
      <c r="Y271" s="210"/>
      <c r="Z271" s="210"/>
      <c r="AI271" s="114">
        <f t="shared" si="57"/>
        <v>0</v>
      </c>
      <c r="AJ271" s="113"/>
      <c r="AL271" s="477">
        <f t="shared" ca="1" si="58"/>
        <v>0</v>
      </c>
    </row>
    <row r="272" spans="2:38" ht="12.75" customHeight="1">
      <c r="B272" s="222">
        <f ca="1">Fixa!B272</f>
        <v>53708</v>
      </c>
      <c r="C272" s="223" t="str">
        <f>Fixa!C272</f>
        <v/>
      </c>
      <c r="D272" s="43" t="e">
        <f t="shared" si="50"/>
        <v>#VALUE!</v>
      </c>
      <c r="E272" s="43" t="e">
        <f t="shared" si="50"/>
        <v>#VALUE!</v>
      </c>
      <c r="F272" s="43" t="e">
        <f t="shared" si="50"/>
        <v>#VALUE!</v>
      </c>
      <c r="G272" s="43" t="e">
        <f t="shared" si="45"/>
        <v>#VALUE!</v>
      </c>
      <c r="H272" s="43" t="e">
        <f t="shared" ca="1" si="46"/>
        <v>#VALUE!</v>
      </c>
      <c r="I272" s="43">
        <f t="shared" si="47"/>
        <v>0</v>
      </c>
      <c r="J272" s="229">
        <f t="shared" si="51"/>
        <v>25</v>
      </c>
      <c r="K272" s="43">
        <f t="shared" si="52"/>
        <v>0</v>
      </c>
      <c r="M272" s="224"/>
      <c r="N272" s="225">
        <f t="shared" si="53"/>
        <v>0</v>
      </c>
      <c r="O272" s="43" t="e">
        <f t="shared" si="54"/>
        <v>#VALUE!</v>
      </c>
      <c r="P272" s="43" t="e">
        <f>ROUND(IF(Preenchimento!$G$39="Tabela Price",R272-Q272,(O271*(1+$AD$35))/($AD$28-C271)),$P$22)</f>
        <v>#VALUE!</v>
      </c>
      <c r="Q272" s="43" t="e">
        <f>IF(Preenchimento!$G$39="Tabela Price",O271*(1+$AD$35)*W272,O271*(1+'SAC Padrão_Sem Bonif'!$AD$35)*'SAC Padrão_Sem Bonif'!W272)</f>
        <v>#VALUE!</v>
      </c>
      <c r="R272" s="43" t="e">
        <f>IF(Preenchimento!$G$39="Tabela Price",IF(C272="","",((((((1+W272)^($Q$16-C271))*W272)/((1+W272)^($Q$16-C271)-1))*(O271*(1+$AD$35))))),Q272+P272)</f>
        <v>#VALUE!</v>
      </c>
      <c r="S272" s="43" t="e">
        <f t="shared" ca="1" si="48"/>
        <v>#VALUE!</v>
      </c>
      <c r="T272" s="43">
        <f t="shared" si="55"/>
        <v>0</v>
      </c>
      <c r="U272" s="226">
        <f>TRUNC(T272*Condições!$C$102,2)</f>
        <v>0</v>
      </c>
      <c r="V272" s="82">
        <f t="shared" ca="1" si="49"/>
        <v>1</v>
      </c>
      <c r="W272" s="231" t="str">
        <f t="shared" si="56"/>
        <v/>
      </c>
      <c r="X272" s="210"/>
      <c r="Y272" s="210"/>
      <c r="Z272" s="210"/>
      <c r="AI272" s="114">
        <f t="shared" si="57"/>
        <v>0</v>
      </c>
      <c r="AJ272" s="113"/>
      <c r="AL272" s="477">
        <f t="shared" ca="1" si="58"/>
        <v>0</v>
      </c>
    </row>
    <row r="273" spans="2:38">
      <c r="B273" s="222">
        <f ca="1">Fixa!B273</f>
        <v>53739</v>
      </c>
      <c r="C273" s="223" t="str">
        <f>Fixa!C273</f>
        <v/>
      </c>
      <c r="D273" s="43" t="e">
        <f t="shared" si="50"/>
        <v>#VALUE!</v>
      </c>
      <c r="E273" s="43" t="e">
        <f t="shared" si="50"/>
        <v>#VALUE!</v>
      </c>
      <c r="F273" s="43" t="e">
        <f t="shared" si="50"/>
        <v>#VALUE!</v>
      </c>
      <c r="G273" s="43" t="e">
        <f t="shared" si="45"/>
        <v>#VALUE!</v>
      </c>
      <c r="H273" s="43" t="e">
        <f t="shared" ca="1" si="46"/>
        <v>#VALUE!</v>
      </c>
      <c r="I273" s="43">
        <f t="shared" si="47"/>
        <v>0</v>
      </c>
      <c r="J273" s="229">
        <f t="shared" si="51"/>
        <v>25</v>
      </c>
      <c r="K273" s="43">
        <f t="shared" si="52"/>
        <v>0</v>
      </c>
      <c r="M273" s="224"/>
      <c r="N273" s="225">
        <f t="shared" si="53"/>
        <v>0</v>
      </c>
      <c r="O273" s="43" t="e">
        <f t="shared" si="54"/>
        <v>#VALUE!</v>
      </c>
      <c r="P273" s="43" t="e">
        <f>ROUND(IF(Preenchimento!$G$39="Tabela Price",R273-Q273,(O272*(1+$AD$35))/($AD$28-C272)),$P$22)</f>
        <v>#VALUE!</v>
      </c>
      <c r="Q273" s="43" t="e">
        <f>IF(Preenchimento!$G$39="Tabela Price",O272*(1+$AD$35)*W273,O272*(1+'SAC Padrão_Sem Bonif'!$AD$35)*'SAC Padrão_Sem Bonif'!W273)</f>
        <v>#VALUE!</v>
      </c>
      <c r="R273" s="43" t="e">
        <f>IF(Preenchimento!$G$39="Tabela Price",IF(C273="","",((((((1+W273)^($Q$16-C272))*W273)/((1+W273)^($Q$16-C272)-1))*(O272*(1+$AD$35))))),Q273+P273)</f>
        <v>#VALUE!</v>
      </c>
      <c r="S273" s="43" t="e">
        <f t="shared" ca="1" si="48"/>
        <v>#VALUE!</v>
      </c>
      <c r="T273" s="43">
        <f t="shared" si="55"/>
        <v>0</v>
      </c>
      <c r="U273" s="226">
        <f>TRUNC(T273*Condições!$C$102,2)</f>
        <v>0</v>
      </c>
      <c r="V273" s="82">
        <f t="shared" ca="1" si="49"/>
        <v>2</v>
      </c>
      <c r="W273" s="231" t="str">
        <f t="shared" si="56"/>
        <v/>
      </c>
      <c r="X273" s="210"/>
      <c r="Y273" s="210"/>
      <c r="Z273" s="210"/>
      <c r="AI273" s="114">
        <f t="shared" si="57"/>
        <v>0</v>
      </c>
      <c r="AJ273" s="113"/>
      <c r="AL273" s="477">
        <f t="shared" ca="1" si="58"/>
        <v>0</v>
      </c>
    </row>
    <row r="274" spans="2:38">
      <c r="B274" s="222">
        <f ca="1">Fixa!B274</f>
        <v>53767</v>
      </c>
      <c r="C274" s="223" t="str">
        <f>Fixa!C274</f>
        <v/>
      </c>
      <c r="D274" s="43" t="e">
        <f t="shared" si="50"/>
        <v>#VALUE!</v>
      </c>
      <c r="E274" s="43" t="e">
        <f t="shared" si="50"/>
        <v>#VALUE!</v>
      </c>
      <c r="F274" s="43" t="e">
        <f t="shared" si="50"/>
        <v>#VALUE!</v>
      </c>
      <c r="G274" s="43" t="e">
        <f t="shared" si="45"/>
        <v>#VALUE!</v>
      </c>
      <c r="H274" s="43" t="e">
        <f t="shared" ca="1" si="46"/>
        <v>#VALUE!</v>
      </c>
      <c r="I274" s="43">
        <f t="shared" si="47"/>
        <v>0</v>
      </c>
      <c r="J274" s="229">
        <f t="shared" si="51"/>
        <v>25</v>
      </c>
      <c r="K274" s="43">
        <f t="shared" si="52"/>
        <v>0</v>
      </c>
      <c r="M274" s="224"/>
      <c r="N274" s="225">
        <f t="shared" si="53"/>
        <v>0</v>
      </c>
      <c r="O274" s="43" t="e">
        <f t="shared" si="54"/>
        <v>#VALUE!</v>
      </c>
      <c r="P274" s="43" t="e">
        <f>ROUND(IF(Preenchimento!$G$39="Tabela Price",R274-Q274,(O273*(1+$AD$35))/($AD$28-C273)),$P$22)</f>
        <v>#VALUE!</v>
      </c>
      <c r="Q274" s="43" t="e">
        <f>IF(Preenchimento!$G$39="Tabela Price",O273*(1+$AD$35)*W274,O273*(1+'SAC Padrão_Sem Bonif'!$AD$35)*'SAC Padrão_Sem Bonif'!W274)</f>
        <v>#VALUE!</v>
      </c>
      <c r="R274" s="43" t="e">
        <f>IF(Preenchimento!$G$39="Tabela Price",IF(C274="","",((((((1+W274)^($Q$16-C273))*W274)/((1+W274)^($Q$16-C273)-1))*(O273*(1+$AD$35))))),Q274+P274)</f>
        <v>#VALUE!</v>
      </c>
      <c r="S274" s="43" t="e">
        <f t="shared" ca="1" si="48"/>
        <v>#VALUE!</v>
      </c>
      <c r="T274" s="43">
        <f t="shared" si="55"/>
        <v>0</v>
      </c>
      <c r="U274" s="226">
        <f>TRUNC(T274*Condições!$C$102,2)</f>
        <v>0</v>
      </c>
      <c r="V274" s="82">
        <f t="shared" ca="1" si="49"/>
        <v>3</v>
      </c>
      <c r="W274" s="231" t="str">
        <f t="shared" si="56"/>
        <v/>
      </c>
      <c r="X274" s="210"/>
      <c r="Y274" s="210"/>
      <c r="Z274" s="210"/>
      <c r="AI274" s="114">
        <f t="shared" si="57"/>
        <v>0</v>
      </c>
      <c r="AJ274" s="113"/>
      <c r="AL274" s="477">
        <f t="shared" ca="1" si="58"/>
        <v>0</v>
      </c>
    </row>
    <row r="275" spans="2:38">
      <c r="B275" s="222">
        <f ca="1">Fixa!B275</f>
        <v>53798</v>
      </c>
      <c r="C275" s="223" t="str">
        <f>Fixa!C275</f>
        <v/>
      </c>
      <c r="D275" s="43" t="e">
        <f t="shared" si="50"/>
        <v>#VALUE!</v>
      </c>
      <c r="E275" s="43" t="e">
        <f t="shared" si="50"/>
        <v>#VALUE!</v>
      </c>
      <c r="F275" s="43" t="e">
        <f t="shared" si="50"/>
        <v>#VALUE!</v>
      </c>
      <c r="G275" s="43" t="e">
        <f t="shared" si="45"/>
        <v>#VALUE!</v>
      </c>
      <c r="H275" s="43" t="e">
        <f t="shared" ca="1" si="46"/>
        <v>#VALUE!</v>
      </c>
      <c r="I275" s="43">
        <f t="shared" si="47"/>
        <v>0</v>
      </c>
      <c r="J275" s="229">
        <f t="shared" si="51"/>
        <v>25</v>
      </c>
      <c r="K275" s="43">
        <f t="shared" si="52"/>
        <v>0</v>
      </c>
      <c r="M275" s="224"/>
      <c r="N275" s="225">
        <f t="shared" si="53"/>
        <v>0</v>
      </c>
      <c r="O275" s="43" t="e">
        <f t="shared" si="54"/>
        <v>#VALUE!</v>
      </c>
      <c r="P275" s="43" t="e">
        <f>ROUND(IF(Preenchimento!$G$39="Tabela Price",R275-Q275,(O274*(1+$AD$35))/($AD$28-C274)),$P$22)</f>
        <v>#VALUE!</v>
      </c>
      <c r="Q275" s="43" t="e">
        <f>IF(Preenchimento!$G$39="Tabela Price",O274*(1+$AD$35)*W275,O274*(1+'SAC Padrão_Sem Bonif'!$AD$35)*'SAC Padrão_Sem Bonif'!W275)</f>
        <v>#VALUE!</v>
      </c>
      <c r="R275" s="43" t="e">
        <f>IF(Preenchimento!$G$39="Tabela Price",IF(C275="","",((((((1+W275)^($Q$16-C274))*W275)/((1+W275)^($Q$16-C274)-1))*(O274*(1+$AD$35))))),Q275+P275)</f>
        <v>#VALUE!</v>
      </c>
      <c r="S275" s="43" t="e">
        <f t="shared" ca="1" si="48"/>
        <v>#VALUE!</v>
      </c>
      <c r="T275" s="43">
        <f t="shared" si="55"/>
        <v>0</v>
      </c>
      <c r="U275" s="226">
        <f>TRUNC(T275*Condições!$C$102,2)</f>
        <v>0</v>
      </c>
      <c r="V275" s="82">
        <f t="shared" ca="1" si="49"/>
        <v>4</v>
      </c>
      <c r="W275" s="231" t="str">
        <f t="shared" si="56"/>
        <v/>
      </c>
      <c r="X275" s="210"/>
      <c r="Y275" s="210"/>
      <c r="Z275" s="210"/>
      <c r="AI275" s="114">
        <f t="shared" si="57"/>
        <v>0</v>
      </c>
      <c r="AJ275" s="113"/>
      <c r="AL275" s="477">
        <f t="shared" ca="1" si="58"/>
        <v>0</v>
      </c>
    </row>
    <row r="276" spans="2:38">
      <c r="B276" s="222">
        <f ca="1">Fixa!B276</f>
        <v>53828</v>
      </c>
      <c r="C276" s="223" t="str">
        <f>Fixa!C276</f>
        <v/>
      </c>
      <c r="D276" s="43" t="e">
        <f t="shared" si="50"/>
        <v>#VALUE!</v>
      </c>
      <c r="E276" s="43" t="e">
        <f t="shared" si="50"/>
        <v>#VALUE!</v>
      </c>
      <c r="F276" s="43" t="e">
        <f t="shared" si="50"/>
        <v>#VALUE!</v>
      </c>
      <c r="G276" s="43" t="e">
        <f t="shared" si="45"/>
        <v>#VALUE!</v>
      </c>
      <c r="H276" s="43" t="e">
        <f t="shared" ca="1" si="46"/>
        <v>#VALUE!</v>
      </c>
      <c r="I276" s="43">
        <f t="shared" si="47"/>
        <v>0</v>
      </c>
      <c r="J276" s="229">
        <f t="shared" si="51"/>
        <v>25</v>
      </c>
      <c r="K276" s="43">
        <f t="shared" si="52"/>
        <v>0</v>
      </c>
      <c r="M276" s="224"/>
      <c r="N276" s="225">
        <f t="shared" si="53"/>
        <v>0</v>
      </c>
      <c r="O276" s="43" t="e">
        <f t="shared" si="54"/>
        <v>#VALUE!</v>
      </c>
      <c r="P276" s="43" t="e">
        <f>ROUND(IF(Preenchimento!$G$39="Tabela Price",R276-Q276,(O275*(1+$AD$35))/($AD$28-C275)),$P$22)</f>
        <v>#VALUE!</v>
      </c>
      <c r="Q276" s="43" t="e">
        <f>IF(Preenchimento!$G$39="Tabela Price",O275*(1+$AD$35)*W276,O275*(1+'SAC Padrão_Sem Bonif'!$AD$35)*'SAC Padrão_Sem Bonif'!W276)</f>
        <v>#VALUE!</v>
      </c>
      <c r="R276" s="43" t="e">
        <f>IF(Preenchimento!$G$39="Tabela Price",IF(C276="","",((((((1+W276)^($Q$16-C275))*W276)/((1+W276)^($Q$16-C275)-1))*(O275*(1+$AD$35))))),Q276+P276)</f>
        <v>#VALUE!</v>
      </c>
      <c r="S276" s="43" t="e">
        <f t="shared" ca="1" si="48"/>
        <v>#VALUE!</v>
      </c>
      <c r="T276" s="43">
        <f t="shared" si="55"/>
        <v>0</v>
      </c>
      <c r="U276" s="226">
        <f>TRUNC(T276*Condições!$C$102,2)</f>
        <v>0</v>
      </c>
      <c r="V276" s="82">
        <f t="shared" ca="1" si="49"/>
        <v>5</v>
      </c>
      <c r="W276" s="231" t="str">
        <f t="shared" si="56"/>
        <v/>
      </c>
      <c r="X276" s="210"/>
      <c r="Y276" s="210"/>
      <c r="Z276" s="210"/>
      <c r="AI276" s="114">
        <f t="shared" si="57"/>
        <v>0</v>
      </c>
      <c r="AJ276" s="113"/>
      <c r="AL276" s="477">
        <f t="shared" ca="1" si="58"/>
        <v>0</v>
      </c>
    </row>
    <row r="277" spans="2:38">
      <c r="B277" s="222">
        <f ca="1">Fixa!B277</f>
        <v>53859</v>
      </c>
      <c r="C277" s="223" t="str">
        <f>Fixa!C277</f>
        <v/>
      </c>
      <c r="D277" s="43" t="e">
        <f t="shared" si="50"/>
        <v>#VALUE!</v>
      </c>
      <c r="E277" s="43" t="e">
        <f t="shared" si="50"/>
        <v>#VALUE!</v>
      </c>
      <c r="F277" s="43" t="e">
        <f t="shared" si="50"/>
        <v>#VALUE!</v>
      </c>
      <c r="G277" s="43" t="e">
        <f t="shared" si="45"/>
        <v>#VALUE!</v>
      </c>
      <c r="H277" s="43" t="e">
        <f t="shared" ca="1" si="46"/>
        <v>#VALUE!</v>
      </c>
      <c r="I277" s="43">
        <f t="shared" si="47"/>
        <v>0</v>
      </c>
      <c r="J277" s="229">
        <f t="shared" si="51"/>
        <v>25</v>
      </c>
      <c r="K277" s="43">
        <f t="shared" si="52"/>
        <v>0</v>
      </c>
      <c r="M277" s="224"/>
      <c r="N277" s="225">
        <f t="shared" si="53"/>
        <v>0</v>
      </c>
      <c r="O277" s="43" t="e">
        <f t="shared" si="54"/>
        <v>#VALUE!</v>
      </c>
      <c r="P277" s="43" t="e">
        <f>ROUND(IF(Preenchimento!$G$39="Tabela Price",R277-Q277,(O276*(1+$AD$35))/($AD$28-C276)),$P$22)</f>
        <v>#VALUE!</v>
      </c>
      <c r="Q277" s="43" t="e">
        <f>IF(Preenchimento!$G$39="Tabela Price",O276*(1+$AD$35)*W277,O276*(1+'SAC Padrão_Sem Bonif'!$AD$35)*'SAC Padrão_Sem Bonif'!W277)</f>
        <v>#VALUE!</v>
      </c>
      <c r="R277" s="43" t="e">
        <f>IF(Preenchimento!$G$39="Tabela Price",IF(C277="","",((((((1+W277)^($Q$16-C276))*W277)/((1+W277)^($Q$16-C276)-1))*(O276*(1+$AD$35))))),Q277+P277)</f>
        <v>#VALUE!</v>
      </c>
      <c r="S277" s="43" t="e">
        <f t="shared" ca="1" si="48"/>
        <v>#VALUE!</v>
      </c>
      <c r="T277" s="43">
        <f t="shared" si="55"/>
        <v>0</v>
      </c>
      <c r="U277" s="226">
        <f>TRUNC(T277*Condições!$C$102,2)</f>
        <v>0</v>
      </c>
      <c r="V277" s="82">
        <f t="shared" ca="1" si="49"/>
        <v>6</v>
      </c>
      <c r="W277" s="231" t="str">
        <f t="shared" si="56"/>
        <v/>
      </c>
      <c r="X277" s="210"/>
      <c r="Y277" s="210"/>
      <c r="Z277" s="210"/>
      <c r="AI277" s="114">
        <f t="shared" si="57"/>
        <v>0</v>
      </c>
      <c r="AJ277" s="113"/>
      <c r="AL277" s="477">
        <f t="shared" ca="1" si="58"/>
        <v>0</v>
      </c>
    </row>
    <row r="278" spans="2:38">
      <c r="B278" s="222">
        <f ca="1">Fixa!B278</f>
        <v>53889</v>
      </c>
      <c r="C278" s="223" t="str">
        <f>Fixa!C278</f>
        <v/>
      </c>
      <c r="D278" s="43" t="e">
        <f t="shared" si="50"/>
        <v>#VALUE!</v>
      </c>
      <c r="E278" s="43" t="e">
        <f t="shared" si="50"/>
        <v>#VALUE!</v>
      </c>
      <c r="F278" s="43" t="e">
        <f t="shared" si="50"/>
        <v>#VALUE!</v>
      </c>
      <c r="G278" s="43" t="e">
        <f t="shared" si="45"/>
        <v>#VALUE!</v>
      </c>
      <c r="H278" s="43" t="e">
        <f t="shared" ca="1" si="46"/>
        <v>#VALUE!</v>
      </c>
      <c r="I278" s="43">
        <f t="shared" si="47"/>
        <v>0</v>
      </c>
      <c r="J278" s="229">
        <f t="shared" si="51"/>
        <v>25</v>
      </c>
      <c r="K278" s="43">
        <f t="shared" si="52"/>
        <v>0</v>
      </c>
      <c r="M278" s="224"/>
      <c r="N278" s="225">
        <f t="shared" si="53"/>
        <v>0</v>
      </c>
      <c r="O278" s="43" t="e">
        <f t="shared" si="54"/>
        <v>#VALUE!</v>
      </c>
      <c r="P278" s="43" t="e">
        <f>ROUND(IF(Preenchimento!$G$39="Tabela Price",R278-Q278,(O277*(1+$AD$35))/($AD$28-C277)),$P$22)</f>
        <v>#VALUE!</v>
      </c>
      <c r="Q278" s="43" t="e">
        <f>IF(Preenchimento!$G$39="Tabela Price",O277*(1+$AD$35)*W278,O277*(1+'SAC Padrão_Sem Bonif'!$AD$35)*'SAC Padrão_Sem Bonif'!W278)</f>
        <v>#VALUE!</v>
      </c>
      <c r="R278" s="43" t="e">
        <f>IF(Preenchimento!$G$39="Tabela Price",IF(C278="","",((((((1+W278)^($Q$16-C277))*W278)/((1+W278)^($Q$16-C277)-1))*(O277*(1+$AD$35))))),Q278+P278)</f>
        <v>#VALUE!</v>
      </c>
      <c r="S278" s="43" t="e">
        <f t="shared" ca="1" si="48"/>
        <v>#VALUE!</v>
      </c>
      <c r="T278" s="43">
        <f t="shared" si="55"/>
        <v>0</v>
      </c>
      <c r="U278" s="226">
        <f>TRUNC(T278*Condições!$C$102,2)</f>
        <v>0</v>
      </c>
      <c r="V278" s="82">
        <f t="shared" ca="1" si="49"/>
        <v>7</v>
      </c>
      <c r="W278" s="231" t="str">
        <f t="shared" si="56"/>
        <v/>
      </c>
      <c r="X278" s="210"/>
      <c r="Y278" s="210"/>
      <c r="Z278" s="210"/>
      <c r="AI278" s="114">
        <f t="shared" si="57"/>
        <v>0</v>
      </c>
      <c r="AJ278" s="113"/>
      <c r="AL278" s="477">
        <f t="shared" ca="1" si="58"/>
        <v>0</v>
      </c>
    </row>
    <row r="279" spans="2:38">
      <c r="B279" s="222">
        <f ca="1">Fixa!B279</f>
        <v>53920</v>
      </c>
      <c r="C279" s="223" t="str">
        <f>Fixa!C279</f>
        <v/>
      </c>
      <c r="D279" s="43" t="e">
        <f t="shared" si="50"/>
        <v>#VALUE!</v>
      </c>
      <c r="E279" s="43" t="e">
        <f t="shared" si="50"/>
        <v>#VALUE!</v>
      </c>
      <c r="F279" s="43" t="e">
        <f t="shared" si="50"/>
        <v>#VALUE!</v>
      </c>
      <c r="G279" s="43" t="e">
        <f t="shared" si="45"/>
        <v>#VALUE!</v>
      </c>
      <c r="H279" s="43" t="e">
        <f t="shared" ca="1" si="46"/>
        <v>#VALUE!</v>
      </c>
      <c r="I279" s="43">
        <f t="shared" si="47"/>
        <v>0</v>
      </c>
      <c r="J279" s="229">
        <f t="shared" si="51"/>
        <v>25</v>
      </c>
      <c r="K279" s="43">
        <f t="shared" si="52"/>
        <v>0</v>
      </c>
      <c r="M279" s="224"/>
      <c r="N279" s="225">
        <f t="shared" si="53"/>
        <v>0</v>
      </c>
      <c r="O279" s="43" t="e">
        <f t="shared" si="54"/>
        <v>#VALUE!</v>
      </c>
      <c r="P279" s="43" t="e">
        <f>ROUND(IF(Preenchimento!$G$39="Tabela Price",R279-Q279,(O278*(1+$AD$35))/($AD$28-C278)),$P$22)</f>
        <v>#VALUE!</v>
      </c>
      <c r="Q279" s="43" t="e">
        <f>IF(Preenchimento!$G$39="Tabela Price",O278*(1+$AD$35)*W279,O278*(1+'SAC Padrão_Sem Bonif'!$AD$35)*'SAC Padrão_Sem Bonif'!W279)</f>
        <v>#VALUE!</v>
      </c>
      <c r="R279" s="43" t="e">
        <f>IF(Preenchimento!$G$39="Tabela Price",IF(C279="","",((((((1+W279)^($Q$16-C278))*W279)/((1+W279)^($Q$16-C278)-1))*(O278*(1+$AD$35))))),Q279+P279)</f>
        <v>#VALUE!</v>
      </c>
      <c r="S279" s="43" t="e">
        <f t="shared" ca="1" si="48"/>
        <v>#VALUE!</v>
      </c>
      <c r="T279" s="43">
        <f t="shared" si="55"/>
        <v>0</v>
      </c>
      <c r="U279" s="226">
        <f>TRUNC(T279*Condições!$C$102,2)</f>
        <v>0</v>
      </c>
      <c r="V279" s="82">
        <f t="shared" ca="1" si="49"/>
        <v>8</v>
      </c>
      <c r="W279" s="231" t="str">
        <f t="shared" si="56"/>
        <v/>
      </c>
      <c r="X279" s="210"/>
      <c r="Y279" s="210"/>
      <c r="Z279" s="210"/>
      <c r="AI279" s="114">
        <f t="shared" si="57"/>
        <v>0</v>
      </c>
      <c r="AJ279" s="113"/>
      <c r="AL279" s="477">
        <f t="shared" ca="1" si="58"/>
        <v>0</v>
      </c>
    </row>
    <row r="280" spans="2:38">
      <c r="B280" s="222">
        <f ca="1">Fixa!B280</f>
        <v>53951</v>
      </c>
      <c r="C280" s="223" t="str">
        <f>Fixa!C280</f>
        <v/>
      </c>
      <c r="D280" s="43" t="e">
        <f t="shared" si="50"/>
        <v>#VALUE!</v>
      </c>
      <c r="E280" s="43" t="e">
        <f t="shared" si="50"/>
        <v>#VALUE!</v>
      </c>
      <c r="F280" s="43" t="e">
        <f t="shared" si="50"/>
        <v>#VALUE!</v>
      </c>
      <c r="G280" s="43" t="e">
        <f t="shared" si="45"/>
        <v>#VALUE!</v>
      </c>
      <c r="H280" s="43" t="e">
        <f t="shared" ca="1" si="46"/>
        <v>#VALUE!</v>
      </c>
      <c r="I280" s="43">
        <f t="shared" si="47"/>
        <v>0</v>
      </c>
      <c r="J280" s="229">
        <f t="shared" si="51"/>
        <v>25</v>
      </c>
      <c r="K280" s="43">
        <f t="shared" si="52"/>
        <v>0</v>
      </c>
      <c r="M280" s="224"/>
      <c r="N280" s="225">
        <f t="shared" si="53"/>
        <v>0</v>
      </c>
      <c r="O280" s="43" t="e">
        <f t="shared" si="54"/>
        <v>#VALUE!</v>
      </c>
      <c r="P280" s="43" t="e">
        <f>ROUND(IF(Preenchimento!$G$39="Tabela Price",R280-Q280,(O279*(1+$AD$35))/($AD$28-C279)),$P$22)</f>
        <v>#VALUE!</v>
      </c>
      <c r="Q280" s="43" t="e">
        <f>IF(Preenchimento!$G$39="Tabela Price",O279*(1+$AD$35)*W280,O279*(1+'SAC Padrão_Sem Bonif'!$AD$35)*'SAC Padrão_Sem Bonif'!W280)</f>
        <v>#VALUE!</v>
      </c>
      <c r="R280" s="43" t="e">
        <f>IF(Preenchimento!$G$39="Tabela Price",IF(C280="","",((((((1+W280)^($Q$16-C279))*W280)/((1+W280)^($Q$16-C279)-1))*(O279*(1+$AD$35))))),Q280+P280)</f>
        <v>#VALUE!</v>
      </c>
      <c r="S280" s="43" t="e">
        <f t="shared" ca="1" si="48"/>
        <v>#VALUE!</v>
      </c>
      <c r="T280" s="43">
        <f t="shared" si="55"/>
        <v>0</v>
      </c>
      <c r="U280" s="226">
        <f>TRUNC(T280*Condições!$C$102,2)</f>
        <v>0</v>
      </c>
      <c r="V280" s="82">
        <f t="shared" ca="1" si="49"/>
        <v>9</v>
      </c>
      <c r="W280" s="231" t="str">
        <f t="shared" si="56"/>
        <v/>
      </c>
      <c r="X280" s="210"/>
      <c r="Y280" s="210"/>
      <c r="Z280" s="210"/>
      <c r="AI280" s="114">
        <f t="shared" si="57"/>
        <v>0</v>
      </c>
      <c r="AJ280" s="113"/>
      <c r="AL280" s="477">
        <f t="shared" ca="1" si="58"/>
        <v>0</v>
      </c>
    </row>
    <row r="281" spans="2:38">
      <c r="B281" s="222">
        <f ca="1">Fixa!B281</f>
        <v>53981</v>
      </c>
      <c r="C281" s="223" t="str">
        <f>Fixa!C281</f>
        <v/>
      </c>
      <c r="D281" s="43" t="e">
        <f t="shared" si="50"/>
        <v>#VALUE!</v>
      </c>
      <c r="E281" s="43" t="e">
        <f t="shared" si="50"/>
        <v>#VALUE!</v>
      </c>
      <c r="F281" s="43" t="e">
        <f t="shared" si="50"/>
        <v>#VALUE!</v>
      </c>
      <c r="G281" s="43" t="e">
        <f t="shared" si="45"/>
        <v>#VALUE!</v>
      </c>
      <c r="H281" s="43" t="e">
        <f t="shared" ca="1" si="46"/>
        <v>#VALUE!</v>
      </c>
      <c r="I281" s="43">
        <f t="shared" si="47"/>
        <v>0</v>
      </c>
      <c r="J281" s="229">
        <f t="shared" si="51"/>
        <v>25</v>
      </c>
      <c r="K281" s="43">
        <f t="shared" si="52"/>
        <v>0</v>
      </c>
      <c r="M281" s="224"/>
      <c r="N281" s="225">
        <f t="shared" si="53"/>
        <v>0</v>
      </c>
      <c r="O281" s="43" t="e">
        <f t="shared" si="54"/>
        <v>#VALUE!</v>
      </c>
      <c r="P281" s="43" t="e">
        <f>ROUND(IF(Preenchimento!$G$39="Tabela Price",R281-Q281,(O280*(1+$AD$35))/($AD$28-C280)),$P$22)</f>
        <v>#VALUE!</v>
      </c>
      <c r="Q281" s="43" t="e">
        <f>IF(Preenchimento!$G$39="Tabela Price",O280*(1+$AD$35)*W281,O280*(1+'SAC Padrão_Sem Bonif'!$AD$35)*'SAC Padrão_Sem Bonif'!W281)</f>
        <v>#VALUE!</v>
      </c>
      <c r="R281" s="43" t="e">
        <f>IF(Preenchimento!$G$39="Tabela Price",IF(C281="","",((((((1+W281)^($Q$16-C280))*W281)/((1+W281)^($Q$16-C280)-1))*(O280*(1+$AD$35))))),Q281+P281)</f>
        <v>#VALUE!</v>
      </c>
      <c r="S281" s="43" t="e">
        <f t="shared" ca="1" si="48"/>
        <v>#VALUE!</v>
      </c>
      <c r="T281" s="43">
        <f t="shared" si="55"/>
        <v>0</v>
      </c>
      <c r="U281" s="226">
        <f>TRUNC(T281*Condições!$C$102,2)</f>
        <v>0</v>
      </c>
      <c r="V281" s="82">
        <f t="shared" ca="1" si="49"/>
        <v>10</v>
      </c>
      <c r="W281" s="231" t="str">
        <f t="shared" si="56"/>
        <v/>
      </c>
      <c r="X281" s="210"/>
      <c r="Y281" s="210"/>
      <c r="Z281" s="210"/>
      <c r="AI281" s="114">
        <f t="shared" si="57"/>
        <v>0</v>
      </c>
      <c r="AJ281" s="113"/>
      <c r="AL281" s="477">
        <f t="shared" ca="1" si="58"/>
        <v>0</v>
      </c>
    </row>
    <row r="282" spans="2:38">
      <c r="B282" s="222">
        <f ca="1">Fixa!B282</f>
        <v>54012</v>
      </c>
      <c r="C282" s="223" t="str">
        <f>Fixa!C282</f>
        <v/>
      </c>
      <c r="D282" s="43" t="e">
        <f t="shared" si="50"/>
        <v>#VALUE!</v>
      </c>
      <c r="E282" s="43" t="e">
        <f t="shared" si="50"/>
        <v>#VALUE!</v>
      </c>
      <c r="F282" s="43" t="e">
        <f t="shared" si="50"/>
        <v>#VALUE!</v>
      </c>
      <c r="G282" s="43" t="e">
        <f t="shared" ref="G282:G345" si="59">F282+E282</f>
        <v>#VALUE!</v>
      </c>
      <c r="H282" s="43" t="e">
        <f t="shared" ref="H282:H345" ca="1" si="60">ROUND(S282,2)</f>
        <v>#VALUE!</v>
      </c>
      <c r="I282" s="43">
        <f t="shared" ref="I282:I345" si="61">ROUND(T282+U282,2)</f>
        <v>0</v>
      </c>
      <c r="J282" s="229">
        <f t="shared" si="51"/>
        <v>25</v>
      </c>
      <c r="K282" s="43">
        <f t="shared" si="52"/>
        <v>0</v>
      </c>
      <c r="M282" s="224"/>
      <c r="N282" s="225">
        <f t="shared" si="53"/>
        <v>0</v>
      </c>
      <c r="O282" s="43" t="e">
        <f t="shared" si="54"/>
        <v>#VALUE!</v>
      </c>
      <c r="P282" s="43" t="e">
        <f>ROUND(IF(Preenchimento!$G$39="Tabela Price",R282-Q282,(O281*(1+$AD$35))/($AD$28-C281)),$P$22)</f>
        <v>#VALUE!</v>
      </c>
      <c r="Q282" s="43" t="e">
        <f>IF(Preenchimento!$G$39="Tabela Price",O281*(1+$AD$35)*W282,O281*(1+'SAC Padrão_Sem Bonif'!$AD$35)*'SAC Padrão_Sem Bonif'!W282)</f>
        <v>#VALUE!</v>
      </c>
      <c r="R282" s="43" t="e">
        <f>IF(Preenchimento!$G$39="Tabela Price",IF(C282="","",((((((1+W282)^($Q$16-C281))*W282)/((1+W282)^($Q$16-C281)-1))*(O281*(1+$AD$35))))),Q282+P282)</f>
        <v>#VALUE!</v>
      </c>
      <c r="S282" s="43" t="e">
        <f t="shared" ref="S282:S345" ca="1" si="62">ROUND($AD$34*O282,$P$22)</f>
        <v>#VALUE!</v>
      </c>
      <c r="T282" s="43">
        <f t="shared" si="55"/>
        <v>0</v>
      </c>
      <c r="U282" s="226">
        <f>TRUNC(T282*Condições!$C$102,2)</f>
        <v>0</v>
      </c>
      <c r="V282" s="82">
        <f t="shared" ref="V282:V345" ca="1" si="63">MONTH(B282)</f>
        <v>11</v>
      </c>
      <c r="W282" s="231" t="str">
        <f t="shared" si="56"/>
        <v/>
      </c>
      <c r="X282" s="210"/>
      <c r="Y282" s="210"/>
      <c r="Z282" s="210"/>
      <c r="AI282" s="114">
        <f t="shared" si="57"/>
        <v>0</v>
      </c>
      <c r="AJ282" s="113"/>
      <c r="AL282" s="477">
        <f t="shared" ca="1" si="58"/>
        <v>0</v>
      </c>
    </row>
    <row r="283" spans="2:38">
      <c r="B283" s="222">
        <f ca="1">Fixa!B283</f>
        <v>54042</v>
      </c>
      <c r="C283" s="223" t="str">
        <f>Fixa!C283</f>
        <v/>
      </c>
      <c r="D283" s="43" t="e">
        <f t="shared" ref="D283:F346" si="64">ROUND(O283,2)</f>
        <v>#VALUE!</v>
      </c>
      <c r="E283" s="43" t="e">
        <f t="shared" si="64"/>
        <v>#VALUE!</v>
      </c>
      <c r="F283" s="43" t="e">
        <f t="shared" si="64"/>
        <v>#VALUE!</v>
      </c>
      <c r="G283" s="43" t="e">
        <f t="shared" si="59"/>
        <v>#VALUE!</v>
      </c>
      <c r="H283" s="43" t="e">
        <f t="shared" ca="1" si="60"/>
        <v>#VALUE!</v>
      </c>
      <c r="I283" s="43">
        <f t="shared" si="61"/>
        <v>0</v>
      </c>
      <c r="J283" s="229">
        <f t="shared" ref="J283:J346" si="65">$AD$31</f>
        <v>25</v>
      </c>
      <c r="K283" s="43">
        <f t="shared" ref="K283:K346" si="66">IF(C283&gt;$AD$28,0,J283+G283+I283+H283)</f>
        <v>0</v>
      </c>
      <c r="M283" s="224"/>
      <c r="N283" s="225">
        <f t="shared" ref="N283:N346" si="67">IF(C283&gt;$AD$28,0,(H283+I283)/(1.008^((12*(B283-$B$25))/365)))</f>
        <v>0</v>
      </c>
      <c r="O283" s="43" t="e">
        <f t="shared" ref="O283:O346" si="68">ROUND((O282*(1+$AD$35)-P283),$P$22)</f>
        <v>#VALUE!</v>
      </c>
      <c r="P283" s="43" t="e">
        <f>ROUND(IF(Preenchimento!$G$39="Tabela Price",R283-Q283,(O282*(1+$AD$35))/($AD$28-C282)),$P$22)</f>
        <v>#VALUE!</v>
      </c>
      <c r="Q283" s="43" t="e">
        <f>IF(Preenchimento!$G$39="Tabela Price",O282*(1+$AD$35)*W283,O282*(1+'SAC Padrão_Sem Bonif'!$AD$35)*'SAC Padrão_Sem Bonif'!W283)</f>
        <v>#VALUE!</v>
      </c>
      <c r="R283" s="43" t="e">
        <f>IF(Preenchimento!$G$39="Tabela Price",IF(C283="","",((((((1+W283)^($Q$16-C282))*W283)/((1+W283)^($Q$16-C282)-1))*(O282*(1+$AD$35))))),Q283+P283)</f>
        <v>#VALUE!</v>
      </c>
      <c r="S283" s="43" t="e">
        <f t="shared" ca="1" si="62"/>
        <v>#VALUE!</v>
      </c>
      <c r="T283" s="43">
        <f t="shared" ref="T283:T346" si="69">IF(C283&gt;=$AD$28,0,ROUND($AD$25*$AD$33,$P$22))</f>
        <v>0</v>
      </c>
      <c r="U283" s="226">
        <f>TRUNC(T283*Condições!$C$102,2)</f>
        <v>0</v>
      </c>
      <c r="V283" s="82">
        <f t="shared" ca="1" si="63"/>
        <v>12</v>
      </c>
      <c r="W283" s="231" t="str">
        <f t="shared" ref="W283:W346" si="70">IF(C283="","",IF(AND(C283&gt;$AD$46,$AD$46&lt;&gt;""),$AE$29,$AD$29))</f>
        <v/>
      </c>
      <c r="X283" s="210"/>
      <c r="Y283" s="210"/>
      <c r="Z283" s="210"/>
      <c r="AI283" s="114">
        <f t="shared" ref="AI283:AI346" si="71">IF(C283&gt;$AD$28,0,R283+S283+T283+U283+J283)</f>
        <v>0</v>
      </c>
      <c r="AJ283" s="113"/>
      <c r="AL283" s="477">
        <f t="shared" ref="AL283:AL346" ca="1" si="72">IFERROR(IF(V282&gt;$AD$28,0,R283),0)</f>
        <v>0</v>
      </c>
    </row>
    <row r="284" spans="2:38">
      <c r="B284" s="222">
        <f ca="1">Fixa!B284</f>
        <v>54073</v>
      </c>
      <c r="C284" s="223" t="str">
        <f>Fixa!C284</f>
        <v/>
      </c>
      <c r="D284" s="43" t="e">
        <f t="shared" si="64"/>
        <v>#VALUE!</v>
      </c>
      <c r="E284" s="43" t="e">
        <f t="shared" si="64"/>
        <v>#VALUE!</v>
      </c>
      <c r="F284" s="43" t="e">
        <f t="shared" si="64"/>
        <v>#VALUE!</v>
      </c>
      <c r="G284" s="43" t="e">
        <f t="shared" si="59"/>
        <v>#VALUE!</v>
      </c>
      <c r="H284" s="43" t="e">
        <f t="shared" ca="1" si="60"/>
        <v>#VALUE!</v>
      </c>
      <c r="I284" s="43">
        <f t="shared" si="61"/>
        <v>0</v>
      </c>
      <c r="J284" s="229">
        <f t="shared" si="65"/>
        <v>25</v>
      </c>
      <c r="K284" s="43">
        <f t="shared" si="66"/>
        <v>0</v>
      </c>
      <c r="M284" s="224"/>
      <c r="N284" s="225">
        <f t="shared" si="67"/>
        <v>0</v>
      </c>
      <c r="O284" s="43" t="e">
        <f t="shared" si="68"/>
        <v>#VALUE!</v>
      </c>
      <c r="P284" s="43" t="e">
        <f>ROUND(IF(Preenchimento!$G$39="Tabela Price",R284-Q284,(O283*(1+$AD$35))/($AD$28-C283)),$P$22)</f>
        <v>#VALUE!</v>
      </c>
      <c r="Q284" s="43" t="e">
        <f>IF(Preenchimento!$G$39="Tabela Price",O283*(1+$AD$35)*W284,O283*(1+'SAC Padrão_Sem Bonif'!$AD$35)*'SAC Padrão_Sem Bonif'!W284)</f>
        <v>#VALUE!</v>
      </c>
      <c r="R284" s="43" t="e">
        <f>IF(Preenchimento!$G$39="Tabela Price",IF(C284="","",((((((1+W284)^($Q$16-C283))*W284)/((1+W284)^($Q$16-C283)-1))*(O283*(1+$AD$35))))),Q284+P284)</f>
        <v>#VALUE!</v>
      </c>
      <c r="S284" s="43" t="e">
        <f t="shared" ca="1" si="62"/>
        <v>#VALUE!</v>
      </c>
      <c r="T284" s="43">
        <f t="shared" si="69"/>
        <v>0</v>
      </c>
      <c r="U284" s="226">
        <f>TRUNC(T284*Condições!$C$102,2)</f>
        <v>0</v>
      </c>
      <c r="V284" s="82">
        <f t="shared" ca="1" si="63"/>
        <v>1</v>
      </c>
      <c r="W284" s="231" t="str">
        <f t="shared" si="70"/>
        <v/>
      </c>
      <c r="X284" s="210"/>
      <c r="Y284" s="210"/>
      <c r="Z284" s="210"/>
      <c r="AI284" s="114">
        <f t="shared" si="71"/>
        <v>0</v>
      </c>
      <c r="AJ284" s="113"/>
      <c r="AL284" s="477">
        <f t="shared" ca="1" si="72"/>
        <v>0</v>
      </c>
    </row>
    <row r="285" spans="2:38">
      <c r="B285" s="222">
        <f ca="1">Fixa!B285</f>
        <v>54104</v>
      </c>
      <c r="C285" s="223" t="str">
        <f>Fixa!C285</f>
        <v/>
      </c>
      <c r="D285" s="43" t="e">
        <f t="shared" si="64"/>
        <v>#VALUE!</v>
      </c>
      <c r="E285" s="43" t="e">
        <f t="shared" si="64"/>
        <v>#VALUE!</v>
      </c>
      <c r="F285" s="43" t="e">
        <f t="shared" si="64"/>
        <v>#VALUE!</v>
      </c>
      <c r="G285" s="43" t="e">
        <f t="shared" si="59"/>
        <v>#VALUE!</v>
      </c>
      <c r="H285" s="43" t="e">
        <f t="shared" ca="1" si="60"/>
        <v>#VALUE!</v>
      </c>
      <c r="I285" s="43">
        <f t="shared" si="61"/>
        <v>0</v>
      </c>
      <c r="J285" s="229">
        <f t="shared" si="65"/>
        <v>25</v>
      </c>
      <c r="K285" s="43">
        <f t="shared" si="66"/>
        <v>0</v>
      </c>
      <c r="M285" s="224"/>
      <c r="N285" s="225">
        <f t="shared" si="67"/>
        <v>0</v>
      </c>
      <c r="O285" s="43" t="e">
        <f t="shared" si="68"/>
        <v>#VALUE!</v>
      </c>
      <c r="P285" s="43" t="e">
        <f>ROUND(IF(Preenchimento!$G$39="Tabela Price",R285-Q285,(O284*(1+$AD$35))/($AD$28-C284)),$P$22)</f>
        <v>#VALUE!</v>
      </c>
      <c r="Q285" s="43" t="e">
        <f>IF(Preenchimento!$G$39="Tabela Price",O284*(1+$AD$35)*W285,O284*(1+'SAC Padrão_Sem Bonif'!$AD$35)*'SAC Padrão_Sem Bonif'!W285)</f>
        <v>#VALUE!</v>
      </c>
      <c r="R285" s="43" t="e">
        <f>IF(Preenchimento!$G$39="Tabela Price",IF(C285="","",((((((1+W285)^($Q$16-C284))*W285)/((1+W285)^($Q$16-C284)-1))*(O284*(1+$AD$35))))),Q285+P285)</f>
        <v>#VALUE!</v>
      </c>
      <c r="S285" s="43" t="e">
        <f t="shared" ca="1" si="62"/>
        <v>#VALUE!</v>
      </c>
      <c r="T285" s="43">
        <f t="shared" si="69"/>
        <v>0</v>
      </c>
      <c r="U285" s="226">
        <f>TRUNC(T285*Condições!$C$102,2)</f>
        <v>0</v>
      </c>
      <c r="V285" s="82">
        <f t="shared" ca="1" si="63"/>
        <v>2</v>
      </c>
      <c r="W285" s="231" t="str">
        <f t="shared" si="70"/>
        <v/>
      </c>
      <c r="X285" s="210"/>
      <c r="Y285" s="210"/>
      <c r="Z285" s="210"/>
      <c r="AI285" s="114">
        <f t="shared" si="71"/>
        <v>0</v>
      </c>
      <c r="AJ285" s="113"/>
      <c r="AL285" s="477">
        <f t="shared" ca="1" si="72"/>
        <v>0</v>
      </c>
    </row>
    <row r="286" spans="2:38">
      <c r="B286" s="222">
        <f ca="1">Fixa!B286</f>
        <v>54133</v>
      </c>
      <c r="C286" s="223" t="str">
        <f>Fixa!C286</f>
        <v/>
      </c>
      <c r="D286" s="43" t="e">
        <f t="shared" si="64"/>
        <v>#VALUE!</v>
      </c>
      <c r="E286" s="43" t="e">
        <f t="shared" si="64"/>
        <v>#VALUE!</v>
      </c>
      <c r="F286" s="43" t="e">
        <f t="shared" si="64"/>
        <v>#VALUE!</v>
      </c>
      <c r="G286" s="43" t="e">
        <f t="shared" si="59"/>
        <v>#VALUE!</v>
      </c>
      <c r="H286" s="43" t="e">
        <f t="shared" ca="1" si="60"/>
        <v>#VALUE!</v>
      </c>
      <c r="I286" s="43">
        <f t="shared" si="61"/>
        <v>0</v>
      </c>
      <c r="J286" s="229">
        <f t="shared" si="65"/>
        <v>25</v>
      </c>
      <c r="K286" s="43">
        <f t="shared" si="66"/>
        <v>0</v>
      </c>
      <c r="M286" s="224"/>
      <c r="N286" s="225">
        <f t="shared" si="67"/>
        <v>0</v>
      </c>
      <c r="O286" s="43" t="e">
        <f t="shared" si="68"/>
        <v>#VALUE!</v>
      </c>
      <c r="P286" s="43" t="e">
        <f>ROUND(IF(Preenchimento!$G$39="Tabela Price",R286-Q286,(O285*(1+$AD$35))/($AD$28-C285)),$P$22)</f>
        <v>#VALUE!</v>
      </c>
      <c r="Q286" s="43" t="e">
        <f>IF(Preenchimento!$G$39="Tabela Price",O285*(1+$AD$35)*W286,O285*(1+'SAC Padrão_Sem Bonif'!$AD$35)*'SAC Padrão_Sem Bonif'!W286)</f>
        <v>#VALUE!</v>
      </c>
      <c r="R286" s="43" t="e">
        <f>IF(Preenchimento!$G$39="Tabela Price",IF(C286="","",((((((1+W286)^($Q$16-C285))*W286)/((1+W286)^($Q$16-C285)-1))*(O285*(1+$AD$35))))),Q286+P286)</f>
        <v>#VALUE!</v>
      </c>
      <c r="S286" s="43" t="e">
        <f t="shared" ca="1" si="62"/>
        <v>#VALUE!</v>
      </c>
      <c r="T286" s="43">
        <f t="shared" si="69"/>
        <v>0</v>
      </c>
      <c r="U286" s="226">
        <f>TRUNC(T286*Condições!$C$102,2)</f>
        <v>0</v>
      </c>
      <c r="V286" s="82">
        <f t="shared" ca="1" si="63"/>
        <v>3</v>
      </c>
      <c r="W286" s="231" t="str">
        <f t="shared" si="70"/>
        <v/>
      </c>
      <c r="X286" s="210"/>
      <c r="Y286" s="210"/>
      <c r="Z286" s="210"/>
      <c r="AI286" s="114">
        <f t="shared" si="71"/>
        <v>0</v>
      </c>
      <c r="AJ286" s="113"/>
      <c r="AL286" s="477">
        <f t="shared" ca="1" si="72"/>
        <v>0</v>
      </c>
    </row>
    <row r="287" spans="2:38">
      <c r="B287" s="222">
        <f ca="1">Fixa!B287</f>
        <v>54164</v>
      </c>
      <c r="C287" s="223" t="str">
        <f>Fixa!C287</f>
        <v/>
      </c>
      <c r="D287" s="43" t="e">
        <f t="shared" si="64"/>
        <v>#VALUE!</v>
      </c>
      <c r="E287" s="43" t="e">
        <f t="shared" si="64"/>
        <v>#VALUE!</v>
      </c>
      <c r="F287" s="43" t="e">
        <f t="shared" si="64"/>
        <v>#VALUE!</v>
      </c>
      <c r="G287" s="43" t="e">
        <f t="shared" si="59"/>
        <v>#VALUE!</v>
      </c>
      <c r="H287" s="43" t="e">
        <f t="shared" ca="1" si="60"/>
        <v>#VALUE!</v>
      </c>
      <c r="I287" s="43">
        <f t="shared" si="61"/>
        <v>0</v>
      </c>
      <c r="J287" s="229">
        <f t="shared" si="65"/>
        <v>25</v>
      </c>
      <c r="K287" s="43">
        <f t="shared" si="66"/>
        <v>0</v>
      </c>
      <c r="M287" s="224"/>
      <c r="N287" s="225">
        <f t="shared" si="67"/>
        <v>0</v>
      </c>
      <c r="O287" s="43" t="e">
        <f t="shared" si="68"/>
        <v>#VALUE!</v>
      </c>
      <c r="P287" s="43" t="e">
        <f>ROUND(IF(Preenchimento!$G$39="Tabela Price",R287-Q287,(O286*(1+$AD$35))/($AD$28-C286)),$P$22)</f>
        <v>#VALUE!</v>
      </c>
      <c r="Q287" s="43" t="e">
        <f>IF(Preenchimento!$G$39="Tabela Price",O286*(1+$AD$35)*W287,O286*(1+'SAC Padrão_Sem Bonif'!$AD$35)*'SAC Padrão_Sem Bonif'!W287)</f>
        <v>#VALUE!</v>
      </c>
      <c r="R287" s="43" t="e">
        <f>IF(Preenchimento!$G$39="Tabela Price",IF(C287="","",((((((1+W287)^($Q$16-C286))*W287)/((1+W287)^($Q$16-C286)-1))*(O286*(1+$AD$35))))),Q287+P287)</f>
        <v>#VALUE!</v>
      </c>
      <c r="S287" s="43" t="e">
        <f t="shared" ca="1" si="62"/>
        <v>#VALUE!</v>
      </c>
      <c r="T287" s="43">
        <f t="shared" si="69"/>
        <v>0</v>
      </c>
      <c r="U287" s="226">
        <f>TRUNC(T287*Condições!$C$102,2)</f>
        <v>0</v>
      </c>
      <c r="V287" s="82">
        <f t="shared" ca="1" si="63"/>
        <v>4</v>
      </c>
      <c r="W287" s="231" t="str">
        <f t="shared" si="70"/>
        <v/>
      </c>
      <c r="X287" s="210"/>
      <c r="Y287" s="210"/>
      <c r="Z287" s="210"/>
      <c r="AI287" s="114">
        <f t="shared" si="71"/>
        <v>0</v>
      </c>
      <c r="AJ287" s="113"/>
      <c r="AL287" s="477">
        <f t="shared" ca="1" si="72"/>
        <v>0</v>
      </c>
    </row>
    <row r="288" spans="2:38">
      <c r="B288" s="222">
        <f ca="1">Fixa!B288</f>
        <v>54194</v>
      </c>
      <c r="C288" s="223" t="str">
        <f>Fixa!C288</f>
        <v/>
      </c>
      <c r="D288" s="43" t="e">
        <f t="shared" si="64"/>
        <v>#VALUE!</v>
      </c>
      <c r="E288" s="43" t="e">
        <f t="shared" si="64"/>
        <v>#VALUE!</v>
      </c>
      <c r="F288" s="43" t="e">
        <f t="shared" si="64"/>
        <v>#VALUE!</v>
      </c>
      <c r="G288" s="43" t="e">
        <f t="shared" si="59"/>
        <v>#VALUE!</v>
      </c>
      <c r="H288" s="43" t="e">
        <f t="shared" ca="1" si="60"/>
        <v>#VALUE!</v>
      </c>
      <c r="I288" s="43">
        <f t="shared" si="61"/>
        <v>0</v>
      </c>
      <c r="J288" s="229">
        <f t="shared" si="65"/>
        <v>25</v>
      </c>
      <c r="K288" s="43">
        <f t="shared" si="66"/>
        <v>0</v>
      </c>
      <c r="M288" s="224"/>
      <c r="N288" s="225">
        <f t="shared" si="67"/>
        <v>0</v>
      </c>
      <c r="O288" s="43" t="e">
        <f t="shared" si="68"/>
        <v>#VALUE!</v>
      </c>
      <c r="P288" s="43" t="e">
        <f>ROUND(IF(Preenchimento!$G$39="Tabela Price",R288-Q288,(O287*(1+$AD$35))/($AD$28-C287)),$P$22)</f>
        <v>#VALUE!</v>
      </c>
      <c r="Q288" s="43" t="e">
        <f>IF(Preenchimento!$G$39="Tabela Price",O287*(1+$AD$35)*W288,O287*(1+'SAC Padrão_Sem Bonif'!$AD$35)*'SAC Padrão_Sem Bonif'!W288)</f>
        <v>#VALUE!</v>
      </c>
      <c r="R288" s="43" t="e">
        <f>IF(Preenchimento!$G$39="Tabela Price",IF(C288="","",((((((1+W288)^($Q$16-C287))*W288)/((1+W288)^($Q$16-C287)-1))*(O287*(1+$AD$35))))),Q288+P288)</f>
        <v>#VALUE!</v>
      </c>
      <c r="S288" s="43" t="e">
        <f t="shared" ca="1" si="62"/>
        <v>#VALUE!</v>
      </c>
      <c r="T288" s="43">
        <f t="shared" si="69"/>
        <v>0</v>
      </c>
      <c r="U288" s="226">
        <f>TRUNC(T288*Condições!$C$102,2)</f>
        <v>0</v>
      </c>
      <c r="V288" s="82">
        <f t="shared" ca="1" si="63"/>
        <v>5</v>
      </c>
      <c r="W288" s="231" t="str">
        <f t="shared" si="70"/>
        <v/>
      </c>
      <c r="X288" s="210"/>
      <c r="Y288" s="210"/>
      <c r="Z288" s="210"/>
      <c r="AI288" s="114">
        <f t="shared" si="71"/>
        <v>0</v>
      </c>
      <c r="AJ288" s="113"/>
      <c r="AL288" s="477">
        <f t="shared" ca="1" si="72"/>
        <v>0</v>
      </c>
    </row>
    <row r="289" spans="2:38">
      <c r="B289" s="222">
        <f ca="1">Fixa!B289</f>
        <v>54225</v>
      </c>
      <c r="C289" s="223" t="str">
        <f>Fixa!C289</f>
        <v/>
      </c>
      <c r="D289" s="43" t="e">
        <f t="shared" si="64"/>
        <v>#VALUE!</v>
      </c>
      <c r="E289" s="43" t="e">
        <f t="shared" si="64"/>
        <v>#VALUE!</v>
      </c>
      <c r="F289" s="43" t="e">
        <f t="shared" si="64"/>
        <v>#VALUE!</v>
      </c>
      <c r="G289" s="43" t="e">
        <f t="shared" si="59"/>
        <v>#VALUE!</v>
      </c>
      <c r="H289" s="43" t="e">
        <f t="shared" ca="1" si="60"/>
        <v>#VALUE!</v>
      </c>
      <c r="I289" s="43">
        <f t="shared" si="61"/>
        <v>0</v>
      </c>
      <c r="J289" s="229">
        <f t="shared" si="65"/>
        <v>25</v>
      </c>
      <c r="K289" s="43">
        <f t="shared" si="66"/>
        <v>0</v>
      </c>
      <c r="M289" s="224"/>
      <c r="N289" s="225">
        <f t="shared" si="67"/>
        <v>0</v>
      </c>
      <c r="O289" s="43" t="e">
        <f t="shared" si="68"/>
        <v>#VALUE!</v>
      </c>
      <c r="P289" s="43" t="e">
        <f>ROUND(IF(Preenchimento!$G$39="Tabela Price",R289-Q289,(O288*(1+$AD$35))/($AD$28-C288)),$P$22)</f>
        <v>#VALUE!</v>
      </c>
      <c r="Q289" s="43" t="e">
        <f>IF(Preenchimento!$G$39="Tabela Price",O288*(1+$AD$35)*W289,O288*(1+'SAC Padrão_Sem Bonif'!$AD$35)*'SAC Padrão_Sem Bonif'!W289)</f>
        <v>#VALUE!</v>
      </c>
      <c r="R289" s="43" t="e">
        <f>IF(Preenchimento!$G$39="Tabela Price",IF(C289="","",((((((1+W289)^($Q$16-C288))*W289)/((1+W289)^($Q$16-C288)-1))*(O288*(1+$AD$35))))),Q289+P289)</f>
        <v>#VALUE!</v>
      </c>
      <c r="S289" s="43" t="e">
        <f t="shared" ca="1" si="62"/>
        <v>#VALUE!</v>
      </c>
      <c r="T289" s="43">
        <f t="shared" si="69"/>
        <v>0</v>
      </c>
      <c r="U289" s="226">
        <f>TRUNC(T289*Condições!$C$102,2)</f>
        <v>0</v>
      </c>
      <c r="V289" s="82">
        <f t="shared" ca="1" si="63"/>
        <v>6</v>
      </c>
      <c r="W289" s="231" t="str">
        <f t="shared" si="70"/>
        <v/>
      </c>
      <c r="X289" s="210"/>
      <c r="Y289" s="210"/>
      <c r="Z289" s="210"/>
      <c r="AI289" s="114">
        <f t="shared" si="71"/>
        <v>0</v>
      </c>
      <c r="AJ289" s="113"/>
      <c r="AL289" s="477">
        <f t="shared" ca="1" si="72"/>
        <v>0</v>
      </c>
    </row>
    <row r="290" spans="2:38">
      <c r="B290" s="222">
        <f ca="1">Fixa!B290</f>
        <v>54255</v>
      </c>
      <c r="C290" s="223" t="str">
        <f>Fixa!C290</f>
        <v/>
      </c>
      <c r="D290" s="43" t="e">
        <f t="shared" si="64"/>
        <v>#VALUE!</v>
      </c>
      <c r="E290" s="43" t="e">
        <f t="shared" si="64"/>
        <v>#VALUE!</v>
      </c>
      <c r="F290" s="43" t="e">
        <f t="shared" si="64"/>
        <v>#VALUE!</v>
      </c>
      <c r="G290" s="43" t="e">
        <f t="shared" si="59"/>
        <v>#VALUE!</v>
      </c>
      <c r="H290" s="43" t="e">
        <f t="shared" ca="1" si="60"/>
        <v>#VALUE!</v>
      </c>
      <c r="I290" s="43">
        <f t="shared" si="61"/>
        <v>0</v>
      </c>
      <c r="J290" s="229">
        <f t="shared" si="65"/>
        <v>25</v>
      </c>
      <c r="K290" s="43">
        <f t="shared" si="66"/>
        <v>0</v>
      </c>
      <c r="M290" s="224"/>
      <c r="N290" s="225">
        <f t="shared" si="67"/>
        <v>0</v>
      </c>
      <c r="O290" s="43" t="e">
        <f t="shared" si="68"/>
        <v>#VALUE!</v>
      </c>
      <c r="P290" s="43" t="e">
        <f>ROUND(IF(Preenchimento!$G$39="Tabela Price",R290-Q290,(O289*(1+$AD$35))/($AD$28-C289)),$P$22)</f>
        <v>#VALUE!</v>
      </c>
      <c r="Q290" s="43" t="e">
        <f>IF(Preenchimento!$G$39="Tabela Price",O289*(1+$AD$35)*W290,O289*(1+'SAC Padrão_Sem Bonif'!$AD$35)*'SAC Padrão_Sem Bonif'!W290)</f>
        <v>#VALUE!</v>
      </c>
      <c r="R290" s="43" t="e">
        <f>IF(Preenchimento!$G$39="Tabela Price",IF(C290="","",((((((1+W290)^($Q$16-C289))*W290)/((1+W290)^($Q$16-C289)-1))*(O289*(1+$AD$35))))),Q290+P290)</f>
        <v>#VALUE!</v>
      </c>
      <c r="S290" s="43" t="e">
        <f t="shared" ca="1" si="62"/>
        <v>#VALUE!</v>
      </c>
      <c r="T290" s="43">
        <f t="shared" si="69"/>
        <v>0</v>
      </c>
      <c r="U290" s="226">
        <f>TRUNC(T290*Condições!$C$102,2)</f>
        <v>0</v>
      </c>
      <c r="V290" s="82">
        <f t="shared" ca="1" si="63"/>
        <v>7</v>
      </c>
      <c r="W290" s="231" t="str">
        <f t="shared" si="70"/>
        <v/>
      </c>
      <c r="X290" s="210"/>
      <c r="Y290" s="210"/>
      <c r="Z290" s="210"/>
      <c r="AI290" s="114">
        <f t="shared" si="71"/>
        <v>0</v>
      </c>
      <c r="AJ290" s="113"/>
      <c r="AL290" s="477">
        <f t="shared" ca="1" si="72"/>
        <v>0</v>
      </c>
    </row>
    <row r="291" spans="2:38">
      <c r="B291" s="222">
        <f ca="1">Fixa!B291</f>
        <v>54286</v>
      </c>
      <c r="C291" s="223" t="str">
        <f>Fixa!C291</f>
        <v/>
      </c>
      <c r="D291" s="43" t="e">
        <f t="shared" si="64"/>
        <v>#VALUE!</v>
      </c>
      <c r="E291" s="43" t="e">
        <f t="shared" si="64"/>
        <v>#VALUE!</v>
      </c>
      <c r="F291" s="43" t="e">
        <f t="shared" si="64"/>
        <v>#VALUE!</v>
      </c>
      <c r="G291" s="43" t="e">
        <f t="shared" si="59"/>
        <v>#VALUE!</v>
      </c>
      <c r="H291" s="43" t="e">
        <f t="shared" ca="1" si="60"/>
        <v>#VALUE!</v>
      </c>
      <c r="I291" s="43">
        <f t="shared" si="61"/>
        <v>0</v>
      </c>
      <c r="J291" s="229">
        <f t="shared" si="65"/>
        <v>25</v>
      </c>
      <c r="K291" s="43">
        <f t="shared" si="66"/>
        <v>0</v>
      </c>
      <c r="M291" s="224"/>
      <c r="N291" s="225">
        <f t="shared" si="67"/>
        <v>0</v>
      </c>
      <c r="O291" s="43" t="e">
        <f t="shared" si="68"/>
        <v>#VALUE!</v>
      </c>
      <c r="P291" s="43" t="e">
        <f>ROUND(IF(Preenchimento!$G$39="Tabela Price",R291-Q291,(O290*(1+$AD$35))/($AD$28-C290)),$P$22)</f>
        <v>#VALUE!</v>
      </c>
      <c r="Q291" s="43" t="e">
        <f>IF(Preenchimento!$G$39="Tabela Price",O290*(1+$AD$35)*W291,O290*(1+'SAC Padrão_Sem Bonif'!$AD$35)*'SAC Padrão_Sem Bonif'!W291)</f>
        <v>#VALUE!</v>
      </c>
      <c r="R291" s="43" t="e">
        <f>IF(Preenchimento!$G$39="Tabela Price",IF(C291="","",((((((1+W291)^($Q$16-C290))*W291)/((1+W291)^($Q$16-C290)-1))*(O290*(1+$AD$35))))),Q291+P291)</f>
        <v>#VALUE!</v>
      </c>
      <c r="S291" s="43" t="e">
        <f t="shared" ca="1" si="62"/>
        <v>#VALUE!</v>
      </c>
      <c r="T291" s="43">
        <f t="shared" si="69"/>
        <v>0</v>
      </c>
      <c r="U291" s="226">
        <f>TRUNC(T291*Condições!$C$102,2)</f>
        <v>0</v>
      </c>
      <c r="V291" s="82">
        <f t="shared" ca="1" si="63"/>
        <v>8</v>
      </c>
      <c r="W291" s="231" t="str">
        <f t="shared" si="70"/>
        <v/>
      </c>
      <c r="X291" s="210"/>
      <c r="Y291" s="210"/>
      <c r="Z291" s="210"/>
      <c r="AI291" s="114">
        <f t="shared" si="71"/>
        <v>0</v>
      </c>
      <c r="AJ291" s="113"/>
      <c r="AL291" s="477">
        <f t="shared" ca="1" si="72"/>
        <v>0</v>
      </c>
    </row>
    <row r="292" spans="2:38">
      <c r="B292" s="222">
        <f ca="1">Fixa!B292</f>
        <v>54317</v>
      </c>
      <c r="C292" s="223" t="str">
        <f>Fixa!C292</f>
        <v/>
      </c>
      <c r="D292" s="43" t="e">
        <f t="shared" si="64"/>
        <v>#VALUE!</v>
      </c>
      <c r="E292" s="43" t="e">
        <f t="shared" si="64"/>
        <v>#VALUE!</v>
      </c>
      <c r="F292" s="43" t="e">
        <f t="shared" si="64"/>
        <v>#VALUE!</v>
      </c>
      <c r="G292" s="43" t="e">
        <f t="shared" si="59"/>
        <v>#VALUE!</v>
      </c>
      <c r="H292" s="43" t="e">
        <f t="shared" ca="1" si="60"/>
        <v>#VALUE!</v>
      </c>
      <c r="I292" s="43">
        <f t="shared" si="61"/>
        <v>0</v>
      </c>
      <c r="J292" s="229">
        <f t="shared" si="65"/>
        <v>25</v>
      </c>
      <c r="K292" s="43">
        <f t="shared" si="66"/>
        <v>0</v>
      </c>
      <c r="M292" s="224"/>
      <c r="N292" s="225">
        <f t="shared" si="67"/>
        <v>0</v>
      </c>
      <c r="O292" s="43" t="e">
        <f t="shared" si="68"/>
        <v>#VALUE!</v>
      </c>
      <c r="P292" s="43" t="e">
        <f>ROUND(IF(Preenchimento!$G$39="Tabela Price",R292-Q292,(O291*(1+$AD$35))/($AD$28-C291)),$P$22)</f>
        <v>#VALUE!</v>
      </c>
      <c r="Q292" s="43" t="e">
        <f>IF(Preenchimento!$G$39="Tabela Price",O291*(1+$AD$35)*W292,O291*(1+'SAC Padrão_Sem Bonif'!$AD$35)*'SAC Padrão_Sem Bonif'!W292)</f>
        <v>#VALUE!</v>
      </c>
      <c r="R292" s="43" t="e">
        <f>IF(Preenchimento!$G$39="Tabela Price",IF(C292="","",((((((1+W292)^($Q$16-C291))*W292)/((1+W292)^($Q$16-C291)-1))*(O291*(1+$AD$35))))),Q292+P292)</f>
        <v>#VALUE!</v>
      </c>
      <c r="S292" s="43" t="e">
        <f t="shared" ca="1" si="62"/>
        <v>#VALUE!</v>
      </c>
      <c r="T292" s="43">
        <f t="shared" si="69"/>
        <v>0</v>
      </c>
      <c r="U292" s="226">
        <f>TRUNC(T292*Condições!$C$102,2)</f>
        <v>0</v>
      </c>
      <c r="V292" s="82">
        <f t="shared" ca="1" si="63"/>
        <v>9</v>
      </c>
      <c r="W292" s="231" t="str">
        <f t="shared" si="70"/>
        <v/>
      </c>
      <c r="X292" s="210"/>
      <c r="Y292" s="210"/>
      <c r="Z292" s="210"/>
      <c r="AI292" s="114">
        <f t="shared" si="71"/>
        <v>0</v>
      </c>
      <c r="AJ292" s="113"/>
      <c r="AL292" s="477">
        <f t="shared" ca="1" si="72"/>
        <v>0</v>
      </c>
    </row>
    <row r="293" spans="2:38">
      <c r="B293" s="222">
        <f ca="1">Fixa!B293</f>
        <v>54347</v>
      </c>
      <c r="C293" s="223" t="str">
        <f>Fixa!C293</f>
        <v/>
      </c>
      <c r="D293" s="43" t="e">
        <f t="shared" si="64"/>
        <v>#VALUE!</v>
      </c>
      <c r="E293" s="43" t="e">
        <f t="shared" si="64"/>
        <v>#VALUE!</v>
      </c>
      <c r="F293" s="43" t="e">
        <f t="shared" si="64"/>
        <v>#VALUE!</v>
      </c>
      <c r="G293" s="43" t="e">
        <f t="shared" si="59"/>
        <v>#VALUE!</v>
      </c>
      <c r="H293" s="43" t="e">
        <f t="shared" ca="1" si="60"/>
        <v>#VALUE!</v>
      </c>
      <c r="I293" s="43">
        <f t="shared" si="61"/>
        <v>0</v>
      </c>
      <c r="J293" s="229">
        <f t="shared" si="65"/>
        <v>25</v>
      </c>
      <c r="K293" s="43">
        <f t="shared" si="66"/>
        <v>0</v>
      </c>
      <c r="M293" s="224"/>
      <c r="N293" s="225">
        <f t="shared" si="67"/>
        <v>0</v>
      </c>
      <c r="O293" s="43" t="e">
        <f t="shared" si="68"/>
        <v>#VALUE!</v>
      </c>
      <c r="P293" s="43" t="e">
        <f>ROUND(IF(Preenchimento!$G$39="Tabela Price",R293-Q293,(O292*(1+$AD$35))/($AD$28-C292)),$P$22)</f>
        <v>#VALUE!</v>
      </c>
      <c r="Q293" s="43" t="e">
        <f>IF(Preenchimento!$G$39="Tabela Price",O292*(1+$AD$35)*W293,O292*(1+'SAC Padrão_Sem Bonif'!$AD$35)*'SAC Padrão_Sem Bonif'!W293)</f>
        <v>#VALUE!</v>
      </c>
      <c r="R293" s="43" t="e">
        <f>IF(Preenchimento!$G$39="Tabela Price",IF(C293="","",((((((1+W293)^($Q$16-C292))*W293)/((1+W293)^($Q$16-C292)-1))*(O292*(1+$AD$35))))),Q293+P293)</f>
        <v>#VALUE!</v>
      </c>
      <c r="S293" s="43" t="e">
        <f t="shared" ca="1" si="62"/>
        <v>#VALUE!</v>
      </c>
      <c r="T293" s="43">
        <f t="shared" si="69"/>
        <v>0</v>
      </c>
      <c r="U293" s="226">
        <f>TRUNC(T293*Condições!$C$102,2)</f>
        <v>0</v>
      </c>
      <c r="V293" s="82">
        <f t="shared" ca="1" si="63"/>
        <v>10</v>
      </c>
      <c r="W293" s="231" t="str">
        <f t="shared" si="70"/>
        <v/>
      </c>
      <c r="X293" s="210"/>
      <c r="Y293" s="210"/>
      <c r="Z293" s="210"/>
      <c r="AI293" s="114">
        <f t="shared" si="71"/>
        <v>0</v>
      </c>
      <c r="AJ293" s="113"/>
      <c r="AL293" s="477">
        <f t="shared" ca="1" si="72"/>
        <v>0</v>
      </c>
    </row>
    <row r="294" spans="2:38">
      <c r="B294" s="222">
        <f ca="1">Fixa!B294</f>
        <v>54378</v>
      </c>
      <c r="C294" s="223" t="str">
        <f>Fixa!C294</f>
        <v/>
      </c>
      <c r="D294" s="43" t="e">
        <f t="shared" si="64"/>
        <v>#VALUE!</v>
      </c>
      <c r="E294" s="43" t="e">
        <f t="shared" si="64"/>
        <v>#VALUE!</v>
      </c>
      <c r="F294" s="43" t="e">
        <f t="shared" si="64"/>
        <v>#VALUE!</v>
      </c>
      <c r="G294" s="43" t="e">
        <f t="shared" si="59"/>
        <v>#VALUE!</v>
      </c>
      <c r="H294" s="43" t="e">
        <f t="shared" ca="1" si="60"/>
        <v>#VALUE!</v>
      </c>
      <c r="I294" s="43">
        <f t="shared" si="61"/>
        <v>0</v>
      </c>
      <c r="J294" s="229">
        <f t="shared" si="65"/>
        <v>25</v>
      </c>
      <c r="K294" s="43">
        <f t="shared" si="66"/>
        <v>0</v>
      </c>
      <c r="M294" s="224"/>
      <c r="N294" s="225">
        <f t="shared" si="67"/>
        <v>0</v>
      </c>
      <c r="O294" s="43" t="e">
        <f t="shared" si="68"/>
        <v>#VALUE!</v>
      </c>
      <c r="P294" s="43" t="e">
        <f>ROUND(IF(Preenchimento!$G$39="Tabela Price",R294-Q294,(O293*(1+$AD$35))/($AD$28-C293)),$P$22)</f>
        <v>#VALUE!</v>
      </c>
      <c r="Q294" s="43" t="e">
        <f>IF(Preenchimento!$G$39="Tabela Price",O293*(1+$AD$35)*W294,O293*(1+'SAC Padrão_Sem Bonif'!$AD$35)*'SAC Padrão_Sem Bonif'!W294)</f>
        <v>#VALUE!</v>
      </c>
      <c r="R294" s="43" t="e">
        <f>IF(Preenchimento!$G$39="Tabela Price",IF(C294="","",((((((1+W294)^($Q$16-C293))*W294)/((1+W294)^($Q$16-C293)-1))*(O293*(1+$AD$35))))),Q294+P294)</f>
        <v>#VALUE!</v>
      </c>
      <c r="S294" s="43" t="e">
        <f t="shared" ca="1" si="62"/>
        <v>#VALUE!</v>
      </c>
      <c r="T294" s="43">
        <f t="shared" si="69"/>
        <v>0</v>
      </c>
      <c r="U294" s="226">
        <f>TRUNC(T294*Condições!$C$102,2)</f>
        <v>0</v>
      </c>
      <c r="V294" s="82">
        <f t="shared" ca="1" si="63"/>
        <v>11</v>
      </c>
      <c r="W294" s="231" t="str">
        <f t="shared" si="70"/>
        <v/>
      </c>
      <c r="X294" s="210"/>
      <c r="Y294" s="210"/>
      <c r="Z294" s="210"/>
      <c r="AI294" s="114">
        <f t="shared" si="71"/>
        <v>0</v>
      </c>
      <c r="AJ294" s="113"/>
      <c r="AL294" s="477">
        <f t="shared" ca="1" si="72"/>
        <v>0</v>
      </c>
    </row>
    <row r="295" spans="2:38">
      <c r="B295" s="222">
        <f ca="1">Fixa!B295</f>
        <v>54408</v>
      </c>
      <c r="C295" s="223" t="str">
        <f>Fixa!C295</f>
        <v/>
      </c>
      <c r="D295" s="43" t="e">
        <f t="shared" si="64"/>
        <v>#VALUE!</v>
      </c>
      <c r="E295" s="43" t="e">
        <f t="shared" si="64"/>
        <v>#VALUE!</v>
      </c>
      <c r="F295" s="43" t="e">
        <f t="shared" si="64"/>
        <v>#VALUE!</v>
      </c>
      <c r="G295" s="43" t="e">
        <f t="shared" si="59"/>
        <v>#VALUE!</v>
      </c>
      <c r="H295" s="43" t="e">
        <f t="shared" ca="1" si="60"/>
        <v>#VALUE!</v>
      </c>
      <c r="I295" s="43">
        <f t="shared" si="61"/>
        <v>0</v>
      </c>
      <c r="J295" s="229">
        <f t="shared" si="65"/>
        <v>25</v>
      </c>
      <c r="K295" s="43">
        <f t="shared" si="66"/>
        <v>0</v>
      </c>
      <c r="M295" s="224"/>
      <c r="N295" s="225">
        <f t="shared" si="67"/>
        <v>0</v>
      </c>
      <c r="O295" s="43" t="e">
        <f t="shared" si="68"/>
        <v>#VALUE!</v>
      </c>
      <c r="P295" s="43" t="e">
        <f>ROUND(IF(Preenchimento!$G$39="Tabela Price",R295-Q295,(O294*(1+$AD$35))/($AD$28-C294)),$P$22)</f>
        <v>#VALUE!</v>
      </c>
      <c r="Q295" s="43" t="e">
        <f>IF(Preenchimento!$G$39="Tabela Price",O294*(1+$AD$35)*W295,O294*(1+'SAC Padrão_Sem Bonif'!$AD$35)*'SAC Padrão_Sem Bonif'!W295)</f>
        <v>#VALUE!</v>
      </c>
      <c r="R295" s="43" t="e">
        <f>IF(Preenchimento!$G$39="Tabela Price",IF(C295="","",((((((1+W295)^($Q$16-C294))*W295)/((1+W295)^($Q$16-C294)-1))*(O294*(1+$AD$35))))),Q295+P295)</f>
        <v>#VALUE!</v>
      </c>
      <c r="S295" s="43" t="e">
        <f t="shared" ca="1" si="62"/>
        <v>#VALUE!</v>
      </c>
      <c r="T295" s="43">
        <f t="shared" si="69"/>
        <v>0</v>
      </c>
      <c r="U295" s="226">
        <f>TRUNC(T295*Condições!$C$102,2)</f>
        <v>0</v>
      </c>
      <c r="V295" s="82">
        <f t="shared" ca="1" si="63"/>
        <v>12</v>
      </c>
      <c r="W295" s="231" t="str">
        <f t="shared" si="70"/>
        <v/>
      </c>
      <c r="X295" s="210"/>
      <c r="Y295" s="210"/>
      <c r="Z295" s="210"/>
      <c r="AI295" s="114">
        <f t="shared" si="71"/>
        <v>0</v>
      </c>
      <c r="AJ295" s="113"/>
      <c r="AL295" s="477">
        <f t="shared" ca="1" si="72"/>
        <v>0</v>
      </c>
    </row>
    <row r="296" spans="2:38">
      <c r="B296" s="222">
        <f ca="1">Fixa!B296</f>
        <v>54439</v>
      </c>
      <c r="C296" s="223" t="str">
        <f>Fixa!C296</f>
        <v/>
      </c>
      <c r="D296" s="43" t="e">
        <f t="shared" si="64"/>
        <v>#VALUE!</v>
      </c>
      <c r="E296" s="43" t="e">
        <f t="shared" si="64"/>
        <v>#VALUE!</v>
      </c>
      <c r="F296" s="43" t="e">
        <f t="shared" si="64"/>
        <v>#VALUE!</v>
      </c>
      <c r="G296" s="43" t="e">
        <f t="shared" si="59"/>
        <v>#VALUE!</v>
      </c>
      <c r="H296" s="43" t="e">
        <f t="shared" ca="1" si="60"/>
        <v>#VALUE!</v>
      </c>
      <c r="I296" s="43">
        <f t="shared" si="61"/>
        <v>0</v>
      </c>
      <c r="J296" s="229">
        <f t="shared" si="65"/>
        <v>25</v>
      </c>
      <c r="K296" s="43">
        <f t="shared" si="66"/>
        <v>0</v>
      </c>
      <c r="M296" s="224"/>
      <c r="N296" s="225">
        <f t="shared" si="67"/>
        <v>0</v>
      </c>
      <c r="O296" s="43" t="e">
        <f t="shared" si="68"/>
        <v>#VALUE!</v>
      </c>
      <c r="P296" s="43" t="e">
        <f>ROUND(IF(Preenchimento!$G$39="Tabela Price",R296-Q296,(O295*(1+$AD$35))/($AD$28-C295)),$P$22)</f>
        <v>#VALUE!</v>
      </c>
      <c r="Q296" s="43" t="e">
        <f>IF(Preenchimento!$G$39="Tabela Price",O295*(1+$AD$35)*W296,O295*(1+'SAC Padrão_Sem Bonif'!$AD$35)*'SAC Padrão_Sem Bonif'!W296)</f>
        <v>#VALUE!</v>
      </c>
      <c r="R296" s="43" t="e">
        <f>IF(Preenchimento!$G$39="Tabela Price",IF(C296="","",((((((1+W296)^($Q$16-C295))*W296)/((1+W296)^($Q$16-C295)-1))*(O295*(1+$AD$35))))),Q296+P296)</f>
        <v>#VALUE!</v>
      </c>
      <c r="S296" s="43" t="e">
        <f t="shared" ca="1" si="62"/>
        <v>#VALUE!</v>
      </c>
      <c r="T296" s="43">
        <f t="shared" si="69"/>
        <v>0</v>
      </c>
      <c r="U296" s="226">
        <f>TRUNC(T296*Condições!$C$102,2)</f>
        <v>0</v>
      </c>
      <c r="V296" s="82">
        <f t="shared" ca="1" si="63"/>
        <v>1</v>
      </c>
      <c r="W296" s="231" t="str">
        <f t="shared" si="70"/>
        <v/>
      </c>
      <c r="X296" s="210"/>
      <c r="Y296" s="210"/>
      <c r="Z296" s="210"/>
      <c r="AI296" s="114">
        <f t="shared" si="71"/>
        <v>0</v>
      </c>
      <c r="AJ296" s="113"/>
      <c r="AL296" s="477">
        <f t="shared" ca="1" si="72"/>
        <v>0</v>
      </c>
    </row>
    <row r="297" spans="2:38">
      <c r="B297" s="222">
        <f ca="1">Fixa!B297</f>
        <v>54470</v>
      </c>
      <c r="C297" s="223" t="str">
        <f>Fixa!C297</f>
        <v/>
      </c>
      <c r="D297" s="43" t="e">
        <f t="shared" si="64"/>
        <v>#VALUE!</v>
      </c>
      <c r="E297" s="43" t="e">
        <f t="shared" si="64"/>
        <v>#VALUE!</v>
      </c>
      <c r="F297" s="43" t="e">
        <f t="shared" si="64"/>
        <v>#VALUE!</v>
      </c>
      <c r="G297" s="43" t="e">
        <f t="shared" si="59"/>
        <v>#VALUE!</v>
      </c>
      <c r="H297" s="43" t="e">
        <f t="shared" ca="1" si="60"/>
        <v>#VALUE!</v>
      </c>
      <c r="I297" s="43">
        <f t="shared" si="61"/>
        <v>0</v>
      </c>
      <c r="J297" s="229">
        <f t="shared" si="65"/>
        <v>25</v>
      </c>
      <c r="K297" s="43">
        <f t="shared" si="66"/>
        <v>0</v>
      </c>
      <c r="M297" s="224"/>
      <c r="N297" s="225">
        <f t="shared" si="67"/>
        <v>0</v>
      </c>
      <c r="O297" s="43" t="e">
        <f t="shared" si="68"/>
        <v>#VALUE!</v>
      </c>
      <c r="P297" s="43" t="e">
        <f>ROUND(IF(Preenchimento!$G$39="Tabela Price",R297-Q297,(O296*(1+$AD$35))/($AD$28-C296)),$P$22)</f>
        <v>#VALUE!</v>
      </c>
      <c r="Q297" s="43" t="e">
        <f>IF(Preenchimento!$G$39="Tabela Price",O296*(1+$AD$35)*W297,O296*(1+'SAC Padrão_Sem Bonif'!$AD$35)*'SAC Padrão_Sem Bonif'!W297)</f>
        <v>#VALUE!</v>
      </c>
      <c r="R297" s="43" t="e">
        <f>IF(Preenchimento!$G$39="Tabela Price",IF(C297="","",((((((1+W297)^($Q$16-C296))*W297)/((1+W297)^($Q$16-C296)-1))*(O296*(1+$AD$35))))),Q297+P297)</f>
        <v>#VALUE!</v>
      </c>
      <c r="S297" s="43" t="e">
        <f t="shared" ca="1" si="62"/>
        <v>#VALUE!</v>
      </c>
      <c r="T297" s="43">
        <f t="shared" si="69"/>
        <v>0</v>
      </c>
      <c r="U297" s="226">
        <f>TRUNC(T297*Condições!$C$102,2)</f>
        <v>0</v>
      </c>
      <c r="V297" s="82">
        <f t="shared" ca="1" si="63"/>
        <v>2</v>
      </c>
      <c r="W297" s="231" t="str">
        <f t="shared" si="70"/>
        <v/>
      </c>
      <c r="X297" s="210"/>
      <c r="Y297" s="210"/>
      <c r="Z297" s="210"/>
      <c r="AI297" s="114">
        <f t="shared" si="71"/>
        <v>0</v>
      </c>
      <c r="AJ297" s="113"/>
      <c r="AL297" s="477">
        <f t="shared" ca="1" si="72"/>
        <v>0</v>
      </c>
    </row>
    <row r="298" spans="2:38">
      <c r="B298" s="222">
        <f ca="1">Fixa!B298</f>
        <v>54498</v>
      </c>
      <c r="C298" s="223" t="str">
        <f>Fixa!C298</f>
        <v/>
      </c>
      <c r="D298" s="43" t="e">
        <f t="shared" si="64"/>
        <v>#VALUE!</v>
      </c>
      <c r="E298" s="43" t="e">
        <f t="shared" si="64"/>
        <v>#VALUE!</v>
      </c>
      <c r="F298" s="43" t="e">
        <f t="shared" si="64"/>
        <v>#VALUE!</v>
      </c>
      <c r="G298" s="43" t="e">
        <f t="shared" si="59"/>
        <v>#VALUE!</v>
      </c>
      <c r="H298" s="43" t="e">
        <f t="shared" ca="1" si="60"/>
        <v>#VALUE!</v>
      </c>
      <c r="I298" s="43">
        <f t="shared" si="61"/>
        <v>0</v>
      </c>
      <c r="J298" s="229">
        <f t="shared" si="65"/>
        <v>25</v>
      </c>
      <c r="K298" s="43">
        <f t="shared" si="66"/>
        <v>0</v>
      </c>
      <c r="M298" s="224"/>
      <c r="N298" s="225">
        <f t="shared" si="67"/>
        <v>0</v>
      </c>
      <c r="O298" s="43" t="e">
        <f t="shared" si="68"/>
        <v>#VALUE!</v>
      </c>
      <c r="P298" s="43" t="e">
        <f>ROUND(IF(Preenchimento!$G$39="Tabela Price",R298-Q298,(O297*(1+$AD$35))/($AD$28-C297)),$P$22)</f>
        <v>#VALUE!</v>
      </c>
      <c r="Q298" s="43" t="e">
        <f>IF(Preenchimento!$G$39="Tabela Price",O297*(1+$AD$35)*W298,O297*(1+'SAC Padrão_Sem Bonif'!$AD$35)*'SAC Padrão_Sem Bonif'!W298)</f>
        <v>#VALUE!</v>
      </c>
      <c r="R298" s="43" t="e">
        <f>IF(Preenchimento!$G$39="Tabela Price",IF(C298="","",((((((1+W298)^($Q$16-C297))*W298)/((1+W298)^($Q$16-C297)-1))*(O297*(1+$AD$35))))),Q298+P298)</f>
        <v>#VALUE!</v>
      </c>
      <c r="S298" s="43" t="e">
        <f t="shared" ca="1" si="62"/>
        <v>#VALUE!</v>
      </c>
      <c r="T298" s="43">
        <f t="shared" si="69"/>
        <v>0</v>
      </c>
      <c r="U298" s="226">
        <f>TRUNC(T298*Condições!$C$102,2)</f>
        <v>0</v>
      </c>
      <c r="V298" s="82">
        <f t="shared" ca="1" si="63"/>
        <v>3</v>
      </c>
      <c r="W298" s="231" t="str">
        <f t="shared" si="70"/>
        <v/>
      </c>
      <c r="X298" s="210"/>
      <c r="Y298" s="210"/>
      <c r="Z298" s="210"/>
      <c r="AI298" s="114">
        <f t="shared" si="71"/>
        <v>0</v>
      </c>
      <c r="AJ298" s="113"/>
      <c r="AL298" s="477">
        <f t="shared" ca="1" si="72"/>
        <v>0</v>
      </c>
    </row>
    <row r="299" spans="2:38">
      <c r="B299" s="222">
        <f ca="1">Fixa!B299</f>
        <v>54529</v>
      </c>
      <c r="C299" s="223" t="str">
        <f>Fixa!C299</f>
        <v/>
      </c>
      <c r="D299" s="43" t="e">
        <f t="shared" si="64"/>
        <v>#VALUE!</v>
      </c>
      <c r="E299" s="43" t="e">
        <f t="shared" si="64"/>
        <v>#VALUE!</v>
      </c>
      <c r="F299" s="43" t="e">
        <f t="shared" si="64"/>
        <v>#VALUE!</v>
      </c>
      <c r="G299" s="43" t="e">
        <f t="shared" si="59"/>
        <v>#VALUE!</v>
      </c>
      <c r="H299" s="43" t="e">
        <f t="shared" ca="1" si="60"/>
        <v>#VALUE!</v>
      </c>
      <c r="I299" s="43">
        <f t="shared" si="61"/>
        <v>0</v>
      </c>
      <c r="J299" s="229">
        <f t="shared" si="65"/>
        <v>25</v>
      </c>
      <c r="K299" s="43">
        <f t="shared" si="66"/>
        <v>0</v>
      </c>
      <c r="M299" s="224"/>
      <c r="N299" s="225">
        <f t="shared" si="67"/>
        <v>0</v>
      </c>
      <c r="O299" s="43" t="e">
        <f t="shared" si="68"/>
        <v>#VALUE!</v>
      </c>
      <c r="P299" s="43" t="e">
        <f>ROUND(IF(Preenchimento!$G$39="Tabela Price",R299-Q299,(O298*(1+$AD$35))/($AD$28-C298)),$P$22)</f>
        <v>#VALUE!</v>
      </c>
      <c r="Q299" s="43" t="e">
        <f>IF(Preenchimento!$G$39="Tabela Price",O298*(1+$AD$35)*W299,O298*(1+'SAC Padrão_Sem Bonif'!$AD$35)*'SAC Padrão_Sem Bonif'!W299)</f>
        <v>#VALUE!</v>
      </c>
      <c r="R299" s="43" t="e">
        <f>IF(Preenchimento!$G$39="Tabela Price",IF(C299="","",((((((1+W299)^($Q$16-C298))*W299)/((1+W299)^($Q$16-C298)-1))*(O298*(1+$AD$35))))),Q299+P299)</f>
        <v>#VALUE!</v>
      </c>
      <c r="S299" s="43" t="e">
        <f t="shared" ca="1" si="62"/>
        <v>#VALUE!</v>
      </c>
      <c r="T299" s="43">
        <f t="shared" si="69"/>
        <v>0</v>
      </c>
      <c r="U299" s="226">
        <f>TRUNC(T299*Condições!$C$102,2)</f>
        <v>0</v>
      </c>
      <c r="V299" s="82">
        <f t="shared" ca="1" si="63"/>
        <v>4</v>
      </c>
      <c r="W299" s="231" t="str">
        <f t="shared" si="70"/>
        <v/>
      </c>
      <c r="X299" s="210"/>
      <c r="Y299" s="210"/>
      <c r="Z299" s="210"/>
      <c r="AI299" s="114">
        <f t="shared" si="71"/>
        <v>0</v>
      </c>
      <c r="AJ299" s="113"/>
      <c r="AL299" s="477">
        <f t="shared" ca="1" si="72"/>
        <v>0</v>
      </c>
    </row>
    <row r="300" spans="2:38">
      <c r="B300" s="222">
        <f ca="1">Fixa!B300</f>
        <v>54559</v>
      </c>
      <c r="C300" s="223" t="str">
        <f>Fixa!C300</f>
        <v/>
      </c>
      <c r="D300" s="43" t="e">
        <f t="shared" si="64"/>
        <v>#VALUE!</v>
      </c>
      <c r="E300" s="43" t="e">
        <f t="shared" si="64"/>
        <v>#VALUE!</v>
      </c>
      <c r="F300" s="43" t="e">
        <f t="shared" si="64"/>
        <v>#VALUE!</v>
      </c>
      <c r="G300" s="43" t="e">
        <f t="shared" si="59"/>
        <v>#VALUE!</v>
      </c>
      <c r="H300" s="43" t="e">
        <f t="shared" ca="1" si="60"/>
        <v>#VALUE!</v>
      </c>
      <c r="I300" s="43">
        <f t="shared" si="61"/>
        <v>0</v>
      </c>
      <c r="J300" s="229">
        <f t="shared" si="65"/>
        <v>25</v>
      </c>
      <c r="K300" s="43">
        <f t="shared" si="66"/>
        <v>0</v>
      </c>
      <c r="M300" s="224"/>
      <c r="N300" s="225">
        <f t="shared" si="67"/>
        <v>0</v>
      </c>
      <c r="O300" s="43" t="e">
        <f t="shared" si="68"/>
        <v>#VALUE!</v>
      </c>
      <c r="P300" s="43" t="e">
        <f>ROUND(IF(Preenchimento!$G$39="Tabela Price",R300-Q300,(O299*(1+$AD$35))/($AD$28-C299)),$P$22)</f>
        <v>#VALUE!</v>
      </c>
      <c r="Q300" s="43" t="e">
        <f>IF(Preenchimento!$G$39="Tabela Price",O299*(1+$AD$35)*W300,O299*(1+'SAC Padrão_Sem Bonif'!$AD$35)*'SAC Padrão_Sem Bonif'!W300)</f>
        <v>#VALUE!</v>
      </c>
      <c r="R300" s="43" t="e">
        <f>IF(Preenchimento!$G$39="Tabela Price",IF(C300="","",((((((1+W300)^($Q$16-C299))*W300)/((1+W300)^($Q$16-C299)-1))*(O299*(1+$AD$35))))),Q300+P300)</f>
        <v>#VALUE!</v>
      </c>
      <c r="S300" s="43" t="e">
        <f t="shared" ca="1" si="62"/>
        <v>#VALUE!</v>
      </c>
      <c r="T300" s="43">
        <f t="shared" si="69"/>
        <v>0</v>
      </c>
      <c r="U300" s="226">
        <f>TRUNC(T300*Condições!$C$102,2)</f>
        <v>0</v>
      </c>
      <c r="V300" s="82">
        <f t="shared" ca="1" si="63"/>
        <v>5</v>
      </c>
      <c r="W300" s="231" t="str">
        <f t="shared" si="70"/>
        <v/>
      </c>
      <c r="X300" s="210"/>
      <c r="Y300" s="210"/>
      <c r="Z300" s="210"/>
      <c r="AI300" s="114">
        <f t="shared" si="71"/>
        <v>0</v>
      </c>
      <c r="AJ300" s="113"/>
      <c r="AL300" s="477">
        <f t="shared" ca="1" si="72"/>
        <v>0</v>
      </c>
    </row>
    <row r="301" spans="2:38">
      <c r="B301" s="222">
        <f ca="1">Fixa!B301</f>
        <v>54590</v>
      </c>
      <c r="C301" s="223" t="str">
        <f>Fixa!C301</f>
        <v/>
      </c>
      <c r="D301" s="43" t="e">
        <f t="shared" si="64"/>
        <v>#VALUE!</v>
      </c>
      <c r="E301" s="43" t="e">
        <f t="shared" si="64"/>
        <v>#VALUE!</v>
      </c>
      <c r="F301" s="43" t="e">
        <f t="shared" si="64"/>
        <v>#VALUE!</v>
      </c>
      <c r="G301" s="43" t="e">
        <f t="shared" si="59"/>
        <v>#VALUE!</v>
      </c>
      <c r="H301" s="43" t="e">
        <f t="shared" ca="1" si="60"/>
        <v>#VALUE!</v>
      </c>
      <c r="I301" s="43">
        <f t="shared" si="61"/>
        <v>0</v>
      </c>
      <c r="J301" s="229">
        <f t="shared" si="65"/>
        <v>25</v>
      </c>
      <c r="K301" s="43">
        <f t="shared" si="66"/>
        <v>0</v>
      </c>
      <c r="M301" s="224"/>
      <c r="N301" s="225">
        <f t="shared" si="67"/>
        <v>0</v>
      </c>
      <c r="O301" s="43" t="e">
        <f t="shared" si="68"/>
        <v>#VALUE!</v>
      </c>
      <c r="P301" s="43" t="e">
        <f>ROUND(IF(Preenchimento!$G$39="Tabela Price",R301-Q301,(O300*(1+$AD$35))/($AD$28-C300)),$P$22)</f>
        <v>#VALUE!</v>
      </c>
      <c r="Q301" s="43" t="e">
        <f>IF(Preenchimento!$G$39="Tabela Price",O300*(1+$AD$35)*W301,O300*(1+'SAC Padrão_Sem Bonif'!$AD$35)*'SAC Padrão_Sem Bonif'!W301)</f>
        <v>#VALUE!</v>
      </c>
      <c r="R301" s="43" t="e">
        <f>IF(Preenchimento!$G$39="Tabela Price",IF(C301="","",((((((1+W301)^($Q$16-C300))*W301)/((1+W301)^($Q$16-C300)-1))*(O300*(1+$AD$35))))),Q301+P301)</f>
        <v>#VALUE!</v>
      </c>
      <c r="S301" s="43" t="e">
        <f t="shared" ca="1" si="62"/>
        <v>#VALUE!</v>
      </c>
      <c r="T301" s="43">
        <f t="shared" si="69"/>
        <v>0</v>
      </c>
      <c r="U301" s="226">
        <f>TRUNC(T301*Condições!$C$102,2)</f>
        <v>0</v>
      </c>
      <c r="V301" s="82">
        <f t="shared" ca="1" si="63"/>
        <v>6</v>
      </c>
      <c r="W301" s="231" t="str">
        <f t="shared" si="70"/>
        <v/>
      </c>
      <c r="X301" s="210"/>
      <c r="Y301" s="210"/>
      <c r="Z301" s="210"/>
      <c r="AI301" s="114">
        <f t="shared" si="71"/>
        <v>0</v>
      </c>
      <c r="AJ301" s="113"/>
      <c r="AL301" s="477">
        <f t="shared" ca="1" si="72"/>
        <v>0</v>
      </c>
    </row>
    <row r="302" spans="2:38">
      <c r="B302" s="222">
        <f ca="1">Fixa!B302</f>
        <v>54620</v>
      </c>
      <c r="C302" s="223" t="str">
        <f>Fixa!C302</f>
        <v/>
      </c>
      <c r="D302" s="43" t="e">
        <f t="shared" si="64"/>
        <v>#VALUE!</v>
      </c>
      <c r="E302" s="43" t="e">
        <f t="shared" si="64"/>
        <v>#VALUE!</v>
      </c>
      <c r="F302" s="43" t="e">
        <f t="shared" si="64"/>
        <v>#VALUE!</v>
      </c>
      <c r="G302" s="43" t="e">
        <f t="shared" si="59"/>
        <v>#VALUE!</v>
      </c>
      <c r="H302" s="43" t="e">
        <f t="shared" ca="1" si="60"/>
        <v>#VALUE!</v>
      </c>
      <c r="I302" s="43">
        <f t="shared" si="61"/>
        <v>0</v>
      </c>
      <c r="J302" s="229">
        <f t="shared" si="65"/>
        <v>25</v>
      </c>
      <c r="K302" s="43">
        <f t="shared" si="66"/>
        <v>0</v>
      </c>
      <c r="M302" s="224"/>
      <c r="N302" s="225">
        <f t="shared" si="67"/>
        <v>0</v>
      </c>
      <c r="O302" s="43" t="e">
        <f t="shared" si="68"/>
        <v>#VALUE!</v>
      </c>
      <c r="P302" s="43" t="e">
        <f>ROUND(IF(Preenchimento!$G$39="Tabela Price",R302-Q302,(O301*(1+$AD$35))/($AD$28-C301)),$P$22)</f>
        <v>#VALUE!</v>
      </c>
      <c r="Q302" s="43" t="e">
        <f>IF(Preenchimento!$G$39="Tabela Price",O301*(1+$AD$35)*W302,O301*(1+'SAC Padrão_Sem Bonif'!$AD$35)*'SAC Padrão_Sem Bonif'!W302)</f>
        <v>#VALUE!</v>
      </c>
      <c r="R302" s="43" t="e">
        <f>IF(Preenchimento!$G$39="Tabela Price",IF(C302="","",((((((1+W302)^($Q$16-C301))*W302)/((1+W302)^($Q$16-C301)-1))*(O301*(1+$AD$35))))),Q302+P302)</f>
        <v>#VALUE!</v>
      </c>
      <c r="S302" s="43" t="e">
        <f t="shared" ca="1" si="62"/>
        <v>#VALUE!</v>
      </c>
      <c r="T302" s="43">
        <f t="shared" si="69"/>
        <v>0</v>
      </c>
      <c r="U302" s="226">
        <f>TRUNC(T302*Condições!$C$102,2)</f>
        <v>0</v>
      </c>
      <c r="V302" s="82">
        <f t="shared" ca="1" si="63"/>
        <v>7</v>
      </c>
      <c r="W302" s="231" t="str">
        <f t="shared" si="70"/>
        <v/>
      </c>
      <c r="X302" s="210"/>
      <c r="Y302" s="210"/>
      <c r="Z302" s="210"/>
      <c r="AI302" s="114">
        <f t="shared" si="71"/>
        <v>0</v>
      </c>
      <c r="AJ302" s="113"/>
      <c r="AL302" s="477">
        <f t="shared" ca="1" si="72"/>
        <v>0</v>
      </c>
    </row>
    <row r="303" spans="2:38">
      <c r="B303" s="222">
        <f ca="1">Fixa!B303</f>
        <v>54651</v>
      </c>
      <c r="C303" s="223" t="str">
        <f>Fixa!C303</f>
        <v/>
      </c>
      <c r="D303" s="43" t="e">
        <f t="shared" si="64"/>
        <v>#VALUE!</v>
      </c>
      <c r="E303" s="43" t="e">
        <f t="shared" si="64"/>
        <v>#VALUE!</v>
      </c>
      <c r="F303" s="43" t="e">
        <f t="shared" si="64"/>
        <v>#VALUE!</v>
      </c>
      <c r="G303" s="43" t="e">
        <f t="shared" si="59"/>
        <v>#VALUE!</v>
      </c>
      <c r="H303" s="43" t="e">
        <f t="shared" ca="1" si="60"/>
        <v>#VALUE!</v>
      </c>
      <c r="I303" s="43">
        <f t="shared" si="61"/>
        <v>0</v>
      </c>
      <c r="J303" s="229">
        <f t="shared" si="65"/>
        <v>25</v>
      </c>
      <c r="K303" s="43">
        <f t="shared" si="66"/>
        <v>0</v>
      </c>
      <c r="M303" s="224"/>
      <c r="N303" s="225">
        <f t="shared" si="67"/>
        <v>0</v>
      </c>
      <c r="O303" s="43" t="e">
        <f t="shared" si="68"/>
        <v>#VALUE!</v>
      </c>
      <c r="P303" s="43" t="e">
        <f>ROUND(IF(Preenchimento!$G$39="Tabela Price",R303-Q303,(O302*(1+$AD$35))/($AD$28-C302)),$P$22)</f>
        <v>#VALUE!</v>
      </c>
      <c r="Q303" s="43" t="e">
        <f>IF(Preenchimento!$G$39="Tabela Price",O302*(1+$AD$35)*W303,O302*(1+'SAC Padrão_Sem Bonif'!$AD$35)*'SAC Padrão_Sem Bonif'!W303)</f>
        <v>#VALUE!</v>
      </c>
      <c r="R303" s="43" t="e">
        <f>IF(Preenchimento!$G$39="Tabela Price",IF(C303="","",((((((1+W303)^($Q$16-C302))*W303)/((1+W303)^($Q$16-C302)-1))*(O302*(1+$AD$35))))),Q303+P303)</f>
        <v>#VALUE!</v>
      </c>
      <c r="S303" s="43" t="e">
        <f t="shared" ca="1" si="62"/>
        <v>#VALUE!</v>
      </c>
      <c r="T303" s="43">
        <f t="shared" si="69"/>
        <v>0</v>
      </c>
      <c r="U303" s="226">
        <f>TRUNC(T303*Condições!$C$102,2)</f>
        <v>0</v>
      </c>
      <c r="V303" s="82">
        <f t="shared" ca="1" si="63"/>
        <v>8</v>
      </c>
      <c r="W303" s="231" t="str">
        <f t="shared" si="70"/>
        <v/>
      </c>
      <c r="X303" s="210"/>
      <c r="Y303" s="210"/>
      <c r="Z303" s="210"/>
      <c r="AI303" s="114">
        <f t="shared" si="71"/>
        <v>0</v>
      </c>
      <c r="AJ303" s="113"/>
      <c r="AL303" s="477">
        <f t="shared" ca="1" si="72"/>
        <v>0</v>
      </c>
    </row>
    <row r="304" spans="2:38">
      <c r="B304" s="222">
        <f ca="1">Fixa!B304</f>
        <v>54682</v>
      </c>
      <c r="C304" s="223" t="str">
        <f>Fixa!C304</f>
        <v/>
      </c>
      <c r="D304" s="43" t="e">
        <f t="shared" si="64"/>
        <v>#VALUE!</v>
      </c>
      <c r="E304" s="43" t="e">
        <f t="shared" si="64"/>
        <v>#VALUE!</v>
      </c>
      <c r="F304" s="43" t="e">
        <f t="shared" si="64"/>
        <v>#VALUE!</v>
      </c>
      <c r="G304" s="43" t="e">
        <f t="shared" si="59"/>
        <v>#VALUE!</v>
      </c>
      <c r="H304" s="43" t="e">
        <f t="shared" ca="1" si="60"/>
        <v>#VALUE!</v>
      </c>
      <c r="I304" s="43">
        <f t="shared" si="61"/>
        <v>0</v>
      </c>
      <c r="J304" s="229">
        <f t="shared" si="65"/>
        <v>25</v>
      </c>
      <c r="K304" s="43">
        <f t="shared" si="66"/>
        <v>0</v>
      </c>
      <c r="M304" s="224"/>
      <c r="N304" s="225">
        <f t="shared" si="67"/>
        <v>0</v>
      </c>
      <c r="O304" s="43" t="e">
        <f t="shared" si="68"/>
        <v>#VALUE!</v>
      </c>
      <c r="P304" s="43" t="e">
        <f>ROUND(IF(Preenchimento!$G$39="Tabela Price",R304-Q304,(O303*(1+$AD$35))/($AD$28-C303)),$P$22)</f>
        <v>#VALUE!</v>
      </c>
      <c r="Q304" s="43" t="e">
        <f>IF(Preenchimento!$G$39="Tabela Price",O303*(1+$AD$35)*W304,O303*(1+'SAC Padrão_Sem Bonif'!$AD$35)*'SAC Padrão_Sem Bonif'!W304)</f>
        <v>#VALUE!</v>
      </c>
      <c r="R304" s="43" t="e">
        <f>IF(Preenchimento!$G$39="Tabela Price",IF(C304="","",((((((1+W304)^($Q$16-C303))*W304)/((1+W304)^($Q$16-C303)-1))*(O303*(1+$AD$35))))),Q304+P304)</f>
        <v>#VALUE!</v>
      </c>
      <c r="S304" s="43" t="e">
        <f t="shared" ca="1" si="62"/>
        <v>#VALUE!</v>
      </c>
      <c r="T304" s="43">
        <f t="shared" si="69"/>
        <v>0</v>
      </c>
      <c r="U304" s="226">
        <f>TRUNC(T304*Condições!$C$102,2)</f>
        <v>0</v>
      </c>
      <c r="V304" s="82">
        <f t="shared" ca="1" si="63"/>
        <v>9</v>
      </c>
      <c r="W304" s="231" t="str">
        <f t="shared" si="70"/>
        <v/>
      </c>
      <c r="X304" s="210"/>
      <c r="Y304" s="210"/>
      <c r="Z304" s="210"/>
      <c r="AI304" s="114">
        <f t="shared" si="71"/>
        <v>0</v>
      </c>
      <c r="AJ304" s="113"/>
      <c r="AL304" s="477">
        <f t="shared" ca="1" si="72"/>
        <v>0</v>
      </c>
    </row>
    <row r="305" spans="2:38">
      <c r="B305" s="222">
        <f ca="1">Fixa!B305</f>
        <v>54712</v>
      </c>
      <c r="C305" s="223" t="str">
        <f>Fixa!C305</f>
        <v/>
      </c>
      <c r="D305" s="43" t="e">
        <f t="shared" si="64"/>
        <v>#VALUE!</v>
      </c>
      <c r="E305" s="43" t="e">
        <f t="shared" si="64"/>
        <v>#VALUE!</v>
      </c>
      <c r="F305" s="43" t="e">
        <f t="shared" si="64"/>
        <v>#VALUE!</v>
      </c>
      <c r="G305" s="43" t="e">
        <f t="shared" si="59"/>
        <v>#VALUE!</v>
      </c>
      <c r="H305" s="43" t="e">
        <f t="shared" ca="1" si="60"/>
        <v>#VALUE!</v>
      </c>
      <c r="I305" s="43">
        <f t="shared" si="61"/>
        <v>0</v>
      </c>
      <c r="J305" s="229">
        <f t="shared" si="65"/>
        <v>25</v>
      </c>
      <c r="K305" s="43">
        <f t="shared" si="66"/>
        <v>0</v>
      </c>
      <c r="M305" s="224"/>
      <c r="N305" s="225">
        <f t="shared" si="67"/>
        <v>0</v>
      </c>
      <c r="O305" s="43" t="e">
        <f t="shared" si="68"/>
        <v>#VALUE!</v>
      </c>
      <c r="P305" s="43" t="e">
        <f>ROUND(IF(Preenchimento!$G$39="Tabela Price",R305-Q305,(O304*(1+$AD$35))/($AD$28-C304)),$P$22)</f>
        <v>#VALUE!</v>
      </c>
      <c r="Q305" s="43" t="e">
        <f>IF(Preenchimento!$G$39="Tabela Price",O304*(1+$AD$35)*W305,O304*(1+'SAC Padrão_Sem Bonif'!$AD$35)*'SAC Padrão_Sem Bonif'!W305)</f>
        <v>#VALUE!</v>
      </c>
      <c r="R305" s="43" t="e">
        <f>IF(Preenchimento!$G$39="Tabela Price",IF(C305="","",((((((1+W305)^($Q$16-C304))*W305)/((1+W305)^($Q$16-C304)-1))*(O304*(1+$AD$35))))),Q305+P305)</f>
        <v>#VALUE!</v>
      </c>
      <c r="S305" s="43" t="e">
        <f t="shared" ca="1" si="62"/>
        <v>#VALUE!</v>
      </c>
      <c r="T305" s="43">
        <f t="shared" si="69"/>
        <v>0</v>
      </c>
      <c r="U305" s="226">
        <f>TRUNC(T305*Condições!$C$102,2)</f>
        <v>0</v>
      </c>
      <c r="V305" s="82">
        <f t="shared" ca="1" si="63"/>
        <v>10</v>
      </c>
      <c r="W305" s="231" t="str">
        <f t="shared" si="70"/>
        <v/>
      </c>
      <c r="X305" s="210"/>
      <c r="Y305" s="210"/>
      <c r="Z305" s="210"/>
      <c r="AI305" s="114">
        <f t="shared" si="71"/>
        <v>0</v>
      </c>
      <c r="AJ305" s="113"/>
      <c r="AL305" s="477">
        <f t="shared" ca="1" si="72"/>
        <v>0</v>
      </c>
    </row>
    <row r="306" spans="2:38">
      <c r="B306" s="222">
        <f ca="1">Fixa!B306</f>
        <v>54743</v>
      </c>
      <c r="C306" s="223" t="str">
        <f>Fixa!C306</f>
        <v/>
      </c>
      <c r="D306" s="43" t="e">
        <f t="shared" si="64"/>
        <v>#VALUE!</v>
      </c>
      <c r="E306" s="43" t="e">
        <f t="shared" si="64"/>
        <v>#VALUE!</v>
      </c>
      <c r="F306" s="43" t="e">
        <f t="shared" si="64"/>
        <v>#VALUE!</v>
      </c>
      <c r="G306" s="43" t="e">
        <f t="shared" si="59"/>
        <v>#VALUE!</v>
      </c>
      <c r="H306" s="43" t="e">
        <f t="shared" ca="1" si="60"/>
        <v>#VALUE!</v>
      </c>
      <c r="I306" s="43">
        <f t="shared" si="61"/>
        <v>0</v>
      </c>
      <c r="J306" s="229">
        <f t="shared" si="65"/>
        <v>25</v>
      </c>
      <c r="K306" s="43">
        <f t="shared" si="66"/>
        <v>0</v>
      </c>
      <c r="M306" s="224"/>
      <c r="N306" s="225">
        <f t="shared" si="67"/>
        <v>0</v>
      </c>
      <c r="O306" s="43" t="e">
        <f t="shared" si="68"/>
        <v>#VALUE!</v>
      </c>
      <c r="P306" s="43" t="e">
        <f>ROUND(IF(Preenchimento!$G$39="Tabela Price",R306-Q306,(O305*(1+$AD$35))/($AD$28-C305)),$P$22)</f>
        <v>#VALUE!</v>
      </c>
      <c r="Q306" s="43" t="e">
        <f>IF(Preenchimento!$G$39="Tabela Price",O305*(1+$AD$35)*W306,O305*(1+'SAC Padrão_Sem Bonif'!$AD$35)*'SAC Padrão_Sem Bonif'!W306)</f>
        <v>#VALUE!</v>
      </c>
      <c r="R306" s="43" t="e">
        <f>IF(Preenchimento!$G$39="Tabela Price",IF(C306="","",((((((1+W306)^($Q$16-C305))*W306)/((1+W306)^($Q$16-C305)-1))*(O305*(1+$AD$35))))),Q306+P306)</f>
        <v>#VALUE!</v>
      </c>
      <c r="S306" s="43" t="e">
        <f t="shared" ca="1" si="62"/>
        <v>#VALUE!</v>
      </c>
      <c r="T306" s="43">
        <f t="shared" si="69"/>
        <v>0</v>
      </c>
      <c r="U306" s="226">
        <f>TRUNC(T306*Condições!$C$102,2)</f>
        <v>0</v>
      </c>
      <c r="V306" s="82">
        <f t="shared" ca="1" si="63"/>
        <v>11</v>
      </c>
      <c r="W306" s="231" t="str">
        <f t="shared" si="70"/>
        <v/>
      </c>
      <c r="X306" s="210"/>
      <c r="Y306" s="210"/>
      <c r="Z306" s="210"/>
      <c r="AI306" s="114">
        <f t="shared" si="71"/>
        <v>0</v>
      </c>
      <c r="AJ306" s="113"/>
      <c r="AL306" s="477">
        <f t="shared" ca="1" si="72"/>
        <v>0</v>
      </c>
    </row>
    <row r="307" spans="2:38">
      <c r="B307" s="222">
        <f ca="1">Fixa!B307</f>
        <v>54773</v>
      </c>
      <c r="C307" s="223" t="str">
        <f>Fixa!C307</f>
        <v/>
      </c>
      <c r="D307" s="43" t="e">
        <f t="shared" si="64"/>
        <v>#VALUE!</v>
      </c>
      <c r="E307" s="43" t="e">
        <f t="shared" si="64"/>
        <v>#VALUE!</v>
      </c>
      <c r="F307" s="43" t="e">
        <f t="shared" si="64"/>
        <v>#VALUE!</v>
      </c>
      <c r="G307" s="43" t="e">
        <f t="shared" si="59"/>
        <v>#VALUE!</v>
      </c>
      <c r="H307" s="43" t="e">
        <f t="shared" ca="1" si="60"/>
        <v>#VALUE!</v>
      </c>
      <c r="I307" s="43">
        <f t="shared" si="61"/>
        <v>0</v>
      </c>
      <c r="J307" s="229">
        <f t="shared" si="65"/>
        <v>25</v>
      </c>
      <c r="K307" s="43">
        <f t="shared" si="66"/>
        <v>0</v>
      </c>
      <c r="M307" s="224"/>
      <c r="N307" s="225">
        <f t="shared" si="67"/>
        <v>0</v>
      </c>
      <c r="O307" s="43" t="e">
        <f t="shared" si="68"/>
        <v>#VALUE!</v>
      </c>
      <c r="P307" s="43" t="e">
        <f>ROUND(IF(Preenchimento!$G$39="Tabela Price",R307-Q307,(O306*(1+$AD$35))/($AD$28-C306)),$P$22)</f>
        <v>#VALUE!</v>
      </c>
      <c r="Q307" s="43" t="e">
        <f>IF(Preenchimento!$G$39="Tabela Price",O306*(1+$AD$35)*W307,O306*(1+'SAC Padrão_Sem Bonif'!$AD$35)*'SAC Padrão_Sem Bonif'!W307)</f>
        <v>#VALUE!</v>
      </c>
      <c r="R307" s="43" t="e">
        <f>IF(Preenchimento!$G$39="Tabela Price",IF(C307="","",((((((1+W307)^($Q$16-C306))*W307)/((1+W307)^($Q$16-C306)-1))*(O306*(1+$AD$35))))),Q307+P307)</f>
        <v>#VALUE!</v>
      </c>
      <c r="S307" s="43" t="e">
        <f t="shared" ca="1" si="62"/>
        <v>#VALUE!</v>
      </c>
      <c r="T307" s="43">
        <f t="shared" si="69"/>
        <v>0</v>
      </c>
      <c r="U307" s="226">
        <f>TRUNC(T307*Condições!$C$102,2)</f>
        <v>0</v>
      </c>
      <c r="V307" s="82">
        <f t="shared" ca="1" si="63"/>
        <v>12</v>
      </c>
      <c r="W307" s="231" t="str">
        <f t="shared" si="70"/>
        <v/>
      </c>
      <c r="X307" s="210"/>
      <c r="Y307" s="210"/>
      <c r="Z307" s="210"/>
      <c r="AI307" s="114">
        <f t="shared" si="71"/>
        <v>0</v>
      </c>
      <c r="AJ307" s="113"/>
      <c r="AL307" s="477">
        <f t="shared" ca="1" si="72"/>
        <v>0</v>
      </c>
    </row>
    <row r="308" spans="2:38">
      <c r="B308" s="222">
        <f ca="1">Fixa!B308</f>
        <v>54804</v>
      </c>
      <c r="C308" s="223" t="str">
        <f>Fixa!C308</f>
        <v/>
      </c>
      <c r="D308" s="43" t="e">
        <f t="shared" si="64"/>
        <v>#VALUE!</v>
      </c>
      <c r="E308" s="43" t="e">
        <f t="shared" si="64"/>
        <v>#VALUE!</v>
      </c>
      <c r="F308" s="43" t="e">
        <f t="shared" si="64"/>
        <v>#VALUE!</v>
      </c>
      <c r="G308" s="43" t="e">
        <f t="shared" si="59"/>
        <v>#VALUE!</v>
      </c>
      <c r="H308" s="43" t="e">
        <f t="shared" ca="1" si="60"/>
        <v>#VALUE!</v>
      </c>
      <c r="I308" s="43">
        <f t="shared" si="61"/>
        <v>0</v>
      </c>
      <c r="J308" s="229">
        <f t="shared" si="65"/>
        <v>25</v>
      </c>
      <c r="K308" s="43">
        <f t="shared" si="66"/>
        <v>0</v>
      </c>
      <c r="M308" s="224"/>
      <c r="N308" s="225">
        <f t="shared" si="67"/>
        <v>0</v>
      </c>
      <c r="O308" s="43" t="e">
        <f t="shared" si="68"/>
        <v>#VALUE!</v>
      </c>
      <c r="P308" s="43" t="e">
        <f>ROUND(IF(Preenchimento!$G$39="Tabela Price",R308-Q308,(O307*(1+$AD$35))/($AD$28-C307)),$P$22)</f>
        <v>#VALUE!</v>
      </c>
      <c r="Q308" s="43" t="e">
        <f>IF(Preenchimento!$G$39="Tabela Price",O307*(1+$AD$35)*W308,O307*(1+'SAC Padrão_Sem Bonif'!$AD$35)*'SAC Padrão_Sem Bonif'!W308)</f>
        <v>#VALUE!</v>
      </c>
      <c r="R308" s="43" t="e">
        <f>IF(Preenchimento!$G$39="Tabela Price",IF(C308="","",((((((1+W308)^($Q$16-C307))*W308)/((1+W308)^($Q$16-C307)-1))*(O307*(1+$AD$35))))),Q308+P308)</f>
        <v>#VALUE!</v>
      </c>
      <c r="S308" s="43" t="e">
        <f t="shared" ca="1" si="62"/>
        <v>#VALUE!</v>
      </c>
      <c r="T308" s="43">
        <f t="shared" si="69"/>
        <v>0</v>
      </c>
      <c r="U308" s="226">
        <f>TRUNC(T308*Condições!$C$102,2)</f>
        <v>0</v>
      </c>
      <c r="V308" s="82">
        <f t="shared" ca="1" si="63"/>
        <v>1</v>
      </c>
      <c r="W308" s="231" t="str">
        <f t="shared" si="70"/>
        <v/>
      </c>
      <c r="X308" s="210"/>
      <c r="Y308" s="210"/>
      <c r="Z308" s="210"/>
      <c r="AI308" s="114">
        <f t="shared" si="71"/>
        <v>0</v>
      </c>
      <c r="AJ308" s="113"/>
      <c r="AL308" s="477">
        <f t="shared" ca="1" si="72"/>
        <v>0</v>
      </c>
    </row>
    <row r="309" spans="2:38">
      <c r="B309" s="222">
        <f ca="1">Fixa!B309</f>
        <v>54835</v>
      </c>
      <c r="C309" s="223" t="str">
        <f>Fixa!C309</f>
        <v/>
      </c>
      <c r="D309" s="43" t="e">
        <f t="shared" si="64"/>
        <v>#VALUE!</v>
      </c>
      <c r="E309" s="43" t="e">
        <f t="shared" si="64"/>
        <v>#VALUE!</v>
      </c>
      <c r="F309" s="43" t="e">
        <f t="shared" si="64"/>
        <v>#VALUE!</v>
      </c>
      <c r="G309" s="43" t="e">
        <f t="shared" si="59"/>
        <v>#VALUE!</v>
      </c>
      <c r="H309" s="43" t="e">
        <f t="shared" ca="1" si="60"/>
        <v>#VALUE!</v>
      </c>
      <c r="I309" s="43">
        <f t="shared" si="61"/>
        <v>0</v>
      </c>
      <c r="J309" s="229">
        <f t="shared" si="65"/>
        <v>25</v>
      </c>
      <c r="K309" s="43">
        <f t="shared" si="66"/>
        <v>0</v>
      </c>
      <c r="M309" s="224"/>
      <c r="N309" s="225">
        <f t="shared" si="67"/>
        <v>0</v>
      </c>
      <c r="O309" s="43" t="e">
        <f t="shared" si="68"/>
        <v>#VALUE!</v>
      </c>
      <c r="P309" s="43" t="e">
        <f>ROUND(IF(Preenchimento!$G$39="Tabela Price",R309-Q309,(O308*(1+$AD$35))/($AD$28-C308)),$P$22)</f>
        <v>#VALUE!</v>
      </c>
      <c r="Q309" s="43" t="e">
        <f>IF(Preenchimento!$G$39="Tabela Price",O308*(1+$AD$35)*W309,O308*(1+'SAC Padrão_Sem Bonif'!$AD$35)*'SAC Padrão_Sem Bonif'!W309)</f>
        <v>#VALUE!</v>
      </c>
      <c r="R309" s="43" t="e">
        <f>IF(Preenchimento!$G$39="Tabela Price",IF(C309="","",((((((1+W309)^($Q$16-C308))*W309)/((1+W309)^($Q$16-C308)-1))*(O308*(1+$AD$35))))),Q309+P309)</f>
        <v>#VALUE!</v>
      </c>
      <c r="S309" s="43" t="e">
        <f t="shared" ca="1" si="62"/>
        <v>#VALUE!</v>
      </c>
      <c r="T309" s="43">
        <f t="shared" si="69"/>
        <v>0</v>
      </c>
      <c r="U309" s="226">
        <f>TRUNC(T309*Condições!$C$102,2)</f>
        <v>0</v>
      </c>
      <c r="V309" s="82">
        <f t="shared" ca="1" si="63"/>
        <v>2</v>
      </c>
      <c r="W309" s="231" t="str">
        <f t="shared" si="70"/>
        <v/>
      </c>
      <c r="X309" s="210"/>
      <c r="Y309" s="210"/>
      <c r="Z309" s="210"/>
      <c r="AI309" s="114">
        <f t="shared" si="71"/>
        <v>0</v>
      </c>
      <c r="AJ309" s="113"/>
      <c r="AL309" s="477">
        <f t="shared" ca="1" si="72"/>
        <v>0</v>
      </c>
    </row>
    <row r="310" spans="2:38">
      <c r="B310" s="222">
        <f ca="1">Fixa!B310</f>
        <v>54863</v>
      </c>
      <c r="C310" s="223" t="str">
        <f>Fixa!C310</f>
        <v/>
      </c>
      <c r="D310" s="43" t="e">
        <f t="shared" si="64"/>
        <v>#VALUE!</v>
      </c>
      <c r="E310" s="43" t="e">
        <f t="shared" si="64"/>
        <v>#VALUE!</v>
      </c>
      <c r="F310" s="43" t="e">
        <f t="shared" si="64"/>
        <v>#VALUE!</v>
      </c>
      <c r="G310" s="43" t="e">
        <f t="shared" si="59"/>
        <v>#VALUE!</v>
      </c>
      <c r="H310" s="43" t="e">
        <f t="shared" ca="1" si="60"/>
        <v>#VALUE!</v>
      </c>
      <c r="I310" s="43">
        <f t="shared" si="61"/>
        <v>0</v>
      </c>
      <c r="J310" s="229">
        <f t="shared" si="65"/>
        <v>25</v>
      </c>
      <c r="K310" s="43">
        <f t="shared" si="66"/>
        <v>0</v>
      </c>
      <c r="M310" s="224"/>
      <c r="N310" s="225">
        <f t="shared" si="67"/>
        <v>0</v>
      </c>
      <c r="O310" s="43" t="e">
        <f t="shared" si="68"/>
        <v>#VALUE!</v>
      </c>
      <c r="P310" s="43" t="e">
        <f>ROUND(IF(Preenchimento!$G$39="Tabela Price",R310-Q310,(O309*(1+$AD$35))/($AD$28-C309)),$P$22)</f>
        <v>#VALUE!</v>
      </c>
      <c r="Q310" s="43" t="e">
        <f>IF(Preenchimento!$G$39="Tabela Price",O309*(1+$AD$35)*W310,O309*(1+'SAC Padrão_Sem Bonif'!$AD$35)*'SAC Padrão_Sem Bonif'!W310)</f>
        <v>#VALUE!</v>
      </c>
      <c r="R310" s="43" t="e">
        <f>IF(Preenchimento!$G$39="Tabela Price",IF(C310="","",((((((1+W310)^($Q$16-C309))*W310)/((1+W310)^($Q$16-C309)-1))*(O309*(1+$AD$35))))),Q310+P310)</f>
        <v>#VALUE!</v>
      </c>
      <c r="S310" s="43" t="e">
        <f t="shared" ca="1" si="62"/>
        <v>#VALUE!</v>
      </c>
      <c r="T310" s="43">
        <f t="shared" si="69"/>
        <v>0</v>
      </c>
      <c r="U310" s="226">
        <f>TRUNC(T310*Condições!$C$102,2)</f>
        <v>0</v>
      </c>
      <c r="V310" s="82">
        <f t="shared" ca="1" si="63"/>
        <v>3</v>
      </c>
      <c r="W310" s="231" t="str">
        <f t="shared" si="70"/>
        <v/>
      </c>
      <c r="X310" s="210"/>
      <c r="Y310" s="210"/>
      <c r="Z310" s="210"/>
      <c r="AI310" s="114">
        <f t="shared" si="71"/>
        <v>0</v>
      </c>
      <c r="AJ310" s="113"/>
      <c r="AL310" s="477">
        <f t="shared" ca="1" si="72"/>
        <v>0</v>
      </c>
    </row>
    <row r="311" spans="2:38">
      <c r="B311" s="222">
        <f ca="1">Fixa!B311</f>
        <v>54894</v>
      </c>
      <c r="C311" s="223" t="str">
        <f>Fixa!C311</f>
        <v/>
      </c>
      <c r="D311" s="43" t="e">
        <f t="shared" si="64"/>
        <v>#VALUE!</v>
      </c>
      <c r="E311" s="43" t="e">
        <f t="shared" si="64"/>
        <v>#VALUE!</v>
      </c>
      <c r="F311" s="43" t="e">
        <f t="shared" si="64"/>
        <v>#VALUE!</v>
      </c>
      <c r="G311" s="43" t="e">
        <f t="shared" si="59"/>
        <v>#VALUE!</v>
      </c>
      <c r="H311" s="43" t="e">
        <f t="shared" ca="1" si="60"/>
        <v>#VALUE!</v>
      </c>
      <c r="I311" s="43">
        <f t="shared" si="61"/>
        <v>0</v>
      </c>
      <c r="J311" s="229">
        <f t="shared" si="65"/>
        <v>25</v>
      </c>
      <c r="K311" s="43">
        <f t="shared" si="66"/>
        <v>0</v>
      </c>
      <c r="M311" s="224"/>
      <c r="N311" s="225">
        <f t="shared" si="67"/>
        <v>0</v>
      </c>
      <c r="O311" s="43" t="e">
        <f t="shared" si="68"/>
        <v>#VALUE!</v>
      </c>
      <c r="P311" s="43" t="e">
        <f>ROUND(IF(Preenchimento!$G$39="Tabela Price",R311-Q311,(O310*(1+$AD$35))/($AD$28-C310)),$P$22)</f>
        <v>#VALUE!</v>
      </c>
      <c r="Q311" s="43" t="e">
        <f>IF(Preenchimento!$G$39="Tabela Price",O310*(1+$AD$35)*W311,O310*(1+'SAC Padrão_Sem Bonif'!$AD$35)*'SAC Padrão_Sem Bonif'!W311)</f>
        <v>#VALUE!</v>
      </c>
      <c r="R311" s="43" t="e">
        <f>IF(Preenchimento!$G$39="Tabela Price",IF(C311="","",((((((1+W311)^($Q$16-C310))*W311)/((1+W311)^($Q$16-C310)-1))*(O310*(1+$AD$35))))),Q311+P311)</f>
        <v>#VALUE!</v>
      </c>
      <c r="S311" s="43" t="e">
        <f t="shared" ca="1" si="62"/>
        <v>#VALUE!</v>
      </c>
      <c r="T311" s="43">
        <f t="shared" si="69"/>
        <v>0</v>
      </c>
      <c r="U311" s="226">
        <f>TRUNC(T311*Condições!$C$102,2)</f>
        <v>0</v>
      </c>
      <c r="V311" s="82">
        <f t="shared" ca="1" si="63"/>
        <v>4</v>
      </c>
      <c r="W311" s="231" t="str">
        <f t="shared" si="70"/>
        <v/>
      </c>
      <c r="X311" s="210"/>
      <c r="Y311" s="210"/>
      <c r="Z311" s="210"/>
      <c r="AI311" s="114">
        <f t="shared" si="71"/>
        <v>0</v>
      </c>
      <c r="AJ311" s="113"/>
      <c r="AL311" s="477">
        <f t="shared" ca="1" si="72"/>
        <v>0</v>
      </c>
    </row>
    <row r="312" spans="2:38">
      <c r="B312" s="222">
        <f ca="1">Fixa!B312</f>
        <v>54924</v>
      </c>
      <c r="C312" s="223" t="str">
        <f>Fixa!C312</f>
        <v/>
      </c>
      <c r="D312" s="43" t="e">
        <f t="shared" si="64"/>
        <v>#VALUE!</v>
      </c>
      <c r="E312" s="43" t="e">
        <f t="shared" si="64"/>
        <v>#VALUE!</v>
      </c>
      <c r="F312" s="43" t="e">
        <f t="shared" si="64"/>
        <v>#VALUE!</v>
      </c>
      <c r="G312" s="43" t="e">
        <f t="shared" si="59"/>
        <v>#VALUE!</v>
      </c>
      <c r="H312" s="43" t="e">
        <f t="shared" ca="1" si="60"/>
        <v>#VALUE!</v>
      </c>
      <c r="I312" s="43">
        <f t="shared" si="61"/>
        <v>0</v>
      </c>
      <c r="J312" s="229">
        <f t="shared" si="65"/>
        <v>25</v>
      </c>
      <c r="K312" s="43">
        <f t="shared" si="66"/>
        <v>0</v>
      </c>
      <c r="M312" s="224"/>
      <c r="N312" s="225">
        <f t="shared" si="67"/>
        <v>0</v>
      </c>
      <c r="O312" s="43" t="e">
        <f t="shared" si="68"/>
        <v>#VALUE!</v>
      </c>
      <c r="P312" s="43" t="e">
        <f>ROUND(IF(Preenchimento!$G$39="Tabela Price",R312-Q312,(O311*(1+$AD$35))/($AD$28-C311)),$P$22)</f>
        <v>#VALUE!</v>
      </c>
      <c r="Q312" s="43" t="e">
        <f>IF(Preenchimento!$G$39="Tabela Price",O311*(1+$AD$35)*W312,O311*(1+'SAC Padrão_Sem Bonif'!$AD$35)*'SAC Padrão_Sem Bonif'!W312)</f>
        <v>#VALUE!</v>
      </c>
      <c r="R312" s="43" t="e">
        <f>IF(Preenchimento!$G$39="Tabela Price",IF(C312="","",((((((1+W312)^($Q$16-C311))*W312)/((1+W312)^($Q$16-C311)-1))*(O311*(1+$AD$35))))),Q312+P312)</f>
        <v>#VALUE!</v>
      </c>
      <c r="S312" s="43" t="e">
        <f t="shared" ca="1" si="62"/>
        <v>#VALUE!</v>
      </c>
      <c r="T312" s="43">
        <f t="shared" si="69"/>
        <v>0</v>
      </c>
      <c r="U312" s="226">
        <f>TRUNC(T312*Condições!$C$102,2)</f>
        <v>0</v>
      </c>
      <c r="V312" s="82">
        <f t="shared" ca="1" si="63"/>
        <v>5</v>
      </c>
      <c r="W312" s="231" t="str">
        <f t="shared" si="70"/>
        <v/>
      </c>
      <c r="X312" s="210"/>
      <c r="Y312" s="210"/>
      <c r="Z312" s="210"/>
      <c r="AI312" s="114">
        <f t="shared" si="71"/>
        <v>0</v>
      </c>
      <c r="AJ312" s="113"/>
      <c r="AL312" s="477">
        <f t="shared" ca="1" si="72"/>
        <v>0</v>
      </c>
    </row>
    <row r="313" spans="2:38">
      <c r="B313" s="222">
        <f ca="1">Fixa!B313</f>
        <v>54955</v>
      </c>
      <c r="C313" s="223" t="str">
        <f>Fixa!C313</f>
        <v/>
      </c>
      <c r="D313" s="43" t="e">
        <f t="shared" si="64"/>
        <v>#VALUE!</v>
      </c>
      <c r="E313" s="43" t="e">
        <f t="shared" si="64"/>
        <v>#VALUE!</v>
      </c>
      <c r="F313" s="43" t="e">
        <f t="shared" si="64"/>
        <v>#VALUE!</v>
      </c>
      <c r="G313" s="43" t="e">
        <f t="shared" si="59"/>
        <v>#VALUE!</v>
      </c>
      <c r="H313" s="43" t="e">
        <f t="shared" ca="1" si="60"/>
        <v>#VALUE!</v>
      </c>
      <c r="I313" s="43">
        <f t="shared" si="61"/>
        <v>0</v>
      </c>
      <c r="J313" s="229">
        <f t="shared" si="65"/>
        <v>25</v>
      </c>
      <c r="K313" s="43">
        <f t="shared" si="66"/>
        <v>0</v>
      </c>
      <c r="M313" s="224"/>
      <c r="N313" s="225">
        <f t="shared" si="67"/>
        <v>0</v>
      </c>
      <c r="O313" s="43" t="e">
        <f t="shared" si="68"/>
        <v>#VALUE!</v>
      </c>
      <c r="P313" s="43" t="e">
        <f>ROUND(IF(Preenchimento!$G$39="Tabela Price",R313-Q313,(O312*(1+$AD$35))/($AD$28-C312)),$P$22)</f>
        <v>#VALUE!</v>
      </c>
      <c r="Q313" s="43" t="e">
        <f>IF(Preenchimento!$G$39="Tabela Price",O312*(1+$AD$35)*W313,O312*(1+'SAC Padrão_Sem Bonif'!$AD$35)*'SAC Padrão_Sem Bonif'!W313)</f>
        <v>#VALUE!</v>
      </c>
      <c r="R313" s="43" t="e">
        <f>IF(Preenchimento!$G$39="Tabela Price",IF(C313="","",((((((1+W313)^($Q$16-C312))*W313)/((1+W313)^($Q$16-C312)-1))*(O312*(1+$AD$35))))),Q313+P313)</f>
        <v>#VALUE!</v>
      </c>
      <c r="S313" s="43" t="e">
        <f t="shared" ca="1" si="62"/>
        <v>#VALUE!</v>
      </c>
      <c r="T313" s="43">
        <f t="shared" si="69"/>
        <v>0</v>
      </c>
      <c r="U313" s="226">
        <f>TRUNC(T313*Condições!$C$102,2)</f>
        <v>0</v>
      </c>
      <c r="V313" s="82">
        <f t="shared" ca="1" si="63"/>
        <v>6</v>
      </c>
      <c r="W313" s="231" t="str">
        <f t="shared" si="70"/>
        <v/>
      </c>
      <c r="X313" s="210"/>
      <c r="Y313" s="210"/>
      <c r="Z313" s="210"/>
      <c r="AI313" s="114">
        <f t="shared" si="71"/>
        <v>0</v>
      </c>
      <c r="AJ313" s="113"/>
      <c r="AL313" s="477">
        <f t="shared" ca="1" si="72"/>
        <v>0</v>
      </c>
    </row>
    <row r="314" spans="2:38">
      <c r="B314" s="222">
        <f ca="1">Fixa!B314</f>
        <v>54985</v>
      </c>
      <c r="C314" s="223" t="str">
        <f>Fixa!C314</f>
        <v/>
      </c>
      <c r="D314" s="43" t="e">
        <f t="shared" si="64"/>
        <v>#VALUE!</v>
      </c>
      <c r="E314" s="43" t="e">
        <f t="shared" si="64"/>
        <v>#VALUE!</v>
      </c>
      <c r="F314" s="43" t="e">
        <f t="shared" si="64"/>
        <v>#VALUE!</v>
      </c>
      <c r="G314" s="43" t="e">
        <f t="shared" si="59"/>
        <v>#VALUE!</v>
      </c>
      <c r="H314" s="43" t="e">
        <f t="shared" ca="1" si="60"/>
        <v>#VALUE!</v>
      </c>
      <c r="I314" s="43">
        <f t="shared" si="61"/>
        <v>0</v>
      </c>
      <c r="J314" s="229">
        <f t="shared" si="65"/>
        <v>25</v>
      </c>
      <c r="K314" s="43">
        <f t="shared" si="66"/>
        <v>0</v>
      </c>
      <c r="M314" s="224"/>
      <c r="N314" s="225">
        <f t="shared" si="67"/>
        <v>0</v>
      </c>
      <c r="O314" s="43" t="e">
        <f t="shared" si="68"/>
        <v>#VALUE!</v>
      </c>
      <c r="P314" s="43" t="e">
        <f>ROUND(IF(Preenchimento!$G$39="Tabela Price",R314-Q314,(O313*(1+$AD$35))/($AD$28-C313)),$P$22)</f>
        <v>#VALUE!</v>
      </c>
      <c r="Q314" s="43" t="e">
        <f>IF(Preenchimento!$G$39="Tabela Price",O313*(1+$AD$35)*W314,O313*(1+'SAC Padrão_Sem Bonif'!$AD$35)*'SAC Padrão_Sem Bonif'!W314)</f>
        <v>#VALUE!</v>
      </c>
      <c r="R314" s="43" t="e">
        <f>IF(Preenchimento!$G$39="Tabela Price",IF(C314="","",((((((1+W314)^($Q$16-C313))*W314)/((1+W314)^($Q$16-C313)-1))*(O313*(1+$AD$35))))),Q314+P314)</f>
        <v>#VALUE!</v>
      </c>
      <c r="S314" s="43" t="e">
        <f t="shared" ca="1" si="62"/>
        <v>#VALUE!</v>
      </c>
      <c r="T314" s="43">
        <f t="shared" si="69"/>
        <v>0</v>
      </c>
      <c r="U314" s="226">
        <f>TRUNC(T314*Condições!$C$102,2)</f>
        <v>0</v>
      </c>
      <c r="V314" s="82">
        <f t="shared" ca="1" si="63"/>
        <v>7</v>
      </c>
      <c r="W314" s="231" t="str">
        <f t="shared" si="70"/>
        <v/>
      </c>
      <c r="X314" s="210"/>
      <c r="Y314" s="210"/>
      <c r="Z314" s="210"/>
      <c r="AI314" s="114">
        <f t="shared" si="71"/>
        <v>0</v>
      </c>
      <c r="AJ314" s="113"/>
      <c r="AL314" s="477">
        <f t="shared" ca="1" si="72"/>
        <v>0</v>
      </c>
    </row>
    <row r="315" spans="2:38">
      <c r="B315" s="222">
        <f ca="1">Fixa!B315</f>
        <v>55016</v>
      </c>
      <c r="C315" s="223" t="str">
        <f>Fixa!C315</f>
        <v/>
      </c>
      <c r="D315" s="43" t="e">
        <f t="shared" si="64"/>
        <v>#VALUE!</v>
      </c>
      <c r="E315" s="43" t="e">
        <f t="shared" si="64"/>
        <v>#VALUE!</v>
      </c>
      <c r="F315" s="43" t="e">
        <f t="shared" si="64"/>
        <v>#VALUE!</v>
      </c>
      <c r="G315" s="43" t="e">
        <f t="shared" si="59"/>
        <v>#VALUE!</v>
      </c>
      <c r="H315" s="43" t="e">
        <f t="shared" ca="1" si="60"/>
        <v>#VALUE!</v>
      </c>
      <c r="I315" s="43">
        <f t="shared" si="61"/>
        <v>0</v>
      </c>
      <c r="J315" s="229">
        <f t="shared" si="65"/>
        <v>25</v>
      </c>
      <c r="K315" s="43">
        <f t="shared" si="66"/>
        <v>0</v>
      </c>
      <c r="M315" s="224"/>
      <c r="N315" s="225">
        <f t="shared" si="67"/>
        <v>0</v>
      </c>
      <c r="O315" s="43" t="e">
        <f t="shared" si="68"/>
        <v>#VALUE!</v>
      </c>
      <c r="P315" s="43" t="e">
        <f>ROUND(IF(Preenchimento!$G$39="Tabela Price",R315-Q315,(O314*(1+$AD$35))/($AD$28-C314)),$P$22)</f>
        <v>#VALUE!</v>
      </c>
      <c r="Q315" s="43" t="e">
        <f>IF(Preenchimento!$G$39="Tabela Price",O314*(1+$AD$35)*W315,O314*(1+'SAC Padrão_Sem Bonif'!$AD$35)*'SAC Padrão_Sem Bonif'!W315)</f>
        <v>#VALUE!</v>
      </c>
      <c r="R315" s="43" t="e">
        <f>IF(Preenchimento!$G$39="Tabela Price",IF(C315="","",((((((1+W315)^($Q$16-C314))*W315)/((1+W315)^($Q$16-C314)-1))*(O314*(1+$AD$35))))),Q315+P315)</f>
        <v>#VALUE!</v>
      </c>
      <c r="S315" s="43" t="e">
        <f t="shared" ca="1" si="62"/>
        <v>#VALUE!</v>
      </c>
      <c r="T315" s="43">
        <f t="shared" si="69"/>
        <v>0</v>
      </c>
      <c r="U315" s="226">
        <f>TRUNC(T315*Condições!$C$102,2)</f>
        <v>0</v>
      </c>
      <c r="V315" s="82">
        <f t="shared" ca="1" si="63"/>
        <v>8</v>
      </c>
      <c r="W315" s="231" t="str">
        <f t="shared" si="70"/>
        <v/>
      </c>
      <c r="X315" s="210"/>
      <c r="Y315" s="210"/>
      <c r="Z315" s="210"/>
      <c r="AI315" s="114">
        <f t="shared" si="71"/>
        <v>0</v>
      </c>
      <c r="AJ315" s="113"/>
      <c r="AL315" s="477">
        <f t="shared" ca="1" si="72"/>
        <v>0</v>
      </c>
    </row>
    <row r="316" spans="2:38">
      <c r="B316" s="222">
        <f ca="1">Fixa!B316</f>
        <v>55047</v>
      </c>
      <c r="C316" s="223" t="str">
        <f>Fixa!C316</f>
        <v/>
      </c>
      <c r="D316" s="43" t="e">
        <f t="shared" si="64"/>
        <v>#VALUE!</v>
      </c>
      <c r="E316" s="43" t="e">
        <f t="shared" si="64"/>
        <v>#VALUE!</v>
      </c>
      <c r="F316" s="43" t="e">
        <f t="shared" si="64"/>
        <v>#VALUE!</v>
      </c>
      <c r="G316" s="43" t="e">
        <f t="shared" si="59"/>
        <v>#VALUE!</v>
      </c>
      <c r="H316" s="43" t="e">
        <f t="shared" ca="1" si="60"/>
        <v>#VALUE!</v>
      </c>
      <c r="I316" s="43">
        <f t="shared" si="61"/>
        <v>0</v>
      </c>
      <c r="J316" s="229">
        <f t="shared" si="65"/>
        <v>25</v>
      </c>
      <c r="K316" s="43">
        <f t="shared" si="66"/>
        <v>0</v>
      </c>
      <c r="M316" s="224"/>
      <c r="N316" s="225">
        <f t="shared" si="67"/>
        <v>0</v>
      </c>
      <c r="O316" s="43" t="e">
        <f t="shared" si="68"/>
        <v>#VALUE!</v>
      </c>
      <c r="P316" s="43" t="e">
        <f>ROUND(IF(Preenchimento!$G$39="Tabela Price",R316-Q316,(O315*(1+$AD$35))/($AD$28-C315)),$P$22)</f>
        <v>#VALUE!</v>
      </c>
      <c r="Q316" s="43" t="e">
        <f>IF(Preenchimento!$G$39="Tabela Price",O315*(1+$AD$35)*W316,O315*(1+'SAC Padrão_Sem Bonif'!$AD$35)*'SAC Padrão_Sem Bonif'!W316)</f>
        <v>#VALUE!</v>
      </c>
      <c r="R316" s="43" t="e">
        <f>IF(Preenchimento!$G$39="Tabela Price",IF(C316="","",((((((1+W316)^($Q$16-C315))*W316)/((1+W316)^($Q$16-C315)-1))*(O315*(1+$AD$35))))),Q316+P316)</f>
        <v>#VALUE!</v>
      </c>
      <c r="S316" s="43" t="e">
        <f t="shared" ca="1" si="62"/>
        <v>#VALUE!</v>
      </c>
      <c r="T316" s="43">
        <f t="shared" si="69"/>
        <v>0</v>
      </c>
      <c r="U316" s="226">
        <f>TRUNC(T316*Condições!$C$102,2)</f>
        <v>0</v>
      </c>
      <c r="V316" s="82">
        <f t="shared" ca="1" si="63"/>
        <v>9</v>
      </c>
      <c r="W316" s="231" t="str">
        <f t="shared" si="70"/>
        <v/>
      </c>
      <c r="X316" s="210"/>
      <c r="Y316" s="210"/>
      <c r="Z316" s="210"/>
      <c r="AI316" s="114">
        <f t="shared" si="71"/>
        <v>0</v>
      </c>
      <c r="AJ316" s="113"/>
      <c r="AL316" s="477">
        <f t="shared" ca="1" si="72"/>
        <v>0</v>
      </c>
    </row>
    <row r="317" spans="2:38">
      <c r="B317" s="222">
        <f ca="1">Fixa!B317</f>
        <v>55077</v>
      </c>
      <c r="C317" s="223" t="str">
        <f>Fixa!C317</f>
        <v/>
      </c>
      <c r="D317" s="43" t="e">
        <f t="shared" si="64"/>
        <v>#VALUE!</v>
      </c>
      <c r="E317" s="43" t="e">
        <f t="shared" si="64"/>
        <v>#VALUE!</v>
      </c>
      <c r="F317" s="43" t="e">
        <f t="shared" si="64"/>
        <v>#VALUE!</v>
      </c>
      <c r="G317" s="43" t="e">
        <f t="shared" si="59"/>
        <v>#VALUE!</v>
      </c>
      <c r="H317" s="43" t="e">
        <f t="shared" ca="1" si="60"/>
        <v>#VALUE!</v>
      </c>
      <c r="I317" s="43">
        <f t="shared" si="61"/>
        <v>0</v>
      </c>
      <c r="J317" s="229">
        <f t="shared" si="65"/>
        <v>25</v>
      </c>
      <c r="K317" s="43">
        <f t="shared" si="66"/>
        <v>0</v>
      </c>
      <c r="M317" s="224"/>
      <c r="N317" s="225">
        <f t="shared" si="67"/>
        <v>0</v>
      </c>
      <c r="O317" s="43" t="e">
        <f t="shared" si="68"/>
        <v>#VALUE!</v>
      </c>
      <c r="P317" s="43" t="e">
        <f>ROUND(IF(Preenchimento!$G$39="Tabela Price",R317-Q317,(O316*(1+$AD$35))/($AD$28-C316)),$P$22)</f>
        <v>#VALUE!</v>
      </c>
      <c r="Q317" s="43" t="e">
        <f>IF(Preenchimento!$G$39="Tabela Price",O316*(1+$AD$35)*W317,O316*(1+'SAC Padrão_Sem Bonif'!$AD$35)*'SAC Padrão_Sem Bonif'!W317)</f>
        <v>#VALUE!</v>
      </c>
      <c r="R317" s="43" t="e">
        <f>IF(Preenchimento!$G$39="Tabela Price",IF(C317="","",((((((1+W317)^($Q$16-C316))*W317)/((1+W317)^($Q$16-C316)-1))*(O316*(1+$AD$35))))),Q317+P317)</f>
        <v>#VALUE!</v>
      </c>
      <c r="S317" s="43" t="e">
        <f t="shared" ca="1" si="62"/>
        <v>#VALUE!</v>
      </c>
      <c r="T317" s="43">
        <f t="shared" si="69"/>
        <v>0</v>
      </c>
      <c r="U317" s="226">
        <f>TRUNC(T317*Condições!$C$102,2)</f>
        <v>0</v>
      </c>
      <c r="V317" s="82">
        <f t="shared" ca="1" si="63"/>
        <v>10</v>
      </c>
      <c r="W317" s="231" t="str">
        <f t="shared" si="70"/>
        <v/>
      </c>
      <c r="X317" s="210"/>
      <c r="Y317" s="210"/>
      <c r="Z317" s="210"/>
      <c r="AI317" s="114">
        <f t="shared" si="71"/>
        <v>0</v>
      </c>
      <c r="AJ317" s="113"/>
      <c r="AL317" s="477">
        <f t="shared" ca="1" si="72"/>
        <v>0</v>
      </c>
    </row>
    <row r="318" spans="2:38">
      <c r="B318" s="222">
        <f ca="1">Fixa!B318</f>
        <v>55108</v>
      </c>
      <c r="C318" s="223" t="str">
        <f>Fixa!C318</f>
        <v/>
      </c>
      <c r="D318" s="43" t="e">
        <f t="shared" si="64"/>
        <v>#VALUE!</v>
      </c>
      <c r="E318" s="43" t="e">
        <f t="shared" si="64"/>
        <v>#VALUE!</v>
      </c>
      <c r="F318" s="43" t="e">
        <f t="shared" si="64"/>
        <v>#VALUE!</v>
      </c>
      <c r="G318" s="43" t="e">
        <f t="shared" si="59"/>
        <v>#VALUE!</v>
      </c>
      <c r="H318" s="43" t="e">
        <f t="shared" ca="1" si="60"/>
        <v>#VALUE!</v>
      </c>
      <c r="I318" s="43">
        <f t="shared" si="61"/>
        <v>0</v>
      </c>
      <c r="J318" s="229">
        <f t="shared" si="65"/>
        <v>25</v>
      </c>
      <c r="K318" s="43">
        <f t="shared" si="66"/>
        <v>0</v>
      </c>
      <c r="M318" s="224"/>
      <c r="N318" s="225">
        <f t="shared" si="67"/>
        <v>0</v>
      </c>
      <c r="O318" s="43" t="e">
        <f t="shared" si="68"/>
        <v>#VALUE!</v>
      </c>
      <c r="P318" s="43" t="e">
        <f>ROUND(IF(Preenchimento!$G$39="Tabela Price",R318-Q318,(O317*(1+$AD$35))/($AD$28-C317)),$P$22)</f>
        <v>#VALUE!</v>
      </c>
      <c r="Q318" s="43" t="e">
        <f>IF(Preenchimento!$G$39="Tabela Price",O317*(1+$AD$35)*W318,O317*(1+'SAC Padrão_Sem Bonif'!$AD$35)*'SAC Padrão_Sem Bonif'!W318)</f>
        <v>#VALUE!</v>
      </c>
      <c r="R318" s="43" t="e">
        <f>IF(Preenchimento!$G$39="Tabela Price",IF(C318="","",((((((1+W318)^($Q$16-C317))*W318)/((1+W318)^($Q$16-C317)-1))*(O317*(1+$AD$35))))),Q318+P318)</f>
        <v>#VALUE!</v>
      </c>
      <c r="S318" s="43" t="e">
        <f t="shared" ca="1" si="62"/>
        <v>#VALUE!</v>
      </c>
      <c r="T318" s="43">
        <f t="shared" si="69"/>
        <v>0</v>
      </c>
      <c r="U318" s="226">
        <f>TRUNC(T318*Condições!$C$102,2)</f>
        <v>0</v>
      </c>
      <c r="V318" s="82">
        <f t="shared" ca="1" si="63"/>
        <v>11</v>
      </c>
      <c r="W318" s="231" t="str">
        <f t="shared" si="70"/>
        <v/>
      </c>
      <c r="X318" s="210"/>
      <c r="Y318" s="210"/>
      <c r="Z318" s="210"/>
      <c r="AI318" s="114">
        <f t="shared" si="71"/>
        <v>0</v>
      </c>
      <c r="AJ318" s="113"/>
      <c r="AL318" s="477">
        <f t="shared" ca="1" si="72"/>
        <v>0</v>
      </c>
    </row>
    <row r="319" spans="2:38">
      <c r="B319" s="222">
        <f ca="1">Fixa!B319</f>
        <v>55138</v>
      </c>
      <c r="C319" s="223" t="str">
        <f>Fixa!C319</f>
        <v/>
      </c>
      <c r="D319" s="43" t="e">
        <f t="shared" si="64"/>
        <v>#VALUE!</v>
      </c>
      <c r="E319" s="43" t="e">
        <f t="shared" si="64"/>
        <v>#VALUE!</v>
      </c>
      <c r="F319" s="43" t="e">
        <f t="shared" si="64"/>
        <v>#VALUE!</v>
      </c>
      <c r="G319" s="43" t="e">
        <f t="shared" si="59"/>
        <v>#VALUE!</v>
      </c>
      <c r="H319" s="43" t="e">
        <f t="shared" ca="1" si="60"/>
        <v>#VALUE!</v>
      </c>
      <c r="I319" s="43">
        <f t="shared" si="61"/>
        <v>0</v>
      </c>
      <c r="J319" s="229">
        <f t="shared" si="65"/>
        <v>25</v>
      </c>
      <c r="K319" s="43">
        <f t="shared" si="66"/>
        <v>0</v>
      </c>
      <c r="M319" s="224"/>
      <c r="N319" s="225">
        <f t="shared" si="67"/>
        <v>0</v>
      </c>
      <c r="O319" s="43" t="e">
        <f t="shared" si="68"/>
        <v>#VALUE!</v>
      </c>
      <c r="P319" s="43" t="e">
        <f>ROUND(IF(Preenchimento!$G$39="Tabela Price",R319-Q319,(O318*(1+$AD$35))/($AD$28-C318)),$P$22)</f>
        <v>#VALUE!</v>
      </c>
      <c r="Q319" s="43" t="e">
        <f>IF(Preenchimento!$G$39="Tabela Price",O318*(1+$AD$35)*W319,O318*(1+'SAC Padrão_Sem Bonif'!$AD$35)*'SAC Padrão_Sem Bonif'!W319)</f>
        <v>#VALUE!</v>
      </c>
      <c r="R319" s="43" t="e">
        <f>IF(Preenchimento!$G$39="Tabela Price",IF(C319="","",((((((1+W319)^($Q$16-C318))*W319)/((1+W319)^($Q$16-C318)-1))*(O318*(1+$AD$35))))),Q319+P319)</f>
        <v>#VALUE!</v>
      </c>
      <c r="S319" s="43" t="e">
        <f t="shared" ca="1" si="62"/>
        <v>#VALUE!</v>
      </c>
      <c r="T319" s="43">
        <f t="shared" si="69"/>
        <v>0</v>
      </c>
      <c r="U319" s="226">
        <f>TRUNC(T319*Condições!$C$102,2)</f>
        <v>0</v>
      </c>
      <c r="V319" s="82">
        <f t="shared" ca="1" si="63"/>
        <v>12</v>
      </c>
      <c r="W319" s="231" t="str">
        <f t="shared" si="70"/>
        <v/>
      </c>
      <c r="X319" s="210"/>
      <c r="Y319" s="210"/>
      <c r="Z319" s="210"/>
      <c r="AI319" s="114">
        <f t="shared" si="71"/>
        <v>0</v>
      </c>
      <c r="AJ319" s="113"/>
      <c r="AL319" s="477">
        <f t="shared" ca="1" si="72"/>
        <v>0</v>
      </c>
    </row>
    <row r="320" spans="2:38">
      <c r="B320" s="222">
        <f ca="1">Fixa!B320</f>
        <v>55169</v>
      </c>
      <c r="C320" s="223" t="str">
        <f>Fixa!C320</f>
        <v/>
      </c>
      <c r="D320" s="43" t="e">
        <f t="shared" si="64"/>
        <v>#VALUE!</v>
      </c>
      <c r="E320" s="43" t="e">
        <f t="shared" si="64"/>
        <v>#VALUE!</v>
      </c>
      <c r="F320" s="43" t="e">
        <f t="shared" si="64"/>
        <v>#VALUE!</v>
      </c>
      <c r="G320" s="43" t="e">
        <f t="shared" si="59"/>
        <v>#VALUE!</v>
      </c>
      <c r="H320" s="43" t="e">
        <f t="shared" ca="1" si="60"/>
        <v>#VALUE!</v>
      </c>
      <c r="I320" s="43">
        <f t="shared" si="61"/>
        <v>0</v>
      </c>
      <c r="J320" s="229">
        <f t="shared" si="65"/>
        <v>25</v>
      </c>
      <c r="K320" s="43">
        <f t="shared" si="66"/>
        <v>0</v>
      </c>
      <c r="M320" s="224"/>
      <c r="N320" s="225">
        <f t="shared" si="67"/>
        <v>0</v>
      </c>
      <c r="O320" s="43" t="e">
        <f t="shared" si="68"/>
        <v>#VALUE!</v>
      </c>
      <c r="P320" s="43" t="e">
        <f>ROUND(IF(Preenchimento!$G$39="Tabela Price",R320-Q320,(O319*(1+$AD$35))/($AD$28-C319)),$P$22)</f>
        <v>#VALUE!</v>
      </c>
      <c r="Q320" s="43" t="e">
        <f>IF(Preenchimento!$G$39="Tabela Price",O319*(1+$AD$35)*W320,O319*(1+'SAC Padrão_Sem Bonif'!$AD$35)*'SAC Padrão_Sem Bonif'!W320)</f>
        <v>#VALUE!</v>
      </c>
      <c r="R320" s="43" t="e">
        <f>IF(Preenchimento!$G$39="Tabela Price",IF(C320="","",((((((1+W320)^($Q$16-C319))*W320)/((1+W320)^($Q$16-C319)-1))*(O319*(1+$AD$35))))),Q320+P320)</f>
        <v>#VALUE!</v>
      </c>
      <c r="S320" s="43" t="e">
        <f t="shared" ca="1" si="62"/>
        <v>#VALUE!</v>
      </c>
      <c r="T320" s="43">
        <f t="shared" si="69"/>
        <v>0</v>
      </c>
      <c r="U320" s="226">
        <f>TRUNC(T320*Condições!$C$102,2)</f>
        <v>0</v>
      </c>
      <c r="V320" s="82">
        <f t="shared" ca="1" si="63"/>
        <v>1</v>
      </c>
      <c r="W320" s="231" t="str">
        <f t="shared" si="70"/>
        <v/>
      </c>
      <c r="X320" s="210"/>
      <c r="Y320" s="210"/>
      <c r="Z320" s="210"/>
      <c r="AI320" s="114">
        <f t="shared" si="71"/>
        <v>0</v>
      </c>
      <c r="AJ320" s="113"/>
      <c r="AL320" s="477">
        <f t="shared" ca="1" si="72"/>
        <v>0</v>
      </c>
    </row>
    <row r="321" spans="2:38">
      <c r="B321" s="222">
        <f ca="1">Fixa!B321</f>
        <v>55200</v>
      </c>
      <c r="C321" s="223" t="str">
        <f>Fixa!C321</f>
        <v/>
      </c>
      <c r="D321" s="43" t="e">
        <f t="shared" si="64"/>
        <v>#VALUE!</v>
      </c>
      <c r="E321" s="43" t="e">
        <f t="shared" si="64"/>
        <v>#VALUE!</v>
      </c>
      <c r="F321" s="43" t="e">
        <f t="shared" si="64"/>
        <v>#VALUE!</v>
      </c>
      <c r="G321" s="43" t="e">
        <f t="shared" si="59"/>
        <v>#VALUE!</v>
      </c>
      <c r="H321" s="43" t="e">
        <f t="shared" ca="1" si="60"/>
        <v>#VALUE!</v>
      </c>
      <c r="I321" s="43">
        <f t="shared" si="61"/>
        <v>0</v>
      </c>
      <c r="J321" s="229">
        <f t="shared" si="65"/>
        <v>25</v>
      </c>
      <c r="K321" s="43">
        <f t="shared" si="66"/>
        <v>0</v>
      </c>
      <c r="M321" s="224"/>
      <c r="N321" s="225">
        <f t="shared" si="67"/>
        <v>0</v>
      </c>
      <c r="O321" s="43" t="e">
        <f t="shared" si="68"/>
        <v>#VALUE!</v>
      </c>
      <c r="P321" s="43" t="e">
        <f>ROUND(IF(Preenchimento!$G$39="Tabela Price",R321-Q321,(O320*(1+$AD$35))/($AD$28-C320)),$P$22)</f>
        <v>#VALUE!</v>
      </c>
      <c r="Q321" s="43" t="e">
        <f>IF(Preenchimento!$G$39="Tabela Price",O320*(1+$AD$35)*W321,O320*(1+'SAC Padrão_Sem Bonif'!$AD$35)*'SAC Padrão_Sem Bonif'!W321)</f>
        <v>#VALUE!</v>
      </c>
      <c r="R321" s="43" t="e">
        <f>IF(Preenchimento!$G$39="Tabela Price",IF(C321="","",((((((1+W321)^($Q$16-C320))*W321)/((1+W321)^($Q$16-C320)-1))*(O320*(1+$AD$35))))),Q321+P321)</f>
        <v>#VALUE!</v>
      </c>
      <c r="S321" s="43" t="e">
        <f t="shared" ca="1" si="62"/>
        <v>#VALUE!</v>
      </c>
      <c r="T321" s="43">
        <f t="shared" si="69"/>
        <v>0</v>
      </c>
      <c r="U321" s="226">
        <f>TRUNC(T321*Condições!$C$102,2)</f>
        <v>0</v>
      </c>
      <c r="V321" s="82">
        <f t="shared" ca="1" si="63"/>
        <v>2</v>
      </c>
      <c r="W321" s="231" t="str">
        <f t="shared" si="70"/>
        <v/>
      </c>
      <c r="X321" s="210"/>
      <c r="Y321" s="210"/>
      <c r="Z321" s="210"/>
      <c r="AI321" s="114">
        <f t="shared" si="71"/>
        <v>0</v>
      </c>
      <c r="AJ321" s="113"/>
      <c r="AL321" s="477">
        <f t="shared" ca="1" si="72"/>
        <v>0</v>
      </c>
    </row>
    <row r="322" spans="2:38">
      <c r="B322" s="222">
        <f ca="1">Fixa!B322</f>
        <v>55228</v>
      </c>
      <c r="C322" s="223" t="str">
        <f>Fixa!C322</f>
        <v/>
      </c>
      <c r="D322" s="43" t="e">
        <f t="shared" si="64"/>
        <v>#VALUE!</v>
      </c>
      <c r="E322" s="43" t="e">
        <f t="shared" si="64"/>
        <v>#VALUE!</v>
      </c>
      <c r="F322" s="43" t="e">
        <f t="shared" si="64"/>
        <v>#VALUE!</v>
      </c>
      <c r="G322" s="43" t="e">
        <f t="shared" si="59"/>
        <v>#VALUE!</v>
      </c>
      <c r="H322" s="43" t="e">
        <f t="shared" ca="1" si="60"/>
        <v>#VALUE!</v>
      </c>
      <c r="I322" s="43">
        <f t="shared" si="61"/>
        <v>0</v>
      </c>
      <c r="J322" s="229">
        <f t="shared" si="65"/>
        <v>25</v>
      </c>
      <c r="K322" s="43">
        <f t="shared" si="66"/>
        <v>0</v>
      </c>
      <c r="M322" s="224"/>
      <c r="N322" s="225">
        <f t="shared" si="67"/>
        <v>0</v>
      </c>
      <c r="O322" s="43" t="e">
        <f t="shared" si="68"/>
        <v>#VALUE!</v>
      </c>
      <c r="P322" s="43" t="e">
        <f>ROUND(IF(Preenchimento!$G$39="Tabela Price",R322-Q322,(O321*(1+$AD$35))/($AD$28-C321)),$P$22)</f>
        <v>#VALUE!</v>
      </c>
      <c r="Q322" s="43" t="e">
        <f>IF(Preenchimento!$G$39="Tabela Price",O321*(1+$AD$35)*W322,O321*(1+'SAC Padrão_Sem Bonif'!$AD$35)*'SAC Padrão_Sem Bonif'!W322)</f>
        <v>#VALUE!</v>
      </c>
      <c r="R322" s="43" t="e">
        <f>IF(Preenchimento!$G$39="Tabela Price",IF(C322="","",((((((1+W322)^($Q$16-C321))*W322)/((1+W322)^($Q$16-C321)-1))*(O321*(1+$AD$35))))),Q322+P322)</f>
        <v>#VALUE!</v>
      </c>
      <c r="S322" s="43" t="e">
        <f t="shared" ca="1" si="62"/>
        <v>#VALUE!</v>
      </c>
      <c r="T322" s="43">
        <f t="shared" si="69"/>
        <v>0</v>
      </c>
      <c r="U322" s="226">
        <f>TRUNC(T322*Condições!$C$102,2)</f>
        <v>0</v>
      </c>
      <c r="V322" s="82">
        <f t="shared" ca="1" si="63"/>
        <v>3</v>
      </c>
      <c r="W322" s="231" t="str">
        <f t="shared" si="70"/>
        <v/>
      </c>
      <c r="X322" s="210"/>
      <c r="Y322" s="210"/>
      <c r="Z322" s="210"/>
      <c r="AI322" s="114">
        <f t="shared" si="71"/>
        <v>0</v>
      </c>
      <c r="AJ322" s="113"/>
      <c r="AL322" s="477">
        <f t="shared" ca="1" si="72"/>
        <v>0</v>
      </c>
    </row>
    <row r="323" spans="2:38">
      <c r="B323" s="222">
        <f ca="1">Fixa!B323</f>
        <v>55259</v>
      </c>
      <c r="C323" s="223" t="str">
        <f>Fixa!C323</f>
        <v/>
      </c>
      <c r="D323" s="43" t="e">
        <f t="shared" si="64"/>
        <v>#VALUE!</v>
      </c>
      <c r="E323" s="43" t="e">
        <f t="shared" si="64"/>
        <v>#VALUE!</v>
      </c>
      <c r="F323" s="43" t="e">
        <f t="shared" si="64"/>
        <v>#VALUE!</v>
      </c>
      <c r="G323" s="43" t="e">
        <f t="shared" si="59"/>
        <v>#VALUE!</v>
      </c>
      <c r="H323" s="43" t="e">
        <f t="shared" ca="1" si="60"/>
        <v>#VALUE!</v>
      </c>
      <c r="I323" s="43">
        <f t="shared" si="61"/>
        <v>0</v>
      </c>
      <c r="J323" s="229">
        <f t="shared" si="65"/>
        <v>25</v>
      </c>
      <c r="K323" s="43">
        <f t="shared" si="66"/>
        <v>0</v>
      </c>
      <c r="M323" s="224"/>
      <c r="N323" s="225">
        <f t="shared" si="67"/>
        <v>0</v>
      </c>
      <c r="O323" s="43" t="e">
        <f t="shared" si="68"/>
        <v>#VALUE!</v>
      </c>
      <c r="P323" s="43" t="e">
        <f>ROUND(IF(Preenchimento!$G$39="Tabela Price",R323-Q323,(O322*(1+$AD$35))/($AD$28-C322)),$P$22)</f>
        <v>#VALUE!</v>
      </c>
      <c r="Q323" s="43" t="e">
        <f>IF(Preenchimento!$G$39="Tabela Price",O322*(1+$AD$35)*W323,O322*(1+'SAC Padrão_Sem Bonif'!$AD$35)*'SAC Padrão_Sem Bonif'!W323)</f>
        <v>#VALUE!</v>
      </c>
      <c r="R323" s="43" t="e">
        <f>IF(Preenchimento!$G$39="Tabela Price",IF(C323="","",((((((1+W323)^($Q$16-C322))*W323)/((1+W323)^($Q$16-C322)-1))*(O322*(1+$AD$35))))),Q323+P323)</f>
        <v>#VALUE!</v>
      </c>
      <c r="S323" s="43" t="e">
        <f t="shared" ca="1" si="62"/>
        <v>#VALUE!</v>
      </c>
      <c r="T323" s="43">
        <f t="shared" si="69"/>
        <v>0</v>
      </c>
      <c r="U323" s="226">
        <f>TRUNC(T323*Condições!$C$102,2)</f>
        <v>0</v>
      </c>
      <c r="V323" s="82">
        <f t="shared" ca="1" si="63"/>
        <v>4</v>
      </c>
      <c r="W323" s="231" t="str">
        <f t="shared" si="70"/>
        <v/>
      </c>
      <c r="X323" s="210"/>
      <c r="Y323" s="210"/>
      <c r="Z323" s="210"/>
      <c r="AI323" s="114">
        <f t="shared" si="71"/>
        <v>0</v>
      </c>
      <c r="AJ323" s="113"/>
      <c r="AL323" s="477">
        <f t="shared" ca="1" si="72"/>
        <v>0</v>
      </c>
    </row>
    <row r="324" spans="2:38">
      <c r="B324" s="222">
        <f ca="1">Fixa!B324</f>
        <v>55289</v>
      </c>
      <c r="C324" s="223" t="str">
        <f>Fixa!C324</f>
        <v/>
      </c>
      <c r="D324" s="43" t="e">
        <f t="shared" si="64"/>
        <v>#VALUE!</v>
      </c>
      <c r="E324" s="43" t="e">
        <f t="shared" si="64"/>
        <v>#VALUE!</v>
      </c>
      <c r="F324" s="43" t="e">
        <f t="shared" si="64"/>
        <v>#VALUE!</v>
      </c>
      <c r="G324" s="43" t="e">
        <f t="shared" si="59"/>
        <v>#VALUE!</v>
      </c>
      <c r="H324" s="43" t="e">
        <f t="shared" ca="1" si="60"/>
        <v>#VALUE!</v>
      </c>
      <c r="I324" s="43">
        <f t="shared" si="61"/>
        <v>0</v>
      </c>
      <c r="J324" s="229">
        <f t="shared" si="65"/>
        <v>25</v>
      </c>
      <c r="K324" s="43">
        <f t="shared" si="66"/>
        <v>0</v>
      </c>
      <c r="M324" s="224"/>
      <c r="N324" s="225">
        <f t="shared" si="67"/>
        <v>0</v>
      </c>
      <c r="O324" s="43" t="e">
        <f t="shared" si="68"/>
        <v>#VALUE!</v>
      </c>
      <c r="P324" s="43" t="e">
        <f>ROUND(IF(Preenchimento!$G$39="Tabela Price",R324-Q324,(O323*(1+$AD$35))/($AD$28-C323)),$P$22)</f>
        <v>#VALUE!</v>
      </c>
      <c r="Q324" s="43" t="e">
        <f>IF(Preenchimento!$G$39="Tabela Price",O323*(1+$AD$35)*W324,O323*(1+'SAC Padrão_Sem Bonif'!$AD$35)*'SAC Padrão_Sem Bonif'!W324)</f>
        <v>#VALUE!</v>
      </c>
      <c r="R324" s="43" t="e">
        <f>IF(Preenchimento!$G$39="Tabela Price",IF(C324="","",((((((1+W324)^($Q$16-C323))*W324)/((1+W324)^($Q$16-C323)-1))*(O323*(1+$AD$35))))),Q324+P324)</f>
        <v>#VALUE!</v>
      </c>
      <c r="S324" s="43" t="e">
        <f t="shared" ca="1" si="62"/>
        <v>#VALUE!</v>
      </c>
      <c r="T324" s="43">
        <f t="shared" si="69"/>
        <v>0</v>
      </c>
      <c r="U324" s="226">
        <f>TRUNC(T324*Condições!$C$102,2)</f>
        <v>0</v>
      </c>
      <c r="V324" s="82">
        <f t="shared" ca="1" si="63"/>
        <v>5</v>
      </c>
      <c r="W324" s="231" t="str">
        <f t="shared" si="70"/>
        <v/>
      </c>
      <c r="X324" s="210"/>
      <c r="Y324" s="210"/>
      <c r="Z324" s="210"/>
      <c r="AI324" s="114">
        <f t="shared" si="71"/>
        <v>0</v>
      </c>
      <c r="AJ324" s="113"/>
      <c r="AL324" s="477">
        <f t="shared" ca="1" si="72"/>
        <v>0</v>
      </c>
    </row>
    <row r="325" spans="2:38">
      <c r="B325" s="222">
        <f ca="1">Fixa!B325</f>
        <v>55320</v>
      </c>
      <c r="C325" s="223" t="str">
        <f>Fixa!C325</f>
        <v/>
      </c>
      <c r="D325" s="43" t="e">
        <f t="shared" si="64"/>
        <v>#VALUE!</v>
      </c>
      <c r="E325" s="43" t="e">
        <f t="shared" si="64"/>
        <v>#VALUE!</v>
      </c>
      <c r="F325" s="43" t="e">
        <f t="shared" si="64"/>
        <v>#VALUE!</v>
      </c>
      <c r="G325" s="43" t="e">
        <f t="shared" si="59"/>
        <v>#VALUE!</v>
      </c>
      <c r="H325" s="43" t="e">
        <f t="shared" ca="1" si="60"/>
        <v>#VALUE!</v>
      </c>
      <c r="I325" s="43">
        <f t="shared" si="61"/>
        <v>0</v>
      </c>
      <c r="J325" s="229">
        <f t="shared" si="65"/>
        <v>25</v>
      </c>
      <c r="K325" s="43">
        <f t="shared" si="66"/>
        <v>0</v>
      </c>
      <c r="M325" s="224"/>
      <c r="N325" s="225">
        <f t="shared" si="67"/>
        <v>0</v>
      </c>
      <c r="O325" s="43" t="e">
        <f t="shared" si="68"/>
        <v>#VALUE!</v>
      </c>
      <c r="P325" s="43" t="e">
        <f>ROUND(IF(Preenchimento!$G$39="Tabela Price",R325-Q325,(O324*(1+$AD$35))/($AD$28-C324)),$P$22)</f>
        <v>#VALUE!</v>
      </c>
      <c r="Q325" s="43" t="e">
        <f>IF(Preenchimento!$G$39="Tabela Price",O324*(1+$AD$35)*W325,O324*(1+'SAC Padrão_Sem Bonif'!$AD$35)*'SAC Padrão_Sem Bonif'!W325)</f>
        <v>#VALUE!</v>
      </c>
      <c r="R325" s="43" t="e">
        <f>IF(Preenchimento!$G$39="Tabela Price",IF(C325="","",((((((1+W325)^($Q$16-C324))*W325)/((1+W325)^($Q$16-C324)-1))*(O324*(1+$AD$35))))),Q325+P325)</f>
        <v>#VALUE!</v>
      </c>
      <c r="S325" s="43" t="e">
        <f t="shared" ca="1" si="62"/>
        <v>#VALUE!</v>
      </c>
      <c r="T325" s="43">
        <f t="shared" si="69"/>
        <v>0</v>
      </c>
      <c r="U325" s="226">
        <f>TRUNC(T325*Condições!$C$102,2)</f>
        <v>0</v>
      </c>
      <c r="V325" s="82">
        <f t="shared" ca="1" si="63"/>
        <v>6</v>
      </c>
      <c r="W325" s="231" t="str">
        <f t="shared" si="70"/>
        <v/>
      </c>
      <c r="X325" s="210"/>
      <c r="Y325" s="210"/>
      <c r="Z325" s="210"/>
      <c r="AI325" s="114">
        <f t="shared" si="71"/>
        <v>0</v>
      </c>
      <c r="AJ325" s="113"/>
      <c r="AL325" s="477">
        <f t="shared" ca="1" si="72"/>
        <v>0</v>
      </c>
    </row>
    <row r="326" spans="2:38">
      <c r="B326" s="222">
        <f ca="1">Fixa!B326</f>
        <v>55350</v>
      </c>
      <c r="C326" s="223" t="str">
        <f>Fixa!C326</f>
        <v/>
      </c>
      <c r="D326" s="43" t="e">
        <f t="shared" si="64"/>
        <v>#VALUE!</v>
      </c>
      <c r="E326" s="43" t="e">
        <f t="shared" si="64"/>
        <v>#VALUE!</v>
      </c>
      <c r="F326" s="43" t="e">
        <f t="shared" si="64"/>
        <v>#VALUE!</v>
      </c>
      <c r="G326" s="43" t="e">
        <f t="shared" si="59"/>
        <v>#VALUE!</v>
      </c>
      <c r="H326" s="43" t="e">
        <f t="shared" ca="1" si="60"/>
        <v>#VALUE!</v>
      </c>
      <c r="I326" s="43">
        <f t="shared" si="61"/>
        <v>0</v>
      </c>
      <c r="J326" s="229">
        <f t="shared" si="65"/>
        <v>25</v>
      </c>
      <c r="K326" s="43">
        <f t="shared" si="66"/>
        <v>0</v>
      </c>
      <c r="M326" s="224"/>
      <c r="N326" s="225">
        <f t="shared" si="67"/>
        <v>0</v>
      </c>
      <c r="O326" s="43" t="e">
        <f t="shared" si="68"/>
        <v>#VALUE!</v>
      </c>
      <c r="P326" s="43" t="e">
        <f>ROUND(IF(Preenchimento!$G$39="Tabela Price",R326-Q326,(O325*(1+$AD$35))/($AD$28-C325)),$P$22)</f>
        <v>#VALUE!</v>
      </c>
      <c r="Q326" s="43" t="e">
        <f>IF(Preenchimento!$G$39="Tabela Price",O325*(1+$AD$35)*W326,O325*(1+'SAC Padrão_Sem Bonif'!$AD$35)*'SAC Padrão_Sem Bonif'!W326)</f>
        <v>#VALUE!</v>
      </c>
      <c r="R326" s="43" t="e">
        <f>IF(Preenchimento!$G$39="Tabela Price",IF(C326="","",((((((1+W326)^($Q$16-C325))*W326)/((1+W326)^($Q$16-C325)-1))*(O325*(1+$AD$35))))),Q326+P326)</f>
        <v>#VALUE!</v>
      </c>
      <c r="S326" s="43" t="e">
        <f t="shared" ca="1" si="62"/>
        <v>#VALUE!</v>
      </c>
      <c r="T326" s="43">
        <f t="shared" si="69"/>
        <v>0</v>
      </c>
      <c r="U326" s="226">
        <f>TRUNC(T326*Condições!$C$102,2)</f>
        <v>0</v>
      </c>
      <c r="V326" s="82">
        <f t="shared" ca="1" si="63"/>
        <v>7</v>
      </c>
      <c r="W326" s="231" t="str">
        <f t="shared" si="70"/>
        <v/>
      </c>
      <c r="X326" s="210"/>
      <c r="Y326" s="210"/>
      <c r="Z326" s="210"/>
      <c r="AI326" s="114">
        <f t="shared" si="71"/>
        <v>0</v>
      </c>
      <c r="AJ326" s="113"/>
      <c r="AL326" s="477">
        <f t="shared" ca="1" si="72"/>
        <v>0</v>
      </c>
    </row>
    <row r="327" spans="2:38">
      <c r="B327" s="222">
        <f ca="1">Fixa!B327</f>
        <v>55381</v>
      </c>
      <c r="C327" s="223" t="str">
        <f>Fixa!C327</f>
        <v/>
      </c>
      <c r="D327" s="43" t="e">
        <f t="shared" si="64"/>
        <v>#VALUE!</v>
      </c>
      <c r="E327" s="43" t="e">
        <f t="shared" si="64"/>
        <v>#VALUE!</v>
      </c>
      <c r="F327" s="43" t="e">
        <f t="shared" si="64"/>
        <v>#VALUE!</v>
      </c>
      <c r="G327" s="43" t="e">
        <f t="shared" si="59"/>
        <v>#VALUE!</v>
      </c>
      <c r="H327" s="43" t="e">
        <f t="shared" ca="1" si="60"/>
        <v>#VALUE!</v>
      </c>
      <c r="I327" s="43">
        <f t="shared" si="61"/>
        <v>0</v>
      </c>
      <c r="J327" s="229">
        <f t="shared" si="65"/>
        <v>25</v>
      </c>
      <c r="K327" s="43">
        <f t="shared" si="66"/>
        <v>0</v>
      </c>
      <c r="M327" s="224"/>
      <c r="N327" s="225">
        <f t="shared" si="67"/>
        <v>0</v>
      </c>
      <c r="O327" s="43" t="e">
        <f t="shared" si="68"/>
        <v>#VALUE!</v>
      </c>
      <c r="P327" s="43" t="e">
        <f>ROUND(IF(Preenchimento!$G$39="Tabela Price",R327-Q327,(O326*(1+$AD$35))/($AD$28-C326)),$P$22)</f>
        <v>#VALUE!</v>
      </c>
      <c r="Q327" s="43" t="e">
        <f>IF(Preenchimento!$G$39="Tabela Price",O326*(1+$AD$35)*W327,O326*(1+'SAC Padrão_Sem Bonif'!$AD$35)*'SAC Padrão_Sem Bonif'!W327)</f>
        <v>#VALUE!</v>
      </c>
      <c r="R327" s="43" t="e">
        <f>IF(Preenchimento!$G$39="Tabela Price",IF(C327="","",((((((1+W327)^($Q$16-C326))*W327)/((1+W327)^($Q$16-C326)-1))*(O326*(1+$AD$35))))),Q327+P327)</f>
        <v>#VALUE!</v>
      </c>
      <c r="S327" s="43" t="e">
        <f t="shared" ca="1" si="62"/>
        <v>#VALUE!</v>
      </c>
      <c r="T327" s="43">
        <f t="shared" si="69"/>
        <v>0</v>
      </c>
      <c r="U327" s="226">
        <f>TRUNC(T327*Condições!$C$102,2)</f>
        <v>0</v>
      </c>
      <c r="V327" s="82">
        <f t="shared" ca="1" si="63"/>
        <v>8</v>
      </c>
      <c r="W327" s="231" t="str">
        <f t="shared" si="70"/>
        <v/>
      </c>
      <c r="X327" s="210"/>
      <c r="Y327" s="210"/>
      <c r="Z327" s="210"/>
      <c r="AI327" s="114">
        <f t="shared" si="71"/>
        <v>0</v>
      </c>
      <c r="AJ327" s="113"/>
      <c r="AL327" s="477">
        <f t="shared" ca="1" si="72"/>
        <v>0</v>
      </c>
    </row>
    <row r="328" spans="2:38">
      <c r="B328" s="222">
        <f ca="1">Fixa!B328</f>
        <v>55412</v>
      </c>
      <c r="C328" s="223" t="str">
        <f>Fixa!C328</f>
        <v/>
      </c>
      <c r="D328" s="43" t="e">
        <f t="shared" si="64"/>
        <v>#VALUE!</v>
      </c>
      <c r="E328" s="43" t="e">
        <f t="shared" si="64"/>
        <v>#VALUE!</v>
      </c>
      <c r="F328" s="43" t="e">
        <f t="shared" si="64"/>
        <v>#VALUE!</v>
      </c>
      <c r="G328" s="43" t="e">
        <f t="shared" si="59"/>
        <v>#VALUE!</v>
      </c>
      <c r="H328" s="43" t="e">
        <f t="shared" ca="1" si="60"/>
        <v>#VALUE!</v>
      </c>
      <c r="I328" s="43">
        <f t="shared" si="61"/>
        <v>0</v>
      </c>
      <c r="J328" s="229">
        <f t="shared" si="65"/>
        <v>25</v>
      </c>
      <c r="K328" s="43">
        <f t="shared" si="66"/>
        <v>0</v>
      </c>
      <c r="M328" s="224"/>
      <c r="N328" s="225">
        <f t="shared" si="67"/>
        <v>0</v>
      </c>
      <c r="O328" s="43" t="e">
        <f t="shared" si="68"/>
        <v>#VALUE!</v>
      </c>
      <c r="P328" s="43" t="e">
        <f>ROUND(IF(Preenchimento!$G$39="Tabela Price",R328-Q328,(O327*(1+$AD$35))/($AD$28-C327)),$P$22)</f>
        <v>#VALUE!</v>
      </c>
      <c r="Q328" s="43" t="e">
        <f>IF(Preenchimento!$G$39="Tabela Price",O327*(1+$AD$35)*W328,O327*(1+'SAC Padrão_Sem Bonif'!$AD$35)*'SAC Padrão_Sem Bonif'!W328)</f>
        <v>#VALUE!</v>
      </c>
      <c r="R328" s="43" t="e">
        <f>IF(Preenchimento!$G$39="Tabela Price",IF(C328="","",((((((1+W328)^($Q$16-C327))*W328)/((1+W328)^($Q$16-C327)-1))*(O327*(1+$AD$35))))),Q328+P328)</f>
        <v>#VALUE!</v>
      </c>
      <c r="S328" s="43" t="e">
        <f t="shared" ca="1" si="62"/>
        <v>#VALUE!</v>
      </c>
      <c r="T328" s="43">
        <f t="shared" si="69"/>
        <v>0</v>
      </c>
      <c r="U328" s="226">
        <f>TRUNC(T328*Condições!$C$102,2)</f>
        <v>0</v>
      </c>
      <c r="V328" s="82">
        <f t="shared" ca="1" si="63"/>
        <v>9</v>
      </c>
      <c r="W328" s="231" t="str">
        <f t="shared" si="70"/>
        <v/>
      </c>
      <c r="X328" s="210"/>
      <c r="Y328" s="210"/>
      <c r="Z328" s="210"/>
      <c r="AI328" s="114">
        <f t="shared" si="71"/>
        <v>0</v>
      </c>
      <c r="AJ328" s="113"/>
      <c r="AL328" s="477">
        <f t="shared" ca="1" si="72"/>
        <v>0</v>
      </c>
    </row>
    <row r="329" spans="2:38">
      <c r="B329" s="222">
        <f ca="1">Fixa!B329</f>
        <v>55442</v>
      </c>
      <c r="C329" s="223" t="str">
        <f>Fixa!C329</f>
        <v/>
      </c>
      <c r="D329" s="43" t="e">
        <f t="shared" si="64"/>
        <v>#VALUE!</v>
      </c>
      <c r="E329" s="43" t="e">
        <f t="shared" si="64"/>
        <v>#VALUE!</v>
      </c>
      <c r="F329" s="43" t="e">
        <f t="shared" si="64"/>
        <v>#VALUE!</v>
      </c>
      <c r="G329" s="43" t="e">
        <f t="shared" si="59"/>
        <v>#VALUE!</v>
      </c>
      <c r="H329" s="43" t="e">
        <f t="shared" ca="1" si="60"/>
        <v>#VALUE!</v>
      </c>
      <c r="I329" s="43">
        <f t="shared" si="61"/>
        <v>0</v>
      </c>
      <c r="J329" s="229">
        <f t="shared" si="65"/>
        <v>25</v>
      </c>
      <c r="K329" s="43">
        <f t="shared" si="66"/>
        <v>0</v>
      </c>
      <c r="M329" s="224"/>
      <c r="N329" s="225">
        <f t="shared" si="67"/>
        <v>0</v>
      </c>
      <c r="O329" s="43" t="e">
        <f t="shared" si="68"/>
        <v>#VALUE!</v>
      </c>
      <c r="P329" s="43" t="e">
        <f>ROUND(IF(Preenchimento!$G$39="Tabela Price",R329-Q329,(O328*(1+$AD$35))/($AD$28-C328)),$P$22)</f>
        <v>#VALUE!</v>
      </c>
      <c r="Q329" s="43" t="e">
        <f>IF(Preenchimento!$G$39="Tabela Price",O328*(1+$AD$35)*W329,O328*(1+'SAC Padrão_Sem Bonif'!$AD$35)*'SAC Padrão_Sem Bonif'!W329)</f>
        <v>#VALUE!</v>
      </c>
      <c r="R329" s="43" t="e">
        <f>IF(Preenchimento!$G$39="Tabela Price",IF(C329="","",((((((1+W329)^($Q$16-C328))*W329)/((1+W329)^($Q$16-C328)-1))*(O328*(1+$AD$35))))),Q329+P329)</f>
        <v>#VALUE!</v>
      </c>
      <c r="S329" s="43" t="e">
        <f t="shared" ca="1" si="62"/>
        <v>#VALUE!</v>
      </c>
      <c r="T329" s="43">
        <f t="shared" si="69"/>
        <v>0</v>
      </c>
      <c r="U329" s="226">
        <f>TRUNC(T329*Condições!$C$102,2)</f>
        <v>0</v>
      </c>
      <c r="V329" s="82">
        <f t="shared" ca="1" si="63"/>
        <v>10</v>
      </c>
      <c r="W329" s="231" t="str">
        <f t="shared" si="70"/>
        <v/>
      </c>
      <c r="X329" s="210"/>
      <c r="Y329" s="210"/>
      <c r="Z329" s="210"/>
      <c r="AI329" s="114">
        <f t="shared" si="71"/>
        <v>0</v>
      </c>
      <c r="AJ329" s="113"/>
      <c r="AL329" s="477">
        <f t="shared" ca="1" si="72"/>
        <v>0</v>
      </c>
    </row>
    <row r="330" spans="2:38">
      <c r="B330" s="222">
        <f ca="1">Fixa!B330</f>
        <v>55473</v>
      </c>
      <c r="C330" s="223" t="str">
        <f>Fixa!C330</f>
        <v/>
      </c>
      <c r="D330" s="43" t="e">
        <f t="shared" si="64"/>
        <v>#VALUE!</v>
      </c>
      <c r="E330" s="43" t="e">
        <f t="shared" si="64"/>
        <v>#VALUE!</v>
      </c>
      <c r="F330" s="43" t="e">
        <f t="shared" si="64"/>
        <v>#VALUE!</v>
      </c>
      <c r="G330" s="43" t="e">
        <f t="shared" si="59"/>
        <v>#VALUE!</v>
      </c>
      <c r="H330" s="43" t="e">
        <f t="shared" ca="1" si="60"/>
        <v>#VALUE!</v>
      </c>
      <c r="I330" s="43">
        <f t="shared" si="61"/>
        <v>0</v>
      </c>
      <c r="J330" s="229">
        <f t="shared" si="65"/>
        <v>25</v>
      </c>
      <c r="K330" s="43">
        <f t="shared" si="66"/>
        <v>0</v>
      </c>
      <c r="M330" s="224"/>
      <c r="N330" s="225">
        <f t="shared" si="67"/>
        <v>0</v>
      </c>
      <c r="O330" s="43" t="e">
        <f t="shared" si="68"/>
        <v>#VALUE!</v>
      </c>
      <c r="P330" s="43" t="e">
        <f>ROUND(IF(Preenchimento!$G$39="Tabela Price",R330-Q330,(O329*(1+$AD$35))/($AD$28-C329)),$P$22)</f>
        <v>#VALUE!</v>
      </c>
      <c r="Q330" s="43" t="e">
        <f>IF(Preenchimento!$G$39="Tabela Price",O329*(1+$AD$35)*W330,O329*(1+'SAC Padrão_Sem Bonif'!$AD$35)*'SAC Padrão_Sem Bonif'!W330)</f>
        <v>#VALUE!</v>
      </c>
      <c r="R330" s="43" t="e">
        <f>IF(Preenchimento!$G$39="Tabela Price",IF(C330="","",((((((1+W330)^($Q$16-C329))*W330)/((1+W330)^($Q$16-C329)-1))*(O329*(1+$AD$35))))),Q330+P330)</f>
        <v>#VALUE!</v>
      </c>
      <c r="S330" s="43" t="e">
        <f t="shared" ca="1" si="62"/>
        <v>#VALUE!</v>
      </c>
      <c r="T330" s="43">
        <f t="shared" si="69"/>
        <v>0</v>
      </c>
      <c r="U330" s="226">
        <f>TRUNC(T330*Condições!$C$102,2)</f>
        <v>0</v>
      </c>
      <c r="V330" s="82">
        <f t="shared" ca="1" si="63"/>
        <v>11</v>
      </c>
      <c r="W330" s="231" t="str">
        <f t="shared" si="70"/>
        <v/>
      </c>
      <c r="X330" s="210"/>
      <c r="Y330" s="210"/>
      <c r="Z330" s="210"/>
      <c r="AI330" s="114">
        <f t="shared" si="71"/>
        <v>0</v>
      </c>
      <c r="AJ330" s="113"/>
      <c r="AL330" s="477">
        <f t="shared" ca="1" si="72"/>
        <v>0</v>
      </c>
    </row>
    <row r="331" spans="2:38">
      <c r="B331" s="222">
        <f ca="1">Fixa!B331</f>
        <v>55503</v>
      </c>
      <c r="C331" s="223" t="str">
        <f>Fixa!C331</f>
        <v/>
      </c>
      <c r="D331" s="43" t="e">
        <f t="shared" si="64"/>
        <v>#VALUE!</v>
      </c>
      <c r="E331" s="43" t="e">
        <f t="shared" si="64"/>
        <v>#VALUE!</v>
      </c>
      <c r="F331" s="43" t="e">
        <f t="shared" si="64"/>
        <v>#VALUE!</v>
      </c>
      <c r="G331" s="43" t="e">
        <f t="shared" si="59"/>
        <v>#VALUE!</v>
      </c>
      <c r="H331" s="43" t="e">
        <f t="shared" ca="1" si="60"/>
        <v>#VALUE!</v>
      </c>
      <c r="I331" s="43">
        <f t="shared" si="61"/>
        <v>0</v>
      </c>
      <c r="J331" s="229">
        <f t="shared" si="65"/>
        <v>25</v>
      </c>
      <c r="K331" s="43">
        <f t="shared" si="66"/>
        <v>0</v>
      </c>
      <c r="M331" s="224"/>
      <c r="N331" s="225">
        <f t="shared" si="67"/>
        <v>0</v>
      </c>
      <c r="O331" s="43" t="e">
        <f t="shared" si="68"/>
        <v>#VALUE!</v>
      </c>
      <c r="P331" s="43" t="e">
        <f>ROUND(IF(Preenchimento!$G$39="Tabela Price",R331-Q331,(O330*(1+$AD$35))/($AD$28-C330)),$P$22)</f>
        <v>#VALUE!</v>
      </c>
      <c r="Q331" s="43" t="e">
        <f>IF(Preenchimento!$G$39="Tabela Price",O330*(1+$AD$35)*W331,O330*(1+'SAC Padrão_Sem Bonif'!$AD$35)*'SAC Padrão_Sem Bonif'!W331)</f>
        <v>#VALUE!</v>
      </c>
      <c r="R331" s="43" t="e">
        <f>IF(Preenchimento!$G$39="Tabela Price",IF(C331="","",((((((1+W331)^($Q$16-C330))*W331)/((1+W331)^($Q$16-C330)-1))*(O330*(1+$AD$35))))),Q331+P331)</f>
        <v>#VALUE!</v>
      </c>
      <c r="S331" s="43" t="e">
        <f t="shared" ca="1" si="62"/>
        <v>#VALUE!</v>
      </c>
      <c r="T331" s="43">
        <f t="shared" si="69"/>
        <v>0</v>
      </c>
      <c r="U331" s="226">
        <f>TRUNC(T331*Condições!$C$102,2)</f>
        <v>0</v>
      </c>
      <c r="V331" s="82">
        <f t="shared" ca="1" si="63"/>
        <v>12</v>
      </c>
      <c r="W331" s="231" t="str">
        <f t="shared" si="70"/>
        <v/>
      </c>
      <c r="X331" s="210"/>
      <c r="Y331" s="210"/>
      <c r="Z331" s="210"/>
      <c r="AI331" s="114">
        <f t="shared" si="71"/>
        <v>0</v>
      </c>
      <c r="AJ331" s="113"/>
      <c r="AL331" s="477">
        <f t="shared" ca="1" si="72"/>
        <v>0</v>
      </c>
    </row>
    <row r="332" spans="2:38">
      <c r="B332" s="222">
        <f ca="1">Fixa!B332</f>
        <v>55534</v>
      </c>
      <c r="C332" s="223" t="str">
        <f>Fixa!C332</f>
        <v/>
      </c>
      <c r="D332" s="43" t="e">
        <f t="shared" si="64"/>
        <v>#VALUE!</v>
      </c>
      <c r="E332" s="43" t="e">
        <f t="shared" si="64"/>
        <v>#VALUE!</v>
      </c>
      <c r="F332" s="43" t="e">
        <f t="shared" si="64"/>
        <v>#VALUE!</v>
      </c>
      <c r="G332" s="43" t="e">
        <f t="shared" si="59"/>
        <v>#VALUE!</v>
      </c>
      <c r="H332" s="43" t="e">
        <f t="shared" ca="1" si="60"/>
        <v>#VALUE!</v>
      </c>
      <c r="I332" s="43">
        <f t="shared" si="61"/>
        <v>0</v>
      </c>
      <c r="J332" s="229">
        <f t="shared" si="65"/>
        <v>25</v>
      </c>
      <c r="K332" s="43">
        <f t="shared" si="66"/>
        <v>0</v>
      </c>
      <c r="M332" s="224"/>
      <c r="N332" s="225">
        <f t="shared" si="67"/>
        <v>0</v>
      </c>
      <c r="O332" s="43" t="e">
        <f t="shared" si="68"/>
        <v>#VALUE!</v>
      </c>
      <c r="P332" s="43" t="e">
        <f>ROUND(IF(Preenchimento!$G$39="Tabela Price",R332-Q332,(O331*(1+$AD$35))/($AD$28-C331)),$P$22)</f>
        <v>#VALUE!</v>
      </c>
      <c r="Q332" s="43" t="e">
        <f>IF(Preenchimento!$G$39="Tabela Price",O331*(1+$AD$35)*W332,O331*(1+'SAC Padrão_Sem Bonif'!$AD$35)*'SAC Padrão_Sem Bonif'!W332)</f>
        <v>#VALUE!</v>
      </c>
      <c r="R332" s="43" t="e">
        <f>IF(Preenchimento!$G$39="Tabela Price",IF(C332="","",((((((1+W332)^($Q$16-C331))*W332)/((1+W332)^($Q$16-C331)-1))*(O331*(1+$AD$35))))),Q332+P332)</f>
        <v>#VALUE!</v>
      </c>
      <c r="S332" s="43" t="e">
        <f t="shared" ca="1" si="62"/>
        <v>#VALUE!</v>
      </c>
      <c r="T332" s="43">
        <f t="shared" si="69"/>
        <v>0</v>
      </c>
      <c r="U332" s="226">
        <f>TRUNC(T332*Condições!$C$102,2)</f>
        <v>0</v>
      </c>
      <c r="V332" s="82">
        <f t="shared" ca="1" si="63"/>
        <v>1</v>
      </c>
      <c r="W332" s="231" t="str">
        <f t="shared" si="70"/>
        <v/>
      </c>
      <c r="X332" s="210"/>
      <c r="Y332" s="210"/>
      <c r="Z332" s="210"/>
      <c r="AI332" s="114">
        <f t="shared" si="71"/>
        <v>0</v>
      </c>
      <c r="AJ332" s="113"/>
      <c r="AL332" s="477">
        <f t="shared" ca="1" si="72"/>
        <v>0</v>
      </c>
    </row>
    <row r="333" spans="2:38">
      <c r="B333" s="222">
        <f ca="1">Fixa!B333</f>
        <v>55565</v>
      </c>
      <c r="C333" s="223" t="str">
        <f>Fixa!C333</f>
        <v/>
      </c>
      <c r="D333" s="43" t="e">
        <f t="shared" si="64"/>
        <v>#VALUE!</v>
      </c>
      <c r="E333" s="43" t="e">
        <f t="shared" si="64"/>
        <v>#VALUE!</v>
      </c>
      <c r="F333" s="43" t="e">
        <f t="shared" si="64"/>
        <v>#VALUE!</v>
      </c>
      <c r="G333" s="43" t="e">
        <f t="shared" si="59"/>
        <v>#VALUE!</v>
      </c>
      <c r="H333" s="43" t="e">
        <f t="shared" ca="1" si="60"/>
        <v>#VALUE!</v>
      </c>
      <c r="I333" s="43">
        <f t="shared" si="61"/>
        <v>0</v>
      </c>
      <c r="J333" s="229">
        <f t="shared" si="65"/>
        <v>25</v>
      </c>
      <c r="K333" s="43">
        <f t="shared" si="66"/>
        <v>0</v>
      </c>
      <c r="M333" s="224"/>
      <c r="N333" s="225">
        <f t="shared" si="67"/>
        <v>0</v>
      </c>
      <c r="O333" s="43" t="e">
        <f t="shared" si="68"/>
        <v>#VALUE!</v>
      </c>
      <c r="P333" s="43" t="e">
        <f>ROUND(IF(Preenchimento!$G$39="Tabela Price",R333-Q333,(O332*(1+$AD$35))/($AD$28-C332)),$P$22)</f>
        <v>#VALUE!</v>
      </c>
      <c r="Q333" s="43" t="e">
        <f>IF(Preenchimento!$G$39="Tabela Price",O332*(1+$AD$35)*W333,O332*(1+'SAC Padrão_Sem Bonif'!$AD$35)*'SAC Padrão_Sem Bonif'!W333)</f>
        <v>#VALUE!</v>
      </c>
      <c r="R333" s="43" t="e">
        <f>IF(Preenchimento!$G$39="Tabela Price",IF(C333="","",((((((1+W333)^($Q$16-C332))*W333)/((1+W333)^($Q$16-C332)-1))*(O332*(1+$AD$35))))),Q333+P333)</f>
        <v>#VALUE!</v>
      </c>
      <c r="S333" s="43" t="e">
        <f t="shared" ca="1" si="62"/>
        <v>#VALUE!</v>
      </c>
      <c r="T333" s="43">
        <f t="shared" si="69"/>
        <v>0</v>
      </c>
      <c r="U333" s="226">
        <f>TRUNC(T333*Condições!$C$102,2)</f>
        <v>0</v>
      </c>
      <c r="V333" s="82">
        <f t="shared" ca="1" si="63"/>
        <v>2</v>
      </c>
      <c r="W333" s="231" t="str">
        <f t="shared" si="70"/>
        <v/>
      </c>
      <c r="X333" s="210"/>
      <c r="Y333" s="210"/>
      <c r="Z333" s="210"/>
      <c r="AI333" s="114">
        <f t="shared" si="71"/>
        <v>0</v>
      </c>
      <c r="AJ333" s="113"/>
      <c r="AL333" s="477">
        <f t="shared" ca="1" si="72"/>
        <v>0</v>
      </c>
    </row>
    <row r="334" spans="2:38">
      <c r="B334" s="222">
        <f ca="1">Fixa!B334</f>
        <v>55594</v>
      </c>
      <c r="C334" s="223" t="str">
        <f>Fixa!C334</f>
        <v/>
      </c>
      <c r="D334" s="43" t="e">
        <f t="shared" si="64"/>
        <v>#VALUE!</v>
      </c>
      <c r="E334" s="43" t="e">
        <f t="shared" si="64"/>
        <v>#VALUE!</v>
      </c>
      <c r="F334" s="43" t="e">
        <f t="shared" si="64"/>
        <v>#VALUE!</v>
      </c>
      <c r="G334" s="43" t="e">
        <f t="shared" si="59"/>
        <v>#VALUE!</v>
      </c>
      <c r="H334" s="43" t="e">
        <f t="shared" ca="1" si="60"/>
        <v>#VALUE!</v>
      </c>
      <c r="I334" s="43">
        <f t="shared" si="61"/>
        <v>0</v>
      </c>
      <c r="J334" s="229">
        <f t="shared" si="65"/>
        <v>25</v>
      </c>
      <c r="K334" s="43">
        <f t="shared" si="66"/>
        <v>0</v>
      </c>
      <c r="M334" s="224"/>
      <c r="N334" s="225">
        <f t="shared" si="67"/>
        <v>0</v>
      </c>
      <c r="O334" s="43" t="e">
        <f t="shared" si="68"/>
        <v>#VALUE!</v>
      </c>
      <c r="P334" s="43" t="e">
        <f>ROUND(IF(Preenchimento!$G$39="Tabela Price",R334-Q334,(O333*(1+$AD$35))/($AD$28-C333)),$P$22)</f>
        <v>#VALUE!</v>
      </c>
      <c r="Q334" s="43" t="e">
        <f>IF(Preenchimento!$G$39="Tabela Price",O333*(1+$AD$35)*W334,O333*(1+'SAC Padrão_Sem Bonif'!$AD$35)*'SAC Padrão_Sem Bonif'!W334)</f>
        <v>#VALUE!</v>
      </c>
      <c r="R334" s="43" t="e">
        <f>IF(Preenchimento!$G$39="Tabela Price",IF(C334="","",((((((1+W334)^($Q$16-C333))*W334)/((1+W334)^($Q$16-C333)-1))*(O333*(1+$AD$35))))),Q334+P334)</f>
        <v>#VALUE!</v>
      </c>
      <c r="S334" s="43" t="e">
        <f t="shared" ca="1" si="62"/>
        <v>#VALUE!</v>
      </c>
      <c r="T334" s="43">
        <f t="shared" si="69"/>
        <v>0</v>
      </c>
      <c r="U334" s="226">
        <f>TRUNC(T334*Condições!$C$102,2)</f>
        <v>0</v>
      </c>
      <c r="V334" s="82">
        <f t="shared" ca="1" si="63"/>
        <v>3</v>
      </c>
      <c r="W334" s="231" t="str">
        <f t="shared" si="70"/>
        <v/>
      </c>
      <c r="X334" s="210"/>
      <c r="Y334" s="210"/>
      <c r="Z334" s="210"/>
      <c r="AI334" s="114">
        <f t="shared" si="71"/>
        <v>0</v>
      </c>
      <c r="AJ334" s="113"/>
      <c r="AL334" s="477">
        <f t="shared" ca="1" si="72"/>
        <v>0</v>
      </c>
    </row>
    <row r="335" spans="2:38">
      <c r="B335" s="222">
        <f ca="1">Fixa!B335</f>
        <v>55625</v>
      </c>
      <c r="C335" s="223" t="str">
        <f>Fixa!C335</f>
        <v/>
      </c>
      <c r="D335" s="43" t="e">
        <f t="shared" si="64"/>
        <v>#VALUE!</v>
      </c>
      <c r="E335" s="43" t="e">
        <f t="shared" si="64"/>
        <v>#VALUE!</v>
      </c>
      <c r="F335" s="43" t="e">
        <f t="shared" si="64"/>
        <v>#VALUE!</v>
      </c>
      <c r="G335" s="43" t="e">
        <f t="shared" si="59"/>
        <v>#VALUE!</v>
      </c>
      <c r="H335" s="43" t="e">
        <f t="shared" ca="1" si="60"/>
        <v>#VALUE!</v>
      </c>
      <c r="I335" s="43">
        <f t="shared" si="61"/>
        <v>0</v>
      </c>
      <c r="J335" s="229">
        <f t="shared" si="65"/>
        <v>25</v>
      </c>
      <c r="K335" s="43">
        <f t="shared" si="66"/>
        <v>0</v>
      </c>
      <c r="M335" s="224"/>
      <c r="N335" s="225">
        <f t="shared" si="67"/>
        <v>0</v>
      </c>
      <c r="O335" s="43" t="e">
        <f t="shared" si="68"/>
        <v>#VALUE!</v>
      </c>
      <c r="P335" s="43" t="e">
        <f>ROUND(IF(Preenchimento!$G$39="Tabela Price",R335-Q335,(O334*(1+$AD$35))/($AD$28-C334)),$P$22)</f>
        <v>#VALUE!</v>
      </c>
      <c r="Q335" s="43" t="e">
        <f>IF(Preenchimento!$G$39="Tabela Price",O334*(1+$AD$35)*W335,O334*(1+'SAC Padrão_Sem Bonif'!$AD$35)*'SAC Padrão_Sem Bonif'!W335)</f>
        <v>#VALUE!</v>
      </c>
      <c r="R335" s="43" t="e">
        <f>IF(Preenchimento!$G$39="Tabela Price",IF(C335="","",((((((1+W335)^($Q$16-C334))*W335)/((1+W335)^($Q$16-C334)-1))*(O334*(1+$AD$35))))),Q335+P335)</f>
        <v>#VALUE!</v>
      </c>
      <c r="S335" s="43" t="e">
        <f t="shared" ca="1" si="62"/>
        <v>#VALUE!</v>
      </c>
      <c r="T335" s="43">
        <f t="shared" si="69"/>
        <v>0</v>
      </c>
      <c r="U335" s="226">
        <f>TRUNC(T335*Condições!$C$102,2)</f>
        <v>0</v>
      </c>
      <c r="V335" s="82">
        <f t="shared" ca="1" si="63"/>
        <v>4</v>
      </c>
      <c r="W335" s="231" t="str">
        <f t="shared" si="70"/>
        <v/>
      </c>
      <c r="X335" s="210"/>
      <c r="Y335" s="210"/>
      <c r="Z335" s="210"/>
      <c r="AI335" s="114">
        <f t="shared" si="71"/>
        <v>0</v>
      </c>
      <c r="AJ335" s="113"/>
      <c r="AL335" s="477">
        <f t="shared" ca="1" si="72"/>
        <v>0</v>
      </c>
    </row>
    <row r="336" spans="2:38">
      <c r="B336" s="222">
        <f ca="1">Fixa!B336</f>
        <v>55655</v>
      </c>
      <c r="C336" s="223" t="str">
        <f>Fixa!C336</f>
        <v/>
      </c>
      <c r="D336" s="43" t="e">
        <f t="shared" si="64"/>
        <v>#VALUE!</v>
      </c>
      <c r="E336" s="43" t="e">
        <f t="shared" si="64"/>
        <v>#VALUE!</v>
      </c>
      <c r="F336" s="43" t="e">
        <f t="shared" si="64"/>
        <v>#VALUE!</v>
      </c>
      <c r="G336" s="43" t="e">
        <f t="shared" si="59"/>
        <v>#VALUE!</v>
      </c>
      <c r="H336" s="43" t="e">
        <f t="shared" ca="1" si="60"/>
        <v>#VALUE!</v>
      </c>
      <c r="I336" s="43">
        <f t="shared" si="61"/>
        <v>0</v>
      </c>
      <c r="J336" s="229">
        <f t="shared" si="65"/>
        <v>25</v>
      </c>
      <c r="K336" s="43">
        <f t="shared" si="66"/>
        <v>0</v>
      </c>
      <c r="M336" s="224"/>
      <c r="N336" s="225">
        <f t="shared" si="67"/>
        <v>0</v>
      </c>
      <c r="O336" s="43" t="e">
        <f t="shared" si="68"/>
        <v>#VALUE!</v>
      </c>
      <c r="P336" s="43" t="e">
        <f>ROUND(IF(Preenchimento!$G$39="Tabela Price",R336-Q336,(O335*(1+$AD$35))/($AD$28-C335)),$P$22)</f>
        <v>#VALUE!</v>
      </c>
      <c r="Q336" s="43" t="e">
        <f>IF(Preenchimento!$G$39="Tabela Price",O335*(1+$AD$35)*W336,O335*(1+'SAC Padrão_Sem Bonif'!$AD$35)*'SAC Padrão_Sem Bonif'!W336)</f>
        <v>#VALUE!</v>
      </c>
      <c r="R336" s="43" t="e">
        <f>IF(Preenchimento!$G$39="Tabela Price",IF(C336="","",((((((1+W336)^($Q$16-C335))*W336)/((1+W336)^($Q$16-C335)-1))*(O335*(1+$AD$35))))),Q336+P336)</f>
        <v>#VALUE!</v>
      </c>
      <c r="S336" s="43" t="e">
        <f t="shared" ca="1" si="62"/>
        <v>#VALUE!</v>
      </c>
      <c r="T336" s="43">
        <f t="shared" si="69"/>
        <v>0</v>
      </c>
      <c r="U336" s="226">
        <f>TRUNC(T336*Condições!$C$102,2)</f>
        <v>0</v>
      </c>
      <c r="V336" s="82">
        <f t="shared" ca="1" si="63"/>
        <v>5</v>
      </c>
      <c r="W336" s="231" t="str">
        <f t="shared" si="70"/>
        <v/>
      </c>
      <c r="X336" s="210"/>
      <c r="Y336" s="210"/>
      <c r="Z336" s="210"/>
      <c r="AI336" s="114">
        <f t="shared" si="71"/>
        <v>0</v>
      </c>
      <c r="AJ336" s="113"/>
      <c r="AL336" s="477">
        <f t="shared" ca="1" si="72"/>
        <v>0</v>
      </c>
    </row>
    <row r="337" spans="2:38">
      <c r="B337" s="222">
        <f ca="1">Fixa!B337</f>
        <v>55686</v>
      </c>
      <c r="C337" s="223" t="str">
        <f>Fixa!C337</f>
        <v/>
      </c>
      <c r="D337" s="43" t="e">
        <f t="shared" si="64"/>
        <v>#VALUE!</v>
      </c>
      <c r="E337" s="43" t="e">
        <f t="shared" si="64"/>
        <v>#VALUE!</v>
      </c>
      <c r="F337" s="43" t="e">
        <f t="shared" si="64"/>
        <v>#VALUE!</v>
      </c>
      <c r="G337" s="43" t="e">
        <f t="shared" si="59"/>
        <v>#VALUE!</v>
      </c>
      <c r="H337" s="43" t="e">
        <f t="shared" ca="1" si="60"/>
        <v>#VALUE!</v>
      </c>
      <c r="I337" s="43">
        <f t="shared" si="61"/>
        <v>0</v>
      </c>
      <c r="J337" s="229">
        <f t="shared" si="65"/>
        <v>25</v>
      </c>
      <c r="K337" s="43">
        <f t="shared" si="66"/>
        <v>0</v>
      </c>
      <c r="M337" s="224"/>
      <c r="N337" s="225">
        <f t="shared" si="67"/>
        <v>0</v>
      </c>
      <c r="O337" s="43" t="e">
        <f t="shared" si="68"/>
        <v>#VALUE!</v>
      </c>
      <c r="P337" s="43" t="e">
        <f>ROUND(IF(Preenchimento!$G$39="Tabela Price",R337-Q337,(O336*(1+$AD$35))/($AD$28-C336)),$P$22)</f>
        <v>#VALUE!</v>
      </c>
      <c r="Q337" s="43" t="e">
        <f>IF(Preenchimento!$G$39="Tabela Price",O336*(1+$AD$35)*W337,O336*(1+'SAC Padrão_Sem Bonif'!$AD$35)*'SAC Padrão_Sem Bonif'!W337)</f>
        <v>#VALUE!</v>
      </c>
      <c r="R337" s="43" t="e">
        <f>IF(Preenchimento!$G$39="Tabela Price",IF(C337="","",((((((1+W337)^($Q$16-C336))*W337)/((1+W337)^($Q$16-C336)-1))*(O336*(1+$AD$35))))),Q337+P337)</f>
        <v>#VALUE!</v>
      </c>
      <c r="S337" s="43" t="e">
        <f t="shared" ca="1" si="62"/>
        <v>#VALUE!</v>
      </c>
      <c r="T337" s="43">
        <f t="shared" si="69"/>
        <v>0</v>
      </c>
      <c r="U337" s="226">
        <f>TRUNC(T337*Condições!$C$102,2)</f>
        <v>0</v>
      </c>
      <c r="V337" s="82">
        <f t="shared" ca="1" si="63"/>
        <v>6</v>
      </c>
      <c r="W337" s="231" t="str">
        <f t="shared" si="70"/>
        <v/>
      </c>
      <c r="X337" s="210"/>
      <c r="Y337" s="210"/>
      <c r="Z337" s="210"/>
      <c r="AI337" s="114">
        <f t="shared" si="71"/>
        <v>0</v>
      </c>
      <c r="AJ337" s="113"/>
      <c r="AL337" s="477">
        <f t="shared" ca="1" si="72"/>
        <v>0</v>
      </c>
    </row>
    <row r="338" spans="2:38">
      <c r="B338" s="222">
        <f ca="1">Fixa!B338</f>
        <v>55716</v>
      </c>
      <c r="C338" s="223" t="str">
        <f>Fixa!C338</f>
        <v/>
      </c>
      <c r="D338" s="43" t="e">
        <f t="shared" si="64"/>
        <v>#VALUE!</v>
      </c>
      <c r="E338" s="43" t="e">
        <f t="shared" si="64"/>
        <v>#VALUE!</v>
      </c>
      <c r="F338" s="43" t="e">
        <f t="shared" si="64"/>
        <v>#VALUE!</v>
      </c>
      <c r="G338" s="43" t="e">
        <f t="shared" si="59"/>
        <v>#VALUE!</v>
      </c>
      <c r="H338" s="43" t="e">
        <f t="shared" ca="1" si="60"/>
        <v>#VALUE!</v>
      </c>
      <c r="I338" s="43">
        <f t="shared" si="61"/>
        <v>0</v>
      </c>
      <c r="J338" s="229">
        <f t="shared" si="65"/>
        <v>25</v>
      </c>
      <c r="K338" s="43">
        <f t="shared" si="66"/>
        <v>0</v>
      </c>
      <c r="M338" s="224"/>
      <c r="N338" s="225">
        <f t="shared" si="67"/>
        <v>0</v>
      </c>
      <c r="O338" s="43" t="e">
        <f t="shared" si="68"/>
        <v>#VALUE!</v>
      </c>
      <c r="P338" s="43" t="e">
        <f>ROUND(IF(Preenchimento!$G$39="Tabela Price",R338-Q338,(O337*(1+$AD$35))/($AD$28-C337)),$P$22)</f>
        <v>#VALUE!</v>
      </c>
      <c r="Q338" s="43" t="e">
        <f>IF(Preenchimento!$G$39="Tabela Price",O337*(1+$AD$35)*W338,O337*(1+'SAC Padrão_Sem Bonif'!$AD$35)*'SAC Padrão_Sem Bonif'!W338)</f>
        <v>#VALUE!</v>
      </c>
      <c r="R338" s="43" t="e">
        <f>IF(Preenchimento!$G$39="Tabela Price",IF(C338="","",((((((1+W338)^($Q$16-C337))*W338)/((1+W338)^($Q$16-C337)-1))*(O337*(1+$AD$35))))),Q338+P338)</f>
        <v>#VALUE!</v>
      </c>
      <c r="S338" s="43" t="e">
        <f t="shared" ca="1" si="62"/>
        <v>#VALUE!</v>
      </c>
      <c r="T338" s="43">
        <f t="shared" si="69"/>
        <v>0</v>
      </c>
      <c r="U338" s="226">
        <f>TRUNC(T338*Condições!$C$102,2)</f>
        <v>0</v>
      </c>
      <c r="V338" s="82">
        <f t="shared" ca="1" si="63"/>
        <v>7</v>
      </c>
      <c r="W338" s="231" t="str">
        <f t="shared" si="70"/>
        <v/>
      </c>
      <c r="X338" s="210"/>
      <c r="Y338" s="210"/>
      <c r="Z338" s="210"/>
      <c r="AI338" s="114">
        <f t="shared" si="71"/>
        <v>0</v>
      </c>
      <c r="AJ338" s="113"/>
      <c r="AL338" s="477">
        <f t="shared" ca="1" si="72"/>
        <v>0</v>
      </c>
    </row>
    <row r="339" spans="2:38">
      <c r="B339" s="222">
        <f ca="1">Fixa!B339</f>
        <v>55747</v>
      </c>
      <c r="C339" s="223" t="str">
        <f>Fixa!C339</f>
        <v/>
      </c>
      <c r="D339" s="43" t="e">
        <f t="shared" si="64"/>
        <v>#VALUE!</v>
      </c>
      <c r="E339" s="43" t="e">
        <f t="shared" si="64"/>
        <v>#VALUE!</v>
      </c>
      <c r="F339" s="43" t="e">
        <f t="shared" si="64"/>
        <v>#VALUE!</v>
      </c>
      <c r="G339" s="43" t="e">
        <f t="shared" si="59"/>
        <v>#VALUE!</v>
      </c>
      <c r="H339" s="43" t="e">
        <f t="shared" ca="1" si="60"/>
        <v>#VALUE!</v>
      </c>
      <c r="I339" s="43">
        <f t="shared" si="61"/>
        <v>0</v>
      </c>
      <c r="J339" s="229">
        <f t="shared" si="65"/>
        <v>25</v>
      </c>
      <c r="K339" s="43">
        <f t="shared" si="66"/>
        <v>0</v>
      </c>
      <c r="M339" s="224"/>
      <c r="N339" s="225">
        <f t="shared" si="67"/>
        <v>0</v>
      </c>
      <c r="O339" s="43" t="e">
        <f t="shared" si="68"/>
        <v>#VALUE!</v>
      </c>
      <c r="P339" s="43" t="e">
        <f>ROUND(IF(Preenchimento!$G$39="Tabela Price",R339-Q339,(O338*(1+$AD$35))/($AD$28-C338)),$P$22)</f>
        <v>#VALUE!</v>
      </c>
      <c r="Q339" s="43" t="e">
        <f>IF(Preenchimento!$G$39="Tabela Price",O338*(1+$AD$35)*W339,O338*(1+'SAC Padrão_Sem Bonif'!$AD$35)*'SAC Padrão_Sem Bonif'!W339)</f>
        <v>#VALUE!</v>
      </c>
      <c r="R339" s="43" t="e">
        <f>IF(Preenchimento!$G$39="Tabela Price",IF(C339="","",((((((1+W339)^($Q$16-C338))*W339)/((1+W339)^($Q$16-C338)-1))*(O338*(1+$AD$35))))),Q339+P339)</f>
        <v>#VALUE!</v>
      </c>
      <c r="S339" s="43" t="e">
        <f t="shared" ca="1" si="62"/>
        <v>#VALUE!</v>
      </c>
      <c r="T339" s="43">
        <f t="shared" si="69"/>
        <v>0</v>
      </c>
      <c r="U339" s="226">
        <f>TRUNC(T339*Condições!$C$102,2)</f>
        <v>0</v>
      </c>
      <c r="V339" s="82">
        <f t="shared" ca="1" si="63"/>
        <v>8</v>
      </c>
      <c r="W339" s="231" t="str">
        <f t="shared" si="70"/>
        <v/>
      </c>
      <c r="X339" s="210"/>
      <c r="Y339" s="210"/>
      <c r="Z339" s="210"/>
      <c r="AI339" s="114">
        <f t="shared" si="71"/>
        <v>0</v>
      </c>
      <c r="AJ339" s="113"/>
      <c r="AL339" s="477">
        <f t="shared" ca="1" si="72"/>
        <v>0</v>
      </c>
    </row>
    <row r="340" spans="2:38">
      <c r="B340" s="222">
        <f ca="1">Fixa!B340</f>
        <v>55778</v>
      </c>
      <c r="C340" s="223" t="str">
        <f>Fixa!C340</f>
        <v/>
      </c>
      <c r="D340" s="43" t="e">
        <f t="shared" si="64"/>
        <v>#VALUE!</v>
      </c>
      <c r="E340" s="43" t="e">
        <f t="shared" si="64"/>
        <v>#VALUE!</v>
      </c>
      <c r="F340" s="43" t="e">
        <f t="shared" si="64"/>
        <v>#VALUE!</v>
      </c>
      <c r="G340" s="43" t="e">
        <f t="shared" si="59"/>
        <v>#VALUE!</v>
      </c>
      <c r="H340" s="43" t="e">
        <f t="shared" ca="1" si="60"/>
        <v>#VALUE!</v>
      </c>
      <c r="I340" s="43">
        <f t="shared" si="61"/>
        <v>0</v>
      </c>
      <c r="J340" s="229">
        <f t="shared" si="65"/>
        <v>25</v>
      </c>
      <c r="K340" s="43">
        <f t="shared" si="66"/>
        <v>0</v>
      </c>
      <c r="M340" s="224"/>
      <c r="N340" s="225">
        <f t="shared" si="67"/>
        <v>0</v>
      </c>
      <c r="O340" s="43" t="e">
        <f t="shared" si="68"/>
        <v>#VALUE!</v>
      </c>
      <c r="P340" s="43" t="e">
        <f>ROUND(IF(Preenchimento!$G$39="Tabela Price",R340-Q340,(O339*(1+$AD$35))/($AD$28-C339)),$P$22)</f>
        <v>#VALUE!</v>
      </c>
      <c r="Q340" s="43" t="e">
        <f>IF(Preenchimento!$G$39="Tabela Price",O339*(1+$AD$35)*W340,O339*(1+'SAC Padrão_Sem Bonif'!$AD$35)*'SAC Padrão_Sem Bonif'!W340)</f>
        <v>#VALUE!</v>
      </c>
      <c r="R340" s="43" t="e">
        <f>IF(Preenchimento!$G$39="Tabela Price",IF(C340="","",((((((1+W340)^($Q$16-C339))*W340)/((1+W340)^($Q$16-C339)-1))*(O339*(1+$AD$35))))),Q340+P340)</f>
        <v>#VALUE!</v>
      </c>
      <c r="S340" s="43" t="e">
        <f t="shared" ca="1" si="62"/>
        <v>#VALUE!</v>
      </c>
      <c r="T340" s="43">
        <f t="shared" si="69"/>
        <v>0</v>
      </c>
      <c r="U340" s="226">
        <f>TRUNC(T340*Condições!$C$102,2)</f>
        <v>0</v>
      </c>
      <c r="V340" s="82">
        <f t="shared" ca="1" si="63"/>
        <v>9</v>
      </c>
      <c r="W340" s="231" t="str">
        <f t="shared" si="70"/>
        <v/>
      </c>
      <c r="X340" s="210"/>
      <c r="Y340" s="210"/>
      <c r="Z340" s="210"/>
      <c r="AI340" s="114">
        <f t="shared" si="71"/>
        <v>0</v>
      </c>
      <c r="AJ340" s="113"/>
      <c r="AL340" s="477">
        <f t="shared" ca="1" si="72"/>
        <v>0</v>
      </c>
    </row>
    <row r="341" spans="2:38">
      <c r="B341" s="222">
        <f ca="1">Fixa!B341</f>
        <v>55808</v>
      </c>
      <c r="C341" s="223" t="str">
        <f>Fixa!C341</f>
        <v/>
      </c>
      <c r="D341" s="43" t="e">
        <f t="shared" si="64"/>
        <v>#VALUE!</v>
      </c>
      <c r="E341" s="43" t="e">
        <f t="shared" si="64"/>
        <v>#VALUE!</v>
      </c>
      <c r="F341" s="43" t="e">
        <f t="shared" si="64"/>
        <v>#VALUE!</v>
      </c>
      <c r="G341" s="43" t="e">
        <f t="shared" si="59"/>
        <v>#VALUE!</v>
      </c>
      <c r="H341" s="43" t="e">
        <f t="shared" ca="1" si="60"/>
        <v>#VALUE!</v>
      </c>
      <c r="I341" s="43">
        <f t="shared" si="61"/>
        <v>0</v>
      </c>
      <c r="J341" s="229">
        <f t="shared" si="65"/>
        <v>25</v>
      </c>
      <c r="K341" s="43">
        <f t="shared" si="66"/>
        <v>0</v>
      </c>
      <c r="M341" s="224"/>
      <c r="N341" s="225">
        <f t="shared" si="67"/>
        <v>0</v>
      </c>
      <c r="O341" s="43" t="e">
        <f t="shared" si="68"/>
        <v>#VALUE!</v>
      </c>
      <c r="P341" s="43" t="e">
        <f>ROUND(IF(Preenchimento!$G$39="Tabela Price",R341-Q341,(O340*(1+$AD$35))/($AD$28-C340)),$P$22)</f>
        <v>#VALUE!</v>
      </c>
      <c r="Q341" s="43" t="e">
        <f>IF(Preenchimento!$G$39="Tabela Price",O340*(1+$AD$35)*W341,O340*(1+'SAC Padrão_Sem Bonif'!$AD$35)*'SAC Padrão_Sem Bonif'!W341)</f>
        <v>#VALUE!</v>
      </c>
      <c r="R341" s="43" t="e">
        <f>IF(Preenchimento!$G$39="Tabela Price",IF(C341="","",((((((1+W341)^($Q$16-C340))*W341)/((1+W341)^($Q$16-C340)-1))*(O340*(1+$AD$35))))),Q341+P341)</f>
        <v>#VALUE!</v>
      </c>
      <c r="S341" s="43" t="e">
        <f t="shared" ca="1" si="62"/>
        <v>#VALUE!</v>
      </c>
      <c r="T341" s="43">
        <f t="shared" si="69"/>
        <v>0</v>
      </c>
      <c r="U341" s="226">
        <f>TRUNC(T341*Condições!$C$102,2)</f>
        <v>0</v>
      </c>
      <c r="V341" s="82">
        <f t="shared" ca="1" si="63"/>
        <v>10</v>
      </c>
      <c r="W341" s="231" t="str">
        <f t="shared" si="70"/>
        <v/>
      </c>
      <c r="X341" s="210"/>
      <c r="Y341" s="210"/>
      <c r="Z341" s="210"/>
      <c r="AI341" s="114">
        <f t="shared" si="71"/>
        <v>0</v>
      </c>
      <c r="AJ341" s="113"/>
      <c r="AL341" s="477">
        <f t="shared" ca="1" si="72"/>
        <v>0</v>
      </c>
    </row>
    <row r="342" spans="2:38">
      <c r="B342" s="222">
        <f ca="1">Fixa!B342</f>
        <v>55839</v>
      </c>
      <c r="C342" s="223" t="str">
        <f>Fixa!C342</f>
        <v/>
      </c>
      <c r="D342" s="43" t="e">
        <f t="shared" si="64"/>
        <v>#VALUE!</v>
      </c>
      <c r="E342" s="43" t="e">
        <f t="shared" si="64"/>
        <v>#VALUE!</v>
      </c>
      <c r="F342" s="43" t="e">
        <f t="shared" si="64"/>
        <v>#VALUE!</v>
      </c>
      <c r="G342" s="43" t="e">
        <f t="shared" si="59"/>
        <v>#VALUE!</v>
      </c>
      <c r="H342" s="43" t="e">
        <f t="shared" ca="1" si="60"/>
        <v>#VALUE!</v>
      </c>
      <c r="I342" s="43">
        <f t="shared" si="61"/>
        <v>0</v>
      </c>
      <c r="J342" s="229">
        <f t="shared" si="65"/>
        <v>25</v>
      </c>
      <c r="K342" s="43">
        <f t="shared" si="66"/>
        <v>0</v>
      </c>
      <c r="M342" s="224"/>
      <c r="N342" s="225">
        <f t="shared" si="67"/>
        <v>0</v>
      </c>
      <c r="O342" s="43" t="e">
        <f t="shared" si="68"/>
        <v>#VALUE!</v>
      </c>
      <c r="P342" s="43" t="e">
        <f>ROUND(IF(Preenchimento!$G$39="Tabela Price",R342-Q342,(O341*(1+$AD$35))/($AD$28-C341)),$P$22)</f>
        <v>#VALUE!</v>
      </c>
      <c r="Q342" s="43" t="e">
        <f>IF(Preenchimento!$G$39="Tabela Price",O341*(1+$AD$35)*W342,O341*(1+'SAC Padrão_Sem Bonif'!$AD$35)*'SAC Padrão_Sem Bonif'!W342)</f>
        <v>#VALUE!</v>
      </c>
      <c r="R342" s="43" t="e">
        <f>IF(Preenchimento!$G$39="Tabela Price",IF(C342="","",((((((1+W342)^($Q$16-C341))*W342)/((1+W342)^($Q$16-C341)-1))*(O341*(1+$AD$35))))),Q342+P342)</f>
        <v>#VALUE!</v>
      </c>
      <c r="S342" s="43" t="e">
        <f t="shared" ca="1" si="62"/>
        <v>#VALUE!</v>
      </c>
      <c r="T342" s="43">
        <f t="shared" si="69"/>
        <v>0</v>
      </c>
      <c r="U342" s="226">
        <f>TRUNC(T342*Condições!$C$102,2)</f>
        <v>0</v>
      </c>
      <c r="V342" s="82">
        <f t="shared" ca="1" si="63"/>
        <v>11</v>
      </c>
      <c r="W342" s="231" t="str">
        <f t="shared" si="70"/>
        <v/>
      </c>
      <c r="X342" s="210"/>
      <c r="Y342" s="210"/>
      <c r="Z342" s="210"/>
      <c r="AI342" s="114">
        <f t="shared" si="71"/>
        <v>0</v>
      </c>
      <c r="AJ342" s="113"/>
      <c r="AL342" s="477">
        <f t="shared" ca="1" si="72"/>
        <v>0</v>
      </c>
    </row>
    <row r="343" spans="2:38">
      <c r="B343" s="222">
        <f ca="1">Fixa!B343</f>
        <v>55869</v>
      </c>
      <c r="C343" s="223" t="str">
        <f>Fixa!C343</f>
        <v/>
      </c>
      <c r="D343" s="43" t="e">
        <f t="shared" si="64"/>
        <v>#VALUE!</v>
      </c>
      <c r="E343" s="43" t="e">
        <f t="shared" si="64"/>
        <v>#VALUE!</v>
      </c>
      <c r="F343" s="43" t="e">
        <f t="shared" si="64"/>
        <v>#VALUE!</v>
      </c>
      <c r="G343" s="43" t="e">
        <f t="shared" si="59"/>
        <v>#VALUE!</v>
      </c>
      <c r="H343" s="43" t="e">
        <f t="shared" ca="1" si="60"/>
        <v>#VALUE!</v>
      </c>
      <c r="I343" s="43">
        <f t="shared" si="61"/>
        <v>0</v>
      </c>
      <c r="J343" s="229">
        <f t="shared" si="65"/>
        <v>25</v>
      </c>
      <c r="K343" s="43">
        <f t="shared" si="66"/>
        <v>0</v>
      </c>
      <c r="M343" s="224"/>
      <c r="N343" s="225">
        <f t="shared" si="67"/>
        <v>0</v>
      </c>
      <c r="O343" s="43" t="e">
        <f t="shared" si="68"/>
        <v>#VALUE!</v>
      </c>
      <c r="P343" s="43" t="e">
        <f>ROUND(IF(Preenchimento!$G$39="Tabela Price",R343-Q343,(O342*(1+$AD$35))/($AD$28-C342)),$P$22)</f>
        <v>#VALUE!</v>
      </c>
      <c r="Q343" s="43" t="e">
        <f>IF(Preenchimento!$G$39="Tabela Price",O342*(1+$AD$35)*W343,O342*(1+'SAC Padrão_Sem Bonif'!$AD$35)*'SAC Padrão_Sem Bonif'!W343)</f>
        <v>#VALUE!</v>
      </c>
      <c r="R343" s="43" t="e">
        <f>IF(Preenchimento!$G$39="Tabela Price",IF(C343="","",((((((1+W343)^($Q$16-C342))*W343)/((1+W343)^($Q$16-C342)-1))*(O342*(1+$AD$35))))),Q343+P343)</f>
        <v>#VALUE!</v>
      </c>
      <c r="S343" s="43" t="e">
        <f t="shared" ca="1" si="62"/>
        <v>#VALUE!</v>
      </c>
      <c r="T343" s="43">
        <f t="shared" si="69"/>
        <v>0</v>
      </c>
      <c r="U343" s="226">
        <f>TRUNC(T343*Condições!$C$102,2)</f>
        <v>0</v>
      </c>
      <c r="V343" s="82">
        <f t="shared" ca="1" si="63"/>
        <v>12</v>
      </c>
      <c r="W343" s="231" t="str">
        <f t="shared" si="70"/>
        <v/>
      </c>
      <c r="X343" s="210"/>
      <c r="Y343" s="210"/>
      <c r="Z343" s="210"/>
      <c r="AI343" s="114">
        <f t="shared" si="71"/>
        <v>0</v>
      </c>
      <c r="AJ343" s="113"/>
      <c r="AL343" s="477">
        <f t="shared" ca="1" si="72"/>
        <v>0</v>
      </c>
    </row>
    <row r="344" spans="2:38">
      <c r="B344" s="222">
        <f ca="1">Fixa!B344</f>
        <v>55900</v>
      </c>
      <c r="C344" s="223" t="str">
        <f>Fixa!C344</f>
        <v/>
      </c>
      <c r="D344" s="43" t="e">
        <f t="shared" si="64"/>
        <v>#VALUE!</v>
      </c>
      <c r="E344" s="43" t="e">
        <f t="shared" si="64"/>
        <v>#VALUE!</v>
      </c>
      <c r="F344" s="43" t="e">
        <f t="shared" si="64"/>
        <v>#VALUE!</v>
      </c>
      <c r="G344" s="43" t="e">
        <f t="shared" si="59"/>
        <v>#VALUE!</v>
      </c>
      <c r="H344" s="43" t="e">
        <f t="shared" ca="1" si="60"/>
        <v>#VALUE!</v>
      </c>
      <c r="I344" s="43">
        <f t="shared" si="61"/>
        <v>0</v>
      </c>
      <c r="J344" s="229">
        <f t="shared" si="65"/>
        <v>25</v>
      </c>
      <c r="K344" s="43">
        <f t="shared" si="66"/>
        <v>0</v>
      </c>
      <c r="M344" s="224"/>
      <c r="N344" s="225">
        <f t="shared" si="67"/>
        <v>0</v>
      </c>
      <c r="O344" s="43" t="e">
        <f t="shared" si="68"/>
        <v>#VALUE!</v>
      </c>
      <c r="P344" s="43" t="e">
        <f>ROUND(IF(Preenchimento!$G$39="Tabela Price",R344-Q344,(O343*(1+$AD$35))/($AD$28-C343)),$P$22)</f>
        <v>#VALUE!</v>
      </c>
      <c r="Q344" s="43" t="e">
        <f>IF(Preenchimento!$G$39="Tabela Price",O343*(1+$AD$35)*W344,O343*(1+'SAC Padrão_Sem Bonif'!$AD$35)*'SAC Padrão_Sem Bonif'!W344)</f>
        <v>#VALUE!</v>
      </c>
      <c r="R344" s="43" t="e">
        <f>IF(Preenchimento!$G$39="Tabela Price",IF(C344="","",((((((1+W344)^($Q$16-C343))*W344)/((1+W344)^($Q$16-C343)-1))*(O343*(1+$AD$35))))),Q344+P344)</f>
        <v>#VALUE!</v>
      </c>
      <c r="S344" s="43" t="e">
        <f t="shared" ca="1" si="62"/>
        <v>#VALUE!</v>
      </c>
      <c r="T344" s="43">
        <f t="shared" si="69"/>
        <v>0</v>
      </c>
      <c r="U344" s="226">
        <f>TRUNC(T344*Condições!$C$102,2)</f>
        <v>0</v>
      </c>
      <c r="V344" s="82">
        <f t="shared" ca="1" si="63"/>
        <v>1</v>
      </c>
      <c r="W344" s="231" t="str">
        <f t="shared" si="70"/>
        <v/>
      </c>
      <c r="X344" s="210"/>
      <c r="Y344" s="210"/>
      <c r="Z344" s="210"/>
      <c r="AI344" s="114">
        <f t="shared" si="71"/>
        <v>0</v>
      </c>
      <c r="AJ344" s="113"/>
      <c r="AL344" s="477">
        <f t="shared" ca="1" si="72"/>
        <v>0</v>
      </c>
    </row>
    <row r="345" spans="2:38">
      <c r="B345" s="222">
        <f ca="1">Fixa!B345</f>
        <v>55931</v>
      </c>
      <c r="C345" s="223" t="str">
        <f>Fixa!C345</f>
        <v/>
      </c>
      <c r="D345" s="43" t="e">
        <f t="shared" si="64"/>
        <v>#VALUE!</v>
      </c>
      <c r="E345" s="43" t="e">
        <f t="shared" si="64"/>
        <v>#VALUE!</v>
      </c>
      <c r="F345" s="43" t="e">
        <f t="shared" si="64"/>
        <v>#VALUE!</v>
      </c>
      <c r="G345" s="43" t="e">
        <f t="shared" si="59"/>
        <v>#VALUE!</v>
      </c>
      <c r="H345" s="43" t="e">
        <f t="shared" ca="1" si="60"/>
        <v>#VALUE!</v>
      </c>
      <c r="I345" s="43">
        <f t="shared" si="61"/>
        <v>0</v>
      </c>
      <c r="J345" s="229">
        <f t="shared" si="65"/>
        <v>25</v>
      </c>
      <c r="K345" s="43">
        <f t="shared" si="66"/>
        <v>0</v>
      </c>
      <c r="M345" s="224"/>
      <c r="N345" s="225">
        <f t="shared" si="67"/>
        <v>0</v>
      </c>
      <c r="O345" s="43" t="e">
        <f t="shared" si="68"/>
        <v>#VALUE!</v>
      </c>
      <c r="P345" s="43" t="e">
        <f>ROUND(IF(Preenchimento!$G$39="Tabela Price",R345-Q345,(O344*(1+$AD$35))/($AD$28-C344)),$P$22)</f>
        <v>#VALUE!</v>
      </c>
      <c r="Q345" s="43" t="e">
        <f>IF(Preenchimento!$G$39="Tabela Price",O344*(1+$AD$35)*W345,O344*(1+'SAC Padrão_Sem Bonif'!$AD$35)*'SAC Padrão_Sem Bonif'!W345)</f>
        <v>#VALUE!</v>
      </c>
      <c r="R345" s="43" t="e">
        <f>IF(Preenchimento!$G$39="Tabela Price",IF(C345="","",((((((1+W345)^($Q$16-C344))*W345)/((1+W345)^($Q$16-C344)-1))*(O344*(1+$AD$35))))),Q345+P345)</f>
        <v>#VALUE!</v>
      </c>
      <c r="S345" s="43" t="e">
        <f t="shared" ca="1" si="62"/>
        <v>#VALUE!</v>
      </c>
      <c r="T345" s="43">
        <f t="shared" si="69"/>
        <v>0</v>
      </c>
      <c r="U345" s="226">
        <f>TRUNC(T345*Condições!$C$102,2)</f>
        <v>0</v>
      </c>
      <c r="V345" s="82">
        <f t="shared" ca="1" si="63"/>
        <v>2</v>
      </c>
      <c r="W345" s="231" t="str">
        <f t="shared" si="70"/>
        <v/>
      </c>
      <c r="X345" s="210"/>
      <c r="Y345" s="210"/>
      <c r="Z345" s="210"/>
      <c r="AI345" s="114">
        <f t="shared" si="71"/>
        <v>0</v>
      </c>
      <c r="AJ345" s="113"/>
      <c r="AL345" s="477">
        <f t="shared" ca="1" si="72"/>
        <v>0</v>
      </c>
    </row>
    <row r="346" spans="2:38">
      <c r="B346" s="222">
        <f ca="1">Fixa!B346</f>
        <v>55959</v>
      </c>
      <c r="C346" s="223" t="str">
        <f>Fixa!C346</f>
        <v/>
      </c>
      <c r="D346" s="43" t="e">
        <f t="shared" si="64"/>
        <v>#VALUE!</v>
      </c>
      <c r="E346" s="43" t="e">
        <f t="shared" si="64"/>
        <v>#VALUE!</v>
      </c>
      <c r="F346" s="43" t="e">
        <f t="shared" si="64"/>
        <v>#VALUE!</v>
      </c>
      <c r="G346" s="43" t="e">
        <f t="shared" ref="G346:G409" si="73">F346+E346</f>
        <v>#VALUE!</v>
      </c>
      <c r="H346" s="43" t="e">
        <f t="shared" ref="H346:H409" ca="1" si="74">ROUND(S346,2)</f>
        <v>#VALUE!</v>
      </c>
      <c r="I346" s="43">
        <f t="shared" ref="I346:I409" si="75">ROUND(T346+U346,2)</f>
        <v>0</v>
      </c>
      <c r="J346" s="229">
        <f t="shared" si="65"/>
        <v>25</v>
      </c>
      <c r="K346" s="43">
        <f t="shared" si="66"/>
        <v>0</v>
      </c>
      <c r="M346" s="224"/>
      <c r="N346" s="225">
        <f t="shared" si="67"/>
        <v>0</v>
      </c>
      <c r="O346" s="43" t="e">
        <f t="shared" si="68"/>
        <v>#VALUE!</v>
      </c>
      <c r="P346" s="43" t="e">
        <f>ROUND(IF(Preenchimento!$G$39="Tabela Price",R346-Q346,(O345*(1+$AD$35))/($AD$28-C345)),$P$22)</f>
        <v>#VALUE!</v>
      </c>
      <c r="Q346" s="43" t="e">
        <f>IF(Preenchimento!$G$39="Tabela Price",O345*(1+$AD$35)*W346,O345*(1+'SAC Padrão_Sem Bonif'!$AD$35)*'SAC Padrão_Sem Bonif'!W346)</f>
        <v>#VALUE!</v>
      </c>
      <c r="R346" s="43" t="e">
        <f>IF(Preenchimento!$G$39="Tabela Price",IF(C346="","",((((((1+W346)^($Q$16-C345))*W346)/((1+W346)^($Q$16-C345)-1))*(O345*(1+$AD$35))))),Q346+P346)</f>
        <v>#VALUE!</v>
      </c>
      <c r="S346" s="43" t="e">
        <f t="shared" ref="S346:S409" ca="1" si="76">ROUND($AD$34*O346,$P$22)</f>
        <v>#VALUE!</v>
      </c>
      <c r="T346" s="43">
        <f t="shared" si="69"/>
        <v>0</v>
      </c>
      <c r="U346" s="226">
        <f>TRUNC(T346*Condições!$C$102,2)</f>
        <v>0</v>
      </c>
      <c r="V346" s="82">
        <f t="shared" ref="V346:V409" ca="1" si="77">MONTH(B346)</f>
        <v>3</v>
      </c>
      <c r="W346" s="231" t="str">
        <f t="shared" si="70"/>
        <v/>
      </c>
      <c r="X346" s="210"/>
      <c r="Y346" s="210"/>
      <c r="Z346" s="210"/>
      <c r="AI346" s="114">
        <f t="shared" si="71"/>
        <v>0</v>
      </c>
      <c r="AJ346" s="113"/>
      <c r="AL346" s="477">
        <f t="shared" ca="1" si="72"/>
        <v>0</v>
      </c>
    </row>
    <row r="347" spans="2:38">
      <c r="B347" s="222">
        <f ca="1">Fixa!B347</f>
        <v>55990</v>
      </c>
      <c r="C347" s="223" t="str">
        <f>Fixa!C347</f>
        <v/>
      </c>
      <c r="D347" s="43" t="e">
        <f t="shared" ref="D347:F385" si="78">ROUND(O347,2)</f>
        <v>#VALUE!</v>
      </c>
      <c r="E347" s="43" t="e">
        <f t="shared" si="78"/>
        <v>#VALUE!</v>
      </c>
      <c r="F347" s="43" t="e">
        <f t="shared" si="78"/>
        <v>#VALUE!</v>
      </c>
      <c r="G347" s="43" t="e">
        <f t="shared" si="73"/>
        <v>#VALUE!</v>
      </c>
      <c r="H347" s="43" t="e">
        <f t="shared" ca="1" si="74"/>
        <v>#VALUE!</v>
      </c>
      <c r="I347" s="43">
        <f t="shared" si="75"/>
        <v>0</v>
      </c>
      <c r="J347" s="229">
        <f t="shared" ref="J347:J410" si="79">$AD$31</f>
        <v>25</v>
      </c>
      <c r="K347" s="43">
        <f t="shared" ref="K347:K410" si="80">IF(C347&gt;$AD$28,0,J347+G347+I347+H347)</f>
        <v>0</v>
      </c>
      <c r="M347" s="224"/>
      <c r="N347" s="225">
        <f t="shared" ref="N347:N410" si="81">IF(C347&gt;$AD$28,0,(H347+I347)/(1.008^((12*(B347-$B$25))/365)))</f>
        <v>0</v>
      </c>
      <c r="O347" s="43" t="e">
        <f t="shared" ref="O347:O410" si="82">ROUND((O346*(1+$AD$35)-P347),$P$22)</f>
        <v>#VALUE!</v>
      </c>
      <c r="P347" s="43" t="e">
        <f>ROUND(IF(Preenchimento!$G$39="Tabela Price",R347-Q347,(O346*(1+$AD$35))/($AD$28-C346)),$P$22)</f>
        <v>#VALUE!</v>
      </c>
      <c r="Q347" s="43" t="e">
        <f>IF(Preenchimento!$G$39="Tabela Price",O346*(1+$AD$35)*W347,O346*(1+'SAC Padrão_Sem Bonif'!$AD$35)*'SAC Padrão_Sem Bonif'!W347)</f>
        <v>#VALUE!</v>
      </c>
      <c r="R347" s="43" t="e">
        <f>IF(Preenchimento!$G$39="Tabela Price",IF(C347="","",((((((1+W347)^($Q$16-C346))*W347)/((1+W347)^($Q$16-C346)-1))*(O346*(1+$AD$35))))),Q347+P347)</f>
        <v>#VALUE!</v>
      </c>
      <c r="S347" s="43" t="e">
        <f t="shared" ca="1" si="76"/>
        <v>#VALUE!</v>
      </c>
      <c r="T347" s="43">
        <f t="shared" ref="T347:T410" si="83">IF(C347&gt;=$AD$28,0,ROUND($AD$25*$AD$33,$P$22))</f>
        <v>0</v>
      </c>
      <c r="U347" s="226">
        <f>TRUNC(T347*Condições!$C$102,2)</f>
        <v>0</v>
      </c>
      <c r="V347" s="82">
        <f t="shared" ca="1" si="77"/>
        <v>4</v>
      </c>
      <c r="W347" s="231" t="str">
        <f t="shared" ref="W347:W410" si="84">IF(C347="","",IF(AND(C347&gt;$AD$46,$AD$46&lt;&gt;""),$AE$29,$AD$29))</f>
        <v/>
      </c>
      <c r="X347" s="210"/>
      <c r="Y347" s="210"/>
      <c r="Z347" s="210"/>
      <c r="AI347" s="114">
        <f t="shared" ref="AI347:AI410" si="85">IF(C347&gt;$AD$28,0,R347+S347+T347+U347+J347)</f>
        <v>0</v>
      </c>
      <c r="AJ347" s="113"/>
      <c r="AL347" s="477">
        <f t="shared" ref="AL347:AL410" ca="1" si="86">IFERROR(IF(V346&gt;$AD$28,0,R347),0)</f>
        <v>0</v>
      </c>
    </row>
    <row r="348" spans="2:38">
      <c r="B348" s="222">
        <f ca="1">Fixa!B348</f>
        <v>56020</v>
      </c>
      <c r="C348" s="223" t="str">
        <f>Fixa!C348</f>
        <v/>
      </c>
      <c r="D348" s="43" t="e">
        <f t="shared" si="78"/>
        <v>#VALUE!</v>
      </c>
      <c r="E348" s="43" t="e">
        <f t="shared" si="78"/>
        <v>#VALUE!</v>
      </c>
      <c r="F348" s="43" t="e">
        <f t="shared" si="78"/>
        <v>#VALUE!</v>
      </c>
      <c r="G348" s="43" t="e">
        <f t="shared" si="73"/>
        <v>#VALUE!</v>
      </c>
      <c r="H348" s="43" t="e">
        <f t="shared" ca="1" si="74"/>
        <v>#VALUE!</v>
      </c>
      <c r="I348" s="43">
        <f t="shared" si="75"/>
        <v>0</v>
      </c>
      <c r="J348" s="229">
        <f t="shared" si="79"/>
        <v>25</v>
      </c>
      <c r="K348" s="43">
        <f t="shared" si="80"/>
        <v>0</v>
      </c>
      <c r="M348" s="224"/>
      <c r="N348" s="225">
        <f t="shared" si="81"/>
        <v>0</v>
      </c>
      <c r="O348" s="43" t="e">
        <f t="shared" si="82"/>
        <v>#VALUE!</v>
      </c>
      <c r="P348" s="43" t="e">
        <f>ROUND(IF(Preenchimento!$G$39="Tabela Price",R348-Q348,(O347*(1+$AD$35))/($AD$28-C347)),$P$22)</f>
        <v>#VALUE!</v>
      </c>
      <c r="Q348" s="43" t="e">
        <f>IF(Preenchimento!$G$39="Tabela Price",O347*(1+$AD$35)*W348,O347*(1+'SAC Padrão_Sem Bonif'!$AD$35)*'SAC Padrão_Sem Bonif'!W348)</f>
        <v>#VALUE!</v>
      </c>
      <c r="R348" s="43" t="e">
        <f>IF(Preenchimento!$G$39="Tabela Price",IF(C348="","",((((((1+W348)^($Q$16-C347))*W348)/((1+W348)^($Q$16-C347)-1))*(O347*(1+$AD$35))))),Q348+P348)</f>
        <v>#VALUE!</v>
      </c>
      <c r="S348" s="43" t="e">
        <f t="shared" ca="1" si="76"/>
        <v>#VALUE!</v>
      </c>
      <c r="T348" s="43">
        <f t="shared" si="83"/>
        <v>0</v>
      </c>
      <c r="U348" s="226">
        <f>TRUNC(T348*Condições!$C$102,2)</f>
        <v>0</v>
      </c>
      <c r="V348" s="82">
        <f t="shared" ca="1" si="77"/>
        <v>5</v>
      </c>
      <c r="W348" s="231" t="str">
        <f t="shared" si="84"/>
        <v/>
      </c>
      <c r="X348" s="210"/>
      <c r="Y348" s="210"/>
      <c r="Z348" s="210"/>
      <c r="AI348" s="114">
        <f t="shared" si="85"/>
        <v>0</v>
      </c>
      <c r="AJ348" s="113"/>
      <c r="AL348" s="477">
        <f t="shared" ca="1" si="86"/>
        <v>0</v>
      </c>
    </row>
    <row r="349" spans="2:38">
      <c r="B349" s="222">
        <f ca="1">Fixa!B349</f>
        <v>56051</v>
      </c>
      <c r="C349" s="223" t="str">
        <f>Fixa!C349</f>
        <v/>
      </c>
      <c r="D349" s="43" t="e">
        <f t="shared" si="78"/>
        <v>#VALUE!</v>
      </c>
      <c r="E349" s="43" t="e">
        <f t="shared" si="78"/>
        <v>#VALUE!</v>
      </c>
      <c r="F349" s="43" t="e">
        <f t="shared" si="78"/>
        <v>#VALUE!</v>
      </c>
      <c r="G349" s="43" t="e">
        <f t="shared" si="73"/>
        <v>#VALUE!</v>
      </c>
      <c r="H349" s="43" t="e">
        <f t="shared" ca="1" si="74"/>
        <v>#VALUE!</v>
      </c>
      <c r="I349" s="43">
        <f t="shared" si="75"/>
        <v>0</v>
      </c>
      <c r="J349" s="229">
        <f t="shared" si="79"/>
        <v>25</v>
      </c>
      <c r="K349" s="43">
        <f t="shared" si="80"/>
        <v>0</v>
      </c>
      <c r="M349" s="224"/>
      <c r="N349" s="225">
        <f t="shared" si="81"/>
        <v>0</v>
      </c>
      <c r="O349" s="43" t="e">
        <f t="shared" si="82"/>
        <v>#VALUE!</v>
      </c>
      <c r="P349" s="43" t="e">
        <f>ROUND(IF(Preenchimento!$G$39="Tabela Price",R349-Q349,(O348*(1+$AD$35))/($AD$28-C348)),$P$22)</f>
        <v>#VALUE!</v>
      </c>
      <c r="Q349" s="43" t="e">
        <f>IF(Preenchimento!$G$39="Tabela Price",O348*(1+$AD$35)*W349,O348*(1+'SAC Padrão_Sem Bonif'!$AD$35)*'SAC Padrão_Sem Bonif'!W349)</f>
        <v>#VALUE!</v>
      </c>
      <c r="R349" s="43" t="e">
        <f>IF(Preenchimento!$G$39="Tabela Price",IF(C349="","",((((((1+W349)^($Q$16-C348))*W349)/((1+W349)^($Q$16-C348)-1))*(O348*(1+$AD$35))))),Q349+P349)</f>
        <v>#VALUE!</v>
      </c>
      <c r="S349" s="43" t="e">
        <f t="shared" ca="1" si="76"/>
        <v>#VALUE!</v>
      </c>
      <c r="T349" s="43">
        <f t="shared" si="83"/>
        <v>0</v>
      </c>
      <c r="U349" s="226">
        <f>TRUNC(T349*Condições!$C$102,2)</f>
        <v>0</v>
      </c>
      <c r="V349" s="82">
        <f t="shared" ca="1" si="77"/>
        <v>6</v>
      </c>
      <c r="W349" s="231" t="str">
        <f t="shared" si="84"/>
        <v/>
      </c>
      <c r="X349" s="210"/>
      <c r="Y349" s="210"/>
      <c r="Z349" s="210"/>
      <c r="AI349" s="114">
        <f t="shared" si="85"/>
        <v>0</v>
      </c>
      <c r="AJ349" s="113"/>
      <c r="AL349" s="477">
        <f t="shared" ca="1" si="86"/>
        <v>0</v>
      </c>
    </row>
    <row r="350" spans="2:38">
      <c r="B350" s="222">
        <f ca="1">Fixa!B350</f>
        <v>56081</v>
      </c>
      <c r="C350" s="223" t="str">
        <f>Fixa!C350</f>
        <v/>
      </c>
      <c r="D350" s="43" t="e">
        <f t="shared" si="78"/>
        <v>#VALUE!</v>
      </c>
      <c r="E350" s="43" t="e">
        <f t="shared" si="78"/>
        <v>#VALUE!</v>
      </c>
      <c r="F350" s="43" t="e">
        <f t="shared" si="78"/>
        <v>#VALUE!</v>
      </c>
      <c r="G350" s="43" t="e">
        <f t="shared" si="73"/>
        <v>#VALUE!</v>
      </c>
      <c r="H350" s="43" t="e">
        <f t="shared" ca="1" si="74"/>
        <v>#VALUE!</v>
      </c>
      <c r="I350" s="43">
        <f t="shared" si="75"/>
        <v>0</v>
      </c>
      <c r="J350" s="229">
        <f t="shared" si="79"/>
        <v>25</v>
      </c>
      <c r="K350" s="43">
        <f t="shared" si="80"/>
        <v>0</v>
      </c>
      <c r="M350" s="224"/>
      <c r="N350" s="225">
        <f t="shared" si="81"/>
        <v>0</v>
      </c>
      <c r="O350" s="43" t="e">
        <f t="shared" si="82"/>
        <v>#VALUE!</v>
      </c>
      <c r="P350" s="43" t="e">
        <f>ROUND(IF(Preenchimento!$G$39="Tabela Price",R350-Q350,(O349*(1+$AD$35))/($AD$28-C349)),$P$22)</f>
        <v>#VALUE!</v>
      </c>
      <c r="Q350" s="43" t="e">
        <f>IF(Preenchimento!$G$39="Tabela Price",O349*(1+$AD$35)*W350,O349*(1+'SAC Padrão_Sem Bonif'!$AD$35)*'SAC Padrão_Sem Bonif'!W350)</f>
        <v>#VALUE!</v>
      </c>
      <c r="R350" s="43" t="e">
        <f>IF(Preenchimento!$G$39="Tabela Price",IF(C350="","",((((((1+W350)^($Q$16-C349))*W350)/((1+W350)^($Q$16-C349)-1))*(O349*(1+$AD$35))))),Q350+P350)</f>
        <v>#VALUE!</v>
      </c>
      <c r="S350" s="43" t="e">
        <f t="shared" ca="1" si="76"/>
        <v>#VALUE!</v>
      </c>
      <c r="T350" s="43">
        <f t="shared" si="83"/>
        <v>0</v>
      </c>
      <c r="U350" s="226">
        <f>TRUNC(T350*Condições!$C$102,2)</f>
        <v>0</v>
      </c>
      <c r="V350" s="82">
        <f t="shared" ca="1" si="77"/>
        <v>7</v>
      </c>
      <c r="W350" s="231" t="str">
        <f t="shared" si="84"/>
        <v/>
      </c>
      <c r="X350" s="210"/>
      <c r="Y350" s="210"/>
      <c r="Z350" s="210"/>
      <c r="AI350" s="114">
        <f t="shared" si="85"/>
        <v>0</v>
      </c>
      <c r="AJ350" s="113"/>
      <c r="AL350" s="477">
        <f t="shared" ca="1" si="86"/>
        <v>0</v>
      </c>
    </row>
    <row r="351" spans="2:38">
      <c r="B351" s="222">
        <f ca="1">Fixa!B351</f>
        <v>56112</v>
      </c>
      <c r="C351" s="223" t="str">
        <f>Fixa!C351</f>
        <v/>
      </c>
      <c r="D351" s="43" t="e">
        <f t="shared" si="78"/>
        <v>#VALUE!</v>
      </c>
      <c r="E351" s="43" t="e">
        <f t="shared" si="78"/>
        <v>#VALUE!</v>
      </c>
      <c r="F351" s="43" t="e">
        <f t="shared" si="78"/>
        <v>#VALUE!</v>
      </c>
      <c r="G351" s="43" t="e">
        <f t="shared" si="73"/>
        <v>#VALUE!</v>
      </c>
      <c r="H351" s="43" t="e">
        <f t="shared" ca="1" si="74"/>
        <v>#VALUE!</v>
      </c>
      <c r="I351" s="43">
        <f t="shared" si="75"/>
        <v>0</v>
      </c>
      <c r="J351" s="229">
        <f t="shared" si="79"/>
        <v>25</v>
      </c>
      <c r="K351" s="43">
        <f t="shared" si="80"/>
        <v>0</v>
      </c>
      <c r="M351" s="224"/>
      <c r="N351" s="225">
        <f t="shared" si="81"/>
        <v>0</v>
      </c>
      <c r="O351" s="43" t="e">
        <f t="shared" si="82"/>
        <v>#VALUE!</v>
      </c>
      <c r="P351" s="43" t="e">
        <f>ROUND(IF(Preenchimento!$G$39="Tabela Price",R351-Q351,(O350*(1+$AD$35))/($AD$28-C350)),$P$22)</f>
        <v>#VALUE!</v>
      </c>
      <c r="Q351" s="43" t="e">
        <f>IF(Preenchimento!$G$39="Tabela Price",O350*(1+$AD$35)*W351,O350*(1+'SAC Padrão_Sem Bonif'!$AD$35)*'SAC Padrão_Sem Bonif'!W351)</f>
        <v>#VALUE!</v>
      </c>
      <c r="R351" s="43" t="e">
        <f>IF(Preenchimento!$G$39="Tabela Price",IF(C351="","",((((((1+W351)^($Q$16-C350))*W351)/((1+W351)^($Q$16-C350)-1))*(O350*(1+$AD$35))))),Q351+P351)</f>
        <v>#VALUE!</v>
      </c>
      <c r="S351" s="43" t="e">
        <f t="shared" ca="1" si="76"/>
        <v>#VALUE!</v>
      </c>
      <c r="T351" s="43">
        <f t="shared" si="83"/>
        <v>0</v>
      </c>
      <c r="U351" s="226">
        <f>TRUNC(T351*Condições!$C$102,2)</f>
        <v>0</v>
      </c>
      <c r="V351" s="82">
        <f t="shared" ca="1" si="77"/>
        <v>8</v>
      </c>
      <c r="W351" s="231" t="str">
        <f t="shared" si="84"/>
        <v/>
      </c>
      <c r="X351" s="210"/>
      <c r="Y351" s="210"/>
      <c r="Z351" s="210"/>
      <c r="AI351" s="114">
        <f t="shared" si="85"/>
        <v>0</v>
      </c>
      <c r="AJ351" s="113"/>
      <c r="AL351" s="477">
        <f t="shared" ca="1" si="86"/>
        <v>0</v>
      </c>
    </row>
    <row r="352" spans="2:38">
      <c r="B352" s="222">
        <f ca="1">Fixa!B352</f>
        <v>56143</v>
      </c>
      <c r="C352" s="223" t="str">
        <f>Fixa!C352</f>
        <v/>
      </c>
      <c r="D352" s="43" t="e">
        <f t="shared" si="78"/>
        <v>#VALUE!</v>
      </c>
      <c r="E352" s="43" t="e">
        <f t="shared" si="78"/>
        <v>#VALUE!</v>
      </c>
      <c r="F352" s="43" t="e">
        <f t="shared" si="78"/>
        <v>#VALUE!</v>
      </c>
      <c r="G352" s="43" t="e">
        <f t="shared" si="73"/>
        <v>#VALUE!</v>
      </c>
      <c r="H352" s="43" t="e">
        <f t="shared" ca="1" si="74"/>
        <v>#VALUE!</v>
      </c>
      <c r="I352" s="43">
        <f t="shared" si="75"/>
        <v>0</v>
      </c>
      <c r="J352" s="229">
        <f t="shared" si="79"/>
        <v>25</v>
      </c>
      <c r="K352" s="43">
        <f t="shared" si="80"/>
        <v>0</v>
      </c>
      <c r="M352" s="224"/>
      <c r="N352" s="225">
        <f t="shared" si="81"/>
        <v>0</v>
      </c>
      <c r="O352" s="43" t="e">
        <f t="shared" si="82"/>
        <v>#VALUE!</v>
      </c>
      <c r="P352" s="43" t="e">
        <f>ROUND(IF(Preenchimento!$G$39="Tabela Price",R352-Q352,(O351*(1+$AD$35))/($AD$28-C351)),$P$22)</f>
        <v>#VALUE!</v>
      </c>
      <c r="Q352" s="43" t="e">
        <f>IF(Preenchimento!$G$39="Tabela Price",O351*(1+$AD$35)*W352,O351*(1+'SAC Padrão_Sem Bonif'!$AD$35)*'SAC Padrão_Sem Bonif'!W352)</f>
        <v>#VALUE!</v>
      </c>
      <c r="R352" s="43" t="e">
        <f>IF(Preenchimento!$G$39="Tabela Price",IF(C352="","",((((((1+W352)^($Q$16-C351))*W352)/((1+W352)^($Q$16-C351)-1))*(O351*(1+$AD$35))))),Q352+P352)</f>
        <v>#VALUE!</v>
      </c>
      <c r="S352" s="43" t="e">
        <f t="shared" ca="1" si="76"/>
        <v>#VALUE!</v>
      </c>
      <c r="T352" s="43">
        <f t="shared" si="83"/>
        <v>0</v>
      </c>
      <c r="U352" s="226">
        <f>TRUNC(T352*Condições!$C$102,2)</f>
        <v>0</v>
      </c>
      <c r="V352" s="82">
        <f t="shared" ca="1" si="77"/>
        <v>9</v>
      </c>
      <c r="W352" s="231" t="str">
        <f t="shared" si="84"/>
        <v/>
      </c>
      <c r="X352" s="210"/>
      <c r="Y352" s="210"/>
      <c r="Z352" s="210"/>
      <c r="AI352" s="114">
        <f t="shared" si="85"/>
        <v>0</v>
      </c>
      <c r="AJ352" s="113"/>
      <c r="AL352" s="477">
        <f t="shared" ca="1" si="86"/>
        <v>0</v>
      </c>
    </row>
    <row r="353" spans="2:38">
      <c r="B353" s="222">
        <f ca="1">Fixa!B353</f>
        <v>56173</v>
      </c>
      <c r="C353" s="223" t="str">
        <f>Fixa!C353</f>
        <v/>
      </c>
      <c r="D353" s="43" t="e">
        <f t="shared" si="78"/>
        <v>#VALUE!</v>
      </c>
      <c r="E353" s="43" t="e">
        <f t="shared" si="78"/>
        <v>#VALUE!</v>
      </c>
      <c r="F353" s="43" t="e">
        <f t="shared" si="78"/>
        <v>#VALUE!</v>
      </c>
      <c r="G353" s="43" t="e">
        <f t="shared" si="73"/>
        <v>#VALUE!</v>
      </c>
      <c r="H353" s="43" t="e">
        <f t="shared" ca="1" si="74"/>
        <v>#VALUE!</v>
      </c>
      <c r="I353" s="43">
        <f t="shared" si="75"/>
        <v>0</v>
      </c>
      <c r="J353" s="229">
        <f t="shared" si="79"/>
        <v>25</v>
      </c>
      <c r="K353" s="43">
        <f t="shared" si="80"/>
        <v>0</v>
      </c>
      <c r="M353" s="224"/>
      <c r="N353" s="225">
        <f t="shared" si="81"/>
        <v>0</v>
      </c>
      <c r="O353" s="43" t="e">
        <f t="shared" si="82"/>
        <v>#VALUE!</v>
      </c>
      <c r="P353" s="43" t="e">
        <f>ROUND(IF(Preenchimento!$G$39="Tabela Price",R353-Q353,(O352*(1+$AD$35))/($AD$28-C352)),$P$22)</f>
        <v>#VALUE!</v>
      </c>
      <c r="Q353" s="43" t="e">
        <f>IF(Preenchimento!$G$39="Tabela Price",O352*(1+$AD$35)*W353,O352*(1+'SAC Padrão_Sem Bonif'!$AD$35)*'SAC Padrão_Sem Bonif'!W353)</f>
        <v>#VALUE!</v>
      </c>
      <c r="R353" s="43" t="e">
        <f>IF(Preenchimento!$G$39="Tabela Price",IF(C353="","",((((((1+W353)^($Q$16-C352))*W353)/((1+W353)^($Q$16-C352)-1))*(O352*(1+$AD$35))))),Q353+P353)</f>
        <v>#VALUE!</v>
      </c>
      <c r="S353" s="43" t="e">
        <f t="shared" ca="1" si="76"/>
        <v>#VALUE!</v>
      </c>
      <c r="T353" s="43">
        <f t="shared" si="83"/>
        <v>0</v>
      </c>
      <c r="U353" s="226">
        <f>TRUNC(T353*Condições!$C$102,2)</f>
        <v>0</v>
      </c>
      <c r="V353" s="82">
        <f t="shared" ca="1" si="77"/>
        <v>10</v>
      </c>
      <c r="W353" s="231" t="str">
        <f t="shared" si="84"/>
        <v/>
      </c>
      <c r="X353" s="210"/>
      <c r="Y353" s="210"/>
      <c r="Z353" s="210"/>
      <c r="AI353" s="114">
        <f t="shared" si="85"/>
        <v>0</v>
      </c>
      <c r="AJ353" s="113"/>
      <c r="AL353" s="477">
        <f t="shared" ca="1" si="86"/>
        <v>0</v>
      </c>
    </row>
    <row r="354" spans="2:38">
      <c r="B354" s="222">
        <f ca="1">Fixa!B354</f>
        <v>56204</v>
      </c>
      <c r="C354" s="223" t="str">
        <f>Fixa!C354</f>
        <v/>
      </c>
      <c r="D354" s="43" t="e">
        <f t="shared" si="78"/>
        <v>#VALUE!</v>
      </c>
      <c r="E354" s="43" t="e">
        <f t="shared" si="78"/>
        <v>#VALUE!</v>
      </c>
      <c r="F354" s="43" t="e">
        <f t="shared" si="78"/>
        <v>#VALUE!</v>
      </c>
      <c r="G354" s="43" t="e">
        <f t="shared" si="73"/>
        <v>#VALUE!</v>
      </c>
      <c r="H354" s="43" t="e">
        <f t="shared" ca="1" si="74"/>
        <v>#VALUE!</v>
      </c>
      <c r="I354" s="43">
        <f t="shared" si="75"/>
        <v>0</v>
      </c>
      <c r="J354" s="229">
        <f t="shared" si="79"/>
        <v>25</v>
      </c>
      <c r="K354" s="43">
        <f t="shared" si="80"/>
        <v>0</v>
      </c>
      <c r="M354" s="224"/>
      <c r="N354" s="225">
        <f t="shared" si="81"/>
        <v>0</v>
      </c>
      <c r="O354" s="43" t="e">
        <f t="shared" si="82"/>
        <v>#VALUE!</v>
      </c>
      <c r="P354" s="43" t="e">
        <f>ROUND(IF(Preenchimento!$G$39="Tabela Price",R354-Q354,(O353*(1+$AD$35))/($AD$28-C353)),$P$22)</f>
        <v>#VALUE!</v>
      </c>
      <c r="Q354" s="43" t="e">
        <f>IF(Preenchimento!$G$39="Tabela Price",O353*(1+$AD$35)*W354,O353*(1+'SAC Padrão_Sem Bonif'!$AD$35)*'SAC Padrão_Sem Bonif'!W354)</f>
        <v>#VALUE!</v>
      </c>
      <c r="R354" s="43" t="e">
        <f>IF(Preenchimento!$G$39="Tabela Price",IF(C354="","",((((((1+W354)^($Q$16-C353))*W354)/((1+W354)^($Q$16-C353)-1))*(O353*(1+$AD$35))))),Q354+P354)</f>
        <v>#VALUE!</v>
      </c>
      <c r="S354" s="43" t="e">
        <f t="shared" ca="1" si="76"/>
        <v>#VALUE!</v>
      </c>
      <c r="T354" s="43">
        <f t="shared" si="83"/>
        <v>0</v>
      </c>
      <c r="U354" s="226">
        <f>TRUNC(T354*Condições!$C$102,2)</f>
        <v>0</v>
      </c>
      <c r="V354" s="82">
        <f t="shared" ca="1" si="77"/>
        <v>11</v>
      </c>
      <c r="W354" s="231" t="str">
        <f t="shared" si="84"/>
        <v/>
      </c>
      <c r="X354" s="210"/>
      <c r="Y354" s="210"/>
      <c r="Z354" s="210"/>
      <c r="AI354" s="114">
        <f t="shared" si="85"/>
        <v>0</v>
      </c>
      <c r="AJ354" s="113"/>
      <c r="AL354" s="477">
        <f t="shared" ca="1" si="86"/>
        <v>0</v>
      </c>
    </row>
    <row r="355" spans="2:38">
      <c r="B355" s="222">
        <f ca="1">Fixa!B355</f>
        <v>56234</v>
      </c>
      <c r="C355" s="223" t="str">
        <f>Fixa!C355</f>
        <v/>
      </c>
      <c r="D355" s="43" t="e">
        <f t="shared" si="78"/>
        <v>#VALUE!</v>
      </c>
      <c r="E355" s="43" t="e">
        <f t="shared" si="78"/>
        <v>#VALUE!</v>
      </c>
      <c r="F355" s="43" t="e">
        <f t="shared" si="78"/>
        <v>#VALUE!</v>
      </c>
      <c r="G355" s="43" t="e">
        <f t="shared" si="73"/>
        <v>#VALUE!</v>
      </c>
      <c r="H355" s="43" t="e">
        <f t="shared" ca="1" si="74"/>
        <v>#VALUE!</v>
      </c>
      <c r="I355" s="43">
        <f t="shared" si="75"/>
        <v>0</v>
      </c>
      <c r="J355" s="229">
        <f t="shared" si="79"/>
        <v>25</v>
      </c>
      <c r="K355" s="43">
        <f t="shared" si="80"/>
        <v>0</v>
      </c>
      <c r="M355" s="224"/>
      <c r="N355" s="225">
        <f t="shared" si="81"/>
        <v>0</v>
      </c>
      <c r="O355" s="43" t="e">
        <f t="shared" si="82"/>
        <v>#VALUE!</v>
      </c>
      <c r="P355" s="43" t="e">
        <f>ROUND(IF(Preenchimento!$G$39="Tabela Price",R355-Q355,(O354*(1+$AD$35))/($AD$28-C354)),$P$22)</f>
        <v>#VALUE!</v>
      </c>
      <c r="Q355" s="43" t="e">
        <f>IF(Preenchimento!$G$39="Tabela Price",O354*(1+$AD$35)*W355,O354*(1+'SAC Padrão_Sem Bonif'!$AD$35)*'SAC Padrão_Sem Bonif'!W355)</f>
        <v>#VALUE!</v>
      </c>
      <c r="R355" s="43" t="e">
        <f>IF(Preenchimento!$G$39="Tabela Price",IF(C355="","",((((((1+W355)^($Q$16-C354))*W355)/((1+W355)^($Q$16-C354)-1))*(O354*(1+$AD$35))))),Q355+P355)</f>
        <v>#VALUE!</v>
      </c>
      <c r="S355" s="43" t="e">
        <f t="shared" ca="1" si="76"/>
        <v>#VALUE!</v>
      </c>
      <c r="T355" s="43">
        <f t="shared" si="83"/>
        <v>0</v>
      </c>
      <c r="U355" s="226">
        <f>TRUNC(T355*Condições!$C$102,2)</f>
        <v>0</v>
      </c>
      <c r="V355" s="82">
        <f t="shared" ca="1" si="77"/>
        <v>12</v>
      </c>
      <c r="W355" s="231" t="str">
        <f t="shared" si="84"/>
        <v/>
      </c>
      <c r="X355" s="210"/>
      <c r="Y355" s="210"/>
      <c r="Z355" s="210"/>
      <c r="AI355" s="114">
        <f t="shared" si="85"/>
        <v>0</v>
      </c>
      <c r="AJ355" s="113"/>
      <c r="AL355" s="477">
        <f t="shared" ca="1" si="86"/>
        <v>0</v>
      </c>
    </row>
    <row r="356" spans="2:38">
      <c r="B356" s="222">
        <f ca="1">Fixa!B356</f>
        <v>56265</v>
      </c>
      <c r="C356" s="223" t="str">
        <f>Fixa!C356</f>
        <v/>
      </c>
      <c r="D356" s="43" t="e">
        <f t="shared" si="78"/>
        <v>#VALUE!</v>
      </c>
      <c r="E356" s="43" t="e">
        <f t="shared" si="78"/>
        <v>#VALUE!</v>
      </c>
      <c r="F356" s="43" t="e">
        <f t="shared" si="78"/>
        <v>#VALUE!</v>
      </c>
      <c r="G356" s="43" t="e">
        <f t="shared" si="73"/>
        <v>#VALUE!</v>
      </c>
      <c r="H356" s="43" t="e">
        <f t="shared" ca="1" si="74"/>
        <v>#VALUE!</v>
      </c>
      <c r="I356" s="43">
        <f t="shared" si="75"/>
        <v>0</v>
      </c>
      <c r="J356" s="229">
        <f t="shared" si="79"/>
        <v>25</v>
      </c>
      <c r="K356" s="43">
        <f t="shared" si="80"/>
        <v>0</v>
      </c>
      <c r="M356" s="224"/>
      <c r="N356" s="225">
        <f t="shared" si="81"/>
        <v>0</v>
      </c>
      <c r="O356" s="43" t="e">
        <f t="shared" si="82"/>
        <v>#VALUE!</v>
      </c>
      <c r="P356" s="43" t="e">
        <f>ROUND(IF(Preenchimento!$G$39="Tabela Price",R356-Q356,(O355*(1+$AD$35))/($AD$28-C355)),$P$22)</f>
        <v>#VALUE!</v>
      </c>
      <c r="Q356" s="43" t="e">
        <f>IF(Preenchimento!$G$39="Tabela Price",O355*(1+$AD$35)*W356,O355*(1+'SAC Padrão_Sem Bonif'!$AD$35)*'SAC Padrão_Sem Bonif'!W356)</f>
        <v>#VALUE!</v>
      </c>
      <c r="R356" s="43" t="e">
        <f>IF(Preenchimento!$G$39="Tabela Price",IF(C356="","",((((((1+W356)^($Q$16-C355))*W356)/((1+W356)^($Q$16-C355)-1))*(O355*(1+$AD$35))))),Q356+P356)</f>
        <v>#VALUE!</v>
      </c>
      <c r="S356" s="43" t="e">
        <f t="shared" ca="1" si="76"/>
        <v>#VALUE!</v>
      </c>
      <c r="T356" s="43">
        <f t="shared" si="83"/>
        <v>0</v>
      </c>
      <c r="U356" s="226">
        <f>TRUNC(T356*Condições!$C$102,2)</f>
        <v>0</v>
      </c>
      <c r="V356" s="82">
        <f t="shared" ca="1" si="77"/>
        <v>1</v>
      </c>
      <c r="W356" s="231" t="str">
        <f t="shared" si="84"/>
        <v/>
      </c>
      <c r="X356" s="210"/>
      <c r="Y356" s="210"/>
      <c r="Z356" s="210"/>
      <c r="AI356" s="114">
        <f t="shared" si="85"/>
        <v>0</v>
      </c>
      <c r="AJ356" s="113"/>
      <c r="AL356" s="477">
        <f t="shared" ca="1" si="86"/>
        <v>0</v>
      </c>
    </row>
    <row r="357" spans="2:38">
      <c r="B357" s="222">
        <f ca="1">Fixa!B357</f>
        <v>56296</v>
      </c>
      <c r="C357" s="223" t="str">
        <f>Fixa!C357</f>
        <v/>
      </c>
      <c r="D357" s="43" t="e">
        <f t="shared" si="78"/>
        <v>#VALUE!</v>
      </c>
      <c r="E357" s="43" t="e">
        <f t="shared" si="78"/>
        <v>#VALUE!</v>
      </c>
      <c r="F357" s="43" t="e">
        <f t="shared" si="78"/>
        <v>#VALUE!</v>
      </c>
      <c r="G357" s="43" t="e">
        <f t="shared" si="73"/>
        <v>#VALUE!</v>
      </c>
      <c r="H357" s="43" t="e">
        <f t="shared" ca="1" si="74"/>
        <v>#VALUE!</v>
      </c>
      <c r="I357" s="43">
        <f t="shared" si="75"/>
        <v>0</v>
      </c>
      <c r="J357" s="229">
        <f t="shared" si="79"/>
        <v>25</v>
      </c>
      <c r="K357" s="43">
        <f t="shared" si="80"/>
        <v>0</v>
      </c>
      <c r="M357" s="224"/>
      <c r="N357" s="225">
        <f t="shared" si="81"/>
        <v>0</v>
      </c>
      <c r="O357" s="43" t="e">
        <f t="shared" si="82"/>
        <v>#VALUE!</v>
      </c>
      <c r="P357" s="43" t="e">
        <f>ROUND(IF(Preenchimento!$G$39="Tabela Price",R357-Q357,(O356*(1+$AD$35))/($AD$28-C356)),$P$22)</f>
        <v>#VALUE!</v>
      </c>
      <c r="Q357" s="43" t="e">
        <f>IF(Preenchimento!$G$39="Tabela Price",O356*(1+$AD$35)*W357,O356*(1+'SAC Padrão_Sem Bonif'!$AD$35)*'SAC Padrão_Sem Bonif'!W357)</f>
        <v>#VALUE!</v>
      </c>
      <c r="R357" s="43" t="e">
        <f>IF(Preenchimento!$G$39="Tabela Price",IF(C357="","",((((((1+W357)^($Q$16-C356))*W357)/((1+W357)^($Q$16-C356)-1))*(O356*(1+$AD$35))))),Q357+P357)</f>
        <v>#VALUE!</v>
      </c>
      <c r="S357" s="43" t="e">
        <f t="shared" ca="1" si="76"/>
        <v>#VALUE!</v>
      </c>
      <c r="T357" s="43">
        <f t="shared" si="83"/>
        <v>0</v>
      </c>
      <c r="U357" s="226">
        <f>TRUNC(T357*Condições!$C$102,2)</f>
        <v>0</v>
      </c>
      <c r="V357" s="82">
        <f t="shared" ca="1" si="77"/>
        <v>2</v>
      </c>
      <c r="W357" s="231" t="str">
        <f t="shared" si="84"/>
        <v/>
      </c>
      <c r="X357" s="210"/>
      <c r="Y357" s="210"/>
      <c r="Z357" s="210"/>
      <c r="AI357" s="114">
        <f t="shared" si="85"/>
        <v>0</v>
      </c>
      <c r="AJ357" s="113"/>
      <c r="AL357" s="477">
        <f t="shared" ca="1" si="86"/>
        <v>0</v>
      </c>
    </row>
    <row r="358" spans="2:38">
      <c r="B358" s="222">
        <f ca="1">Fixa!B358</f>
        <v>56324</v>
      </c>
      <c r="C358" s="223" t="str">
        <f>Fixa!C358</f>
        <v/>
      </c>
      <c r="D358" s="43" t="e">
        <f t="shared" si="78"/>
        <v>#VALUE!</v>
      </c>
      <c r="E358" s="43" t="e">
        <f t="shared" si="78"/>
        <v>#VALUE!</v>
      </c>
      <c r="F358" s="43" t="e">
        <f t="shared" si="78"/>
        <v>#VALUE!</v>
      </c>
      <c r="G358" s="43" t="e">
        <f t="shared" si="73"/>
        <v>#VALUE!</v>
      </c>
      <c r="H358" s="43" t="e">
        <f t="shared" ca="1" si="74"/>
        <v>#VALUE!</v>
      </c>
      <c r="I358" s="43">
        <f t="shared" si="75"/>
        <v>0</v>
      </c>
      <c r="J358" s="229">
        <f t="shared" si="79"/>
        <v>25</v>
      </c>
      <c r="K358" s="43">
        <f t="shared" si="80"/>
        <v>0</v>
      </c>
      <c r="M358" s="224"/>
      <c r="N358" s="225">
        <f t="shared" si="81"/>
        <v>0</v>
      </c>
      <c r="O358" s="43" t="e">
        <f t="shared" si="82"/>
        <v>#VALUE!</v>
      </c>
      <c r="P358" s="43" t="e">
        <f>ROUND(IF(Preenchimento!$G$39="Tabela Price",R358-Q358,(O357*(1+$AD$35))/($AD$28-C357)),$P$22)</f>
        <v>#VALUE!</v>
      </c>
      <c r="Q358" s="43" t="e">
        <f>IF(Preenchimento!$G$39="Tabela Price",O357*(1+$AD$35)*W358,O357*(1+'SAC Padrão_Sem Bonif'!$AD$35)*'SAC Padrão_Sem Bonif'!W358)</f>
        <v>#VALUE!</v>
      </c>
      <c r="R358" s="43" t="e">
        <f>IF(Preenchimento!$G$39="Tabela Price",IF(C358="","",((((((1+W358)^($Q$16-C357))*W358)/((1+W358)^($Q$16-C357)-1))*(O357*(1+$AD$35))))),Q358+P358)</f>
        <v>#VALUE!</v>
      </c>
      <c r="S358" s="43" t="e">
        <f t="shared" ca="1" si="76"/>
        <v>#VALUE!</v>
      </c>
      <c r="T358" s="43">
        <f t="shared" si="83"/>
        <v>0</v>
      </c>
      <c r="U358" s="226">
        <f>TRUNC(T358*Condições!$C$102,2)</f>
        <v>0</v>
      </c>
      <c r="V358" s="82">
        <f t="shared" ca="1" si="77"/>
        <v>3</v>
      </c>
      <c r="W358" s="231" t="str">
        <f t="shared" si="84"/>
        <v/>
      </c>
      <c r="X358" s="210"/>
      <c r="Y358" s="210"/>
      <c r="Z358" s="210"/>
      <c r="AI358" s="114">
        <f t="shared" si="85"/>
        <v>0</v>
      </c>
      <c r="AJ358" s="113"/>
      <c r="AL358" s="477">
        <f t="shared" ca="1" si="86"/>
        <v>0</v>
      </c>
    </row>
    <row r="359" spans="2:38">
      <c r="B359" s="222">
        <f ca="1">Fixa!B359</f>
        <v>56355</v>
      </c>
      <c r="C359" s="223" t="str">
        <f>Fixa!C359</f>
        <v/>
      </c>
      <c r="D359" s="43" t="e">
        <f t="shared" si="78"/>
        <v>#VALUE!</v>
      </c>
      <c r="E359" s="43" t="e">
        <f t="shared" si="78"/>
        <v>#VALUE!</v>
      </c>
      <c r="F359" s="43" t="e">
        <f t="shared" si="78"/>
        <v>#VALUE!</v>
      </c>
      <c r="G359" s="43" t="e">
        <f t="shared" si="73"/>
        <v>#VALUE!</v>
      </c>
      <c r="H359" s="43" t="e">
        <f t="shared" ca="1" si="74"/>
        <v>#VALUE!</v>
      </c>
      <c r="I359" s="43">
        <f t="shared" si="75"/>
        <v>0</v>
      </c>
      <c r="J359" s="229">
        <f t="shared" si="79"/>
        <v>25</v>
      </c>
      <c r="K359" s="43">
        <f t="shared" si="80"/>
        <v>0</v>
      </c>
      <c r="M359" s="224"/>
      <c r="N359" s="225">
        <f t="shared" si="81"/>
        <v>0</v>
      </c>
      <c r="O359" s="43" t="e">
        <f t="shared" si="82"/>
        <v>#VALUE!</v>
      </c>
      <c r="P359" s="43" t="e">
        <f>ROUND(IF(Preenchimento!$G$39="Tabela Price",R359-Q359,(O358*(1+$AD$35))/($AD$28-C358)),$P$22)</f>
        <v>#VALUE!</v>
      </c>
      <c r="Q359" s="43" t="e">
        <f>IF(Preenchimento!$G$39="Tabela Price",O358*(1+$AD$35)*W359,O358*(1+'SAC Padrão_Sem Bonif'!$AD$35)*'SAC Padrão_Sem Bonif'!W359)</f>
        <v>#VALUE!</v>
      </c>
      <c r="R359" s="43" t="e">
        <f>IF(Preenchimento!$G$39="Tabela Price",IF(C359="","",((((((1+W359)^($Q$16-C358))*W359)/((1+W359)^($Q$16-C358)-1))*(O358*(1+$AD$35))))),Q359+P359)</f>
        <v>#VALUE!</v>
      </c>
      <c r="S359" s="43" t="e">
        <f t="shared" ca="1" si="76"/>
        <v>#VALUE!</v>
      </c>
      <c r="T359" s="43">
        <f t="shared" si="83"/>
        <v>0</v>
      </c>
      <c r="U359" s="226">
        <f>TRUNC(T359*Condições!$C$102,2)</f>
        <v>0</v>
      </c>
      <c r="V359" s="82">
        <f t="shared" ca="1" si="77"/>
        <v>4</v>
      </c>
      <c r="W359" s="231" t="str">
        <f t="shared" si="84"/>
        <v/>
      </c>
      <c r="X359" s="210"/>
      <c r="Y359" s="210"/>
      <c r="Z359" s="210"/>
      <c r="AI359" s="114">
        <f t="shared" si="85"/>
        <v>0</v>
      </c>
      <c r="AJ359" s="113"/>
      <c r="AL359" s="477">
        <f t="shared" ca="1" si="86"/>
        <v>0</v>
      </c>
    </row>
    <row r="360" spans="2:38">
      <c r="B360" s="222">
        <f ca="1">Fixa!B360</f>
        <v>56385</v>
      </c>
      <c r="C360" s="223" t="str">
        <f>Fixa!C360</f>
        <v/>
      </c>
      <c r="D360" s="43" t="e">
        <f t="shared" si="78"/>
        <v>#VALUE!</v>
      </c>
      <c r="E360" s="43" t="e">
        <f t="shared" si="78"/>
        <v>#VALUE!</v>
      </c>
      <c r="F360" s="43" t="e">
        <f t="shared" si="78"/>
        <v>#VALUE!</v>
      </c>
      <c r="G360" s="43" t="e">
        <f t="shared" si="73"/>
        <v>#VALUE!</v>
      </c>
      <c r="H360" s="43" t="e">
        <f t="shared" ca="1" si="74"/>
        <v>#VALUE!</v>
      </c>
      <c r="I360" s="43">
        <f t="shared" si="75"/>
        <v>0</v>
      </c>
      <c r="J360" s="229">
        <f t="shared" si="79"/>
        <v>25</v>
      </c>
      <c r="K360" s="43">
        <f t="shared" si="80"/>
        <v>0</v>
      </c>
      <c r="M360" s="224"/>
      <c r="N360" s="225">
        <f t="shared" si="81"/>
        <v>0</v>
      </c>
      <c r="O360" s="43" t="e">
        <f t="shared" si="82"/>
        <v>#VALUE!</v>
      </c>
      <c r="P360" s="43" t="e">
        <f>ROUND(IF(Preenchimento!$G$39="Tabela Price",R360-Q360,(O359*(1+$AD$35))/($AD$28-C359)),$P$22)</f>
        <v>#VALUE!</v>
      </c>
      <c r="Q360" s="43" t="e">
        <f>IF(Preenchimento!$G$39="Tabela Price",O359*(1+$AD$35)*W360,O359*(1+'SAC Padrão_Sem Bonif'!$AD$35)*'SAC Padrão_Sem Bonif'!W360)</f>
        <v>#VALUE!</v>
      </c>
      <c r="R360" s="43" t="e">
        <f>IF(Preenchimento!$G$39="Tabela Price",IF(C360="","",((((((1+W360)^($Q$16-C359))*W360)/((1+W360)^($Q$16-C359)-1))*(O359*(1+$AD$35))))),Q360+P360)</f>
        <v>#VALUE!</v>
      </c>
      <c r="S360" s="43" t="e">
        <f t="shared" ca="1" si="76"/>
        <v>#VALUE!</v>
      </c>
      <c r="T360" s="43">
        <f t="shared" si="83"/>
        <v>0</v>
      </c>
      <c r="U360" s="226">
        <f>TRUNC(T360*Condições!$C$102,2)</f>
        <v>0</v>
      </c>
      <c r="V360" s="82">
        <f t="shared" ca="1" si="77"/>
        <v>5</v>
      </c>
      <c r="W360" s="231" t="str">
        <f t="shared" si="84"/>
        <v/>
      </c>
      <c r="X360" s="210"/>
      <c r="Y360" s="210"/>
      <c r="Z360" s="210"/>
      <c r="AI360" s="114">
        <f t="shared" si="85"/>
        <v>0</v>
      </c>
      <c r="AJ360" s="113"/>
      <c r="AL360" s="477">
        <f t="shared" ca="1" si="86"/>
        <v>0</v>
      </c>
    </row>
    <row r="361" spans="2:38">
      <c r="B361" s="222">
        <f ca="1">Fixa!B361</f>
        <v>56416</v>
      </c>
      <c r="C361" s="223" t="str">
        <f>Fixa!C361</f>
        <v/>
      </c>
      <c r="D361" s="43" t="e">
        <f t="shared" si="78"/>
        <v>#VALUE!</v>
      </c>
      <c r="E361" s="43" t="e">
        <f t="shared" si="78"/>
        <v>#VALUE!</v>
      </c>
      <c r="F361" s="43" t="e">
        <f t="shared" si="78"/>
        <v>#VALUE!</v>
      </c>
      <c r="G361" s="43" t="e">
        <f t="shared" si="73"/>
        <v>#VALUE!</v>
      </c>
      <c r="H361" s="43" t="e">
        <f t="shared" ca="1" si="74"/>
        <v>#VALUE!</v>
      </c>
      <c r="I361" s="43">
        <f t="shared" si="75"/>
        <v>0</v>
      </c>
      <c r="J361" s="229">
        <f t="shared" si="79"/>
        <v>25</v>
      </c>
      <c r="K361" s="43">
        <f t="shared" si="80"/>
        <v>0</v>
      </c>
      <c r="M361" s="224"/>
      <c r="N361" s="225">
        <f t="shared" si="81"/>
        <v>0</v>
      </c>
      <c r="O361" s="43" t="e">
        <f t="shared" si="82"/>
        <v>#VALUE!</v>
      </c>
      <c r="P361" s="43" t="e">
        <f>ROUND(IF(Preenchimento!$G$39="Tabela Price",R361-Q361,(O360*(1+$AD$35))/($AD$28-C360)),$P$22)</f>
        <v>#VALUE!</v>
      </c>
      <c r="Q361" s="43" t="e">
        <f>IF(Preenchimento!$G$39="Tabela Price",O360*(1+$AD$35)*W361,O360*(1+'SAC Padrão_Sem Bonif'!$AD$35)*'SAC Padrão_Sem Bonif'!W361)</f>
        <v>#VALUE!</v>
      </c>
      <c r="R361" s="43" t="e">
        <f>IF(Preenchimento!$G$39="Tabela Price",IF(C361="","",((((((1+W361)^($Q$16-C360))*W361)/((1+W361)^($Q$16-C360)-1))*(O360*(1+$AD$35))))),Q361+P361)</f>
        <v>#VALUE!</v>
      </c>
      <c r="S361" s="43" t="e">
        <f t="shared" ca="1" si="76"/>
        <v>#VALUE!</v>
      </c>
      <c r="T361" s="43">
        <f t="shared" si="83"/>
        <v>0</v>
      </c>
      <c r="U361" s="226">
        <f>TRUNC(T361*Condições!$C$102,2)</f>
        <v>0</v>
      </c>
      <c r="V361" s="82">
        <f t="shared" ca="1" si="77"/>
        <v>6</v>
      </c>
      <c r="W361" s="231" t="str">
        <f t="shared" si="84"/>
        <v/>
      </c>
      <c r="X361" s="210"/>
      <c r="Y361" s="210"/>
      <c r="Z361" s="210"/>
      <c r="AI361" s="114">
        <f t="shared" si="85"/>
        <v>0</v>
      </c>
      <c r="AJ361" s="113"/>
      <c r="AL361" s="477">
        <f t="shared" ca="1" si="86"/>
        <v>0</v>
      </c>
    </row>
    <row r="362" spans="2:38">
      <c r="B362" s="222">
        <f ca="1">Fixa!B362</f>
        <v>56446</v>
      </c>
      <c r="C362" s="223" t="str">
        <f>Fixa!C362</f>
        <v/>
      </c>
      <c r="D362" s="43" t="e">
        <f t="shared" si="78"/>
        <v>#VALUE!</v>
      </c>
      <c r="E362" s="43" t="e">
        <f t="shared" si="78"/>
        <v>#VALUE!</v>
      </c>
      <c r="F362" s="43" t="e">
        <f t="shared" si="78"/>
        <v>#VALUE!</v>
      </c>
      <c r="G362" s="43" t="e">
        <f t="shared" si="73"/>
        <v>#VALUE!</v>
      </c>
      <c r="H362" s="43" t="e">
        <f t="shared" ca="1" si="74"/>
        <v>#VALUE!</v>
      </c>
      <c r="I362" s="43">
        <f t="shared" si="75"/>
        <v>0</v>
      </c>
      <c r="J362" s="229">
        <f t="shared" si="79"/>
        <v>25</v>
      </c>
      <c r="K362" s="43">
        <f t="shared" si="80"/>
        <v>0</v>
      </c>
      <c r="M362" s="224"/>
      <c r="N362" s="225">
        <f t="shared" si="81"/>
        <v>0</v>
      </c>
      <c r="O362" s="43" t="e">
        <f t="shared" si="82"/>
        <v>#VALUE!</v>
      </c>
      <c r="P362" s="43" t="e">
        <f>ROUND(IF(Preenchimento!$G$39="Tabela Price",R362-Q362,(O361*(1+$AD$35))/($AD$28-C361)),$P$22)</f>
        <v>#VALUE!</v>
      </c>
      <c r="Q362" s="43" t="e">
        <f>IF(Preenchimento!$G$39="Tabela Price",O361*(1+$AD$35)*W362,O361*(1+'SAC Padrão_Sem Bonif'!$AD$35)*'SAC Padrão_Sem Bonif'!W362)</f>
        <v>#VALUE!</v>
      </c>
      <c r="R362" s="43" t="e">
        <f>IF(Preenchimento!$G$39="Tabela Price",IF(C362="","",((((((1+W362)^($Q$16-C361))*W362)/((1+W362)^($Q$16-C361)-1))*(O361*(1+$AD$35))))),Q362+P362)</f>
        <v>#VALUE!</v>
      </c>
      <c r="S362" s="43" t="e">
        <f t="shared" ca="1" si="76"/>
        <v>#VALUE!</v>
      </c>
      <c r="T362" s="43">
        <f t="shared" si="83"/>
        <v>0</v>
      </c>
      <c r="U362" s="226">
        <f>TRUNC(T362*Condições!$C$102,2)</f>
        <v>0</v>
      </c>
      <c r="V362" s="82">
        <f t="shared" ca="1" si="77"/>
        <v>7</v>
      </c>
      <c r="W362" s="231" t="str">
        <f t="shared" si="84"/>
        <v/>
      </c>
      <c r="X362" s="210"/>
      <c r="Y362" s="210"/>
      <c r="Z362" s="210"/>
      <c r="AI362" s="114">
        <f t="shared" si="85"/>
        <v>0</v>
      </c>
      <c r="AJ362" s="113"/>
      <c r="AL362" s="477">
        <f t="shared" ca="1" si="86"/>
        <v>0</v>
      </c>
    </row>
    <row r="363" spans="2:38">
      <c r="B363" s="222">
        <f ca="1">Fixa!B363</f>
        <v>56477</v>
      </c>
      <c r="C363" s="223" t="str">
        <f>Fixa!C363</f>
        <v/>
      </c>
      <c r="D363" s="43" t="e">
        <f t="shared" si="78"/>
        <v>#VALUE!</v>
      </c>
      <c r="E363" s="43" t="e">
        <f t="shared" si="78"/>
        <v>#VALUE!</v>
      </c>
      <c r="F363" s="43" t="e">
        <f t="shared" si="78"/>
        <v>#VALUE!</v>
      </c>
      <c r="G363" s="43" t="e">
        <f t="shared" si="73"/>
        <v>#VALUE!</v>
      </c>
      <c r="H363" s="43" t="e">
        <f t="shared" ca="1" si="74"/>
        <v>#VALUE!</v>
      </c>
      <c r="I363" s="43">
        <f t="shared" si="75"/>
        <v>0</v>
      </c>
      <c r="J363" s="229">
        <f t="shared" si="79"/>
        <v>25</v>
      </c>
      <c r="K363" s="43">
        <f t="shared" si="80"/>
        <v>0</v>
      </c>
      <c r="M363" s="224"/>
      <c r="N363" s="225">
        <f t="shared" si="81"/>
        <v>0</v>
      </c>
      <c r="O363" s="43" t="e">
        <f t="shared" si="82"/>
        <v>#VALUE!</v>
      </c>
      <c r="P363" s="43" t="e">
        <f>ROUND(IF(Preenchimento!$G$39="Tabela Price",R363-Q363,(O362*(1+$AD$35))/($AD$28-C362)),$P$22)</f>
        <v>#VALUE!</v>
      </c>
      <c r="Q363" s="43" t="e">
        <f>IF(Preenchimento!$G$39="Tabela Price",O362*(1+$AD$35)*W363,O362*(1+'SAC Padrão_Sem Bonif'!$AD$35)*'SAC Padrão_Sem Bonif'!W363)</f>
        <v>#VALUE!</v>
      </c>
      <c r="R363" s="43" t="e">
        <f>IF(Preenchimento!$G$39="Tabela Price",IF(C363="","",((((((1+W363)^($Q$16-C362))*W363)/((1+W363)^($Q$16-C362)-1))*(O362*(1+$AD$35))))),Q363+P363)</f>
        <v>#VALUE!</v>
      </c>
      <c r="S363" s="43" t="e">
        <f t="shared" ca="1" si="76"/>
        <v>#VALUE!</v>
      </c>
      <c r="T363" s="43">
        <f t="shared" si="83"/>
        <v>0</v>
      </c>
      <c r="U363" s="226">
        <f>TRUNC(T363*Condições!$C$102,2)</f>
        <v>0</v>
      </c>
      <c r="V363" s="82">
        <f t="shared" ca="1" si="77"/>
        <v>8</v>
      </c>
      <c r="W363" s="231" t="str">
        <f t="shared" si="84"/>
        <v/>
      </c>
      <c r="X363" s="210"/>
      <c r="Y363" s="210"/>
      <c r="Z363" s="210"/>
      <c r="AI363" s="114">
        <f t="shared" si="85"/>
        <v>0</v>
      </c>
      <c r="AJ363" s="113"/>
      <c r="AL363" s="477">
        <f t="shared" ca="1" si="86"/>
        <v>0</v>
      </c>
    </row>
    <row r="364" spans="2:38">
      <c r="B364" s="222">
        <f ca="1">Fixa!B364</f>
        <v>56508</v>
      </c>
      <c r="C364" s="223" t="str">
        <f>Fixa!C364</f>
        <v/>
      </c>
      <c r="D364" s="43" t="e">
        <f t="shared" si="78"/>
        <v>#VALUE!</v>
      </c>
      <c r="E364" s="43" t="e">
        <f t="shared" si="78"/>
        <v>#VALUE!</v>
      </c>
      <c r="F364" s="43" t="e">
        <f t="shared" si="78"/>
        <v>#VALUE!</v>
      </c>
      <c r="G364" s="43" t="e">
        <f t="shared" si="73"/>
        <v>#VALUE!</v>
      </c>
      <c r="H364" s="43" t="e">
        <f t="shared" ca="1" si="74"/>
        <v>#VALUE!</v>
      </c>
      <c r="I364" s="43">
        <f t="shared" si="75"/>
        <v>0</v>
      </c>
      <c r="J364" s="229">
        <f t="shared" si="79"/>
        <v>25</v>
      </c>
      <c r="K364" s="43">
        <f t="shared" si="80"/>
        <v>0</v>
      </c>
      <c r="M364" s="224"/>
      <c r="N364" s="225">
        <f t="shared" si="81"/>
        <v>0</v>
      </c>
      <c r="O364" s="43" t="e">
        <f t="shared" si="82"/>
        <v>#VALUE!</v>
      </c>
      <c r="P364" s="43" t="e">
        <f>ROUND(IF(Preenchimento!$G$39="Tabela Price",R364-Q364,(O363*(1+$AD$35))/($AD$28-C363)),$P$22)</f>
        <v>#VALUE!</v>
      </c>
      <c r="Q364" s="43" t="e">
        <f>IF(Preenchimento!$G$39="Tabela Price",O363*(1+$AD$35)*W364,O363*(1+'SAC Padrão_Sem Bonif'!$AD$35)*'SAC Padrão_Sem Bonif'!W364)</f>
        <v>#VALUE!</v>
      </c>
      <c r="R364" s="43" t="e">
        <f>IF(Preenchimento!$G$39="Tabela Price",IF(C364="","",((((((1+W364)^($Q$16-C363))*W364)/((1+W364)^($Q$16-C363)-1))*(O363*(1+$AD$35))))),Q364+P364)</f>
        <v>#VALUE!</v>
      </c>
      <c r="S364" s="43" t="e">
        <f t="shared" ca="1" si="76"/>
        <v>#VALUE!</v>
      </c>
      <c r="T364" s="43">
        <f t="shared" si="83"/>
        <v>0</v>
      </c>
      <c r="U364" s="226">
        <f>TRUNC(T364*Condições!$C$102,2)</f>
        <v>0</v>
      </c>
      <c r="V364" s="82">
        <f t="shared" ca="1" si="77"/>
        <v>9</v>
      </c>
      <c r="W364" s="231" t="str">
        <f t="shared" si="84"/>
        <v/>
      </c>
      <c r="X364" s="210"/>
      <c r="Y364" s="210"/>
      <c r="Z364" s="210"/>
      <c r="AI364" s="114">
        <f t="shared" si="85"/>
        <v>0</v>
      </c>
      <c r="AJ364" s="113"/>
      <c r="AL364" s="477">
        <f t="shared" ca="1" si="86"/>
        <v>0</v>
      </c>
    </row>
    <row r="365" spans="2:38">
      <c r="B365" s="222">
        <f ca="1">Fixa!B365</f>
        <v>56538</v>
      </c>
      <c r="C365" s="223" t="str">
        <f>Fixa!C365</f>
        <v/>
      </c>
      <c r="D365" s="43" t="e">
        <f t="shared" si="78"/>
        <v>#VALUE!</v>
      </c>
      <c r="E365" s="43" t="e">
        <f t="shared" si="78"/>
        <v>#VALUE!</v>
      </c>
      <c r="F365" s="43" t="e">
        <f t="shared" si="78"/>
        <v>#VALUE!</v>
      </c>
      <c r="G365" s="43" t="e">
        <f t="shared" si="73"/>
        <v>#VALUE!</v>
      </c>
      <c r="H365" s="43" t="e">
        <f t="shared" ca="1" si="74"/>
        <v>#VALUE!</v>
      </c>
      <c r="I365" s="43">
        <f t="shared" si="75"/>
        <v>0</v>
      </c>
      <c r="J365" s="229">
        <f t="shared" si="79"/>
        <v>25</v>
      </c>
      <c r="K365" s="43">
        <f t="shared" si="80"/>
        <v>0</v>
      </c>
      <c r="M365" s="224"/>
      <c r="N365" s="225">
        <f t="shared" si="81"/>
        <v>0</v>
      </c>
      <c r="O365" s="43" t="e">
        <f t="shared" si="82"/>
        <v>#VALUE!</v>
      </c>
      <c r="P365" s="43" t="e">
        <f>ROUND(IF(Preenchimento!$G$39="Tabela Price",R365-Q365,(O364*(1+$AD$35))/($AD$28-C364)),$P$22)</f>
        <v>#VALUE!</v>
      </c>
      <c r="Q365" s="43" t="e">
        <f>IF(Preenchimento!$G$39="Tabela Price",O364*(1+$AD$35)*W365,O364*(1+'SAC Padrão_Sem Bonif'!$AD$35)*'SAC Padrão_Sem Bonif'!W365)</f>
        <v>#VALUE!</v>
      </c>
      <c r="R365" s="43" t="e">
        <f>IF(Preenchimento!$G$39="Tabela Price",IF(C365="","",((((((1+W365)^($Q$16-C364))*W365)/((1+W365)^($Q$16-C364)-1))*(O364*(1+$AD$35))))),Q365+P365)</f>
        <v>#VALUE!</v>
      </c>
      <c r="S365" s="43" t="e">
        <f t="shared" ca="1" si="76"/>
        <v>#VALUE!</v>
      </c>
      <c r="T365" s="43">
        <f t="shared" si="83"/>
        <v>0</v>
      </c>
      <c r="U365" s="226">
        <f>TRUNC(T365*Condições!$C$102,2)</f>
        <v>0</v>
      </c>
      <c r="V365" s="82">
        <f t="shared" ca="1" si="77"/>
        <v>10</v>
      </c>
      <c r="W365" s="231" t="str">
        <f t="shared" si="84"/>
        <v/>
      </c>
      <c r="X365" s="210"/>
      <c r="Y365" s="210"/>
      <c r="Z365" s="210"/>
      <c r="AI365" s="114">
        <f t="shared" si="85"/>
        <v>0</v>
      </c>
      <c r="AJ365" s="113"/>
      <c r="AL365" s="477">
        <f t="shared" ca="1" si="86"/>
        <v>0</v>
      </c>
    </row>
    <row r="366" spans="2:38">
      <c r="B366" s="222">
        <f ca="1">Fixa!B366</f>
        <v>56569</v>
      </c>
      <c r="C366" s="223" t="str">
        <f>Fixa!C366</f>
        <v/>
      </c>
      <c r="D366" s="43" t="e">
        <f t="shared" si="78"/>
        <v>#VALUE!</v>
      </c>
      <c r="E366" s="43" t="e">
        <f t="shared" si="78"/>
        <v>#VALUE!</v>
      </c>
      <c r="F366" s="43" t="e">
        <f t="shared" si="78"/>
        <v>#VALUE!</v>
      </c>
      <c r="G366" s="43" t="e">
        <f t="shared" si="73"/>
        <v>#VALUE!</v>
      </c>
      <c r="H366" s="43" t="e">
        <f t="shared" ca="1" si="74"/>
        <v>#VALUE!</v>
      </c>
      <c r="I366" s="43">
        <f t="shared" si="75"/>
        <v>0</v>
      </c>
      <c r="J366" s="229">
        <f t="shared" si="79"/>
        <v>25</v>
      </c>
      <c r="K366" s="43">
        <f t="shared" si="80"/>
        <v>0</v>
      </c>
      <c r="M366" s="224"/>
      <c r="N366" s="225">
        <f t="shared" si="81"/>
        <v>0</v>
      </c>
      <c r="O366" s="43" t="e">
        <f t="shared" si="82"/>
        <v>#VALUE!</v>
      </c>
      <c r="P366" s="43" t="e">
        <f>ROUND(IF(Preenchimento!$G$39="Tabela Price",R366-Q366,(O365*(1+$AD$35))/($AD$28-C365)),$P$22)</f>
        <v>#VALUE!</v>
      </c>
      <c r="Q366" s="43" t="e">
        <f>IF(Preenchimento!$G$39="Tabela Price",O365*(1+$AD$35)*W366,O365*(1+'SAC Padrão_Sem Bonif'!$AD$35)*'SAC Padrão_Sem Bonif'!W366)</f>
        <v>#VALUE!</v>
      </c>
      <c r="R366" s="43" t="e">
        <f>IF(Preenchimento!$G$39="Tabela Price",IF(C366="","",((((((1+W366)^($Q$16-C365))*W366)/((1+W366)^($Q$16-C365)-1))*(O365*(1+$AD$35))))),Q366+P366)</f>
        <v>#VALUE!</v>
      </c>
      <c r="S366" s="43" t="e">
        <f t="shared" ca="1" si="76"/>
        <v>#VALUE!</v>
      </c>
      <c r="T366" s="43">
        <f t="shared" si="83"/>
        <v>0</v>
      </c>
      <c r="U366" s="226">
        <f>TRUNC(T366*Condições!$C$102,2)</f>
        <v>0</v>
      </c>
      <c r="V366" s="82">
        <f t="shared" ca="1" si="77"/>
        <v>11</v>
      </c>
      <c r="W366" s="231" t="str">
        <f t="shared" si="84"/>
        <v/>
      </c>
      <c r="X366" s="210"/>
      <c r="Y366" s="210"/>
      <c r="Z366" s="210"/>
      <c r="AI366" s="114">
        <f t="shared" si="85"/>
        <v>0</v>
      </c>
      <c r="AJ366" s="113"/>
      <c r="AL366" s="477">
        <f t="shared" ca="1" si="86"/>
        <v>0</v>
      </c>
    </row>
    <row r="367" spans="2:38">
      <c r="B367" s="222">
        <f ca="1">Fixa!B367</f>
        <v>56599</v>
      </c>
      <c r="C367" s="223" t="str">
        <f>Fixa!C367</f>
        <v/>
      </c>
      <c r="D367" s="43" t="e">
        <f t="shared" si="78"/>
        <v>#VALUE!</v>
      </c>
      <c r="E367" s="43" t="e">
        <f t="shared" si="78"/>
        <v>#VALUE!</v>
      </c>
      <c r="F367" s="43" t="e">
        <f t="shared" si="78"/>
        <v>#VALUE!</v>
      </c>
      <c r="G367" s="43" t="e">
        <f t="shared" si="73"/>
        <v>#VALUE!</v>
      </c>
      <c r="H367" s="43" t="e">
        <f t="shared" ca="1" si="74"/>
        <v>#VALUE!</v>
      </c>
      <c r="I367" s="43">
        <f t="shared" si="75"/>
        <v>0</v>
      </c>
      <c r="J367" s="229">
        <f t="shared" si="79"/>
        <v>25</v>
      </c>
      <c r="K367" s="43">
        <f t="shared" si="80"/>
        <v>0</v>
      </c>
      <c r="M367" s="224"/>
      <c r="N367" s="225">
        <f t="shared" si="81"/>
        <v>0</v>
      </c>
      <c r="O367" s="43" t="e">
        <f t="shared" si="82"/>
        <v>#VALUE!</v>
      </c>
      <c r="P367" s="43" t="e">
        <f>ROUND(IF(Preenchimento!$G$39="Tabela Price",R367-Q367,(O366*(1+$AD$35))/($AD$28-C366)),$P$22)</f>
        <v>#VALUE!</v>
      </c>
      <c r="Q367" s="43" t="e">
        <f>IF(Preenchimento!$G$39="Tabela Price",O366*(1+$AD$35)*W367,O366*(1+'SAC Padrão_Sem Bonif'!$AD$35)*'SAC Padrão_Sem Bonif'!W367)</f>
        <v>#VALUE!</v>
      </c>
      <c r="R367" s="43" t="e">
        <f>IF(Preenchimento!$G$39="Tabela Price",IF(C367="","",((((((1+W367)^($Q$16-C366))*W367)/((1+W367)^($Q$16-C366)-1))*(O366*(1+$AD$35))))),Q367+P367)</f>
        <v>#VALUE!</v>
      </c>
      <c r="S367" s="43" t="e">
        <f t="shared" ca="1" si="76"/>
        <v>#VALUE!</v>
      </c>
      <c r="T367" s="43">
        <f t="shared" si="83"/>
        <v>0</v>
      </c>
      <c r="U367" s="226">
        <f>TRUNC(T367*Condições!$C$102,2)</f>
        <v>0</v>
      </c>
      <c r="V367" s="82">
        <f t="shared" ca="1" si="77"/>
        <v>12</v>
      </c>
      <c r="W367" s="231" t="str">
        <f t="shared" si="84"/>
        <v/>
      </c>
      <c r="X367" s="210"/>
      <c r="Y367" s="210"/>
      <c r="Z367" s="210"/>
      <c r="AI367" s="114">
        <f t="shared" si="85"/>
        <v>0</v>
      </c>
      <c r="AJ367" s="113"/>
      <c r="AL367" s="477">
        <f t="shared" ca="1" si="86"/>
        <v>0</v>
      </c>
    </row>
    <row r="368" spans="2:38">
      <c r="B368" s="222">
        <f ca="1">Fixa!B368</f>
        <v>56630</v>
      </c>
      <c r="C368" s="223" t="str">
        <f>Fixa!C368</f>
        <v/>
      </c>
      <c r="D368" s="43" t="e">
        <f t="shared" si="78"/>
        <v>#VALUE!</v>
      </c>
      <c r="E368" s="43" t="e">
        <f t="shared" si="78"/>
        <v>#VALUE!</v>
      </c>
      <c r="F368" s="43" t="e">
        <f t="shared" si="78"/>
        <v>#VALUE!</v>
      </c>
      <c r="G368" s="43" t="e">
        <f t="shared" si="73"/>
        <v>#VALUE!</v>
      </c>
      <c r="H368" s="43" t="e">
        <f t="shared" ca="1" si="74"/>
        <v>#VALUE!</v>
      </c>
      <c r="I368" s="43">
        <f t="shared" si="75"/>
        <v>0</v>
      </c>
      <c r="J368" s="229">
        <f t="shared" si="79"/>
        <v>25</v>
      </c>
      <c r="K368" s="43">
        <f t="shared" si="80"/>
        <v>0</v>
      </c>
      <c r="M368" s="224"/>
      <c r="N368" s="225">
        <f t="shared" si="81"/>
        <v>0</v>
      </c>
      <c r="O368" s="43" t="e">
        <f t="shared" si="82"/>
        <v>#VALUE!</v>
      </c>
      <c r="P368" s="43" t="e">
        <f>ROUND(IF(Preenchimento!$G$39="Tabela Price",R368-Q368,(O367*(1+$AD$35))/($AD$28-C367)),$P$22)</f>
        <v>#VALUE!</v>
      </c>
      <c r="Q368" s="43" t="e">
        <f>IF(Preenchimento!$G$39="Tabela Price",O367*(1+$AD$35)*W368,O367*(1+'SAC Padrão_Sem Bonif'!$AD$35)*'SAC Padrão_Sem Bonif'!W368)</f>
        <v>#VALUE!</v>
      </c>
      <c r="R368" s="43" t="e">
        <f>IF(Preenchimento!$G$39="Tabela Price",IF(C368="","",((((((1+W368)^($Q$16-C367))*W368)/((1+W368)^($Q$16-C367)-1))*(O367*(1+$AD$35))))),Q368+P368)</f>
        <v>#VALUE!</v>
      </c>
      <c r="S368" s="43" t="e">
        <f t="shared" ca="1" si="76"/>
        <v>#VALUE!</v>
      </c>
      <c r="T368" s="43">
        <f t="shared" si="83"/>
        <v>0</v>
      </c>
      <c r="U368" s="226">
        <f>TRUNC(T368*Condições!$C$102,2)</f>
        <v>0</v>
      </c>
      <c r="V368" s="82">
        <f t="shared" ca="1" si="77"/>
        <v>1</v>
      </c>
      <c r="W368" s="231" t="str">
        <f t="shared" si="84"/>
        <v/>
      </c>
      <c r="X368" s="210"/>
      <c r="Y368" s="210"/>
      <c r="Z368" s="210"/>
      <c r="AI368" s="114">
        <f t="shared" si="85"/>
        <v>0</v>
      </c>
      <c r="AJ368" s="113"/>
      <c r="AL368" s="477">
        <f t="shared" ca="1" si="86"/>
        <v>0</v>
      </c>
    </row>
    <row r="369" spans="2:38">
      <c r="B369" s="222">
        <f ca="1">Fixa!B369</f>
        <v>56661</v>
      </c>
      <c r="C369" s="223" t="str">
        <f>Fixa!C369</f>
        <v/>
      </c>
      <c r="D369" s="43" t="e">
        <f t="shared" si="78"/>
        <v>#VALUE!</v>
      </c>
      <c r="E369" s="43" t="e">
        <f t="shared" si="78"/>
        <v>#VALUE!</v>
      </c>
      <c r="F369" s="43" t="e">
        <f t="shared" si="78"/>
        <v>#VALUE!</v>
      </c>
      <c r="G369" s="43" t="e">
        <f t="shared" si="73"/>
        <v>#VALUE!</v>
      </c>
      <c r="H369" s="43" t="e">
        <f t="shared" ca="1" si="74"/>
        <v>#VALUE!</v>
      </c>
      <c r="I369" s="43">
        <f t="shared" si="75"/>
        <v>0</v>
      </c>
      <c r="J369" s="229">
        <f t="shared" si="79"/>
        <v>25</v>
      </c>
      <c r="K369" s="43">
        <f t="shared" si="80"/>
        <v>0</v>
      </c>
      <c r="M369" s="224"/>
      <c r="N369" s="225">
        <f t="shared" si="81"/>
        <v>0</v>
      </c>
      <c r="O369" s="43" t="e">
        <f t="shared" si="82"/>
        <v>#VALUE!</v>
      </c>
      <c r="P369" s="43" t="e">
        <f>ROUND(IF(Preenchimento!$G$39="Tabela Price",R369-Q369,(O368*(1+$AD$35))/($AD$28-C368)),$P$22)</f>
        <v>#VALUE!</v>
      </c>
      <c r="Q369" s="43" t="e">
        <f>IF(Preenchimento!$G$39="Tabela Price",O368*(1+$AD$35)*W369,O368*(1+'SAC Padrão_Sem Bonif'!$AD$35)*'SAC Padrão_Sem Bonif'!W369)</f>
        <v>#VALUE!</v>
      </c>
      <c r="R369" s="43" t="e">
        <f>IF(Preenchimento!$G$39="Tabela Price",IF(C369="","",((((((1+W369)^($Q$16-C368))*W369)/((1+W369)^($Q$16-C368)-1))*(O368*(1+$AD$35))))),Q369+P369)</f>
        <v>#VALUE!</v>
      </c>
      <c r="S369" s="43" t="e">
        <f t="shared" ca="1" si="76"/>
        <v>#VALUE!</v>
      </c>
      <c r="T369" s="43">
        <f t="shared" si="83"/>
        <v>0</v>
      </c>
      <c r="U369" s="226">
        <f>TRUNC(T369*Condições!$C$102,2)</f>
        <v>0</v>
      </c>
      <c r="V369" s="82">
        <f t="shared" ca="1" si="77"/>
        <v>2</v>
      </c>
      <c r="W369" s="231" t="str">
        <f t="shared" si="84"/>
        <v/>
      </c>
      <c r="X369" s="210"/>
      <c r="Y369" s="210"/>
      <c r="Z369" s="210"/>
      <c r="AI369" s="114">
        <f t="shared" si="85"/>
        <v>0</v>
      </c>
      <c r="AJ369" s="113"/>
      <c r="AL369" s="477">
        <f t="shared" ca="1" si="86"/>
        <v>0</v>
      </c>
    </row>
    <row r="370" spans="2:38">
      <c r="B370" s="222">
        <f ca="1">Fixa!B370</f>
        <v>56689</v>
      </c>
      <c r="C370" s="223" t="str">
        <f>Fixa!C370</f>
        <v/>
      </c>
      <c r="D370" s="43" t="e">
        <f t="shared" si="78"/>
        <v>#VALUE!</v>
      </c>
      <c r="E370" s="43" t="e">
        <f t="shared" si="78"/>
        <v>#VALUE!</v>
      </c>
      <c r="F370" s="43" t="e">
        <f t="shared" si="78"/>
        <v>#VALUE!</v>
      </c>
      <c r="G370" s="43" t="e">
        <f t="shared" si="73"/>
        <v>#VALUE!</v>
      </c>
      <c r="H370" s="43" t="e">
        <f t="shared" ca="1" si="74"/>
        <v>#VALUE!</v>
      </c>
      <c r="I370" s="43">
        <f t="shared" si="75"/>
        <v>0</v>
      </c>
      <c r="J370" s="229">
        <f t="shared" si="79"/>
        <v>25</v>
      </c>
      <c r="K370" s="43">
        <f t="shared" si="80"/>
        <v>0</v>
      </c>
      <c r="M370" s="224"/>
      <c r="N370" s="225">
        <f t="shared" si="81"/>
        <v>0</v>
      </c>
      <c r="O370" s="43" t="e">
        <f t="shared" si="82"/>
        <v>#VALUE!</v>
      </c>
      <c r="P370" s="43" t="e">
        <f>ROUND(IF(Preenchimento!$G$39="Tabela Price",R370-Q370,(O369*(1+$AD$35))/($AD$28-C369)),$P$22)</f>
        <v>#VALUE!</v>
      </c>
      <c r="Q370" s="43" t="e">
        <f>IF(Preenchimento!$G$39="Tabela Price",O369*(1+$AD$35)*W370,O369*(1+'SAC Padrão_Sem Bonif'!$AD$35)*'SAC Padrão_Sem Bonif'!W370)</f>
        <v>#VALUE!</v>
      </c>
      <c r="R370" s="43" t="e">
        <f>IF(Preenchimento!$G$39="Tabela Price",IF(C370="","",((((((1+W370)^($Q$16-C369))*W370)/((1+W370)^($Q$16-C369)-1))*(O369*(1+$AD$35))))),Q370+P370)</f>
        <v>#VALUE!</v>
      </c>
      <c r="S370" s="43" t="e">
        <f t="shared" ca="1" si="76"/>
        <v>#VALUE!</v>
      </c>
      <c r="T370" s="43">
        <f t="shared" si="83"/>
        <v>0</v>
      </c>
      <c r="U370" s="226">
        <f>TRUNC(T370*Condições!$C$102,2)</f>
        <v>0</v>
      </c>
      <c r="V370" s="82">
        <f t="shared" ca="1" si="77"/>
        <v>3</v>
      </c>
      <c r="W370" s="231" t="str">
        <f t="shared" si="84"/>
        <v/>
      </c>
      <c r="X370" s="210"/>
      <c r="Y370" s="210"/>
      <c r="Z370" s="210"/>
      <c r="AI370" s="114">
        <f t="shared" si="85"/>
        <v>0</v>
      </c>
      <c r="AJ370" s="113"/>
      <c r="AL370" s="477">
        <f t="shared" ca="1" si="86"/>
        <v>0</v>
      </c>
    </row>
    <row r="371" spans="2:38">
      <c r="B371" s="222">
        <f ca="1">Fixa!B371</f>
        <v>56720</v>
      </c>
      <c r="C371" s="223" t="str">
        <f>Fixa!C371</f>
        <v/>
      </c>
      <c r="D371" s="43" t="e">
        <f t="shared" si="78"/>
        <v>#VALUE!</v>
      </c>
      <c r="E371" s="43" t="e">
        <f t="shared" si="78"/>
        <v>#VALUE!</v>
      </c>
      <c r="F371" s="43" t="e">
        <f t="shared" si="78"/>
        <v>#VALUE!</v>
      </c>
      <c r="G371" s="43" t="e">
        <f t="shared" si="73"/>
        <v>#VALUE!</v>
      </c>
      <c r="H371" s="43" t="e">
        <f t="shared" ca="1" si="74"/>
        <v>#VALUE!</v>
      </c>
      <c r="I371" s="43">
        <f t="shared" si="75"/>
        <v>0</v>
      </c>
      <c r="J371" s="229">
        <f t="shared" si="79"/>
        <v>25</v>
      </c>
      <c r="K371" s="43">
        <f t="shared" si="80"/>
        <v>0</v>
      </c>
      <c r="M371" s="224"/>
      <c r="N371" s="225">
        <f t="shared" si="81"/>
        <v>0</v>
      </c>
      <c r="O371" s="43" t="e">
        <f t="shared" si="82"/>
        <v>#VALUE!</v>
      </c>
      <c r="P371" s="43" t="e">
        <f>ROUND(IF(Preenchimento!$G$39="Tabela Price",R371-Q371,(O370*(1+$AD$35))/($AD$28-C370)),$P$22)</f>
        <v>#VALUE!</v>
      </c>
      <c r="Q371" s="43" t="e">
        <f>IF(Preenchimento!$G$39="Tabela Price",O370*(1+$AD$35)*W371,O370*(1+'SAC Padrão_Sem Bonif'!$AD$35)*'SAC Padrão_Sem Bonif'!W371)</f>
        <v>#VALUE!</v>
      </c>
      <c r="R371" s="43" t="e">
        <f>IF(Preenchimento!$G$39="Tabela Price",IF(C371="","",((((((1+W371)^($Q$16-C370))*W371)/((1+W371)^($Q$16-C370)-1))*(O370*(1+$AD$35))))),Q371+P371)</f>
        <v>#VALUE!</v>
      </c>
      <c r="S371" s="43" t="e">
        <f t="shared" ca="1" si="76"/>
        <v>#VALUE!</v>
      </c>
      <c r="T371" s="43">
        <f t="shared" si="83"/>
        <v>0</v>
      </c>
      <c r="U371" s="226">
        <f>TRUNC(T371*Condições!$C$102,2)</f>
        <v>0</v>
      </c>
      <c r="V371" s="82">
        <f t="shared" ca="1" si="77"/>
        <v>4</v>
      </c>
      <c r="W371" s="231" t="str">
        <f t="shared" si="84"/>
        <v/>
      </c>
      <c r="X371" s="210"/>
      <c r="Y371" s="210"/>
      <c r="Z371" s="210"/>
      <c r="AI371" s="114">
        <f t="shared" si="85"/>
        <v>0</v>
      </c>
      <c r="AJ371" s="113"/>
      <c r="AL371" s="477">
        <f t="shared" ca="1" si="86"/>
        <v>0</v>
      </c>
    </row>
    <row r="372" spans="2:38">
      <c r="B372" s="222">
        <f ca="1">Fixa!B372</f>
        <v>56750</v>
      </c>
      <c r="C372" s="223" t="str">
        <f>Fixa!C372</f>
        <v/>
      </c>
      <c r="D372" s="43" t="e">
        <f t="shared" si="78"/>
        <v>#VALUE!</v>
      </c>
      <c r="E372" s="43" t="e">
        <f t="shared" si="78"/>
        <v>#VALUE!</v>
      </c>
      <c r="F372" s="43" t="e">
        <f t="shared" si="78"/>
        <v>#VALUE!</v>
      </c>
      <c r="G372" s="43" t="e">
        <f t="shared" si="73"/>
        <v>#VALUE!</v>
      </c>
      <c r="H372" s="43" t="e">
        <f t="shared" ca="1" si="74"/>
        <v>#VALUE!</v>
      </c>
      <c r="I372" s="43">
        <f t="shared" si="75"/>
        <v>0</v>
      </c>
      <c r="J372" s="229">
        <f t="shared" si="79"/>
        <v>25</v>
      </c>
      <c r="K372" s="43">
        <f t="shared" si="80"/>
        <v>0</v>
      </c>
      <c r="M372" s="224"/>
      <c r="N372" s="225">
        <f t="shared" si="81"/>
        <v>0</v>
      </c>
      <c r="O372" s="43" t="e">
        <f t="shared" si="82"/>
        <v>#VALUE!</v>
      </c>
      <c r="P372" s="43" t="e">
        <f>ROUND(IF(Preenchimento!$G$39="Tabela Price",R372-Q372,(O371*(1+$AD$35))/($AD$28-C371)),$P$22)</f>
        <v>#VALUE!</v>
      </c>
      <c r="Q372" s="43" t="e">
        <f>IF(Preenchimento!$G$39="Tabela Price",O371*(1+$AD$35)*W372,O371*(1+'SAC Padrão_Sem Bonif'!$AD$35)*'SAC Padrão_Sem Bonif'!W372)</f>
        <v>#VALUE!</v>
      </c>
      <c r="R372" s="43" t="e">
        <f>IF(Preenchimento!$G$39="Tabela Price",IF(C372="","",((((((1+W372)^($Q$16-C371))*W372)/((1+W372)^($Q$16-C371)-1))*(O371*(1+$AD$35))))),Q372+P372)</f>
        <v>#VALUE!</v>
      </c>
      <c r="S372" s="43" t="e">
        <f t="shared" ca="1" si="76"/>
        <v>#VALUE!</v>
      </c>
      <c r="T372" s="43">
        <f t="shared" si="83"/>
        <v>0</v>
      </c>
      <c r="U372" s="226">
        <f>TRUNC(T372*Condições!$C$102,2)</f>
        <v>0</v>
      </c>
      <c r="V372" s="82">
        <f t="shared" ca="1" si="77"/>
        <v>5</v>
      </c>
      <c r="W372" s="231" t="str">
        <f t="shared" si="84"/>
        <v/>
      </c>
      <c r="X372" s="210"/>
      <c r="Y372" s="210"/>
      <c r="Z372" s="210"/>
      <c r="AI372" s="114">
        <f t="shared" si="85"/>
        <v>0</v>
      </c>
      <c r="AJ372" s="113"/>
      <c r="AL372" s="477">
        <f t="shared" ca="1" si="86"/>
        <v>0</v>
      </c>
    </row>
    <row r="373" spans="2:38">
      <c r="B373" s="222">
        <f ca="1">Fixa!B373</f>
        <v>56781</v>
      </c>
      <c r="C373" s="223" t="str">
        <f>Fixa!C373</f>
        <v/>
      </c>
      <c r="D373" s="43" t="e">
        <f t="shared" si="78"/>
        <v>#VALUE!</v>
      </c>
      <c r="E373" s="43" t="e">
        <f t="shared" si="78"/>
        <v>#VALUE!</v>
      </c>
      <c r="F373" s="43" t="e">
        <f t="shared" si="78"/>
        <v>#VALUE!</v>
      </c>
      <c r="G373" s="43" t="e">
        <f t="shared" si="73"/>
        <v>#VALUE!</v>
      </c>
      <c r="H373" s="43" t="e">
        <f t="shared" ca="1" si="74"/>
        <v>#VALUE!</v>
      </c>
      <c r="I373" s="43">
        <f t="shared" si="75"/>
        <v>0</v>
      </c>
      <c r="J373" s="229">
        <f t="shared" si="79"/>
        <v>25</v>
      </c>
      <c r="K373" s="43">
        <f t="shared" si="80"/>
        <v>0</v>
      </c>
      <c r="M373" s="224"/>
      <c r="N373" s="225">
        <f t="shared" si="81"/>
        <v>0</v>
      </c>
      <c r="O373" s="43" t="e">
        <f t="shared" si="82"/>
        <v>#VALUE!</v>
      </c>
      <c r="P373" s="43" t="e">
        <f>ROUND(IF(Preenchimento!$G$39="Tabela Price",R373-Q373,(O372*(1+$AD$35))/($AD$28-C372)),$P$22)</f>
        <v>#VALUE!</v>
      </c>
      <c r="Q373" s="43" t="e">
        <f>IF(Preenchimento!$G$39="Tabela Price",O372*(1+$AD$35)*W373,O372*(1+'SAC Padrão_Sem Bonif'!$AD$35)*'SAC Padrão_Sem Bonif'!W373)</f>
        <v>#VALUE!</v>
      </c>
      <c r="R373" s="43" t="e">
        <f>IF(Preenchimento!$G$39="Tabela Price",IF(C373="","",((((((1+W373)^($Q$16-C372))*W373)/((1+W373)^($Q$16-C372)-1))*(O372*(1+$AD$35))))),Q373+P373)</f>
        <v>#VALUE!</v>
      </c>
      <c r="S373" s="43" t="e">
        <f t="shared" ca="1" si="76"/>
        <v>#VALUE!</v>
      </c>
      <c r="T373" s="43">
        <f t="shared" si="83"/>
        <v>0</v>
      </c>
      <c r="U373" s="226">
        <f>TRUNC(T373*Condições!$C$102,2)</f>
        <v>0</v>
      </c>
      <c r="V373" s="82">
        <f t="shared" ca="1" si="77"/>
        <v>6</v>
      </c>
      <c r="W373" s="231" t="str">
        <f t="shared" si="84"/>
        <v/>
      </c>
      <c r="X373" s="210"/>
      <c r="Y373" s="210"/>
      <c r="Z373" s="210"/>
      <c r="AI373" s="114">
        <f t="shared" si="85"/>
        <v>0</v>
      </c>
      <c r="AJ373" s="113"/>
      <c r="AL373" s="477">
        <f t="shared" ca="1" si="86"/>
        <v>0</v>
      </c>
    </row>
    <row r="374" spans="2:38">
      <c r="B374" s="222">
        <f ca="1">Fixa!B374</f>
        <v>56811</v>
      </c>
      <c r="C374" s="223" t="str">
        <f>Fixa!C374</f>
        <v/>
      </c>
      <c r="D374" s="43" t="e">
        <f t="shared" si="78"/>
        <v>#VALUE!</v>
      </c>
      <c r="E374" s="43" t="e">
        <f t="shared" si="78"/>
        <v>#VALUE!</v>
      </c>
      <c r="F374" s="43" t="e">
        <f t="shared" si="78"/>
        <v>#VALUE!</v>
      </c>
      <c r="G374" s="43" t="e">
        <f t="shared" si="73"/>
        <v>#VALUE!</v>
      </c>
      <c r="H374" s="43" t="e">
        <f t="shared" ca="1" si="74"/>
        <v>#VALUE!</v>
      </c>
      <c r="I374" s="43">
        <f t="shared" si="75"/>
        <v>0</v>
      </c>
      <c r="J374" s="229">
        <f t="shared" si="79"/>
        <v>25</v>
      </c>
      <c r="K374" s="43">
        <f t="shared" si="80"/>
        <v>0</v>
      </c>
      <c r="M374" s="224"/>
      <c r="N374" s="225">
        <f t="shared" si="81"/>
        <v>0</v>
      </c>
      <c r="O374" s="43" t="e">
        <f t="shared" si="82"/>
        <v>#VALUE!</v>
      </c>
      <c r="P374" s="43" t="e">
        <f>ROUND(IF(Preenchimento!$G$39="Tabela Price",R374-Q374,(O373*(1+$AD$35))/($AD$28-C373)),$P$22)</f>
        <v>#VALUE!</v>
      </c>
      <c r="Q374" s="43" t="e">
        <f>IF(Preenchimento!$G$39="Tabela Price",O373*(1+$AD$35)*W374,O373*(1+'SAC Padrão_Sem Bonif'!$AD$35)*'SAC Padrão_Sem Bonif'!W374)</f>
        <v>#VALUE!</v>
      </c>
      <c r="R374" s="43" t="e">
        <f>IF(Preenchimento!$G$39="Tabela Price",IF(C374="","",((((((1+W374)^($Q$16-C373))*W374)/((1+W374)^($Q$16-C373)-1))*(O373*(1+$AD$35))))),Q374+P374)</f>
        <v>#VALUE!</v>
      </c>
      <c r="S374" s="43" t="e">
        <f t="shared" ca="1" si="76"/>
        <v>#VALUE!</v>
      </c>
      <c r="T374" s="43">
        <f t="shared" si="83"/>
        <v>0</v>
      </c>
      <c r="U374" s="226">
        <f>TRUNC(T374*Condições!$C$102,2)</f>
        <v>0</v>
      </c>
      <c r="V374" s="82">
        <f t="shared" ca="1" si="77"/>
        <v>7</v>
      </c>
      <c r="W374" s="231" t="str">
        <f t="shared" si="84"/>
        <v/>
      </c>
      <c r="X374" s="210"/>
      <c r="Y374" s="210"/>
      <c r="Z374" s="210"/>
      <c r="AI374" s="114">
        <f t="shared" si="85"/>
        <v>0</v>
      </c>
      <c r="AJ374" s="113"/>
      <c r="AL374" s="477">
        <f t="shared" ca="1" si="86"/>
        <v>0</v>
      </c>
    </row>
    <row r="375" spans="2:38">
      <c r="B375" s="222">
        <f ca="1">Fixa!B375</f>
        <v>56842</v>
      </c>
      <c r="C375" s="223" t="str">
        <f>Fixa!C375</f>
        <v/>
      </c>
      <c r="D375" s="43" t="e">
        <f t="shared" si="78"/>
        <v>#VALUE!</v>
      </c>
      <c r="E375" s="43" t="e">
        <f t="shared" si="78"/>
        <v>#VALUE!</v>
      </c>
      <c r="F375" s="43" t="e">
        <f t="shared" si="78"/>
        <v>#VALUE!</v>
      </c>
      <c r="G375" s="43" t="e">
        <f t="shared" si="73"/>
        <v>#VALUE!</v>
      </c>
      <c r="H375" s="43" t="e">
        <f t="shared" ca="1" si="74"/>
        <v>#VALUE!</v>
      </c>
      <c r="I375" s="43">
        <f t="shared" si="75"/>
        <v>0</v>
      </c>
      <c r="J375" s="229">
        <f t="shared" si="79"/>
        <v>25</v>
      </c>
      <c r="K375" s="43">
        <f t="shared" si="80"/>
        <v>0</v>
      </c>
      <c r="M375" s="224"/>
      <c r="N375" s="225">
        <f t="shared" si="81"/>
        <v>0</v>
      </c>
      <c r="O375" s="43" t="e">
        <f t="shared" si="82"/>
        <v>#VALUE!</v>
      </c>
      <c r="P375" s="43" t="e">
        <f>ROUND(IF(Preenchimento!$G$39="Tabela Price",R375-Q375,(O374*(1+$AD$35))/($AD$28-C374)),$P$22)</f>
        <v>#VALUE!</v>
      </c>
      <c r="Q375" s="43" t="e">
        <f>IF(Preenchimento!$G$39="Tabela Price",O374*(1+$AD$35)*W375,O374*(1+'SAC Padrão_Sem Bonif'!$AD$35)*'SAC Padrão_Sem Bonif'!W375)</f>
        <v>#VALUE!</v>
      </c>
      <c r="R375" s="43" t="e">
        <f>IF(Preenchimento!$G$39="Tabela Price",IF(C375="","",((((((1+W375)^($Q$16-C374))*W375)/((1+W375)^($Q$16-C374)-1))*(O374*(1+$AD$35))))),Q375+P375)</f>
        <v>#VALUE!</v>
      </c>
      <c r="S375" s="43" t="e">
        <f t="shared" ca="1" si="76"/>
        <v>#VALUE!</v>
      </c>
      <c r="T375" s="43">
        <f t="shared" si="83"/>
        <v>0</v>
      </c>
      <c r="U375" s="226">
        <f>TRUNC(T375*Condições!$C$102,2)</f>
        <v>0</v>
      </c>
      <c r="V375" s="82">
        <f t="shared" ca="1" si="77"/>
        <v>8</v>
      </c>
      <c r="W375" s="231" t="str">
        <f t="shared" si="84"/>
        <v/>
      </c>
      <c r="X375" s="210"/>
      <c r="Y375" s="210"/>
      <c r="Z375" s="210"/>
      <c r="AI375" s="114">
        <f t="shared" si="85"/>
        <v>0</v>
      </c>
      <c r="AJ375" s="113"/>
      <c r="AL375" s="477">
        <f t="shared" ca="1" si="86"/>
        <v>0</v>
      </c>
    </row>
    <row r="376" spans="2:38">
      <c r="B376" s="222">
        <f ca="1">Fixa!B376</f>
        <v>56873</v>
      </c>
      <c r="C376" s="223" t="str">
        <f>Fixa!C376</f>
        <v/>
      </c>
      <c r="D376" s="43" t="e">
        <f t="shared" si="78"/>
        <v>#VALUE!</v>
      </c>
      <c r="E376" s="43" t="e">
        <f t="shared" si="78"/>
        <v>#VALUE!</v>
      </c>
      <c r="F376" s="43" t="e">
        <f t="shared" si="78"/>
        <v>#VALUE!</v>
      </c>
      <c r="G376" s="43" t="e">
        <f t="shared" si="73"/>
        <v>#VALUE!</v>
      </c>
      <c r="H376" s="43" t="e">
        <f t="shared" ca="1" si="74"/>
        <v>#VALUE!</v>
      </c>
      <c r="I376" s="43">
        <f t="shared" si="75"/>
        <v>0</v>
      </c>
      <c r="J376" s="229">
        <f t="shared" si="79"/>
        <v>25</v>
      </c>
      <c r="K376" s="43">
        <f t="shared" si="80"/>
        <v>0</v>
      </c>
      <c r="M376" s="224"/>
      <c r="N376" s="225">
        <f t="shared" si="81"/>
        <v>0</v>
      </c>
      <c r="O376" s="43" t="e">
        <f t="shared" si="82"/>
        <v>#VALUE!</v>
      </c>
      <c r="P376" s="43" t="e">
        <f>ROUND(IF(Preenchimento!$G$39="Tabela Price",R376-Q376,(O375*(1+$AD$35))/($AD$28-C375)),$P$22)</f>
        <v>#VALUE!</v>
      </c>
      <c r="Q376" s="43" t="e">
        <f>IF(Preenchimento!$G$39="Tabela Price",O375*(1+$AD$35)*W376,O375*(1+'SAC Padrão_Sem Bonif'!$AD$35)*'SAC Padrão_Sem Bonif'!W376)</f>
        <v>#VALUE!</v>
      </c>
      <c r="R376" s="43" t="e">
        <f>IF(Preenchimento!$G$39="Tabela Price",IF(C376="","",((((((1+W376)^($Q$16-C375))*W376)/((1+W376)^($Q$16-C375)-1))*(O375*(1+$AD$35))))),Q376+P376)</f>
        <v>#VALUE!</v>
      </c>
      <c r="S376" s="43" t="e">
        <f t="shared" ca="1" si="76"/>
        <v>#VALUE!</v>
      </c>
      <c r="T376" s="43">
        <f t="shared" si="83"/>
        <v>0</v>
      </c>
      <c r="U376" s="226">
        <f>TRUNC(T376*Condições!$C$102,2)</f>
        <v>0</v>
      </c>
      <c r="V376" s="82">
        <f t="shared" ca="1" si="77"/>
        <v>9</v>
      </c>
      <c r="W376" s="231" t="str">
        <f t="shared" si="84"/>
        <v/>
      </c>
      <c r="X376" s="210"/>
      <c r="Y376" s="210"/>
      <c r="Z376" s="210"/>
      <c r="AI376" s="114">
        <f t="shared" si="85"/>
        <v>0</v>
      </c>
      <c r="AJ376" s="113"/>
      <c r="AL376" s="477">
        <f t="shared" ca="1" si="86"/>
        <v>0</v>
      </c>
    </row>
    <row r="377" spans="2:38">
      <c r="B377" s="222">
        <f ca="1">Fixa!B377</f>
        <v>56903</v>
      </c>
      <c r="C377" s="223" t="str">
        <f>Fixa!C377</f>
        <v/>
      </c>
      <c r="D377" s="43" t="e">
        <f t="shared" si="78"/>
        <v>#VALUE!</v>
      </c>
      <c r="E377" s="43" t="e">
        <f t="shared" si="78"/>
        <v>#VALUE!</v>
      </c>
      <c r="F377" s="43" t="e">
        <f t="shared" si="78"/>
        <v>#VALUE!</v>
      </c>
      <c r="G377" s="43" t="e">
        <f t="shared" si="73"/>
        <v>#VALUE!</v>
      </c>
      <c r="H377" s="43" t="e">
        <f t="shared" ca="1" si="74"/>
        <v>#VALUE!</v>
      </c>
      <c r="I377" s="43">
        <f t="shared" si="75"/>
        <v>0</v>
      </c>
      <c r="J377" s="229">
        <f t="shared" si="79"/>
        <v>25</v>
      </c>
      <c r="K377" s="43">
        <f t="shared" si="80"/>
        <v>0</v>
      </c>
      <c r="M377" s="224"/>
      <c r="N377" s="225">
        <f t="shared" si="81"/>
        <v>0</v>
      </c>
      <c r="O377" s="43" t="e">
        <f t="shared" si="82"/>
        <v>#VALUE!</v>
      </c>
      <c r="P377" s="43" t="e">
        <f>ROUND(IF(Preenchimento!$G$39="Tabela Price",R377-Q377,(O376*(1+$AD$35))/($AD$28-C376)),$P$22)</f>
        <v>#VALUE!</v>
      </c>
      <c r="Q377" s="43" t="e">
        <f>IF(Preenchimento!$G$39="Tabela Price",O376*(1+$AD$35)*W377,O376*(1+'SAC Padrão_Sem Bonif'!$AD$35)*'SAC Padrão_Sem Bonif'!W377)</f>
        <v>#VALUE!</v>
      </c>
      <c r="R377" s="43" t="e">
        <f>IF(Preenchimento!$G$39="Tabela Price",IF(C377="","",((((((1+W377)^($Q$16-C376))*W377)/((1+W377)^($Q$16-C376)-1))*(O376*(1+$AD$35))))),Q377+P377)</f>
        <v>#VALUE!</v>
      </c>
      <c r="S377" s="43" t="e">
        <f t="shared" ca="1" si="76"/>
        <v>#VALUE!</v>
      </c>
      <c r="T377" s="43">
        <f t="shared" si="83"/>
        <v>0</v>
      </c>
      <c r="U377" s="226">
        <f>TRUNC(T377*Condições!$C$102,2)</f>
        <v>0</v>
      </c>
      <c r="V377" s="82">
        <f t="shared" ca="1" si="77"/>
        <v>10</v>
      </c>
      <c r="W377" s="231" t="str">
        <f t="shared" si="84"/>
        <v/>
      </c>
      <c r="X377" s="210"/>
      <c r="Y377" s="210"/>
      <c r="Z377" s="210"/>
      <c r="AI377" s="114">
        <f t="shared" si="85"/>
        <v>0</v>
      </c>
      <c r="AJ377" s="113"/>
      <c r="AL377" s="477">
        <f t="shared" ca="1" si="86"/>
        <v>0</v>
      </c>
    </row>
    <row r="378" spans="2:38">
      <c r="B378" s="222">
        <f ca="1">Fixa!B378</f>
        <v>56934</v>
      </c>
      <c r="C378" s="223" t="str">
        <f>Fixa!C378</f>
        <v/>
      </c>
      <c r="D378" s="43" t="e">
        <f t="shared" si="78"/>
        <v>#VALUE!</v>
      </c>
      <c r="E378" s="43" t="e">
        <f t="shared" si="78"/>
        <v>#VALUE!</v>
      </c>
      <c r="F378" s="43" t="e">
        <f t="shared" si="78"/>
        <v>#VALUE!</v>
      </c>
      <c r="G378" s="43" t="e">
        <f t="shared" si="73"/>
        <v>#VALUE!</v>
      </c>
      <c r="H378" s="43" t="e">
        <f t="shared" ca="1" si="74"/>
        <v>#VALUE!</v>
      </c>
      <c r="I378" s="43">
        <f t="shared" si="75"/>
        <v>0</v>
      </c>
      <c r="J378" s="229">
        <f t="shared" si="79"/>
        <v>25</v>
      </c>
      <c r="K378" s="43">
        <f t="shared" si="80"/>
        <v>0</v>
      </c>
      <c r="M378" s="224"/>
      <c r="N378" s="225">
        <f t="shared" si="81"/>
        <v>0</v>
      </c>
      <c r="O378" s="43" t="e">
        <f t="shared" si="82"/>
        <v>#VALUE!</v>
      </c>
      <c r="P378" s="43" t="e">
        <f>ROUND(IF(Preenchimento!$G$39="Tabela Price",R378-Q378,(O377*(1+$AD$35))/($AD$28-C377)),$P$22)</f>
        <v>#VALUE!</v>
      </c>
      <c r="Q378" s="43" t="e">
        <f>IF(Preenchimento!$G$39="Tabela Price",O377*(1+$AD$35)*W378,O377*(1+'SAC Padrão_Sem Bonif'!$AD$35)*'SAC Padrão_Sem Bonif'!W378)</f>
        <v>#VALUE!</v>
      </c>
      <c r="R378" s="43" t="e">
        <f>IF(Preenchimento!$G$39="Tabela Price",IF(C378="","",((((((1+W378)^($Q$16-C377))*W378)/((1+W378)^($Q$16-C377)-1))*(O377*(1+$AD$35))))),Q378+P378)</f>
        <v>#VALUE!</v>
      </c>
      <c r="S378" s="43" t="e">
        <f t="shared" ca="1" si="76"/>
        <v>#VALUE!</v>
      </c>
      <c r="T378" s="43">
        <f t="shared" si="83"/>
        <v>0</v>
      </c>
      <c r="U378" s="226">
        <f>TRUNC(T378*Condições!$C$102,2)</f>
        <v>0</v>
      </c>
      <c r="V378" s="82">
        <f t="shared" ca="1" si="77"/>
        <v>11</v>
      </c>
      <c r="W378" s="231" t="str">
        <f t="shared" si="84"/>
        <v/>
      </c>
      <c r="X378" s="210"/>
      <c r="Y378" s="210"/>
      <c r="Z378" s="210"/>
      <c r="AI378" s="114">
        <f t="shared" si="85"/>
        <v>0</v>
      </c>
      <c r="AJ378" s="113"/>
      <c r="AL378" s="477">
        <f t="shared" ca="1" si="86"/>
        <v>0</v>
      </c>
    </row>
    <row r="379" spans="2:38">
      <c r="B379" s="222">
        <f ca="1">Fixa!B379</f>
        <v>56964</v>
      </c>
      <c r="C379" s="223" t="str">
        <f>Fixa!C379</f>
        <v/>
      </c>
      <c r="D379" s="43" t="e">
        <f t="shared" si="78"/>
        <v>#VALUE!</v>
      </c>
      <c r="E379" s="43" t="e">
        <f t="shared" si="78"/>
        <v>#VALUE!</v>
      </c>
      <c r="F379" s="43" t="e">
        <f t="shared" si="78"/>
        <v>#VALUE!</v>
      </c>
      <c r="G379" s="43" t="e">
        <f t="shared" si="73"/>
        <v>#VALUE!</v>
      </c>
      <c r="H379" s="43" t="e">
        <f t="shared" ca="1" si="74"/>
        <v>#VALUE!</v>
      </c>
      <c r="I379" s="43">
        <f t="shared" si="75"/>
        <v>0</v>
      </c>
      <c r="J379" s="229">
        <f t="shared" si="79"/>
        <v>25</v>
      </c>
      <c r="K379" s="43">
        <f t="shared" si="80"/>
        <v>0</v>
      </c>
      <c r="M379" s="224"/>
      <c r="N379" s="225">
        <f t="shared" si="81"/>
        <v>0</v>
      </c>
      <c r="O379" s="43" t="e">
        <f t="shared" si="82"/>
        <v>#VALUE!</v>
      </c>
      <c r="P379" s="43" t="e">
        <f>ROUND(IF(Preenchimento!$G$39="Tabela Price",R379-Q379,(O378*(1+$AD$35))/($AD$28-C378)),$P$22)</f>
        <v>#VALUE!</v>
      </c>
      <c r="Q379" s="43" t="e">
        <f>IF(Preenchimento!$G$39="Tabela Price",O378*(1+$AD$35)*W379,O378*(1+'SAC Padrão_Sem Bonif'!$AD$35)*'SAC Padrão_Sem Bonif'!W379)</f>
        <v>#VALUE!</v>
      </c>
      <c r="R379" s="43" t="e">
        <f>IF(Preenchimento!$G$39="Tabela Price",IF(C379="","",((((((1+W379)^($Q$16-C378))*W379)/((1+W379)^($Q$16-C378)-1))*(O378*(1+$AD$35))))),Q379+P379)</f>
        <v>#VALUE!</v>
      </c>
      <c r="S379" s="43" t="e">
        <f t="shared" ca="1" si="76"/>
        <v>#VALUE!</v>
      </c>
      <c r="T379" s="43">
        <f t="shared" si="83"/>
        <v>0</v>
      </c>
      <c r="U379" s="226">
        <f>TRUNC(T379*Condições!$C$102,2)</f>
        <v>0</v>
      </c>
      <c r="V379" s="82">
        <f t="shared" ca="1" si="77"/>
        <v>12</v>
      </c>
      <c r="W379" s="231" t="str">
        <f t="shared" si="84"/>
        <v/>
      </c>
      <c r="X379" s="210"/>
      <c r="Y379" s="210"/>
      <c r="Z379" s="210"/>
      <c r="AI379" s="114">
        <f t="shared" si="85"/>
        <v>0</v>
      </c>
      <c r="AJ379" s="113"/>
      <c r="AL379" s="477">
        <f t="shared" ca="1" si="86"/>
        <v>0</v>
      </c>
    </row>
    <row r="380" spans="2:38">
      <c r="B380" s="222">
        <f ca="1">Fixa!B380</f>
        <v>56995</v>
      </c>
      <c r="C380" s="223" t="str">
        <f>Fixa!C380</f>
        <v/>
      </c>
      <c r="D380" s="43" t="e">
        <f t="shared" si="78"/>
        <v>#VALUE!</v>
      </c>
      <c r="E380" s="43" t="e">
        <f t="shared" si="78"/>
        <v>#VALUE!</v>
      </c>
      <c r="F380" s="43" t="e">
        <f t="shared" si="78"/>
        <v>#VALUE!</v>
      </c>
      <c r="G380" s="43" t="e">
        <f t="shared" si="73"/>
        <v>#VALUE!</v>
      </c>
      <c r="H380" s="43" t="e">
        <f t="shared" ca="1" si="74"/>
        <v>#VALUE!</v>
      </c>
      <c r="I380" s="43">
        <f t="shared" si="75"/>
        <v>0</v>
      </c>
      <c r="J380" s="229">
        <f t="shared" si="79"/>
        <v>25</v>
      </c>
      <c r="K380" s="43">
        <f t="shared" si="80"/>
        <v>0</v>
      </c>
      <c r="M380" s="224"/>
      <c r="N380" s="225">
        <f t="shared" si="81"/>
        <v>0</v>
      </c>
      <c r="O380" s="43" t="e">
        <f t="shared" si="82"/>
        <v>#VALUE!</v>
      </c>
      <c r="P380" s="43" t="e">
        <f>ROUND(IF(Preenchimento!$G$39="Tabela Price",R380-Q380,(O379*(1+$AD$35))/($AD$28-C379)),$P$22)</f>
        <v>#VALUE!</v>
      </c>
      <c r="Q380" s="43" t="e">
        <f>IF(Preenchimento!$G$39="Tabela Price",O379*(1+$AD$35)*W380,O379*(1+'SAC Padrão_Sem Bonif'!$AD$35)*'SAC Padrão_Sem Bonif'!W380)</f>
        <v>#VALUE!</v>
      </c>
      <c r="R380" s="43" t="e">
        <f>IF(Preenchimento!$G$39="Tabela Price",IF(C380="","",((((((1+W380)^($Q$16-C379))*W380)/((1+W380)^($Q$16-C379)-1))*(O379*(1+$AD$35))))),Q380+P380)</f>
        <v>#VALUE!</v>
      </c>
      <c r="S380" s="43" t="e">
        <f t="shared" ca="1" si="76"/>
        <v>#VALUE!</v>
      </c>
      <c r="T380" s="43">
        <f t="shared" si="83"/>
        <v>0</v>
      </c>
      <c r="U380" s="226">
        <f>TRUNC(T380*Condições!$C$102,2)</f>
        <v>0</v>
      </c>
      <c r="V380" s="82">
        <f t="shared" ca="1" si="77"/>
        <v>1</v>
      </c>
      <c r="W380" s="231" t="str">
        <f t="shared" si="84"/>
        <v/>
      </c>
      <c r="X380" s="210"/>
      <c r="Y380" s="210"/>
      <c r="Z380" s="210"/>
      <c r="AI380" s="114">
        <f t="shared" si="85"/>
        <v>0</v>
      </c>
      <c r="AJ380" s="113"/>
      <c r="AL380" s="477">
        <f t="shared" ca="1" si="86"/>
        <v>0</v>
      </c>
    </row>
    <row r="381" spans="2:38">
      <c r="B381" s="222">
        <f ca="1">Fixa!B381</f>
        <v>57026</v>
      </c>
      <c r="C381" s="223" t="str">
        <f>Fixa!C381</f>
        <v/>
      </c>
      <c r="D381" s="43" t="e">
        <f t="shared" si="78"/>
        <v>#VALUE!</v>
      </c>
      <c r="E381" s="43" t="e">
        <f t="shared" si="78"/>
        <v>#VALUE!</v>
      </c>
      <c r="F381" s="43" t="e">
        <f t="shared" si="78"/>
        <v>#VALUE!</v>
      </c>
      <c r="G381" s="43" t="e">
        <f t="shared" si="73"/>
        <v>#VALUE!</v>
      </c>
      <c r="H381" s="43" t="e">
        <f t="shared" ca="1" si="74"/>
        <v>#VALUE!</v>
      </c>
      <c r="I381" s="43">
        <f t="shared" si="75"/>
        <v>0</v>
      </c>
      <c r="J381" s="229">
        <f t="shared" si="79"/>
        <v>25</v>
      </c>
      <c r="K381" s="43">
        <f t="shared" si="80"/>
        <v>0</v>
      </c>
      <c r="M381" s="224"/>
      <c r="N381" s="225">
        <f t="shared" si="81"/>
        <v>0</v>
      </c>
      <c r="O381" s="43" t="e">
        <f t="shared" si="82"/>
        <v>#VALUE!</v>
      </c>
      <c r="P381" s="43" t="e">
        <f>ROUND(IF(Preenchimento!$G$39="Tabela Price",R381-Q381,(O380*(1+$AD$35))/($AD$28-C380)),$P$22)</f>
        <v>#VALUE!</v>
      </c>
      <c r="Q381" s="43" t="e">
        <f>IF(Preenchimento!$G$39="Tabela Price",O380*(1+$AD$35)*W381,O380*(1+'SAC Padrão_Sem Bonif'!$AD$35)*'SAC Padrão_Sem Bonif'!W381)</f>
        <v>#VALUE!</v>
      </c>
      <c r="R381" s="43" t="e">
        <f>IF(Preenchimento!$G$39="Tabela Price",IF(C381="","",((((((1+W381)^($Q$16-C380))*W381)/((1+W381)^($Q$16-C380)-1))*(O380*(1+$AD$35))))),Q381+P381)</f>
        <v>#VALUE!</v>
      </c>
      <c r="S381" s="43" t="e">
        <f t="shared" ca="1" si="76"/>
        <v>#VALUE!</v>
      </c>
      <c r="T381" s="43">
        <f t="shared" si="83"/>
        <v>0</v>
      </c>
      <c r="U381" s="226">
        <f>TRUNC(T381*Condições!$C$102,2)</f>
        <v>0</v>
      </c>
      <c r="V381" s="82">
        <f t="shared" ca="1" si="77"/>
        <v>2</v>
      </c>
      <c r="W381" s="231" t="str">
        <f t="shared" si="84"/>
        <v/>
      </c>
      <c r="X381" s="210"/>
      <c r="Y381" s="210"/>
      <c r="Z381" s="210"/>
      <c r="AI381" s="114">
        <f t="shared" si="85"/>
        <v>0</v>
      </c>
      <c r="AJ381" s="113"/>
      <c r="AL381" s="477">
        <f t="shared" ca="1" si="86"/>
        <v>0</v>
      </c>
    </row>
    <row r="382" spans="2:38">
      <c r="B382" s="222">
        <f ca="1">Fixa!B382</f>
        <v>57055</v>
      </c>
      <c r="C382" s="223" t="str">
        <f>Fixa!C382</f>
        <v/>
      </c>
      <c r="D382" s="43" t="e">
        <f t="shared" si="78"/>
        <v>#VALUE!</v>
      </c>
      <c r="E382" s="43" t="e">
        <f t="shared" si="78"/>
        <v>#VALUE!</v>
      </c>
      <c r="F382" s="43" t="e">
        <f t="shared" si="78"/>
        <v>#VALUE!</v>
      </c>
      <c r="G382" s="43" t="e">
        <f t="shared" si="73"/>
        <v>#VALUE!</v>
      </c>
      <c r="H382" s="43" t="e">
        <f t="shared" ca="1" si="74"/>
        <v>#VALUE!</v>
      </c>
      <c r="I382" s="43">
        <f t="shared" si="75"/>
        <v>0</v>
      </c>
      <c r="J382" s="229">
        <f t="shared" si="79"/>
        <v>25</v>
      </c>
      <c r="K382" s="43">
        <f t="shared" si="80"/>
        <v>0</v>
      </c>
      <c r="M382" s="224"/>
      <c r="N382" s="225">
        <f t="shared" si="81"/>
        <v>0</v>
      </c>
      <c r="O382" s="43" t="e">
        <f t="shared" si="82"/>
        <v>#VALUE!</v>
      </c>
      <c r="P382" s="43" t="e">
        <f>ROUND(IF(Preenchimento!$G$39="Tabela Price",R382-Q382,(O381*(1+$AD$35))/($AD$28-C381)),$P$22)</f>
        <v>#VALUE!</v>
      </c>
      <c r="Q382" s="43" t="e">
        <f>IF(Preenchimento!$G$39="Tabela Price",O381*(1+$AD$35)*W382,O381*(1+'SAC Padrão_Sem Bonif'!$AD$35)*'SAC Padrão_Sem Bonif'!W382)</f>
        <v>#VALUE!</v>
      </c>
      <c r="R382" s="43" t="e">
        <f>IF(Preenchimento!$G$39="Tabela Price",IF(C382="","",((((((1+W382)^($Q$16-C381))*W382)/((1+W382)^($Q$16-C381)-1))*(O381*(1+$AD$35))))),Q382+P382)</f>
        <v>#VALUE!</v>
      </c>
      <c r="S382" s="43" t="e">
        <f t="shared" ca="1" si="76"/>
        <v>#VALUE!</v>
      </c>
      <c r="T382" s="43">
        <f t="shared" si="83"/>
        <v>0</v>
      </c>
      <c r="U382" s="226">
        <f>TRUNC(T382*Condições!$C$102,2)</f>
        <v>0</v>
      </c>
      <c r="V382" s="82">
        <f t="shared" ca="1" si="77"/>
        <v>3</v>
      </c>
      <c r="W382" s="231" t="str">
        <f t="shared" si="84"/>
        <v/>
      </c>
      <c r="X382" s="210"/>
      <c r="Y382" s="210"/>
      <c r="Z382" s="210"/>
      <c r="AI382" s="114">
        <f t="shared" si="85"/>
        <v>0</v>
      </c>
      <c r="AJ382" s="113"/>
      <c r="AL382" s="477">
        <f t="shared" ca="1" si="86"/>
        <v>0</v>
      </c>
    </row>
    <row r="383" spans="2:38">
      <c r="B383" s="222">
        <f ca="1">Fixa!B383</f>
        <v>57086</v>
      </c>
      <c r="C383" s="223" t="str">
        <f>Fixa!C383</f>
        <v/>
      </c>
      <c r="D383" s="43" t="e">
        <f t="shared" si="78"/>
        <v>#VALUE!</v>
      </c>
      <c r="E383" s="43" t="e">
        <f t="shared" si="78"/>
        <v>#VALUE!</v>
      </c>
      <c r="F383" s="43" t="e">
        <f t="shared" si="78"/>
        <v>#VALUE!</v>
      </c>
      <c r="G383" s="43" t="e">
        <f t="shared" si="73"/>
        <v>#VALUE!</v>
      </c>
      <c r="H383" s="43" t="e">
        <f t="shared" ca="1" si="74"/>
        <v>#VALUE!</v>
      </c>
      <c r="I383" s="43">
        <f t="shared" si="75"/>
        <v>0</v>
      </c>
      <c r="J383" s="229">
        <f t="shared" si="79"/>
        <v>25</v>
      </c>
      <c r="K383" s="43">
        <f t="shared" si="80"/>
        <v>0</v>
      </c>
      <c r="M383" s="224"/>
      <c r="N383" s="225">
        <f t="shared" si="81"/>
        <v>0</v>
      </c>
      <c r="O383" s="43" t="e">
        <f t="shared" si="82"/>
        <v>#VALUE!</v>
      </c>
      <c r="P383" s="43" t="e">
        <f>ROUND(IF(Preenchimento!$G$39="Tabela Price",R383-Q383,(O382*(1+$AD$35))/($AD$28-C382)),$P$22)</f>
        <v>#VALUE!</v>
      </c>
      <c r="Q383" s="43" t="e">
        <f>IF(Preenchimento!$G$39="Tabela Price",O382*(1+$AD$35)*W383,O382*(1+'SAC Padrão_Sem Bonif'!$AD$35)*'SAC Padrão_Sem Bonif'!W383)</f>
        <v>#VALUE!</v>
      </c>
      <c r="R383" s="43" t="e">
        <f>IF(Preenchimento!$G$39="Tabela Price",IF(C383="","",((((((1+W383)^($Q$16-C382))*W383)/((1+W383)^($Q$16-C382)-1))*(O382*(1+$AD$35))))),Q383+P383)</f>
        <v>#VALUE!</v>
      </c>
      <c r="S383" s="43" t="e">
        <f t="shared" ca="1" si="76"/>
        <v>#VALUE!</v>
      </c>
      <c r="T383" s="43">
        <f t="shared" si="83"/>
        <v>0</v>
      </c>
      <c r="U383" s="226">
        <f>TRUNC(T383*Condições!$C$102,2)</f>
        <v>0</v>
      </c>
      <c r="V383" s="82">
        <f t="shared" ca="1" si="77"/>
        <v>4</v>
      </c>
      <c r="W383" s="231" t="str">
        <f t="shared" si="84"/>
        <v/>
      </c>
      <c r="X383" s="210"/>
      <c r="Y383" s="210"/>
      <c r="Z383" s="210"/>
      <c r="AI383" s="114">
        <f t="shared" si="85"/>
        <v>0</v>
      </c>
      <c r="AJ383" s="113"/>
      <c r="AL383" s="477">
        <f t="shared" ca="1" si="86"/>
        <v>0</v>
      </c>
    </row>
    <row r="384" spans="2:38">
      <c r="B384" s="222">
        <f ca="1">Fixa!B384</f>
        <v>57116</v>
      </c>
      <c r="C384" s="223" t="str">
        <f>Fixa!C384</f>
        <v/>
      </c>
      <c r="D384" s="43" t="e">
        <f t="shared" si="78"/>
        <v>#VALUE!</v>
      </c>
      <c r="E384" s="43" t="e">
        <f t="shared" si="78"/>
        <v>#VALUE!</v>
      </c>
      <c r="F384" s="43" t="e">
        <f t="shared" si="78"/>
        <v>#VALUE!</v>
      </c>
      <c r="G384" s="43" t="e">
        <f t="shared" si="73"/>
        <v>#VALUE!</v>
      </c>
      <c r="H384" s="43" t="e">
        <f t="shared" ca="1" si="74"/>
        <v>#VALUE!</v>
      </c>
      <c r="I384" s="43">
        <f t="shared" si="75"/>
        <v>0</v>
      </c>
      <c r="J384" s="229">
        <f t="shared" si="79"/>
        <v>25</v>
      </c>
      <c r="K384" s="43">
        <f t="shared" si="80"/>
        <v>0</v>
      </c>
      <c r="M384" s="224"/>
      <c r="N384" s="225">
        <f t="shared" si="81"/>
        <v>0</v>
      </c>
      <c r="O384" s="43" t="e">
        <f t="shared" si="82"/>
        <v>#VALUE!</v>
      </c>
      <c r="P384" s="43" t="e">
        <f>ROUND(IF(Preenchimento!$G$39="Tabela Price",R384-Q384,(O383*(1+$AD$35))/($AD$28-C383)),$P$22)</f>
        <v>#VALUE!</v>
      </c>
      <c r="Q384" s="43" t="e">
        <f>IF(Preenchimento!$G$39="Tabela Price",O383*(1+$AD$35)*W384,O383*(1+'SAC Padrão_Sem Bonif'!$AD$35)*'SAC Padrão_Sem Bonif'!W384)</f>
        <v>#VALUE!</v>
      </c>
      <c r="R384" s="43" t="e">
        <f>IF(Preenchimento!$G$39="Tabela Price",IF(C384="","",((((((1+W384)^($Q$16-C383))*W384)/((1+W384)^($Q$16-C383)-1))*(O383*(1+$AD$35))))),Q384+P384)</f>
        <v>#VALUE!</v>
      </c>
      <c r="S384" s="43" t="e">
        <f t="shared" ca="1" si="76"/>
        <v>#VALUE!</v>
      </c>
      <c r="T384" s="43">
        <f t="shared" si="83"/>
        <v>0</v>
      </c>
      <c r="U384" s="226">
        <f>TRUNC(T384*Condições!$C$102,2)</f>
        <v>0</v>
      </c>
      <c r="V384" s="82">
        <f t="shared" ca="1" si="77"/>
        <v>5</v>
      </c>
      <c r="W384" s="231" t="str">
        <f t="shared" si="84"/>
        <v/>
      </c>
      <c r="X384" s="210"/>
      <c r="Y384" s="210"/>
      <c r="Z384" s="210"/>
      <c r="AI384" s="114">
        <f t="shared" si="85"/>
        <v>0</v>
      </c>
      <c r="AJ384" s="113"/>
      <c r="AL384" s="477">
        <f t="shared" ca="1" si="86"/>
        <v>0</v>
      </c>
    </row>
    <row r="385" spans="2:38">
      <c r="B385" s="222">
        <f ca="1">Fixa!B385</f>
        <v>57147</v>
      </c>
      <c r="C385" s="223" t="str">
        <f>Fixa!C385</f>
        <v/>
      </c>
      <c r="D385" s="43" t="e">
        <f t="shared" si="78"/>
        <v>#VALUE!</v>
      </c>
      <c r="E385" s="43" t="e">
        <f t="shared" si="78"/>
        <v>#VALUE!</v>
      </c>
      <c r="F385" s="43" t="e">
        <f t="shared" si="78"/>
        <v>#VALUE!</v>
      </c>
      <c r="G385" s="43" t="e">
        <f t="shared" si="73"/>
        <v>#VALUE!</v>
      </c>
      <c r="H385" s="43" t="e">
        <f t="shared" ca="1" si="74"/>
        <v>#VALUE!</v>
      </c>
      <c r="I385" s="43">
        <f t="shared" si="75"/>
        <v>0</v>
      </c>
      <c r="J385" s="229">
        <f t="shared" si="79"/>
        <v>25</v>
      </c>
      <c r="K385" s="43">
        <f t="shared" si="80"/>
        <v>0</v>
      </c>
      <c r="M385" s="224"/>
      <c r="N385" s="225">
        <f t="shared" si="81"/>
        <v>0</v>
      </c>
      <c r="O385" s="43" t="e">
        <f t="shared" si="82"/>
        <v>#VALUE!</v>
      </c>
      <c r="P385" s="43" t="e">
        <f>ROUND(IF(Preenchimento!$G$39="Tabela Price",R385-Q385,(O384*(1+$AD$35))/($AD$28-C384)),$P$22)</f>
        <v>#VALUE!</v>
      </c>
      <c r="Q385" s="43" t="e">
        <f>IF(Preenchimento!$G$39="Tabela Price",O384*(1+$AD$35)*W385,O384*(1+'SAC Padrão_Sem Bonif'!$AD$35)*'SAC Padrão_Sem Bonif'!W385)</f>
        <v>#VALUE!</v>
      </c>
      <c r="R385" s="43" t="e">
        <f>IF(Preenchimento!$G$39="Tabela Price",IF(C385="","",((((((1+W385)^($Q$16-C384))*W385)/((1+W385)^($Q$16-C384)-1))*(O384*(1+$AD$35))))),Q385+P385)</f>
        <v>#VALUE!</v>
      </c>
      <c r="S385" s="43" t="e">
        <f t="shared" ca="1" si="76"/>
        <v>#VALUE!</v>
      </c>
      <c r="T385" s="43">
        <f t="shared" si="83"/>
        <v>0</v>
      </c>
      <c r="U385" s="226">
        <f>TRUNC(T385*Condições!$C$102,2)</f>
        <v>0</v>
      </c>
      <c r="V385" s="82">
        <f t="shared" ca="1" si="77"/>
        <v>6</v>
      </c>
      <c r="W385" s="231" t="str">
        <f t="shared" si="84"/>
        <v/>
      </c>
      <c r="X385" s="210"/>
      <c r="Y385" s="210"/>
      <c r="Z385" s="210"/>
      <c r="AI385" s="114">
        <f t="shared" si="85"/>
        <v>0</v>
      </c>
      <c r="AJ385" s="113"/>
      <c r="AL385" s="477">
        <f t="shared" ca="1" si="86"/>
        <v>0</v>
      </c>
    </row>
    <row r="386" spans="2:38">
      <c r="B386" s="222">
        <f ca="1">Fixa!B386</f>
        <v>57177</v>
      </c>
      <c r="C386" s="223" t="str">
        <f>Fixa!C386</f>
        <v/>
      </c>
      <c r="D386" s="43" t="e">
        <f t="shared" ref="D386:F445" si="87">ROUND(O386,2)</f>
        <v>#VALUE!</v>
      </c>
      <c r="E386" s="43" t="e">
        <f t="shared" si="87"/>
        <v>#VALUE!</v>
      </c>
      <c r="F386" s="43" t="e">
        <f t="shared" si="87"/>
        <v>#VALUE!</v>
      </c>
      <c r="G386" s="43" t="e">
        <f t="shared" si="73"/>
        <v>#VALUE!</v>
      </c>
      <c r="H386" s="43" t="e">
        <f t="shared" ca="1" si="74"/>
        <v>#VALUE!</v>
      </c>
      <c r="I386" s="43">
        <f t="shared" si="75"/>
        <v>0</v>
      </c>
      <c r="J386" s="229">
        <f t="shared" si="79"/>
        <v>25</v>
      </c>
      <c r="K386" s="43">
        <f t="shared" si="80"/>
        <v>0</v>
      </c>
      <c r="M386" s="224"/>
      <c r="N386" s="225">
        <f t="shared" si="81"/>
        <v>0</v>
      </c>
      <c r="O386" s="43" t="e">
        <f t="shared" si="82"/>
        <v>#VALUE!</v>
      </c>
      <c r="P386" s="43" t="e">
        <f>ROUND(IF(Preenchimento!$G$39="Tabela Price",R386-Q386,(O385*(1+$AD$35))/($AD$28-C385)),$P$22)</f>
        <v>#VALUE!</v>
      </c>
      <c r="Q386" s="43" t="e">
        <f>IF(Preenchimento!$G$39="Tabela Price",O385*(1+$AD$35)*W386,O385*(1+'SAC Padrão_Sem Bonif'!$AD$35)*'SAC Padrão_Sem Bonif'!W386)</f>
        <v>#VALUE!</v>
      </c>
      <c r="R386" s="43" t="e">
        <f>IF(Preenchimento!$G$39="Tabela Price",IF(C386="","",((((((1+W386)^($Q$16-C385))*W386)/((1+W386)^($Q$16-C385)-1))*(O385*(1+$AD$35))))),Q386+P386)</f>
        <v>#VALUE!</v>
      </c>
      <c r="S386" s="43" t="e">
        <f t="shared" ca="1" si="76"/>
        <v>#VALUE!</v>
      </c>
      <c r="T386" s="43">
        <f t="shared" si="83"/>
        <v>0</v>
      </c>
      <c r="U386" s="226">
        <f>TRUNC(T386*Condições!$C$102,2)</f>
        <v>0</v>
      </c>
      <c r="V386" s="82">
        <f t="shared" ca="1" si="77"/>
        <v>7</v>
      </c>
      <c r="W386" s="231" t="str">
        <f t="shared" si="84"/>
        <v/>
      </c>
      <c r="AI386" s="114">
        <f t="shared" si="85"/>
        <v>0</v>
      </c>
      <c r="AL386" s="477">
        <f t="shared" ca="1" si="86"/>
        <v>0</v>
      </c>
    </row>
    <row r="387" spans="2:38">
      <c r="B387" s="222">
        <f ca="1">Fixa!B387</f>
        <v>57208</v>
      </c>
      <c r="C387" s="223" t="str">
        <f>Fixa!C387</f>
        <v/>
      </c>
      <c r="D387" s="43" t="e">
        <f t="shared" si="87"/>
        <v>#VALUE!</v>
      </c>
      <c r="E387" s="43" t="e">
        <f t="shared" si="87"/>
        <v>#VALUE!</v>
      </c>
      <c r="F387" s="43" t="e">
        <f t="shared" si="87"/>
        <v>#VALUE!</v>
      </c>
      <c r="G387" s="43" t="e">
        <f t="shared" si="73"/>
        <v>#VALUE!</v>
      </c>
      <c r="H387" s="43" t="e">
        <f t="shared" ca="1" si="74"/>
        <v>#VALUE!</v>
      </c>
      <c r="I387" s="43">
        <f t="shared" si="75"/>
        <v>0</v>
      </c>
      <c r="J387" s="229">
        <f t="shared" si="79"/>
        <v>25</v>
      </c>
      <c r="K387" s="43">
        <f t="shared" si="80"/>
        <v>0</v>
      </c>
      <c r="M387" s="224"/>
      <c r="N387" s="225">
        <f t="shared" si="81"/>
        <v>0</v>
      </c>
      <c r="O387" s="43" t="e">
        <f t="shared" si="82"/>
        <v>#VALUE!</v>
      </c>
      <c r="P387" s="43" t="e">
        <f>ROUND(IF(Preenchimento!$G$39="Tabela Price",R387-Q387,(O386*(1+$AD$35))/($AD$28-C386)),$P$22)</f>
        <v>#VALUE!</v>
      </c>
      <c r="Q387" s="43" t="e">
        <f>IF(Preenchimento!$G$39="Tabela Price",O386*(1+$AD$35)*W387,O386*(1+'SAC Padrão_Sem Bonif'!$AD$35)*'SAC Padrão_Sem Bonif'!W387)</f>
        <v>#VALUE!</v>
      </c>
      <c r="R387" s="43" t="e">
        <f>IF(Preenchimento!$G$39="Tabela Price",IF(C387="","",((((((1+W387)^($Q$16-C386))*W387)/((1+W387)^($Q$16-C386)-1))*(O386*(1+$AD$35))))),Q387+P387)</f>
        <v>#VALUE!</v>
      </c>
      <c r="S387" s="43" t="e">
        <f t="shared" ca="1" si="76"/>
        <v>#VALUE!</v>
      </c>
      <c r="T387" s="43">
        <f t="shared" si="83"/>
        <v>0</v>
      </c>
      <c r="U387" s="226">
        <f>TRUNC(T387*Condições!$C$102,2)</f>
        <v>0</v>
      </c>
      <c r="V387" s="82">
        <f t="shared" ca="1" si="77"/>
        <v>8</v>
      </c>
      <c r="W387" s="231" t="str">
        <f t="shared" si="84"/>
        <v/>
      </c>
      <c r="AI387" s="114">
        <f t="shared" si="85"/>
        <v>0</v>
      </c>
      <c r="AL387" s="477">
        <f t="shared" ca="1" si="86"/>
        <v>0</v>
      </c>
    </row>
    <row r="388" spans="2:38">
      <c r="B388" s="222">
        <f ca="1">Fixa!B388</f>
        <v>57239</v>
      </c>
      <c r="C388" s="223" t="str">
        <f>Fixa!C388</f>
        <v/>
      </c>
      <c r="D388" s="43" t="e">
        <f t="shared" si="87"/>
        <v>#VALUE!</v>
      </c>
      <c r="E388" s="43" t="e">
        <f t="shared" si="87"/>
        <v>#VALUE!</v>
      </c>
      <c r="F388" s="43" t="e">
        <f t="shared" si="87"/>
        <v>#VALUE!</v>
      </c>
      <c r="G388" s="43" t="e">
        <f t="shared" si="73"/>
        <v>#VALUE!</v>
      </c>
      <c r="H388" s="43" t="e">
        <f t="shared" ca="1" si="74"/>
        <v>#VALUE!</v>
      </c>
      <c r="I388" s="43">
        <f t="shared" si="75"/>
        <v>0</v>
      </c>
      <c r="J388" s="229">
        <f t="shared" si="79"/>
        <v>25</v>
      </c>
      <c r="K388" s="43">
        <f t="shared" si="80"/>
        <v>0</v>
      </c>
      <c r="M388" s="224"/>
      <c r="N388" s="225">
        <f t="shared" si="81"/>
        <v>0</v>
      </c>
      <c r="O388" s="43" t="e">
        <f t="shared" si="82"/>
        <v>#VALUE!</v>
      </c>
      <c r="P388" s="43" t="e">
        <f>ROUND(IF(Preenchimento!$G$39="Tabela Price",R388-Q388,(O387*(1+$AD$35))/($AD$28-C387)),$P$22)</f>
        <v>#VALUE!</v>
      </c>
      <c r="Q388" s="43" t="e">
        <f>IF(Preenchimento!$G$39="Tabela Price",O387*(1+$AD$35)*W388,O387*(1+'SAC Padrão_Sem Bonif'!$AD$35)*'SAC Padrão_Sem Bonif'!W388)</f>
        <v>#VALUE!</v>
      </c>
      <c r="R388" s="43" t="e">
        <f>IF(Preenchimento!$G$39="Tabela Price",IF(C388="","",((((((1+W388)^($Q$16-C387))*W388)/((1+W388)^($Q$16-C387)-1))*(O387*(1+$AD$35))))),Q388+P388)</f>
        <v>#VALUE!</v>
      </c>
      <c r="S388" s="43" t="e">
        <f t="shared" ca="1" si="76"/>
        <v>#VALUE!</v>
      </c>
      <c r="T388" s="43">
        <f t="shared" si="83"/>
        <v>0</v>
      </c>
      <c r="U388" s="226">
        <f>TRUNC(T388*Condições!$C$102,2)</f>
        <v>0</v>
      </c>
      <c r="V388" s="82">
        <f t="shared" ca="1" si="77"/>
        <v>9</v>
      </c>
      <c r="W388" s="231" t="str">
        <f t="shared" si="84"/>
        <v/>
      </c>
      <c r="AI388" s="114">
        <f t="shared" si="85"/>
        <v>0</v>
      </c>
      <c r="AL388" s="477">
        <f t="shared" ca="1" si="86"/>
        <v>0</v>
      </c>
    </row>
    <row r="389" spans="2:38">
      <c r="B389" s="222">
        <f ca="1">Fixa!B389</f>
        <v>57269</v>
      </c>
      <c r="C389" s="223" t="str">
        <f>Fixa!C389</f>
        <v/>
      </c>
      <c r="D389" s="43" t="e">
        <f t="shared" si="87"/>
        <v>#VALUE!</v>
      </c>
      <c r="E389" s="43" t="e">
        <f t="shared" si="87"/>
        <v>#VALUE!</v>
      </c>
      <c r="F389" s="43" t="e">
        <f t="shared" si="87"/>
        <v>#VALUE!</v>
      </c>
      <c r="G389" s="43" t="e">
        <f t="shared" si="73"/>
        <v>#VALUE!</v>
      </c>
      <c r="H389" s="43" t="e">
        <f t="shared" ca="1" si="74"/>
        <v>#VALUE!</v>
      </c>
      <c r="I389" s="43">
        <f t="shared" si="75"/>
        <v>0</v>
      </c>
      <c r="J389" s="229">
        <f t="shared" si="79"/>
        <v>25</v>
      </c>
      <c r="K389" s="43">
        <f t="shared" si="80"/>
        <v>0</v>
      </c>
      <c r="M389" s="224"/>
      <c r="N389" s="225">
        <f t="shared" si="81"/>
        <v>0</v>
      </c>
      <c r="O389" s="43" t="e">
        <f t="shared" si="82"/>
        <v>#VALUE!</v>
      </c>
      <c r="P389" s="43" t="e">
        <f>ROUND(IF(Preenchimento!$G$39="Tabela Price",R389-Q389,(O388*(1+$AD$35))/($AD$28-C388)),$P$22)</f>
        <v>#VALUE!</v>
      </c>
      <c r="Q389" s="43" t="e">
        <f>IF(Preenchimento!$G$39="Tabela Price",O388*(1+$AD$35)*W389,O388*(1+'SAC Padrão_Sem Bonif'!$AD$35)*'SAC Padrão_Sem Bonif'!W389)</f>
        <v>#VALUE!</v>
      </c>
      <c r="R389" s="43" t="e">
        <f>IF(Preenchimento!$G$39="Tabela Price",IF(C389="","",((((((1+W389)^($Q$16-C388))*W389)/((1+W389)^($Q$16-C388)-1))*(O388*(1+$AD$35))))),Q389+P389)</f>
        <v>#VALUE!</v>
      </c>
      <c r="S389" s="43" t="e">
        <f t="shared" ca="1" si="76"/>
        <v>#VALUE!</v>
      </c>
      <c r="T389" s="43">
        <f t="shared" si="83"/>
        <v>0</v>
      </c>
      <c r="U389" s="226">
        <f>TRUNC(T389*Condições!$C$102,2)</f>
        <v>0</v>
      </c>
      <c r="V389" s="82">
        <f t="shared" ca="1" si="77"/>
        <v>10</v>
      </c>
      <c r="W389" s="231" t="str">
        <f t="shared" si="84"/>
        <v/>
      </c>
      <c r="AI389" s="114">
        <f t="shared" si="85"/>
        <v>0</v>
      </c>
      <c r="AL389" s="477">
        <f t="shared" ca="1" si="86"/>
        <v>0</v>
      </c>
    </row>
    <row r="390" spans="2:38">
      <c r="B390" s="222">
        <f ca="1">Fixa!B390</f>
        <v>57300</v>
      </c>
      <c r="C390" s="223" t="str">
        <f>Fixa!C390</f>
        <v/>
      </c>
      <c r="D390" s="43" t="e">
        <f t="shared" si="87"/>
        <v>#VALUE!</v>
      </c>
      <c r="E390" s="43" t="e">
        <f t="shared" si="87"/>
        <v>#VALUE!</v>
      </c>
      <c r="F390" s="43" t="e">
        <f t="shared" si="87"/>
        <v>#VALUE!</v>
      </c>
      <c r="G390" s="43" t="e">
        <f t="shared" si="73"/>
        <v>#VALUE!</v>
      </c>
      <c r="H390" s="43" t="e">
        <f t="shared" ca="1" si="74"/>
        <v>#VALUE!</v>
      </c>
      <c r="I390" s="43">
        <f t="shared" si="75"/>
        <v>0</v>
      </c>
      <c r="J390" s="229">
        <f t="shared" si="79"/>
        <v>25</v>
      </c>
      <c r="K390" s="43">
        <f t="shared" si="80"/>
        <v>0</v>
      </c>
      <c r="M390" s="224"/>
      <c r="N390" s="225">
        <f t="shared" si="81"/>
        <v>0</v>
      </c>
      <c r="O390" s="43" t="e">
        <f t="shared" si="82"/>
        <v>#VALUE!</v>
      </c>
      <c r="P390" s="43" t="e">
        <f>ROUND(IF(Preenchimento!$G$39="Tabela Price",R390-Q390,(O389*(1+$AD$35))/($AD$28-C389)),$P$22)</f>
        <v>#VALUE!</v>
      </c>
      <c r="Q390" s="43" t="e">
        <f>IF(Preenchimento!$G$39="Tabela Price",O389*(1+$AD$35)*W390,O389*(1+'SAC Padrão_Sem Bonif'!$AD$35)*'SAC Padrão_Sem Bonif'!W390)</f>
        <v>#VALUE!</v>
      </c>
      <c r="R390" s="43" t="e">
        <f>IF(Preenchimento!$G$39="Tabela Price",IF(C390="","",((((((1+W390)^($Q$16-C389))*W390)/((1+W390)^($Q$16-C389)-1))*(O389*(1+$AD$35))))),Q390+P390)</f>
        <v>#VALUE!</v>
      </c>
      <c r="S390" s="43" t="e">
        <f t="shared" ca="1" si="76"/>
        <v>#VALUE!</v>
      </c>
      <c r="T390" s="43">
        <f t="shared" si="83"/>
        <v>0</v>
      </c>
      <c r="U390" s="226">
        <f>TRUNC(T390*Condições!$C$102,2)</f>
        <v>0</v>
      </c>
      <c r="V390" s="82">
        <f t="shared" ca="1" si="77"/>
        <v>11</v>
      </c>
      <c r="W390" s="231" t="str">
        <f t="shared" si="84"/>
        <v/>
      </c>
      <c r="AI390" s="114">
        <f t="shared" si="85"/>
        <v>0</v>
      </c>
      <c r="AL390" s="477">
        <f t="shared" ca="1" si="86"/>
        <v>0</v>
      </c>
    </row>
    <row r="391" spans="2:38">
      <c r="B391" s="222">
        <f ca="1">Fixa!B391</f>
        <v>57330</v>
      </c>
      <c r="C391" s="223" t="str">
        <f>Fixa!C391</f>
        <v/>
      </c>
      <c r="D391" s="43" t="e">
        <f t="shared" si="87"/>
        <v>#VALUE!</v>
      </c>
      <c r="E391" s="43" t="e">
        <f t="shared" si="87"/>
        <v>#VALUE!</v>
      </c>
      <c r="F391" s="43" t="e">
        <f t="shared" si="87"/>
        <v>#VALUE!</v>
      </c>
      <c r="G391" s="43" t="e">
        <f t="shared" si="73"/>
        <v>#VALUE!</v>
      </c>
      <c r="H391" s="43" t="e">
        <f t="shared" ca="1" si="74"/>
        <v>#VALUE!</v>
      </c>
      <c r="I391" s="43">
        <f t="shared" si="75"/>
        <v>0</v>
      </c>
      <c r="J391" s="229">
        <f t="shared" si="79"/>
        <v>25</v>
      </c>
      <c r="K391" s="43">
        <f t="shared" si="80"/>
        <v>0</v>
      </c>
      <c r="M391" s="224"/>
      <c r="N391" s="225">
        <f t="shared" si="81"/>
        <v>0</v>
      </c>
      <c r="O391" s="43" t="e">
        <f t="shared" si="82"/>
        <v>#VALUE!</v>
      </c>
      <c r="P391" s="43" t="e">
        <f>ROUND(IF(Preenchimento!$G$39="Tabela Price",R391-Q391,(O390*(1+$AD$35))/($AD$28-C390)),$P$22)</f>
        <v>#VALUE!</v>
      </c>
      <c r="Q391" s="43" t="e">
        <f>IF(Preenchimento!$G$39="Tabela Price",O390*(1+$AD$35)*W391,O390*(1+'SAC Padrão_Sem Bonif'!$AD$35)*'SAC Padrão_Sem Bonif'!W391)</f>
        <v>#VALUE!</v>
      </c>
      <c r="R391" s="43" t="e">
        <f>IF(Preenchimento!$G$39="Tabela Price",IF(C391="","",((((((1+W391)^($Q$16-C390))*W391)/((1+W391)^($Q$16-C390)-1))*(O390*(1+$AD$35))))),Q391+P391)</f>
        <v>#VALUE!</v>
      </c>
      <c r="S391" s="43" t="e">
        <f t="shared" ca="1" si="76"/>
        <v>#VALUE!</v>
      </c>
      <c r="T391" s="43">
        <f t="shared" si="83"/>
        <v>0</v>
      </c>
      <c r="U391" s="226">
        <f>TRUNC(T391*Condições!$C$102,2)</f>
        <v>0</v>
      </c>
      <c r="V391" s="82">
        <f t="shared" ca="1" si="77"/>
        <v>12</v>
      </c>
      <c r="W391" s="231" t="str">
        <f t="shared" si="84"/>
        <v/>
      </c>
      <c r="AI391" s="114">
        <f t="shared" si="85"/>
        <v>0</v>
      </c>
      <c r="AL391" s="477">
        <f t="shared" ca="1" si="86"/>
        <v>0</v>
      </c>
    </row>
    <row r="392" spans="2:38">
      <c r="B392" s="222">
        <f ca="1">Fixa!B392</f>
        <v>57361</v>
      </c>
      <c r="C392" s="223" t="str">
        <f>Fixa!C392</f>
        <v/>
      </c>
      <c r="D392" s="43" t="e">
        <f t="shared" si="87"/>
        <v>#VALUE!</v>
      </c>
      <c r="E392" s="43" t="e">
        <f t="shared" si="87"/>
        <v>#VALUE!</v>
      </c>
      <c r="F392" s="43" t="e">
        <f t="shared" si="87"/>
        <v>#VALUE!</v>
      </c>
      <c r="G392" s="43" t="e">
        <f t="shared" si="73"/>
        <v>#VALUE!</v>
      </c>
      <c r="H392" s="43" t="e">
        <f t="shared" ca="1" si="74"/>
        <v>#VALUE!</v>
      </c>
      <c r="I392" s="43">
        <f t="shared" si="75"/>
        <v>0</v>
      </c>
      <c r="J392" s="229">
        <f t="shared" si="79"/>
        <v>25</v>
      </c>
      <c r="K392" s="43">
        <f t="shared" si="80"/>
        <v>0</v>
      </c>
      <c r="M392" s="224"/>
      <c r="N392" s="225">
        <f t="shared" si="81"/>
        <v>0</v>
      </c>
      <c r="O392" s="43" t="e">
        <f t="shared" si="82"/>
        <v>#VALUE!</v>
      </c>
      <c r="P392" s="43" t="e">
        <f>ROUND(IF(Preenchimento!$G$39="Tabela Price",R392-Q392,(O391*(1+$AD$35))/($AD$28-C391)),$P$22)</f>
        <v>#VALUE!</v>
      </c>
      <c r="Q392" s="43" t="e">
        <f>IF(Preenchimento!$G$39="Tabela Price",O391*(1+$AD$35)*W392,O391*(1+'SAC Padrão_Sem Bonif'!$AD$35)*'SAC Padrão_Sem Bonif'!W392)</f>
        <v>#VALUE!</v>
      </c>
      <c r="R392" s="43" t="e">
        <f>IF(Preenchimento!$G$39="Tabela Price",IF(C392="","",((((((1+W392)^($Q$16-C391))*W392)/((1+W392)^($Q$16-C391)-1))*(O391*(1+$AD$35))))),Q392+P392)</f>
        <v>#VALUE!</v>
      </c>
      <c r="S392" s="43" t="e">
        <f t="shared" ca="1" si="76"/>
        <v>#VALUE!</v>
      </c>
      <c r="T392" s="43">
        <f t="shared" si="83"/>
        <v>0</v>
      </c>
      <c r="U392" s="226">
        <f>TRUNC(T392*Condições!$C$102,2)</f>
        <v>0</v>
      </c>
      <c r="V392" s="82">
        <f t="shared" ca="1" si="77"/>
        <v>1</v>
      </c>
      <c r="W392" s="231" t="str">
        <f t="shared" si="84"/>
        <v/>
      </c>
      <c r="AI392" s="114">
        <f t="shared" si="85"/>
        <v>0</v>
      </c>
      <c r="AL392" s="477">
        <f t="shared" ca="1" si="86"/>
        <v>0</v>
      </c>
    </row>
    <row r="393" spans="2:38">
      <c r="B393" s="222">
        <f ca="1">Fixa!B393</f>
        <v>57392</v>
      </c>
      <c r="C393" s="223" t="str">
        <f>Fixa!C393</f>
        <v/>
      </c>
      <c r="D393" s="43" t="e">
        <f t="shared" si="87"/>
        <v>#VALUE!</v>
      </c>
      <c r="E393" s="43" t="e">
        <f t="shared" si="87"/>
        <v>#VALUE!</v>
      </c>
      <c r="F393" s="43" t="e">
        <f t="shared" si="87"/>
        <v>#VALUE!</v>
      </c>
      <c r="G393" s="43" t="e">
        <f t="shared" si="73"/>
        <v>#VALUE!</v>
      </c>
      <c r="H393" s="43" t="e">
        <f t="shared" ca="1" si="74"/>
        <v>#VALUE!</v>
      </c>
      <c r="I393" s="43">
        <f t="shared" si="75"/>
        <v>0</v>
      </c>
      <c r="J393" s="229">
        <f t="shared" si="79"/>
        <v>25</v>
      </c>
      <c r="K393" s="43">
        <f t="shared" si="80"/>
        <v>0</v>
      </c>
      <c r="M393" s="224"/>
      <c r="N393" s="225">
        <f t="shared" si="81"/>
        <v>0</v>
      </c>
      <c r="O393" s="43" t="e">
        <f t="shared" si="82"/>
        <v>#VALUE!</v>
      </c>
      <c r="P393" s="43" t="e">
        <f>ROUND(IF(Preenchimento!$G$39="Tabela Price",R393-Q393,(O392*(1+$AD$35))/($AD$28-C392)),$P$22)</f>
        <v>#VALUE!</v>
      </c>
      <c r="Q393" s="43" t="e">
        <f>IF(Preenchimento!$G$39="Tabela Price",O392*(1+$AD$35)*W393,O392*(1+'SAC Padrão_Sem Bonif'!$AD$35)*'SAC Padrão_Sem Bonif'!W393)</f>
        <v>#VALUE!</v>
      </c>
      <c r="R393" s="43" t="e">
        <f>IF(Preenchimento!$G$39="Tabela Price",IF(C393="","",((((((1+W393)^($Q$16-C392))*W393)/((1+W393)^($Q$16-C392)-1))*(O392*(1+$AD$35))))),Q393+P393)</f>
        <v>#VALUE!</v>
      </c>
      <c r="S393" s="43" t="e">
        <f t="shared" ca="1" si="76"/>
        <v>#VALUE!</v>
      </c>
      <c r="T393" s="43">
        <f t="shared" si="83"/>
        <v>0</v>
      </c>
      <c r="U393" s="226">
        <f>TRUNC(T393*Condições!$C$102,2)</f>
        <v>0</v>
      </c>
      <c r="V393" s="82">
        <f t="shared" ca="1" si="77"/>
        <v>2</v>
      </c>
      <c r="W393" s="231" t="str">
        <f t="shared" si="84"/>
        <v/>
      </c>
      <c r="AI393" s="114">
        <f t="shared" si="85"/>
        <v>0</v>
      </c>
      <c r="AL393" s="477">
        <f t="shared" ca="1" si="86"/>
        <v>0</v>
      </c>
    </row>
    <row r="394" spans="2:38">
      <c r="B394" s="222">
        <f ca="1">Fixa!B394</f>
        <v>57420</v>
      </c>
      <c r="C394" s="223" t="str">
        <f>Fixa!C394</f>
        <v/>
      </c>
      <c r="D394" s="43" t="e">
        <f t="shared" si="87"/>
        <v>#VALUE!</v>
      </c>
      <c r="E394" s="43" t="e">
        <f t="shared" si="87"/>
        <v>#VALUE!</v>
      </c>
      <c r="F394" s="43" t="e">
        <f t="shared" si="87"/>
        <v>#VALUE!</v>
      </c>
      <c r="G394" s="43" t="e">
        <f t="shared" si="73"/>
        <v>#VALUE!</v>
      </c>
      <c r="H394" s="43" t="e">
        <f t="shared" ca="1" si="74"/>
        <v>#VALUE!</v>
      </c>
      <c r="I394" s="43">
        <f t="shared" si="75"/>
        <v>0</v>
      </c>
      <c r="J394" s="229">
        <f t="shared" si="79"/>
        <v>25</v>
      </c>
      <c r="K394" s="43">
        <f t="shared" si="80"/>
        <v>0</v>
      </c>
      <c r="M394" s="224"/>
      <c r="N394" s="225">
        <f t="shared" si="81"/>
        <v>0</v>
      </c>
      <c r="O394" s="43" t="e">
        <f t="shared" si="82"/>
        <v>#VALUE!</v>
      </c>
      <c r="P394" s="43" t="e">
        <f>ROUND(IF(Preenchimento!$G$39="Tabela Price",R394-Q394,(O393*(1+$AD$35))/($AD$28-C393)),$P$22)</f>
        <v>#VALUE!</v>
      </c>
      <c r="Q394" s="43" t="e">
        <f>IF(Preenchimento!$G$39="Tabela Price",O393*(1+$AD$35)*W394,O393*(1+'SAC Padrão_Sem Bonif'!$AD$35)*'SAC Padrão_Sem Bonif'!W394)</f>
        <v>#VALUE!</v>
      </c>
      <c r="R394" s="43" t="e">
        <f>IF(Preenchimento!$G$39="Tabela Price",IF(C394="","",((((((1+W394)^($Q$16-C393))*W394)/((1+W394)^($Q$16-C393)-1))*(O393*(1+$AD$35))))),Q394+P394)</f>
        <v>#VALUE!</v>
      </c>
      <c r="S394" s="43" t="e">
        <f t="shared" ca="1" si="76"/>
        <v>#VALUE!</v>
      </c>
      <c r="T394" s="43">
        <f t="shared" si="83"/>
        <v>0</v>
      </c>
      <c r="U394" s="226">
        <f>TRUNC(T394*Condições!$C$102,2)</f>
        <v>0</v>
      </c>
      <c r="V394" s="82">
        <f t="shared" ca="1" si="77"/>
        <v>3</v>
      </c>
      <c r="W394" s="231" t="str">
        <f t="shared" si="84"/>
        <v/>
      </c>
      <c r="AI394" s="114">
        <f t="shared" si="85"/>
        <v>0</v>
      </c>
      <c r="AL394" s="477">
        <f t="shared" ca="1" si="86"/>
        <v>0</v>
      </c>
    </row>
    <row r="395" spans="2:38">
      <c r="B395" s="222">
        <f ca="1">Fixa!B395</f>
        <v>57451</v>
      </c>
      <c r="C395" s="223" t="str">
        <f>Fixa!C395</f>
        <v/>
      </c>
      <c r="D395" s="43" t="e">
        <f t="shared" si="87"/>
        <v>#VALUE!</v>
      </c>
      <c r="E395" s="43" t="e">
        <f t="shared" si="87"/>
        <v>#VALUE!</v>
      </c>
      <c r="F395" s="43" t="e">
        <f t="shared" si="87"/>
        <v>#VALUE!</v>
      </c>
      <c r="G395" s="43" t="e">
        <f t="shared" si="73"/>
        <v>#VALUE!</v>
      </c>
      <c r="H395" s="43" t="e">
        <f t="shared" ca="1" si="74"/>
        <v>#VALUE!</v>
      </c>
      <c r="I395" s="43">
        <f t="shared" si="75"/>
        <v>0</v>
      </c>
      <c r="J395" s="229">
        <f t="shared" si="79"/>
        <v>25</v>
      </c>
      <c r="K395" s="43">
        <f t="shared" si="80"/>
        <v>0</v>
      </c>
      <c r="M395" s="224"/>
      <c r="N395" s="225">
        <f t="shared" si="81"/>
        <v>0</v>
      </c>
      <c r="O395" s="43" t="e">
        <f t="shared" si="82"/>
        <v>#VALUE!</v>
      </c>
      <c r="P395" s="43" t="e">
        <f>ROUND(IF(Preenchimento!$G$39="Tabela Price",R395-Q395,(O394*(1+$AD$35))/($AD$28-C394)),$P$22)</f>
        <v>#VALUE!</v>
      </c>
      <c r="Q395" s="43" t="e">
        <f>IF(Preenchimento!$G$39="Tabela Price",O394*(1+$AD$35)*W395,O394*(1+'SAC Padrão_Sem Bonif'!$AD$35)*'SAC Padrão_Sem Bonif'!W395)</f>
        <v>#VALUE!</v>
      </c>
      <c r="R395" s="43" t="e">
        <f>IF(Preenchimento!$G$39="Tabela Price",IF(C395="","",((((((1+W395)^($Q$16-C394))*W395)/((1+W395)^($Q$16-C394)-1))*(O394*(1+$AD$35))))),Q395+P395)</f>
        <v>#VALUE!</v>
      </c>
      <c r="S395" s="43" t="e">
        <f t="shared" ca="1" si="76"/>
        <v>#VALUE!</v>
      </c>
      <c r="T395" s="43">
        <f t="shared" si="83"/>
        <v>0</v>
      </c>
      <c r="U395" s="226">
        <f>TRUNC(T395*Condições!$C$102,2)</f>
        <v>0</v>
      </c>
      <c r="V395" s="82">
        <f t="shared" ca="1" si="77"/>
        <v>4</v>
      </c>
      <c r="W395" s="231" t="str">
        <f t="shared" si="84"/>
        <v/>
      </c>
      <c r="AI395" s="114">
        <f t="shared" si="85"/>
        <v>0</v>
      </c>
      <c r="AL395" s="477">
        <f t="shared" ca="1" si="86"/>
        <v>0</v>
      </c>
    </row>
    <row r="396" spans="2:38">
      <c r="B396" s="222">
        <f ca="1">Fixa!B396</f>
        <v>57481</v>
      </c>
      <c r="C396" s="223" t="str">
        <f>Fixa!C396</f>
        <v/>
      </c>
      <c r="D396" s="43" t="e">
        <f t="shared" si="87"/>
        <v>#VALUE!</v>
      </c>
      <c r="E396" s="43" t="e">
        <f t="shared" si="87"/>
        <v>#VALUE!</v>
      </c>
      <c r="F396" s="43" t="e">
        <f t="shared" si="87"/>
        <v>#VALUE!</v>
      </c>
      <c r="G396" s="43" t="e">
        <f t="shared" si="73"/>
        <v>#VALUE!</v>
      </c>
      <c r="H396" s="43" t="e">
        <f t="shared" ca="1" si="74"/>
        <v>#VALUE!</v>
      </c>
      <c r="I396" s="43">
        <f t="shared" si="75"/>
        <v>0</v>
      </c>
      <c r="J396" s="229">
        <f t="shared" si="79"/>
        <v>25</v>
      </c>
      <c r="K396" s="43">
        <f t="shared" si="80"/>
        <v>0</v>
      </c>
      <c r="M396" s="224"/>
      <c r="N396" s="225">
        <f t="shared" si="81"/>
        <v>0</v>
      </c>
      <c r="O396" s="43" t="e">
        <f t="shared" si="82"/>
        <v>#VALUE!</v>
      </c>
      <c r="P396" s="43" t="e">
        <f>ROUND(IF(Preenchimento!$G$39="Tabela Price",R396-Q396,(O395*(1+$AD$35))/($AD$28-C395)),$P$22)</f>
        <v>#VALUE!</v>
      </c>
      <c r="Q396" s="43" t="e">
        <f>IF(Preenchimento!$G$39="Tabela Price",O395*(1+$AD$35)*W396,O395*(1+'SAC Padrão_Sem Bonif'!$AD$35)*'SAC Padrão_Sem Bonif'!W396)</f>
        <v>#VALUE!</v>
      </c>
      <c r="R396" s="43" t="e">
        <f>IF(Preenchimento!$G$39="Tabela Price",IF(C396="","",((((((1+W396)^($Q$16-C395))*W396)/((1+W396)^($Q$16-C395)-1))*(O395*(1+$AD$35))))),Q396+P396)</f>
        <v>#VALUE!</v>
      </c>
      <c r="S396" s="43" t="e">
        <f t="shared" ca="1" si="76"/>
        <v>#VALUE!</v>
      </c>
      <c r="T396" s="43">
        <f t="shared" si="83"/>
        <v>0</v>
      </c>
      <c r="U396" s="226">
        <f>TRUNC(T396*Condições!$C$102,2)</f>
        <v>0</v>
      </c>
      <c r="V396" s="82">
        <f t="shared" ca="1" si="77"/>
        <v>5</v>
      </c>
      <c r="W396" s="231" t="str">
        <f t="shared" si="84"/>
        <v/>
      </c>
      <c r="AI396" s="114">
        <f t="shared" si="85"/>
        <v>0</v>
      </c>
      <c r="AL396" s="477">
        <f t="shared" ca="1" si="86"/>
        <v>0</v>
      </c>
    </row>
    <row r="397" spans="2:38">
      <c r="B397" s="222">
        <f ca="1">Fixa!B397</f>
        <v>57512</v>
      </c>
      <c r="C397" s="223" t="str">
        <f>Fixa!C397</f>
        <v/>
      </c>
      <c r="D397" s="43" t="e">
        <f t="shared" si="87"/>
        <v>#VALUE!</v>
      </c>
      <c r="E397" s="43" t="e">
        <f t="shared" si="87"/>
        <v>#VALUE!</v>
      </c>
      <c r="F397" s="43" t="e">
        <f t="shared" si="87"/>
        <v>#VALUE!</v>
      </c>
      <c r="G397" s="43" t="e">
        <f t="shared" si="73"/>
        <v>#VALUE!</v>
      </c>
      <c r="H397" s="43" t="e">
        <f t="shared" ca="1" si="74"/>
        <v>#VALUE!</v>
      </c>
      <c r="I397" s="43">
        <f t="shared" si="75"/>
        <v>0</v>
      </c>
      <c r="J397" s="229">
        <f t="shared" si="79"/>
        <v>25</v>
      </c>
      <c r="K397" s="43">
        <f t="shared" si="80"/>
        <v>0</v>
      </c>
      <c r="M397" s="224"/>
      <c r="N397" s="225">
        <f t="shared" si="81"/>
        <v>0</v>
      </c>
      <c r="O397" s="43" t="e">
        <f t="shared" si="82"/>
        <v>#VALUE!</v>
      </c>
      <c r="P397" s="43" t="e">
        <f>ROUND(IF(Preenchimento!$G$39="Tabela Price",R397-Q397,(O396*(1+$AD$35))/($AD$28-C396)),$P$22)</f>
        <v>#VALUE!</v>
      </c>
      <c r="Q397" s="43" t="e">
        <f>IF(Preenchimento!$G$39="Tabela Price",O396*(1+$AD$35)*W397,O396*(1+'SAC Padrão_Sem Bonif'!$AD$35)*'SAC Padrão_Sem Bonif'!W397)</f>
        <v>#VALUE!</v>
      </c>
      <c r="R397" s="43" t="e">
        <f>IF(Preenchimento!$G$39="Tabela Price",IF(C397="","",((((((1+W397)^($Q$16-C396))*W397)/((1+W397)^($Q$16-C396)-1))*(O396*(1+$AD$35))))),Q397+P397)</f>
        <v>#VALUE!</v>
      </c>
      <c r="S397" s="43" t="e">
        <f t="shared" ca="1" si="76"/>
        <v>#VALUE!</v>
      </c>
      <c r="T397" s="43">
        <f t="shared" si="83"/>
        <v>0</v>
      </c>
      <c r="U397" s="226">
        <f>TRUNC(T397*Condições!$C$102,2)</f>
        <v>0</v>
      </c>
      <c r="V397" s="82">
        <f t="shared" ca="1" si="77"/>
        <v>6</v>
      </c>
      <c r="W397" s="231" t="str">
        <f t="shared" si="84"/>
        <v/>
      </c>
      <c r="AI397" s="114">
        <f t="shared" si="85"/>
        <v>0</v>
      </c>
      <c r="AL397" s="477">
        <f t="shared" ca="1" si="86"/>
        <v>0</v>
      </c>
    </row>
    <row r="398" spans="2:38">
      <c r="B398" s="222">
        <f ca="1">Fixa!B398</f>
        <v>57542</v>
      </c>
      <c r="C398" s="223" t="str">
        <f>Fixa!C398</f>
        <v/>
      </c>
      <c r="D398" s="43" t="e">
        <f t="shared" si="87"/>
        <v>#VALUE!</v>
      </c>
      <c r="E398" s="43" t="e">
        <f t="shared" si="87"/>
        <v>#VALUE!</v>
      </c>
      <c r="F398" s="43" t="e">
        <f t="shared" si="87"/>
        <v>#VALUE!</v>
      </c>
      <c r="G398" s="43" t="e">
        <f t="shared" si="73"/>
        <v>#VALUE!</v>
      </c>
      <c r="H398" s="43" t="e">
        <f t="shared" ca="1" si="74"/>
        <v>#VALUE!</v>
      </c>
      <c r="I398" s="43">
        <f t="shared" si="75"/>
        <v>0</v>
      </c>
      <c r="J398" s="229">
        <f t="shared" si="79"/>
        <v>25</v>
      </c>
      <c r="K398" s="43">
        <f t="shared" si="80"/>
        <v>0</v>
      </c>
      <c r="M398" s="224"/>
      <c r="N398" s="225">
        <f t="shared" si="81"/>
        <v>0</v>
      </c>
      <c r="O398" s="43" t="e">
        <f t="shared" si="82"/>
        <v>#VALUE!</v>
      </c>
      <c r="P398" s="43" t="e">
        <f>ROUND(IF(Preenchimento!$G$39="Tabela Price",R398-Q398,(O397*(1+$AD$35))/($AD$28-C397)),$P$22)</f>
        <v>#VALUE!</v>
      </c>
      <c r="Q398" s="43" t="e">
        <f>IF(Preenchimento!$G$39="Tabela Price",O397*(1+$AD$35)*W398,O397*(1+'SAC Padrão_Sem Bonif'!$AD$35)*'SAC Padrão_Sem Bonif'!W398)</f>
        <v>#VALUE!</v>
      </c>
      <c r="R398" s="43" t="e">
        <f>IF(Preenchimento!$G$39="Tabela Price",IF(C398="","",((((((1+W398)^($Q$16-C397))*W398)/((1+W398)^($Q$16-C397)-1))*(O397*(1+$AD$35))))),Q398+P398)</f>
        <v>#VALUE!</v>
      </c>
      <c r="S398" s="43" t="e">
        <f t="shared" ca="1" si="76"/>
        <v>#VALUE!</v>
      </c>
      <c r="T398" s="43">
        <f t="shared" si="83"/>
        <v>0</v>
      </c>
      <c r="U398" s="226">
        <f>TRUNC(T398*Condições!$C$102,2)</f>
        <v>0</v>
      </c>
      <c r="V398" s="82">
        <f t="shared" ca="1" si="77"/>
        <v>7</v>
      </c>
      <c r="W398" s="231" t="str">
        <f t="shared" si="84"/>
        <v/>
      </c>
      <c r="AI398" s="114">
        <f t="shared" si="85"/>
        <v>0</v>
      </c>
      <c r="AL398" s="477">
        <f t="shared" ca="1" si="86"/>
        <v>0</v>
      </c>
    </row>
    <row r="399" spans="2:38">
      <c r="B399" s="222">
        <f ca="1">Fixa!B399</f>
        <v>57573</v>
      </c>
      <c r="C399" s="223" t="str">
        <f>Fixa!C399</f>
        <v/>
      </c>
      <c r="D399" s="43" t="e">
        <f t="shared" si="87"/>
        <v>#VALUE!</v>
      </c>
      <c r="E399" s="43" t="e">
        <f t="shared" si="87"/>
        <v>#VALUE!</v>
      </c>
      <c r="F399" s="43" t="e">
        <f t="shared" si="87"/>
        <v>#VALUE!</v>
      </c>
      <c r="G399" s="43" t="e">
        <f t="shared" si="73"/>
        <v>#VALUE!</v>
      </c>
      <c r="H399" s="43" t="e">
        <f t="shared" ca="1" si="74"/>
        <v>#VALUE!</v>
      </c>
      <c r="I399" s="43">
        <f t="shared" si="75"/>
        <v>0</v>
      </c>
      <c r="J399" s="229">
        <f t="shared" si="79"/>
        <v>25</v>
      </c>
      <c r="K399" s="43">
        <f t="shared" si="80"/>
        <v>0</v>
      </c>
      <c r="M399" s="224"/>
      <c r="N399" s="225">
        <f t="shared" si="81"/>
        <v>0</v>
      </c>
      <c r="O399" s="43" t="e">
        <f t="shared" si="82"/>
        <v>#VALUE!</v>
      </c>
      <c r="P399" s="43" t="e">
        <f>ROUND(IF(Preenchimento!$G$39="Tabela Price",R399-Q399,(O398*(1+$AD$35))/($AD$28-C398)),$P$22)</f>
        <v>#VALUE!</v>
      </c>
      <c r="Q399" s="43" t="e">
        <f>IF(Preenchimento!$G$39="Tabela Price",O398*(1+$AD$35)*W399,O398*(1+'SAC Padrão_Sem Bonif'!$AD$35)*'SAC Padrão_Sem Bonif'!W399)</f>
        <v>#VALUE!</v>
      </c>
      <c r="R399" s="43" t="e">
        <f>IF(Preenchimento!$G$39="Tabela Price",IF(C399="","",((((((1+W399)^($Q$16-C398))*W399)/((1+W399)^($Q$16-C398)-1))*(O398*(1+$AD$35))))),Q399+P399)</f>
        <v>#VALUE!</v>
      </c>
      <c r="S399" s="43" t="e">
        <f t="shared" ca="1" si="76"/>
        <v>#VALUE!</v>
      </c>
      <c r="T399" s="43">
        <f t="shared" si="83"/>
        <v>0</v>
      </c>
      <c r="U399" s="226">
        <f>TRUNC(T399*Condições!$C$102,2)</f>
        <v>0</v>
      </c>
      <c r="V399" s="82">
        <f t="shared" ca="1" si="77"/>
        <v>8</v>
      </c>
      <c r="W399" s="231" t="str">
        <f t="shared" si="84"/>
        <v/>
      </c>
      <c r="AI399" s="114">
        <f t="shared" si="85"/>
        <v>0</v>
      </c>
      <c r="AL399" s="477">
        <f t="shared" ca="1" si="86"/>
        <v>0</v>
      </c>
    </row>
    <row r="400" spans="2:38">
      <c r="B400" s="222">
        <f ca="1">Fixa!B400</f>
        <v>57604</v>
      </c>
      <c r="C400" s="223" t="str">
        <f>Fixa!C400</f>
        <v/>
      </c>
      <c r="D400" s="43" t="e">
        <f t="shared" si="87"/>
        <v>#VALUE!</v>
      </c>
      <c r="E400" s="43" t="e">
        <f t="shared" si="87"/>
        <v>#VALUE!</v>
      </c>
      <c r="F400" s="43" t="e">
        <f t="shared" si="87"/>
        <v>#VALUE!</v>
      </c>
      <c r="G400" s="43" t="e">
        <f t="shared" si="73"/>
        <v>#VALUE!</v>
      </c>
      <c r="H400" s="43" t="e">
        <f t="shared" ca="1" si="74"/>
        <v>#VALUE!</v>
      </c>
      <c r="I400" s="43">
        <f t="shared" si="75"/>
        <v>0</v>
      </c>
      <c r="J400" s="229">
        <f t="shared" si="79"/>
        <v>25</v>
      </c>
      <c r="K400" s="43">
        <f t="shared" si="80"/>
        <v>0</v>
      </c>
      <c r="M400" s="224"/>
      <c r="N400" s="225">
        <f t="shared" si="81"/>
        <v>0</v>
      </c>
      <c r="O400" s="43" t="e">
        <f t="shared" si="82"/>
        <v>#VALUE!</v>
      </c>
      <c r="P400" s="43" t="e">
        <f>ROUND(IF(Preenchimento!$G$39="Tabela Price",R400-Q400,(O399*(1+$AD$35))/($AD$28-C399)),$P$22)</f>
        <v>#VALUE!</v>
      </c>
      <c r="Q400" s="43" t="e">
        <f>IF(Preenchimento!$G$39="Tabela Price",O399*(1+$AD$35)*W400,O399*(1+'SAC Padrão_Sem Bonif'!$AD$35)*'SAC Padrão_Sem Bonif'!W400)</f>
        <v>#VALUE!</v>
      </c>
      <c r="R400" s="43" t="e">
        <f>IF(Preenchimento!$G$39="Tabela Price",IF(C400="","",((((((1+W400)^($Q$16-C399))*W400)/((1+W400)^($Q$16-C399)-1))*(O399*(1+$AD$35))))),Q400+P400)</f>
        <v>#VALUE!</v>
      </c>
      <c r="S400" s="43" t="e">
        <f t="shared" ca="1" si="76"/>
        <v>#VALUE!</v>
      </c>
      <c r="T400" s="43">
        <f t="shared" si="83"/>
        <v>0</v>
      </c>
      <c r="U400" s="226">
        <f>TRUNC(T400*Condições!$C$102,2)</f>
        <v>0</v>
      </c>
      <c r="V400" s="82">
        <f t="shared" ca="1" si="77"/>
        <v>9</v>
      </c>
      <c r="W400" s="231" t="str">
        <f t="shared" si="84"/>
        <v/>
      </c>
      <c r="AI400" s="114">
        <f t="shared" si="85"/>
        <v>0</v>
      </c>
      <c r="AL400" s="477">
        <f t="shared" ca="1" si="86"/>
        <v>0</v>
      </c>
    </row>
    <row r="401" spans="2:38">
      <c r="B401" s="222">
        <f ca="1">Fixa!B401</f>
        <v>57634</v>
      </c>
      <c r="C401" s="223" t="str">
        <f>Fixa!C401</f>
        <v/>
      </c>
      <c r="D401" s="43" t="e">
        <f t="shared" si="87"/>
        <v>#VALUE!</v>
      </c>
      <c r="E401" s="43" t="e">
        <f t="shared" si="87"/>
        <v>#VALUE!</v>
      </c>
      <c r="F401" s="43" t="e">
        <f t="shared" si="87"/>
        <v>#VALUE!</v>
      </c>
      <c r="G401" s="43" t="e">
        <f t="shared" si="73"/>
        <v>#VALUE!</v>
      </c>
      <c r="H401" s="43" t="e">
        <f t="shared" ca="1" si="74"/>
        <v>#VALUE!</v>
      </c>
      <c r="I401" s="43">
        <f t="shared" si="75"/>
        <v>0</v>
      </c>
      <c r="J401" s="229">
        <f t="shared" si="79"/>
        <v>25</v>
      </c>
      <c r="K401" s="43">
        <f t="shared" si="80"/>
        <v>0</v>
      </c>
      <c r="M401" s="224"/>
      <c r="N401" s="225">
        <f t="shared" si="81"/>
        <v>0</v>
      </c>
      <c r="O401" s="43" t="e">
        <f t="shared" si="82"/>
        <v>#VALUE!</v>
      </c>
      <c r="P401" s="43" t="e">
        <f>ROUND(IF(Preenchimento!$G$39="Tabela Price",R401-Q401,(O400*(1+$AD$35))/($AD$28-C400)),$P$22)</f>
        <v>#VALUE!</v>
      </c>
      <c r="Q401" s="43" t="e">
        <f>IF(Preenchimento!$G$39="Tabela Price",O400*(1+$AD$35)*W401,O400*(1+'SAC Padrão_Sem Bonif'!$AD$35)*'SAC Padrão_Sem Bonif'!W401)</f>
        <v>#VALUE!</v>
      </c>
      <c r="R401" s="43" t="e">
        <f>IF(Preenchimento!$G$39="Tabela Price",IF(C401="","",((((((1+W401)^($Q$16-C400))*W401)/((1+W401)^($Q$16-C400)-1))*(O400*(1+$AD$35))))),Q401+P401)</f>
        <v>#VALUE!</v>
      </c>
      <c r="S401" s="43" t="e">
        <f t="shared" ca="1" si="76"/>
        <v>#VALUE!</v>
      </c>
      <c r="T401" s="43">
        <f t="shared" si="83"/>
        <v>0</v>
      </c>
      <c r="U401" s="226">
        <f>TRUNC(T401*Condições!$C$102,2)</f>
        <v>0</v>
      </c>
      <c r="V401" s="82">
        <f t="shared" ca="1" si="77"/>
        <v>10</v>
      </c>
      <c r="W401" s="231" t="str">
        <f t="shared" si="84"/>
        <v/>
      </c>
      <c r="AI401" s="114">
        <f t="shared" si="85"/>
        <v>0</v>
      </c>
      <c r="AL401" s="477">
        <f t="shared" ca="1" si="86"/>
        <v>0</v>
      </c>
    </row>
    <row r="402" spans="2:38">
      <c r="B402" s="222">
        <f ca="1">Fixa!B402</f>
        <v>57665</v>
      </c>
      <c r="C402" s="223" t="str">
        <f>Fixa!C402</f>
        <v/>
      </c>
      <c r="D402" s="43" t="e">
        <f t="shared" si="87"/>
        <v>#VALUE!</v>
      </c>
      <c r="E402" s="43" t="e">
        <f t="shared" si="87"/>
        <v>#VALUE!</v>
      </c>
      <c r="F402" s="43" t="e">
        <f t="shared" si="87"/>
        <v>#VALUE!</v>
      </c>
      <c r="G402" s="43" t="e">
        <f t="shared" si="73"/>
        <v>#VALUE!</v>
      </c>
      <c r="H402" s="43" t="e">
        <f t="shared" ca="1" si="74"/>
        <v>#VALUE!</v>
      </c>
      <c r="I402" s="43">
        <f t="shared" si="75"/>
        <v>0</v>
      </c>
      <c r="J402" s="229">
        <f t="shared" si="79"/>
        <v>25</v>
      </c>
      <c r="K402" s="43">
        <f t="shared" si="80"/>
        <v>0</v>
      </c>
      <c r="M402" s="224"/>
      <c r="N402" s="225">
        <f t="shared" si="81"/>
        <v>0</v>
      </c>
      <c r="O402" s="43" t="e">
        <f t="shared" si="82"/>
        <v>#VALUE!</v>
      </c>
      <c r="P402" s="43" t="e">
        <f>ROUND(IF(Preenchimento!$G$39="Tabela Price",R402-Q402,(O401*(1+$AD$35))/($AD$28-C401)),$P$22)</f>
        <v>#VALUE!</v>
      </c>
      <c r="Q402" s="43" t="e">
        <f>IF(Preenchimento!$G$39="Tabela Price",O401*(1+$AD$35)*W402,O401*(1+'SAC Padrão_Sem Bonif'!$AD$35)*'SAC Padrão_Sem Bonif'!W402)</f>
        <v>#VALUE!</v>
      </c>
      <c r="R402" s="43" t="e">
        <f>IF(Preenchimento!$G$39="Tabela Price",IF(C402="","",((((((1+W402)^($Q$16-C401))*W402)/((1+W402)^($Q$16-C401)-1))*(O401*(1+$AD$35))))),Q402+P402)</f>
        <v>#VALUE!</v>
      </c>
      <c r="S402" s="43" t="e">
        <f t="shared" ca="1" si="76"/>
        <v>#VALUE!</v>
      </c>
      <c r="T402" s="43">
        <f t="shared" si="83"/>
        <v>0</v>
      </c>
      <c r="U402" s="226">
        <f>TRUNC(T402*Condições!$C$102,2)</f>
        <v>0</v>
      </c>
      <c r="V402" s="82">
        <f t="shared" ca="1" si="77"/>
        <v>11</v>
      </c>
      <c r="W402" s="231" t="str">
        <f t="shared" si="84"/>
        <v/>
      </c>
      <c r="AI402" s="114">
        <f t="shared" si="85"/>
        <v>0</v>
      </c>
      <c r="AL402" s="477">
        <f t="shared" ca="1" si="86"/>
        <v>0</v>
      </c>
    </row>
    <row r="403" spans="2:38">
      <c r="B403" s="222">
        <f ca="1">Fixa!B403</f>
        <v>57695</v>
      </c>
      <c r="C403" s="223" t="str">
        <f>Fixa!C403</f>
        <v/>
      </c>
      <c r="D403" s="43" t="e">
        <f t="shared" si="87"/>
        <v>#VALUE!</v>
      </c>
      <c r="E403" s="43" t="e">
        <f t="shared" si="87"/>
        <v>#VALUE!</v>
      </c>
      <c r="F403" s="43" t="e">
        <f t="shared" si="87"/>
        <v>#VALUE!</v>
      </c>
      <c r="G403" s="43" t="e">
        <f t="shared" si="73"/>
        <v>#VALUE!</v>
      </c>
      <c r="H403" s="43" t="e">
        <f t="shared" ca="1" si="74"/>
        <v>#VALUE!</v>
      </c>
      <c r="I403" s="43">
        <f t="shared" si="75"/>
        <v>0</v>
      </c>
      <c r="J403" s="229">
        <f t="shared" si="79"/>
        <v>25</v>
      </c>
      <c r="K403" s="43">
        <f t="shared" si="80"/>
        <v>0</v>
      </c>
      <c r="M403" s="224"/>
      <c r="N403" s="225">
        <f t="shared" si="81"/>
        <v>0</v>
      </c>
      <c r="O403" s="43" t="e">
        <f t="shared" si="82"/>
        <v>#VALUE!</v>
      </c>
      <c r="P403" s="43" t="e">
        <f>ROUND(IF(Preenchimento!$G$39="Tabela Price",R403-Q403,(O402*(1+$AD$35))/($AD$28-C402)),$P$22)</f>
        <v>#VALUE!</v>
      </c>
      <c r="Q403" s="43" t="e">
        <f>IF(Preenchimento!$G$39="Tabela Price",O402*(1+$AD$35)*W403,O402*(1+'SAC Padrão_Sem Bonif'!$AD$35)*'SAC Padrão_Sem Bonif'!W403)</f>
        <v>#VALUE!</v>
      </c>
      <c r="R403" s="43" t="e">
        <f>IF(Preenchimento!$G$39="Tabela Price",IF(C403="","",((((((1+W403)^($Q$16-C402))*W403)/((1+W403)^($Q$16-C402)-1))*(O402*(1+$AD$35))))),Q403+P403)</f>
        <v>#VALUE!</v>
      </c>
      <c r="S403" s="43" t="e">
        <f t="shared" ca="1" si="76"/>
        <v>#VALUE!</v>
      </c>
      <c r="T403" s="43">
        <f t="shared" si="83"/>
        <v>0</v>
      </c>
      <c r="U403" s="226">
        <f>TRUNC(T403*Condições!$C$102,2)</f>
        <v>0</v>
      </c>
      <c r="V403" s="82">
        <f t="shared" ca="1" si="77"/>
        <v>12</v>
      </c>
      <c r="W403" s="231" t="str">
        <f t="shared" si="84"/>
        <v/>
      </c>
      <c r="AI403" s="114">
        <f t="shared" si="85"/>
        <v>0</v>
      </c>
      <c r="AL403" s="477">
        <f t="shared" ca="1" si="86"/>
        <v>0</v>
      </c>
    </row>
    <row r="404" spans="2:38">
      <c r="B404" s="222">
        <f ca="1">Fixa!B404</f>
        <v>57726</v>
      </c>
      <c r="C404" s="223" t="str">
        <f>Fixa!C404</f>
        <v/>
      </c>
      <c r="D404" s="43" t="e">
        <f t="shared" si="87"/>
        <v>#VALUE!</v>
      </c>
      <c r="E404" s="43" t="e">
        <f t="shared" si="87"/>
        <v>#VALUE!</v>
      </c>
      <c r="F404" s="43" t="e">
        <f t="shared" si="87"/>
        <v>#VALUE!</v>
      </c>
      <c r="G404" s="43" t="e">
        <f t="shared" si="73"/>
        <v>#VALUE!</v>
      </c>
      <c r="H404" s="43" t="e">
        <f t="shared" ca="1" si="74"/>
        <v>#VALUE!</v>
      </c>
      <c r="I404" s="43">
        <f t="shared" si="75"/>
        <v>0</v>
      </c>
      <c r="J404" s="229">
        <f t="shared" si="79"/>
        <v>25</v>
      </c>
      <c r="K404" s="43">
        <f t="shared" si="80"/>
        <v>0</v>
      </c>
      <c r="M404" s="224"/>
      <c r="N404" s="225">
        <f t="shared" si="81"/>
        <v>0</v>
      </c>
      <c r="O404" s="43" t="e">
        <f t="shared" si="82"/>
        <v>#VALUE!</v>
      </c>
      <c r="P404" s="43" t="e">
        <f>ROUND(IF(Preenchimento!$G$39="Tabela Price",R404-Q404,(O403*(1+$AD$35))/($AD$28-C403)),$P$22)</f>
        <v>#VALUE!</v>
      </c>
      <c r="Q404" s="43" t="e">
        <f>IF(Preenchimento!$G$39="Tabela Price",O403*(1+$AD$35)*W404,O403*(1+'SAC Padrão_Sem Bonif'!$AD$35)*'SAC Padrão_Sem Bonif'!W404)</f>
        <v>#VALUE!</v>
      </c>
      <c r="R404" s="43" t="e">
        <f>IF(Preenchimento!$G$39="Tabela Price",IF(C404="","",((((((1+W404)^($Q$16-C403))*W404)/((1+W404)^($Q$16-C403)-1))*(O403*(1+$AD$35))))),Q404+P404)</f>
        <v>#VALUE!</v>
      </c>
      <c r="S404" s="43" t="e">
        <f t="shared" ca="1" si="76"/>
        <v>#VALUE!</v>
      </c>
      <c r="T404" s="43">
        <f t="shared" si="83"/>
        <v>0</v>
      </c>
      <c r="U404" s="226">
        <f>TRUNC(T404*Condições!$C$102,2)</f>
        <v>0</v>
      </c>
      <c r="V404" s="82">
        <f t="shared" ca="1" si="77"/>
        <v>1</v>
      </c>
      <c r="W404" s="231" t="str">
        <f t="shared" si="84"/>
        <v/>
      </c>
      <c r="AI404" s="114">
        <f t="shared" si="85"/>
        <v>0</v>
      </c>
      <c r="AL404" s="477">
        <f t="shared" ca="1" si="86"/>
        <v>0</v>
      </c>
    </row>
    <row r="405" spans="2:38">
      <c r="B405" s="222">
        <f ca="1">Fixa!B405</f>
        <v>57757</v>
      </c>
      <c r="C405" s="223" t="str">
        <f>Fixa!C405</f>
        <v/>
      </c>
      <c r="D405" s="43" t="e">
        <f t="shared" si="87"/>
        <v>#VALUE!</v>
      </c>
      <c r="E405" s="43" t="e">
        <f t="shared" si="87"/>
        <v>#VALUE!</v>
      </c>
      <c r="F405" s="43" t="e">
        <f t="shared" si="87"/>
        <v>#VALUE!</v>
      </c>
      <c r="G405" s="43" t="e">
        <f t="shared" si="73"/>
        <v>#VALUE!</v>
      </c>
      <c r="H405" s="43" t="e">
        <f t="shared" ca="1" si="74"/>
        <v>#VALUE!</v>
      </c>
      <c r="I405" s="43">
        <f t="shared" si="75"/>
        <v>0</v>
      </c>
      <c r="J405" s="229">
        <f t="shared" si="79"/>
        <v>25</v>
      </c>
      <c r="K405" s="43">
        <f t="shared" si="80"/>
        <v>0</v>
      </c>
      <c r="M405" s="224"/>
      <c r="N405" s="225">
        <f t="shared" si="81"/>
        <v>0</v>
      </c>
      <c r="O405" s="43" t="e">
        <f t="shared" si="82"/>
        <v>#VALUE!</v>
      </c>
      <c r="P405" s="43" t="e">
        <f>ROUND(IF(Preenchimento!$G$39="Tabela Price",R405-Q405,(O404*(1+$AD$35))/($AD$28-C404)),$P$22)</f>
        <v>#VALUE!</v>
      </c>
      <c r="Q405" s="43" t="e">
        <f>IF(Preenchimento!$G$39="Tabela Price",O404*(1+$AD$35)*W405,O404*(1+'SAC Padrão_Sem Bonif'!$AD$35)*'SAC Padrão_Sem Bonif'!W405)</f>
        <v>#VALUE!</v>
      </c>
      <c r="R405" s="43" t="e">
        <f>IF(Preenchimento!$G$39="Tabela Price",IF(C405="","",((((((1+W405)^($Q$16-C404))*W405)/((1+W405)^($Q$16-C404)-1))*(O404*(1+$AD$35))))),Q405+P405)</f>
        <v>#VALUE!</v>
      </c>
      <c r="S405" s="43" t="e">
        <f t="shared" ca="1" si="76"/>
        <v>#VALUE!</v>
      </c>
      <c r="T405" s="43">
        <f t="shared" si="83"/>
        <v>0</v>
      </c>
      <c r="U405" s="226">
        <f>TRUNC(T405*Condições!$C$102,2)</f>
        <v>0</v>
      </c>
      <c r="V405" s="82">
        <f t="shared" ca="1" si="77"/>
        <v>2</v>
      </c>
      <c r="W405" s="231" t="str">
        <f t="shared" si="84"/>
        <v/>
      </c>
      <c r="AI405" s="114">
        <f t="shared" si="85"/>
        <v>0</v>
      </c>
      <c r="AL405" s="477">
        <f t="shared" ca="1" si="86"/>
        <v>0</v>
      </c>
    </row>
    <row r="406" spans="2:38">
      <c r="B406" s="222">
        <f ca="1">Fixa!B406</f>
        <v>57785</v>
      </c>
      <c r="C406" s="223" t="str">
        <f>Fixa!C406</f>
        <v/>
      </c>
      <c r="D406" s="43" t="e">
        <f t="shared" si="87"/>
        <v>#VALUE!</v>
      </c>
      <c r="E406" s="43" t="e">
        <f t="shared" si="87"/>
        <v>#VALUE!</v>
      </c>
      <c r="F406" s="43" t="e">
        <f t="shared" si="87"/>
        <v>#VALUE!</v>
      </c>
      <c r="G406" s="43" t="e">
        <f t="shared" si="73"/>
        <v>#VALUE!</v>
      </c>
      <c r="H406" s="43" t="e">
        <f t="shared" ca="1" si="74"/>
        <v>#VALUE!</v>
      </c>
      <c r="I406" s="43">
        <f t="shared" si="75"/>
        <v>0</v>
      </c>
      <c r="J406" s="229">
        <f t="shared" si="79"/>
        <v>25</v>
      </c>
      <c r="K406" s="43">
        <f t="shared" si="80"/>
        <v>0</v>
      </c>
      <c r="M406" s="224"/>
      <c r="N406" s="225">
        <f t="shared" si="81"/>
        <v>0</v>
      </c>
      <c r="O406" s="43" t="e">
        <f t="shared" si="82"/>
        <v>#VALUE!</v>
      </c>
      <c r="P406" s="43" t="e">
        <f>ROUND(IF(Preenchimento!$G$39="Tabela Price",R406-Q406,(O405*(1+$AD$35))/($AD$28-C405)),$P$22)</f>
        <v>#VALUE!</v>
      </c>
      <c r="Q406" s="43" t="e">
        <f>IF(Preenchimento!$G$39="Tabela Price",O405*(1+$AD$35)*W406,O405*(1+'SAC Padrão_Sem Bonif'!$AD$35)*'SAC Padrão_Sem Bonif'!W406)</f>
        <v>#VALUE!</v>
      </c>
      <c r="R406" s="43" t="e">
        <f>IF(Preenchimento!$G$39="Tabela Price",IF(C406="","",((((((1+W406)^($Q$16-C405))*W406)/((1+W406)^($Q$16-C405)-1))*(O405*(1+$AD$35))))),Q406+P406)</f>
        <v>#VALUE!</v>
      </c>
      <c r="S406" s="43" t="e">
        <f t="shared" ca="1" si="76"/>
        <v>#VALUE!</v>
      </c>
      <c r="T406" s="43">
        <f t="shared" si="83"/>
        <v>0</v>
      </c>
      <c r="U406" s="226">
        <f>TRUNC(T406*Condições!$C$102,2)</f>
        <v>0</v>
      </c>
      <c r="V406" s="82">
        <f t="shared" ca="1" si="77"/>
        <v>3</v>
      </c>
      <c r="W406" s="231" t="str">
        <f t="shared" si="84"/>
        <v/>
      </c>
      <c r="AI406" s="114">
        <f t="shared" si="85"/>
        <v>0</v>
      </c>
      <c r="AL406" s="477">
        <f t="shared" ca="1" si="86"/>
        <v>0</v>
      </c>
    </row>
    <row r="407" spans="2:38">
      <c r="B407" s="222">
        <f ca="1">Fixa!B407</f>
        <v>57816</v>
      </c>
      <c r="C407" s="223" t="str">
        <f>Fixa!C407</f>
        <v/>
      </c>
      <c r="D407" s="43" t="e">
        <f t="shared" si="87"/>
        <v>#VALUE!</v>
      </c>
      <c r="E407" s="43" t="e">
        <f t="shared" si="87"/>
        <v>#VALUE!</v>
      </c>
      <c r="F407" s="43" t="e">
        <f t="shared" si="87"/>
        <v>#VALUE!</v>
      </c>
      <c r="G407" s="43" t="e">
        <f t="shared" si="73"/>
        <v>#VALUE!</v>
      </c>
      <c r="H407" s="43" t="e">
        <f t="shared" ca="1" si="74"/>
        <v>#VALUE!</v>
      </c>
      <c r="I407" s="43">
        <f t="shared" si="75"/>
        <v>0</v>
      </c>
      <c r="J407" s="229">
        <f t="shared" si="79"/>
        <v>25</v>
      </c>
      <c r="K407" s="43">
        <f t="shared" si="80"/>
        <v>0</v>
      </c>
      <c r="M407" s="224"/>
      <c r="N407" s="225">
        <f t="shared" si="81"/>
        <v>0</v>
      </c>
      <c r="O407" s="43" t="e">
        <f t="shared" si="82"/>
        <v>#VALUE!</v>
      </c>
      <c r="P407" s="43" t="e">
        <f>ROUND(IF(Preenchimento!$G$39="Tabela Price",R407-Q407,(O406*(1+$AD$35))/($AD$28-C406)),$P$22)</f>
        <v>#VALUE!</v>
      </c>
      <c r="Q407" s="43" t="e">
        <f>IF(Preenchimento!$G$39="Tabela Price",O406*(1+$AD$35)*W407,O406*(1+'SAC Padrão_Sem Bonif'!$AD$35)*'SAC Padrão_Sem Bonif'!W407)</f>
        <v>#VALUE!</v>
      </c>
      <c r="R407" s="43" t="e">
        <f>IF(Preenchimento!$G$39="Tabela Price",IF(C407="","",((((((1+W407)^($Q$16-C406))*W407)/((1+W407)^($Q$16-C406)-1))*(O406*(1+$AD$35))))),Q407+P407)</f>
        <v>#VALUE!</v>
      </c>
      <c r="S407" s="43" t="e">
        <f t="shared" ca="1" si="76"/>
        <v>#VALUE!</v>
      </c>
      <c r="T407" s="43">
        <f t="shared" si="83"/>
        <v>0</v>
      </c>
      <c r="U407" s="226">
        <f>TRUNC(T407*Condições!$C$102,2)</f>
        <v>0</v>
      </c>
      <c r="V407" s="82">
        <f t="shared" ca="1" si="77"/>
        <v>4</v>
      </c>
      <c r="W407" s="231" t="str">
        <f t="shared" si="84"/>
        <v/>
      </c>
      <c r="AI407" s="114">
        <f t="shared" si="85"/>
        <v>0</v>
      </c>
      <c r="AL407" s="477">
        <f t="shared" ca="1" si="86"/>
        <v>0</v>
      </c>
    </row>
    <row r="408" spans="2:38">
      <c r="B408" s="222">
        <f ca="1">Fixa!B408</f>
        <v>57846</v>
      </c>
      <c r="C408" s="223" t="str">
        <f>Fixa!C408</f>
        <v/>
      </c>
      <c r="D408" s="43" t="e">
        <f t="shared" si="87"/>
        <v>#VALUE!</v>
      </c>
      <c r="E408" s="43" t="e">
        <f t="shared" si="87"/>
        <v>#VALUE!</v>
      </c>
      <c r="F408" s="43" t="e">
        <f t="shared" si="87"/>
        <v>#VALUE!</v>
      </c>
      <c r="G408" s="43" t="e">
        <f t="shared" si="73"/>
        <v>#VALUE!</v>
      </c>
      <c r="H408" s="43" t="e">
        <f t="shared" ca="1" si="74"/>
        <v>#VALUE!</v>
      </c>
      <c r="I408" s="43">
        <f t="shared" si="75"/>
        <v>0</v>
      </c>
      <c r="J408" s="229">
        <f t="shared" si="79"/>
        <v>25</v>
      </c>
      <c r="K408" s="43">
        <f t="shared" si="80"/>
        <v>0</v>
      </c>
      <c r="M408" s="224"/>
      <c r="N408" s="225">
        <f t="shared" si="81"/>
        <v>0</v>
      </c>
      <c r="O408" s="43" t="e">
        <f t="shared" si="82"/>
        <v>#VALUE!</v>
      </c>
      <c r="P408" s="43" t="e">
        <f>ROUND(IF(Preenchimento!$G$39="Tabela Price",R408-Q408,(O407*(1+$AD$35))/($AD$28-C407)),$P$22)</f>
        <v>#VALUE!</v>
      </c>
      <c r="Q408" s="43" t="e">
        <f>IF(Preenchimento!$G$39="Tabela Price",O407*(1+$AD$35)*W408,O407*(1+'SAC Padrão_Sem Bonif'!$AD$35)*'SAC Padrão_Sem Bonif'!W408)</f>
        <v>#VALUE!</v>
      </c>
      <c r="R408" s="43" t="e">
        <f>IF(Preenchimento!$G$39="Tabela Price",IF(C408="","",((((((1+W408)^($Q$16-C407))*W408)/((1+W408)^($Q$16-C407)-1))*(O407*(1+$AD$35))))),Q408+P408)</f>
        <v>#VALUE!</v>
      </c>
      <c r="S408" s="43" t="e">
        <f t="shared" ca="1" si="76"/>
        <v>#VALUE!</v>
      </c>
      <c r="T408" s="43">
        <f t="shared" si="83"/>
        <v>0</v>
      </c>
      <c r="U408" s="226">
        <f>TRUNC(T408*Condições!$C$102,2)</f>
        <v>0</v>
      </c>
      <c r="V408" s="82">
        <f t="shared" ca="1" si="77"/>
        <v>5</v>
      </c>
      <c r="W408" s="231" t="str">
        <f t="shared" si="84"/>
        <v/>
      </c>
      <c r="AI408" s="114">
        <f t="shared" si="85"/>
        <v>0</v>
      </c>
      <c r="AL408" s="477">
        <f t="shared" ca="1" si="86"/>
        <v>0</v>
      </c>
    </row>
    <row r="409" spans="2:38">
      <c r="B409" s="222">
        <f ca="1">Fixa!B409</f>
        <v>57877</v>
      </c>
      <c r="C409" s="223" t="str">
        <f>Fixa!C409</f>
        <v/>
      </c>
      <c r="D409" s="43" t="e">
        <f t="shared" si="87"/>
        <v>#VALUE!</v>
      </c>
      <c r="E409" s="43" t="e">
        <f t="shared" si="87"/>
        <v>#VALUE!</v>
      </c>
      <c r="F409" s="43" t="e">
        <f t="shared" si="87"/>
        <v>#VALUE!</v>
      </c>
      <c r="G409" s="43" t="e">
        <f t="shared" si="73"/>
        <v>#VALUE!</v>
      </c>
      <c r="H409" s="43" t="e">
        <f t="shared" ca="1" si="74"/>
        <v>#VALUE!</v>
      </c>
      <c r="I409" s="43">
        <f t="shared" si="75"/>
        <v>0</v>
      </c>
      <c r="J409" s="229">
        <f t="shared" si="79"/>
        <v>25</v>
      </c>
      <c r="K409" s="43">
        <f t="shared" si="80"/>
        <v>0</v>
      </c>
      <c r="M409" s="224"/>
      <c r="N409" s="225">
        <f t="shared" si="81"/>
        <v>0</v>
      </c>
      <c r="O409" s="43" t="e">
        <f t="shared" si="82"/>
        <v>#VALUE!</v>
      </c>
      <c r="P409" s="43" t="e">
        <f>ROUND(IF(Preenchimento!$G$39="Tabela Price",R409-Q409,(O408*(1+$AD$35))/($AD$28-C408)),$P$22)</f>
        <v>#VALUE!</v>
      </c>
      <c r="Q409" s="43" t="e">
        <f>IF(Preenchimento!$G$39="Tabela Price",O408*(1+$AD$35)*W409,O408*(1+'SAC Padrão_Sem Bonif'!$AD$35)*'SAC Padrão_Sem Bonif'!W409)</f>
        <v>#VALUE!</v>
      </c>
      <c r="R409" s="43" t="e">
        <f>IF(Preenchimento!$G$39="Tabela Price",IF(C409="","",((((((1+W409)^($Q$16-C408))*W409)/((1+W409)^($Q$16-C408)-1))*(O408*(1+$AD$35))))),Q409+P409)</f>
        <v>#VALUE!</v>
      </c>
      <c r="S409" s="43" t="e">
        <f t="shared" ca="1" si="76"/>
        <v>#VALUE!</v>
      </c>
      <c r="T409" s="43">
        <f t="shared" si="83"/>
        <v>0</v>
      </c>
      <c r="U409" s="226">
        <f>TRUNC(T409*Condições!$C$102,2)</f>
        <v>0</v>
      </c>
      <c r="V409" s="82">
        <f t="shared" ca="1" si="77"/>
        <v>6</v>
      </c>
      <c r="W409" s="231" t="str">
        <f t="shared" si="84"/>
        <v/>
      </c>
      <c r="AI409" s="114">
        <f t="shared" si="85"/>
        <v>0</v>
      </c>
      <c r="AL409" s="477">
        <f t="shared" ca="1" si="86"/>
        <v>0</v>
      </c>
    </row>
    <row r="410" spans="2:38">
      <c r="B410" s="222">
        <f ca="1">Fixa!B410</f>
        <v>57907</v>
      </c>
      <c r="C410" s="223" t="str">
        <f>Fixa!C410</f>
        <v/>
      </c>
      <c r="D410" s="43" t="e">
        <f t="shared" si="87"/>
        <v>#VALUE!</v>
      </c>
      <c r="E410" s="43" t="e">
        <f t="shared" si="87"/>
        <v>#VALUE!</v>
      </c>
      <c r="F410" s="43" t="e">
        <f t="shared" si="87"/>
        <v>#VALUE!</v>
      </c>
      <c r="G410" s="43" t="e">
        <f t="shared" ref="G410:G445" si="88">F410+E410</f>
        <v>#VALUE!</v>
      </c>
      <c r="H410" s="43" t="e">
        <f t="shared" ref="H410:H445" ca="1" si="89">ROUND(S410,2)</f>
        <v>#VALUE!</v>
      </c>
      <c r="I410" s="43">
        <f t="shared" ref="I410:I445" si="90">ROUND(T410+U410,2)</f>
        <v>0</v>
      </c>
      <c r="J410" s="229">
        <f t="shared" si="79"/>
        <v>25</v>
      </c>
      <c r="K410" s="43">
        <f t="shared" si="80"/>
        <v>0</v>
      </c>
      <c r="M410" s="224"/>
      <c r="N410" s="225">
        <f t="shared" si="81"/>
        <v>0</v>
      </c>
      <c r="O410" s="43" t="e">
        <f t="shared" si="82"/>
        <v>#VALUE!</v>
      </c>
      <c r="P410" s="43" t="e">
        <f>ROUND(IF(Preenchimento!$G$39="Tabela Price",R410-Q410,(O409*(1+$AD$35))/($AD$28-C409)),$P$22)</f>
        <v>#VALUE!</v>
      </c>
      <c r="Q410" s="43" t="e">
        <f>IF(Preenchimento!$G$39="Tabela Price",O409*(1+$AD$35)*W410,O409*(1+'SAC Padrão_Sem Bonif'!$AD$35)*'SAC Padrão_Sem Bonif'!W410)</f>
        <v>#VALUE!</v>
      </c>
      <c r="R410" s="43" t="e">
        <f>IF(Preenchimento!$G$39="Tabela Price",IF(C410="","",((((((1+W410)^($Q$16-C409))*W410)/((1+W410)^($Q$16-C409)-1))*(O409*(1+$AD$35))))),Q410+P410)</f>
        <v>#VALUE!</v>
      </c>
      <c r="S410" s="43" t="e">
        <f t="shared" ref="S410:S445" ca="1" si="91">ROUND($AD$34*O410,$P$22)</f>
        <v>#VALUE!</v>
      </c>
      <c r="T410" s="43">
        <f t="shared" si="83"/>
        <v>0</v>
      </c>
      <c r="U410" s="226">
        <f>TRUNC(T410*Condições!$C$102,2)</f>
        <v>0</v>
      </c>
      <c r="V410" s="82">
        <f t="shared" ref="V410:V445" ca="1" si="92">MONTH(B410)</f>
        <v>7</v>
      </c>
      <c r="W410" s="231" t="str">
        <f t="shared" si="84"/>
        <v/>
      </c>
      <c r="AI410" s="114">
        <f t="shared" si="85"/>
        <v>0</v>
      </c>
      <c r="AL410" s="477">
        <f t="shared" ca="1" si="86"/>
        <v>0</v>
      </c>
    </row>
    <row r="411" spans="2:38">
      <c r="B411" s="222">
        <f ca="1">Fixa!B411</f>
        <v>57938</v>
      </c>
      <c r="C411" s="223" t="str">
        <f>Fixa!C411</f>
        <v/>
      </c>
      <c r="D411" s="43" t="e">
        <f t="shared" si="87"/>
        <v>#VALUE!</v>
      </c>
      <c r="E411" s="43" t="e">
        <f t="shared" si="87"/>
        <v>#VALUE!</v>
      </c>
      <c r="F411" s="43" t="e">
        <f t="shared" si="87"/>
        <v>#VALUE!</v>
      </c>
      <c r="G411" s="43" t="e">
        <f t="shared" si="88"/>
        <v>#VALUE!</v>
      </c>
      <c r="H411" s="43" t="e">
        <f t="shared" ca="1" si="89"/>
        <v>#VALUE!</v>
      </c>
      <c r="I411" s="43">
        <f t="shared" si="90"/>
        <v>0</v>
      </c>
      <c r="J411" s="229">
        <f t="shared" ref="J411:J474" si="93">$AD$31</f>
        <v>25</v>
      </c>
      <c r="K411" s="43">
        <f t="shared" ref="K411:K445" si="94">IF(C411&gt;$AD$28,0,J411+G411+I411+H411)</f>
        <v>0</v>
      </c>
      <c r="M411" s="224"/>
      <c r="N411" s="225">
        <f t="shared" ref="N411:N445" si="95">IF(C411&gt;$AD$28,0,(H411+I411)/(1.008^((12*(B411-$B$25))/365)))</f>
        <v>0</v>
      </c>
      <c r="O411" s="43" t="e">
        <f t="shared" ref="O411:O445" si="96">ROUND((O410*(1+$AD$35)-P411),$P$22)</f>
        <v>#VALUE!</v>
      </c>
      <c r="P411" s="43" t="e">
        <f>ROUND(IF(Preenchimento!$G$39="Tabela Price",R411-Q411,(O410*(1+$AD$35))/($AD$28-C410)),$P$22)</f>
        <v>#VALUE!</v>
      </c>
      <c r="Q411" s="43" t="e">
        <f>IF(Preenchimento!$G$39="Tabela Price",O410*(1+$AD$35)*W411,O410*(1+'SAC Padrão_Sem Bonif'!$AD$35)*'SAC Padrão_Sem Bonif'!W411)</f>
        <v>#VALUE!</v>
      </c>
      <c r="R411" s="43" t="e">
        <f>IF(Preenchimento!$G$39="Tabela Price",IF(C411="","",((((((1+W411)^($Q$16-C410))*W411)/((1+W411)^($Q$16-C410)-1))*(O410*(1+$AD$35))))),Q411+P411)</f>
        <v>#VALUE!</v>
      </c>
      <c r="S411" s="43" t="e">
        <f t="shared" ca="1" si="91"/>
        <v>#VALUE!</v>
      </c>
      <c r="T411" s="43">
        <f t="shared" ref="T411:T445" si="97">IF(C411&gt;=$AD$28,0,ROUND($AD$25*$AD$33,$P$22))</f>
        <v>0</v>
      </c>
      <c r="U411" s="226">
        <f>TRUNC(T411*Condições!$C$102,2)</f>
        <v>0</v>
      </c>
      <c r="V411" s="82">
        <f t="shared" ca="1" si="92"/>
        <v>8</v>
      </c>
      <c r="W411" s="231" t="str">
        <f t="shared" ref="W411:W445" si="98">IF(C411="","",IF(AND(C411&gt;$AD$46,$AD$46&lt;&gt;""),$AE$29,$AD$29))</f>
        <v/>
      </c>
      <c r="AI411" s="114">
        <f t="shared" ref="AI411:AI474" si="99">IF(C411&gt;$AD$28,0,R411+S411+T411+U411+J411)</f>
        <v>0</v>
      </c>
      <c r="AL411" s="477">
        <f t="shared" ref="AL411:AL474" ca="1" si="100">IFERROR(IF(V410&gt;$AD$28,0,R411),0)</f>
        <v>0</v>
      </c>
    </row>
    <row r="412" spans="2:38">
      <c r="B412" s="222">
        <f ca="1">Fixa!B412</f>
        <v>57969</v>
      </c>
      <c r="C412" s="223" t="str">
        <f>Fixa!C412</f>
        <v/>
      </c>
      <c r="D412" s="43" t="e">
        <f t="shared" si="87"/>
        <v>#VALUE!</v>
      </c>
      <c r="E412" s="43" t="e">
        <f t="shared" si="87"/>
        <v>#VALUE!</v>
      </c>
      <c r="F412" s="43" t="e">
        <f t="shared" si="87"/>
        <v>#VALUE!</v>
      </c>
      <c r="G412" s="43" t="e">
        <f t="shared" si="88"/>
        <v>#VALUE!</v>
      </c>
      <c r="H412" s="43" t="e">
        <f t="shared" ca="1" si="89"/>
        <v>#VALUE!</v>
      </c>
      <c r="I412" s="43">
        <f t="shared" si="90"/>
        <v>0</v>
      </c>
      <c r="J412" s="229">
        <f t="shared" si="93"/>
        <v>25</v>
      </c>
      <c r="K412" s="43">
        <f t="shared" si="94"/>
        <v>0</v>
      </c>
      <c r="M412" s="224"/>
      <c r="N412" s="225">
        <f t="shared" si="95"/>
        <v>0</v>
      </c>
      <c r="O412" s="43" t="e">
        <f t="shared" si="96"/>
        <v>#VALUE!</v>
      </c>
      <c r="P412" s="43" t="e">
        <f>ROUND(IF(Preenchimento!$G$39="Tabela Price",R412-Q412,(O411*(1+$AD$35))/($AD$28-C411)),$P$22)</f>
        <v>#VALUE!</v>
      </c>
      <c r="Q412" s="43" t="e">
        <f>IF(Preenchimento!$G$39="Tabela Price",O411*(1+$AD$35)*W412,O411*(1+'SAC Padrão_Sem Bonif'!$AD$35)*'SAC Padrão_Sem Bonif'!W412)</f>
        <v>#VALUE!</v>
      </c>
      <c r="R412" s="43" t="e">
        <f>IF(Preenchimento!$G$39="Tabela Price",IF(C412="","",((((((1+W412)^($Q$16-C411))*W412)/((1+W412)^($Q$16-C411)-1))*(O411*(1+$AD$35))))),Q412+P412)</f>
        <v>#VALUE!</v>
      </c>
      <c r="S412" s="43" t="e">
        <f t="shared" ca="1" si="91"/>
        <v>#VALUE!</v>
      </c>
      <c r="T412" s="43">
        <f t="shared" si="97"/>
        <v>0</v>
      </c>
      <c r="U412" s="226">
        <f>TRUNC(T412*Condições!$C$102,2)</f>
        <v>0</v>
      </c>
      <c r="V412" s="82">
        <f t="shared" ca="1" si="92"/>
        <v>9</v>
      </c>
      <c r="W412" s="231" t="str">
        <f t="shared" si="98"/>
        <v/>
      </c>
      <c r="AI412" s="114">
        <f t="shared" si="99"/>
        <v>0</v>
      </c>
      <c r="AL412" s="477">
        <f t="shared" ca="1" si="100"/>
        <v>0</v>
      </c>
    </row>
    <row r="413" spans="2:38">
      <c r="B413" s="222">
        <f ca="1">Fixa!B413</f>
        <v>57999</v>
      </c>
      <c r="C413" s="223" t="str">
        <f>Fixa!C413</f>
        <v/>
      </c>
      <c r="D413" s="43" t="e">
        <f t="shared" si="87"/>
        <v>#VALUE!</v>
      </c>
      <c r="E413" s="43" t="e">
        <f t="shared" si="87"/>
        <v>#VALUE!</v>
      </c>
      <c r="F413" s="43" t="e">
        <f t="shared" si="87"/>
        <v>#VALUE!</v>
      </c>
      <c r="G413" s="43" t="e">
        <f t="shared" si="88"/>
        <v>#VALUE!</v>
      </c>
      <c r="H413" s="43" t="e">
        <f t="shared" ca="1" si="89"/>
        <v>#VALUE!</v>
      </c>
      <c r="I413" s="43">
        <f t="shared" si="90"/>
        <v>0</v>
      </c>
      <c r="J413" s="229">
        <f t="shared" si="93"/>
        <v>25</v>
      </c>
      <c r="K413" s="43">
        <f t="shared" si="94"/>
        <v>0</v>
      </c>
      <c r="M413" s="224"/>
      <c r="N413" s="225">
        <f t="shared" si="95"/>
        <v>0</v>
      </c>
      <c r="O413" s="43" t="e">
        <f t="shared" si="96"/>
        <v>#VALUE!</v>
      </c>
      <c r="P413" s="43" t="e">
        <f>ROUND(IF(Preenchimento!$G$39="Tabela Price",R413-Q413,(O412*(1+$AD$35))/($AD$28-C412)),$P$22)</f>
        <v>#VALUE!</v>
      </c>
      <c r="Q413" s="43" t="e">
        <f>IF(Preenchimento!$G$39="Tabela Price",O412*(1+$AD$35)*W413,O412*(1+'SAC Padrão_Sem Bonif'!$AD$35)*'SAC Padrão_Sem Bonif'!W413)</f>
        <v>#VALUE!</v>
      </c>
      <c r="R413" s="43" t="e">
        <f>IF(Preenchimento!$G$39="Tabela Price",IF(C413="","",((((((1+W413)^($Q$16-C412))*W413)/((1+W413)^($Q$16-C412)-1))*(O412*(1+$AD$35))))),Q413+P413)</f>
        <v>#VALUE!</v>
      </c>
      <c r="S413" s="43" t="e">
        <f t="shared" ca="1" si="91"/>
        <v>#VALUE!</v>
      </c>
      <c r="T413" s="43">
        <f t="shared" si="97"/>
        <v>0</v>
      </c>
      <c r="U413" s="226">
        <f>TRUNC(T413*Condições!$C$102,2)</f>
        <v>0</v>
      </c>
      <c r="V413" s="82">
        <f t="shared" ca="1" si="92"/>
        <v>10</v>
      </c>
      <c r="W413" s="231" t="str">
        <f t="shared" si="98"/>
        <v/>
      </c>
      <c r="AI413" s="114">
        <f t="shared" si="99"/>
        <v>0</v>
      </c>
      <c r="AL413" s="477">
        <f t="shared" ca="1" si="100"/>
        <v>0</v>
      </c>
    </row>
    <row r="414" spans="2:38">
      <c r="B414" s="222">
        <f ca="1">Fixa!B414</f>
        <v>58030</v>
      </c>
      <c r="C414" s="223" t="str">
        <f>Fixa!C414</f>
        <v/>
      </c>
      <c r="D414" s="43" t="e">
        <f t="shared" si="87"/>
        <v>#VALUE!</v>
      </c>
      <c r="E414" s="43" t="e">
        <f t="shared" si="87"/>
        <v>#VALUE!</v>
      </c>
      <c r="F414" s="43" t="e">
        <f t="shared" si="87"/>
        <v>#VALUE!</v>
      </c>
      <c r="G414" s="43" t="e">
        <f t="shared" si="88"/>
        <v>#VALUE!</v>
      </c>
      <c r="H414" s="43" t="e">
        <f t="shared" ca="1" si="89"/>
        <v>#VALUE!</v>
      </c>
      <c r="I414" s="43">
        <f t="shared" si="90"/>
        <v>0</v>
      </c>
      <c r="J414" s="229">
        <f t="shared" si="93"/>
        <v>25</v>
      </c>
      <c r="K414" s="43">
        <f t="shared" si="94"/>
        <v>0</v>
      </c>
      <c r="M414" s="224"/>
      <c r="N414" s="225">
        <f t="shared" si="95"/>
        <v>0</v>
      </c>
      <c r="O414" s="43" t="e">
        <f t="shared" si="96"/>
        <v>#VALUE!</v>
      </c>
      <c r="P414" s="43" t="e">
        <f>ROUND(IF(Preenchimento!$G$39="Tabela Price",R414-Q414,(O413*(1+$AD$35))/($AD$28-C413)),$P$22)</f>
        <v>#VALUE!</v>
      </c>
      <c r="Q414" s="43" t="e">
        <f>IF(Preenchimento!$G$39="Tabela Price",O413*(1+$AD$35)*W414,O413*(1+'SAC Padrão_Sem Bonif'!$AD$35)*'SAC Padrão_Sem Bonif'!W414)</f>
        <v>#VALUE!</v>
      </c>
      <c r="R414" s="43" t="e">
        <f>IF(Preenchimento!$G$39="Tabela Price",IF(C414="","",((((((1+W414)^($Q$16-C413))*W414)/((1+W414)^($Q$16-C413)-1))*(O413*(1+$AD$35))))),Q414+P414)</f>
        <v>#VALUE!</v>
      </c>
      <c r="S414" s="43" t="e">
        <f t="shared" ca="1" si="91"/>
        <v>#VALUE!</v>
      </c>
      <c r="T414" s="43">
        <f t="shared" si="97"/>
        <v>0</v>
      </c>
      <c r="U414" s="226">
        <f>TRUNC(T414*Condições!$C$102,2)</f>
        <v>0</v>
      </c>
      <c r="V414" s="82">
        <f t="shared" ca="1" si="92"/>
        <v>11</v>
      </c>
      <c r="W414" s="231" t="str">
        <f t="shared" si="98"/>
        <v/>
      </c>
      <c r="AI414" s="114">
        <f t="shared" si="99"/>
        <v>0</v>
      </c>
      <c r="AL414" s="477">
        <f t="shared" ca="1" si="100"/>
        <v>0</v>
      </c>
    </row>
    <row r="415" spans="2:38">
      <c r="B415" s="222">
        <f ca="1">Fixa!B415</f>
        <v>58060</v>
      </c>
      <c r="C415" s="223" t="str">
        <f>Fixa!C415</f>
        <v/>
      </c>
      <c r="D415" s="43" t="e">
        <f t="shared" si="87"/>
        <v>#VALUE!</v>
      </c>
      <c r="E415" s="43" t="e">
        <f t="shared" si="87"/>
        <v>#VALUE!</v>
      </c>
      <c r="F415" s="43" t="e">
        <f t="shared" si="87"/>
        <v>#VALUE!</v>
      </c>
      <c r="G415" s="43" t="e">
        <f t="shared" si="88"/>
        <v>#VALUE!</v>
      </c>
      <c r="H415" s="43" t="e">
        <f t="shared" ca="1" si="89"/>
        <v>#VALUE!</v>
      </c>
      <c r="I415" s="43">
        <f t="shared" si="90"/>
        <v>0</v>
      </c>
      <c r="J415" s="229">
        <f t="shared" si="93"/>
        <v>25</v>
      </c>
      <c r="K415" s="43">
        <f t="shared" si="94"/>
        <v>0</v>
      </c>
      <c r="M415" s="224"/>
      <c r="N415" s="225">
        <f t="shared" si="95"/>
        <v>0</v>
      </c>
      <c r="O415" s="43" t="e">
        <f t="shared" si="96"/>
        <v>#VALUE!</v>
      </c>
      <c r="P415" s="43" t="e">
        <f>ROUND(IF(Preenchimento!$G$39="Tabela Price",R415-Q415,(O414*(1+$AD$35))/($AD$28-C414)),$P$22)</f>
        <v>#VALUE!</v>
      </c>
      <c r="Q415" s="43" t="e">
        <f>IF(Preenchimento!$G$39="Tabela Price",O414*(1+$AD$35)*W415,O414*(1+'SAC Padrão_Sem Bonif'!$AD$35)*'SAC Padrão_Sem Bonif'!W415)</f>
        <v>#VALUE!</v>
      </c>
      <c r="R415" s="43" t="e">
        <f>IF(Preenchimento!$G$39="Tabela Price",IF(C415="","",((((((1+W415)^($Q$16-C414))*W415)/((1+W415)^($Q$16-C414)-1))*(O414*(1+$AD$35))))),Q415+P415)</f>
        <v>#VALUE!</v>
      </c>
      <c r="S415" s="43" t="e">
        <f t="shared" ca="1" si="91"/>
        <v>#VALUE!</v>
      </c>
      <c r="T415" s="43">
        <f t="shared" si="97"/>
        <v>0</v>
      </c>
      <c r="U415" s="226">
        <f>TRUNC(T415*Condições!$C$102,2)</f>
        <v>0</v>
      </c>
      <c r="V415" s="82">
        <f t="shared" ca="1" si="92"/>
        <v>12</v>
      </c>
      <c r="W415" s="231" t="str">
        <f t="shared" si="98"/>
        <v/>
      </c>
      <c r="AI415" s="114">
        <f t="shared" si="99"/>
        <v>0</v>
      </c>
      <c r="AL415" s="477">
        <f t="shared" ca="1" si="100"/>
        <v>0</v>
      </c>
    </row>
    <row r="416" spans="2:38">
      <c r="B416" s="222">
        <f ca="1">Fixa!B416</f>
        <v>58091</v>
      </c>
      <c r="C416" s="223" t="str">
        <f>Fixa!C416</f>
        <v/>
      </c>
      <c r="D416" s="43" t="e">
        <f t="shared" si="87"/>
        <v>#VALUE!</v>
      </c>
      <c r="E416" s="43" t="e">
        <f t="shared" si="87"/>
        <v>#VALUE!</v>
      </c>
      <c r="F416" s="43" t="e">
        <f t="shared" si="87"/>
        <v>#VALUE!</v>
      </c>
      <c r="G416" s="43" t="e">
        <f t="shared" si="88"/>
        <v>#VALUE!</v>
      </c>
      <c r="H416" s="43" t="e">
        <f t="shared" ca="1" si="89"/>
        <v>#VALUE!</v>
      </c>
      <c r="I416" s="43">
        <f t="shared" si="90"/>
        <v>0</v>
      </c>
      <c r="J416" s="229">
        <f t="shared" si="93"/>
        <v>25</v>
      </c>
      <c r="K416" s="43">
        <f t="shared" si="94"/>
        <v>0</v>
      </c>
      <c r="M416" s="224"/>
      <c r="N416" s="225">
        <f t="shared" si="95"/>
        <v>0</v>
      </c>
      <c r="O416" s="43" t="e">
        <f t="shared" si="96"/>
        <v>#VALUE!</v>
      </c>
      <c r="P416" s="43" t="e">
        <f>ROUND(IF(Preenchimento!$G$39="Tabela Price",R416-Q416,(O415*(1+$AD$35))/($AD$28-C415)),$P$22)</f>
        <v>#VALUE!</v>
      </c>
      <c r="Q416" s="43" t="e">
        <f>IF(Preenchimento!$G$39="Tabela Price",O415*(1+$AD$35)*W416,O415*(1+'SAC Padrão_Sem Bonif'!$AD$35)*'SAC Padrão_Sem Bonif'!W416)</f>
        <v>#VALUE!</v>
      </c>
      <c r="R416" s="43" t="e">
        <f>IF(Preenchimento!$G$39="Tabela Price",IF(C416="","",((((((1+W416)^($Q$16-C415))*W416)/((1+W416)^($Q$16-C415)-1))*(O415*(1+$AD$35))))),Q416+P416)</f>
        <v>#VALUE!</v>
      </c>
      <c r="S416" s="43" t="e">
        <f t="shared" ca="1" si="91"/>
        <v>#VALUE!</v>
      </c>
      <c r="T416" s="43">
        <f t="shared" si="97"/>
        <v>0</v>
      </c>
      <c r="U416" s="226">
        <f>TRUNC(T416*Condições!$C$102,2)</f>
        <v>0</v>
      </c>
      <c r="V416" s="82">
        <f t="shared" ca="1" si="92"/>
        <v>1</v>
      </c>
      <c r="W416" s="231" t="str">
        <f t="shared" si="98"/>
        <v/>
      </c>
      <c r="AI416" s="114">
        <f t="shared" si="99"/>
        <v>0</v>
      </c>
      <c r="AL416" s="477">
        <f t="shared" ca="1" si="100"/>
        <v>0</v>
      </c>
    </row>
    <row r="417" spans="2:38">
      <c r="B417" s="222">
        <f ca="1">Fixa!B417</f>
        <v>58122</v>
      </c>
      <c r="C417" s="223" t="str">
        <f>Fixa!C417</f>
        <v/>
      </c>
      <c r="D417" s="43" t="e">
        <f t="shared" si="87"/>
        <v>#VALUE!</v>
      </c>
      <c r="E417" s="43" t="e">
        <f t="shared" si="87"/>
        <v>#VALUE!</v>
      </c>
      <c r="F417" s="43" t="e">
        <f t="shared" si="87"/>
        <v>#VALUE!</v>
      </c>
      <c r="G417" s="43" t="e">
        <f t="shared" si="88"/>
        <v>#VALUE!</v>
      </c>
      <c r="H417" s="43" t="e">
        <f t="shared" ca="1" si="89"/>
        <v>#VALUE!</v>
      </c>
      <c r="I417" s="43">
        <f t="shared" si="90"/>
        <v>0</v>
      </c>
      <c r="J417" s="229">
        <f t="shared" si="93"/>
        <v>25</v>
      </c>
      <c r="K417" s="43">
        <f t="shared" si="94"/>
        <v>0</v>
      </c>
      <c r="M417" s="224"/>
      <c r="N417" s="225">
        <f t="shared" si="95"/>
        <v>0</v>
      </c>
      <c r="O417" s="43" t="e">
        <f t="shared" si="96"/>
        <v>#VALUE!</v>
      </c>
      <c r="P417" s="43" t="e">
        <f>ROUND(IF(Preenchimento!$G$39="Tabela Price",R417-Q417,(O416*(1+$AD$35))/($AD$28-C416)),$P$22)</f>
        <v>#VALUE!</v>
      </c>
      <c r="Q417" s="43" t="e">
        <f>IF(Preenchimento!$G$39="Tabela Price",O416*(1+$AD$35)*W417,O416*(1+'SAC Padrão_Sem Bonif'!$AD$35)*'SAC Padrão_Sem Bonif'!W417)</f>
        <v>#VALUE!</v>
      </c>
      <c r="R417" s="43" t="e">
        <f>IF(Preenchimento!$G$39="Tabela Price",IF(C417="","",((((((1+W417)^($Q$16-C416))*W417)/((1+W417)^($Q$16-C416)-1))*(O416*(1+$AD$35))))),Q417+P417)</f>
        <v>#VALUE!</v>
      </c>
      <c r="S417" s="43" t="e">
        <f t="shared" ca="1" si="91"/>
        <v>#VALUE!</v>
      </c>
      <c r="T417" s="43">
        <f t="shared" si="97"/>
        <v>0</v>
      </c>
      <c r="U417" s="226">
        <f>TRUNC(T417*Condições!$C$102,2)</f>
        <v>0</v>
      </c>
      <c r="V417" s="82">
        <f t="shared" ca="1" si="92"/>
        <v>2</v>
      </c>
      <c r="W417" s="231" t="str">
        <f t="shared" si="98"/>
        <v/>
      </c>
      <c r="AI417" s="114">
        <f t="shared" si="99"/>
        <v>0</v>
      </c>
      <c r="AL417" s="477">
        <f t="shared" ca="1" si="100"/>
        <v>0</v>
      </c>
    </row>
    <row r="418" spans="2:38">
      <c r="B418" s="222">
        <f ca="1">Fixa!B418</f>
        <v>58150</v>
      </c>
      <c r="C418" s="223" t="str">
        <f>Fixa!C418</f>
        <v/>
      </c>
      <c r="D418" s="43" t="e">
        <f t="shared" si="87"/>
        <v>#VALUE!</v>
      </c>
      <c r="E418" s="43" t="e">
        <f t="shared" si="87"/>
        <v>#VALUE!</v>
      </c>
      <c r="F418" s="43" t="e">
        <f t="shared" si="87"/>
        <v>#VALUE!</v>
      </c>
      <c r="G418" s="43" t="e">
        <f t="shared" si="88"/>
        <v>#VALUE!</v>
      </c>
      <c r="H418" s="43" t="e">
        <f t="shared" ca="1" si="89"/>
        <v>#VALUE!</v>
      </c>
      <c r="I418" s="43">
        <f t="shared" si="90"/>
        <v>0</v>
      </c>
      <c r="J418" s="229">
        <f t="shared" si="93"/>
        <v>25</v>
      </c>
      <c r="K418" s="43">
        <f t="shared" si="94"/>
        <v>0</v>
      </c>
      <c r="M418" s="224"/>
      <c r="N418" s="225">
        <f t="shared" si="95"/>
        <v>0</v>
      </c>
      <c r="O418" s="43" t="e">
        <f t="shared" si="96"/>
        <v>#VALUE!</v>
      </c>
      <c r="P418" s="43" t="e">
        <f>ROUND(IF(Preenchimento!$G$39="Tabela Price",R418-Q418,(O417*(1+$AD$35))/($AD$28-C417)),$P$22)</f>
        <v>#VALUE!</v>
      </c>
      <c r="Q418" s="43" t="e">
        <f>IF(Preenchimento!$G$39="Tabela Price",O417*(1+$AD$35)*W418,O417*(1+'SAC Padrão_Sem Bonif'!$AD$35)*'SAC Padrão_Sem Bonif'!W418)</f>
        <v>#VALUE!</v>
      </c>
      <c r="R418" s="43" t="e">
        <f>IF(Preenchimento!$G$39="Tabela Price",IF(C418="","",((((((1+W418)^($Q$16-C417))*W418)/((1+W418)^($Q$16-C417)-1))*(O417*(1+$AD$35))))),Q418+P418)</f>
        <v>#VALUE!</v>
      </c>
      <c r="S418" s="43" t="e">
        <f t="shared" ca="1" si="91"/>
        <v>#VALUE!</v>
      </c>
      <c r="T418" s="43">
        <f t="shared" si="97"/>
        <v>0</v>
      </c>
      <c r="U418" s="226">
        <f>TRUNC(T418*Condições!$C$102,2)</f>
        <v>0</v>
      </c>
      <c r="V418" s="82">
        <f t="shared" ca="1" si="92"/>
        <v>3</v>
      </c>
      <c r="W418" s="231" t="str">
        <f t="shared" si="98"/>
        <v/>
      </c>
      <c r="AI418" s="114">
        <f t="shared" si="99"/>
        <v>0</v>
      </c>
      <c r="AL418" s="477">
        <f t="shared" ca="1" si="100"/>
        <v>0</v>
      </c>
    </row>
    <row r="419" spans="2:38">
      <c r="B419" s="222">
        <f ca="1">Fixa!B419</f>
        <v>58181</v>
      </c>
      <c r="C419" s="223" t="str">
        <f>Fixa!C419</f>
        <v/>
      </c>
      <c r="D419" s="43" t="e">
        <f t="shared" si="87"/>
        <v>#VALUE!</v>
      </c>
      <c r="E419" s="43" t="e">
        <f t="shared" si="87"/>
        <v>#VALUE!</v>
      </c>
      <c r="F419" s="43" t="e">
        <f t="shared" si="87"/>
        <v>#VALUE!</v>
      </c>
      <c r="G419" s="43" t="e">
        <f t="shared" si="88"/>
        <v>#VALUE!</v>
      </c>
      <c r="H419" s="43" t="e">
        <f t="shared" ca="1" si="89"/>
        <v>#VALUE!</v>
      </c>
      <c r="I419" s="43">
        <f t="shared" si="90"/>
        <v>0</v>
      </c>
      <c r="J419" s="229">
        <f t="shared" si="93"/>
        <v>25</v>
      </c>
      <c r="K419" s="43">
        <f t="shared" si="94"/>
        <v>0</v>
      </c>
      <c r="M419" s="224"/>
      <c r="N419" s="225">
        <f t="shared" si="95"/>
        <v>0</v>
      </c>
      <c r="O419" s="43" t="e">
        <f t="shared" si="96"/>
        <v>#VALUE!</v>
      </c>
      <c r="P419" s="43" t="e">
        <f>ROUND(IF(Preenchimento!$G$39="Tabela Price",R419-Q419,(O418*(1+$AD$35))/($AD$28-C418)),$P$22)</f>
        <v>#VALUE!</v>
      </c>
      <c r="Q419" s="43" t="e">
        <f>IF(Preenchimento!$G$39="Tabela Price",O418*(1+$AD$35)*W419,O418*(1+'SAC Padrão_Sem Bonif'!$AD$35)*'SAC Padrão_Sem Bonif'!W419)</f>
        <v>#VALUE!</v>
      </c>
      <c r="R419" s="43" t="e">
        <f>IF(Preenchimento!$G$39="Tabela Price",IF(C419="","",((((((1+W419)^($Q$16-C418))*W419)/((1+W419)^($Q$16-C418)-1))*(O418*(1+$AD$35))))),Q419+P419)</f>
        <v>#VALUE!</v>
      </c>
      <c r="S419" s="43" t="e">
        <f t="shared" ca="1" si="91"/>
        <v>#VALUE!</v>
      </c>
      <c r="T419" s="43">
        <f t="shared" si="97"/>
        <v>0</v>
      </c>
      <c r="U419" s="226">
        <f>TRUNC(T419*Condições!$C$102,2)</f>
        <v>0</v>
      </c>
      <c r="V419" s="82">
        <f t="shared" ca="1" si="92"/>
        <v>4</v>
      </c>
      <c r="W419" s="231" t="str">
        <f t="shared" si="98"/>
        <v/>
      </c>
      <c r="AI419" s="114">
        <f t="shared" si="99"/>
        <v>0</v>
      </c>
      <c r="AL419" s="477">
        <f t="shared" ca="1" si="100"/>
        <v>0</v>
      </c>
    </row>
    <row r="420" spans="2:38">
      <c r="B420" s="222">
        <f ca="1">Fixa!B420</f>
        <v>58211</v>
      </c>
      <c r="C420" s="223" t="str">
        <f>Fixa!C420</f>
        <v/>
      </c>
      <c r="D420" s="43" t="e">
        <f t="shared" si="87"/>
        <v>#VALUE!</v>
      </c>
      <c r="E420" s="43" t="e">
        <f t="shared" si="87"/>
        <v>#VALUE!</v>
      </c>
      <c r="F420" s="43" t="e">
        <f t="shared" si="87"/>
        <v>#VALUE!</v>
      </c>
      <c r="G420" s="43" t="e">
        <f t="shared" si="88"/>
        <v>#VALUE!</v>
      </c>
      <c r="H420" s="43" t="e">
        <f t="shared" ca="1" si="89"/>
        <v>#VALUE!</v>
      </c>
      <c r="I420" s="43">
        <f t="shared" si="90"/>
        <v>0</v>
      </c>
      <c r="J420" s="229">
        <f t="shared" si="93"/>
        <v>25</v>
      </c>
      <c r="K420" s="43">
        <f t="shared" si="94"/>
        <v>0</v>
      </c>
      <c r="M420" s="224"/>
      <c r="N420" s="225">
        <f t="shared" si="95"/>
        <v>0</v>
      </c>
      <c r="O420" s="43" t="e">
        <f t="shared" si="96"/>
        <v>#VALUE!</v>
      </c>
      <c r="P420" s="43" t="e">
        <f>ROUND(IF(Preenchimento!$G$39="Tabela Price",R420-Q420,(O419*(1+$AD$35))/($AD$28-C419)),$P$22)</f>
        <v>#VALUE!</v>
      </c>
      <c r="Q420" s="43" t="e">
        <f>IF(Preenchimento!$G$39="Tabela Price",O419*(1+$AD$35)*W420,O419*(1+'SAC Padrão_Sem Bonif'!$AD$35)*'SAC Padrão_Sem Bonif'!W420)</f>
        <v>#VALUE!</v>
      </c>
      <c r="R420" s="43" t="e">
        <f>IF(Preenchimento!$G$39="Tabela Price",IF(C420="","",((((((1+W420)^($Q$16-C419))*W420)/((1+W420)^($Q$16-C419)-1))*(O419*(1+$AD$35))))),Q420+P420)</f>
        <v>#VALUE!</v>
      </c>
      <c r="S420" s="43" t="e">
        <f t="shared" ca="1" si="91"/>
        <v>#VALUE!</v>
      </c>
      <c r="T420" s="43">
        <f t="shared" si="97"/>
        <v>0</v>
      </c>
      <c r="U420" s="226">
        <f>TRUNC(T420*Condições!$C$102,2)</f>
        <v>0</v>
      </c>
      <c r="V420" s="82">
        <f t="shared" ca="1" si="92"/>
        <v>5</v>
      </c>
      <c r="W420" s="231" t="str">
        <f t="shared" si="98"/>
        <v/>
      </c>
      <c r="AI420" s="114">
        <f t="shared" si="99"/>
        <v>0</v>
      </c>
      <c r="AL420" s="477">
        <f t="shared" ca="1" si="100"/>
        <v>0</v>
      </c>
    </row>
    <row r="421" spans="2:38">
      <c r="B421" s="222">
        <f ca="1">Fixa!B421</f>
        <v>58242</v>
      </c>
      <c r="C421" s="223" t="str">
        <f>Fixa!C421</f>
        <v/>
      </c>
      <c r="D421" s="43" t="e">
        <f t="shared" si="87"/>
        <v>#VALUE!</v>
      </c>
      <c r="E421" s="43" t="e">
        <f t="shared" si="87"/>
        <v>#VALUE!</v>
      </c>
      <c r="F421" s="43" t="e">
        <f t="shared" si="87"/>
        <v>#VALUE!</v>
      </c>
      <c r="G421" s="43" t="e">
        <f t="shared" si="88"/>
        <v>#VALUE!</v>
      </c>
      <c r="H421" s="43" t="e">
        <f t="shared" ca="1" si="89"/>
        <v>#VALUE!</v>
      </c>
      <c r="I421" s="43">
        <f t="shared" si="90"/>
        <v>0</v>
      </c>
      <c r="J421" s="229">
        <f t="shared" si="93"/>
        <v>25</v>
      </c>
      <c r="K421" s="43">
        <f t="shared" si="94"/>
        <v>0</v>
      </c>
      <c r="M421" s="224"/>
      <c r="N421" s="225">
        <f t="shared" si="95"/>
        <v>0</v>
      </c>
      <c r="O421" s="43" t="e">
        <f t="shared" si="96"/>
        <v>#VALUE!</v>
      </c>
      <c r="P421" s="43" t="e">
        <f>ROUND(IF(Preenchimento!$G$39="Tabela Price",R421-Q421,(O420*(1+$AD$35))/($AD$28-C420)),$P$22)</f>
        <v>#VALUE!</v>
      </c>
      <c r="Q421" s="43" t="e">
        <f>IF(Preenchimento!$G$39="Tabela Price",O420*(1+$AD$35)*W421,O420*(1+'SAC Padrão_Sem Bonif'!$AD$35)*'SAC Padrão_Sem Bonif'!W421)</f>
        <v>#VALUE!</v>
      </c>
      <c r="R421" s="43" t="e">
        <f>IF(Preenchimento!$G$39="Tabela Price",IF(C421="","",((((((1+W421)^($Q$16-C420))*W421)/((1+W421)^($Q$16-C420)-1))*(O420*(1+$AD$35))))),Q421+P421)</f>
        <v>#VALUE!</v>
      </c>
      <c r="S421" s="43" t="e">
        <f t="shared" ca="1" si="91"/>
        <v>#VALUE!</v>
      </c>
      <c r="T421" s="43">
        <f t="shared" si="97"/>
        <v>0</v>
      </c>
      <c r="U421" s="226">
        <f>TRUNC(T421*Condições!$C$102,2)</f>
        <v>0</v>
      </c>
      <c r="V421" s="82">
        <f t="shared" ca="1" si="92"/>
        <v>6</v>
      </c>
      <c r="W421" s="231" t="str">
        <f t="shared" si="98"/>
        <v/>
      </c>
      <c r="AI421" s="114">
        <f t="shared" si="99"/>
        <v>0</v>
      </c>
      <c r="AL421" s="477">
        <f t="shared" ca="1" si="100"/>
        <v>0</v>
      </c>
    </row>
    <row r="422" spans="2:38">
      <c r="B422" s="222">
        <f ca="1">Fixa!B422</f>
        <v>58272</v>
      </c>
      <c r="C422" s="223" t="str">
        <f>Fixa!C422</f>
        <v/>
      </c>
      <c r="D422" s="43" t="e">
        <f t="shared" si="87"/>
        <v>#VALUE!</v>
      </c>
      <c r="E422" s="43" t="e">
        <f t="shared" si="87"/>
        <v>#VALUE!</v>
      </c>
      <c r="F422" s="43" t="e">
        <f t="shared" si="87"/>
        <v>#VALUE!</v>
      </c>
      <c r="G422" s="43" t="e">
        <f t="shared" si="88"/>
        <v>#VALUE!</v>
      </c>
      <c r="H422" s="43" t="e">
        <f t="shared" ca="1" si="89"/>
        <v>#VALUE!</v>
      </c>
      <c r="I422" s="43">
        <f t="shared" si="90"/>
        <v>0</v>
      </c>
      <c r="J422" s="229">
        <f t="shared" si="93"/>
        <v>25</v>
      </c>
      <c r="K422" s="43">
        <f t="shared" si="94"/>
        <v>0</v>
      </c>
      <c r="M422" s="224"/>
      <c r="N422" s="225">
        <f t="shared" si="95"/>
        <v>0</v>
      </c>
      <c r="O422" s="43" t="e">
        <f t="shared" si="96"/>
        <v>#VALUE!</v>
      </c>
      <c r="P422" s="43" t="e">
        <f>ROUND(IF(Preenchimento!$G$39="Tabela Price",R422-Q422,(O421*(1+$AD$35))/($AD$28-C421)),$P$22)</f>
        <v>#VALUE!</v>
      </c>
      <c r="Q422" s="43" t="e">
        <f>IF(Preenchimento!$G$39="Tabela Price",O421*(1+$AD$35)*W422,O421*(1+'SAC Padrão_Sem Bonif'!$AD$35)*'SAC Padrão_Sem Bonif'!W422)</f>
        <v>#VALUE!</v>
      </c>
      <c r="R422" s="43" t="e">
        <f>IF(Preenchimento!$G$39="Tabela Price",IF(C422="","",((((((1+W422)^($Q$16-C421))*W422)/((1+W422)^($Q$16-C421)-1))*(O421*(1+$AD$35))))),Q422+P422)</f>
        <v>#VALUE!</v>
      </c>
      <c r="S422" s="43" t="e">
        <f t="shared" ca="1" si="91"/>
        <v>#VALUE!</v>
      </c>
      <c r="T422" s="43">
        <f t="shared" si="97"/>
        <v>0</v>
      </c>
      <c r="U422" s="226">
        <f>TRUNC(T422*Condições!$C$102,2)</f>
        <v>0</v>
      </c>
      <c r="V422" s="82">
        <f t="shared" ca="1" si="92"/>
        <v>7</v>
      </c>
      <c r="W422" s="231" t="str">
        <f t="shared" si="98"/>
        <v/>
      </c>
      <c r="AI422" s="114">
        <f t="shared" si="99"/>
        <v>0</v>
      </c>
      <c r="AL422" s="477">
        <f t="shared" ca="1" si="100"/>
        <v>0</v>
      </c>
    </row>
    <row r="423" spans="2:38">
      <c r="B423" s="222">
        <f ca="1">Fixa!B423</f>
        <v>58303</v>
      </c>
      <c r="C423" s="223" t="str">
        <f>Fixa!C423</f>
        <v/>
      </c>
      <c r="D423" s="43" t="e">
        <f t="shared" si="87"/>
        <v>#VALUE!</v>
      </c>
      <c r="E423" s="43" t="e">
        <f t="shared" si="87"/>
        <v>#VALUE!</v>
      </c>
      <c r="F423" s="43" t="e">
        <f t="shared" si="87"/>
        <v>#VALUE!</v>
      </c>
      <c r="G423" s="43" t="e">
        <f t="shared" si="88"/>
        <v>#VALUE!</v>
      </c>
      <c r="H423" s="43" t="e">
        <f t="shared" ca="1" si="89"/>
        <v>#VALUE!</v>
      </c>
      <c r="I423" s="43">
        <f t="shared" si="90"/>
        <v>0</v>
      </c>
      <c r="J423" s="229">
        <f t="shared" si="93"/>
        <v>25</v>
      </c>
      <c r="K423" s="43">
        <f t="shared" si="94"/>
        <v>0</v>
      </c>
      <c r="M423" s="224"/>
      <c r="N423" s="225">
        <f t="shared" si="95"/>
        <v>0</v>
      </c>
      <c r="O423" s="43" t="e">
        <f t="shared" si="96"/>
        <v>#VALUE!</v>
      </c>
      <c r="P423" s="43" t="e">
        <f>ROUND(IF(Preenchimento!$G$39="Tabela Price",R423-Q423,(O422*(1+$AD$35))/($AD$28-C422)),$P$22)</f>
        <v>#VALUE!</v>
      </c>
      <c r="Q423" s="43" t="e">
        <f>IF(Preenchimento!$G$39="Tabela Price",O422*(1+$AD$35)*W423,O422*(1+'SAC Padrão_Sem Bonif'!$AD$35)*'SAC Padrão_Sem Bonif'!W423)</f>
        <v>#VALUE!</v>
      </c>
      <c r="R423" s="43" t="e">
        <f>IF(Preenchimento!$G$39="Tabela Price",IF(C423="","",((((((1+W423)^($Q$16-C422))*W423)/((1+W423)^($Q$16-C422)-1))*(O422*(1+$AD$35))))),Q423+P423)</f>
        <v>#VALUE!</v>
      </c>
      <c r="S423" s="43" t="e">
        <f t="shared" ca="1" si="91"/>
        <v>#VALUE!</v>
      </c>
      <c r="T423" s="43">
        <f t="shared" si="97"/>
        <v>0</v>
      </c>
      <c r="U423" s="226">
        <f>TRUNC(T423*Condições!$C$102,2)</f>
        <v>0</v>
      </c>
      <c r="V423" s="82">
        <f t="shared" ca="1" si="92"/>
        <v>8</v>
      </c>
      <c r="W423" s="231" t="str">
        <f t="shared" si="98"/>
        <v/>
      </c>
      <c r="AI423" s="114">
        <f t="shared" si="99"/>
        <v>0</v>
      </c>
      <c r="AL423" s="477">
        <f t="shared" ca="1" si="100"/>
        <v>0</v>
      </c>
    </row>
    <row r="424" spans="2:38">
      <c r="B424" s="222">
        <f ca="1">Fixa!B424</f>
        <v>58334</v>
      </c>
      <c r="C424" s="223" t="str">
        <f>Fixa!C424</f>
        <v/>
      </c>
      <c r="D424" s="43" t="e">
        <f t="shared" si="87"/>
        <v>#VALUE!</v>
      </c>
      <c r="E424" s="43" t="e">
        <f t="shared" si="87"/>
        <v>#VALUE!</v>
      </c>
      <c r="F424" s="43" t="e">
        <f t="shared" si="87"/>
        <v>#VALUE!</v>
      </c>
      <c r="G424" s="43" t="e">
        <f t="shared" si="88"/>
        <v>#VALUE!</v>
      </c>
      <c r="H424" s="43" t="e">
        <f t="shared" ca="1" si="89"/>
        <v>#VALUE!</v>
      </c>
      <c r="I424" s="43">
        <f t="shared" si="90"/>
        <v>0</v>
      </c>
      <c r="J424" s="229">
        <f t="shared" si="93"/>
        <v>25</v>
      </c>
      <c r="K424" s="43">
        <f t="shared" si="94"/>
        <v>0</v>
      </c>
      <c r="M424" s="224"/>
      <c r="N424" s="225">
        <f t="shared" si="95"/>
        <v>0</v>
      </c>
      <c r="O424" s="43" t="e">
        <f t="shared" si="96"/>
        <v>#VALUE!</v>
      </c>
      <c r="P424" s="43" t="e">
        <f>ROUND(IF(Preenchimento!$G$39="Tabela Price",R424-Q424,(O423*(1+$AD$35))/($AD$28-C423)),$P$22)</f>
        <v>#VALUE!</v>
      </c>
      <c r="Q424" s="43" t="e">
        <f>IF(Preenchimento!$G$39="Tabela Price",O423*(1+$AD$35)*W424,O423*(1+'SAC Padrão_Sem Bonif'!$AD$35)*'SAC Padrão_Sem Bonif'!W424)</f>
        <v>#VALUE!</v>
      </c>
      <c r="R424" s="43" t="e">
        <f>IF(Preenchimento!$G$39="Tabela Price",IF(C424="","",((((((1+W424)^($Q$16-C423))*W424)/((1+W424)^($Q$16-C423)-1))*(O423*(1+$AD$35))))),Q424+P424)</f>
        <v>#VALUE!</v>
      </c>
      <c r="S424" s="43" t="e">
        <f t="shared" ca="1" si="91"/>
        <v>#VALUE!</v>
      </c>
      <c r="T424" s="43">
        <f t="shared" si="97"/>
        <v>0</v>
      </c>
      <c r="U424" s="226">
        <f>TRUNC(T424*Condições!$C$102,2)</f>
        <v>0</v>
      </c>
      <c r="V424" s="82">
        <f t="shared" ca="1" si="92"/>
        <v>9</v>
      </c>
      <c r="W424" s="231" t="str">
        <f t="shared" si="98"/>
        <v/>
      </c>
      <c r="AI424" s="114">
        <f t="shared" si="99"/>
        <v>0</v>
      </c>
      <c r="AL424" s="477">
        <f t="shared" ca="1" si="100"/>
        <v>0</v>
      </c>
    </row>
    <row r="425" spans="2:38">
      <c r="B425" s="222">
        <f ca="1">Fixa!B425</f>
        <v>58364</v>
      </c>
      <c r="C425" s="223" t="str">
        <f>Fixa!C425</f>
        <v/>
      </c>
      <c r="D425" s="43" t="e">
        <f t="shared" si="87"/>
        <v>#VALUE!</v>
      </c>
      <c r="E425" s="43" t="e">
        <f t="shared" si="87"/>
        <v>#VALUE!</v>
      </c>
      <c r="F425" s="43" t="e">
        <f t="shared" si="87"/>
        <v>#VALUE!</v>
      </c>
      <c r="G425" s="43" t="e">
        <f t="shared" si="88"/>
        <v>#VALUE!</v>
      </c>
      <c r="H425" s="43" t="e">
        <f t="shared" ca="1" si="89"/>
        <v>#VALUE!</v>
      </c>
      <c r="I425" s="43">
        <f t="shared" si="90"/>
        <v>0</v>
      </c>
      <c r="J425" s="229">
        <f t="shared" si="93"/>
        <v>25</v>
      </c>
      <c r="K425" s="43">
        <f t="shared" si="94"/>
        <v>0</v>
      </c>
      <c r="M425" s="224"/>
      <c r="N425" s="225">
        <f t="shared" si="95"/>
        <v>0</v>
      </c>
      <c r="O425" s="43" t="e">
        <f t="shared" si="96"/>
        <v>#VALUE!</v>
      </c>
      <c r="P425" s="43" t="e">
        <f>ROUND(IF(Preenchimento!$G$39="Tabela Price",R425-Q425,(O424*(1+$AD$35))/($AD$28-C424)),$P$22)</f>
        <v>#VALUE!</v>
      </c>
      <c r="Q425" s="43" t="e">
        <f>IF(Preenchimento!$G$39="Tabela Price",O424*(1+$AD$35)*W425,O424*(1+'SAC Padrão_Sem Bonif'!$AD$35)*'SAC Padrão_Sem Bonif'!W425)</f>
        <v>#VALUE!</v>
      </c>
      <c r="R425" s="43" t="e">
        <f>IF(Preenchimento!$G$39="Tabela Price",IF(C425="","",((((((1+W425)^($Q$16-C424))*W425)/((1+W425)^($Q$16-C424)-1))*(O424*(1+$AD$35))))),Q425+P425)</f>
        <v>#VALUE!</v>
      </c>
      <c r="S425" s="43" t="e">
        <f t="shared" ca="1" si="91"/>
        <v>#VALUE!</v>
      </c>
      <c r="T425" s="43">
        <f t="shared" si="97"/>
        <v>0</v>
      </c>
      <c r="U425" s="226">
        <f>TRUNC(T425*Condições!$C$102,2)</f>
        <v>0</v>
      </c>
      <c r="V425" s="82">
        <f t="shared" ca="1" si="92"/>
        <v>10</v>
      </c>
      <c r="W425" s="231" t="str">
        <f t="shared" si="98"/>
        <v/>
      </c>
      <c r="AI425" s="114">
        <f t="shared" si="99"/>
        <v>0</v>
      </c>
      <c r="AL425" s="477">
        <f t="shared" ca="1" si="100"/>
        <v>0</v>
      </c>
    </row>
    <row r="426" spans="2:38">
      <c r="B426" s="222">
        <f ca="1">Fixa!B426</f>
        <v>58395</v>
      </c>
      <c r="C426" s="223" t="str">
        <f>Fixa!C426</f>
        <v/>
      </c>
      <c r="D426" s="43" t="e">
        <f t="shared" si="87"/>
        <v>#VALUE!</v>
      </c>
      <c r="E426" s="43" t="e">
        <f t="shared" si="87"/>
        <v>#VALUE!</v>
      </c>
      <c r="F426" s="43" t="e">
        <f t="shared" si="87"/>
        <v>#VALUE!</v>
      </c>
      <c r="G426" s="43" t="e">
        <f t="shared" si="88"/>
        <v>#VALUE!</v>
      </c>
      <c r="H426" s="43" t="e">
        <f t="shared" ca="1" si="89"/>
        <v>#VALUE!</v>
      </c>
      <c r="I426" s="43">
        <f t="shared" si="90"/>
        <v>0</v>
      </c>
      <c r="J426" s="229">
        <f t="shared" si="93"/>
        <v>25</v>
      </c>
      <c r="K426" s="43">
        <f t="shared" si="94"/>
        <v>0</v>
      </c>
      <c r="M426" s="224"/>
      <c r="N426" s="225">
        <f t="shared" si="95"/>
        <v>0</v>
      </c>
      <c r="O426" s="43" t="e">
        <f t="shared" si="96"/>
        <v>#VALUE!</v>
      </c>
      <c r="P426" s="43" t="e">
        <f>ROUND(IF(Preenchimento!$G$39="Tabela Price",R426-Q426,(O425*(1+$AD$35))/($AD$28-C425)),$P$22)</f>
        <v>#VALUE!</v>
      </c>
      <c r="Q426" s="43" t="e">
        <f>IF(Preenchimento!$G$39="Tabela Price",O425*(1+$AD$35)*W426,O425*(1+'SAC Padrão_Sem Bonif'!$AD$35)*'SAC Padrão_Sem Bonif'!W426)</f>
        <v>#VALUE!</v>
      </c>
      <c r="R426" s="43" t="e">
        <f>IF(Preenchimento!$G$39="Tabela Price",IF(C426="","",((((((1+W426)^($Q$16-C425))*W426)/((1+W426)^($Q$16-C425)-1))*(O425*(1+$AD$35))))),Q426+P426)</f>
        <v>#VALUE!</v>
      </c>
      <c r="S426" s="43" t="e">
        <f t="shared" ca="1" si="91"/>
        <v>#VALUE!</v>
      </c>
      <c r="T426" s="43">
        <f t="shared" si="97"/>
        <v>0</v>
      </c>
      <c r="U426" s="226">
        <f>TRUNC(T426*Condições!$C$102,2)</f>
        <v>0</v>
      </c>
      <c r="V426" s="82">
        <f t="shared" ca="1" si="92"/>
        <v>11</v>
      </c>
      <c r="W426" s="231" t="str">
        <f t="shared" si="98"/>
        <v/>
      </c>
      <c r="AI426" s="114">
        <f t="shared" si="99"/>
        <v>0</v>
      </c>
      <c r="AL426" s="477">
        <f t="shared" ca="1" si="100"/>
        <v>0</v>
      </c>
    </row>
    <row r="427" spans="2:38">
      <c r="B427" s="222">
        <f ca="1">Fixa!B427</f>
        <v>58425</v>
      </c>
      <c r="C427" s="223" t="str">
        <f>Fixa!C427</f>
        <v/>
      </c>
      <c r="D427" s="43" t="e">
        <f t="shared" si="87"/>
        <v>#VALUE!</v>
      </c>
      <c r="E427" s="43" t="e">
        <f t="shared" si="87"/>
        <v>#VALUE!</v>
      </c>
      <c r="F427" s="43" t="e">
        <f t="shared" si="87"/>
        <v>#VALUE!</v>
      </c>
      <c r="G427" s="43" t="e">
        <f t="shared" si="88"/>
        <v>#VALUE!</v>
      </c>
      <c r="H427" s="43" t="e">
        <f t="shared" ca="1" si="89"/>
        <v>#VALUE!</v>
      </c>
      <c r="I427" s="43">
        <f t="shared" si="90"/>
        <v>0</v>
      </c>
      <c r="J427" s="229">
        <f t="shared" si="93"/>
        <v>25</v>
      </c>
      <c r="K427" s="43">
        <f t="shared" si="94"/>
        <v>0</v>
      </c>
      <c r="M427" s="224"/>
      <c r="N427" s="225">
        <f t="shared" si="95"/>
        <v>0</v>
      </c>
      <c r="O427" s="43" t="e">
        <f t="shared" si="96"/>
        <v>#VALUE!</v>
      </c>
      <c r="P427" s="43" t="e">
        <f>ROUND(IF(Preenchimento!$G$39="Tabela Price",R427-Q427,(O426*(1+$AD$35))/($AD$28-C426)),$P$22)</f>
        <v>#VALUE!</v>
      </c>
      <c r="Q427" s="43" t="e">
        <f>IF(Preenchimento!$G$39="Tabela Price",O426*(1+$AD$35)*W427,O426*(1+'SAC Padrão_Sem Bonif'!$AD$35)*'SAC Padrão_Sem Bonif'!W427)</f>
        <v>#VALUE!</v>
      </c>
      <c r="R427" s="43" t="e">
        <f>IF(Preenchimento!$G$39="Tabela Price",IF(C427="","",((((((1+W427)^($Q$16-C426))*W427)/((1+W427)^($Q$16-C426)-1))*(O426*(1+$AD$35))))),Q427+P427)</f>
        <v>#VALUE!</v>
      </c>
      <c r="S427" s="43" t="e">
        <f t="shared" ca="1" si="91"/>
        <v>#VALUE!</v>
      </c>
      <c r="T427" s="43">
        <f t="shared" si="97"/>
        <v>0</v>
      </c>
      <c r="U427" s="226">
        <f>TRUNC(T427*Condições!$C$102,2)</f>
        <v>0</v>
      </c>
      <c r="V427" s="82">
        <f t="shared" ca="1" si="92"/>
        <v>12</v>
      </c>
      <c r="W427" s="231" t="str">
        <f t="shared" si="98"/>
        <v/>
      </c>
      <c r="AI427" s="114">
        <f t="shared" si="99"/>
        <v>0</v>
      </c>
      <c r="AL427" s="477">
        <f t="shared" ca="1" si="100"/>
        <v>0</v>
      </c>
    </row>
    <row r="428" spans="2:38">
      <c r="B428" s="222">
        <f ca="1">Fixa!B428</f>
        <v>58456</v>
      </c>
      <c r="C428" s="223" t="str">
        <f>Fixa!C428</f>
        <v/>
      </c>
      <c r="D428" s="43" t="e">
        <f t="shared" si="87"/>
        <v>#VALUE!</v>
      </c>
      <c r="E428" s="43" t="e">
        <f t="shared" si="87"/>
        <v>#VALUE!</v>
      </c>
      <c r="F428" s="43" t="e">
        <f t="shared" si="87"/>
        <v>#VALUE!</v>
      </c>
      <c r="G428" s="43" t="e">
        <f t="shared" si="88"/>
        <v>#VALUE!</v>
      </c>
      <c r="H428" s="43" t="e">
        <f t="shared" ca="1" si="89"/>
        <v>#VALUE!</v>
      </c>
      <c r="I428" s="43">
        <f t="shared" si="90"/>
        <v>0</v>
      </c>
      <c r="J428" s="229">
        <f t="shared" si="93"/>
        <v>25</v>
      </c>
      <c r="K428" s="43">
        <f t="shared" si="94"/>
        <v>0</v>
      </c>
      <c r="M428" s="224"/>
      <c r="N428" s="225">
        <f t="shared" si="95"/>
        <v>0</v>
      </c>
      <c r="O428" s="43" t="e">
        <f t="shared" si="96"/>
        <v>#VALUE!</v>
      </c>
      <c r="P428" s="43" t="e">
        <f>ROUND(IF(Preenchimento!$G$39="Tabela Price",R428-Q428,(O427*(1+$AD$35))/($AD$28-C427)),$P$22)</f>
        <v>#VALUE!</v>
      </c>
      <c r="Q428" s="43" t="e">
        <f>IF(Preenchimento!$G$39="Tabela Price",O427*(1+$AD$35)*W428,O427*(1+'SAC Padrão_Sem Bonif'!$AD$35)*'SAC Padrão_Sem Bonif'!W428)</f>
        <v>#VALUE!</v>
      </c>
      <c r="R428" s="43" t="e">
        <f>IF(Preenchimento!$G$39="Tabela Price",IF(C428="","",((((((1+W428)^($Q$16-C427))*W428)/((1+W428)^($Q$16-C427)-1))*(O427*(1+$AD$35))))),Q428+P428)</f>
        <v>#VALUE!</v>
      </c>
      <c r="S428" s="43" t="e">
        <f t="shared" ca="1" si="91"/>
        <v>#VALUE!</v>
      </c>
      <c r="T428" s="43">
        <f t="shared" si="97"/>
        <v>0</v>
      </c>
      <c r="U428" s="226">
        <f>TRUNC(T428*Condições!$C$102,2)</f>
        <v>0</v>
      </c>
      <c r="V428" s="82">
        <f t="shared" ca="1" si="92"/>
        <v>1</v>
      </c>
      <c r="W428" s="231" t="str">
        <f t="shared" si="98"/>
        <v/>
      </c>
      <c r="AI428" s="114">
        <f t="shared" si="99"/>
        <v>0</v>
      </c>
      <c r="AL428" s="477">
        <f t="shared" ca="1" si="100"/>
        <v>0</v>
      </c>
    </row>
    <row r="429" spans="2:38">
      <c r="B429" s="222">
        <f ca="1">Fixa!B429</f>
        <v>58487</v>
      </c>
      <c r="C429" s="223" t="str">
        <f>Fixa!C429</f>
        <v/>
      </c>
      <c r="D429" s="43" t="e">
        <f t="shared" si="87"/>
        <v>#VALUE!</v>
      </c>
      <c r="E429" s="43" t="e">
        <f t="shared" si="87"/>
        <v>#VALUE!</v>
      </c>
      <c r="F429" s="43" t="e">
        <f t="shared" si="87"/>
        <v>#VALUE!</v>
      </c>
      <c r="G429" s="43" t="e">
        <f t="shared" si="88"/>
        <v>#VALUE!</v>
      </c>
      <c r="H429" s="43" t="e">
        <f t="shared" ca="1" si="89"/>
        <v>#VALUE!</v>
      </c>
      <c r="I429" s="43">
        <f t="shared" si="90"/>
        <v>0</v>
      </c>
      <c r="J429" s="229">
        <f t="shared" si="93"/>
        <v>25</v>
      </c>
      <c r="K429" s="43">
        <f t="shared" si="94"/>
        <v>0</v>
      </c>
      <c r="M429" s="224"/>
      <c r="N429" s="225">
        <f t="shared" si="95"/>
        <v>0</v>
      </c>
      <c r="O429" s="43" t="e">
        <f t="shared" si="96"/>
        <v>#VALUE!</v>
      </c>
      <c r="P429" s="43" t="e">
        <f>ROUND(IF(Preenchimento!$G$39="Tabela Price",R429-Q429,(O428*(1+$AD$35))/($AD$28-C428)),$P$22)</f>
        <v>#VALUE!</v>
      </c>
      <c r="Q429" s="43" t="e">
        <f>IF(Preenchimento!$G$39="Tabela Price",O428*(1+$AD$35)*W429,O428*(1+'SAC Padrão_Sem Bonif'!$AD$35)*'SAC Padrão_Sem Bonif'!W429)</f>
        <v>#VALUE!</v>
      </c>
      <c r="R429" s="43" t="e">
        <f>IF(Preenchimento!$G$39="Tabela Price",IF(C429="","",((((((1+W429)^($Q$16-C428))*W429)/((1+W429)^($Q$16-C428)-1))*(O428*(1+$AD$35))))),Q429+P429)</f>
        <v>#VALUE!</v>
      </c>
      <c r="S429" s="43" t="e">
        <f t="shared" ca="1" si="91"/>
        <v>#VALUE!</v>
      </c>
      <c r="T429" s="43">
        <f t="shared" si="97"/>
        <v>0</v>
      </c>
      <c r="U429" s="226">
        <f>TRUNC(T429*Condições!$C$102,2)</f>
        <v>0</v>
      </c>
      <c r="V429" s="82">
        <f t="shared" ca="1" si="92"/>
        <v>2</v>
      </c>
      <c r="W429" s="231" t="str">
        <f t="shared" si="98"/>
        <v/>
      </c>
      <c r="AI429" s="114">
        <f t="shared" si="99"/>
        <v>0</v>
      </c>
      <c r="AL429" s="477">
        <f t="shared" ca="1" si="100"/>
        <v>0</v>
      </c>
    </row>
    <row r="430" spans="2:38">
      <c r="B430" s="222">
        <f ca="1">Fixa!B430</f>
        <v>58516</v>
      </c>
      <c r="C430" s="223" t="str">
        <f>Fixa!C430</f>
        <v/>
      </c>
      <c r="D430" s="43" t="e">
        <f t="shared" si="87"/>
        <v>#VALUE!</v>
      </c>
      <c r="E430" s="43" t="e">
        <f t="shared" si="87"/>
        <v>#VALUE!</v>
      </c>
      <c r="F430" s="43" t="e">
        <f t="shared" si="87"/>
        <v>#VALUE!</v>
      </c>
      <c r="G430" s="43" t="e">
        <f t="shared" si="88"/>
        <v>#VALUE!</v>
      </c>
      <c r="H430" s="43" t="e">
        <f t="shared" ca="1" si="89"/>
        <v>#VALUE!</v>
      </c>
      <c r="I430" s="43">
        <f t="shared" si="90"/>
        <v>0</v>
      </c>
      <c r="J430" s="229">
        <f t="shared" si="93"/>
        <v>25</v>
      </c>
      <c r="K430" s="43">
        <f t="shared" si="94"/>
        <v>0</v>
      </c>
      <c r="M430" s="224"/>
      <c r="N430" s="225">
        <f t="shared" si="95"/>
        <v>0</v>
      </c>
      <c r="O430" s="43" t="e">
        <f t="shared" si="96"/>
        <v>#VALUE!</v>
      </c>
      <c r="P430" s="43" t="e">
        <f>ROUND(IF(Preenchimento!$G$39="Tabela Price",R430-Q430,(O429*(1+$AD$35))/($AD$28-C429)),$P$22)</f>
        <v>#VALUE!</v>
      </c>
      <c r="Q430" s="43" t="e">
        <f>IF(Preenchimento!$G$39="Tabela Price",O429*(1+$AD$35)*W430,O429*(1+'SAC Padrão_Sem Bonif'!$AD$35)*'SAC Padrão_Sem Bonif'!W430)</f>
        <v>#VALUE!</v>
      </c>
      <c r="R430" s="43" t="e">
        <f>IF(Preenchimento!$G$39="Tabela Price",IF(C430="","",((((((1+W430)^($Q$16-C429))*W430)/((1+W430)^($Q$16-C429)-1))*(O429*(1+$AD$35))))),Q430+P430)</f>
        <v>#VALUE!</v>
      </c>
      <c r="S430" s="43" t="e">
        <f t="shared" ca="1" si="91"/>
        <v>#VALUE!</v>
      </c>
      <c r="T430" s="43">
        <f t="shared" si="97"/>
        <v>0</v>
      </c>
      <c r="U430" s="226">
        <f>TRUNC(T430*Condições!$C$102,2)</f>
        <v>0</v>
      </c>
      <c r="V430" s="82">
        <f t="shared" ca="1" si="92"/>
        <v>3</v>
      </c>
      <c r="W430" s="231" t="str">
        <f t="shared" si="98"/>
        <v/>
      </c>
      <c r="AI430" s="114">
        <f t="shared" si="99"/>
        <v>0</v>
      </c>
      <c r="AL430" s="477">
        <f t="shared" ca="1" si="100"/>
        <v>0</v>
      </c>
    </row>
    <row r="431" spans="2:38">
      <c r="B431" s="222">
        <f ca="1">Fixa!B431</f>
        <v>58547</v>
      </c>
      <c r="C431" s="223" t="str">
        <f>Fixa!C431</f>
        <v/>
      </c>
      <c r="D431" s="43" t="e">
        <f t="shared" si="87"/>
        <v>#VALUE!</v>
      </c>
      <c r="E431" s="43" t="e">
        <f t="shared" si="87"/>
        <v>#VALUE!</v>
      </c>
      <c r="F431" s="43" t="e">
        <f t="shared" si="87"/>
        <v>#VALUE!</v>
      </c>
      <c r="G431" s="43" t="e">
        <f t="shared" si="88"/>
        <v>#VALUE!</v>
      </c>
      <c r="H431" s="43" t="e">
        <f t="shared" ca="1" si="89"/>
        <v>#VALUE!</v>
      </c>
      <c r="I431" s="43">
        <f t="shared" si="90"/>
        <v>0</v>
      </c>
      <c r="J431" s="229">
        <f t="shared" si="93"/>
        <v>25</v>
      </c>
      <c r="K431" s="43">
        <f t="shared" si="94"/>
        <v>0</v>
      </c>
      <c r="M431" s="224"/>
      <c r="N431" s="225">
        <f t="shared" si="95"/>
        <v>0</v>
      </c>
      <c r="O431" s="43" t="e">
        <f t="shared" si="96"/>
        <v>#VALUE!</v>
      </c>
      <c r="P431" s="43" t="e">
        <f>ROUND(IF(Preenchimento!$G$39="Tabela Price",R431-Q431,(O430*(1+$AD$35))/($AD$28-C430)),$P$22)</f>
        <v>#VALUE!</v>
      </c>
      <c r="Q431" s="43" t="e">
        <f>IF(Preenchimento!$G$39="Tabela Price",O430*(1+$AD$35)*W431,O430*(1+'SAC Padrão_Sem Bonif'!$AD$35)*'SAC Padrão_Sem Bonif'!W431)</f>
        <v>#VALUE!</v>
      </c>
      <c r="R431" s="43" t="e">
        <f>IF(Preenchimento!$G$39="Tabela Price",IF(C431="","",((((((1+W431)^($Q$16-C430))*W431)/((1+W431)^($Q$16-C430)-1))*(O430*(1+$AD$35))))),Q431+P431)</f>
        <v>#VALUE!</v>
      </c>
      <c r="S431" s="43" t="e">
        <f t="shared" ca="1" si="91"/>
        <v>#VALUE!</v>
      </c>
      <c r="T431" s="43">
        <f t="shared" si="97"/>
        <v>0</v>
      </c>
      <c r="U431" s="226">
        <f>TRUNC(T431*Condições!$C$102,2)</f>
        <v>0</v>
      </c>
      <c r="V431" s="82">
        <f t="shared" ca="1" si="92"/>
        <v>4</v>
      </c>
      <c r="W431" s="231" t="str">
        <f t="shared" si="98"/>
        <v/>
      </c>
      <c r="AI431" s="114">
        <f t="shared" si="99"/>
        <v>0</v>
      </c>
      <c r="AL431" s="477">
        <f t="shared" ca="1" si="100"/>
        <v>0</v>
      </c>
    </row>
    <row r="432" spans="2:38">
      <c r="B432" s="222">
        <f ca="1">Fixa!B432</f>
        <v>58577</v>
      </c>
      <c r="C432" s="223" t="str">
        <f>Fixa!C432</f>
        <v/>
      </c>
      <c r="D432" s="43" t="e">
        <f t="shared" si="87"/>
        <v>#VALUE!</v>
      </c>
      <c r="E432" s="43" t="e">
        <f t="shared" si="87"/>
        <v>#VALUE!</v>
      </c>
      <c r="F432" s="43" t="e">
        <f t="shared" si="87"/>
        <v>#VALUE!</v>
      </c>
      <c r="G432" s="43" t="e">
        <f t="shared" si="88"/>
        <v>#VALUE!</v>
      </c>
      <c r="H432" s="43" t="e">
        <f t="shared" ca="1" si="89"/>
        <v>#VALUE!</v>
      </c>
      <c r="I432" s="43">
        <f t="shared" si="90"/>
        <v>0</v>
      </c>
      <c r="J432" s="229">
        <f t="shared" si="93"/>
        <v>25</v>
      </c>
      <c r="K432" s="43">
        <f t="shared" si="94"/>
        <v>0</v>
      </c>
      <c r="M432" s="224"/>
      <c r="N432" s="225">
        <f t="shared" si="95"/>
        <v>0</v>
      </c>
      <c r="O432" s="43" t="e">
        <f t="shared" si="96"/>
        <v>#VALUE!</v>
      </c>
      <c r="P432" s="43" t="e">
        <f>ROUND(IF(Preenchimento!$G$39="Tabela Price",R432-Q432,(O431*(1+$AD$35))/($AD$28-C431)),$P$22)</f>
        <v>#VALUE!</v>
      </c>
      <c r="Q432" s="43" t="e">
        <f>IF(Preenchimento!$G$39="Tabela Price",O431*(1+$AD$35)*W432,O431*(1+'SAC Padrão_Sem Bonif'!$AD$35)*'SAC Padrão_Sem Bonif'!W432)</f>
        <v>#VALUE!</v>
      </c>
      <c r="R432" s="43" t="e">
        <f>IF(Preenchimento!$G$39="Tabela Price",IF(C432="","",((((((1+W432)^($Q$16-C431))*W432)/((1+W432)^($Q$16-C431)-1))*(O431*(1+$AD$35))))),Q432+P432)</f>
        <v>#VALUE!</v>
      </c>
      <c r="S432" s="43" t="e">
        <f t="shared" ca="1" si="91"/>
        <v>#VALUE!</v>
      </c>
      <c r="T432" s="43">
        <f t="shared" si="97"/>
        <v>0</v>
      </c>
      <c r="U432" s="226">
        <f>TRUNC(T432*Condições!$C$102,2)</f>
        <v>0</v>
      </c>
      <c r="V432" s="82">
        <f t="shared" ca="1" si="92"/>
        <v>5</v>
      </c>
      <c r="W432" s="231" t="str">
        <f t="shared" si="98"/>
        <v/>
      </c>
      <c r="AI432" s="114">
        <f t="shared" si="99"/>
        <v>0</v>
      </c>
      <c r="AL432" s="477">
        <f t="shared" ca="1" si="100"/>
        <v>0</v>
      </c>
    </row>
    <row r="433" spans="2:38">
      <c r="B433" s="222">
        <f ca="1">Fixa!B433</f>
        <v>58608</v>
      </c>
      <c r="C433" s="223" t="str">
        <f>Fixa!C433</f>
        <v/>
      </c>
      <c r="D433" s="43" t="e">
        <f t="shared" si="87"/>
        <v>#VALUE!</v>
      </c>
      <c r="E433" s="43" t="e">
        <f t="shared" si="87"/>
        <v>#VALUE!</v>
      </c>
      <c r="F433" s="43" t="e">
        <f t="shared" si="87"/>
        <v>#VALUE!</v>
      </c>
      <c r="G433" s="43" t="e">
        <f t="shared" si="88"/>
        <v>#VALUE!</v>
      </c>
      <c r="H433" s="43" t="e">
        <f t="shared" ca="1" si="89"/>
        <v>#VALUE!</v>
      </c>
      <c r="I433" s="43">
        <f t="shared" si="90"/>
        <v>0</v>
      </c>
      <c r="J433" s="229">
        <f t="shared" si="93"/>
        <v>25</v>
      </c>
      <c r="K433" s="43">
        <f t="shared" si="94"/>
        <v>0</v>
      </c>
      <c r="M433" s="224"/>
      <c r="N433" s="225">
        <f t="shared" si="95"/>
        <v>0</v>
      </c>
      <c r="O433" s="43" t="e">
        <f t="shared" si="96"/>
        <v>#VALUE!</v>
      </c>
      <c r="P433" s="43" t="e">
        <f>ROUND(IF(Preenchimento!$G$39="Tabela Price",R433-Q433,(O432*(1+$AD$35))/($AD$28-C432)),$P$22)</f>
        <v>#VALUE!</v>
      </c>
      <c r="Q433" s="43" t="e">
        <f>IF(Preenchimento!$G$39="Tabela Price",O432*(1+$AD$35)*W433,O432*(1+'SAC Padrão_Sem Bonif'!$AD$35)*'SAC Padrão_Sem Bonif'!W433)</f>
        <v>#VALUE!</v>
      </c>
      <c r="R433" s="43" t="e">
        <f>IF(Preenchimento!$G$39="Tabela Price",IF(C433="","",((((((1+W433)^($Q$16-C432))*W433)/((1+W433)^($Q$16-C432)-1))*(O432*(1+$AD$35))))),Q433+P433)</f>
        <v>#VALUE!</v>
      </c>
      <c r="S433" s="43" t="e">
        <f t="shared" ca="1" si="91"/>
        <v>#VALUE!</v>
      </c>
      <c r="T433" s="43">
        <f t="shared" si="97"/>
        <v>0</v>
      </c>
      <c r="U433" s="226">
        <f>TRUNC(T433*Condições!$C$102,2)</f>
        <v>0</v>
      </c>
      <c r="V433" s="82">
        <f t="shared" ca="1" si="92"/>
        <v>6</v>
      </c>
      <c r="W433" s="231" t="str">
        <f t="shared" si="98"/>
        <v/>
      </c>
      <c r="AI433" s="114">
        <f t="shared" si="99"/>
        <v>0</v>
      </c>
      <c r="AL433" s="477">
        <f t="shared" ca="1" si="100"/>
        <v>0</v>
      </c>
    </row>
    <row r="434" spans="2:38">
      <c r="B434" s="222">
        <f ca="1">Fixa!B434</f>
        <v>58638</v>
      </c>
      <c r="C434" s="223" t="str">
        <f>Fixa!C434</f>
        <v/>
      </c>
      <c r="D434" s="43" t="e">
        <f t="shared" si="87"/>
        <v>#VALUE!</v>
      </c>
      <c r="E434" s="43" t="e">
        <f t="shared" si="87"/>
        <v>#VALUE!</v>
      </c>
      <c r="F434" s="43" t="e">
        <f t="shared" si="87"/>
        <v>#VALUE!</v>
      </c>
      <c r="G434" s="43" t="e">
        <f t="shared" si="88"/>
        <v>#VALUE!</v>
      </c>
      <c r="H434" s="43" t="e">
        <f t="shared" ca="1" si="89"/>
        <v>#VALUE!</v>
      </c>
      <c r="I434" s="43">
        <f t="shared" si="90"/>
        <v>0</v>
      </c>
      <c r="J434" s="229">
        <f t="shared" si="93"/>
        <v>25</v>
      </c>
      <c r="K434" s="43">
        <f t="shared" si="94"/>
        <v>0</v>
      </c>
      <c r="M434" s="224"/>
      <c r="N434" s="225">
        <f t="shared" si="95"/>
        <v>0</v>
      </c>
      <c r="O434" s="43" t="e">
        <f t="shared" si="96"/>
        <v>#VALUE!</v>
      </c>
      <c r="P434" s="43" t="e">
        <f>ROUND(IF(Preenchimento!$G$39="Tabela Price",R434-Q434,(O433*(1+$AD$35))/($AD$28-C433)),$P$22)</f>
        <v>#VALUE!</v>
      </c>
      <c r="Q434" s="43" t="e">
        <f>IF(Preenchimento!$G$39="Tabela Price",O433*(1+$AD$35)*W434,O433*(1+'SAC Padrão_Sem Bonif'!$AD$35)*'SAC Padrão_Sem Bonif'!W434)</f>
        <v>#VALUE!</v>
      </c>
      <c r="R434" s="43" t="e">
        <f>IF(Preenchimento!$G$39="Tabela Price",IF(C434="","",((((((1+W434)^($Q$16-C433))*W434)/((1+W434)^($Q$16-C433)-1))*(O433*(1+$AD$35))))),Q434+P434)</f>
        <v>#VALUE!</v>
      </c>
      <c r="S434" s="43" t="e">
        <f t="shared" ca="1" si="91"/>
        <v>#VALUE!</v>
      </c>
      <c r="T434" s="43">
        <f t="shared" si="97"/>
        <v>0</v>
      </c>
      <c r="U434" s="226">
        <f>TRUNC(T434*Condições!$C$102,2)</f>
        <v>0</v>
      </c>
      <c r="V434" s="82">
        <f t="shared" ca="1" si="92"/>
        <v>7</v>
      </c>
      <c r="W434" s="231" t="str">
        <f t="shared" si="98"/>
        <v/>
      </c>
      <c r="AI434" s="114">
        <f t="shared" si="99"/>
        <v>0</v>
      </c>
      <c r="AL434" s="477">
        <f t="shared" ca="1" si="100"/>
        <v>0</v>
      </c>
    </row>
    <row r="435" spans="2:38">
      <c r="B435" s="222">
        <f ca="1">Fixa!B435</f>
        <v>58669</v>
      </c>
      <c r="C435" s="223" t="str">
        <f>Fixa!C435</f>
        <v/>
      </c>
      <c r="D435" s="43" t="e">
        <f t="shared" si="87"/>
        <v>#VALUE!</v>
      </c>
      <c r="E435" s="43" t="e">
        <f t="shared" si="87"/>
        <v>#VALUE!</v>
      </c>
      <c r="F435" s="43" t="e">
        <f t="shared" si="87"/>
        <v>#VALUE!</v>
      </c>
      <c r="G435" s="43" t="e">
        <f t="shared" si="88"/>
        <v>#VALUE!</v>
      </c>
      <c r="H435" s="43" t="e">
        <f t="shared" ca="1" si="89"/>
        <v>#VALUE!</v>
      </c>
      <c r="I435" s="43">
        <f t="shared" si="90"/>
        <v>0</v>
      </c>
      <c r="J435" s="229">
        <f t="shared" si="93"/>
        <v>25</v>
      </c>
      <c r="K435" s="43">
        <f t="shared" si="94"/>
        <v>0</v>
      </c>
      <c r="M435" s="224"/>
      <c r="N435" s="225">
        <f t="shared" si="95"/>
        <v>0</v>
      </c>
      <c r="O435" s="43" t="e">
        <f t="shared" si="96"/>
        <v>#VALUE!</v>
      </c>
      <c r="P435" s="43" t="e">
        <f>ROUND(IF(Preenchimento!$G$39="Tabela Price",R435-Q435,(O434*(1+$AD$35))/($AD$28-C434)),$P$22)</f>
        <v>#VALUE!</v>
      </c>
      <c r="Q435" s="43" t="e">
        <f>IF(Preenchimento!$G$39="Tabela Price",O434*(1+$AD$35)*W435,O434*(1+'SAC Padrão_Sem Bonif'!$AD$35)*'SAC Padrão_Sem Bonif'!W435)</f>
        <v>#VALUE!</v>
      </c>
      <c r="R435" s="43" t="e">
        <f>IF(Preenchimento!$G$39="Tabela Price",IF(C435="","",((((((1+W435)^($Q$16-C434))*W435)/((1+W435)^($Q$16-C434)-1))*(O434*(1+$AD$35))))),Q435+P435)</f>
        <v>#VALUE!</v>
      </c>
      <c r="S435" s="43" t="e">
        <f t="shared" ca="1" si="91"/>
        <v>#VALUE!</v>
      </c>
      <c r="T435" s="43">
        <f t="shared" si="97"/>
        <v>0</v>
      </c>
      <c r="U435" s="226">
        <f>TRUNC(T435*Condições!$C$102,2)</f>
        <v>0</v>
      </c>
      <c r="V435" s="82">
        <f t="shared" ca="1" si="92"/>
        <v>8</v>
      </c>
      <c r="W435" s="231" t="str">
        <f t="shared" si="98"/>
        <v/>
      </c>
      <c r="AI435" s="114">
        <f t="shared" si="99"/>
        <v>0</v>
      </c>
      <c r="AL435" s="477">
        <f t="shared" ca="1" si="100"/>
        <v>0</v>
      </c>
    </row>
    <row r="436" spans="2:38">
      <c r="B436" s="222">
        <f ca="1">Fixa!B436</f>
        <v>58700</v>
      </c>
      <c r="C436" s="223" t="str">
        <f>Fixa!C436</f>
        <v/>
      </c>
      <c r="D436" s="43" t="e">
        <f t="shared" si="87"/>
        <v>#VALUE!</v>
      </c>
      <c r="E436" s="43" t="e">
        <f t="shared" si="87"/>
        <v>#VALUE!</v>
      </c>
      <c r="F436" s="43" t="e">
        <f t="shared" si="87"/>
        <v>#VALUE!</v>
      </c>
      <c r="G436" s="43" t="e">
        <f t="shared" si="88"/>
        <v>#VALUE!</v>
      </c>
      <c r="H436" s="43" t="e">
        <f t="shared" ca="1" si="89"/>
        <v>#VALUE!</v>
      </c>
      <c r="I436" s="43">
        <f t="shared" si="90"/>
        <v>0</v>
      </c>
      <c r="J436" s="229">
        <f t="shared" si="93"/>
        <v>25</v>
      </c>
      <c r="K436" s="43">
        <f t="shared" si="94"/>
        <v>0</v>
      </c>
      <c r="M436" s="224"/>
      <c r="N436" s="225">
        <f t="shared" si="95"/>
        <v>0</v>
      </c>
      <c r="O436" s="43" t="e">
        <f t="shared" si="96"/>
        <v>#VALUE!</v>
      </c>
      <c r="P436" s="43" t="e">
        <f>ROUND(IF(Preenchimento!$G$39="Tabela Price",R436-Q436,(O435*(1+$AD$35))/($AD$28-C435)),$P$22)</f>
        <v>#VALUE!</v>
      </c>
      <c r="Q436" s="43" t="e">
        <f>IF(Preenchimento!$G$39="Tabela Price",O435*(1+$AD$35)*W436,O435*(1+'SAC Padrão_Sem Bonif'!$AD$35)*'SAC Padrão_Sem Bonif'!W436)</f>
        <v>#VALUE!</v>
      </c>
      <c r="R436" s="43" t="e">
        <f>IF(Preenchimento!$G$39="Tabela Price",IF(C436="","",((((((1+W436)^($Q$16-C435))*W436)/((1+W436)^($Q$16-C435)-1))*(O435*(1+$AD$35))))),Q436+P436)</f>
        <v>#VALUE!</v>
      </c>
      <c r="S436" s="43" t="e">
        <f t="shared" ca="1" si="91"/>
        <v>#VALUE!</v>
      </c>
      <c r="T436" s="43">
        <f t="shared" si="97"/>
        <v>0</v>
      </c>
      <c r="U436" s="226">
        <f>TRUNC(T436*Condições!$C$102,2)</f>
        <v>0</v>
      </c>
      <c r="V436" s="82">
        <f t="shared" ca="1" si="92"/>
        <v>9</v>
      </c>
      <c r="W436" s="231" t="str">
        <f t="shared" si="98"/>
        <v/>
      </c>
      <c r="AI436" s="114">
        <f t="shared" si="99"/>
        <v>0</v>
      </c>
      <c r="AL436" s="477">
        <f t="shared" ca="1" si="100"/>
        <v>0</v>
      </c>
    </row>
    <row r="437" spans="2:38">
      <c r="B437" s="222">
        <f ca="1">Fixa!B437</f>
        <v>58730</v>
      </c>
      <c r="C437" s="223" t="str">
        <f>Fixa!C437</f>
        <v/>
      </c>
      <c r="D437" s="43" t="e">
        <f t="shared" si="87"/>
        <v>#VALUE!</v>
      </c>
      <c r="E437" s="43" t="e">
        <f t="shared" si="87"/>
        <v>#VALUE!</v>
      </c>
      <c r="F437" s="43" t="e">
        <f t="shared" si="87"/>
        <v>#VALUE!</v>
      </c>
      <c r="G437" s="43" t="e">
        <f t="shared" si="88"/>
        <v>#VALUE!</v>
      </c>
      <c r="H437" s="43" t="e">
        <f t="shared" ca="1" si="89"/>
        <v>#VALUE!</v>
      </c>
      <c r="I437" s="43">
        <f t="shared" si="90"/>
        <v>0</v>
      </c>
      <c r="J437" s="229">
        <f t="shared" si="93"/>
        <v>25</v>
      </c>
      <c r="K437" s="43">
        <f t="shared" si="94"/>
        <v>0</v>
      </c>
      <c r="M437" s="224"/>
      <c r="N437" s="225">
        <f t="shared" si="95"/>
        <v>0</v>
      </c>
      <c r="O437" s="43" t="e">
        <f t="shared" si="96"/>
        <v>#VALUE!</v>
      </c>
      <c r="P437" s="43" t="e">
        <f>ROUND(IF(Preenchimento!$G$39="Tabela Price",R437-Q437,(O436*(1+$AD$35))/($AD$28-C436)),$P$22)</f>
        <v>#VALUE!</v>
      </c>
      <c r="Q437" s="43" t="e">
        <f>IF(Preenchimento!$G$39="Tabela Price",O436*(1+$AD$35)*W437,O436*(1+'SAC Padrão_Sem Bonif'!$AD$35)*'SAC Padrão_Sem Bonif'!W437)</f>
        <v>#VALUE!</v>
      </c>
      <c r="R437" s="43" t="e">
        <f>IF(Preenchimento!$G$39="Tabela Price",IF(C437="","",((((((1+W437)^($Q$16-C436))*W437)/((1+W437)^($Q$16-C436)-1))*(O436*(1+$AD$35))))),Q437+P437)</f>
        <v>#VALUE!</v>
      </c>
      <c r="S437" s="43" t="e">
        <f t="shared" ca="1" si="91"/>
        <v>#VALUE!</v>
      </c>
      <c r="T437" s="43">
        <f t="shared" si="97"/>
        <v>0</v>
      </c>
      <c r="U437" s="226">
        <f>TRUNC(T437*Condições!$C$102,2)</f>
        <v>0</v>
      </c>
      <c r="V437" s="82">
        <f t="shared" ca="1" si="92"/>
        <v>10</v>
      </c>
      <c r="W437" s="231" t="str">
        <f t="shared" si="98"/>
        <v/>
      </c>
      <c r="AI437" s="114">
        <f t="shared" si="99"/>
        <v>0</v>
      </c>
      <c r="AL437" s="477">
        <f t="shared" ca="1" si="100"/>
        <v>0</v>
      </c>
    </row>
    <row r="438" spans="2:38">
      <c r="B438" s="222">
        <f ca="1">Fixa!B438</f>
        <v>58761</v>
      </c>
      <c r="C438" s="223" t="str">
        <f>Fixa!C438</f>
        <v/>
      </c>
      <c r="D438" s="43" t="e">
        <f t="shared" si="87"/>
        <v>#VALUE!</v>
      </c>
      <c r="E438" s="43" t="e">
        <f t="shared" si="87"/>
        <v>#VALUE!</v>
      </c>
      <c r="F438" s="43" t="e">
        <f t="shared" si="87"/>
        <v>#VALUE!</v>
      </c>
      <c r="G438" s="43" t="e">
        <f t="shared" si="88"/>
        <v>#VALUE!</v>
      </c>
      <c r="H438" s="43" t="e">
        <f t="shared" ca="1" si="89"/>
        <v>#VALUE!</v>
      </c>
      <c r="I438" s="43">
        <f t="shared" si="90"/>
        <v>0</v>
      </c>
      <c r="J438" s="229">
        <f t="shared" si="93"/>
        <v>25</v>
      </c>
      <c r="K438" s="43">
        <f t="shared" si="94"/>
        <v>0</v>
      </c>
      <c r="M438" s="224"/>
      <c r="N438" s="225">
        <f t="shared" si="95"/>
        <v>0</v>
      </c>
      <c r="O438" s="43" t="e">
        <f t="shared" si="96"/>
        <v>#VALUE!</v>
      </c>
      <c r="P438" s="43" t="e">
        <f>ROUND(IF(Preenchimento!$G$39="Tabela Price",R438-Q438,(O437*(1+$AD$35))/($AD$28-C437)),$P$22)</f>
        <v>#VALUE!</v>
      </c>
      <c r="Q438" s="43" t="e">
        <f>IF(Preenchimento!$G$39="Tabela Price",O437*(1+$AD$35)*W438,O437*(1+'SAC Padrão_Sem Bonif'!$AD$35)*'SAC Padrão_Sem Bonif'!W438)</f>
        <v>#VALUE!</v>
      </c>
      <c r="R438" s="43" t="e">
        <f>IF(Preenchimento!$G$39="Tabela Price",IF(C438="","",((((((1+W438)^($Q$16-C437))*W438)/((1+W438)^($Q$16-C437)-1))*(O437*(1+$AD$35))))),Q438+P438)</f>
        <v>#VALUE!</v>
      </c>
      <c r="S438" s="43" t="e">
        <f t="shared" ca="1" si="91"/>
        <v>#VALUE!</v>
      </c>
      <c r="T438" s="43">
        <f t="shared" si="97"/>
        <v>0</v>
      </c>
      <c r="U438" s="226">
        <f>TRUNC(T438*Condições!$C$102,2)</f>
        <v>0</v>
      </c>
      <c r="V438" s="82">
        <f t="shared" ca="1" si="92"/>
        <v>11</v>
      </c>
      <c r="W438" s="231" t="str">
        <f t="shared" si="98"/>
        <v/>
      </c>
      <c r="AI438" s="114">
        <f t="shared" si="99"/>
        <v>0</v>
      </c>
      <c r="AL438" s="477">
        <f t="shared" ca="1" si="100"/>
        <v>0</v>
      </c>
    </row>
    <row r="439" spans="2:38">
      <c r="B439" s="222">
        <f ca="1">Fixa!B439</f>
        <v>58791</v>
      </c>
      <c r="C439" s="223" t="str">
        <f>Fixa!C439</f>
        <v/>
      </c>
      <c r="D439" s="43" t="e">
        <f t="shared" si="87"/>
        <v>#VALUE!</v>
      </c>
      <c r="E439" s="43" t="e">
        <f t="shared" si="87"/>
        <v>#VALUE!</v>
      </c>
      <c r="F439" s="43" t="e">
        <f t="shared" si="87"/>
        <v>#VALUE!</v>
      </c>
      <c r="G439" s="43" t="e">
        <f t="shared" si="88"/>
        <v>#VALUE!</v>
      </c>
      <c r="H439" s="43" t="e">
        <f t="shared" ca="1" si="89"/>
        <v>#VALUE!</v>
      </c>
      <c r="I439" s="43">
        <f t="shared" si="90"/>
        <v>0</v>
      </c>
      <c r="J439" s="229">
        <f t="shared" si="93"/>
        <v>25</v>
      </c>
      <c r="K439" s="43">
        <f t="shared" si="94"/>
        <v>0</v>
      </c>
      <c r="M439" s="224"/>
      <c r="N439" s="225">
        <f t="shared" si="95"/>
        <v>0</v>
      </c>
      <c r="O439" s="43" t="e">
        <f t="shared" si="96"/>
        <v>#VALUE!</v>
      </c>
      <c r="P439" s="43" t="e">
        <f>ROUND(IF(Preenchimento!$G$39="Tabela Price",R439-Q439,(O438*(1+$AD$35))/($AD$28-C438)),$P$22)</f>
        <v>#VALUE!</v>
      </c>
      <c r="Q439" s="43" t="e">
        <f>IF(Preenchimento!$G$39="Tabela Price",O438*(1+$AD$35)*W439,O438*(1+'SAC Padrão_Sem Bonif'!$AD$35)*'SAC Padrão_Sem Bonif'!W439)</f>
        <v>#VALUE!</v>
      </c>
      <c r="R439" s="43" t="e">
        <f>IF(Preenchimento!$G$39="Tabela Price",IF(C439="","",((((((1+W439)^($Q$16-C438))*W439)/((1+W439)^($Q$16-C438)-1))*(O438*(1+$AD$35))))),Q439+P439)</f>
        <v>#VALUE!</v>
      </c>
      <c r="S439" s="43" t="e">
        <f t="shared" ca="1" si="91"/>
        <v>#VALUE!</v>
      </c>
      <c r="T439" s="43">
        <f t="shared" si="97"/>
        <v>0</v>
      </c>
      <c r="U439" s="226">
        <f>TRUNC(T439*Condições!$C$102,2)</f>
        <v>0</v>
      </c>
      <c r="V439" s="82">
        <f t="shared" ca="1" si="92"/>
        <v>12</v>
      </c>
      <c r="W439" s="231" t="str">
        <f t="shared" si="98"/>
        <v/>
      </c>
      <c r="AI439" s="114">
        <f t="shared" si="99"/>
        <v>0</v>
      </c>
      <c r="AL439" s="477">
        <f t="shared" ca="1" si="100"/>
        <v>0</v>
      </c>
    </row>
    <row r="440" spans="2:38">
      <c r="B440" s="222">
        <f ca="1">Fixa!B440</f>
        <v>58822</v>
      </c>
      <c r="C440" s="223" t="str">
        <f>Fixa!C440</f>
        <v/>
      </c>
      <c r="D440" s="43" t="e">
        <f t="shared" si="87"/>
        <v>#VALUE!</v>
      </c>
      <c r="E440" s="43" t="e">
        <f t="shared" si="87"/>
        <v>#VALUE!</v>
      </c>
      <c r="F440" s="43" t="e">
        <f t="shared" si="87"/>
        <v>#VALUE!</v>
      </c>
      <c r="G440" s="43" t="e">
        <f t="shared" si="88"/>
        <v>#VALUE!</v>
      </c>
      <c r="H440" s="43" t="e">
        <f t="shared" ca="1" si="89"/>
        <v>#VALUE!</v>
      </c>
      <c r="I440" s="43">
        <f t="shared" si="90"/>
        <v>0</v>
      </c>
      <c r="J440" s="229">
        <f t="shared" si="93"/>
        <v>25</v>
      </c>
      <c r="K440" s="43">
        <f t="shared" si="94"/>
        <v>0</v>
      </c>
      <c r="M440" s="224"/>
      <c r="N440" s="225">
        <f t="shared" si="95"/>
        <v>0</v>
      </c>
      <c r="O440" s="43" t="e">
        <f t="shared" si="96"/>
        <v>#VALUE!</v>
      </c>
      <c r="P440" s="43" t="e">
        <f>ROUND(IF(Preenchimento!$G$39="Tabela Price",R440-Q440,(O439*(1+$AD$35))/($AD$28-C439)),$P$22)</f>
        <v>#VALUE!</v>
      </c>
      <c r="Q440" s="43" t="e">
        <f>IF(Preenchimento!$G$39="Tabela Price",O439*(1+$AD$35)*W440,O439*(1+'SAC Padrão_Sem Bonif'!$AD$35)*'SAC Padrão_Sem Bonif'!W440)</f>
        <v>#VALUE!</v>
      </c>
      <c r="R440" s="43" t="e">
        <f>IF(Preenchimento!$G$39="Tabela Price",IF(C440="","",((((((1+W440)^($Q$16-C439))*W440)/((1+W440)^($Q$16-C439)-1))*(O439*(1+$AD$35))))),Q440+P440)</f>
        <v>#VALUE!</v>
      </c>
      <c r="S440" s="43" t="e">
        <f t="shared" ca="1" si="91"/>
        <v>#VALUE!</v>
      </c>
      <c r="T440" s="43">
        <f t="shared" si="97"/>
        <v>0</v>
      </c>
      <c r="U440" s="226">
        <f>TRUNC(T440*Condições!$C$102,2)</f>
        <v>0</v>
      </c>
      <c r="V440" s="82">
        <f t="shared" ca="1" si="92"/>
        <v>1</v>
      </c>
      <c r="W440" s="231" t="str">
        <f t="shared" si="98"/>
        <v/>
      </c>
      <c r="AI440" s="114">
        <f t="shared" si="99"/>
        <v>0</v>
      </c>
      <c r="AL440" s="477">
        <f t="shared" ca="1" si="100"/>
        <v>0</v>
      </c>
    </row>
    <row r="441" spans="2:38">
      <c r="B441" s="222">
        <f ca="1">Fixa!B441</f>
        <v>58853</v>
      </c>
      <c r="C441" s="223" t="str">
        <f>Fixa!C441</f>
        <v/>
      </c>
      <c r="D441" s="43" t="e">
        <f t="shared" si="87"/>
        <v>#VALUE!</v>
      </c>
      <c r="E441" s="43" t="e">
        <f t="shared" si="87"/>
        <v>#VALUE!</v>
      </c>
      <c r="F441" s="43" t="e">
        <f t="shared" si="87"/>
        <v>#VALUE!</v>
      </c>
      <c r="G441" s="43" t="e">
        <f t="shared" si="88"/>
        <v>#VALUE!</v>
      </c>
      <c r="H441" s="43" t="e">
        <f t="shared" ca="1" si="89"/>
        <v>#VALUE!</v>
      </c>
      <c r="I441" s="43">
        <f t="shared" si="90"/>
        <v>0</v>
      </c>
      <c r="J441" s="229">
        <f t="shared" si="93"/>
        <v>25</v>
      </c>
      <c r="K441" s="43">
        <f t="shared" si="94"/>
        <v>0</v>
      </c>
      <c r="M441" s="224"/>
      <c r="N441" s="225">
        <f t="shared" si="95"/>
        <v>0</v>
      </c>
      <c r="O441" s="43" t="e">
        <f t="shared" si="96"/>
        <v>#VALUE!</v>
      </c>
      <c r="P441" s="43" t="e">
        <f>ROUND(IF(Preenchimento!$G$39="Tabela Price",R441-Q441,(O440*(1+$AD$35))/($AD$28-C440)),$P$22)</f>
        <v>#VALUE!</v>
      </c>
      <c r="Q441" s="43" t="e">
        <f>IF(Preenchimento!$G$39="Tabela Price",O440*(1+$AD$35)*W441,O440*(1+'SAC Padrão_Sem Bonif'!$AD$35)*'SAC Padrão_Sem Bonif'!W441)</f>
        <v>#VALUE!</v>
      </c>
      <c r="R441" s="43" t="e">
        <f>IF(Preenchimento!$G$39="Tabela Price",IF(C441="","",((((((1+W441)^($Q$16-C440))*W441)/((1+W441)^($Q$16-C440)-1))*(O440*(1+$AD$35))))),Q441+P441)</f>
        <v>#VALUE!</v>
      </c>
      <c r="S441" s="43" t="e">
        <f t="shared" ca="1" si="91"/>
        <v>#VALUE!</v>
      </c>
      <c r="T441" s="43">
        <f t="shared" si="97"/>
        <v>0</v>
      </c>
      <c r="U441" s="226">
        <f>TRUNC(T441*Condições!$C$102,2)</f>
        <v>0</v>
      </c>
      <c r="V441" s="82">
        <f t="shared" ca="1" si="92"/>
        <v>2</v>
      </c>
      <c r="W441" s="231" t="str">
        <f t="shared" si="98"/>
        <v/>
      </c>
      <c r="AI441" s="114">
        <f t="shared" si="99"/>
        <v>0</v>
      </c>
      <c r="AL441" s="477">
        <f t="shared" ca="1" si="100"/>
        <v>0</v>
      </c>
    </row>
    <row r="442" spans="2:38">
      <c r="B442" s="222">
        <f ca="1">Fixa!B442</f>
        <v>58881</v>
      </c>
      <c r="C442" s="223" t="str">
        <f>Fixa!C442</f>
        <v/>
      </c>
      <c r="D442" s="43" t="e">
        <f t="shared" si="87"/>
        <v>#VALUE!</v>
      </c>
      <c r="E442" s="43" t="e">
        <f t="shared" si="87"/>
        <v>#VALUE!</v>
      </c>
      <c r="F442" s="43" t="e">
        <f t="shared" si="87"/>
        <v>#VALUE!</v>
      </c>
      <c r="G442" s="43" t="e">
        <f t="shared" si="88"/>
        <v>#VALUE!</v>
      </c>
      <c r="H442" s="43" t="e">
        <f t="shared" ca="1" si="89"/>
        <v>#VALUE!</v>
      </c>
      <c r="I442" s="43">
        <f t="shared" si="90"/>
        <v>0</v>
      </c>
      <c r="J442" s="229">
        <f t="shared" si="93"/>
        <v>25</v>
      </c>
      <c r="K442" s="43">
        <f t="shared" si="94"/>
        <v>0</v>
      </c>
      <c r="M442" s="224"/>
      <c r="N442" s="225">
        <f t="shared" si="95"/>
        <v>0</v>
      </c>
      <c r="O442" s="43" t="e">
        <f t="shared" si="96"/>
        <v>#VALUE!</v>
      </c>
      <c r="P442" s="43" t="e">
        <f>ROUND(IF(Preenchimento!$G$39="Tabela Price",R442-Q442,(O441*(1+$AD$35))/($AD$28-C441)),$P$22)</f>
        <v>#VALUE!</v>
      </c>
      <c r="Q442" s="43" t="e">
        <f>IF(Preenchimento!$G$39="Tabela Price",O441*(1+$AD$35)*W442,O441*(1+'SAC Padrão_Sem Bonif'!$AD$35)*'SAC Padrão_Sem Bonif'!W442)</f>
        <v>#VALUE!</v>
      </c>
      <c r="R442" s="43" t="e">
        <f>IF(Preenchimento!$G$39="Tabela Price",IF(C442="","",((((((1+W442)^($Q$16-C441))*W442)/((1+W442)^($Q$16-C441)-1))*(O441*(1+$AD$35))))),Q442+P442)</f>
        <v>#VALUE!</v>
      </c>
      <c r="S442" s="43" t="e">
        <f t="shared" ca="1" si="91"/>
        <v>#VALUE!</v>
      </c>
      <c r="T442" s="43">
        <f t="shared" si="97"/>
        <v>0</v>
      </c>
      <c r="U442" s="226">
        <f>TRUNC(T442*Condições!$C$102,2)</f>
        <v>0</v>
      </c>
      <c r="V442" s="82">
        <f t="shared" ca="1" si="92"/>
        <v>3</v>
      </c>
      <c r="W442" s="231" t="str">
        <f t="shared" si="98"/>
        <v/>
      </c>
      <c r="AI442" s="114">
        <f t="shared" si="99"/>
        <v>0</v>
      </c>
      <c r="AL442" s="477">
        <f t="shared" ca="1" si="100"/>
        <v>0</v>
      </c>
    </row>
    <row r="443" spans="2:38">
      <c r="B443" s="222">
        <f ca="1">Fixa!B443</f>
        <v>58912</v>
      </c>
      <c r="C443" s="223" t="str">
        <f>Fixa!C443</f>
        <v/>
      </c>
      <c r="D443" s="43" t="e">
        <f t="shared" si="87"/>
        <v>#VALUE!</v>
      </c>
      <c r="E443" s="43" t="e">
        <f t="shared" si="87"/>
        <v>#VALUE!</v>
      </c>
      <c r="F443" s="43" t="e">
        <f t="shared" si="87"/>
        <v>#VALUE!</v>
      </c>
      <c r="G443" s="43" t="e">
        <f t="shared" si="88"/>
        <v>#VALUE!</v>
      </c>
      <c r="H443" s="43" t="e">
        <f t="shared" ca="1" si="89"/>
        <v>#VALUE!</v>
      </c>
      <c r="I443" s="43">
        <f t="shared" si="90"/>
        <v>0</v>
      </c>
      <c r="J443" s="229">
        <f t="shared" si="93"/>
        <v>25</v>
      </c>
      <c r="K443" s="43">
        <f t="shared" si="94"/>
        <v>0</v>
      </c>
      <c r="M443" s="224"/>
      <c r="N443" s="225">
        <f t="shared" si="95"/>
        <v>0</v>
      </c>
      <c r="O443" s="43" t="e">
        <f t="shared" si="96"/>
        <v>#VALUE!</v>
      </c>
      <c r="P443" s="43" t="e">
        <f>ROUND(IF(Preenchimento!$G$39="Tabela Price",R443-Q443,(O442*(1+$AD$35))/($AD$28-C442)),$P$22)</f>
        <v>#VALUE!</v>
      </c>
      <c r="Q443" s="43" t="e">
        <f>IF(Preenchimento!$G$39="Tabela Price",O442*(1+$AD$35)*W443,O442*(1+'SAC Padrão_Sem Bonif'!$AD$35)*'SAC Padrão_Sem Bonif'!W443)</f>
        <v>#VALUE!</v>
      </c>
      <c r="R443" s="43" t="e">
        <f>IF(Preenchimento!$G$39="Tabela Price",IF(C443="","",((((((1+W443)^($Q$16-C442))*W443)/((1+W443)^($Q$16-C442)-1))*(O442*(1+$AD$35))))),Q443+P443)</f>
        <v>#VALUE!</v>
      </c>
      <c r="S443" s="43" t="e">
        <f t="shared" ca="1" si="91"/>
        <v>#VALUE!</v>
      </c>
      <c r="T443" s="43">
        <f t="shared" si="97"/>
        <v>0</v>
      </c>
      <c r="U443" s="226">
        <f>TRUNC(T443*Condições!$C$102,2)</f>
        <v>0</v>
      </c>
      <c r="V443" s="82">
        <f t="shared" ca="1" si="92"/>
        <v>4</v>
      </c>
      <c r="W443" s="231" t="str">
        <f t="shared" si="98"/>
        <v/>
      </c>
      <c r="AI443" s="114">
        <f t="shared" si="99"/>
        <v>0</v>
      </c>
      <c r="AL443" s="477">
        <f t="shared" ca="1" si="100"/>
        <v>0</v>
      </c>
    </row>
    <row r="444" spans="2:38">
      <c r="B444" s="222">
        <f ca="1">Fixa!B444</f>
        <v>58942</v>
      </c>
      <c r="C444" s="223" t="str">
        <f>Fixa!C444</f>
        <v/>
      </c>
      <c r="D444" s="43" t="e">
        <f t="shared" si="87"/>
        <v>#VALUE!</v>
      </c>
      <c r="E444" s="43" t="e">
        <f t="shared" si="87"/>
        <v>#VALUE!</v>
      </c>
      <c r="F444" s="43" t="e">
        <f t="shared" si="87"/>
        <v>#VALUE!</v>
      </c>
      <c r="G444" s="43" t="e">
        <f t="shared" si="88"/>
        <v>#VALUE!</v>
      </c>
      <c r="H444" s="43" t="e">
        <f t="shared" ca="1" si="89"/>
        <v>#VALUE!</v>
      </c>
      <c r="I444" s="43">
        <f t="shared" si="90"/>
        <v>0</v>
      </c>
      <c r="J444" s="229">
        <f t="shared" si="93"/>
        <v>25</v>
      </c>
      <c r="K444" s="43">
        <f t="shared" si="94"/>
        <v>0</v>
      </c>
      <c r="M444" s="224"/>
      <c r="N444" s="225">
        <f t="shared" si="95"/>
        <v>0</v>
      </c>
      <c r="O444" s="43" t="e">
        <f t="shared" si="96"/>
        <v>#VALUE!</v>
      </c>
      <c r="P444" s="43" t="e">
        <f>ROUND(IF(Preenchimento!$G$39="Tabela Price",R444-Q444,(O443*(1+$AD$35))/($AD$28-C443)),$P$22)</f>
        <v>#VALUE!</v>
      </c>
      <c r="Q444" s="43" t="e">
        <f>IF(Preenchimento!$G$39="Tabela Price",O443*(1+$AD$35)*W444,O443*(1+'SAC Padrão_Sem Bonif'!$AD$35)*'SAC Padrão_Sem Bonif'!W444)</f>
        <v>#VALUE!</v>
      </c>
      <c r="R444" s="43" t="e">
        <f>IF(Preenchimento!$G$39="Tabela Price",IF(C444="","",((((((1+W444)^($Q$16-C443))*W444)/((1+W444)^($Q$16-C443)-1))*(O443*(1+$AD$35))))),Q444+P444)</f>
        <v>#VALUE!</v>
      </c>
      <c r="S444" s="43" t="e">
        <f t="shared" ca="1" si="91"/>
        <v>#VALUE!</v>
      </c>
      <c r="T444" s="43">
        <f t="shared" si="97"/>
        <v>0</v>
      </c>
      <c r="U444" s="226">
        <f>TRUNC(T444*Condições!$C$102,2)</f>
        <v>0</v>
      </c>
      <c r="V444" s="82">
        <f t="shared" ca="1" si="92"/>
        <v>5</v>
      </c>
      <c r="W444" s="231" t="str">
        <f t="shared" si="98"/>
        <v/>
      </c>
      <c r="AI444" s="114">
        <f t="shared" si="99"/>
        <v>0</v>
      </c>
      <c r="AL444" s="477">
        <f t="shared" ca="1" si="100"/>
        <v>0</v>
      </c>
    </row>
    <row r="445" spans="2:38">
      <c r="B445" s="222">
        <f ca="1">Fixa!B445</f>
        <v>58973</v>
      </c>
      <c r="C445" s="223" t="str">
        <f>Fixa!C445</f>
        <v/>
      </c>
      <c r="D445" s="43" t="e">
        <f t="shared" si="87"/>
        <v>#VALUE!</v>
      </c>
      <c r="E445" s="43" t="e">
        <f t="shared" si="87"/>
        <v>#VALUE!</v>
      </c>
      <c r="F445" s="43" t="e">
        <f t="shared" si="87"/>
        <v>#VALUE!</v>
      </c>
      <c r="G445" s="43" t="e">
        <f t="shared" si="88"/>
        <v>#VALUE!</v>
      </c>
      <c r="H445" s="43" t="e">
        <f t="shared" ca="1" si="89"/>
        <v>#VALUE!</v>
      </c>
      <c r="I445" s="43">
        <f t="shared" si="90"/>
        <v>0</v>
      </c>
      <c r="J445" s="229">
        <f t="shared" si="93"/>
        <v>25</v>
      </c>
      <c r="K445" s="43">
        <f t="shared" si="94"/>
        <v>0</v>
      </c>
      <c r="M445" s="224"/>
      <c r="N445" s="225">
        <f t="shared" si="95"/>
        <v>0</v>
      </c>
      <c r="O445" s="43" t="e">
        <f t="shared" si="96"/>
        <v>#VALUE!</v>
      </c>
      <c r="P445" s="43" t="e">
        <f>ROUND(IF(Preenchimento!$G$39="Tabela Price",R445-Q445,(O444*(1+$AD$35))/($AD$28-C444)),$P$22)</f>
        <v>#VALUE!</v>
      </c>
      <c r="Q445" s="43" t="e">
        <f>IF(Preenchimento!$G$39="Tabela Price",O444*(1+$AD$35)*W445,O444*(1+'SAC Padrão_Sem Bonif'!$AD$35)*'SAC Padrão_Sem Bonif'!W445)</f>
        <v>#VALUE!</v>
      </c>
      <c r="R445" s="43" t="e">
        <f>IF(Preenchimento!$G$39="Tabela Price",IF(C445="","",((((((1+W445)^($Q$16-C444))*W445)/((1+W445)^($Q$16-C444)-1))*(O444*(1+$AD$35))))),Q445+P445)</f>
        <v>#VALUE!</v>
      </c>
      <c r="S445" s="43" t="e">
        <f t="shared" ca="1" si="91"/>
        <v>#VALUE!</v>
      </c>
      <c r="T445" s="43">
        <f t="shared" si="97"/>
        <v>0</v>
      </c>
      <c r="U445" s="226">
        <f>TRUNC(T445*Condições!$C$102,2)</f>
        <v>0</v>
      </c>
      <c r="V445" s="82">
        <f t="shared" ca="1" si="92"/>
        <v>6</v>
      </c>
      <c r="W445" s="231" t="str">
        <f t="shared" si="98"/>
        <v/>
      </c>
      <c r="AI445" s="114">
        <f t="shared" si="99"/>
        <v>0</v>
      </c>
      <c r="AL445" s="477">
        <f t="shared" ca="1" si="100"/>
        <v>0</v>
      </c>
    </row>
    <row r="446" spans="2:38">
      <c r="B446" s="222">
        <f ca="1">Fixa!B446</f>
        <v>59003</v>
      </c>
      <c r="C446" s="223" t="str">
        <f>Fixa!C446</f>
        <v/>
      </c>
      <c r="D446" s="43" t="e">
        <f t="shared" ref="D446:D505" si="101">ROUND(O446,2)</f>
        <v>#VALUE!</v>
      </c>
      <c r="E446" s="43" t="e">
        <f t="shared" ref="E446:E505" si="102">ROUND(P446,2)</f>
        <v>#VALUE!</v>
      </c>
      <c r="F446" s="43" t="e">
        <f t="shared" ref="F446:F505" si="103">ROUND(Q446,2)</f>
        <v>#VALUE!</v>
      </c>
      <c r="G446" s="43" t="e">
        <f t="shared" ref="G446:G505" si="104">F446+E446</f>
        <v>#VALUE!</v>
      </c>
      <c r="H446" s="43" t="e">
        <f t="shared" ref="H446:H505" ca="1" si="105">ROUND(S446,2)</f>
        <v>#VALUE!</v>
      </c>
      <c r="I446" s="43">
        <f t="shared" ref="I446:I505" si="106">ROUND(T446+U446,2)</f>
        <v>0</v>
      </c>
      <c r="J446" s="229">
        <f t="shared" si="93"/>
        <v>25</v>
      </c>
      <c r="K446" s="43">
        <f t="shared" ref="K446:K505" si="107">IF(C446&gt;$AD$28,0,J446+G446+I446+H446)</f>
        <v>0</v>
      </c>
      <c r="N446" s="225">
        <f t="shared" ref="N446:N505" si="108">IF(C446&gt;$AD$28,0,(H446+I446)/(1.008^((12*(B446-$B$25))/365)))</f>
        <v>0</v>
      </c>
      <c r="O446" s="43" t="e">
        <f t="shared" ref="O446:O505" si="109">ROUND((O445*(1+$AD$35)-P446),$P$22)</f>
        <v>#VALUE!</v>
      </c>
      <c r="P446" s="43" t="e">
        <f>ROUND(IF(Preenchimento!$G$39="Tabela Price",R446-Q446,(O445*(1+$AD$35))/($AD$28-C445)),$P$22)</f>
        <v>#VALUE!</v>
      </c>
      <c r="Q446" s="43" t="e">
        <f>IF(Preenchimento!$G$39="Tabela Price",O445*(1+$AD$35)*W446,O445*(1+'SAC Padrão_Sem Bonif'!$AD$35)*'SAC Padrão_Sem Bonif'!W446)</f>
        <v>#VALUE!</v>
      </c>
      <c r="R446" s="43" t="e">
        <f>IF(Preenchimento!$G$39="Tabela Price",IF(C446="","",((((((1+W446)^($Q$16-C445))*W446)/((1+W446)^($Q$16-C445)-1))*(O445*(1+$AD$35))))),Q446+P446)</f>
        <v>#VALUE!</v>
      </c>
      <c r="S446" s="43" t="e">
        <f t="shared" ref="S446:S505" ca="1" si="110">ROUND($AD$34*O446,$P$22)</f>
        <v>#VALUE!</v>
      </c>
      <c r="T446" s="43">
        <f t="shared" ref="T446:T505" si="111">IF(C446&gt;=$AD$28,0,ROUND($AD$25*$AD$33,$P$22))</f>
        <v>0</v>
      </c>
      <c r="U446" s="226">
        <f>TRUNC(T446*Condições!$C$102,2)</f>
        <v>0</v>
      </c>
      <c r="V446" s="82">
        <f t="shared" ref="V446:V505" ca="1" si="112">MONTH(B446)</f>
        <v>7</v>
      </c>
      <c r="W446" s="231" t="str">
        <f t="shared" ref="W446:W505" si="113">IF(C446="","",IF(AND(C446&gt;$AD$46,$AD$46&lt;&gt;""),$AE$29,$AD$29))</f>
        <v/>
      </c>
      <c r="AI446" s="114">
        <f t="shared" si="99"/>
        <v>0</v>
      </c>
      <c r="AL446" s="477">
        <f t="shared" ca="1" si="100"/>
        <v>0</v>
      </c>
    </row>
    <row r="447" spans="2:38">
      <c r="B447" s="222">
        <f ca="1">Fixa!B447</f>
        <v>59034</v>
      </c>
      <c r="C447" s="223" t="str">
        <f>Fixa!C447</f>
        <v/>
      </c>
      <c r="D447" s="43" t="e">
        <f t="shared" si="101"/>
        <v>#VALUE!</v>
      </c>
      <c r="E447" s="43" t="e">
        <f t="shared" si="102"/>
        <v>#VALUE!</v>
      </c>
      <c r="F447" s="43" t="e">
        <f t="shared" si="103"/>
        <v>#VALUE!</v>
      </c>
      <c r="G447" s="43" t="e">
        <f t="shared" si="104"/>
        <v>#VALUE!</v>
      </c>
      <c r="H447" s="43" t="e">
        <f t="shared" ca="1" si="105"/>
        <v>#VALUE!</v>
      </c>
      <c r="I447" s="43">
        <f t="shared" si="106"/>
        <v>0</v>
      </c>
      <c r="J447" s="229">
        <f t="shared" si="93"/>
        <v>25</v>
      </c>
      <c r="K447" s="43">
        <f t="shared" si="107"/>
        <v>0</v>
      </c>
      <c r="N447" s="225">
        <f t="shared" si="108"/>
        <v>0</v>
      </c>
      <c r="O447" s="43" t="e">
        <f t="shared" si="109"/>
        <v>#VALUE!</v>
      </c>
      <c r="P447" s="43" t="e">
        <f>ROUND(IF(Preenchimento!$G$39="Tabela Price",R447-Q447,(O446*(1+$AD$35))/($AD$28-C446)),$P$22)</f>
        <v>#VALUE!</v>
      </c>
      <c r="Q447" s="43" t="e">
        <f>IF(Preenchimento!$G$39="Tabela Price",O446*(1+$AD$35)*W447,O446*(1+'SAC Padrão_Sem Bonif'!$AD$35)*'SAC Padrão_Sem Bonif'!W447)</f>
        <v>#VALUE!</v>
      </c>
      <c r="R447" s="43" t="e">
        <f>IF(Preenchimento!$G$39="Tabela Price",IF(C447="","",((((((1+W447)^($Q$16-C446))*W447)/((1+W447)^($Q$16-C446)-1))*(O446*(1+$AD$35))))),Q447+P447)</f>
        <v>#VALUE!</v>
      </c>
      <c r="S447" s="43" t="e">
        <f t="shared" ca="1" si="110"/>
        <v>#VALUE!</v>
      </c>
      <c r="T447" s="43">
        <f t="shared" si="111"/>
        <v>0</v>
      </c>
      <c r="U447" s="226">
        <f>TRUNC(T447*Condições!$C$102,2)</f>
        <v>0</v>
      </c>
      <c r="V447" s="82">
        <f t="shared" ca="1" si="112"/>
        <v>8</v>
      </c>
      <c r="W447" s="231" t="str">
        <f t="shared" si="113"/>
        <v/>
      </c>
      <c r="AI447" s="114">
        <f t="shared" si="99"/>
        <v>0</v>
      </c>
      <c r="AL447" s="477">
        <f t="shared" ca="1" si="100"/>
        <v>0</v>
      </c>
    </row>
    <row r="448" spans="2:38" ht="12.75" customHeight="1">
      <c r="B448" s="222">
        <f ca="1">Fixa!B448</f>
        <v>59065</v>
      </c>
      <c r="C448" s="223" t="str">
        <f>Fixa!C448</f>
        <v/>
      </c>
      <c r="D448" s="43" t="e">
        <f t="shared" si="101"/>
        <v>#VALUE!</v>
      </c>
      <c r="E448" s="43" t="e">
        <f t="shared" si="102"/>
        <v>#VALUE!</v>
      </c>
      <c r="F448" s="43" t="e">
        <f t="shared" si="103"/>
        <v>#VALUE!</v>
      </c>
      <c r="G448" s="43" t="e">
        <f t="shared" si="104"/>
        <v>#VALUE!</v>
      </c>
      <c r="H448" s="43" t="e">
        <f t="shared" ca="1" si="105"/>
        <v>#VALUE!</v>
      </c>
      <c r="I448" s="43">
        <f t="shared" si="106"/>
        <v>0</v>
      </c>
      <c r="J448" s="229">
        <f t="shared" si="93"/>
        <v>25</v>
      </c>
      <c r="K448" s="43">
        <f t="shared" si="107"/>
        <v>0</v>
      </c>
      <c r="N448" s="225">
        <f t="shared" si="108"/>
        <v>0</v>
      </c>
      <c r="O448" s="43" t="e">
        <f t="shared" si="109"/>
        <v>#VALUE!</v>
      </c>
      <c r="P448" s="43" t="e">
        <f>ROUND(IF(Preenchimento!$G$39="Tabela Price",R448-Q448,(O447*(1+$AD$35))/($AD$28-C447)),$P$22)</f>
        <v>#VALUE!</v>
      </c>
      <c r="Q448" s="43" t="e">
        <f>IF(Preenchimento!$G$39="Tabela Price",O447*(1+$AD$35)*W448,O447*(1+'SAC Padrão_Sem Bonif'!$AD$35)*'SAC Padrão_Sem Bonif'!W448)</f>
        <v>#VALUE!</v>
      </c>
      <c r="R448" s="43" t="e">
        <f>IF(Preenchimento!$G$39="Tabela Price",IF(C448="","",((((((1+W448)^($Q$16-C447))*W448)/((1+W448)^($Q$16-C447)-1))*(O447*(1+$AD$35))))),Q448+P448)</f>
        <v>#VALUE!</v>
      </c>
      <c r="S448" s="43" t="e">
        <f t="shared" ca="1" si="110"/>
        <v>#VALUE!</v>
      </c>
      <c r="T448" s="43">
        <f t="shared" si="111"/>
        <v>0</v>
      </c>
      <c r="U448" s="226">
        <f>TRUNC(T448*Condições!$C$102,2)</f>
        <v>0</v>
      </c>
      <c r="V448" s="82">
        <f t="shared" ca="1" si="112"/>
        <v>9</v>
      </c>
      <c r="W448" s="231" t="str">
        <f t="shared" si="113"/>
        <v/>
      </c>
      <c r="AI448" s="114">
        <f t="shared" si="99"/>
        <v>0</v>
      </c>
      <c r="AL448" s="477">
        <f t="shared" ca="1" si="100"/>
        <v>0</v>
      </c>
    </row>
    <row r="449" spans="2:38" ht="12.75" customHeight="1">
      <c r="B449" s="222">
        <f ca="1">Fixa!B449</f>
        <v>59095</v>
      </c>
      <c r="C449" s="223" t="str">
        <f>Fixa!C449</f>
        <v/>
      </c>
      <c r="D449" s="43" t="e">
        <f t="shared" si="101"/>
        <v>#VALUE!</v>
      </c>
      <c r="E449" s="43" t="e">
        <f t="shared" si="102"/>
        <v>#VALUE!</v>
      </c>
      <c r="F449" s="43" t="e">
        <f t="shared" si="103"/>
        <v>#VALUE!</v>
      </c>
      <c r="G449" s="43" t="e">
        <f t="shared" si="104"/>
        <v>#VALUE!</v>
      </c>
      <c r="H449" s="43" t="e">
        <f t="shared" ca="1" si="105"/>
        <v>#VALUE!</v>
      </c>
      <c r="I449" s="43">
        <f t="shared" si="106"/>
        <v>0</v>
      </c>
      <c r="J449" s="229">
        <f t="shared" si="93"/>
        <v>25</v>
      </c>
      <c r="K449" s="43">
        <f t="shared" si="107"/>
        <v>0</v>
      </c>
      <c r="N449" s="225">
        <f t="shared" si="108"/>
        <v>0</v>
      </c>
      <c r="O449" s="43" t="e">
        <f t="shared" si="109"/>
        <v>#VALUE!</v>
      </c>
      <c r="P449" s="43" t="e">
        <f>ROUND(IF(Preenchimento!$G$39="Tabela Price",R449-Q449,(O448*(1+$AD$35))/($AD$28-C448)),$P$22)</f>
        <v>#VALUE!</v>
      </c>
      <c r="Q449" s="43" t="e">
        <f>IF(Preenchimento!$G$39="Tabela Price",O448*(1+$AD$35)*W449,O448*(1+'SAC Padrão_Sem Bonif'!$AD$35)*'SAC Padrão_Sem Bonif'!W449)</f>
        <v>#VALUE!</v>
      </c>
      <c r="R449" s="43" t="e">
        <f>IF(Preenchimento!$G$39="Tabela Price",IF(C449="","",((((((1+W449)^($Q$16-C448))*W449)/((1+W449)^($Q$16-C448)-1))*(O448*(1+$AD$35))))),Q449+P449)</f>
        <v>#VALUE!</v>
      </c>
      <c r="S449" s="43" t="e">
        <f t="shared" ca="1" si="110"/>
        <v>#VALUE!</v>
      </c>
      <c r="T449" s="43">
        <f t="shared" si="111"/>
        <v>0</v>
      </c>
      <c r="U449" s="226">
        <f>TRUNC(T449*Condições!$C$102,2)</f>
        <v>0</v>
      </c>
      <c r="V449" s="82">
        <f t="shared" ca="1" si="112"/>
        <v>10</v>
      </c>
      <c r="W449" s="231" t="str">
        <f t="shared" si="113"/>
        <v/>
      </c>
      <c r="AI449" s="114">
        <f t="shared" si="99"/>
        <v>0</v>
      </c>
      <c r="AL449" s="477">
        <f t="shared" ca="1" si="100"/>
        <v>0</v>
      </c>
    </row>
    <row r="450" spans="2:38" ht="12.75" customHeight="1">
      <c r="B450" s="222">
        <f ca="1">Fixa!B450</f>
        <v>59126</v>
      </c>
      <c r="C450" s="223" t="str">
        <f>Fixa!C450</f>
        <v/>
      </c>
      <c r="D450" s="43" t="e">
        <f t="shared" si="101"/>
        <v>#VALUE!</v>
      </c>
      <c r="E450" s="43" t="e">
        <f t="shared" si="102"/>
        <v>#VALUE!</v>
      </c>
      <c r="F450" s="43" t="e">
        <f t="shared" si="103"/>
        <v>#VALUE!</v>
      </c>
      <c r="G450" s="43" t="e">
        <f t="shared" si="104"/>
        <v>#VALUE!</v>
      </c>
      <c r="H450" s="43" t="e">
        <f t="shared" ca="1" si="105"/>
        <v>#VALUE!</v>
      </c>
      <c r="I450" s="43">
        <f t="shared" si="106"/>
        <v>0</v>
      </c>
      <c r="J450" s="229">
        <f t="shared" si="93"/>
        <v>25</v>
      </c>
      <c r="K450" s="43">
        <f t="shared" si="107"/>
        <v>0</v>
      </c>
      <c r="N450" s="225">
        <f t="shared" si="108"/>
        <v>0</v>
      </c>
      <c r="O450" s="43" t="e">
        <f t="shared" si="109"/>
        <v>#VALUE!</v>
      </c>
      <c r="P450" s="43" t="e">
        <f>ROUND(IF(Preenchimento!$G$39="Tabela Price",R450-Q450,(O449*(1+$AD$35))/($AD$28-C449)),$P$22)</f>
        <v>#VALUE!</v>
      </c>
      <c r="Q450" s="43" t="e">
        <f>IF(Preenchimento!$G$39="Tabela Price",O449*(1+$AD$35)*W450,O449*(1+'SAC Padrão_Sem Bonif'!$AD$35)*'SAC Padrão_Sem Bonif'!W450)</f>
        <v>#VALUE!</v>
      </c>
      <c r="R450" s="43" t="e">
        <f>IF(Preenchimento!$G$39="Tabela Price",IF(C450="","",((((((1+W450)^($Q$16-C449))*W450)/((1+W450)^($Q$16-C449)-1))*(O449*(1+$AD$35))))),Q450+P450)</f>
        <v>#VALUE!</v>
      </c>
      <c r="S450" s="43" t="e">
        <f t="shared" ca="1" si="110"/>
        <v>#VALUE!</v>
      </c>
      <c r="T450" s="43">
        <f t="shared" si="111"/>
        <v>0</v>
      </c>
      <c r="U450" s="226">
        <f>TRUNC(T450*Condições!$C$102,2)</f>
        <v>0</v>
      </c>
      <c r="V450" s="82">
        <f t="shared" ca="1" si="112"/>
        <v>11</v>
      </c>
      <c r="W450" s="231" t="str">
        <f t="shared" si="113"/>
        <v/>
      </c>
      <c r="AI450" s="114">
        <f t="shared" si="99"/>
        <v>0</v>
      </c>
      <c r="AL450" s="477">
        <f t="shared" ca="1" si="100"/>
        <v>0</v>
      </c>
    </row>
    <row r="451" spans="2:38" ht="12.75" customHeight="1">
      <c r="B451" s="222">
        <f ca="1">Fixa!B451</f>
        <v>59156</v>
      </c>
      <c r="C451" s="223" t="str">
        <f>Fixa!C451</f>
        <v/>
      </c>
      <c r="D451" s="43" t="e">
        <f t="shared" si="101"/>
        <v>#VALUE!</v>
      </c>
      <c r="E451" s="43" t="e">
        <f t="shared" si="102"/>
        <v>#VALUE!</v>
      </c>
      <c r="F451" s="43" t="e">
        <f t="shared" si="103"/>
        <v>#VALUE!</v>
      </c>
      <c r="G451" s="43" t="e">
        <f t="shared" si="104"/>
        <v>#VALUE!</v>
      </c>
      <c r="H451" s="43" t="e">
        <f t="shared" ca="1" si="105"/>
        <v>#VALUE!</v>
      </c>
      <c r="I451" s="43">
        <f t="shared" si="106"/>
        <v>0</v>
      </c>
      <c r="J451" s="229">
        <f t="shared" si="93"/>
        <v>25</v>
      </c>
      <c r="K451" s="43">
        <f t="shared" si="107"/>
        <v>0</v>
      </c>
      <c r="N451" s="225">
        <f t="shared" si="108"/>
        <v>0</v>
      </c>
      <c r="O451" s="43" t="e">
        <f t="shared" si="109"/>
        <v>#VALUE!</v>
      </c>
      <c r="P451" s="43" t="e">
        <f>ROUND(IF(Preenchimento!$G$39="Tabela Price",R451-Q451,(O450*(1+$AD$35))/($AD$28-C450)),$P$22)</f>
        <v>#VALUE!</v>
      </c>
      <c r="Q451" s="43" t="e">
        <f>IF(Preenchimento!$G$39="Tabela Price",O450*(1+$AD$35)*W451,O450*(1+'SAC Padrão_Sem Bonif'!$AD$35)*'SAC Padrão_Sem Bonif'!W451)</f>
        <v>#VALUE!</v>
      </c>
      <c r="R451" s="43" t="e">
        <f>IF(Preenchimento!$G$39="Tabela Price",IF(C451="","",((((((1+W451)^($Q$16-C450))*W451)/((1+W451)^($Q$16-C450)-1))*(O450*(1+$AD$35))))),Q451+P451)</f>
        <v>#VALUE!</v>
      </c>
      <c r="S451" s="43" t="e">
        <f t="shared" ca="1" si="110"/>
        <v>#VALUE!</v>
      </c>
      <c r="T451" s="43">
        <f t="shared" si="111"/>
        <v>0</v>
      </c>
      <c r="U451" s="226">
        <f>TRUNC(T451*Condições!$C$102,2)</f>
        <v>0</v>
      </c>
      <c r="V451" s="82">
        <f t="shared" ca="1" si="112"/>
        <v>12</v>
      </c>
      <c r="W451" s="231" t="str">
        <f t="shared" si="113"/>
        <v/>
      </c>
      <c r="AI451" s="114">
        <f t="shared" si="99"/>
        <v>0</v>
      </c>
      <c r="AL451" s="477">
        <f t="shared" ca="1" si="100"/>
        <v>0</v>
      </c>
    </row>
    <row r="452" spans="2:38" ht="12.75" customHeight="1">
      <c r="B452" s="222">
        <f ca="1">Fixa!B452</f>
        <v>59187</v>
      </c>
      <c r="C452" s="223" t="str">
        <f>Fixa!C452</f>
        <v/>
      </c>
      <c r="D452" s="43" t="e">
        <f t="shared" si="101"/>
        <v>#VALUE!</v>
      </c>
      <c r="E452" s="43" t="e">
        <f t="shared" si="102"/>
        <v>#VALUE!</v>
      </c>
      <c r="F452" s="43" t="e">
        <f t="shared" si="103"/>
        <v>#VALUE!</v>
      </c>
      <c r="G452" s="43" t="e">
        <f t="shared" si="104"/>
        <v>#VALUE!</v>
      </c>
      <c r="H452" s="43" t="e">
        <f t="shared" ca="1" si="105"/>
        <v>#VALUE!</v>
      </c>
      <c r="I452" s="43">
        <f t="shared" si="106"/>
        <v>0</v>
      </c>
      <c r="J452" s="229">
        <f t="shared" si="93"/>
        <v>25</v>
      </c>
      <c r="K452" s="43">
        <f t="shared" si="107"/>
        <v>0</v>
      </c>
      <c r="N452" s="225">
        <f t="shared" si="108"/>
        <v>0</v>
      </c>
      <c r="O452" s="43" t="e">
        <f t="shared" si="109"/>
        <v>#VALUE!</v>
      </c>
      <c r="P452" s="43" t="e">
        <f>ROUND(IF(Preenchimento!$G$39="Tabela Price",R452-Q452,(O451*(1+$AD$35))/($AD$28-C451)),$P$22)</f>
        <v>#VALUE!</v>
      </c>
      <c r="Q452" s="43" t="e">
        <f>IF(Preenchimento!$G$39="Tabela Price",O451*(1+$AD$35)*W452,O451*(1+'SAC Padrão_Sem Bonif'!$AD$35)*'SAC Padrão_Sem Bonif'!W452)</f>
        <v>#VALUE!</v>
      </c>
      <c r="R452" s="43" t="e">
        <f>IF(Preenchimento!$G$39="Tabela Price",IF(C452="","",((((((1+W452)^($Q$16-C451))*W452)/((1+W452)^($Q$16-C451)-1))*(O451*(1+$AD$35))))),Q452+P452)</f>
        <v>#VALUE!</v>
      </c>
      <c r="S452" s="43" t="e">
        <f t="shared" ca="1" si="110"/>
        <v>#VALUE!</v>
      </c>
      <c r="T452" s="43">
        <f t="shared" si="111"/>
        <v>0</v>
      </c>
      <c r="U452" s="226">
        <f>TRUNC(T452*Condições!$C$102,2)</f>
        <v>0</v>
      </c>
      <c r="V452" s="82">
        <f t="shared" ca="1" si="112"/>
        <v>1</v>
      </c>
      <c r="W452" s="231" t="str">
        <f t="shared" si="113"/>
        <v/>
      </c>
      <c r="AI452" s="114">
        <f t="shared" si="99"/>
        <v>0</v>
      </c>
      <c r="AL452" s="477">
        <f t="shared" ca="1" si="100"/>
        <v>0</v>
      </c>
    </row>
    <row r="453" spans="2:38" ht="12.75" customHeight="1">
      <c r="B453" s="222">
        <f ca="1">Fixa!B453</f>
        <v>59218</v>
      </c>
      <c r="C453" s="223" t="str">
        <f>Fixa!C453</f>
        <v/>
      </c>
      <c r="D453" s="43" t="e">
        <f t="shared" si="101"/>
        <v>#VALUE!</v>
      </c>
      <c r="E453" s="43" t="e">
        <f t="shared" si="102"/>
        <v>#VALUE!</v>
      </c>
      <c r="F453" s="43" t="e">
        <f t="shared" si="103"/>
        <v>#VALUE!</v>
      </c>
      <c r="G453" s="43" t="e">
        <f t="shared" si="104"/>
        <v>#VALUE!</v>
      </c>
      <c r="H453" s="43" t="e">
        <f t="shared" ca="1" si="105"/>
        <v>#VALUE!</v>
      </c>
      <c r="I453" s="43">
        <f t="shared" si="106"/>
        <v>0</v>
      </c>
      <c r="J453" s="229">
        <f t="shared" si="93"/>
        <v>25</v>
      </c>
      <c r="K453" s="43">
        <f t="shared" si="107"/>
        <v>0</v>
      </c>
      <c r="N453" s="225">
        <f t="shared" si="108"/>
        <v>0</v>
      </c>
      <c r="O453" s="43" t="e">
        <f t="shared" si="109"/>
        <v>#VALUE!</v>
      </c>
      <c r="P453" s="43" t="e">
        <f>ROUND(IF(Preenchimento!$G$39="Tabela Price",R453-Q453,(O452*(1+$AD$35))/($AD$28-C452)),$P$22)</f>
        <v>#VALUE!</v>
      </c>
      <c r="Q453" s="43" t="e">
        <f>IF(Preenchimento!$G$39="Tabela Price",O452*(1+$AD$35)*W453,O452*(1+'SAC Padrão_Sem Bonif'!$AD$35)*'SAC Padrão_Sem Bonif'!W453)</f>
        <v>#VALUE!</v>
      </c>
      <c r="R453" s="43" t="e">
        <f>IF(Preenchimento!$G$39="Tabela Price",IF(C453="","",((((((1+W453)^($Q$16-C452))*W453)/((1+W453)^($Q$16-C452)-1))*(O452*(1+$AD$35))))),Q453+P453)</f>
        <v>#VALUE!</v>
      </c>
      <c r="S453" s="43" t="e">
        <f t="shared" ca="1" si="110"/>
        <v>#VALUE!</v>
      </c>
      <c r="T453" s="43">
        <f t="shared" si="111"/>
        <v>0</v>
      </c>
      <c r="U453" s="226">
        <f>TRUNC(T453*Condições!$C$102,2)</f>
        <v>0</v>
      </c>
      <c r="V453" s="82">
        <f t="shared" ca="1" si="112"/>
        <v>2</v>
      </c>
      <c r="W453" s="231" t="str">
        <f t="shared" si="113"/>
        <v/>
      </c>
      <c r="AI453" s="114">
        <f t="shared" si="99"/>
        <v>0</v>
      </c>
      <c r="AL453" s="477">
        <f t="shared" ca="1" si="100"/>
        <v>0</v>
      </c>
    </row>
    <row r="454" spans="2:38" ht="12.75" customHeight="1">
      <c r="B454" s="222">
        <f ca="1">Fixa!B454</f>
        <v>59246</v>
      </c>
      <c r="C454" s="223" t="str">
        <f>Fixa!C454</f>
        <v/>
      </c>
      <c r="D454" s="43" t="e">
        <f t="shared" si="101"/>
        <v>#VALUE!</v>
      </c>
      <c r="E454" s="43" t="e">
        <f t="shared" si="102"/>
        <v>#VALUE!</v>
      </c>
      <c r="F454" s="43" t="e">
        <f t="shared" si="103"/>
        <v>#VALUE!</v>
      </c>
      <c r="G454" s="43" t="e">
        <f t="shared" si="104"/>
        <v>#VALUE!</v>
      </c>
      <c r="H454" s="43" t="e">
        <f t="shared" ca="1" si="105"/>
        <v>#VALUE!</v>
      </c>
      <c r="I454" s="43">
        <f t="shared" si="106"/>
        <v>0</v>
      </c>
      <c r="J454" s="229">
        <f t="shared" si="93"/>
        <v>25</v>
      </c>
      <c r="K454" s="43">
        <f t="shared" si="107"/>
        <v>0</v>
      </c>
      <c r="N454" s="225">
        <f t="shared" si="108"/>
        <v>0</v>
      </c>
      <c r="O454" s="43" t="e">
        <f t="shared" si="109"/>
        <v>#VALUE!</v>
      </c>
      <c r="P454" s="43" t="e">
        <f>ROUND(IF(Preenchimento!$G$39="Tabela Price",R454-Q454,(O453*(1+$AD$35))/($AD$28-C453)),$P$22)</f>
        <v>#VALUE!</v>
      </c>
      <c r="Q454" s="43" t="e">
        <f>IF(Preenchimento!$G$39="Tabela Price",O453*(1+$AD$35)*W454,O453*(1+'SAC Padrão_Sem Bonif'!$AD$35)*'SAC Padrão_Sem Bonif'!W454)</f>
        <v>#VALUE!</v>
      </c>
      <c r="R454" s="43" t="e">
        <f>IF(Preenchimento!$G$39="Tabela Price",IF(C454="","",((((((1+W454)^($Q$16-C453))*W454)/((1+W454)^($Q$16-C453)-1))*(O453*(1+$AD$35))))),Q454+P454)</f>
        <v>#VALUE!</v>
      </c>
      <c r="S454" s="43" t="e">
        <f t="shared" ca="1" si="110"/>
        <v>#VALUE!</v>
      </c>
      <c r="T454" s="43">
        <f t="shared" si="111"/>
        <v>0</v>
      </c>
      <c r="U454" s="226">
        <f>TRUNC(T454*Condições!$C$102,2)</f>
        <v>0</v>
      </c>
      <c r="V454" s="82">
        <f t="shared" ca="1" si="112"/>
        <v>3</v>
      </c>
      <c r="W454" s="231" t="str">
        <f t="shared" si="113"/>
        <v/>
      </c>
      <c r="AI454" s="114">
        <f t="shared" si="99"/>
        <v>0</v>
      </c>
      <c r="AL454" s="477">
        <f t="shared" ca="1" si="100"/>
        <v>0</v>
      </c>
    </row>
    <row r="455" spans="2:38" ht="12.75" customHeight="1">
      <c r="B455" s="222">
        <f ca="1">Fixa!B455</f>
        <v>59277</v>
      </c>
      <c r="C455" s="223" t="str">
        <f>Fixa!C455</f>
        <v/>
      </c>
      <c r="D455" s="43" t="e">
        <f t="shared" si="101"/>
        <v>#VALUE!</v>
      </c>
      <c r="E455" s="43" t="e">
        <f t="shared" si="102"/>
        <v>#VALUE!</v>
      </c>
      <c r="F455" s="43" t="e">
        <f t="shared" si="103"/>
        <v>#VALUE!</v>
      </c>
      <c r="G455" s="43" t="e">
        <f t="shared" si="104"/>
        <v>#VALUE!</v>
      </c>
      <c r="H455" s="43" t="e">
        <f t="shared" ca="1" si="105"/>
        <v>#VALUE!</v>
      </c>
      <c r="I455" s="43">
        <f t="shared" si="106"/>
        <v>0</v>
      </c>
      <c r="J455" s="229">
        <f t="shared" si="93"/>
        <v>25</v>
      </c>
      <c r="K455" s="43">
        <f t="shared" si="107"/>
        <v>0</v>
      </c>
      <c r="N455" s="225">
        <f t="shared" si="108"/>
        <v>0</v>
      </c>
      <c r="O455" s="43" t="e">
        <f t="shared" si="109"/>
        <v>#VALUE!</v>
      </c>
      <c r="P455" s="43" t="e">
        <f>ROUND(IF(Preenchimento!$G$39="Tabela Price",R455-Q455,(O454*(1+$AD$35))/($AD$28-C454)),$P$22)</f>
        <v>#VALUE!</v>
      </c>
      <c r="Q455" s="43" t="e">
        <f>IF(Preenchimento!$G$39="Tabela Price",O454*(1+$AD$35)*W455,O454*(1+'SAC Padrão_Sem Bonif'!$AD$35)*'SAC Padrão_Sem Bonif'!W455)</f>
        <v>#VALUE!</v>
      </c>
      <c r="R455" s="43" t="e">
        <f>IF(Preenchimento!$G$39="Tabela Price",IF(C455="","",((((((1+W455)^($Q$16-C454))*W455)/((1+W455)^($Q$16-C454)-1))*(O454*(1+$AD$35))))),Q455+P455)</f>
        <v>#VALUE!</v>
      </c>
      <c r="S455" s="43" t="e">
        <f t="shared" ca="1" si="110"/>
        <v>#VALUE!</v>
      </c>
      <c r="T455" s="43">
        <f t="shared" si="111"/>
        <v>0</v>
      </c>
      <c r="U455" s="226">
        <f>TRUNC(T455*Condições!$C$102,2)</f>
        <v>0</v>
      </c>
      <c r="V455" s="82">
        <f t="shared" ca="1" si="112"/>
        <v>4</v>
      </c>
      <c r="W455" s="231" t="str">
        <f t="shared" si="113"/>
        <v/>
      </c>
      <c r="AI455" s="114">
        <f t="shared" si="99"/>
        <v>0</v>
      </c>
      <c r="AL455" s="477">
        <f t="shared" ca="1" si="100"/>
        <v>0</v>
      </c>
    </row>
    <row r="456" spans="2:38" ht="12.75" customHeight="1">
      <c r="B456" s="222">
        <f ca="1">Fixa!B456</f>
        <v>59307</v>
      </c>
      <c r="C456" s="223" t="str">
        <f>Fixa!C456</f>
        <v/>
      </c>
      <c r="D456" s="43" t="e">
        <f t="shared" si="101"/>
        <v>#VALUE!</v>
      </c>
      <c r="E456" s="43" t="e">
        <f t="shared" si="102"/>
        <v>#VALUE!</v>
      </c>
      <c r="F456" s="43" t="e">
        <f t="shared" si="103"/>
        <v>#VALUE!</v>
      </c>
      <c r="G456" s="43" t="e">
        <f t="shared" si="104"/>
        <v>#VALUE!</v>
      </c>
      <c r="H456" s="43" t="e">
        <f t="shared" ca="1" si="105"/>
        <v>#VALUE!</v>
      </c>
      <c r="I456" s="43">
        <f t="shared" si="106"/>
        <v>0</v>
      </c>
      <c r="J456" s="229">
        <f t="shared" si="93"/>
        <v>25</v>
      </c>
      <c r="K456" s="43">
        <f t="shared" si="107"/>
        <v>0</v>
      </c>
      <c r="N456" s="225">
        <f t="shared" si="108"/>
        <v>0</v>
      </c>
      <c r="O456" s="43" t="e">
        <f t="shared" si="109"/>
        <v>#VALUE!</v>
      </c>
      <c r="P456" s="43" t="e">
        <f>ROUND(IF(Preenchimento!$G$39="Tabela Price",R456-Q456,(O455*(1+$AD$35))/($AD$28-C455)),$P$22)</f>
        <v>#VALUE!</v>
      </c>
      <c r="Q456" s="43" t="e">
        <f>IF(Preenchimento!$G$39="Tabela Price",O455*(1+$AD$35)*W456,O455*(1+'SAC Padrão_Sem Bonif'!$AD$35)*'SAC Padrão_Sem Bonif'!W456)</f>
        <v>#VALUE!</v>
      </c>
      <c r="R456" s="43" t="e">
        <f>IF(Preenchimento!$G$39="Tabela Price",IF(C456="","",((((((1+W456)^($Q$16-C455))*W456)/((1+W456)^($Q$16-C455)-1))*(O455*(1+$AD$35))))),Q456+P456)</f>
        <v>#VALUE!</v>
      </c>
      <c r="S456" s="43" t="e">
        <f t="shared" ca="1" si="110"/>
        <v>#VALUE!</v>
      </c>
      <c r="T456" s="43">
        <f t="shared" si="111"/>
        <v>0</v>
      </c>
      <c r="U456" s="226">
        <f>TRUNC(T456*Condições!$C$102,2)</f>
        <v>0</v>
      </c>
      <c r="V456" s="82">
        <f t="shared" ca="1" si="112"/>
        <v>5</v>
      </c>
      <c r="W456" s="231" t="str">
        <f t="shared" si="113"/>
        <v/>
      </c>
      <c r="AI456" s="114">
        <f t="shared" si="99"/>
        <v>0</v>
      </c>
      <c r="AL456" s="477">
        <f t="shared" ca="1" si="100"/>
        <v>0</v>
      </c>
    </row>
    <row r="457" spans="2:38" ht="12.75" customHeight="1">
      <c r="B457" s="222">
        <f ca="1">Fixa!B457</f>
        <v>59338</v>
      </c>
      <c r="C457" s="223" t="str">
        <f>Fixa!C457</f>
        <v/>
      </c>
      <c r="D457" s="43" t="e">
        <f t="shared" si="101"/>
        <v>#VALUE!</v>
      </c>
      <c r="E457" s="43" t="e">
        <f t="shared" si="102"/>
        <v>#VALUE!</v>
      </c>
      <c r="F457" s="43" t="e">
        <f t="shared" si="103"/>
        <v>#VALUE!</v>
      </c>
      <c r="G457" s="43" t="e">
        <f t="shared" si="104"/>
        <v>#VALUE!</v>
      </c>
      <c r="H457" s="43" t="e">
        <f t="shared" ca="1" si="105"/>
        <v>#VALUE!</v>
      </c>
      <c r="I457" s="43">
        <f t="shared" si="106"/>
        <v>0</v>
      </c>
      <c r="J457" s="229">
        <f t="shared" si="93"/>
        <v>25</v>
      </c>
      <c r="K457" s="43">
        <f t="shared" si="107"/>
        <v>0</v>
      </c>
      <c r="N457" s="225">
        <f t="shared" si="108"/>
        <v>0</v>
      </c>
      <c r="O457" s="43" t="e">
        <f t="shared" si="109"/>
        <v>#VALUE!</v>
      </c>
      <c r="P457" s="43" t="e">
        <f>ROUND(IF(Preenchimento!$G$39="Tabela Price",R457-Q457,(O456*(1+$AD$35))/($AD$28-C456)),$P$22)</f>
        <v>#VALUE!</v>
      </c>
      <c r="Q457" s="43" t="e">
        <f>IF(Preenchimento!$G$39="Tabela Price",O456*(1+$AD$35)*W457,O456*(1+'SAC Padrão_Sem Bonif'!$AD$35)*'SAC Padrão_Sem Bonif'!W457)</f>
        <v>#VALUE!</v>
      </c>
      <c r="R457" s="43" t="e">
        <f>IF(Preenchimento!$G$39="Tabela Price",IF(C457="","",((((((1+W457)^($Q$16-C456))*W457)/((1+W457)^($Q$16-C456)-1))*(O456*(1+$AD$35))))),Q457+P457)</f>
        <v>#VALUE!</v>
      </c>
      <c r="S457" s="43" t="e">
        <f t="shared" ca="1" si="110"/>
        <v>#VALUE!</v>
      </c>
      <c r="T457" s="43">
        <f t="shared" si="111"/>
        <v>0</v>
      </c>
      <c r="U457" s="226">
        <f>TRUNC(T457*Condições!$C$102,2)</f>
        <v>0</v>
      </c>
      <c r="V457" s="82">
        <f t="shared" ca="1" si="112"/>
        <v>6</v>
      </c>
      <c r="W457" s="231" t="str">
        <f t="shared" si="113"/>
        <v/>
      </c>
      <c r="AI457" s="114">
        <f t="shared" si="99"/>
        <v>0</v>
      </c>
      <c r="AL457" s="477">
        <f t="shared" ca="1" si="100"/>
        <v>0</v>
      </c>
    </row>
    <row r="458" spans="2:38" ht="12.75" customHeight="1">
      <c r="B458" s="222">
        <f ca="1">Fixa!B458</f>
        <v>59368</v>
      </c>
      <c r="C458" s="223" t="str">
        <f>Fixa!C458</f>
        <v/>
      </c>
      <c r="D458" s="43" t="e">
        <f t="shared" si="101"/>
        <v>#VALUE!</v>
      </c>
      <c r="E458" s="43" t="e">
        <f t="shared" si="102"/>
        <v>#VALUE!</v>
      </c>
      <c r="F458" s="43" t="e">
        <f t="shared" si="103"/>
        <v>#VALUE!</v>
      </c>
      <c r="G458" s="43" t="e">
        <f t="shared" si="104"/>
        <v>#VALUE!</v>
      </c>
      <c r="H458" s="43" t="e">
        <f t="shared" ca="1" si="105"/>
        <v>#VALUE!</v>
      </c>
      <c r="I458" s="43">
        <f t="shared" si="106"/>
        <v>0</v>
      </c>
      <c r="J458" s="229">
        <f t="shared" si="93"/>
        <v>25</v>
      </c>
      <c r="K458" s="43">
        <f t="shared" si="107"/>
        <v>0</v>
      </c>
      <c r="N458" s="225">
        <f t="shared" si="108"/>
        <v>0</v>
      </c>
      <c r="O458" s="43" t="e">
        <f t="shared" si="109"/>
        <v>#VALUE!</v>
      </c>
      <c r="P458" s="43" t="e">
        <f>ROUND(IF(Preenchimento!$G$39="Tabela Price",R458-Q458,(O457*(1+$AD$35))/($AD$28-C457)),$P$22)</f>
        <v>#VALUE!</v>
      </c>
      <c r="Q458" s="43" t="e">
        <f>IF(Preenchimento!$G$39="Tabela Price",O457*(1+$AD$35)*W458,O457*(1+'SAC Padrão_Sem Bonif'!$AD$35)*'SAC Padrão_Sem Bonif'!W458)</f>
        <v>#VALUE!</v>
      </c>
      <c r="R458" s="43" t="e">
        <f>IF(Preenchimento!$G$39="Tabela Price",IF(C458="","",((((((1+W458)^($Q$16-C457))*W458)/((1+W458)^($Q$16-C457)-1))*(O457*(1+$AD$35))))),Q458+P458)</f>
        <v>#VALUE!</v>
      </c>
      <c r="S458" s="43" t="e">
        <f t="shared" ca="1" si="110"/>
        <v>#VALUE!</v>
      </c>
      <c r="T458" s="43">
        <f t="shared" si="111"/>
        <v>0</v>
      </c>
      <c r="U458" s="226">
        <f>TRUNC(T458*Condições!$C$102,2)</f>
        <v>0</v>
      </c>
      <c r="V458" s="82">
        <f t="shared" ca="1" si="112"/>
        <v>7</v>
      </c>
      <c r="W458" s="231" t="str">
        <f t="shared" si="113"/>
        <v/>
      </c>
      <c r="AI458" s="114">
        <f t="shared" si="99"/>
        <v>0</v>
      </c>
      <c r="AL458" s="477">
        <f t="shared" ca="1" si="100"/>
        <v>0</v>
      </c>
    </row>
    <row r="459" spans="2:38" ht="12.75" customHeight="1">
      <c r="B459" s="222">
        <f ca="1">Fixa!B459</f>
        <v>59399</v>
      </c>
      <c r="C459" s="223" t="str">
        <f>Fixa!C459</f>
        <v/>
      </c>
      <c r="D459" s="43" t="e">
        <f t="shared" si="101"/>
        <v>#VALUE!</v>
      </c>
      <c r="E459" s="43" t="e">
        <f t="shared" si="102"/>
        <v>#VALUE!</v>
      </c>
      <c r="F459" s="43" t="e">
        <f t="shared" si="103"/>
        <v>#VALUE!</v>
      </c>
      <c r="G459" s="43" t="e">
        <f t="shared" si="104"/>
        <v>#VALUE!</v>
      </c>
      <c r="H459" s="43" t="e">
        <f t="shared" ca="1" si="105"/>
        <v>#VALUE!</v>
      </c>
      <c r="I459" s="43">
        <f t="shared" si="106"/>
        <v>0</v>
      </c>
      <c r="J459" s="229">
        <f t="shared" si="93"/>
        <v>25</v>
      </c>
      <c r="K459" s="43">
        <f t="shared" si="107"/>
        <v>0</v>
      </c>
      <c r="N459" s="225">
        <f t="shared" si="108"/>
        <v>0</v>
      </c>
      <c r="O459" s="43" t="e">
        <f t="shared" si="109"/>
        <v>#VALUE!</v>
      </c>
      <c r="P459" s="43" t="e">
        <f>ROUND(IF(Preenchimento!$G$39="Tabela Price",R459-Q459,(O458*(1+$AD$35))/($AD$28-C458)),$P$22)</f>
        <v>#VALUE!</v>
      </c>
      <c r="Q459" s="43" t="e">
        <f>IF(Preenchimento!$G$39="Tabela Price",O458*(1+$AD$35)*W459,O458*(1+'SAC Padrão_Sem Bonif'!$AD$35)*'SAC Padrão_Sem Bonif'!W459)</f>
        <v>#VALUE!</v>
      </c>
      <c r="R459" s="43" t="e">
        <f>IF(Preenchimento!$G$39="Tabela Price",IF(C459="","",((((((1+W459)^($Q$16-C458))*W459)/((1+W459)^($Q$16-C458)-1))*(O458*(1+$AD$35))))),Q459+P459)</f>
        <v>#VALUE!</v>
      </c>
      <c r="S459" s="43" t="e">
        <f t="shared" ca="1" si="110"/>
        <v>#VALUE!</v>
      </c>
      <c r="T459" s="43">
        <f t="shared" si="111"/>
        <v>0</v>
      </c>
      <c r="U459" s="226">
        <f>TRUNC(T459*Condições!$C$102,2)</f>
        <v>0</v>
      </c>
      <c r="V459" s="82">
        <f t="shared" ca="1" si="112"/>
        <v>8</v>
      </c>
      <c r="W459" s="231" t="str">
        <f t="shared" si="113"/>
        <v/>
      </c>
      <c r="AI459" s="114">
        <f t="shared" si="99"/>
        <v>0</v>
      </c>
      <c r="AL459" s="477">
        <f t="shared" ca="1" si="100"/>
        <v>0</v>
      </c>
    </row>
    <row r="460" spans="2:38" ht="12.75" customHeight="1">
      <c r="B460" s="222">
        <f ca="1">Fixa!B460</f>
        <v>59430</v>
      </c>
      <c r="C460" s="223" t="str">
        <f>Fixa!C460</f>
        <v/>
      </c>
      <c r="D460" s="43" t="e">
        <f t="shared" si="101"/>
        <v>#VALUE!</v>
      </c>
      <c r="E460" s="43" t="e">
        <f t="shared" si="102"/>
        <v>#VALUE!</v>
      </c>
      <c r="F460" s="43" t="e">
        <f t="shared" si="103"/>
        <v>#VALUE!</v>
      </c>
      <c r="G460" s="43" t="e">
        <f t="shared" si="104"/>
        <v>#VALUE!</v>
      </c>
      <c r="H460" s="43" t="e">
        <f t="shared" ca="1" si="105"/>
        <v>#VALUE!</v>
      </c>
      <c r="I460" s="43">
        <f t="shared" si="106"/>
        <v>0</v>
      </c>
      <c r="J460" s="229">
        <f t="shared" si="93"/>
        <v>25</v>
      </c>
      <c r="K460" s="43">
        <f t="shared" si="107"/>
        <v>0</v>
      </c>
      <c r="N460" s="225">
        <f t="shared" si="108"/>
        <v>0</v>
      </c>
      <c r="O460" s="43" t="e">
        <f t="shared" si="109"/>
        <v>#VALUE!</v>
      </c>
      <c r="P460" s="43" t="e">
        <f>ROUND(IF(Preenchimento!$G$39="Tabela Price",R460-Q460,(O459*(1+$AD$35))/($AD$28-C459)),$P$22)</f>
        <v>#VALUE!</v>
      </c>
      <c r="Q460" s="43" t="e">
        <f>IF(Preenchimento!$G$39="Tabela Price",O459*(1+$AD$35)*W460,O459*(1+'SAC Padrão_Sem Bonif'!$AD$35)*'SAC Padrão_Sem Bonif'!W460)</f>
        <v>#VALUE!</v>
      </c>
      <c r="R460" s="43" t="e">
        <f>IF(Preenchimento!$G$39="Tabela Price",IF(C460="","",((((((1+W460)^($Q$16-C459))*W460)/((1+W460)^($Q$16-C459)-1))*(O459*(1+$AD$35))))),Q460+P460)</f>
        <v>#VALUE!</v>
      </c>
      <c r="S460" s="43" t="e">
        <f t="shared" ca="1" si="110"/>
        <v>#VALUE!</v>
      </c>
      <c r="T460" s="43">
        <f t="shared" si="111"/>
        <v>0</v>
      </c>
      <c r="U460" s="226">
        <f>TRUNC(T460*Condições!$C$102,2)</f>
        <v>0</v>
      </c>
      <c r="V460" s="82">
        <f t="shared" ca="1" si="112"/>
        <v>9</v>
      </c>
      <c r="W460" s="231" t="str">
        <f t="shared" si="113"/>
        <v/>
      </c>
      <c r="AI460" s="114">
        <f t="shared" si="99"/>
        <v>0</v>
      </c>
      <c r="AL460" s="477">
        <f t="shared" ca="1" si="100"/>
        <v>0</v>
      </c>
    </row>
    <row r="461" spans="2:38" ht="12.75" customHeight="1">
      <c r="B461" s="222">
        <f ca="1">Fixa!B461</f>
        <v>59460</v>
      </c>
      <c r="C461" s="223" t="str">
        <f>Fixa!C461</f>
        <v/>
      </c>
      <c r="D461" s="43" t="e">
        <f t="shared" si="101"/>
        <v>#VALUE!</v>
      </c>
      <c r="E461" s="43" t="e">
        <f t="shared" si="102"/>
        <v>#VALUE!</v>
      </c>
      <c r="F461" s="43" t="e">
        <f t="shared" si="103"/>
        <v>#VALUE!</v>
      </c>
      <c r="G461" s="43" t="e">
        <f t="shared" si="104"/>
        <v>#VALUE!</v>
      </c>
      <c r="H461" s="43" t="e">
        <f t="shared" ca="1" si="105"/>
        <v>#VALUE!</v>
      </c>
      <c r="I461" s="43">
        <f t="shared" si="106"/>
        <v>0</v>
      </c>
      <c r="J461" s="229">
        <f t="shared" si="93"/>
        <v>25</v>
      </c>
      <c r="K461" s="43">
        <f t="shared" si="107"/>
        <v>0</v>
      </c>
      <c r="N461" s="225">
        <f t="shared" si="108"/>
        <v>0</v>
      </c>
      <c r="O461" s="43" t="e">
        <f t="shared" si="109"/>
        <v>#VALUE!</v>
      </c>
      <c r="P461" s="43" t="e">
        <f>ROUND(IF(Preenchimento!$G$39="Tabela Price",R461-Q461,(O460*(1+$AD$35))/($AD$28-C460)),$P$22)</f>
        <v>#VALUE!</v>
      </c>
      <c r="Q461" s="43" t="e">
        <f>IF(Preenchimento!$G$39="Tabela Price",O460*(1+$AD$35)*W461,O460*(1+'SAC Padrão_Sem Bonif'!$AD$35)*'SAC Padrão_Sem Bonif'!W461)</f>
        <v>#VALUE!</v>
      </c>
      <c r="R461" s="43" t="e">
        <f>IF(Preenchimento!$G$39="Tabela Price",IF(C461="","",((((((1+W461)^($Q$16-C460))*W461)/((1+W461)^($Q$16-C460)-1))*(O460*(1+$AD$35))))),Q461+P461)</f>
        <v>#VALUE!</v>
      </c>
      <c r="S461" s="43" t="e">
        <f t="shared" ca="1" si="110"/>
        <v>#VALUE!</v>
      </c>
      <c r="T461" s="43">
        <f t="shared" si="111"/>
        <v>0</v>
      </c>
      <c r="U461" s="226">
        <f>TRUNC(T461*Condições!$C$102,2)</f>
        <v>0</v>
      </c>
      <c r="V461" s="82">
        <f t="shared" ca="1" si="112"/>
        <v>10</v>
      </c>
      <c r="W461" s="231" t="str">
        <f t="shared" si="113"/>
        <v/>
      </c>
      <c r="AI461" s="114">
        <f t="shared" si="99"/>
        <v>0</v>
      </c>
      <c r="AL461" s="477">
        <f t="shared" ca="1" si="100"/>
        <v>0</v>
      </c>
    </row>
    <row r="462" spans="2:38" ht="12.75" customHeight="1">
      <c r="B462" s="222">
        <f ca="1">Fixa!B462</f>
        <v>59491</v>
      </c>
      <c r="C462" s="223" t="str">
        <f>Fixa!C462</f>
        <v/>
      </c>
      <c r="D462" s="43" t="e">
        <f t="shared" si="101"/>
        <v>#VALUE!</v>
      </c>
      <c r="E462" s="43" t="e">
        <f t="shared" si="102"/>
        <v>#VALUE!</v>
      </c>
      <c r="F462" s="43" t="e">
        <f t="shared" si="103"/>
        <v>#VALUE!</v>
      </c>
      <c r="G462" s="43" t="e">
        <f t="shared" si="104"/>
        <v>#VALUE!</v>
      </c>
      <c r="H462" s="43" t="e">
        <f t="shared" ca="1" si="105"/>
        <v>#VALUE!</v>
      </c>
      <c r="I462" s="43">
        <f t="shared" si="106"/>
        <v>0</v>
      </c>
      <c r="J462" s="229">
        <f t="shared" si="93"/>
        <v>25</v>
      </c>
      <c r="K462" s="43">
        <f t="shared" si="107"/>
        <v>0</v>
      </c>
      <c r="N462" s="225">
        <f t="shared" si="108"/>
        <v>0</v>
      </c>
      <c r="O462" s="43" t="e">
        <f t="shared" si="109"/>
        <v>#VALUE!</v>
      </c>
      <c r="P462" s="43" t="e">
        <f>ROUND(IF(Preenchimento!$G$39="Tabela Price",R462-Q462,(O461*(1+$AD$35))/($AD$28-C461)),$P$22)</f>
        <v>#VALUE!</v>
      </c>
      <c r="Q462" s="43" t="e">
        <f>IF(Preenchimento!$G$39="Tabela Price",O461*(1+$AD$35)*W462,O461*(1+'SAC Padrão_Sem Bonif'!$AD$35)*'SAC Padrão_Sem Bonif'!W462)</f>
        <v>#VALUE!</v>
      </c>
      <c r="R462" s="43" t="e">
        <f>IF(Preenchimento!$G$39="Tabela Price",IF(C462="","",((((((1+W462)^($Q$16-C461))*W462)/((1+W462)^($Q$16-C461)-1))*(O461*(1+$AD$35))))),Q462+P462)</f>
        <v>#VALUE!</v>
      </c>
      <c r="S462" s="43" t="e">
        <f t="shared" ca="1" si="110"/>
        <v>#VALUE!</v>
      </c>
      <c r="T462" s="43">
        <f t="shared" si="111"/>
        <v>0</v>
      </c>
      <c r="U462" s="226">
        <f>TRUNC(T462*Condições!$C$102,2)</f>
        <v>0</v>
      </c>
      <c r="V462" s="82">
        <f t="shared" ca="1" si="112"/>
        <v>11</v>
      </c>
      <c r="W462" s="231" t="str">
        <f t="shared" si="113"/>
        <v/>
      </c>
      <c r="AI462" s="114">
        <f t="shared" si="99"/>
        <v>0</v>
      </c>
      <c r="AL462" s="477">
        <f t="shared" ca="1" si="100"/>
        <v>0</v>
      </c>
    </row>
    <row r="463" spans="2:38" ht="12.75" customHeight="1">
      <c r="B463" s="222">
        <f ca="1">Fixa!B463</f>
        <v>59521</v>
      </c>
      <c r="C463" s="223" t="str">
        <f>Fixa!C463</f>
        <v/>
      </c>
      <c r="D463" s="43" t="e">
        <f t="shared" si="101"/>
        <v>#VALUE!</v>
      </c>
      <c r="E463" s="43" t="e">
        <f t="shared" si="102"/>
        <v>#VALUE!</v>
      </c>
      <c r="F463" s="43" t="e">
        <f t="shared" si="103"/>
        <v>#VALUE!</v>
      </c>
      <c r="G463" s="43" t="e">
        <f t="shared" si="104"/>
        <v>#VALUE!</v>
      </c>
      <c r="H463" s="43" t="e">
        <f t="shared" ca="1" si="105"/>
        <v>#VALUE!</v>
      </c>
      <c r="I463" s="43">
        <f t="shared" si="106"/>
        <v>0</v>
      </c>
      <c r="J463" s="229">
        <f t="shared" si="93"/>
        <v>25</v>
      </c>
      <c r="K463" s="43">
        <f t="shared" si="107"/>
        <v>0</v>
      </c>
      <c r="N463" s="225">
        <f t="shared" si="108"/>
        <v>0</v>
      </c>
      <c r="O463" s="43" t="e">
        <f t="shared" si="109"/>
        <v>#VALUE!</v>
      </c>
      <c r="P463" s="43" t="e">
        <f>ROUND(IF(Preenchimento!$G$39="Tabela Price",R463-Q463,(O462*(1+$AD$35))/($AD$28-C462)),$P$22)</f>
        <v>#VALUE!</v>
      </c>
      <c r="Q463" s="43" t="e">
        <f>IF(Preenchimento!$G$39="Tabela Price",O462*(1+$AD$35)*W463,O462*(1+'SAC Padrão_Sem Bonif'!$AD$35)*'SAC Padrão_Sem Bonif'!W463)</f>
        <v>#VALUE!</v>
      </c>
      <c r="R463" s="43" t="e">
        <f>IF(Preenchimento!$G$39="Tabela Price",IF(C463="","",((((((1+W463)^($Q$16-C462))*W463)/((1+W463)^($Q$16-C462)-1))*(O462*(1+$AD$35))))),Q463+P463)</f>
        <v>#VALUE!</v>
      </c>
      <c r="S463" s="43" t="e">
        <f t="shared" ca="1" si="110"/>
        <v>#VALUE!</v>
      </c>
      <c r="T463" s="43">
        <f t="shared" si="111"/>
        <v>0</v>
      </c>
      <c r="U463" s="226">
        <f>TRUNC(T463*Condições!$C$102,2)</f>
        <v>0</v>
      </c>
      <c r="V463" s="82">
        <f t="shared" ca="1" si="112"/>
        <v>12</v>
      </c>
      <c r="W463" s="231" t="str">
        <f t="shared" si="113"/>
        <v/>
      </c>
      <c r="AI463" s="114">
        <f t="shared" si="99"/>
        <v>0</v>
      </c>
      <c r="AL463" s="477">
        <f t="shared" ca="1" si="100"/>
        <v>0</v>
      </c>
    </row>
    <row r="464" spans="2:38" ht="12.75" customHeight="1">
      <c r="B464" s="222">
        <f ca="1">Fixa!B464</f>
        <v>59552</v>
      </c>
      <c r="C464" s="223" t="str">
        <f>Fixa!C464</f>
        <v/>
      </c>
      <c r="D464" s="43" t="e">
        <f t="shared" si="101"/>
        <v>#VALUE!</v>
      </c>
      <c r="E464" s="43" t="e">
        <f t="shared" si="102"/>
        <v>#VALUE!</v>
      </c>
      <c r="F464" s="43" t="e">
        <f t="shared" si="103"/>
        <v>#VALUE!</v>
      </c>
      <c r="G464" s="43" t="e">
        <f t="shared" si="104"/>
        <v>#VALUE!</v>
      </c>
      <c r="H464" s="43" t="e">
        <f t="shared" ca="1" si="105"/>
        <v>#VALUE!</v>
      </c>
      <c r="I464" s="43">
        <f t="shared" si="106"/>
        <v>0</v>
      </c>
      <c r="J464" s="229">
        <f t="shared" si="93"/>
        <v>25</v>
      </c>
      <c r="K464" s="43">
        <f t="shared" si="107"/>
        <v>0</v>
      </c>
      <c r="N464" s="225">
        <f t="shared" si="108"/>
        <v>0</v>
      </c>
      <c r="O464" s="43" t="e">
        <f t="shared" si="109"/>
        <v>#VALUE!</v>
      </c>
      <c r="P464" s="43" t="e">
        <f>ROUND(IF(Preenchimento!$G$39="Tabela Price",R464-Q464,(O463*(1+$AD$35))/($AD$28-C463)),$P$22)</f>
        <v>#VALUE!</v>
      </c>
      <c r="Q464" s="43" t="e">
        <f>IF(Preenchimento!$G$39="Tabela Price",O463*(1+$AD$35)*W464,O463*(1+'SAC Padrão_Sem Bonif'!$AD$35)*'SAC Padrão_Sem Bonif'!W464)</f>
        <v>#VALUE!</v>
      </c>
      <c r="R464" s="43" t="e">
        <f>IF(Preenchimento!$G$39="Tabela Price",IF(C464="","",((((((1+W464)^($Q$16-C463))*W464)/((1+W464)^($Q$16-C463)-1))*(O463*(1+$AD$35))))),Q464+P464)</f>
        <v>#VALUE!</v>
      </c>
      <c r="S464" s="43" t="e">
        <f t="shared" ca="1" si="110"/>
        <v>#VALUE!</v>
      </c>
      <c r="T464" s="43">
        <f t="shared" si="111"/>
        <v>0</v>
      </c>
      <c r="U464" s="226">
        <f>TRUNC(T464*Condições!$C$102,2)</f>
        <v>0</v>
      </c>
      <c r="V464" s="82">
        <f t="shared" ca="1" si="112"/>
        <v>1</v>
      </c>
      <c r="W464" s="231" t="str">
        <f t="shared" si="113"/>
        <v/>
      </c>
      <c r="AI464" s="114">
        <f t="shared" si="99"/>
        <v>0</v>
      </c>
      <c r="AL464" s="477">
        <f t="shared" ca="1" si="100"/>
        <v>0</v>
      </c>
    </row>
    <row r="465" spans="2:38" ht="12.75" customHeight="1">
      <c r="B465" s="222">
        <f ca="1">Fixa!B465</f>
        <v>59583</v>
      </c>
      <c r="C465" s="223" t="str">
        <f>Fixa!C465</f>
        <v/>
      </c>
      <c r="D465" s="43" t="e">
        <f t="shared" si="101"/>
        <v>#VALUE!</v>
      </c>
      <c r="E465" s="43" t="e">
        <f t="shared" si="102"/>
        <v>#VALUE!</v>
      </c>
      <c r="F465" s="43" t="e">
        <f t="shared" si="103"/>
        <v>#VALUE!</v>
      </c>
      <c r="G465" s="43" t="e">
        <f t="shared" si="104"/>
        <v>#VALUE!</v>
      </c>
      <c r="H465" s="43" t="e">
        <f t="shared" ca="1" si="105"/>
        <v>#VALUE!</v>
      </c>
      <c r="I465" s="43">
        <f t="shared" si="106"/>
        <v>0</v>
      </c>
      <c r="J465" s="229">
        <f t="shared" si="93"/>
        <v>25</v>
      </c>
      <c r="K465" s="43">
        <f t="shared" si="107"/>
        <v>0</v>
      </c>
      <c r="N465" s="225">
        <f t="shared" si="108"/>
        <v>0</v>
      </c>
      <c r="O465" s="43" t="e">
        <f t="shared" si="109"/>
        <v>#VALUE!</v>
      </c>
      <c r="P465" s="43" t="e">
        <f>ROUND(IF(Preenchimento!$G$39="Tabela Price",R465-Q465,(O464*(1+$AD$35))/($AD$28-C464)),$P$22)</f>
        <v>#VALUE!</v>
      </c>
      <c r="Q465" s="43" t="e">
        <f>IF(Preenchimento!$G$39="Tabela Price",O464*(1+$AD$35)*W465,O464*(1+'SAC Padrão_Sem Bonif'!$AD$35)*'SAC Padrão_Sem Bonif'!W465)</f>
        <v>#VALUE!</v>
      </c>
      <c r="R465" s="43" t="e">
        <f>IF(Preenchimento!$G$39="Tabela Price",IF(C465="","",((((((1+W465)^($Q$16-C464))*W465)/((1+W465)^($Q$16-C464)-1))*(O464*(1+$AD$35))))),Q465+P465)</f>
        <v>#VALUE!</v>
      </c>
      <c r="S465" s="43" t="e">
        <f t="shared" ca="1" si="110"/>
        <v>#VALUE!</v>
      </c>
      <c r="T465" s="43">
        <f t="shared" si="111"/>
        <v>0</v>
      </c>
      <c r="U465" s="226">
        <f>TRUNC(T465*Condições!$C$102,2)</f>
        <v>0</v>
      </c>
      <c r="V465" s="82">
        <f t="shared" ca="1" si="112"/>
        <v>2</v>
      </c>
      <c r="W465" s="231" t="str">
        <f t="shared" si="113"/>
        <v/>
      </c>
      <c r="AI465" s="114">
        <f t="shared" si="99"/>
        <v>0</v>
      </c>
      <c r="AL465" s="477">
        <f t="shared" ca="1" si="100"/>
        <v>0</v>
      </c>
    </row>
    <row r="466" spans="2:38" ht="12.75" customHeight="1">
      <c r="B466" s="222">
        <f ca="1">Fixa!B466</f>
        <v>59611</v>
      </c>
      <c r="C466" s="223" t="str">
        <f>Fixa!C466</f>
        <v/>
      </c>
      <c r="D466" s="43" t="e">
        <f t="shared" si="101"/>
        <v>#VALUE!</v>
      </c>
      <c r="E466" s="43" t="e">
        <f t="shared" si="102"/>
        <v>#VALUE!</v>
      </c>
      <c r="F466" s="43" t="e">
        <f t="shared" si="103"/>
        <v>#VALUE!</v>
      </c>
      <c r="G466" s="43" t="e">
        <f t="shared" si="104"/>
        <v>#VALUE!</v>
      </c>
      <c r="H466" s="43" t="e">
        <f t="shared" ca="1" si="105"/>
        <v>#VALUE!</v>
      </c>
      <c r="I466" s="43">
        <f t="shared" si="106"/>
        <v>0</v>
      </c>
      <c r="J466" s="229">
        <f t="shared" si="93"/>
        <v>25</v>
      </c>
      <c r="K466" s="43">
        <f t="shared" si="107"/>
        <v>0</v>
      </c>
      <c r="N466" s="225">
        <f t="shared" si="108"/>
        <v>0</v>
      </c>
      <c r="O466" s="43" t="e">
        <f t="shared" si="109"/>
        <v>#VALUE!</v>
      </c>
      <c r="P466" s="43" t="e">
        <f>ROUND(IF(Preenchimento!$G$39="Tabela Price",R466-Q466,(O465*(1+$AD$35))/($AD$28-C465)),$P$22)</f>
        <v>#VALUE!</v>
      </c>
      <c r="Q466" s="43" t="e">
        <f>IF(Preenchimento!$G$39="Tabela Price",O465*(1+$AD$35)*W466,O465*(1+'SAC Padrão_Sem Bonif'!$AD$35)*'SAC Padrão_Sem Bonif'!W466)</f>
        <v>#VALUE!</v>
      </c>
      <c r="R466" s="43" t="e">
        <f>IF(Preenchimento!$G$39="Tabela Price",IF(C466="","",((((((1+W466)^($Q$16-C465))*W466)/((1+W466)^($Q$16-C465)-1))*(O465*(1+$AD$35))))),Q466+P466)</f>
        <v>#VALUE!</v>
      </c>
      <c r="S466" s="43" t="e">
        <f t="shared" ca="1" si="110"/>
        <v>#VALUE!</v>
      </c>
      <c r="T466" s="43">
        <f t="shared" si="111"/>
        <v>0</v>
      </c>
      <c r="U466" s="226">
        <f>TRUNC(T466*Condições!$C$102,2)</f>
        <v>0</v>
      </c>
      <c r="V466" s="82">
        <f t="shared" ca="1" si="112"/>
        <v>3</v>
      </c>
      <c r="W466" s="231" t="str">
        <f t="shared" si="113"/>
        <v/>
      </c>
      <c r="AI466" s="114">
        <f t="shared" si="99"/>
        <v>0</v>
      </c>
      <c r="AL466" s="477">
        <f t="shared" ca="1" si="100"/>
        <v>0</v>
      </c>
    </row>
    <row r="467" spans="2:38" ht="12.75" customHeight="1">
      <c r="B467" s="222">
        <f ca="1">Fixa!B467</f>
        <v>59642</v>
      </c>
      <c r="C467" s="223" t="str">
        <f>Fixa!C467</f>
        <v/>
      </c>
      <c r="D467" s="43" t="e">
        <f t="shared" si="101"/>
        <v>#VALUE!</v>
      </c>
      <c r="E467" s="43" t="e">
        <f t="shared" si="102"/>
        <v>#VALUE!</v>
      </c>
      <c r="F467" s="43" t="e">
        <f t="shared" si="103"/>
        <v>#VALUE!</v>
      </c>
      <c r="G467" s="43" t="e">
        <f t="shared" si="104"/>
        <v>#VALUE!</v>
      </c>
      <c r="H467" s="43" t="e">
        <f t="shared" ca="1" si="105"/>
        <v>#VALUE!</v>
      </c>
      <c r="I467" s="43">
        <f t="shared" si="106"/>
        <v>0</v>
      </c>
      <c r="J467" s="229">
        <f t="shared" si="93"/>
        <v>25</v>
      </c>
      <c r="K467" s="43">
        <f t="shared" si="107"/>
        <v>0</v>
      </c>
      <c r="N467" s="225">
        <f t="shared" si="108"/>
        <v>0</v>
      </c>
      <c r="O467" s="43" t="e">
        <f t="shared" si="109"/>
        <v>#VALUE!</v>
      </c>
      <c r="P467" s="43" t="e">
        <f>ROUND(IF(Preenchimento!$G$39="Tabela Price",R467-Q467,(O466*(1+$AD$35))/($AD$28-C466)),$P$22)</f>
        <v>#VALUE!</v>
      </c>
      <c r="Q467" s="43" t="e">
        <f>IF(Preenchimento!$G$39="Tabela Price",O466*(1+$AD$35)*W467,O466*(1+'SAC Padrão_Sem Bonif'!$AD$35)*'SAC Padrão_Sem Bonif'!W467)</f>
        <v>#VALUE!</v>
      </c>
      <c r="R467" s="43" t="e">
        <f>IF(Preenchimento!$G$39="Tabela Price",IF(C467="","",((((((1+W467)^($Q$16-C466))*W467)/((1+W467)^($Q$16-C466)-1))*(O466*(1+$AD$35))))),Q467+P467)</f>
        <v>#VALUE!</v>
      </c>
      <c r="S467" s="43" t="e">
        <f t="shared" ca="1" si="110"/>
        <v>#VALUE!</v>
      </c>
      <c r="T467" s="43">
        <f t="shared" si="111"/>
        <v>0</v>
      </c>
      <c r="U467" s="226">
        <f>TRUNC(T467*Condições!$C$102,2)</f>
        <v>0</v>
      </c>
      <c r="V467" s="82">
        <f t="shared" ca="1" si="112"/>
        <v>4</v>
      </c>
      <c r="W467" s="231" t="str">
        <f t="shared" si="113"/>
        <v/>
      </c>
      <c r="AI467" s="114">
        <f t="shared" si="99"/>
        <v>0</v>
      </c>
      <c r="AL467" s="477">
        <f t="shared" ca="1" si="100"/>
        <v>0</v>
      </c>
    </row>
    <row r="468" spans="2:38" ht="12.75" customHeight="1">
      <c r="B468" s="222">
        <f ca="1">Fixa!B468</f>
        <v>59672</v>
      </c>
      <c r="C468" s="223" t="str">
        <f>Fixa!C468</f>
        <v/>
      </c>
      <c r="D468" s="43" t="e">
        <f t="shared" si="101"/>
        <v>#VALUE!</v>
      </c>
      <c r="E468" s="43" t="e">
        <f t="shared" si="102"/>
        <v>#VALUE!</v>
      </c>
      <c r="F468" s="43" t="e">
        <f t="shared" si="103"/>
        <v>#VALUE!</v>
      </c>
      <c r="G468" s="43" t="e">
        <f t="shared" si="104"/>
        <v>#VALUE!</v>
      </c>
      <c r="H468" s="43" t="e">
        <f t="shared" ca="1" si="105"/>
        <v>#VALUE!</v>
      </c>
      <c r="I468" s="43">
        <f t="shared" si="106"/>
        <v>0</v>
      </c>
      <c r="J468" s="229">
        <f t="shared" si="93"/>
        <v>25</v>
      </c>
      <c r="K468" s="43">
        <f t="shared" si="107"/>
        <v>0</v>
      </c>
      <c r="N468" s="225">
        <f t="shared" si="108"/>
        <v>0</v>
      </c>
      <c r="O468" s="43" t="e">
        <f t="shared" si="109"/>
        <v>#VALUE!</v>
      </c>
      <c r="P468" s="43" t="e">
        <f>ROUND(IF(Preenchimento!$G$39="Tabela Price",R468-Q468,(O467*(1+$AD$35))/($AD$28-C467)),$P$22)</f>
        <v>#VALUE!</v>
      </c>
      <c r="Q468" s="43" t="e">
        <f>IF(Preenchimento!$G$39="Tabela Price",O467*(1+$AD$35)*W468,O467*(1+'SAC Padrão_Sem Bonif'!$AD$35)*'SAC Padrão_Sem Bonif'!W468)</f>
        <v>#VALUE!</v>
      </c>
      <c r="R468" s="43" t="e">
        <f>IF(Preenchimento!$G$39="Tabela Price",IF(C468="","",((((((1+W468)^($Q$16-C467))*W468)/((1+W468)^($Q$16-C467)-1))*(O467*(1+$AD$35))))),Q468+P468)</f>
        <v>#VALUE!</v>
      </c>
      <c r="S468" s="43" t="e">
        <f t="shared" ca="1" si="110"/>
        <v>#VALUE!</v>
      </c>
      <c r="T468" s="43">
        <f t="shared" si="111"/>
        <v>0</v>
      </c>
      <c r="U468" s="226">
        <f>TRUNC(T468*Condições!$C$102,2)</f>
        <v>0</v>
      </c>
      <c r="V468" s="82">
        <f t="shared" ca="1" si="112"/>
        <v>5</v>
      </c>
      <c r="W468" s="231" t="str">
        <f t="shared" si="113"/>
        <v/>
      </c>
      <c r="AI468" s="114">
        <f t="shared" si="99"/>
        <v>0</v>
      </c>
      <c r="AL468" s="477">
        <f t="shared" ca="1" si="100"/>
        <v>0</v>
      </c>
    </row>
    <row r="469" spans="2:38" ht="12.75" customHeight="1">
      <c r="B469" s="222">
        <f ca="1">Fixa!B469</f>
        <v>59703</v>
      </c>
      <c r="C469" s="223" t="str">
        <f>Fixa!C469</f>
        <v/>
      </c>
      <c r="D469" s="43" t="e">
        <f t="shared" si="101"/>
        <v>#VALUE!</v>
      </c>
      <c r="E469" s="43" t="e">
        <f t="shared" si="102"/>
        <v>#VALUE!</v>
      </c>
      <c r="F469" s="43" t="e">
        <f t="shared" si="103"/>
        <v>#VALUE!</v>
      </c>
      <c r="G469" s="43" t="e">
        <f t="shared" si="104"/>
        <v>#VALUE!</v>
      </c>
      <c r="H469" s="43" t="e">
        <f t="shared" ca="1" si="105"/>
        <v>#VALUE!</v>
      </c>
      <c r="I469" s="43">
        <f t="shared" si="106"/>
        <v>0</v>
      </c>
      <c r="J469" s="229">
        <f t="shared" si="93"/>
        <v>25</v>
      </c>
      <c r="K469" s="43">
        <f t="shared" si="107"/>
        <v>0</v>
      </c>
      <c r="N469" s="225">
        <f t="shared" si="108"/>
        <v>0</v>
      </c>
      <c r="O469" s="43" t="e">
        <f t="shared" si="109"/>
        <v>#VALUE!</v>
      </c>
      <c r="P469" s="43" t="e">
        <f>ROUND(IF(Preenchimento!$G$39="Tabela Price",R469-Q469,(O468*(1+$AD$35))/($AD$28-C468)),$P$22)</f>
        <v>#VALUE!</v>
      </c>
      <c r="Q469" s="43" t="e">
        <f>IF(Preenchimento!$G$39="Tabela Price",O468*(1+$AD$35)*W469,O468*(1+'SAC Padrão_Sem Bonif'!$AD$35)*'SAC Padrão_Sem Bonif'!W469)</f>
        <v>#VALUE!</v>
      </c>
      <c r="R469" s="43" t="e">
        <f>IF(Preenchimento!$G$39="Tabela Price",IF(C469="","",((((((1+W469)^($Q$16-C468))*W469)/((1+W469)^($Q$16-C468)-1))*(O468*(1+$AD$35))))),Q469+P469)</f>
        <v>#VALUE!</v>
      </c>
      <c r="S469" s="43" t="e">
        <f t="shared" ca="1" si="110"/>
        <v>#VALUE!</v>
      </c>
      <c r="T469" s="43">
        <f t="shared" si="111"/>
        <v>0</v>
      </c>
      <c r="U469" s="226">
        <f>TRUNC(T469*Condições!$C$102,2)</f>
        <v>0</v>
      </c>
      <c r="V469" s="82">
        <f t="shared" ca="1" si="112"/>
        <v>6</v>
      </c>
      <c r="W469" s="231" t="str">
        <f t="shared" si="113"/>
        <v/>
      </c>
      <c r="AI469" s="114">
        <f t="shared" si="99"/>
        <v>0</v>
      </c>
      <c r="AL469" s="477">
        <f t="shared" ca="1" si="100"/>
        <v>0</v>
      </c>
    </row>
    <row r="470" spans="2:38" ht="12.75" customHeight="1">
      <c r="B470" s="222">
        <f ca="1">Fixa!B470</f>
        <v>59733</v>
      </c>
      <c r="C470" s="223" t="str">
        <f>Fixa!C470</f>
        <v/>
      </c>
      <c r="D470" s="43" t="e">
        <f t="shared" si="101"/>
        <v>#VALUE!</v>
      </c>
      <c r="E470" s="43" t="e">
        <f t="shared" si="102"/>
        <v>#VALUE!</v>
      </c>
      <c r="F470" s="43" t="e">
        <f t="shared" si="103"/>
        <v>#VALUE!</v>
      </c>
      <c r="G470" s="43" t="e">
        <f t="shared" si="104"/>
        <v>#VALUE!</v>
      </c>
      <c r="H470" s="43" t="e">
        <f t="shared" ca="1" si="105"/>
        <v>#VALUE!</v>
      </c>
      <c r="I470" s="43">
        <f t="shared" si="106"/>
        <v>0</v>
      </c>
      <c r="J470" s="229">
        <f t="shared" si="93"/>
        <v>25</v>
      </c>
      <c r="K470" s="43">
        <f t="shared" si="107"/>
        <v>0</v>
      </c>
      <c r="N470" s="225">
        <f t="shared" si="108"/>
        <v>0</v>
      </c>
      <c r="O470" s="43" t="e">
        <f t="shared" si="109"/>
        <v>#VALUE!</v>
      </c>
      <c r="P470" s="43" t="e">
        <f>ROUND(IF(Preenchimento!$G$39="Tabela Price",R470-Q470,(O469*(1+$AD$35))/($AD$28-C469)),$P$22)</f>
        <v>#VALUE!</v>
      </c>
      <c r="Q470" s="43" t="e">
        <f>IF(Preenchimento!$G$39="Tabela Price",O469*(1+$AD$35)*W470,O469*(1+'SAC Padrão_Sem Bonif'!$AD$35)*'SAC Padrão_Sem Bonif'!W470)</f>
        <v>#VALUE!</v>
      </c>
      <c r="R470" s="43" t="e">
        <f>IF(Preenchimento!$G$39="Tabela Price",IF(C470="","",((((((1+W470)^($Q$16-C469))*W470)/((1+W470)^($Q$16-C469)-1))*(O469*(1+$AD$35))))),Q470+P470)</f>
        <v>#VALUE!</v>
      </c>
      <c r="S470" s="43" t="e">
        <f t="shared" ca="1" si="110"/>
        <v>#VALUE!</v>
      </c>
      <c r="T470" s="43">
        <f t="shared" si="111"/>
        <v>0</v>
      </c>
      <c r="U470" s="226">
        <f>TRUNC(T470*Condições!$C$102,2)</f>
        <v>0</v>
      </c>
      <c r="V470" s="82">
        <f t="shared" ca="1" si="112"/>
        <v>7</v>
      </c>
      <c r="W470" s="231" t="str">
        <f t="shared" si="113"/>
        <v/>
      </c>
      <c r="AI470" s="114">
        <f t="shared" si="99"/>
        <v>0</v>
      </c>
      <c r="AL470" s="477">
        <f t="shared" ca="1" si="100"/>
        <v>0</v>
      </c>
    </row>
    <row r="471" spans="2:38" ht="12.75" customHeight="1">
      <c r="B471" s="222">
        <f ca="1">Fixa!B471</f>
        <v>59764</v>
      </c>
      <c r="C471" s="223" t="str">
        <f>Fixa!C471</f>
        <v/>
      </c>
      <c r="D471" s="43" t="e">
        <f t="shared" si="101"/>
        <v>#VALUE!</v>
      </c>
      <c r="E471" s="43" t="e">
        <f t="shared" si="102"/>
        <v>#VALUE!</v>
      </c>
      <c r="F471" s="43" t="e">
        <f t="shared" si="103"/>
        <v>#VALUE!</v>
      </c>
      <c r="G471" s="43" t="e">
        <f t="shared" si="104"/>
        <v>#VALUE!</v>
      </c>
      <c r="H471" s="43" t="e">
        <f t="shared" ca="1" si="105"/>
        <v>#VALUE!</v>
      </c>
      <c r="I471" s="43">
        <f t="shared" si="106"/>
        <v>0</v>
      </c>
      <c r="J471" s="229">
        <f t="shared" si="93"/>
        <v>25</v>
      </c>
      <c r="K471" s="43">
        <f t="shared" si="107"/>
        <v>0</v>
      </c>
      <c r="N471" s="225">
        <f t="shared" si="108"/>
        <v>0</v>
      </c>
      <c r="O471" s="43" t="e">
        <f t="shared" si="109"/>
        <v>#VALUE!</v>
      </c>
      <c r="P471" s="43" t="e">
        <f>ROUND(IF(Preenchimento!$G$39="Tabela Price",R471-Q471,(O470*(1+$AD$35))/($AD$28-C470)),$P$22)</f>
        <v>#VALUE!</v>
      </c>
      <c r="Q471" s="43" t="e">
        <f>IF(Preenchimento!$G$39="Tabela Price",O470*(1+$AD$35)*W471,O470*(1+'SAC Padrão_Sem Bonif'!$AD$35)*'SAC Padrão_Sem Bonif'!W471)</f>
        <v>#VALUE!</v>
      </c>
      <c r="R471" s="43" t="e">
        <f>IF(Preenchimento!$G$39="Tabela Price",IF(C471="","",((((((1+W471)^($Q$16-C470))*W471)/((1+W471)^($Q$16-C470)-1))*(O470*(1+$AD$35))))),Q471+P471)</f>
        <v>#VALUE!</v>
      </c>
      <c r="S471" s="43" t="e">
        <f t="shared" ca="1" si="110"/>
        <v>#VALUE!</v>
      </c>
      <c r="T471" s="43">
        <f t="shared" si="111"/>
        <v>0</v>
      </c>
      <c r="U471" s="226">
        <f>TRUNC(T471*Condições!$C$102,2)</f>
        <v>0</v>
      </c>
      <c r="V471" s="82">
        <f t="shared" ca="1" si="112"/>
        <v>8</v>
      </c>
      <c r="W471" s="231" t="str">
        <f t="shared" si="113"/>
        <v/>
      </c>
      <c r="AI471" s="114">
        <f t="shared" si="99"/>
        <v>0</v>
      </c>
      <c r="AL471" s="477">
        <f t="shared" ca="1" si="100"/>
        <v>0</v>
      </c>
    </row>
    <row r="472" spans="2:38" ht="12.75" customHeight="1">
      <c r="B472" s="222">
        <f ca="1">Fixa!B472</f>
        <v>59795</v>
      </c>
      <c r="C472" s="223" t="str">
        <f>Fixa!C472</f>
        <v/>
      </c>
      <c r="D472" s="43" t="e">
        <f t="shared" si="101"/>
        <v>#VALUE!</v>
      </c>
      <c r="E472" s="43" t="e">
        <f t="shared" si="102"/>
        <v>#VALUE!</v>
      </c>
      <c r="F472" s="43" t="e">
        <f t="shared" si="103"/>
        <v>#VALUE!</v>
      </c>
      <c r="G472" s="43" t="e">
        <f t="shared" si="104"/>
        <v>#VALUE!</v>
      </c>
      <c r="H472" s="43" t="e">
        <f t="shared" ca="1" si="105"/>
        <v>#VALUE!</v>
      </c>
      <c r="I472" s="43">
        <f t="shared" si="106"/>
        <v>0</v>
      </c>
      <c r="J472" s="229">
        <f t="shared" si="93"/>
        <v>25</v>
      </c>
      <c r="K472" s="43">
        <f t="shared" si="107"/>
        <v>0</v>
      </c>
      <c r="N472" s="225">
        <f t="shared" si="108"/>
        <v>0</v>
      </c>
      <c r="O472" s="43" t="e">
        <f t="shared" si="109"/>
        <v>#VALUE!</v>
      </c>
      <c r="P472" s="43" t="e">
        <f>ROUND(IF(Preenchimento!$G$39="Tabela Price",R472-Q472,(O471*(1+$AD$35))/($AD$28-C471)),$P$22)</f>
        <v>#VALUE!</v>
      </c>
      <c r="Q472" s="43" t="e">
        <f>IF(Preenchimento!$G$39="Tabela Price",O471*(1+$AD$35)*W472,O471*(1+'SAC Padrão_Sem Bonif'!$AD$35)*'SAC Padrão_Sem Bonif'!W472)</f>
        <v>#VALUE!</v>
      </c>
      <c r="R472" s="43" t="e">
        <f>IF(Preenchimento!$G$39="Tabela Price",IF(C472="","",((((((1+W472)^($Q$16-C471))*W472)/((1+W472)^($Q$16-C471)-1))*(O471*(1+$AD$35))))),Q472+P472)</f>
        <v>#VALUE!</v>
      </c>
      <c r="S472" s="43" t="e">
        <f t="shared" ca="1" si="110"/>
        <v>#VALUE!</v>
      </c>
      <c r="T472" s="43">
        <f t="shared" si="111"/>
        <v>0</v>
      </c>
      <c r="U472" s="226">
        <f>TRUNC(T472*Condições!$C$102,2)</f>
        <v>0</v>
      </c>
      <c r="V472" s="82">
        <f t="shared" ca="1" si="112"/>
        <v>9</v>
      </c>
      <c r="W472" s="231" t="str">
        <f t="shared" si="113"/>
        <v/>
      </c>
      <c r="AI472" s="114">
        <f t="shared" si="99"/>
        <v>0</v>
      </c>
      <c r="AL472" s="477">
        <f t="shared" ca="1" si="100"/>
        <v>0</v>
      </c>
    </row>
    <row r="473" spans="2:38" ht="12.75" customHeight="1">
      <c r="B473" s="222">
        <f ca="1">Fixa!B473</f>
        <v>59825</v>
      </c>
      <c r="C473" s="223" t="str">
        <f>Fixa!C473</f>
        <v/>
      </c>
      <c r="D473" s="43" t="e">
        <f t="shared" si="101"/>
        <v>#VALUE!</v>
      </c>
      <c r="E473" s="43" t="e">
        <f t="shared" si="102"/>
        <v>#VALUE!</v>
      </c>
      <c r="F473" s="43" t="e">
        <f t="shared" si="103"/>
        <v>#VALUE!</v>
      </c>
      <c r="G473" s="43" t="e">
        <f t="shared" si="104"/>
        <v>#VALUE!</v>
      </c>
      <c r="H473" s="43" t="e">
        <f t="shared" ca="1" si="105"/>
        <v>#VALUE!</v>
      </c>
      <c r="I473" s="43">
        <f t="shared" si="106"/>
        <v>0</v>
      </c>
      <c r="J473" s="229">
        <f t="shared" si="93"/>
        <v>25</v>
      </c>
      <c r="K473" s="43">
        <f t="shared" si="107"/>
        <v>0</v>
      </c>
      <c r="N473" s="225">
        <f t="shared" si="108"/>
        <v>0</v>
      </c>
      <c r="O473" s="43" t="e">
        <f t="shared" si="109"/>
        <v>#VALUE!</v>
      </c>
      <c r="P473" s="43" t="e">
        <f>ROUND(IF(Preenchimento!$G$39="Tabela Price",R473-Q473,(O472*(1+$AD$35))/($AD$28-C472)),$P$22)</f>
        <v>#VALUE!</v>
      </c>
      <c r="Q473" s="43" t="e">
        <f>IF(Preenchimento!$G$39="Tabela Price",O472*(1+$AD$35)*W473,O472*(1+'SAC Padrão_Sem Bonif'!$AD$35)*'SAC Padrão_Sem Bonif'!W473)</f>
        <v>#VALUE!</v>
      </c>
      <c r="R473" s="43" t="e">
        <f>IF(Preenchimento!$G$39="Tabela Price",IF(C473="","",((((((1+W473)^($Q$16-C472))*W473)/((1+W473)^($Q$16-C472)-1))*(O472*(1+$AD$35))))),Q473+P473)</f>
        <v>#VALUE!</v>
      </c>
      <c r="S473" s="43" t="e">
        <f t="shared" ca="1" si="110"/>
        <v>#VALUE!</v>
      </c>
      <c r="T473" s="43">
        <f t="shared" si="111"/>
        <v>0</v>
      </c>
      <c r="U473" s="226">
        <f>TRUNC(T473*Condições!$C$102,2)</f>
        <v>0</v>
      </c>
      <c r="V473" s="82">
        <f t="shared" ca="1" si="112"/>
        <v>10</v>
      </c>
      <c r="W473" s="231" t="str">
        <f t="shared" si="113"/>
        <v/>
      </c>
      <c r="AI473" s="114">
        <f t="shared" si="99"/>
        <v>0</v>
      </c>
      <c r="AL473" s="477">
        <f t="shared" ca="1" si="100"/>
        <v>0</v>
      </c>
    </row>
    <row r="474" spans="2:38" ht="12.75" customHeight="1">
      <c r="B474" s="222">
        <f ca="1">Fixa!B474</f>
        <v>59856</v>
      </c>
      <c r="C474" s="223" t="str">
        <f>Fixa!C474</f>
        <v/>
      </c>
      <c r="D474" s="43" t="e">
        <f t="shared" si="101"/>
        <v>#VALUE!</v>
      </c>
      <c r="E474" s="43" t="e">
        <f t="shared" si="102"/>
        <v>#VALUE!</v>
      </c>
      <c r="F474" s="43" t="e">
        <f t="shared" si="103"/>
        <v>#VALUE!</v>
      </c>
      <c r="G474" s="43" t="e">
        <f t="shared" si="104"/>
        <v>#VALUE!</v>
      </c>
      <c r="H474" s="43" t="e">
        <f t="shared" ca="1" si="105"/>
        <v>#VALUE!</v>
      </c>
      <c r="I474" s="43">
        <f t="shared" si="106"/>
        <v>0</v>
      </c>
      <c r="J474" s="229">
        <f t="shared" si="93"/>
        <v>25</v>
      </c>
      <c r="K474" s="43">
        <f t="shared" si="107"/>
        <v>0</v>
      </c>
      <c r="N474" s="225">
        <f t="shared" si="108"/>
        <v>0</v>
      </c>
      <c r="O474" s="43" t="e">
        <f t="shared" si="109"/>
        <v>#VALUE!</v>
      </c>
      <c r="P474" s="43" t="e">
        <f>ROUND(IF(Preenchimento!$G$39="Tabela Price",R474-Q474,(O473*(1+$AD$35))/($AD$28-C473)),$P$22)</f>
        <v>#VALUE!</v>
      </c>
      <c r="Q474" s="43" t="e">
        <f>IF(Preenchimento!$G$39="Tabela Price",O473*(1+$AD$35)*W474,O473*(1+'SAC Padrão_Sem Bonif'!$AD$35)*'SAC Padrão_Sem Bonif'!W474)</f>
        <v>#VALUE!</v>
      </c>
      <c r="R474" s="43" t="e">
        <f>IF(Preenchimento!$G$39="Tabela Price",IF(C474="","",((((((1+W474)^($Q$16-C473))*W474)/((1+W474)^($Q$16-C473)-1))*(O473*(1+$AD$35))))),Q474+P474)</f>
        <v>#VALUE!</v>
      </c>
      <c r="S474" s="43" t="e">
        <f t="shared" ca="1" si="110"/>
        <v>#VALUE!</v>
      </c>
      <c r="T474" s="43">
        <f t="shared" si="111"/>
        <v>0</v>
      </c>
      <c r="U474" s="226">
        <f>TRUNC(T474*Condições!$C$102,2)</f>
        <v>0</v>
      </c>
      <c r="V474" s="82">
        <f t="shared" ca="1" si="112"/>
        <v>11</v>
      </c>
      <c r="W474" s="231" t="str">
        <f t="shared" si="113"/>
        <v/>
      </c>
      <c r="AI474" s="114">
        <f t="shared" si="99"/>
        <v>0</v>
      </c>
      <c r="AL474" s="477">
        <f t="shared" ca="1" si="100"/>
        <v>0</v>
      </c>
    </row>
    <row r="475" spans="2:38" ht="12.75" customHeight="1">
      <c r="B475" s="222">
        <f ca="1">Fixa!B475</f>
        <v>59886</v>
      </c>
      <c r="C475" s="223" t="str">
        <f>Fixa!C475</f>
        <v/>
      </c>
      <c r="D475" s="43" t="e">
        <f t="shared" si="101"/>
        <v>#VALUE!</v>
      </c>
      <c r="E475" s="43" t="e">
        <f t="shared" si="102"/>
        <v>#VALUE!</v>
      </c>
      <c r="F475" s="43" t="e">
        <f t="shared" si="103"/>
        <v>#VALUE!</v>
      </c>
      <c r="G475" s="43" t="e">
        <f t="shared" si="104"/>
        <v>#VALUE!</v>
      </c>
      <c r="H475" s="43" t="e">
        <f t="shared" ca="1" si="105"/>
        <v>#VALUE!</v>
      </c>
      <c r="I475" s="43">
        <f t="shared" si="106"/>
        <v>0</v>
      </c>
      <c r="J475" s="229">
        <f t="shared" ref="J475:J511" si="114">$AD$31</f>
        <v>25</v>
      </c>
      <c r="K475" s="43">
        <f t="shared" si="107"/>
        <v>0</v>
      </c>
      <c r="N475" s="225">
        <f t="shared" si="108"/>
        <v>0</v>
      </c>
      <c r="O475" s="43" t="e">
        <f t="shared" si="109"/>
        <v>#VALUE!</v>
      </c>
      <c r="P475" s="43" t="e">
        <f>ROUND(IF(Preenchimento!$G$39="Tabela Price",R475-Q475,(O474*(1+$AD$35))/($AD$28-C474)),$P$22)</f>
        <v>#VALUE!</v>
      </c>
      <c r="Q475" s="43" t="e">
        <f>IF(Preenchimento!$G$39="Tabela Price",O474*(1+$AD$35)*W475,O474*(1+'SAC Padrão_Sem Bonif'!$AD$35)*'SAC Padrão_Sem Bonif'!W475)</f>
        <v>#VALUE!</v>
      </c>
      <c r="R475" s="43" t="e">
        <f>IF(Preenchimento!$G$39="Tabela Price",IF(C475="","",((((((1+W475)^($Q$16-C474))*W475)/((1+W475)^($Q$16-C474)-1))*(O474*(1+$AD$35))))),Q475+P475)</f>
        <v>#VALUE!</v>
      </c>
      <c r="S475" s="43" t="e">
        <f t="shared" ca="1" si="110"/>
        <v>#VALUE!</v>
      </c>
      <c r="T475" s="43">
        <f t="shared" si="111"/>
        <v>0</v>
      </c>
      <c r="U475" s="226">
        <f>TRUNC(T475*Condições!$C$102,2)</f>
        <v>0</v>
      </c>
      <c r="V475" s="82">
        <f t="shared" ca="1" si="112"/>
        <v>12</v>
      </c>
      <c r="W475" s="231" t="str">
        <f t="shared" si="113"/>
        <v/>
      </c>
      <c r="AI475" s="114">
        <f t="shared" ref="AI475:AI511" si="115">IF(C475&gt;$AD$28,0,R475+S475+T475+U475+J475)</f>
        <v>0</v>
      </c>
      <c r="AL475" s="477">
        <f t="shared" ref="AL475:AL511" ca="1" si="116">IFERROR(IF(V474&gt;$AD$28,0,R475),0)</f>
        <v>0</v>
      </c>
    </row>
    <row r="476" spans="2:38" ht="12.75" customHeight="1">
      <c r="B476" s="222">
        <f ca="1">Fixa!B476</f>
        <v>59917</v>
      </c>
      <c r="C476" s="223" t="str">
        <f>Fixa!C476</f>
        <v/>
      </c>
      <c r="D476" s="43" t="e">
        <f t="shared" si="101"/>
        <v>#VALUE!</v>
      </c>
      <c r="E476" s="43" t="e">
        <f t="shared" si="102"/>
        <v>#VALUE!</v>
      </c>
      <c r="F476" s="43" t="e">
        <f t="shared" si="103"/>
        <v>#VALUE!</v>
      </c>
      <c r="G476" s="43" t="e">
        <f t="shared" si="104"/>
        <v>#VALUE!</v>
      </c>
      <c r="H476" s="43" t="e">
        <f t="shared" ca="1" si="105"/>
        <v>#VALUE!</v>
      </c>
      <c r="I476" s="43">
        <f t="shared" si="106"/>
        <v>0</v>
      </c>
      <c r="J476" s="229">
        <f t="shared" si="114"/>
        <v>25</v>
      </c>
      <c r="K476" s="43">
        <f t="shared" si="107"/>
        <v>0</v>
      </c>
      <c r="N476" s="225">
        <f t="shared" si="108"/>
        <v>0</v>
      </c>
      <c r="O476" s="43" t="e">
        <f t="shared" si="109"/>
        <v>#VALUE!</v>
      </c>
      <c r="P476" s="43" t="e">
        <f>ROUND(IF(Preenchimento!$G$39="Tabela Price",R476-Q476,(O475*(1+$AD$35))/($AD$28-C475)),$P$22)</f>
        <v>#VALUE!</v>
      </c>
      <c r="Q476" s="43" t="e">
        <f>IF(Preenchimento!$G$39="Tabela Price",O475*(1+$AD$35)*W476,O475*(1+'SAC Padrão_Sem Bonif'!$AD$35)*'SAC Padrão_Sem Bonif'!W476)</f>
        <v>#VALUE!</v>
      </c>
      <c r="R476" s="43" t="e">
        <f>IF(Preenchimento!$G$39="Tabela Price",IF(C476="","",((((((1+W476)^($Q$16-C475))*W476)/((1+W476)^($Q$16-C475)-1))*(O475*(1+$AD$35))))),Q476+P476)</f>
        <v>#VALUE!</v>
      </c>
      <c r="S476" s="43" t="e">
        <f t="shared" ca="1" si="110"/>
        <v>#VALUE!</v>
      </c>
      <c r="T476" s="43">
        <f t="shared" si="111"/>
        <v>0</v>
      </c>
      <c r="U476" s="226">
        <f>TRUNC(T476*Condições!$C$102,2)</f>
        <v>0</v>
      </c>
      <c r="V476" s="82">
        <f t="shared" ca="1" si="112"/>
        <v>1</v>
      </c>
      <c r="W476" s="231" t="str">
        <f t="shared" si="113"/>
        <v/>
      </c>
      <c r="AI476" s="114">
        <f t="shared" si="115"/>
        <v>0</v>
      </c>
      <c r="AL476" s="477">
        <f t="shared" ca="1" si="116"/>
        <v>0</v>
      </c>
    </row>
    <row r="477" spans="2:38" ht="12.75" customHeight="1">
      <c r="B477" s="222">
        <f ca="1">Fixa!B477</f>
        <v>59948</v>
      </c>
      <c r="C477" s="223" t="str">
        <f>Fixa!C477</f>
        <v/>
      </c>
      <c r="D477" s="43" t="e">
        <f t="shared" si="101"/>
        <v>#VALUE!</v>
      </c>
      <c r="E477" s="43" t="e">
        <f t="shared" si="102"/>
        <v>#VALUE!</v>
      </c>
      <c r="F477" s="43" t="e">
        <f t="shared" si="103"/>
        <v>#VALUE!</v>
      </c>
      <c r="G477" s="43" t="e">
        <f t="shared" si="104"/>
        <v>#VALUE!</v>
      </c>
      <c r="H477" s="43" t="e">
        <f t="shared" ca="1" si="105"/>
        <v>#VALUE!</v>
      </c>
      <c r="I477" s="43">
        <f t="shared" si="106"/>
        <v>0</v>
      </c>
      <c r="J477" s="229">
        <f t="shared" si="114"/>
        <v>25</v>
      </c>
      <c r="K477" s="43">
        <f t="shared" si="107"/>
        <v>0</v>
      </c>
      <c r="N477" s="225">
        <f t="shared" si="108"/>
        <v>0</v>
      </c>
      <c r="O477" s="43" t="e">
        <f t="shared" si="109"/>
        <v>#VALUE!</v>
      </c>
      <c r="P477" s="43" t="e">
        <f>ROUND(IF(Preenchimento!$G$39="Tabela Price",R477-Q477,(O476*(1+$AD$35))/($AD$28-C476)),$P$22)</f>
        <v>#VALUE!</v>
      </c>
      <c r="Q477" s="43" t="e">
        <f>IF(Preenchimento!$G$39="Tabela Price",O476*(1+$AD$35)*W477,O476*(1+'SAC Padrão_Sem Bonif'!$AD$35)*'SAC Padrão_Sem Bonif'!W477)</f>
        <v>#VALUE!</v>
      </c>
      <c r="R477" s="43" t="e">
        <f>IF(Preenchimento!$G$39="Tabela Price",IF(C477="","",((((((1+W477)^($Q$16-C476))*W477)/((1+W477)^($Q$16-C476)-1))*(O476*(1+$AD$35))))),Q477+P477)</f>
        <v>#VALUE!</v>
      </c>
      <c r="S477" s="43" t="e">
        <f t="shared" ca="1" si="110"/>
        <v>#VALUE!</v>
      </c>
      <c r="T477" s="43">
        <f t="shared" si="111"/>
        <v>0</v>
      </c>
      <c r="U477" s="226">
        <f>TRUNC(T477*Condições!$C$102,2)</f>
        <v>0</v>
      </c>
      <c r="V477" s="82">
        <f t="shared" ca="1" si="112"/>
        <v>2</v>
      </c>
      <c r="W477" s="231" t="str">
        <f t="shared" si="113"/>
        <v/>
      </c>
      <c r="AI477" s="114">
        <f t="shared" si="115"/>
        <v>0</v>
      </c>
      <c r="AL477" s="477">
        <f t="shared" ca="1" si="116"/>
        <v>0</v>
      </c>
    </row>
    <row r="478" spans="2:38" ht="12.75" customHeight="1">
      <c r="B478" s="222">
        <f ca="1">Fixa!B478</f>
        <v>59977</v>
      </c>
      <c r="C478" s="223" t="str">
        <f>Fixa!C478</f>
        <v/>
      </c>
      <c r="D478" s="43" t="e">
        <f t="shared" si="101"/>
        <v>#VALUE!</v>
      </c>
      <c r="E478" s="43" t="e">
        <f t="shared" si="102"/>
        <v>#VALUE!</v>
      </c>
      <c r="F478" s="43" t="e">
        <f t="shared" si="103"/>
        <v>#VALUE!</v>
      </c>
      <c r="G478" s="43" t="e">
        <f t="shared" si="104"/>
        <v>#VALUE!</v>
      </c>
      <c r="H478" s="43" t="e">
        <f t="shared" ca="1" si="105"/>
        <v>#VALUE!</v>
      </c>
      <c r="I478" s="43">
        <f t="shared" si="106"/>
        <v>0</v>
      </c>
      <c r="J478" s="229">
        <f t="shared" si="114"/>
        <v>25</v>
      </c>
      <c r="K478" s="43">
        <f t="shared" si="107"/>
        <v>0</v>
      </c>
      <c r="N478" s="225">
        <f t="shared" si="108"/>
        <v>0</v>
      </c>
      <c r="O478" s="43" t="e">
        <f t="shared" si="109"/>
        <v>#VALUE!</v>
      </c>
      <c r="P478" s="43" t="e">
        <f>ROUND(IF(Preenchimento!$G$39="Tabela Price",R478-Q478,(O477*(1+$AD$35))/($AD$28-C477)),$P$22)</f>
        <v>#VALUE!</v>
      </c>
      <c r="Q478" s="43" t="e">
        <f>IF(Preenchimento!$G$39="Tabela Price",O477*(1+$AD$35)*W478,O477*(1+'SAC Padrão_Sem Bonif'!$AD$35)*'SAC Padrão_Sem Bonif'!W478)</f>
        <v>#VALUE!</v>
      </c>
      <c r="R478" s="43" t="e">
        <f>IF(Preenchimento!$G$39="Tabela Price",IF(C478="","",((((((1+W478)^($Q$16-C477))*W478)/((1+W478)^($Q$16-C477)-1))*(O477*(1+$AD$35))))),Q478+P478)</f>
        <v>#VALUE!</v>
      </c>
      <c r="S478" s="43" t="e">
        <f t="shared" ca="1" si="110"/>
        <v>#VALUE!</v>
      </c>
      <c r="T478" s="43">
        <f t="shared" si="111"/>
        <v>0</v>
      </c>
      <c r="U478" s="226">
        <f>TRUNC(T478*Condições!$C$102,2)</f>
        <v>0</v>
      </c>
      <c r="V478" s="82">
        <f t="shared" ca="1" si="112"/>
        <v>3</v>
      </c>
      <c r="W478" s="231" t="str">
        <f t="shared" si="113"/>
        <v/>
      </c>
      <c r="AI478" s="114">
        <f t="shared" si="115"/>
        <v>0</v>
      </c>
      <c r="AL478" s="477">
        <f t="shared" ca="1" si="116"/>
        <v>0</v>
      </c>
    </row>
    <row r="479" spans="2:38" ht="12.75" customHeight="1">
      <c r="B479" s="222">
        <f ca="1">Fixa!B479</f>
        <v>60008</v>
      </c>
      <c r="C479" s="223" t="str">
        <f>Fixa!C479</f>
        <v/>
      </c>
      <c r="D479" s="43" t="e">
        <f t="shared" si="101"/>
        <v>#VALUE!</v>
      </c>
      <c r="E479" s="43" t="e">
        <f t="shared" si="102"/>
        <v>#VALUE!</v>
      </c>
      <c r="F479" s="43" t="e">
        <f t="shared" si="103"/>
        <v>#VALUE!</v>
      </c>
      <c r="G479" s="43" t="e">
        <f t="shared" si="104"/>
        <v>#VALUE!</v>
      </c>
      <c r="H479" s="43" t="e">
        <f t="shared" ca="1" si="105"/>
        <v>#VALUE!</v>
      </c>
      <c r="I479" s="43">
        <f t="shared" si="106"/>
        <v>0</v>
      </c>
      <c r="J479" s="229">
        <f t="shared" si="114"/>
        <v>25</v>
      </c>
      <c r="K479" s="43">
        <f t="shared" si="107"/>
        <v>0</v>
      </c>
      <c r="N479" s="225">
        <f t="shared" si="108"/>
        <v>0</v>
      </c>
      <c r="O479" s="43" t="e">
        <f t="shared" si="109"/>
        <v>#VALUE!</v>
      </c>
      <c r="P479" s="43" t="e">
        <f>ROUND(IF(Preenchimento!$G$39="Tabela Price",R479-Q479,(O478*(1+$AD$35))/($AD$28-C478)),$P$22)</f>
        <v>#VALUE!</v>
      </c>
      <c r="Q479" s="43" t="e">
        <f>IF(Preenchimento!$G$39="Tabela Price",O478*(1+$AD$35)*W479,O478*(1+'SAC Padrão_Sem Bonif'!$AD$35)*'SAC Padrão_Sem Bonif'!W479)</f>
        <v>#VALUE!</v>
      </c>
      <c r="R479" s="43" t="e">
        <f>IF(Preenchimento!$G$39="Tabela Price",IF(C479="","",((((((1+W479)^($Q$16-C478))*W479)/((1+W479)^($Q$16-C478)-1))*(O478*(1+$AD$35))))),Q479+P479)</f>
        <v>#VALUE!</v>
      </c>
      <c r="S479" s="43" t="e">
        <f t="shared" ca="1" si="110"/>
        <v>#VALUE!</v>
      </c>
      <c r="T479" s="43">
        <f t="shared" si="111"/>
        <v>0</v>
      </c>
      <c r="U479" s="226">
        <f>TRUNC(T479*Condições!$C$102,2)</f>
        <v>0</v>
      </c>
      <c r="V479" s="82">
        <f t="shared" ca="1" si="112"/>
        <v>4</v>
      </c>
      <c r="W479" s="231" t="str">
        <f t="shared" si="113"/>
        <v/>
      </c>
      <c r="AI479" s="114">
        <f t="shared" si="115"/>
        <v>0</v>
      </c>
      <c r="AL479" s="477">
        <f t="shared" ca="1" si="116"/>
        <v>0</v>
      </c>
    </row>
    <row r="480" spans="2:38" ht="12.75" customHeight="1">
      <c r="B480" s="222">
        <f ca="1">Fixa!B480</f>
        <v>60038</v>
      </c>
      <c r="C480" s="223" t="str">
        <f>Fixa!C480</f>
        <v/>
      </c>
      <c r="D480" s="43" t="e">
        <f t="shared" si="101"/>
        <v>#VALUE!</v>
      </c>
      <c r="E480" s="43" t="e">
        <f t="shared" si="102"/>
        <v>#VALUE!</v>
      </c>
      <c r="F480" s="43" t="e">
        <f t="shared" si="103"/>
        <v>#VALUE!</v>
      </c>
      <c r="G480" s="43" t="e">
        <f t="shared" si="104"/>
        <v>#VALUE!</v>
      </c>
      <c r="H480" s="43" t="e">
        <f t="shared" ca="1" si="105"/>
        <v>#VALUE!</v>
      </c>
      <c r="I480" s="43">
        <f t="shared" si="106"/>
        <v>0</v>
      </c>
      <c r="J480" s="229">
        <f t="shared" si="114"/>
        <v>25</v>
      </c>
      <c r="K480" s="43">
        <f t="shared" si="107"/>
        <v>0</v>
      </c>
      <c r="N480" s="225">
        <f t="shared" si="108"/>
        <v>0</v>
      </c>
      <c r="O480" s="43" t="e">
        <f t="shared" si="109"/>
        <v>#VALUE!</v>
      </c>
      <c r="P480" s="43" t="e">
        <f>ROUND(IF(Preenchimento!$G$39="Tabela Price",R480-Q480,(O479*(1+$AD$35))/($AD$28-C479)),$P$22)</f>
        <v>#VALUE!</v>
      </c>
      <c r="Q480" s="43" t="e">
        <f>IF(Preenchimento!$G$39="Tabela Price",O479*(1+$AD$35)*W480,O479*(1+'SAC Padrão_Sem Bonif'!$AD$35)*'SAC Padrão_Sem Bonif'!W480)</f>
        <v>#VALUE!</v>
      </c>
      <c r="R480" s="43" t="e">
        <f>IF(Preenchimento!$G$39="Tabela Price",IF(C480="","",((((((1+W480)^($Q$16-C479))*W480)/((1+W480)^($Q$16-C479)-1))*(O479*(1+$AD$35))))),Q480+P480)</f>
        <v>#VALUE!</v>
      </c>
      <c r="S480" s="43" t="e">
        <f t="shared" ca="1" si="110"/>
        <v>#VALUE!</v>
      </c>
      <c r="T480" s="43">
        <f t="shared" si="111"/>
        <v>0</v>
      </c>
      <c r="U480" s="226">
        <f>TRUNC(T480*Condições!$C$102,2)</f>
        <v>0</v>
      </c>
      <c r="V480" s="82">
        <f t="shared" ca="1" si="112"/>
        <v>5</v>
      </c>
      <c r="W480" s="231" t="str">
        <f t="shared" si="113"/>
        <v/>
      </c>
      <c r="AI480" s="114">
        <f t="shared" si="115"/>
        <v>0</v>
      </c>
      <c r="AL480" s="477">
        <f t="shared" ca="1" si="116"/>
        <v>0</v>
      </c>
    </row>
    <row r="481" spans="2:38" ht="12.75" customHeight="1">
      <c r="B481" s="222">
        <f ca="1">Fixa!B481</f>
        <v>60069</v>
      </c>
      <c r="C481" s="223" t="str">
        <f>Fixa!C481</f>
        <v/>
      </c>
      <c r="D481" s="43" t="e">
        <f t="shared" si="101"/>
        <v>#VALUE!</v>
      </c>
      <c r="E481" s="43" t="e">
        <f t="shared" si="102"/>
        <v>#VALUE!</v>
      </c>
      <c r="F481" s="43" t="e">
        <f t="shared" si="103"/>
        <v>#VALUE!</v>
      </c>
      <c r="G481" s="43" t="e">
        <f t="shared" si="104"/>
        <v>#VALUE!</v>
      </c>
      <c r="H481" s="43" t="e">
        <f t="shared" ca="1" si="105"/>
        <v>#VALUE!</v>
      </c>
      <c r="I481" s="43">
        <f t="shared" si="106"/>
        <v>0</v>
      </c>
      <c r="J481" s="229">
        <f t="shared" si="114"/>
        <v>25</v>
      </c>
      <c r="K481" s="43">
        <f t="shared" si="107"/>
        <v>0</v>
      </c>
      <c r="N481" s="225">
        <f t="shared" si="108"/>
        <v>0</v>
      </c>
      <c r="O481" s="43" t="e">
        <f t="shared" si="109"/>
        <v>#VALUE!</v>
      </c>
      <c r="P481" s="43" t="e">
        <f>ROUND(IF(Preenchimento!$G$39="Tabela Price",R481-Q481,(O480*(1+$AD$35))/($AD$28-C480)),$P$22)</f>
        <v>#VALUE!</v>
      </c>
      <c r="Q481" s="43" t="e">
        <f>IF(Preenchimento!$G$39="Tabela Price",O480*(1+$AD$35)*W481,O480*(1+'SAC Padrão_Sem Bonif'!$AD$35)*'SAC Padrão_Sem Bonif'!W481)</f>
        <v>#VALUE!</v>
      </c>
      <c r="R481" s="43" t="e">
        <f>IF(Preenchimento!$G$39="Tabela Price",IF(C481="","",((((((1+W481)^($Q$16-C480))*W481)/((1+W481)^($Q$16-C480)-1))*(O480*(1+$AD$35))))),Q481+P481)</f>
        <v>#VALUE!</v>
      </c>
      <c r="S481" s="43" t="e">
        <f t="shared" ca="1" si="110"/>
        <v>#VALUE!</v>
      </c>
      <c r="T481" s="43">
        <f t="shared" si="111"/>
        <v>0</v>
      </c>
      <c r="U481" s="226">
        <f>TRUNC(T481*Condições!$C$102,2)</f>
        <v>0</v>
      </c>
      <c r="V481" s="82">
        <f t="shared" ca="1" si="112"/>
        <v>6</v>
      </c>
      <c r="W481" s="231" t="str">
        <f t="shared" si="113"/>
        <v/>
      </c>
      <c r="AI481" s="114">
        <f t="shared" si="115"/>
        <v>0</v>
      </c>
      <c r="AL481" s="477">
        <f t="shared" ca="1" si="116"/>
        <v>0</v>
      </c>
    </row>
    <row r="482" spans="2:38" ht="12.75" customHeight="1">
      <c r="B482" s="222">
        <f ca="1">Fixa!B482</f>
        <v>60099</v>
      </c>
      <c r="C482" s="223" t="str">
        <f>Fixa!C482</f>
        <v/>
      </c>
      <c r="D482" s="43" t="e">
        <f t="shared" si="101"/>
        <v>#VALUE!</v>
      </c>
      <c r="E482" s="43" t="e">
        <f t="shared" si="102"/>
        <v>#VALUE!</v>
      </c>
      <c r="F482" s="43" t="e">
        <f t="shared" si="103"/>
        <v>#VALUE!</v>
      </c>
      <c r="G482" s="43" t="e">
        <f t="shared" si="104"/>
        <v>#VALUE!</v>
      </c>
      <c r="H482" s="43" t="e">
        <f t="shared" ca="1" si="105"/>
        <v>#VALUE!</v>
      </c>
      <c r="I482" s="43">
        <f t="shared" si="106"/>
        <v>0</v>
      </c>
      <c r="J482" s="229">
        <f t="shared" si="114"/>
        <v>25</v>
      </c>
      <c r="K482" s="43">
        <f t="shared" si="107"/>
        <v>0</v>
      </c>
      <c r="N482" s="225">
        <f t="shared" si="108"/>
        <v>0</v>
      </c>
      <c r="O482" s="43" t="e">
        <f t="shared" si="109"/>
        <v>#VALUE!</v>
      </c>
      <c r="P482" s="43" t="e">
        <f>ROUND(IF(Preenchimento!$G$39="Tabela Price",R482-Q482,(O481*(1+$AD$35))/($AD$28-C481)),$P$22)</f>
        <v>#VALUE!</v>
      </c>
      <c r="Q482" s="43" t="e">
        <f>IF(Preenchimento!$G$39="Tabela Price",O481*(1+$AD$35)*W482,O481*(1+'SAC Padrão_Sem Bonif'!$AD$35)*'SAC Padrão_Sem Bonif'!W482)</f>
        <v>#VALUE!</v>
      </c>
      <c r="R482" s="43" t="e">
        <f>IF(Preenchimento!$G$39="Tabela Price",IF(C482="","",((((((1+W482)^($Q$16-C481))*W482)/((1+W482)^($Q$16-C481)-1))*(O481*(1+$AD$35))))),Q482+P482)</f>
        <v>#VALUE!</v>
      </c>
      <c r="S482" s="43" t="e">
        <f t="shared" ca="1" si="110"/>
        <v>#VALUE!</v>
      </c>
      <c r="T482" s="43">
        <f t="shared" si="111"/>
        <v>0</v>
      </c>
      <c r="U482" s="226">
        <f>TRUNC(T482*Condições!$C$102,2)</f>
        <v>0</v>
      </c>
      <c r="V482" s="82">
        <f t="shared" ca="1" si="112"/>
        <v>7</v>
      </c>
      <c r="W482" s="231" t="str">
        <f t="shared" si="113"/>
        <v/>
      </c>
      <c r="AI482" s="114">
        <f t="shared" si="115"/>
        <v>0</v>
      </c>
      <c r="AL482" s="477">
        <f t="shared" ca="1" si="116"/>
        <v>0</v>
      </c>
    </row>
    <row r="483" spans="2:38" ht="12.75" customHeight="1">
      <c r="B483" s="222">
        <f ca="1">Fixa!B483</f>
        <v>60130</v>
      </c>
      <c r="C483" s="223" t="str">
        <f>Fixa!C483</f>
        <v/>
      </c>
      <c r="D483" s="43" t="e">
        <f t="shared" si="101"/>
        <v>#VALUE!</v>
      </c>
      <c r="E483" s="43" t="e">
        <f t="shared" si="102"/>
        <v>#VALUE!</v>
      </c>
      <c r="F483" s="43" t="e">
        <f t="shared" si="103"/>
        <v>#VALUE!</v>
      </c>
      <c r="G483" s="43" t="e">
        <f t="shared" si="104"/>
        <v>#VALUE!</v>
      </c>
      <c r="H483" s="43" t="e">
        <f t="shared" ca="1" si="105"/>
        <v>#VALUE!</v>
      </c>
      <c r="I483" s="43">
        <f t="shared" si="106"/>
        <v>0</v>
      </c>
      <c r="J483" s="229">
        <f t="shared" si="114"/>
        <v>25</v>
      </c>
      <c r="K483" s="43">
        <f t="shared" si="107"/>
        <v>0</v>
      </c>
      <c r="N483" s="225">
        <f t="shared" si="108"/>
        <v>0</v>
      </c>
      <c r="O483" s="43" t="e">
        <f t="shared" si="109"/>
        <v>#VALUE!</v>
      </c>
      <c r="P483" s="43" t="e">
        <f>ROUND(IF(Preenchimento!$G$39="Tabela Price",R483-Q483,(O482*(1+$AD$35))/($AD$28-C482)),$P$22)</f>
        <v>#VALUE!</v>
      </c>
      <c r="Q483" s="43" t="e">
        <f>IF(Preenchimento!$G$39="Tabela Price",O482*(1+$AD$35)*W483,O482*(1+'SAC Padrão_Sem Bonif'!$AD$35)*'SAC Padrão_Sem Bonif'!W483)</f>
        <v>#VALUE!</v>
      </c>
      <c r="R483" s="43" t="e">
        <f>IF(Preenchimento!$G$39="Tabela Price",IF(C483="","",((((((1+W483)^($Q$16-C482))*W483)/((1+W483)^($Q$16-C482)-1))*(O482*(1+$AD$35))))),Q483+P483)</f>
        <v>#VALUE!</v>
      </c>
      <c r="S483" s="43" t="e">
        <f t="shared" ca="1" si="110"/>
        <v>#VALUE!</v>
      </c>
      <c r="T483" s="43">
        <f t="shared" si="111"/>
        <v>0</v>
      </c>
      <c r="U483" s="226">
        <f>TRUNC(T483*Condições!$C$102,2)</f>
        <v>0</v>
      </c>
      <c r="V483" s="82">
        <f t="shared" ca="1" si="112"/>
        <v>8</v>
      </c>
      <c r="W483" s="231" t="str">
        <f t="shared" si="113"/>
        <v/>
      </c>
      <c r="AI483" s="114">
        <f t="shared" si="115"/>
        <v>0</v>
      </c>
      <c r="AL483" s="477">
        <f t="shared" ca="1" si="116"/>
        <v>0</v>
      </c>
    </row>
    <row r="484" spans="2:38" ht="12.75" customHeight="1">
      <c r="B484" s="222">
        <f ca="1">Fixa!B484</f>
        <v>60161</v>
      </c>
      <c r="C484" s="223" t="str">
        <f>Fixa!C484</f>
        <v/>
      </c>
      <c r="D484" s="43" t="e">
        <f t="shared" si="101"/>
        <v>#VALUE!</v>
      </c>
      <c r="E484" s="43" t="e">
        <f t="shared" si="102"/>
        <v>#VALUE!</v>
      </c>
      <c r="F484" s="43" t="e">
        <f t="shared" si="103"/>
        <v>#VALUE!</v>
      </c>
      <c r="G484" s="43" t="e">
        <f t="shared" si="104"/>
        <v>#VALUE!</v>
      </c>
      <c r="H484" s="43" t="e">
        <f t="shared" ca="1" si="105"/>
        <v>#VALUE!</v>
      </c>
      <c r="I484" s="43">
        <f t="shared" si="106"/>
        <v>0</v>
      </c>
      <c r="J484" s="229">
        <f t="shared" si="114"/>
        <v>25</v>
      </c>
      <c r="K484" s="43">
        <f t="shared" si="107"/>
        <v>0</v>
      </c>
      <c r="N484" s="225">
        <f t="shared" si="108"/>
        <v>0</v>
      </c>
      <c r="O484" s="43" t="e">
        <f t="shared" si="109"/>
        <v>#VALUE!</v>
      </c>
      <c r="P484" s="43" t="e">
        <f>ROUND(IF(Preenchimento!$G$39="Tabela Price",R484-Q484,(O483*(1+$AD$35))/($AD$28-C483)),$P$22)</f>
        <v>#VALUE!</v>
      </c>
      <c r="Q484" s="43" t="e">
        <f>IF(Preenchimento!$G$39="Tabela Price",O483*(1+$AD$35)*W484,O483*(1+'SAC Padrão_Sem Bonif'!$AD$35)*'SAC Padrão_Sem Bonif'!W484)</f>
        <v>#VALUE!</v>
      </c>
      <c r="R484" s="43" t="e">
        <f>IF(Preenchimento!$G$39="Tabela Price",IF(C484="","",((((((1+W484)^($Q$16-C483))*W484)/((1+W484)^($Q$16-C483)-1))*(O483*(1+$AD$35))))),Q484+P484)</f>
        <v>#VALUE!</v>
      </c>
      <c r="S484" s="43" t="e">
        <f t="shared" ca="1" si="110"/>
        <v>#VALUE!</v>
      </c>
      <c r="T484" s="43">
        <f t="shared" si="111"/>
        <v>0</v>
      </c>
      <c r="U484" s="226">
        <f>TRUNC(T484*Condições!$C$102,2)</f>
        <v>0</v>
      </c>
      <c r="V484" s="82">
        <f t="shared" ca="1" si="112"/>
        <v>9</v>
      </c>
      <c r="W484" s="231" t="str">
        <f t="shared" si="113"/>
        <v/>
      </c>
      <c r="AI484" s="114">
        <f t="shared" si="115"/>
        <v>0</v>
      </c>
      <c r="AL484" s="477">
        <f t="shared" ca="1" si="116"/>
        <v>0</v>
      </c>
    </row>
    <row r="485" spans="2:38" ht="12.75" customHeight="1">
      <c r="B485" s="222">
        <f ca="1">Fixa!B485</f>
        <v>60191</v>
      </c>
      <c r="C485" s="223" t="str">
        <f>Fixa!C485</f>
        <v/>
      </c>
      <c r="D485" s="43" t="e">
        <f t="shared" si="101"/>
        <v>#VALUE!</v>
      </c>
      <c r="E485" s="43" t="e">
        <f t="shared" si="102"/>
        <v>#VALUE!</v>
      </c>
      <c r="F485" s="43" t="e">
        <f t="shared" si="103"/>
        <v>#VALUE!</v>
      </c>
      <c r="G485" s="43" t="e">
        <f t="shared" si="104"/>
        <v>#VALUE!</v>
      </c>
      <c r="H485" s="43" t="e">
        <f t="shared" ca="1" si="105"/>
        <v>#VALUE!</v>
      </c>
      <c r="I485" s="43">
        <f t="shared" si="106"/>
        <v>0</v>
      </c>
      <c r="J485" s="229">
        <f t="shared" si="114"/>
        <v>25</v>
      </c>
      <c r="K485" s="43">
        <f t="shared" si="107"/>
        <v>0</v>
      </c>
      <c r="N485" s="225">
        <f t="shared" si="108"/>
        <v>0</v>
      </c>
      <c r="O485" s="43" t="e">
        <f t="shared" si="109"/>
        <v>#VALUE!</v>
      </c>
      <c r="P485" s="43" t="e">
        <f>ROUND(IF(Preenchimento!$G$39="Tabela Price",R485-Q485,(O484*(1+$AD$35))/($AD$28-C484)),$P$22)</f>
        <v>#VALUE!</v>
      </c>
      <c r="Q485" s="43" t="e">
        <f>IF(Preenchimento!$G$39="Tabela Price",O484*(1+$AD$35)*W485,O484*(1+'SAC Padrão_Sem Bonif'!$AD$35)*'SAC Padrão_Sem Bonif'!W485)</f>
        <v>#VALUE!</v>
      </c>
      <c r="R485" s="43" t="e">
        <f>IF(Preenchimento!$G$39="Tabela Price",IF(C485="","",((((((1+W485)^($Q$16-C484))*W485)/((1+W485)^($Q$16-C484)-1))*(O484*(1+$AD$35))))),Q485+P485)</f>
        <v>#VALUE!</v>
      </c>
      <c r="S485" s="43" t="e">
        <f t="shared" ca="1" si="110"/>
        <v>#VALUE!</v>
      </c>
      <c r="T485" s="43">
        <f t="shared" si="111"/>
        <v>0</v>
      </c>
      <c r="U485" s="226">
        <f>TRUNC(T485*Condições!$C$102,2)</f>
        <v>0</v>
      </c>
      <c r="V485" s="82">
        <f t="shared" ca="1" si="112"/>
        <v>10</v>
      </c>
      <c r="W485" s="231" t="str">
        <f t="shared" si="113"/>
        <v/>
      </c>
      <c r="AI485" s="114">
        <f t="shared" si="115"/>
        <v>0</v>
      </c>
      <c r="AL485" s="477">
        <f t="shared" ca="1" si="116"/>
        <v>0</v>
      </c>
    </row>
    <row r="486" spans="2:38" ht="12.75" customHeight="1">
      <c r="B486" s="222">
        <f ca="1">Fixa!B486</f>
        <v>60222</v>
      </c>
      <c r="C486" s="223" t="str">
        <f>Fixa!C486</f>
        <v/>
      </c>
      <c r="D486" s="43" t="e">
        <f t="shared" si="101"/>
        <v>#VALUE!</v>
      </c>
      <c r="E486" s="43" t="e">
        <f t="shared" si="102"/>
        <v>#VALUE!</v>
      </c>
      <c r="F486" s="43" t="e">
        <f t="shared" si="103"/>
        <v>#VALUE!</v>
      </c>
      <c r="G486" s="43" t="e">
        <f t="shared" si="104"/>
        <v>#VALUE!</v>
      </c>
      <c r="H486" s="43" t="e">
        <f t="shared" ca="1" si="105"/>
        <v>#VALUE!</v>
      </c>
      <c r="I486" s="43">
        <f t="shared" si="106"/>
        <v>0</v>
      </c>
      <c r="J486" s="229">
        <f t="shared" si="114"/>
        <v>25</v>
      </c>
      <c r="K486" s="43">
        <f t="shared" si="107"/>
        <v>0</v>
      </c>
      <c r="N486" s="225">
        <f t="shared" si="108"/>
        <v>0</v>
      </c>
      <c r="O486" s="43" t="e">
        <f t="shared" si="109"/>
        <v>#VALUE!</v>
      </c>
      <c r="P486" s="43" t="e">
        <f>ROUND(IF(Preenchimento!$G$39="Tabela Price",R486-Q486,(O485*(1+$AD$35))/($AD$28-C485)),$P$22)</f>
        <v>#VALUE!</v>
      </c>
      <c r="Q486" s="43" t="e">
        <f>IF(Preenchimento!$G$39="Tabela Price",O485*(1+$AD$35)*W486,O485*(1+'SAC Padrão_Sem Bonif'!$AD$35)*'SAC Padrão_Sem Bonif'!W486)</f>
        <v>#VALUE!</v>
      </c>
      <c r="R486" s="43" t="e">
        <f>IF(Preenchimento!$G$39="Tabela Price",IF(C486="","",((((((1+W486)^($Q$16-C485))*W486)/((1+W486)^($Q$16-C485)-1))*(O485*(1+$AD$35))))),Q486+P486)</f>
        <v>#VALUE!</v>
      </c>
      <c r="S486" s="43" t="e">
        <f t="shared" ca="1" si="110"/>
        <v>#VALUE!</v>
      </c>
      <c r="T486" s="43">
        <f t="shared" si="111"/>
        <v>0</v>
      </c>
      <c r="U486" s="226">
        <f>TRUNC(T486*Condições!$C$102,2)</f>
        <v>0</v>
      </c>
      <c r="V486" s="82">
        <f t="shared" ca="1" si="112"/>
        <v>11</v>
      </c>
      <c r="W486" s="231" t="str">
        <f t="shared" si="113"/>
        <v/>
      </c>
      <c r="AI486" s="114">
        <f t="shared" si="115"/>
        <v>0</v>
      </c>
      <c r="AL486" s="477">
        <f t="shared" ca="1" si="116"/>
        <v>0</v>
      </c>
    </row>
    <row r="487" spans="2:38" ht="12.75" customHeight="1">
      <c r="B487" s="222">
        <f ca="1">Fixa!B487</f>
        <v>60252</v>
      </c>
      <c r="C487" s="223" t="str">
        <f>Fixa!C487</f>
        <v/>
      </c>
      <c r="D487" s="43" t="e">
        <f t="shared" si="101"/>
        <v>#VALUE!</v>
      </c>
      <c r="E487" s="43" t="e">
        <f t="shared" si="102"/>
        <v>#VALUE!</v>
      </c>
      <c r="F487" s="43" t="e">
        <f t="shared" si="103"/>
        <v>#VALUE!</v>
      </c>
      <c r="G487" s="43" t="e">
        <f t="shared" si="104"/>
        <v>#VALUE!</v>
      </c>
      <c r="H487" s="43" t="e">
        <f t="shared" ca="1" si="105"/>
        <v>#VALUE!</v>
      </c>
      <c r="I487" s="43">
        <f t="shared" si="106"/>
        <v>0</v>
      </c>
      <c r="J487" s="229">
        <f t="shared" si="114"/>
        <v>25</v>
      </c>
      <c r="K487" s="43">
        <f t="shared" si="107"/>
        <v>0</v>
      </c>
      <c r="N487" s="225">
        <f t="shared" si="108"/>
        <v>0</v>
      </c>
      <c r="O487" s="43" t="e">
        <f t="shared" si="109"/>
        <v>#VALUE!</v>
      </c>
      <c r="P487" s="43" t="e">
        <f>ROUND(IF(Preenchimento!$G$39="Tabela Price",R487-Q487,(O486*(1+$AD$35))/($AD$28-C486)),$P$22)</f>
        <v>#VALUE!</v>
      </c>
      <c r="Q487" s="43" t="e">
        <f>IF(Preenchimento!$G$39="Tabela Price",O486*(1+$AD$35)*W487,O486*(1+'SAC Padrão_Sem Bonif'!$AD$35)*'SAC Padrão_Sem Bonif'!W487)</f>
        <v>#VALUE!</v>
      </c>
      <c r="R487" s="43" t="e">
        <f>IF(Preenchimento!$G$39="Tabela Price",IF(C487="","",((((((1+W487)^($Q$16-C486))*W487)/((1+W487)^($Q$16-C486)-1))*(O486*(1+$AD$35))))),Q487+P487)</f>
        <v>#VALUE!</v>
      </c>
      <c r="S487" s="43" t="e">
        <f t="shared" ca="1" si="110"/>
        <v>#VALUE!</v>
      </c>
      <c r="T487" s="43">
        <f t="shared" si="111"/>
        <v>0</v>
      </c>
      <c r="U487" s="226">
        <f>TRUNC(T487*Condições!$C$102,2)</f>
        <v>0</v>
      </c>
      <c r="V487" s="82">
        <f t="shared" ca="1" si="112"/>
        <v>12</v>
      </c>
      <c r="W487" s="231" t="str">
        <f t="shared" si="113"/>
        <v/>
      </c>
      <c r="AI487" s="114">
        <f t="shared" si="115"/>
        <v>0</v>
      </c>
      <c r="AL487" s="477">
        <f t="shared" ca="1" si="116"/>
        <v>0</v>
      </c>
    </row>
    <row r="488" spans="2:38" ht="12.75" customHeight="1">
      <c r="B488" s="222">
        <f ca="1">Fixa!B488</f>
        <v>60283</v>
      </c>
      <c r="C488" s="223" t="str">
        <f>Fixa!C488</f>
        <v/>
      </c>
      <c r="D488" s="43" t="e">
        <f t="shared" si="101"/>
        <v>#VALUE!</v>
      </c>
      <c r="E488" s="43" t="e">
        <f t="shared" si="102"/>
        <v>#VALUE!</v>
      </c>
      <c r="F488" s="43" t="e">
        <f t="shared" si="103"/>
        <v>#VALUE!</v>
      </c>
      <c r="G488" s="43" t="e">
        <f t="shared" si="104"/>
        <v>#VALUE!</v>
      </c>
      <c r="H488" s="43" t="e">
        <f t="shared" ca="1" si="105"/>
        <v>#VALUE!</v>
      </c>
      <c r="I488" s="43">
        <f t="shared" si="106"/>
        <v>0</v>
      </c>
      <c r="J488" s="229">
        <f t="shared" si="114"/>
        <v>25</v>
      </c>
      <c r="K488" s="43">
        <f t="shared" si="107"/>
        <v>0</v>
      </c>
      <c r="N488" s="225">
        <f t="shared" si="108"/>
        <v>0</v>
      </c>
      <c r="O488" s="43" t="e">
        <f t="shared" si="109"/>
        <v>#VALUE!</v>
      </c>
      <c r="P488" s="43" t="e">
        <f>ROUND(IF(Preenchimento!$G$39="Tabela Price",R488-Q488,(O487*(1+$AD$35))/($AD$28-C487)),$P$22)</f>
        <v>#VALUE!</v>
      </c>
      <c r="Q488" s="43" t="e">
        <f>IF(Preenchimento!$G$39="Tabela Price",O487*(1+$AD$35)*W488,O487*(1+'SAC Padrão_Sem Bonif'!$AD$35)*'SAC Padrão_Sem Bonif'!W488)</f>
        <v>#VALUE!</v>
      </c>
      <c r="R488" s="43" t="e">
        <f>IF(Preenchimento!$G$39="Tabela Price",IF(C488="","",((((((1+W488)^($Q$16-C487))*W488)/((1+W488)^($Q$16-C487)-1))*(O487*(1+$AD$35))))),Q488+P488)</f>
        <v>#VALUE!</v>
      </c>
      <c r="S488" s="43" t="e">
        <f t="shared" ca="1" si="110"/>
        <v>#VALUE!</v>
      </c>
      <c r="T488" s="43">
        <f t="shared" si="111"/>
        <v>0</v>
      </c>
      <c r="U488" s="226">
        <f>TRUNC(T488*Condições!$C$102,2)</f>
        <v>0</v>
      </c>
      <c r="V488" s="82">
        <f t="shared" ca="1" si="112"/>
        <v>1</v>
      </c>
      <c r="W488" s="231" t="str">
        <f t="shared" si="113"/>
        <v/>
      </c>
      <c r="AI488" s="114">
        <f t="shared" si="115"/>
        <v>0</v>
      </c>
      <c r="AL488" s="477">
        <f t="shared" ca="1" si="116"/>
        <v>0</v>
      </c>
    </row>
    <row r="489" spans="2:38" ht="12.75" customHeight="1">
      <c r="B489" s="222">
        <f ca="1">Fixa!B489</f>
        <v>60314</v>
      </c>
      <c r="C489" s="223" t="str">
        <f>Fixa!C489</f>
        <v/>
      </c>
      <c r="D489" s="43" t="e">
        <f t="shared" si="101"/>
        <v>#VALUE!</v>
      </c>
      <c r="E489" s="43" t="e">
        <f t="shared" si="102"/>
        <v>#VALUE!</v>
      </c>
      <c r="F489" s="43" t="e">
        <f t="shared" si="103"/>
        <v>#VALUE!</v>
      </c>
      <c r="G489" s="43" t="e">
        <f t="shared" si="104"/>
        <v>#VALUE!</v>
      </c>
      <c r="H489" s="43" t="e">
        <f t="shared" ca="1" si="105"/>
        <v>#VALUE!</v>
      </c>
      <c r="I489" s="43">
        <f t="shared" si="106"/>
        <v>0</v>
      </c>
      <c r="J489" s="229">
        <f t="shared" si="114"/>
        <v>25</v>
      </c>
      <c r="K489" s="43">
        <f t="shared" si="107"/>
        <v>0</v>
      </c>
      <c r="N489" s="225">
        <f t="shared" si="108"/>
        <v>0</v>
      </c>
      <c r="O489" s="43" t="e">
        <f t="shared" si="109"/>
        <v>#VALUE!</v>
      </c>
      <c r="P489" s="43" t="e">
        <f>ROUND(IF(Preenchimento!$G$39="Tabela Price",R489-Q489,(O488*(1+$AD$35))/($AD$28-C488)),$P$22)</f>
        <v>#VALUE!</v>
      </c>
      <c r="Q489" s="43" t="e">
        <f>IF(Preenchimento!$G$39="Tabela Price",O488*(1+$AD$35)*W489,O488*(1+'SAC Padrão_Sem Bonif'!$AD$35)*'SAC Padrão_Sem Bonif'!W489)</f>
        <v>#VALUE!</v>
      </c>
      <c r="R489" s="43" t="e">
        <f>IF(Preenchimento!$G$39="Tabela Price",IF(C489="","",((((((1+W489)^($Q$16-C488))*W489)/((1+W489)^($Q$16-C488)-1))*(O488*(1+$AD$35))))),Q489+P489)</f>
        <v>#VALUE!</v>
      </c>
      <c r="S489" s="43" t="e">
        <f t="shared" ca="1" si="110"/>
        <v>#VALUE!</v>
      </c>
      <c r="T489" s="43">
        <f t="shared" si="111"/>
        <v>0</v>
      </c>
      <c r="U489" s="226">
        <f>TRUNC(T489*Condições!$C$102,2)</f>
        <v>0</v>
      </c>
      <c r="V489" s="82">
        <f t="shared" ca="1" si="112"/>
        <v>2</v>
      </c>
      <c r="W489" s="231" t="str">
        <f t="shared" si="113"/>
        <v/>
      </c>
      <c r="AI489" s="114">
        <f t="shared" si="115"/>
        <v>0</v>
      </c>
      <c r="AL489" s="477">
        <f t="shared" ca="1" si="116"/>
        <v>0</v>
      </c>
    </row>
    <row r="490" spans="2:38" ht="12.75" customHeight="1">
      <c r="B490" s="222">
        <f ca="1">Fixa!B490</f>
        <v>60342</v>
      </c>
      <c r="C490" s="223" t="str">
        <f>Fixa!C490</f>
        <v/>
      </c>
      <c r="D490" s="43" t="e">
        <f t="shared" si="101"/>
        <v>#VALUE!</v>
      </c>
      <c r="E490" s="43" t="e">
        <f t="shared" si="102"/>
        <v>#VALUE!</v>
      </c>
      <c r="F490" s="43" t="e">
        <f t="shared" si="103"/>
        <v>#VALUE!</v>
      </c>
      <c r="G490" s="43" t="e">
        <f t="shared" si="104"/>
        <v>#VALUE!</v>
      </c>
      <c r="H490" s="43" t="e">
        <f t="shared" ca="1" si="105"/>
        <v>#VALUE!</v>
      </c>
      <c r="I490" s="43">
        <f t="shared" si="106"/>
        <v>0</v>
      </c>
      <c r="J490" s="229">
        <f t="shared" si="114"/>
        <v>25</v>
      </c>
      <c r="K490" s="43">
        <f t="shared" si="107"/>
        <v>0</v>
      </c>
      <c r="N490" s="225">
        <f t="shared" si="108"/>
        <v>0</v>
      </c>
      <c r="O490" s="43" t="e">
        <f t="shared" si="109"/>
        <v>#VALUE!</v>
      </c>
      <c r="P490" s="43" t="e">
        <f>ROUND(IF(Preenchimento!$G$39="Tabela Price",R490-Q490,(O489*(1+$AD$35))/($AD$28-C489)),$P$22)</f>
        <v>#VALUE!</v>
      </c>
      <c r="Q490" s="43" t="e">
        <f>IF(Preenchimento!$G$39="Tabela Price",O489*(1+$AD$35)*W490,O489*(1+'SAC Padrão_Sem Bonif'!$AD$35)*'SAC Padrão_Sem Bonif'!W490)</f>
        <v>#VALUE!</v>
      </c>
      <c r="R490" s="43" t="e">
        <f>IF(Preenchimento!$G$39="Tabela Price",IF(C490="","",((((((1+W490)^($Q$16-C489))*W490)/((1+W490)^($Q$16-C489)-1))*(O489*(1+$AD$35))))),Q490+P490)</f>
        <v>#VALUE!</v>
      </c>
      <c r="S490" s="43" t="e">
        <f t="shared" ca="1" si="110"/>
        <v>#VALUE!</v>
      </c>
      <c r="T490" s="43">
        <f t="shared" si="111"/>
        <v>0</v>
      </c>
      <c r="U490" s="226">
        <f>TRUNC(T490*Condições!$C$102,2)</f>
        <v>0</v>
      </c>
      <c r="V490" s="82">
        <f t="shared" ca="1" si="112"/>
        <v>3</v>
      </c>
      <c r="W490" s="231" t="str">
        <f t="shared" si="113"/>
        <v/>
      </c>
      <c r="AI490" s="114">
        <f t="shared" si="115"/>
        <v>0</v>
      </c>
      <c r="AL490" s="477">
        <f t="shared" ca="1" si="116"/>
        <v>0</v>
      </c>
    </row>
    <row r="491" spans="2:38" ht="12.75" customHeight="1">
      <c r="B491" s="222">
        <f ca="1">Fixa!B491</f>
        <v>60373</v>
      </c>
      <c r="C491" s="223" t="str">
        <f>Fixa!C491</f>
        <v/>
      </c>
      <c r="D491" s="43" t="e">
        <f t="shared" si="101"/>
        <v>#VALUE!</v>
      </c>
      <c r="E491" s="43" t="e">
        <f t="shared" si="102"/>
        <v>#VALUE!</v>
      </c>
      <c r="F491" s="43" t="e">
        <f t="shared" si="103"/>
        <v>#VALUE!</v>
      </c>
      <c r="G491" s="43" t="e">
        <f t="shared" si="104"/>
        <v>#VALUE!</v>
      </c>
      <c r="H491" s="43" t="e">
        <f t="shared" ca="1" si="105"/>
        <v>#VALUE!</v>
      </c>
      <c r="I491" s="43">
        <f t="shared" si="106"/>
        <v>0</v>
      </c>
      <c r="J491" s="229">
        <f t="shared" si="114"/>
        <v>25</v>
      </c>
      <c r="K491" s="43">
        <f t="shared" si="107"/>
        <v>0</v>
      </c>
      <c r="N491" s="225">
        <f t="shared" si="108"/>
        <v>0</v>
      </c>
      <c r="O491" s="43" t="e">
        <f t="shared" si="109"/>
        <v>#VALUE!</v>
      </c>
      <c r="P491" s="43" t="e">
        <f>ROUND(IF(Preenchimento!$G$39="Tabela Price",R491-Q491,(O490*(1+$AD$35))/($AD$28-C490)),$P$22)</f>
        <v>#VALUE!</v>
      </c>
      <c r="Q491" s="43" t="e">
        <f>IF(Preenchimento!$G$39="Tabela Price",O490*(1+$AD$35)*W491,O490*(1+'SAC Padrão_Sem Bonif'!$AD$35)*'SAC Padrão_Sem Bonif'!W491)</f>
        <v>#VALUE!</v>
      </c>
      <c r="R491" s="43" t="e">
        <f>IF(Preenchimento!$G$39="Tabela Price",IF(C491="","",((((((1+W491)^($Q$16-C490))*W491)/((1+W491)^($Q$16-C490)-1))*(O490*(1+$AD$35))))),Q491+P491)</f>
        <v>#VALUE!</v>
      </c>
      <c r="S491" s="43" t="e">
        <f t="shared" ca="1" si="110"/>
        <v>#VALUE!</v>
      </c>
      <c r="T491" s="43">
        <f t="shared" si="111"/>
        <v>0</v>
      </c>
      <c r="U491" s="226">
        <f>TRUNC(T491*Condições!$C$102,2)</f>
        <v>0</v>
      </c>
      <c r="V491" s="82">
        <f t="shared" ca="1" si="112"/>
        <v>4</v>
      </c>
      <c r="W491" s="231" t="str">
        <f t="shared" si="113"/>
        <v/>
      </c>
      <c r="AI491" s="114">
        <f t="shared" si="115"/>
        <v>0</v>
      </c>
      <c r="AL491" s="477">
        <f t="shared" ca="1" si="116"/>
        <v>0</v>
      </c>
    </row>
    <row r="492" spans="2:38" ht="12.75" customHeight="1">
      <c r="B492" s="222">
        <f ca="1">Fixa!B492</f>
        <v>60403</v>
      </c>
      <c r="C492" s="223" t="str">
        <f>Fixa!C492</f>
        <v/>
      </c>
      <c r="D492" s="43" t="e">
        <f t="shared" si="101"/>
        <v>#VALUE!</v>
      </c>
      <c r="E492" s="43" t="e">
        <f t="shared" si="102"/>
        <v>#VALUE!</v>
      </c>
      <c r="F492" s="43" t="e">
        <f t="shared" si="103"/>
        <v>#VALUE!</v>
      </c>
      <c r="G492" s="43" t="e">
        <f t="shared" si="104"/>
        <v>#VALUE!</v>
      </c>
      <c r="H492" s="43" t="e">
        <f t="shared" ca="1" si="105"/>
        <v>#VALUE!</v>
      </c>
      <c r="I492" s="43">
        <f t="shared" si="106"/>
        <v>0</v>
      </c>
      <c r="J492" s="229">
        <f t="shared" si="114"/>
        <v>25</v>
      </c>
      <c r="K492" s="43">
        <f t="shared" si="107"/>
        <v>0</v>
      </c>
      <c r="N492" s="225">
        <f t="shared" si="108"/>
        <v>0</v>
      </c>
      <c r="O492" s="43" t="e">
        <f t="shared" si="109"/>
        <v>#VALUE!</v>
      </c>
      <c r="P492" s="43" t="e">
        <f>ROUND(IF(Preenchimento!$G$39="Tabela Price",R492-Q492,(O491*(1+$AD$35))/($AD$28-C491)),$P$22)</f>
        <v>#VALUE!</v>
      </c>
      <c r="Q492" s="43" t="e">
        <f>IF(Preenchimento!$G$39="Tabela Price",O491*(1+$AD$35)*W492,O491*(1+'SAC Padrão_Sem Bonif'!$AD$35)*'SAC Padrão_Sem Bonif'!W492)</f>
        <v>#VALUE!</v>
      </c>
      <c r="R492" s="43" t="e">
        <f>IF(Preenchimento!$G$39="Tabela Price",IF(C492="","",((((((1+W492)^($Q$16-C491))*W492)/((1+W492)^($Q$16-C491)-1))*(O491*(1+$AD$35))))),Q492+P492)</f>
        <v>#VALUE!</v>
      </c>
      <c r="S492" s="43" t="e">
        <f t="shared" ca="1" si="110"/>
        <v>#VALUE!</v>
      </c>
      <c r="T492" s="43">
        <f t="shared" si="111"/>
        <v>0</v>
      </c>
      <c r="U492" s="226">
        <f>TRUNC(T492*Condições!$C$102,2)</f>
        <v>0</v>
      </c>
      <c r="V492" s="82">
        <f t="shared" ca="1" si="112"/>
        <v>5</v>
      </c>
      <c r="W492" s="231" t="str">
        <f t="shared" si="113"/>
        <v/>
      </c>
      <c r="AI492" s="114">
        <f t="shared" si="115"/>
        <v>0</v>
      </c>
      <c r="AL492" s="477">
        <f t="shared" ca="1" si="116"/>
        <v>0</v>
      </c>
    </row>
    <row r="493" spans="2:38" ht="12.75" customHeight="1">
      <c r="B493" s="222">
        <f ca="1">Fixa!B493</f>
        <v>60434</v>
      </c>
      <c r="C493" s="223" t="str">
        <f>Fixa!C493</f>
        <v/>
      </c>
      <c r="D493" s="43" t="e">
        <f t="shared" si="101"/>
        <v>#VALUE!</v>
      </c>
      <c r="E493" s="43" t="e">
        <f t="shared" si="102"/>
        <v>#VALUE!</v>
      </c>
      <c r="F493" s="43" t="e">
        <f t="shared" si="103"/>
        <v>#VALUE!</v>
      </c>
      <c r="G493" s="43" t="e">
        <f t="shared" si="104"/>
        <v>#VALUE!</v>
      </c>
      <c r="H493" s="43" t="e">
        <f t="shared" ca="1" si="105"/>
        <v>#VALUE!</v>
      </c>
      <c r="I493" s="43">
        <f t="shared" si="106"/>
        <v>0</v>
      </c>
      <c r="J493" s="229">
        <f t="shared" si="114"/>
        <v>25</v>
      </c>
      <c r="K493" s="43">
        <f t="shared" si="107"/>
        <v>0</v>
      </c>
      <c r="N493" s="225">
        <f t="shared" si="108"/>
        <v>0</v>
      </c>
      <c r="O493" s="43" t="e">
        <f t="shared" si="109"/>
        <v>#VALUE!</v>
      </c>
      <c r="P493" s="43" t="e">
        <f>ROUND(IF(Preenchimento!$G$39="Tabela Price",R493-Q493,(O492*(1+$AD$35))/($AD$28-C492)),$P$22)</f>
        <v>#VALUE!</v>
      </c>
      <c r="Q493" s="43" t="e">
        <f>IF(Preenchimento!$G$39="Tabela Price",O492*(1+$AD$35)*W493,O492*(1+'SAC Padrão_Sem Bonif'!$AD$35)*'SAC Padrão_Sem Bonif'!W493)</f>
        <v>#VALUE!</v>
      </c>
      <c r="R493" s="43" t="e">
        <f>IF(Preenchimento!$G$39="Tabela Price",IF(C493="","",((((((1+W493)^($Q$16-C492))*W493)/((1+W493)^($Q$16-C492)-1))*(O492*(1+$AD$35))))),Q493+P493)</f>
        <v>#VALUE!</v>
      </c>
      <c r="S493" s="43" t="e">
        <f t="shared" ca="1" si="110"/>
        <v>#VALUE!</v>
      </c>
      <c r="T493" s="43">
        <f t="shared" si="111"/>
        <v>0</v>
      </c>
      <c r="U493" s="226">
        <f>TRUNC(T493*Condições!$C$102,2)</f>
        <v>0</v>
      </c>
      <c r="V493" s="82">
        <f t="shared" ca="1" si="112"/>
        <v>6</v>
      </c>
      <c r="W493" s="231" t="str">
        <f t="shared" si="113"/>
        <v/>
      </c>
      <c r="AI493" s="114">
        <f t="shared" si="115"/>
        <v>0</v>
      </c>
      <c r="AL493" s="477">
        <f t="shared" ca="1" si="116"/>
        <v>0</v>
      </c>
    </row>
    <row r="494" spans="2:38" ht="12.75" customHeight="1">
      <c r="B494" s="222">
        <f ca="1">Fixa!B494</f>
        <v>60464</v>
      </c>
      <c r="C494" s="223" t="str">
        <f>Fixa!C494</f>
        <v/>
      </c>
      <c r="D494" s="43" t="e">
        <f t="shared" si="101"/>
        <v>#VALUE!</v>
      </c>
      <c r="E494" s="43" t="e">
        <f t="shared" si="102"/>
        <v>#VALUE!</v>
      </c>
      <c r="F494" s="43" t="e">
        <f t="shared" si="103"/>
        <v>#VALUE!</v>
      </c>
      <c r="G494" s="43" t="e">
        <f t="shared" si="104"/>
        <v>#VALUE!</v>
      </c>
      <c r="H494" s="43" t="e">
        <f t="shared" ca="1" si="105"/>
        <v>#VALUE!</v>
      </c>
      <c r="I494" s="43">
        <f t="shared" si="106"/>
        <v>0</v>
      </c>
      <c r="J494" s="229">
        <f t="shared" si="114"/>
        <v>25</v>
      </c>
      <c r="K494" s="43">
        <f t="shared" si="107"/>
        <v>0</v>
      </c>
      <c r="N494" s="225">
        <f t="shared" si="108"/>
        <v>0</v>
      </c>
      <c r="O494" s="43" t="e">
        <f t="shared" si="109"/>
        <v>#VALUE!</v>
      </c>
      <c r="P494" s="43" t="e">
        <f>ROUND(IF(Preenchimento!$G$39="Tabela Price",R494-Q494,(O493*(1+$AD$35))/($AD$28-C493)),$P$22)</f>
        <v>#VALUE!</v>
      </c>
      <c r="Q494" s="43" t="e">
        <f>IF(Preenchimento!$G$39="Tabela Price",O493*(1+$AD$35)*W494,O493*(1+'SAC Padrão_Sem Bonif'!$AD$35)*'SAC Padrão_Sem Bonif'!W494)</f>
        <v>#VALUE!</v>
      </c>
      <c r="R494" s="43" t="e">
        <f>IF(Preenchimento!$G$39="Tabela Price",IF(C494="","",((((((1+W494)^($Q$16-C493))*W494)/((1+W494)^($Q$16-C493)-1))*(O493*(1+$AD$35))))),Q494+P494)</f>
        <v>#VALUE!</v>
      </c>
      <c r="S494" s="43" t="e">
        <f t="shared" ca="1" si="110"/>
        <v>#VALUE!</v>
      </c>
      <c r="T494" s="43">
        <f t="shared" si="111"/>
        <v>0</v>
      </c>
      <c r="U494" s="226">
        <f>TRUNC(T494*Condições!$C$102,2)</f>
        <v>0</v>
      </c>
      <c r="V494" s="82">
        <f t="shared" ca="1" si="112"/>
        <v>7</v>
      </c>
      <c r="W494" s="231" t="str">
        <f t="shared" si="113"/>
        <v/>
      </c>
      <c r="AI494" s="114">
        <f t="shared" si="115"/>
        <v>0</v>
      </c>
      <c r="AL494" s="477">
        <f t="shared" ca="1" si="116"/>
        <v>0</v>
      </c>
    </row>
    <row r="495" spans="2:38" ht="12.75" customHeight="1">
      <c r="B495" s="222">
        <f ca="1">Fixa!B495</f>
        <v>60495</v>
      </c>
      <c r="C495" s="223" t="str">
        <f>Fixa!C495</f>
        <v/>
      </c>
      <c r="D495" s="43" t="e">
        <f t="shared" si="101"/>
        <v>#VALUE!</v>
      </c>
      <c r="E495" s="43" t="e">
        <f t="shared" si="102"/>
        <v>#VALUE!</v>
      </c>
      <c r="F495" s="43" t="e">
        <f t="shared" si="103"/>
        <v>#VALUE!</v>
      </c>
      <c r="G495" s="43" t="e">
        <f t="shared" si="104"/>
        <v>#VALUE!</v>
      </c>
      <c r="H495" s="43" t="e">
        <f t="shared" ca="1" si="105"/>
        <v>#VALUE!</v>
      </c>
      <c r="I495" s="43">
        <f t="shared" si="106"/>
        <v>0</v>
      </c>
      <c r="J495" s="229">
        <f t="shared" si="114"/>
        <v>25</v>
      </c>
      <c r="K495" s="43">
        <f t="shared" si="107"/>
        <v>0</v>
      </c>
      <c r="N495" s="225">
        <f t="shared" si="108"/>
        <v>0</v>
      </c>
      <c r="O495" s="43" t="e">
        <f t="shared" si="109"/>
        <v>#VALUE!</v>
      </c>
      <c r="P495" s="43" t="e">
        <f>ROUND(IF(Preenchimento!$G$39="Tabela Price",R495-Q495,(O494*(1+$AD$35))/($AD$28-C494)),$P$22)</f>
        <v>#VALUE!</v>
      </c>
      <c r="Q495" s="43" t="e">
        <f>IF(Preenchimento!$G$39="Tabela Price",O494*(1+$AD$35)*W495,O494*(1+'SAC Padrão_Sem Bonif'!$AD$35)*'SAC Padrão_Sem Bonif'!W495)</f>
        <v>#VALUE!</v>
      </c>
      <c r="R495" s="43" t="e">
        <f>IF(Preenchimento!$G$39="Tabela Price",IF(C495="","",((((((1+W495)^($Q$16-C494))*W495)/((1+W495)^($Q$16-C494)-1))*(O494*(1+$AD$35))))),Q495+P495)</f>
        <v>#VALUE!</v>
      </c>
      <c r="S495" s="43" t="e">
        <f t="shared" ca="1" si="110"/>
        <v>#VALUE!</v>
      </c>
      <c r="T495" s="43">
        <f t="shared" si="111"/>
        <v>0</v>
      </c>
      <c r="U495" s="226">
        <f>TRUNC(T495*Condições!$C$102,2)</f>
        <v>0</v>
      </c>
      <c r="V495" s="82">
        <f t="shared" ca="1" si="112"/>
        <v>8</v>
      </c>
      <c r="W495" s="231" t="str">
        <f t="shared" si="113"/>
        <v/>
      </c>
      <c r="AI495" s="114">
        <f t="shared" si="115"/>
        <v>0</v>
      </c>
      <c r="AL495" s="477">
        <f t="shared" ca="1" si="116"/>
        <v>0</v>
      </c>
    </row>
    <row r="496" spans="2:38" ht="12.75" customHeight="1">
      <c r="B496" s="222">
        <f ca="1">Fixa!B496</f>
        <v>60526</v>
      </c>
      <c r="C496" s="223" t="str">
        <f>Fixa!C496</f>
        <v/>
      </c>
      <c r="D496" s="43" t="e">
        <f t="shared" si="101"/>
        <v>#VALUE!</v>
      </c>
      <c r="E496" s="43" t="e">
        <f t="shared" si="102"/>
        <v>#VALUE!</v>
      </c>
      <c r="F496" s="43" t="e">
        <f t="shared" si="103"/>
        <v>#VALUE!</v>
      </c>
      <c r="G496" s="43" t="e">
        <f t="shared" si="104"/>
        <v>#VALUE!</v>
      </c>
      <c r="H496" s="43" t="e">
        <f t="shared" ca="1" si="105"/>
        <v>#VALUE!</v>
      </c>
      <c r="I496" s="43">
        <f t="shared" si="106"/>
        <v>0</v>
      </c>
      <c r="J496" s="229">
        <f t="shared" si="114"/>
        <v>25</v>
      </c>
      <c r="K496" s="43">
        <f t="shared" si="107"/>
        <v>0</v>
      </c>
      <c r="N496" s="225">
        <f t="shared" si="108"/>
        <v>0</v>
      </c>
      <c r="O496" s="43" t="e">
        <f t="shared" si="109"/>
        <v>#VALUE!</v>
      </c>
      <c r="P496" s="43" t="e">
        <f>ROUND(IF(Preenchimento!$G$39="Tabela Price",R496-Q496,(O495*(1+$AD$35))/($AD$28-C495)),$P$22)</f>
        <v>#VALUE!</v>
      </c>
      <c r="Q496" s="43" t="e">
        <f>IF(Preenchimento!$G$39="Tabela Price",O495*(1+$AD$35)*W496,O495*(1+'SAC Padrão_Sem Bonif'!$AD$35)*'SAC Padrão_Sem Bonif'!W496)</f>
        <v>#VALUE!</v>
      </c>
      <c r="R496" s="43" t="e">
        <f>IF(Preenchimento!$G$39="Tabela Price",IF(C496="","",((((((1+W496)^($Q$16-C495))*W496)/((1+W496)^($Q$16-C495)-1))*(O495*(1+$AD$35))))),Q496+P496)</f>
        <v>#VALUE!</v>
      </c>
      <c r="S496" s="43" t="e">
        <f t="shared" ca="1" si="110"/>
        <v>#VALUE!</v>
      </c>
      <c r="T496" s="43">
        <f t="shared" si="111"/>
        <v>0</v>
      </c>
      <c r="U496" s="226">
        <f>TRUNC(T496*Condições!$C$102,2)</f>
        <v>0</v>
      </c>
      <c r="V496" s="82">
        <f t="shared" ca="1" si="112"/>
        <v>9</v>
      </c>
      <c r="W496" s="231" t="str">
        <f t="shared" si="113"/>
        <v/>
      </c>
      <c r="AI496" s="114">
        <f t="shared" si="115"/>
        <v>0</v>
      </c>
      <c r="AL496" s="477">
        <f t="shared" ca="1" si="116"/>
        <v>0</v>
      </c>
    </row>
    <row r="497" spans="2:38" ht="12.75" customHeight="1">
      <c r="B497" s="222">
        <f ca="1">Fixa!B497</f>
        <v>60556</v>
      </c>
      <c r="C497" s="223" t="str">
        <f>Fixa!C497</f>
        <v/>
      </c>
      <c r="D497" s="43" t="e">
        <f t="shared" si="101"/>
        <v>#VALUE!</v>
      </c>
      <c r="E497" s="43" t="e">
        <f t="shared" si="102"/>
        <v>#VALUE!</v>
      </c>
      <c r="F497" s="43" t="e">
        <f t="shared" si="103"/>
        <v>#VALUE!</v>
      </c>
      <c r="G497" s="43" t="e">
        <f t="shared" si="104"/>
        <v>#VALUE!</v>
      </c>
      <c r="H497" s="43" t="e">
        <f t="shared" ca="1" si="105"/>
        <v>#VALUE!</v>
      </c>
      <c r="I497" s="43">
        <f t="shared" si="106"/>
        <v>0</v>
      </c>
      <c r="J497" s="229">
        <f t="shared" si="114"/>
        <v>25</v>
      </c>
      <c r="K497" s="43">
        <f t="shared" si="107"/>
        <v>0</v>
      </c>
      <c r="N497" s="225">
        <f t="shared" si="108"/>
        <v>0</v>
      </c>
      <c r="O497" s="43" t="e">
        <f t="shared" si="109"/>
        <v>#VALUE!</v>
      </c>
      <c r="P497" s="43" t="e">
        <f>ROUND(IF(Preenchimento!$G$39="Tabela Price",R497-Q497,(O496*(1+$AD$35))/($AD$28-C496)),$P$22)</f>
        <v>#VALUE!</v>
      </c>
      <c r="Q497" s="43" t="e">
        <f>IF(Preenchimento!$G$39="Tabela Price",O496*(1+$AD$35)*W497,O496*(1+'SAC Padrão_Sem Bonif'!$AD$35)*'SAC Padrão_Sem Bonif'!W497)</f>
        <v>#VALUE!</v>
      </c>
      <c r="R497" s="43" t="e">
        <f>IF(Preenchimento!$G$39="Tabela Price",IF(C497="","",((((((1+W497)^($Q$16-C496))*W497)/((1+W497)^($Q$16-C496)-1))*(O496*(1+$AD$35))))),Q497+P497)</f>
        <v>#VALUE!</v>
      </c>
      <c r="S497" s="43" t="e">
        <f t="shared" ca="1" si="110"/>
        <v>#VALUE!</v>
      </c>
      <c r="T497" s="43">
        <f t="shared" si="111"/>
        <v>0</v>
      </c>
      <c r="U497" s="226">
        <f>TRUNC(T497*Condições!$C$102,2)</f>
        <v>0</v>
      </c>
      <c r="V497" s="82">
        <f t="shared" ca="1" si="112"/>
        <v>10</v>
      </c>
      <c r="W497" s="231" t="str">
        <f t="shared" si="113"/>
        <v/>
      </c>
      <c r="AI497" s="114">
        <f t="shared" si="115"/>
        <v>0</v>
      </c>
      <c r="AL497" s="477">
        <f t="shared" ca="1" si="116"/>
        <v>0</v>
      </c>
    </row>
    <row r="498" spans="2:38" ht="12.75" customHeight="1">
      <c r="B498" s="222">
        <f ca="1">Fixa!B498</f>
        <v>60587</v>
      </c>
      <c r="C498" s="223" t="str">
        <f>Fixa!C498</f>
        <v/>
      </c>
      <c r="D498" s="43" t="e">
        <f t="shared" si="101"/>
        <v>#VALUE!</v>
      </c>
      <c r="E498" s="43" t="e">
        <f t="shared" si="102"/>
        <v>#VALUE!</v>
      </c>
      <c r="F498" s="43" t="e">
        <f t="shared" si="103"/>
        <v>#VALUE!</v>
      </c>
      <c r="G498" s="43" t="e">
        <f t="shared" si="104"/>
        <v>#VALUE!</v>
      </c>
      <c r="H498" s="43" t="e">
        <f t="shared" ca="1" si="105"/>
        <v>#VALUE!</v>
      </c>
      <c r="I498" s="43">
        <f t="shared" si="106"/>
        <v>0</v>
      </c>
      <c r="J498" s="229">
        <f t="shared" si="114"/>
        <v>25</v>
      </c>
      <c r="K498" s="43">
        <f t="shared" si="107"/>
        <v>0</v>
      </c>
      <c r="N498" s="225">
        <f t="shared" si="108"/>
        <v>0</v>
      </c>
      <c r="O498" s="43" t="e">
        <f t="shared" si="109"/>
        <v>#VALUE!</v>
      </c>
      <c r="P498" s="43" t="e">
        <f>ROUND(IF(Preenchimento!$G$39="Tabela Price",R498-Q498,(O497*(1+$AD$35))/($AD$28-C497)),$P$22)</f>
        <v>#VALUE!</v>
      </c>
      <c r="Q498" s="43" t="e">
        <f>IF(Preenchimento!$G$39="Tabela Price",O497*(1+$AD$35)*W498,O497*(1+'SAC Padrão_Sem Bonif'!$AD$35)*'SAC Padrão_Sem Bonif'!W498)</f>
        <v>#VALUE!</v>
      </c>
      <c r="R498" s="43" t="e">
        <f>IF(Preenchimento!$G$39="Tabela Price",IF(C498="","",((((((1+W498)^($Q$16-C497))*W498)/((1+W498)^($Q$16-C497)-1))*(O497*(1+$AD$35))))),Q498+P498)</f>
        <v>#VALUE!</v>
      </c>
      <c r="S498" s="43" t="e">
        <f t="shared" ca="1" si="110"/>
        <v>#VALUE!</v>
      </c>
      <c r="T498" s="43">
        <f t="shared" si="111"/>
        <v>0</v>
      </c>
      <c r="U498" s="226">
        <f>TRUNC(T498*Condições!$C$102,2)</f>
        <v>0</v>
      </c>
      <c r="V498" s="82">
        <f t="shared" ca="1" si="112"/>
        <v>11</v>
      </c>
      <c r="W498" s="231" t="str">
        <f t="shared" si="113"/>
        <v/>
      </c>
      <c r="AI498" s="114">
        <f t="shared" si="115"/>
        <v>0</v>
      </c>
      <c r="AL498" s="477">
        <f t="shared" ca="1" si="116"/>
        <v>0</v>
      </c>
    </row>
    <row r="499" spans="2:38" ht="12.75" customHeight="1">
      <c r="B499" s="222">
        <f ca="1">Fixa!B499</f>
        <v>60617</v>
      </c>
      <c r="C499" s="223" t="str">
        <f>Fixa!C499</f>
        <v/>
      </c>
      <c r="D499" s="43" t="e">
        <f t="shared" si="101"/>
        <v>#VALUE!</v>
      </c>
      <c r="E499" s="43" t="e">
        <f t="shared" si="102"/>
        <v>#VALUE!</v>
      </c>
      <c r="F499" s="43" t="e">
        <f t="shared" si="103"/>
        <v>#VALUE!</v>
      </c>
      <c r="G499" s="43" t="e">
        <f t="shared" si="104"/>
        <v>#VALUE!</v>
      </c>
      <c r="H499" s="43" t="e">
        <f t="shared" ca="1" si="105"/>
        <v>#VALUE!</v>
      </c>
      <c r="I499" s="43">
        <f t="shared" si="106"/>
        <v>0</v>
      </c>
      <c r="J499" s="229">
        <f t="shared" si="114"/>
        <v>25</v>
      </c>
      <c r="K499" s="43">
        <f t="shared" si="107"/>
        <v>0</v>
      </c>
      <c r="N499" s="225">
        <f t="shared" si="108"/>
        <v>0</v>
      </c>
      <c r="O499" s="43" t="e">
        <f t="shared" si="109"/>
        <v>#VALUE!</v>
      </c>
      <c r="P499" s="43" t="e">
        <f>ROUND(IF(Preenchimento!$G$39="Tabela Price",R499-Q499,(O498*(1+$AD$35))/($AD$28-C498)),$P$22)</f>
        <v>#VALUE!</v>
      </c>
      <c r="Q499" s="43" t="e">
        <f>IF(Preenchimento!$G$39="Tabela Price",O498*(1+$AD$35)*W499,O498*(1+'SAC Padrão_Sem Bonif'!$AD$35)*'SAC Padrão_Sem Bonif'!W499)</f>
        <v>#VALUE!</v>
      </c>
      <c r="R499" s="43" t="e">
        <f>IF(Preenchimento!$G$39="Tabela Price",IF(C499="","",((((((1+W499)^($Q$16-C498))*W499)/((1+W499)^($Q$16-C498)-1))*(O498*(1+$AD$35))))),Q499+P499)</f>
        <v>#VALUE!</v>
      </c>
      <c r="S499" s="43" t="e">
        <f t="shared" ca="1" si="110"/>
        <v>#VALUE!</v>
      </c>
      <c r="T499" s="43">
        <f t="shared" si="111"/>
        <v>0</v>
      </c>
      <c r="U499" s="226">
        <f>TRUNC(T499*Condições!$C$102,2)</f>
        <v>0</v>
      </c>
      <c r="V499" s="82">
        <f t="shared" ca="1" si="112"/>
        <v>12</v>
      </c>
      <c r="W499" s="231" t="str">
        <f t="shared" si="113"/>
        <v/>
      </c>
      <c r="AI499" s="114">
        <f t="shared" si="115"/>
        <v>0</v>
      </c>
      <c r="AL499" s="477">
        <f t="shared" ca="1" si="116"/>
        <v>0</v>
      </c>
    </row>
    <row r="500" spans="2:38" ht="12.75" customHeight="1">
      <c r="B500" s="222">
        <f ca="1">Fixa!B500</f>
        <v>60648</v>
      </c>
      <c r="C500" s="223" t="str">
        <f>Fixa!C500</f>
        <v/>
      </c>
      <c r="D500" s="43" t="e">
        <f t="shared" si="101"/>
        <v>#VALUE!</v>
      </c>
      <c r="E500" s="43" t="e">
        <f t="shared" si="102"/>
        <v>#VALUE!</v>
      </c>
      <c r="F500" s="43" t="e">
        <f t="shared" si="103"/>
        <v>#VALUE!</v>
      </c>
      <c r="G500" s="43" t="e">
        <f t="shared" si="104"/>
        <v>#VALUE!</v>
      </c>
      <c r="H500" s="43" t="e">
        <f t="shared" ca="1" si="105"/>
        <v>#VALUE!</v>
      </c>
      <c r="I500" s="43">
        <f t="shared" si="106"/>
        <v>0</v>
      </c>
      <c r="J500" s="229">
        <f t="shared" si="114"/>
        <v>25</v>
      </c>
      <c r="K500" s="43">
        <f t="shared" si="107"/>
        <v>0</v>
      </c>
      <c r="N500" s="225">
        <f t="shared" si="108"/>
        <v>0</v>
      </c>
      <c r="O500" s="43" t="e">
        <f t="shared" si="109"/>
        <v>#VALUE!</v>
      </c>
      <c r="P500" s="43" t="e">
        <f>ROUND(IF(Preenchimento!$G$39="Tabela Price",R500-Q500,(O499*(1+$AD$35))/($AD$28-C499)),$P$22)</f>
        <v>#VALUE!</v>
      </c>
      <c r="Q500" s="43" t="e">
        <f>IF(Preenchimento!$G$39="Tabela Price",O499*(1+$AD$35)*W500,O499*(1+'SAC Padrão_Sem Bonif'!$AD$35)*'SAC Padrão_Sem Bonif'!W500)</f>
        <v>#VALUE!</v>
      </c>
      <c r="R500" s="43" t="e">
        <f>IF(Preenchimento!$G$39="Tabela Price",IF(C500="","",((((((1+W500)^($Q$16-C499))*W500)/((1+W500)^($Q$16-C499)-1))*(O499*(1+$AD$35))))),Q500+P500)</f>
        <v>#VALUE!</v>
      </c>
      <c r="S500" s="43" t="e">
        <f t="shared" ca="1" si="110"/>
        <v>#VALUE!</v>
      </c>
      <c r="T500" s="43">
        <f t="shared" si="111"/>
        <v>0</v>
      </c>
      <c r="U500" s="226">
        <f>TRUNC(T500*Condições!$C$102,2)</f>
        <v>0</v>
      </c>
      <c r="V500" s="82">
        <f t="shared" ca="1" si="112"/>
        <v>1</v>
      </c>
      <c r="W500" s="231" t="str">
        <f t="shared" si="113"/>
        <v/>
      </c>
      <c r="AI500" s="114">
        <f t="shared" si="115"/>
        <v>0</v>
      </c>
      <c r="AL500" s="477">
        <f t="shared" ca="1" si="116"/>
        <v>0</v>
      </c>
    </row>
    <row r="501" spans="2:38" ht="12.75" customHeight="1">
      <c r="B501" s="222">
        <f ca="1">Fixa!B501</f>
        <v>60679</v>
      </c>
      <c r="C501" s="223" t="str">
        <f>Fixa!C501</f>
        <v/>
      </c>
      <c r="D501" s="43" t="e">
        <f t="shared" si="101"/>
        <v>#VALUE!</v>
      </c>
      <c r="E501" s="43" t="e">
        <f t="shared" si="102"/>
        <v>#VALUE!</v>
      </c>
      <c r="F501" s="43" t="e">
        <f t="shared" si="103"/>
        <v>#VALUE!</v>
      </c>
      <c r="G501" s="43" t="e">
        <f t="shared" si="104"/>
        <v>#VALUE!</v>
      </c>
      <c r="H501" s="43" t="e">
        <f t="shared" ca="1" si="105"/>
        <v>#VALUE!</v>
      </c>
      <c r="I501" s="43">
        <f t="shared" si="106"/>
        <v>0</v>
      </c>
      <c r="J501" s="229">
        <f t="shared" si="114"/>
        <v>25</v>
      </c>
      <c r="K501" s="43">
        <f t="shared" si="107"/>
        <v>0</v>
      </c>
      <c r="N501" s="225">
        <f t="shared" si="108"/>
        <v>0</v>
      </c>
      <c r="O501" s="43" t="e">
        <f t="shared" si="109"/>
        <v>#VALUE!</v>
      </c>
      <c r="P501" s="43" t="e">
        <f>ROUND(IF(Preenchimento!$G$39="Tabela Price",R501-Q501,(O500*(1+$AD$35))/($AD$28-C500)),$P$22)</f>
        <v>#VALUE!</v>
      </c>
      <c r="Q501" s="43" t="e">
        <f>IF(Preenchimento!$G$39="Tabela Price",O500*(1+$AD$35)*W501,O500*(1+'SAC Padrão_Sem Bonif'!$AD$35)*'SAC Padrão_Sem Bonif'!W501)</f>
        <v>#VALUE!</v>
      </c>
      <c r="R501" s="43" t="e">
        <f>IF(Preenchimento!$G$39="Tabela Price",IF(C501="","",((((((1+W501)^($Q$16-C500))*W501)/((1+W501)^($Q$16-C500)-1))*(O500*(1+$AD$35))))),Q501+P501)</f>
        <v>#VALUE!</v>
      </c>
      <c r="S501" s="43" t="e">
        <f t="shared" ca="1" si="110"/>
        <v>#VALUE!</v>
      </c>
      <c r="T501" s="43">
        <f t="shared" si="111"/>
        <v>0</v>
      </c>
      <c r="U501" s="226">
        <f>TRUNC(T501*Condições!$C$102,2)</f>
        <v>0</v>
      </c>
      <c r="V501" s="82">
        <f t="shared" ca="1" si="112"/>
        <v>2</v>
      </c>
      <c r="W501" s="231" t="str">
        <f t="shared" si="113"/>
        <v/>
      </c>
      <c r="AI501" s="114">
        <f t="shared" si="115"/>
        <v>0</v>
      </c>
      <c r="AL501" s="477">
        <f t="shared" ca="1" si="116"/>
        <v>0</v>
      </c>
    </row>
    <row r="502" spans="2:38" ht="12.75" customHeight="1">
      <c r="B502" s="222">
        <f ca="1">Fixa!B502</f>
        <v>60707</v>
      </c>
      <c r="C502" s="223" t="str">
        <f>Fixa!C502</f>
        <v/>
      </c>
      <c r="D502" s="43" t="e">
        <f t="shared" si="101"/>
        <v>#VALUE!</v>
      </c>
      <c r="E502" s="43" t="e">
        <f t="shared" si="102"/>
        <v>#VALUE!</v>
      </c>
      <c r="F502" s="43" t="e">
        <f t="shared" si="103"/>
        <v>#VALUE!</v>
      </c>
      <c r="G502" s="43" t="e">
        <f t="shared" si="104"/>
        <v>#VALUE!</v>
      </c>
      <c r="H502" s="43" t="e">
        <f t="shared" ca="1" si="105"/>
        <v>#VALUE!</v>
      </c>
      <c r="I502" s="43">
        <f t="shared" si="106"/>
        <v>0</v>
      </c>
      <c r="J502" s="229">
        <f t="shared" si="114"/>
        <v>25</v>
      </c>
      <c r="K502" s="43">
        <f t="shared" si="107"/>
        <v>0</v>
      </c>
      <c r="N502" s="225">
        <f t="shared" si="108"/>
        <v>0</v>
      </c>
      <c r="O502" s="43" t="e">
        <f t="shared" si="109"/>
        <v>#VALUE!</v>
      </c>
      <c r="P502" s="43" t="e">
        <f>ROUND(IF(Preenchimento!$G$39="Tabela Price",R502-Q502,(O501*(1+$AD$35))/($AD$28-C501)),$P$22)</f>
        <v>#VALUE!</v>
      </c>
      <c r="Q502" s="43" t="e">
        <f>IF(Preenchimento!$G$39="Tabela Price",O501*(1+$AD$35)*W502,O501*(1+'SAC Padrão_Sem Bonif'!$AD$35)*'SAC Padrão_Sem Bonif'!W502)</f>
        <v>#VALUE!</v>
      </c>
      <c r="R502" s="43" t="e">
        <f>IF(Preenchimento!$G$39="Tabela Price",IF(C502="","",((((((1+W502)^($Q$16-C501))*W502)/((1+W502)^($Q$16-C501)-1))*(O501*(1+$AD$35))))),Q502+P502)</f>
        <v>#VALUE!</v>
      </c>
      <c r="S502" s="43" t="e">
        <f t="shared" ca="1" si="110"/>
        <v>#VALUE!</v>
      </c>
      <c r="T502" s="43">
        <f t="shared" si="111"/>
        <v>0</v>
      </c>
      <c r="U502" s="226">
        <f>TRUNC(T502*Condições!$C$102,2)</f>
        <v>0</v>
      </c>
      <c r="V502" s="82">
        <f t="shared" ca="1" si="112"/>
        <v>3</v>
      </c>
      <c r="W502" s="231" t="str">
        <f t="shared" si="113"/>
        <v/>
      </c>
      <c r="AI502" s="114">
        <f t="shared" si="115"/>
        <v>0</v>
      </c>
      <c r="AL502" s="477">
        <f t="shared" ca="1" si="116"/>
        <v>0</v>
      </c>
    </row>
    <row r="503" spans="2:38" ht="12.75" customHeight="1">
      <c r="B503" s="222">
        <f ca="1">Fixa!B503</f>
        <v>60738</v>
      </c>
      <c r="C503" s="223" t="str">
        <f>Fixa!C503</f>
        <v/>
      </c>
      <c r="D503" s="43" t="e">
        <f t="shared" si="101"/>
        <v>#VALUE!</v>
      </c>
      <c r="E503" s="43" t="e">
        <f t="shared" si="102"/>
        <v>#VALUE!</v>
      </c>
      <c r="F503" s="43" t="e">
        <f t="shared" si="103"/>
        <v>#VALUE!</v>
      </c>
      <c r="G503" s="43" t="e">
        <f t="shared" si="104"/>
        <v>#VALUE!</v>
      </c>
      <c r="H503" s="43" t="e">
        <f t="shared" ca="1" si="105"/>
        <v>#VALUE!</v>
      </c>
      <c r="I503" s="43">
        <f t="shared" si="106"/>
        <v>0</v>
      </c>
      <c r="J503" s="229">
        <f t="shared" si="114"/>
        <v>25</v>
      </c>
      <c r="K503" s="43">
        <f t="shared" si="107"/>
        <v>0</v>
      </c>
      <c r="N503" s="225">
        <f t="shared" si="108"/>
        <v>0</v>
      </c>
      <c r="O503" s="43" t="e">
        <f t="shared" si="109"/>
        <v>#VALUE!</v>
      </c>
      <c r="P503" s="43" t="e">
        <f>ROUND(IF(Preenchimento!$G$39="Tabela Price",R503-Q503,(O502*(1+$AD$35))/($AD$28-C502)),$P$22)</f>
        <v>#VALUE!</v>
      </c>
      <c r="Q503" s="43" t="e">
        <f>IF(Preenchimento!$G$39="Tabela Price",O502*(1+$AD$35)*W503,O502*(1+'SAC Padrão_Sem Bonif'!$AD$35)*'SAC Padrão_Sem Bonif'!W503)</f>
        <v>#VALUE!</v>
      </c>
      <c r="R503" s="43" t="e">
        <f>IF(Preenchimento!$G$39="Tabela Price",IF(C503="","",((((((1+W503)^($Q$16-C502))*W503)/((1+W503)^($Q$16-C502)-1))*(O502*(1+$AD$35))))),Q503+P503)</f>
        <v>#VALUE!</v>
      </c>
      <c r="S503" s="43" t="e">
        <f t="shared" ca="1" si="110"/>
        <v>#VALUE!</v>
      </c>
      <c r="T503" s="43">
        <f t="shared" si="111"/>
        <v>0</v>
      </c>
      <c r="U503" s="226">
        <f>TRUNC(T503*Condições!$C$102,2)</f>
        <v>0</v>
      </c>
      <c r="V503" s="82">
        <f t="shared" ca="1" si="112"/>
        <v>4</v>
      </c>
      <c r="W503" s="231" t="str">
        <f t="shared" si="113"/>
        <v/>
      </c>
      <c r="AI503" s="114">
        <f t="shared" si="115"/>
        <v>0</v>
      </c>
      <c r="AL503" s="477">
        <f t="shared" ca="1" si="116"/>
        <v>0</v>
      </c>
    </row>
    <row r="504" spans="2:38" ht="12.75" customHeight="1">
      <c r="B504" s="222">
        <f ca="1">Fixa!B504</f>
        <v>60768</v>
      </c>
      <c r="C504" s="223" t="str">
        <f>Fixa!C504</f>
        <v/>
      </c>
      <c r="D504" s="43" t="e">
        <f t="shared" si="101"/>
        <v>#VALUE!</v>
      </c>
      <c r="E504" s="43" t="e">
        <f t="shared" si="102"/>
        <v>#VALUE!</v>
      </c>
      <c r="F504" s="43" t="e">
        <f t="shared" si="103"/>
        <v>#VALUE!</v>
      </c>
      <c r="G504" s="43" t="e">
        <f t="shared" si="104"/>
        <v>#VALUE!</v>
      </c>
      <c r="H504" s="43" t="e">
        <f t="shared" ca="1" si="105"/>
        <v>#VALUE!</v>
      </c>
      <c r="I504" s="43">
        <f t="shared" si="106"/>
        <v>0</v>
      </c>
      <c r="J504" s="229">
        <f t="shared" si="114"/>
        <v>25</v>
      </c>
      <c r="K504" s="43">
        <f t="shared" si="107"/>
        <v>0</v>
      </c>
      <c r="N504" s="225">
        <f t="shared" si="108"/>
        <v>0</v>
      </c>
      <c r="O504" s="43" t="e">
        <f t="shared" si="109"/>
        <v>#VALUE!</v>
      </c>
      <c r="P504" s="43" t="e">
        <f>ROUND(IF(Preenchimento!$G$39="Tabela Price",R504-Q504,(O503*(1+$AD$35))/($AD$28-C503)),$P$22)</f>
        <v>#VALUE!</v>
      </c>
      <c r="Q504" s="43" t="e">
        <f>IF(Preenchimento!$G$39="Tabela Price",O503*(1+$AD$35)*W504,O503*(1+'SAC Padrão_Sem Bonif'!$AD$35)*'SAC Padrão_Sem Bonif'!W504)</f>
        <v>#VALUE!</v>
      </c>
      <c r="R504" s="43" t="e">
        <f>IF(Preenchimento!$G$39="Tabela Price",IF(C504="","",((((((1+W504)^($Q$16-C503))*W504)/((1+W504)^($Q$16-C503)-1))*(O503*(1+$AD$35))))),Q504+P504)</f>
        <v>#VALUE!</v>
      </c>
      <c r="S504" s="43" t="e">
        <f t="shared" ca="1" si="110"/>
        <v>#VALUE!</v>
      </c>
      <c r="T504" s="43">
        <f t="shared" si="111"/>
        <v>0</v>
      </c>
      <c r="U504" s="226">
        <f>TRUNC(T504*Condições!$C$102,2)</f>
        <v>0</v>
      </c>
      <c r="V504" s="82">
        <f t="shared" ca="1" si="112"/>
        <v>5</v>
      </c>
      <c r="W504" s="231" t="str">
        <f t="shared" si="113"/>
        <v/>
      </c>
      <c r="AI504" s="114">
        <f t="shared" si="115"/>
        <v>0</v>
      </c>
      <c r="AL504" s="477">
        <f t="shared" ca="1" si="116"/>
        <v>0</v>
      </c>
    </row>
    <row r="505" spans="2:38" ht="12.75" customHeight="1">
      <c r="B505" s="222">
        <f ca="1">Fixa!B505</f>
        <v>60799</v>
      </c>
      <c r="C505" s="223" t="str">
        <f>Fixa!C505</f>
        <v/>
      </c>
      <c r="D505" s="43" t="e">
        <f t="shared" si="101"/>
        <v>#VALUE!</v>
      </c>
      <c r="E505" s="43" t="e">
        <f t="shared" si="102"/>
        <v>#VALUE!</v>
      </c>
      <c r="F505" s="43" t="e">
        <f t="shared" si="103"/>
        <v>#VALUE!</v>
      </c>
      <c r="G505" s="43" t="e">
        <f t="shared" si="104"/>
        <v>#VALUE!</v>
      </c>
      <c r="H505" s="43" t="e">
        <f t="shared" ca="1" si="105"/>
        <v>#VALUE!</v>
      </c>
      <c r="I505" s="43">
        <f t="shared" si="106"/>
        <v>0</v>
      </c>
      <c r="J505" s="229">
        <f t="shared" si="114"/>
        <v>25</v>
      </c>
      <c r="K505" s="43">
        <f t="shared" si="107"/>
        <v>0</v>
      </c>
      <c r="N505" s="225">
        <f t="shared" si="108"/>
        <v>0</v>
      </c>
      <c r="O505" s="43" t="e">
        <f t="shared" si="109"/>
        <v>#VALUE!</v>
      </c>
      <c r="P505" s="43" t="e">
        <f>ROUND(IF(Preenchimento!$G$39="Tabela Price",R505-Q505,(O504*(1+$AD$35))/($AD$28-C504)),$P$22)</f>
        <v>#VALUE!</v>
      </c>
      <c r="Q505" s="43" t="e">
        <f>IF(Preenchimento!$G$39="Tabela Price",O504*(1+$AD$35)*W505,O504*(1+'SAC Padrão_Sem Bonif'!$AD$35)*'SAC Padrão_Sem Bonif'!W505)</f>
        <v>#VALUE!</v>
      </c>
      <c r="R505" s="43" t="e">
        <f>IF(Preenchimento!$G$39="Tabela Price",IF(C505="","",((((((1+W505)^($Q$16-C504))*W505)/((1+W505)^($Q$16-C504)-1))*(O504*(1+$AD$35))))),Q505+P505)</f>
        <v>#VALUE!</v>
      </c>
      <c r="S505" s="43" t="e">
        <f t="shared" ca="1" si="110"/>
        <v>#VALUE!</v>
      </c>
      <c r="T505" s="43">
        <f t="shared" si="111"/>
        <v>0</v>
      </c>
      <c r="U505" s="226">
        <f>TRUNC(T505*Condições!$C$102,2)</f>
        <v>0</v>
      </c>
      <c r="V505" s="82">
        <f t="shared" ca="1" si="112"/>
        <v>6</v>
      </c>
      <c r="W505" s="231" t="str">
        <f t="shared" si="113"/>
        <v/>
      </c>
      <c r="AI505" s="114">
        <f t="shared" si="115"/>
        <v>0</v>
      </c>
      <c r="AL505" s="477">
        <f t="shared" ca="1" si="116"/>
        <v>0</v>
      </c>
    </row>
    <row r="506" spans="2:38" ht="12.75" customHeight="1">
      <c r="B506" s="222">
        <f ca="1">Fixa!B506</f>
        <v>60829</v>
      </c>
      <c r="C506" s="223" t="str">
        <f>Fixa!C506</f>
        <v/>
      </c>
      <c r="D506" s="43" t="e">
        <f t="shared" ref="D506:D511" si="117">ROUND(O506,2)</f>
        <v>#VALUE!</v>
      </c>
      <c r="E506" s="43" t="e">
        <f t="shared" ref="E506:E511" si="118">ROUND(P506,2)</f>
        <v>#VALUE!</v>
      </c>
      <c r="F506" s="43" t="e">
        <f t="shared" ref="F506:F511" si="119">ROUND(Q506,2)</f>
        <v>#VALUE!</v>
      </c>
      <c r="G506" s="43" t="e">
        <f t="shared" ref="G506:G511" si="120">F506+E506</f>
        <v>#VALUE!</v>
      </c>
      <c r="H506" s="43" t="e">
        <f t="shared" ref="H506:H511" ca="1" si="121">ROUND(S506,2)</f>
        <v>#VALUE!</v>
      </c>
      <c r="I506" s="43">
        <f t="shared" ref="I506:I511" si="122">ROUND(T506+U506,2)</f>
        <v>0</v>
      </c>
      <c r="J506" s="229">
        <f t="shared" si="114"/>
        <v>25</v>
      </c>
      <c r="K506" s="43">
        <f t="shared" ref="K506:K511" si="123">IF(C506&gt;$AD$28,0,J506+G506+I506+H506)</f>
        <v>0</v>
      </c>
      <c r="N506" s="225">
        <f t="shared" ref="N506:N511" si="124">IF(C506&gt;$AD$28,0,(H506+I506)/(1.008^((12*(B506-$B$25))/365)))</f>
        <v>0</v>
      </c>
      <c r="O506" s="43" t="e">
        <f t="shared" ref="O506:O511" si="125">ROUND((O505*(1+$AD$35)-P506),$P$22)</f>
        <v>#VALUE!</v>
      </c>
      <c r="P506" s="43" t="e">
        <f>ROUND(IF(Preenchimento!$G$39="Tabela Price",R506-Q506,(O505*(1+$AD$35))/($AD$28-C505)),$P$22)</f>
        <v>#VALUE!</v>
      </c>
      <c r="Q506" s="43" t="e">
        <f>IF(Preenchimento!$G$39="Tabela Price",O505*(1+$AD$35)*W506,O505*(1+'SAC Padrão_Sem Bonif'!$AD$35)*'SAC Padrão_Sem Bonif'!W506)</f>
        <v>#VALUE!</v>
      </c>
      <c r="R506" s="43" t="e">
        <f>IF(Preenchimento!$G$39="Tabela Price",IF(C506="","",((((((1+W506)^($Q$16-C505))*W506)/((1+W506)^($Q$16-C505)-1))*(O505*(1+$AD$35))))),Q506+P506)</f>
        <v>#VALUE!</v>
      </c>
      <c r="S506" s="43" t="e">
        <f t="shared" ref="S506:S511" ca="1" si="126">ROUND($AD$34*O506,$P$22)</f>
        <v>#VALUE!</v>
      </c>
      <c r="T506" s="43">
        <f t="shared" ref="T506:T511" si="127">IF(C506&gt;=$AD$28,0,ROUND($AD$25*$AD$33,$P$22))</f>
        <v>0</v>
      </c>
      <c r="U506" s="226">
        <f>TRUNC(T506*Condições!$C$102,2)</f>
        <v>0</v>
      </c>
      <c r="V506" s="82">
        <f t="shared" ref="V506:V511" ca="1" si="128">MONTH(B506)</f>
        <v>7</v>
      </c>
      <c r="W506" s="231" t="str">
        <f t="shared" ref="W506:W511" si="129">IF(C506="","",IF(AND(C506&gt;$AD$46,$AD$46&lt;&gt;""),$AE$29,$AD$29))</f>
        <v/>
      </c>
      <c r="AI506" s="114">
        <f t="shared" si="115"/>
        <v>0</v>
      </c>
      <c r="AL506" s="477">
        <f t="shared" ca="1" si="116"/>
        <v>0</v>
      </c>
    </row>
    <row r="507" spans="2:38" ht="12.75" customHeight="1">
      <c r="B507" s="222">
        <f ca="1">Fixa!B507</f>
        <v>60860</v>
      </c>
      <c r="C507" s="223" t="str">
        <f>Fixa!C507</f>
        <v/>
      </c>
      <c r="D507" s="43" t="e">
        <f t="shared" si="117"/>
        <v>#VALUE!</v>
      </c>
      <c r="E507" s="43" t="e">
        <f t="shared" si="118"/>
        <v>#VALUE!</v>
      </c>
      <c r="F507" s="43" t="e">
        <f t="shared" si="119"/>
        <v>#VALUE!</v>
      </c>
      <c r="G507" s="43" t="e">
        <f t="shared" si="120"/>
        <v>#VALUE!</v>
      </c>
      <c r="H507" s="43" t="e">
        <f t="shared" ca="1" si="121"/>
        <v>#VALUE!</v>
      </c>
      <c r="I507" s="43">
        <f t="shared" si="122"/>
        <v>0</v>
      </c>
      <c r="J507" s="229">
        <f t="shared" si="114"/>
        <v>25</v>
      </c>
      <c r="K507" s="43">
        <f t="shared" si="123"/>
        <v>0</v>
      </c>
      <c r="N507" s="225">
        <f t="shared" si="124"/>
        <v>0</v>
      </c>
      <c r="O507" s="43" t="e">
        <f t="shared" si="125"/>
        <v>#VALUE!</v>
      </c>
      <c r="P507" s="43" t="e">
        <f>ROUND(IF(Preenchimento!$G$39="Tabela Price",R507-Q507,(O506*(1+$AD$35))/($AD$28-C506)),$P$22)</f>
        <v>#VALUE!</v>
      </c>
      <c r="Q507" s="43" t="e">
        <f>IF(Preenchimento!$G$39="Tabela Price",O506*(1+$AD$35)*W507,O506*(1+'SAC Padrão_Sem Bonif'!$AD$35)*'SAC Padrão_Sem Bonif'!W507)</f>
        <v>#VALUE!</v>
      </c>
      <c r="R507" s="43" t="e">
        <f>IF(Preenchimento!$G$39="Tabela Price",IF(C507="","",((((((1+W507)^($Q$16-C506))*W507)/((1+W507)^($Q$16-C506)-1))*(O506*(1+$AD$35))))),Q507+P507)</f>
        <v>#VALUE!</v>
      </c>
      <c r="S507" s="43" t="e">
        <f t="shared" ca="1" si="126"/>
        <v>#VALUE!</v>
      </c>
      <c r="T507" s="43">
        <f t="shared" si="127"/>
        <v>0</v>
      </c>
      <c r="U507" s="226">
        <f>TRUNC(T507*Condições!$C$102,2)</f>
        <v>0</v>
      </c>
      <c r="V507" s="82">
        <f t="shared" ca="1" si="128"/>
        <v>8</v>
      </c>
      <c r="W507" s="231" t="str">
        <f t="shared" si="129"/>
        <v/>
      </c>
      <c r="AI507" s="114">
        <f t="shared" si="115"/>
        <v>0</v>
      </c>
      <c r="AL507" s="477">
        <f t="shared" ca="1" si="116"/>
        <v>0</v>
      </c>
    </row>
    <row r="508" spans="2:38" ht="12.75" customHeight="1">
      <c r="B508" s="222">
        <f ca="1">Fixa!B508</f>
        <v>60891</v>
      </c>
      <c r="C508" s="223" t="str">
        <f>Fixa!C508</f>
        <v/>
      </c>
      <c r="D508" s="43" t="e">
        <f t="shared" si="117"/>
        <v>#VALUE!</v>
      </c>
      <c r="E508" s="43" t="e">
        <f t="shared" si="118"/>
        <v>#VALUE!</v>
      </c>
      <c r="F508" s="43" t="e">
        <f t="shared" si="119"/>
        <v>#VALUE!</v>
      </c>
      <c r="G508" s="43" t="e">
        <f t="shared" si="120"/>
        <v>#VALUE!</v>
      </c>
      <c r="H508" s="43" t="e">
        <f t="shared" ca="1" si="121"/>
        <v>#VALUE!</v>
      </c>
      <c r="I508" s="43">
        <f t="shared" si="122"/>
        <v>0</v>
      </c>
      <c r="J508" s="229">
        <f t="shared" si="114"/>
        <v>25</v>
      </c>
      <c r="K508" s="43">
        <f t="shared" si="123"/>
        <v>0</v>
      </c>
      <c r="N508" s="225">
        <f t="shared" si="124"/>
        <v>0</v>
      </c>
      <c r="O508" s="43" t="e">
        <f t="shared" si="125"/>
        <v>#VALUE!</v>
      </c>
      <c r="P508" s="43" t="e">
        <f>ROUND(IF(Preenchimento!$G$39="Tabela Price",R508-Q508,(O507*(1+$AD$35))/($AD$28-C507)),$P$22)</f>
        <v>#VALUE!</v>
      </c>
      <c r="Q508" s="43" t="e">
        <f>IF(Preenchimento!$G$39="Tabela Price",O507*(1+$AD$35)*W508,O507*(1+'SAC Padrão_Sem Bonif'!$AD$35)*'SAC Padrão_Sem Bonif'!W508)</f>
        <v>#VALUE!</v>
      </c>
      <c r="R508" s="43" t="e">
        <f>IF(Preenchimento!$G$39="Tabela Price",IF(C508="","",((((((1+W508)^($Q$16-C507))*W508)/((1+W508)^($Q$16-C507)-1))*(O507*(1+$AD$35))))),Q508+P508)</f>
        <v>#VALUE!</v>
      </c>
      <c r="S508" s="43" t="e">
        <f t="shared" ca="1" si="126"/>
        <v>#VALUE!</v>
      </c>
      <c r="T508" s="43">
        <f t="shared" si="127"/>
        <v>0</v>
      </c>
      <c r="U508" s="226">
        <f>TRUNC(T508*Condições!$C$102,2)</f>
        <v>0</v>
      </c>
      <c r="V508" s="82">
        <f t="shared" ca="1" si="128"/>
        <v>9</v>
      </c>
      <c r="W508" s="231" t="str">
        <f t="shared" si="129"/>
        <v/>
      </c>
      <c r="AI508" s="114">
        <f t="shared" si="115"/>
        <v>0</v>
      </c>
      <c r="AL508" s="477">
        <f t="shared" ca="1" si="116"/>
        <v>0</v>
      </c>
    </row>
    <row r="509" spans="2:38" ht="12.75" customHeight="1">
      <c r="B509" s="222">
        <f ca="1">Fixa!B509</f>
        <v>60921</v>
      </c>
      <c r="C509" s="223" t="str">
        <f>Fixa!C509</f>
        <v/>
      </c>
      <c r="D509" s="43" t="e">
        <f t="shared" si="117"/>
        <v>#VALUE!</v>
      </c>
      <c r="E509" s="43" t="e">
        <f t="shared" si="118"/>
        <v>#VALUE!</v>
      </c>
      <c r="F509" s="43" t="e">
        <f t="shared" si="119"/>
        <v>#VALUE!</v>
      </c>
      <c r="G509" s="43" t="e">
        <f t="shared" si="120"/>
        <v>#VALUE!</v>
      </c>
      <c r="H509" s="43" t="e">
        <f t="shared" ca="1" si="121"/>
        <v>#VALUE!</v>
      </c>
      <c r="I509" s="43">
        <f t="shared" si="122"/>
        <v>0</v>
      </c>
      <c r="J509" s="229">
        <f t="shared" si="114"/>
        <v>25</v>
      </c>
      <c r="K509" s="43">
        <f t="shared" si="123"/>
        <v>0</v>
      </c>
      <c r="N509" s="225">
        <f t="shared" si="124"/>
        <v>0</v>
      </c>
      <c r="O509" s="43" t="e">
        <f t="shared" si="125"/>
        <v>#VALUE!</v>
      </c>
      <c r="P509" s="43" t="e">
        <f>ROUND(IF(Preenchimento!$G$39="Tabela Price",R509-Q509,(O508*(1+$AD$35))/($AD$28-C508)),$P$22)</f>
        <v>#VALUE!</v>
      </c>
      <c r="Q509" s="43" t="e">
        <f>IF(Preenchimento!$G$39="Tabela Price",O508*(1+$AD$35)*W509,O508*(1+'SAC Padrão_Sem Bonif'!$AD$35)*'SAC Padrão_Sem Bonif'!W509)</f>
        <v>#VALUE!</v>
      </c>
      <c r="R509" s="43" t="e">
        <f>IF(Preenchimento!$G$39="Tabela Price",IF(C509="","",((((((1+W509)^($Q$16-C508))*W509)/((1+W509)^($Q$16-C508)-1))*(O508*(1+$AD$35))))),Q509+P509)</f>
        <v>#VALUE!</v>
      </c>
      <c r="S509" s="43" t="e">
        <f t="shared" ca="1" si="126"/>
        <v>#VALUE!</v>
      </c>
      <c r="T509" s="43">
        <f t="shared" si="127"/>
        <v>0</v>
      </c>
      <c r="U509" s="226">
        <f>TRUNC(T509*Condições!$C$102,2)</f>
        <v>0</v>
      </c>
      <c r="V509" s="82">
        <f t="shared" ca="1" si="128"/>
        <v>10</v>
      </c>
      <c r="W509" s="231" t="str">
        <f t="shared" si="129"/>
        <v/>
      </c>
      <c r="AI509" s="114">
        <f t="shared" si="115"/>
        <v>0</v>
      </c>
      <c r="AL509" s="477">
        <f t="shared" ca="1" si="116"/>
        <v>0</v>
      </c>
    </row>
    <row r="510" spans="2:38" ht="12.75" customHeight="1">
      <c r="B510" s="222">
        <f ca="1">Fixa!B510</f>
        <v>60952</v>
      </c>
      <c r="C510" s="223" t="str">
        <f>Fixa!C510</f>
        <v/>
      </c>
      <c r="D510" s="43" t="e">
        <f t="shared" si="117"/>
        <v>#VALUE!</v>
      </c>
      <c r="E510" s="43" t="e">
        <f t="shared" si="118"/>
        <v>#VALUE!</v>
      </c>
      <c r="F510" s="43" t="e">
        <f t="shared" si="119"/>
        <v>#VALUE!</v>
      </c>
      <c r="G510" s="43" t="e">
        <f t="shared" si="120"/>
        <v>#VALUE!</v>
      </c>
      <c r="H510" s="43" t="e">
        <f t="shared" ca="1" si="121"/>
        <v>#VALUE!</v>
      </c>
      <c r="I510" s="43">
        <f t="shared" si="122"/>
        <v>0</v>
      </c>
      <c r="J510" s="229">
        <f t="shared" si="114"/>
        <v>25</v>
      </c>
      <c r="K510" s="43">
        <f t="shared" si="123"/>
        <v>0</v>
      </c>
      <c r="N510" s="225">
        <f t="shared" si="124"/>
        <v>0</v>
      </c>
      <c r="O510" s="43" t="e">
        <f t="shared" si="125"/>
        <v>#VALUE!</v>
      </c>
      <c r="P510" s="43" t="e">
        <f>ROUND(IF(Preenchimento!$G$39="Tabela Price",R510-Q510,(O509*(1+$AD$35))/($AD$28-C509)),$P$22)</f>
        <v>#VALUE!</v>
      </c>
      <c r="Q510" s="43" t="e">
        <f>IF(Preenchimento!$G$39="Tabela Price",O509*(1+$AD$35)*W510,O509*(1+'SAC Padrão_Sem Bonif'!$AD$35)*'SAC Padrão_Sem Bonif'!W510)</f>
        <v>#VALUE!</v>
      </c>
      <c r="R510" s="43" t="e">
        <f>IF(Preenchimento!$G$39="Tabela Price",IF(C510="","",((((((1+W510)^($Q$16-C509))*W510)/((1+W510)^($Q$16-C509)-1))*(O509*(1+$AD$35))))),Q510+P510)</f>
        <v>#VALUE!</v>
      </c>
      <c r="S510" s="43" t="e">
        <f t="shared" ca="1" si="126"/>
        <v>#VALUE!</v>
      </c>
      <c r="T510" s="43">
        <f t="shared" si="127"/>
        <v>0</v>
      </c>
      <c r="U510" s="226">
        <f>TRUNC(T510*Condições!$C$102,2)</f>
        <v>0</v>
      </c>
      <c r="V510" s="82">
        <f t="shared" ca="1" si="128"/>
        <v>11</v>
      </c>
      <c r="W510" s="231" t="str">
        <f t="shared" si="129"/>
        <v/>
      </c>
      <c r="AI510" s="114">
        <f t="shared" si="115"/>
        <v>0</v>
      </c>
      <c r="AL510" s="477">
        <f t="shared" ca="1" si="116"/>
        <v>0</v>
      </c>
    </row>
    <row r="511" spans="2:38" ht="12.75" customHeight="1">
      <c r="B511" s="222">
        <f ca="1">Fixa!B511</f>
        <v>60982</v>
      </c>
      <c r="C511" s="223" t="str">
        <f>Fixa!C511</f>
        <v/>
      </c>
      <c r="D511" s="43" t="e">
        <f t="shared" si="117"/>
        <v>#VALUE!</v>
      </c>
      <c r="E511" s="43" t="e">
        <f t="shared" si="118"/>
        <v>#VALUE!</v>
      </c>
      <c r="F511" s="43" t="e">
        <f t="shared" si="119"/>
        <v>#VALUE!</v>
      </c>
      <c r="G511" s="43" t="e">
        <f t="shared" si="120"/>
        <v>#VALUE!</v>
      </c>
      <c r="H511" s="43" t="e">
        <f t="shared" ca="1" si="121"/>
        <v>#VALUE!</v>
      </c>
      <c r="I511" s="43">
        <f t="shared" si="122"/>
        <v>0</v>
      </c>
      <c r="J511" s="229">
        <f t="shared" si="114"/>
        <v>25</v>
      </c>
      <c r="K511" s="43">
        <f t="shared" si="123"/>
        <v>0</v>
      </c>
      <c r="N511" s="225">
        <f t="shared" si="124"/>
        <v>0</v>
      </c>
      <c r="O511" s="43" t="e">
        <f t="shared" si="125"/>
        <v>#VALUE!</v>
      </c>
      <c r="P511" s="43" t="e">
        <f>ROUND(IF(Preenchimento!$G$39="Tabela Price",R511-Q511,(O510*(1+$AD$35))/($AD$28-C510)),$P$22)</f>
        <v>#VALUE!</v>
      </c>
      <c r="Q511" s="43" t="e">
        <f>IF(Preenchimento!$G$39="Tabela Price",O510*(1+$AD$35)*W511,O510*(1+'SAC Padrão_Sem Bonif'!$AD$35)*'SAC Padrão_Sem Bonif'!W511)</f>
        <v>#VALUE!</v>
      </c>
      <c r="R511" s="43" t="e">
        <f>IF(Preenchimento!$G$39="Tabela Price",IF(C511="","",((((((1+W511)^($Q$16-C510))*W511)/((1+W511)^($Q$16-C510)-1))*(O510*(1+$AD$35))))),Q511+P511)</f>
        <v>#VALUE!</v>
      </c>
      <c r="S511" s="43" t="e">
        <f t="shared" ca="1" si="126"/>
        <v>#VALUE!</v>
      </c>
      <c r="T511" s="43">
        <f t="shared" si="127"/>
        <v>0</v>
      </c>
      <c r="U511" s="226">
        <f>TRUNC(T511*Condições!$C$102,2)</f>
        <v>0</v>
      </c>
      <c r="V511" s="82">
        <f t="shared" ca="1" si="128"/>
        <v>12</v>
      </c>
      <c r="W511" s="231" t="str">
        <f t="shared" si="129"/>
        <v/>
      </c>
      <c r="AI511" s="114">
        <f t="shared" si="115"/>
        <v>0</v>
      </c>
      <c r="AL511" s="477">
        <f t="shared" ca="1" si="116"/>
        <v>0</v>
      </c>
    </row>
    <row r="512" spans="2:38" ht="12.75" customHeight="1"/>
    <row r="513" ht="12.75" customHeight="1"/>
  </sheetData>
  <sheetProtection algorithmName="SHA-512" hashValue="kbZOSjwjFP7woAYwLzPfgEcW7J+qxMvk9PLixm2zQpXU4ldNjUjqBZhSBOq3T1HsYciwvDqBEn18a2curk4I+g==" saltValue="RaGCe7ElzfLFFCXBDAilzA==" spinCount="100000" sheet="1" selectLockedCells="1"/>
  <mergeCells count="6">
    <mergeCell ref="B11:K11"/>
    <mergeCell ref="B1:K1"/>
    <mergeCell ref="B5:K5"/>
    <mergeCell ref="B7:L7"/>
    <mergeCell ref="B8:L8"/>
    <mergeCell ref="B10:K10"/>
  </mergeCells>
  <conditionalFormatting sqref="B25:K511">
    <cfRule type="expression" dxfId="8" priority="10">
      <formula>$N$1=1</formula>
    </cfRule>
  </conditionalFormatting>
  <conditionalFormatting sqref="C25:K511">
    <cfRule type="expression" dxfId="7" priority="11" stopIfTrue="1">
      <formula>$C25=""</formula>
    </cfRule>
    <cfRule type="expression" dxfId="6" priority="12" stopIfTrue="1">
      <formula>$J$13=""</formula>
    </cfRule>
  </conditionalFormatting>
  <conditionalFormatting sqref="B25:B511">
    <cfRule type="expression" dxfId="5" priority="13" stopIfTrue="1">
      <formula>$C25=""</formula>
    </cfRule>
    <cfRule type="expression" dxfId="4" priority="14" stopIfTrue="1">
      <formula>$J$13=""</formula>
    </cfRule>
  </conditionalFormatting>
  <conditionalFormatting sqref="F20:K20">
    <cfRule type="expression" dxfId="3" priority="6" stopIfTrue="1">
      <formula>$AE$41="falso"</formula>
    </cfRule>
  </conditionalFormatting>
  <conditionalFormatting sqref="F21:K21">
    <cfRule type="expression" dxfId="2" priority="5" stopIfTrue="1">
      <formula>$AE$39="falso"</formula>
    </cfRule>
  </conditionalFormatting>
  <conditionalFormatting sqref="F19:K19">
    <cfRule type="expression" dxfId="1" priority="4" stopIfTrue="1">
      <formula>AND($AE$40="falso",$AE$42="falso")</formula>
    </cfRule>
  </conditionalFormatting>
  <printOptions horizontalCentered="1"/>
  <pageMargins left="0.23622047244094499" right="0.23622047244094499" top="0.35433070866141703" bottom="0.35433070866141703" header="0.23622047244094499" footer="0.196850393700787"/>
  <pageSetup paperSize="9" scale="54" orientation="portrait" r:id="rId1"/>
  <headerFooter alignWithMargins="0">
    <oddFooter>&amp;C&amp;D</oddFooter>
  </headerFooter>
  <rowBreaks count="4" manualBreakCount="4">
    <brk id="105" max="12" man="1"/>
    <brk id="214" max="16383" man="1"/>
    <brk id="319" max="16383" man="1"/>
    <brk id="425" max="12" man="1"/>
  </rowBreaks>
  <colBreaks count="1" manualBreakCount="1">
    <brk id="13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97FFFCFD-031A-466D-A318-2238EDC28840}">
            <xm:f>Preenchimento!$G$25="Valor de Financiamento maior que o permitido!"</xm:f>
            <x14:dxf>
              <font>
                <color theme="0"/>
              </font>
            </x14:dxf>
          </x14:cfRule>
          <xm:sqref>D12:D18 B25:K511 J12:J18 K15:K18 J19:K21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autoPageBreaks="0" fitToPage="1"/>
  </sheetPr>
  <dimension ref="A1:AK413"/>
  <sheetViews>
    <sheetView showGridLines="0" showRowColHeaders="0" tabSelected="1" zoomScaleNormal="100" zoomScaleSheetLayoutView="100" workbookViewId="0">
      <selection activeCell="D24" sqref="D24:E24"/>
    </sheetView>
  </sheetViews>
  <sheetFormatPr defaultColWidth="0" defaultRowHeight="12.75" zeroHeight="1"/>
  <cols>
    <col min="1" max="1" width="2.140625" style="82" customWidth="1"/>
    <col min="2" max="2" width="49.7109375" style="82" customWidth="1"/>
    <col min="3" max="3" width="2.140625" style="82" customWidth="1"/>
    <col min="4" max="4" width="17.5703125" style="82" customWidth="1"/>
    <col min="5" max="5" width="16.28515625" style="82" customWidth="1"/>
    <col min="6" max="6" width="3.5703125" style="82" customWidth="1"/>
    <col min="7" max="7" width="35.28515625" style="82" customWidth="1"/>
    <col min="8" max="8" width="1" style="82" customWidth="1"/>
    <col min="9" max="9" width="32.42578125" style="82" customWidth="1"/>
    <col min="10" max="10" width="2.42578125" style="82" customWidth="1"/>
    <col min="11" max="11" width="4.5703125" style="82" hidden="1" customWidth="1"/>
    <col min="12" max="12" width="5.85546875" style="82" hidden="1" customWidth="1"/>
    <col min="13" max="22" width="12" style="82" hidden="1" customWidth="1"/>
    <col min="23" max="23" width="15.7109375" style="82" hidden="1" customWidth="1"/>
    <col min="24" max="28" width="12" style="82" hidden="1" customWidth="1"/>
    <col min="29" max="29" width="3" style="82" hidden="1" customWidth="1"/>
    <col min="30" max="16384" width="14.42578125" style="82" hidden="1"/>
  </cols>
  <sheetData>
    <row r="1" spans="1:24" ht="29.25" customHeight="1">
      <c r="A1" s="532"/>
      <c r="B1" s="605" t="s">
        <v>311</v>
      </c>
      <c r="C1" s="606"/>
      <c r="D1" s="606"/>
      <c r="E1" s="606"/>
      <c r="F1" s="606"/>
      <c r="G1" s="606"/>
      <c r="H1" s="606"/>
      <c r="I1" s="606"/>
      <c r="J1" s="63"/>
      <c r="K1" s="58"/>
      <c r="L1" s="58"/>
    </row>
    <row r="2" spans="1:24" ht="18" customHeight="1" thickBot="1">
      <c r="B2" s="607"/>
      <c r="C2" s="607"/>
      <c r="D2" s="607"/>
      <c r="E2" s="607"/>
      <c r="F2" s="607"/>
      <c r="G2" s="607"/>
      <c r="H2" s="607"/>
      <c r="I2" s="607"/>
      <c r="K2" s="58"/>
      <c r="L2" s="58"/>
      <c r="X2" s="12"/>
    </row>
    <row r="3" spans="1:24" ht="9" customHeight="1" thickBot="1">
      <c r="B3" s="366"/>
      <c r="C3" s="366"/>
      <c r="D3" s="366"/>
      <c r="E3" s="366"/>
      <c r="F3" s="366"/>
      <c r="G3" s="366"/>
      <c r="H3" s="366"/>
      <c r="I3" s="556" t="s">
        <v>382</v>
      </c>
      <c r="J3" s="63"/>
      <c r="K3" s="58"/>
      <c r="L3" s="58"/>
      <c r="X3" s="12"/>
    </row>
    <row r="4" spans="1:24" ht="20.25" hidden="1" customHeight="1" thickBot="1">
      <c r="B4" s="504" t="s">
        <v>241</v>
      </c>
      <c r="C4" s="615"/>
      <c r="D4" s="615"/>
      <c r="E4" s="615"/>
      <c r="F4" s="615"/>
      <c r="G4" s="615"/>
      <c r="H4" s="615"/>
      <c r="I4" s="616"/>
      <c r="J4" s="63"/>
      <c r="K4" s="58"/>
      <c r="L4" s="58"/>
      <c r="X4" s="12"/>
    </row>
    <row r="5" spans="1:24" ht="16.5" customHeight="1" thickBot="1">
      <c r="A5" s="113"/>
      <c r="B5" s="514" t="s">
        <v>319</v>
      </c>
      <c r="C5" s="617"/>
      <c r="D5" s="617"/>
      <c r="E5" s="617"/>
      <c r="F5" s="617"/>
      <c r="G5" s="617"/>
      <c r="H5" s="617"/>
      <c r="I5" s="618"/>
      <c r="J5" s="150"/>
      <c r="K5" s="150"/>
      <c r="L5" s="150"/>
      <c r="X5" s="41"/>
    </row>
    <row r="6" spans="1:24" ht="6" customHeight="1" thickBot="1">
      <c r="A6" s="113"/>
      <c r="B6" s="152"/>
      <c r="C6" s="150"/>
      <c r="D6" s="151"/>
      <c r="E6" s="151"/>
      <c r="F6" s="151"/>
      <c r="G6" s="151"/>
      <c r="H6" s="150"/>
      <c r="I6" s="150"/>
      <c r="J6" s="150"/>
      <c r="K6" s="150"/>
      <c r="L6" s="150"/>
      <c r="X6" s="41"/>
    </row>
    <row r="7" spans="1:24" ht="15.75" customHeight="1" thickBot="1">
      <c r="A7" s="113"/>
      <c r="B7" s="367" t="s">
        <v>294</v>
      </c>
      <c r="C7" s="153"/>
      <c r="D7" s="610"/>
      <c r="E7" s="611"/>
      <c r="F7" s="151"/>
      <c r="G7" s="626" t="str">
        <f>IF(D7="Portabilidade","Não é permitido o financiamento de despesas para a Portabilidade!","")</f>
        <v/>
      </c>
      <c r="H7" s="626"/>
      <c r="I7" s="626"/>
      <c r="J7" s="150"/>
      <c r="K7" s="150"/>
      <c r="L7" s="150"/>
      <c r="X7" s="41"/>
    </row>
    <row r="8" spans="1:24" ht="13.5" customHeight="1" thickBot="1">
      <c r="A8" s="113"/>
      <c r="C8" s="153"/>
      <c r="D8" s="255"/>
      <c r="E8" s="255"/>
      <c r="F8" s="151"/>
      <c r="G8" s="373" t="s">
        <v>65</v>
      </c>
      <c r="H8" s="154"/>
      <c r="I8" s="32"/>
      <c r="K8" s="150"/>
      <c r="L8" s="150"/>
      <c r="X8" s="155"/>
    </row>
    <row r="9" spans="1:24" ht="15.75" customHeight="1" thickBot="1">
      <c r="A9" s="113"/>
      <c r="B9" s="367" t="s">
        <v>182</v>
      </c>
      <c r="C9" s="153"/>
      <c r="D9" s="619"/>
      <c r="E9" s="620"/>
      <c r="F9" s="151"/>
      <c r="G9" s="371" t="s">
        <v>89</v>
      </c>
      <c r="H9" s="156"/>
      <c r="I9" s="430">
        <f>'Caract. Prods'!C15</f>
        <v>3300</v>
      </c>
      <c r="K9" s="150"/>
      <c r="L9" s="150"/>
      <c r="X9" s="155"/>
    </row>
    <row r="10" spans="1:24" ht="15.75" customHeight="1" thickBot="1">
      <c r="A10" s="113"/>
      <c r="B10" s="107"/>
      <c r="D10" s="77"/>
      <c r="E10" s="84"/>
      <c r="G10" s="374" t="s">
        <v>64</v>
      </c>
      <c r="H10" s="154"/>
      <c r="I10" s="443"/>
      <c r="J10" s="30"/>
      <c r="K10" s="116"/>
      <c r="L10" s="150"/>
      <c r="X10" s="157"/>
    </row>
    <row r="11" spans="1:24" ht="15.75" customHeight="1" thickBot="1">
      <c r="A11" s="113"/>
      <c r="B11" s="367" t="s">
        <v>184</v>
      </c>
      <c r="D11" s="149"/>
      <c r="E11" s="460"/>
      <c r="F11" s="151"/>
      <c r="G11" s="371" t="s">
        <v>347</v>
      </c>
      <c r="H11" s="154"/>
      <c r="I11" s="557" t="str">
        <f>IF(Imovel="","",Imovel*5%)</f>
        <v/>
      </c>
      <c r="J11" s="30"/>
      <c r="K11" s="116"/>
      <c r="L11" s="150"/>
      <c r="X11" s="157"/>
    </row>
    <row r="12" spans="1:24" s="116" customFormat="1" ht="15.95" customHeight="1" thickBot="1">
      <c r="A12" s="154"/>
      <c r="B12" s="367" t="s">
        <v>185</v>
      </c>
      <c r="C12" s="150"/>
      <c r="D12" s="158"/>
      <c r="E12" s="159"/>
      <c r="F12" s="152"/>
      <c r="G12" s="560" t="s">
        <v>58</v>
      </c>
      <c r="H12" s="471"/>
      <c r="I12" s="561"/>
      <c r="J12" s="29"/>
      <c r="K12" s="32"/>
      <c r="X12" s="82"/>
    </row>
    <row r="13" spans="1:24" s="116" customFormat="1" ht="15.95" customHeight="1" thickBot="1">
      <c r="A13" s="154"/>
      <c r="B13" s="367" t="s">
        <v>186</v>
      </c>
      <c r="C13" s="150"/>
      <c r="D13" s="159"/>
      <c r="E13" s="159"/>
      <c r="F13" s="30"/>
      <c r="G13" s="563"/>
      <c r="H13" s="563"/>
      <c r="I13" s="562" t="str">
        <f>"Valor Máximo ITBI: R$ "&amp;TEXT(Imovel*5%,"0.00,00")</f>
        <v>Valor Máximo ITBI: R$ 000,00</v>
      </c>
      <c r="J13" s="29"/>
      <c r="K13" s="32"/>
      <c r="X13" s="82"/>
    </row>
    <row r="14" spans="1:24" s="116" customFormat="1" ht="15.95" customHeight="1" thickBot="1">
      <c r="A14" s="154"/>
      <c r="B14" s="367" t="s">
        <v>187</v>
      </c>
      <c r="C14" s="150">
        <v>10</v>
      </c>
      <c r="D14" s="159"/>
      <c r="E14" s="361"/>
      <c r="F14" s="30"/>
      <c r="G14" s="558" t="s">
        <v>162</v>
      </c>
      <c r="H14" s="471"/>
      <c r="I14" s="559"/>
      <c r="J14" s="30"/>
      <c r="X14" s="82"/>
    </row>
    <row r="15" spans="1:24" s="116" customFormat="1" ht="15.95" customHeight="1" thickBot="1">
      <c r="A15" s="154"/>
      <c r="B15" s="368" t="s">
        <v>188</v>
      </c>
      <c r="C15" s="48"/>
      <c r="D15" s="608" t="s">
        <v>231</v>
      </c>
      <c r="E15" s="609"/>
      <c r="F15" s="30"/>
      <c r="G15" s="563"/>
      <c r="H15" s="563"/>
      <c r="I15" s="562" t="str">
        <f>"Valor Máximo Registro: R$ "&amp;TEXT(Imovel*1.2%,"0.00,00")</f>
        <v>Valor Máximo Registro: R$ 000,00</v>
      </c>
      <c r="J15" s="62"/>
    </row>
    <row r="16" spans="1:24" s="116" customFormat="1" ht="15.95" customHeight="1" thickBot="1">
      <c r="A16" s="154"/>
      <c r="D16" s="444"/>
      <c r="E16" s="444"/>
      <c r="F16" s="31"/>
      <c r="G16" s="628" t="s">
        <v>274</v>
      </c>
      <c r="H16" s="471"/>
      <c r="I16" s="625">
        <f>Imovel*5%</f>
        <v>0</v>
      </c>
      <c r="J16" s="62"/>
    </row>
    <row r="17" spans="1:13" s="116" customFormat="1" ht="16.5" customHeight="1" thickBot="1">
      <c r="A17" s="471"/>
      <c r="B17" s="442" t="s">
        <v>239</v>
      </c>
      <c r="C17" s="29"/>
      <c r="D17" s="608"/>
      <c r="E17" s="642"/>
      <c r="F17" s="31"/>
      <c r="G17" s="628"/>
      <c r="H17" s="563"/>
      <c r="I17" s="625"/>
    </row>
    <row r="18" spans="1:13" s="116" customFormat="1" ht="16.5" customHeight="1" thickBot="1">
      <c r="A18" s="154"/>
      <c r="B18" s="369" t="s">
        <v>189</v>
      </c>
      <c r="C18" s="37"/>
      <c r="D18" s="643"/>
      <c r="E18" s="644"/>
      <c r="F18" s="31"/>
      <c r="G18" s="564"/>
      <c r="H18" s="563"/>
      <c r="I18" s="565"/>
    </row>
    <row r="19" spans="1:13" s="116" customFormat="1" ht="16.5" customHeight="1" thickBot="1">
      <c r="A19" s="154"/>
      <c r="B19" s="441" t="s">
        <v>292</v>
      </c>
      <c r="C19" s="82"/>
      <c r="D19" s="621"/>
      <c r="E19" s="622"/>
      <c r="F19" s="31"/>
      <c r="G19" s="564"/>
      <c r="H19" s="563"/>
      <c r="I19" s="566"/>
    </row>
    <row r="20" spans="1:13" s="116" customFormat="1" ht="15.95" customHeight="1" thickBot="1">
      <c r="A20" s="154"/>
      <c r="B20" s="390" t="str">
        <f>IF(OR('Caract. Prods'!D6="Não",'Caract. Prods'!D6=""),"","Sistema de Amortização*")</f>
        <v/>
      </c>
      <c r="C20" s="37"/>
      <c r="D20" s="612"/>
      <c r="E20" s="612"/>
      <c r="F20" s="32"/>
      <c r="G20" s="567" t="s">
        <v>62</v>
      </c>
      <c r="H20" s="29"/>
      <c r="I20" s="568">
        <f>SUM(D25,Fixa!AC54:AC58)</f>
        <v>0</v>
      </c>
    </row>
    <row r="21" spans="1:13" s="116" customFormat="1" ht="15.95" customHeight="1" thickBot="1">
      <c r="A21" s="154"/>
      <c r="B21" s="516" t="s">
        <v>190</v>
      </c>
      <c r="C21" s="518"/>
      <c r="D21" s="613"/>
      <c r="E21" s="614"/>
      <c r="F21" s="13"/>
      <c r="H21" s="70"/>
      <c r="I21" s="70"/>
      <c r="J21" s="33"/>
      <c r="M21" s="461"/>
    </row>
    <row r="22" spans="1:13" s="116" customFormat="1" ht="15.95" customHeight="1" thickBot="1">
      <c r="A22" s="154"/>
      <c r="B22" s="517" t="s">
        <v>53</v>
      </c>
      <c r="C22" s="29"/>
      <c r="D22" s="629"/>
      <c r="E22" s="630"/>
      <c r="F22" s="154"/>
      <c r="G22" s="631" t="s">
        <v>334</v>
      </c>
      <c r="H22" s="632"/>
      <c r="I22" s="633"/>
      <c r="K22" s="33"/>
    </row>
    <row r="23" spans="1:13" s="116" customFormat="1" ht="15.75" hidden="1" customHeight="1" thickBot="1">
      <c r="A23" s="154"/>
      <c r="B23" s="515" t="s">
        <v>293</v>
      </c>
      <c r="C23" s="29"/>
      <c r="D23" s="640" t="s">
        <v>8</v>
      </c>
      <c r="E23" s="641"/>
      <c r="F23" s="154"/>
      <c r="G23" s="634"/>
      <c r="H23" s="635"/>
      <c r="I23" s="636"/>
      <c r="L23" s="154"/>
    </row>
    <row r="24" spans="1:13" s="116" customFormat="1" ht="15.95" customHeight="1" thickBot="1">
      <c r="A24" s="154"/>
      <c r="B24" s="367" t="s">
        <v>191</v>
      </c>
      <c r="C24" s="29"/>
      <c r="D24" s="623"/>
      <c r="E24" s="624"/>
      <c r="F24" s="13"/>
      <c r="G24" s="637"/>
      <c r="H24" s="638"/>
      <c r="I24" s="639"/>
      <c r="L24" s="154"/>
    </row>
    <row r="25" spans="1:13" s="116" customFormat="1" ht="15.95" customHeight="1" thickBot="1">
      <c r="A25" s="154"/>
      <c r="B25" s="367" t="s">
        <v>192</v>
      </c>
      <c r="C25" s="29"/>
      <c r="D25" s="623"/>
      <c r="E25" s="624"/>
      <c r="F25" s="13"/>
      <c r="G25" s="144" t="e">
        <f ca="1">IF(SAC!AE40="VERDADEIRO",IF(OR(D25&gt;E27,(I20/abc&gt;Condições!C79),I20&gt;(E27+(5%*abc))),"Valor de Financiamento maior que o permitido!",""),IF(OR(D25&gt;E27,(I20/abc&gt;Condições!C79),I20&gt;E27),"Valor de Financiamento maior que o permitido!",""))</f>
        <v>#N/A</v>
      </c>
      <c r="L25" s="34"/>
    </row>
    <row r="26" spans="1:13" s="116" customFormat="1" ht="5.25" customHeight="1" thickBot="1">
      <c r="A26" s="154"/>
      <c r="B26" s="154"/>
      <c r="C26" s="154"/>
      <c r="D26" s="154"/>
      <c r="E26" s="154"/>
      <c r="F26" s="13"/>
      <c r="K26" s="33"/>
      <c r="L26" s="34"/>
    </row>
    <row r="27" spans="1:13" s="116" customFormat="1" ht="16.5" thickBot="1">
      <c r="A27" s="154"/>
      <c r="B27" s="387" t="s">
        <v>134</v>
      </c>
      <c r="C27" s="90"/>
      <c r="D27" s="451">
        <f>W86</f>
        <v>60000</v>
      </c>
      <c r="E27" s="452" t="e">
        <f ca="1">IF(AND(D18="Parcelas Fixas",SAC!AE40="VERDADEIRO"),TRUNC(W61-(5%*abc),0),TRUNC(W61,0))</f>
        <v>#N/A</v>
      </c>
      <c r="G27" s="147" t="str">
        <f>IF(D19="","",IF(I104="não ok","ATENÇÃO! Alterar as Condições Diferenciadas",""))</f>
        <v/>
      </c>
      <c r="H27" s="147"/>
      <c r="I27" s="147"/>
      <c r="K27" s="33"/>
      <c r="L27" s="34"/>
    </row>
    <row r="28" spans="1:13" s="116" customFormat="1" ht="8.25" customHeight="1" thickBot="1">
      <c r="A28" s="154"/>
      <c r="B28" s="520"/>
      <c r="C28" s="521"/>
      <c r="D28" s="160"/>
      <c r="E28" s="160"/>
      <c r="J28" s="154"/>
      <c r="K28" s="154"/>
      <c r="L28" s="154"/>
    </row>
    <row r="29" spans="1:13" s="116" customFormat="1" ht="15.75" thickBot="1">
      <c r="A29" s="154"/>
      <c r="B29" s="370" t="str">
        <f ca="1">IF(OR(D7="Portabilidade",'Caract. Prods'!D8="Sim"),CONCATENATE("Prazo Pretendido* (máx. de ",IF(AB90&lt;0,"",AB90)," meses)"),CONCATENATE("Prazo Pretendido* (máx. de ",IF(AA90&lt;0,"",AA90)," anos)"))</f>
        <v>Prazo Pretendido* (máx. de  anos)</v>
      </c>
      <c r="D29" s="647"/>
      <c r="E29" s="648"/>
      <c r="F29" s="13"/>
      <c r="G29" s="83" t="str">
        <f>IF(G42&gt;(D12+E12)*W98,"Renda Insuficiente para o prazo desejado!","")</f>
        <v/>
      </c>
      <c r="H29" s="82"/>
      <c r="I29" s="82"/>
      <c r="J29" s="154"/>
      <c r="K29" s="154"/>
      <c r="L29" s="154"/>
    </row>
    <row r="30" spans="1:13" ht="15.95" customHeight="1">
      <c r="B30" s="41" t="str">
        <f ca="1">IF(OR(D29&gt;D155,D29&lt;D156),"Ajustar prazo!","")</f>
        <v>Ajustar prazo!</v>
      </c>
      <c r="C30" s="41"/>
      <c r="D30" s="41"/>
      <c r="E30" s="41"/>
    </row>
    <row r="31" spans="1:13" ht="16.5" customHeight="1">
      <c r="B31" s="473" t="str">
        <f>IF(AND('Caract. Prods'!D6="Sim",D20=""),"Preencher Sistema de Amortização!",IF(D17="","",IF(AND(E27&lt;W86,Imovel&lt;&gt;""),"RENDA INSUFICIENTE PARA TOMAR O FINANCIAMENTO SOLICITADO","")))</f>
        <v/>
      </c>
      <c r="C31" s="148"/>
      <c r="D31" s="148"/>
      <c r="E31" s="148"/>
      <c r="G31" s="627" t="str">
        <f>IF('Caract. Prods'!C34="erro","Atenção!! Condições simuladas fora da política vigente do produto.",IF(D141="sim","Atenção!! Condições simuladas fora da política vigente do produto. Não é permitida contratação com prazo em meses, salvo Portabilidade",""))</f>
        <v/>
      </c>
      <c r="H31" s="627"/>
      <c r="I31" s="627"/>
      <c r="J31" s="63"/>
      <c r="K31" s="58"/>
      <c r="L31" s="58"/>
      <c r="M31" s="10"/>
    </row>
    <row r="32" spans="1:13" ht="11.25" customHeight="1">
      <c r="B32" s="503" t="s">
        <v>317</v>
      </c>
      <c r="G32" s="627"/>
      <c r="H32" s="627"/>
      <c r="I32" s="627"/>
      <c r="J32" s="63"/>
      <c r="K32" s="58"/>
      <c r="L32" s="58"/>
      <c r="M32" s="10"/>
    </row>
    <row r="33" spans="2:27" ht="11.25" customHeight="1">
      <c r="B33" s="503" t="s">
        <v>318</v>
      </c>
      <c r="G33" s="472"/>
      <c r="I33" s="89"/>
      <c r="J33" s="63"/>
      <c r="K33" s="58"/>
      <c r="L33" s="58"/>
      <c r="M33" s="10"/>
    </row>
    <row r="34" spans="2:27" ht="11.25" customHeight="1">
      <c r="B34" s="503"/>
      <c r="G34" s="88"/>
      <c r="I34" s="89"/>
      <c r="J34" s="63"/>
      <c r="K34" s="58"/>
      <c r="L34" s="58"/>
      <c r="M34" s="10"/>
      <c r="U34" s="599" t="s">
        <v>82</v>
      </c>
      <c r="V34" s="599"/>
      <c r="W34" s="599"/>
      <c r="Y34" s="600" t="s">
        <v>83</v>
      </c>
      <c r="Z34" s="601"/>
      <c r="AA34" s="602"/>
    </row>
    <row r="35" spans="2:27" ht="5.25" customHeight="1" thickBot="1">
      <c r="J35" s="63"/>
      <c r="K35" s="58"/>
      <c r="L35" s="58"/>
      <c r="M35" s="10"/>
      <c r="U35" s="161"/>
      <c r="V35" s="39" t="s">
        <v>39</v>
      </c>
      <c r="W35" s="40" t="s">
        <v>57</v>
      </c>
      <c r="Y35" s="162"/>
      <c r="AA35" s="163"/>
    </row>
    <row r="36" spans="2:27" ht="21" customHeight="1" thickBot="1">
      <c r="B36" s="658" t="s">
        <v>51</v>
      </c>
      <c r="C36" s="659"/>
      <c r="D36" s="659"/>
      <c r="E36" s="659"/>
      <c r="F36" s="659"/>
      <c r="G36" s="659"/>
      <c r="H36" s="659"/>
      <c r="I36" s="660"/>
      <c r="J36" s="6"/>
      <c r="K36" s="6"/>
      <c r="L36" s="6"/>
      <c r="M36" s="6"/>
      <c r="U36" s="164" t="s">
        <v>84</v>
      </c>
      <c r="V36" s="165">
        <f>IF(OR(D11&lt;=E11,D9="não"),YEAR(D11),YEAR(E11))</f>
        <v>1900</v>
      </c>
      <c r="W36" s="166"/>
      <c r="Y36" s="162"/>
      <c r="AA36" s="163"/>
    </row>
    <row r="37" spans="2:27" ht="8.25" customHeight="1">
      <c r="B37" s="6"/>
      <c r="C37" s="6"/>
      <c r="F37" s="6"/>
      <c r="H37" s="6"/>
      <c r="I37" s="6"/>
      <c r="J37" s="56"/>
      <c r="K37" s="19"/>
      <c r="L37" s="56"/>
      <c r="M37" s="113"/>
      <c r="N37" s="24" t="str">
        <f>IF(D9="","Erro",0)</f>
        <v>Erro</v>
      </c>
      <c r="O37" s="82">
        <f>IF(N37=0,1,0)</f>
        <v>0</v>
      </c>
      <c r="R37" s="82">
        <f>IF(D9="",2,1)</f>
        <v>2</v>
      </c>
      <c r="U37" s="164"/>
      <c r="V37" s="165"/>
      <c r="W37" s="166"/>
      <c r="Y37" s="162"/>
      <c r="AA37" s="163"/>
    </row>
    <row r="38" spans="2:27" ht="26.25" customHeight="1">
      <c r="B38" s="59"/>
      <c r="C38" s="20"/>
      <c r="D38" s="662" t="str">
        <f>IF(D18="Parcelas Fixas","Parcelas Fixas","Parcelas Variáveis")</f>
        <v>Parcelas Variáveis</v>
      </c>
      <c r="E38" s="662"/>
      <c r="F38" s="453"/>
      <c r="G38" s="463" t="str">
        <f>IF(D18="Parcelas Fixas","Parcelas Fixas","Parcelas Variáveis")</f>
        <v>Parcelas Variáveis</v>
      </c>
      <c r="I38"/>
      <c r="K38" s="19"/>
      <c r="L38" s="57"/>
      <c r="M38" s="113"/>
      <c r="N38" s="24">
        <v>0</v>
      </c>
      <c r="O38" s="82">
        <f t="shared" ref="O38:O45" si="0">IF(N38=0,1,0)</f>
        <v>1</v>
      </c>
      <c r="U38" s="164" t="s">
        <v>87</v>
      </c>
      <c r="V38" s="167">
        <f ca="1">YEAR(TODAY())</f>
        <v>2026</v>
      </c>
      <c r="W38" s="168"/>
      <c r="Y38" s="162"/>
      <c r="AA38" s="163"/>
    </row>
    <row r="39" spans="2:27" ht="15.75" customHeight="1" thickBot="1">
      <c r="B39" s="28"/>
      <c r="C39" s="28"/>
      <c r="D39" s="645" t="str">
        <f>IF(G38="Parcelas Fixas","Tabela Price",IF(OR('Caract. Prods'!D6="Não",'Caract. Prods'!D6=""),"SAC",IF(B20&lt;&gt;"",IF(D20="SAC","SAC",IF(D20="Tabela Price","Tabela Price")),"")))</f>
        <v>SAC</v>
      </c>
      <c r="E39" s="646"/>
      <c r="F39" s="34"/>
      <c r="G39" s="55" t="str">
        <f>IF(G38="Parcelas Fixas","Tabela Price",IF(OR('Caract. Prods'!D6="Não",'Caract. Prods'!D6=""),"SAC",IF(B20&lt;&gt;"",IF(D20="SAC","SAC",IF(D20="Tabela Price","Tabela Price")),"")))</f>
        <v>SAC</v>
      </c>
      <c r="I39"/>
      <c r="J39" s="9"/>
      <c r="K39" s="154"/>
      <c r="L39" s="18"/>
      <c r="M39" s="9"/>
      <c r="N39" s="24" t="str">
        <f>IF(D11="","Erro",0)</f>
        <v>Erro</v>
      </c>
      <c r="O39" s="82">
        <f t="shared" si="0"/>
        <v>0</v>
      </c>
      <c r="R39" s="82">
        <f>IF(D11="",2,1)</f>
        <v>2</v>
      </c>
      <c r="S39" s="82">
        <f>IF(E11="",IF($D$9="sim",2,1),1)</f>
        <v>1</v>
      </c>
      <c r="U39" s="165" t="s">
        <v>85</v>
      </c>
      <c r="V39" s="168"/>
      <c r="W39" s="164">
        <f ca="1">IF(OR(D11&lt;=E11,E11=""),DATE(V38,MONTH(D11),DAY(D11)),DATE(V38,MONTH(E11),DAY(E11)))</f>
        <v>46022</v>
      </c>
      <c r="Y39" s="169">
        <f ca="1">ROUND(W42,0)</f>
        <v>126</v>
      </c>
      <c r="Z39" s="157">
        <f ca="1">IF(MONTH(W40)-MONTH(W39)&lt;0,12+MONTH(W40)-MONTH(W39),MONTH(W40)-MONTH(W39))</f>
        <v>6</v>
      </c>
      <c r="AA39" s="163"/>
    </row>
    <row r="40" spans="2:27" ht="25.5" customHeight="1" thickBot="1">
      <c r="B40" s="18"/>
      <c r="C40" s="18"/>
      <c r="D40" s="655" t="b">
        <f>IF(AND(D7="Aquisição",OR(D19="Sem Relacionamento",D19="",D18="Parcelas Fixas")),"Taxa Padrão",IF(AND(D7="Aquisição",OR(D19="CI Bonificado",D19="Plano Saúde/Leilão",D19="FOPA TJSP &amp; TJPE")),"Taxa sem Bonificação",IF(AND(D7="Portabilidade",OR(D19="Sem Relacionamento",D19="",D18="Parcelas Fixas")),"Taxa Padrão",IF(AND(D7="Portabilidade",OR(D19="CI Bonificado",D19="Plano Saúde/Leilão",D19="FOPA TJSP &amp; TJPE")),"Taxa sem Bonificação"))))</f>
        <v>0</v>
      </c>
      <c r="E40" s="655"/>
      <c r="F40" s="454"/>
      <c r="G40" s="455" t="s">
        <v>236</v>
      </c>
      <c r="H40" s="142"/>
      <c r="I40"/>
      <c r="J40" s="170"/>
      <c r="K40" s="113"/>
      <c r="L40" s="170"/>
      <c r="M40" s="113"/>
      <c r="N40" s="24" t="str">
        <f>IF(D12="","Erro",0)</f>
        <v>Erro</v>
      </c>
      <c r="O40" s="82">
        <f t="shared" si="0"/>
        <v>0</v>
      </c>
      <c r="R40" s="82">
        <f>IF(D12="",2,1)</f>
        <v>2</v>
      </c>
      <c r="S40" s="82">
        <f>IF(E12="",IF($D$9="sim",2,1),1)</f>
        <v>1</v>
      </c>
      <c r="U40" s="165" t="s">
        <v>87</v>
      </c>
      <c r="V40" s="171"/>
      <c r="W40" s="164">
        <f ca="1">TODAY()</f>
        <v>46189</v>
      </c>
      <c r="Y40" s="172">
        <f ca="1">IF((80-W42)&gt;=30,30,(80-W42))</f>
        <v>-46.099999999999994</v>
      </c>
      <c r="Z40" s="157"/>
      <c r="AA40" s="163"/>
    </row>
    <row r="41" spans="2:27" ht="17.100000000000001" customHeight="1" thickBot="1">
      <c r="B41" s="370" t="s">
        <v>176</v>
      </c>
      <c r="C41" s="7"/>
      <c r="D41" s="656" t="str">
        <f>IF(D25="","",IF(D42="","",IF((D12+E12)&gt;=D42/Condições!C81,"SIM","NÃO")))</f>
        <v/>
      </c>
      <c r="E41" s="657"/>
      <c r="F41" s="113"/>
      <c r="G41" s="173" t="str">
        <f>IF(D25="","",IF(G42="","",IF((D12+E12)&gt;=G42/Condições!C81,"SIM","NÃO")))</f>
        <v/>
      </c>
      <c r="I41" s="484"/>
      <c r="J41" s="64"/>
      <c r="K41" s="113"/>
      <c r="L41" s="170"/>
      <c r="M41" s="113"/>
      <c r="N41" s="24">
        <f>IF(D15="","Erro",0)</f>
        <v>0</v>
      </c>
      <c r="O41" s="82">
        <f t="shared" si="0"/>
        <v>1</v>
      </c>
      <c r="P41" s="25"/>
      <c r="Q41" s="22"/>
      <c r="R41" s="82">
        <f>IF(D13="",2,1)</f>
        <v>2</v>
      </c>
      <c r="S41" s="82">
        <f>IF(E13="",IF($D$9="sim",2,1),1)</f>
        <v>1</v>
      </c>
      <c r="U41" s="165"/>
      <c r="V41" s="171"/>
      <c r="W41" s="164"/>
      <c r="Y41" s="172"/>
      <c r="Z41" s="157"/>
      <c r="AA41" s="163"/>
    </row>
    <row r="42" spans="2:27" ht="17.100000000000001" customHeight="1" thickBot="1">
      <c r="B42" s="370" t="s">
        <v>54</v>
      </c>
      <c r="C42" s="7"/>
      <c r="D42" s="656">
        <f>IF(D38="Parcelas Fixas",IF(Fixa!V26=0,VLOOKUP(2,Fixa!C25:K385,9,FALSE),VLOOKUP(1,Fixa!C25:K385,9,FALSE)),'SAC Padrão_Sem Bonif'!K26)</f>
        <v>0</v>
      </c>
      <c r="E42" s="657"/>
      <c r="F42" s="114"/>
      <c r="G42" s="173">
        <f>IF(G38="Parcelas Fixas",IF(Fixa!V26=0,VLOOKUP(2,Fixa!C25:K385,9,FALSE),VLOOKUP(1,Fixa!C25:K385,9,FALSE)),SAC!K26)</f>
        <v>0</v>
      </c>
      <c r="I42" s="649" t="s">
        <v>296</v>
      </c>
      <c r="K42" s="113"/>
      <c r="L42" s="170"/>
      <c r="M42" s="113"/>
      <c r="N42" s="24" t="str">
        <f>IF(D17="","Erro",0)</f>
        <v>Erro</v>
      </c>
      <c r="O42" s="82">
        <f t="shared" si="0"/>
        <v>0</v>
      </c>
      <c r="P42" s="25"/>
      <c r="Q42" s="22"/>
      <c r="R42" s="82">
        <f>IF(D14="",2,1)</f>
        <v>2</v>
      </c>
      <c r="S42" s="82">
        <f>IF(E14="",IF($D$9="sim",2,1),1)</f>
        <v>1</v>
      </c>
      <c r="T42" s="174"/>
      <c r="U42" s="175" t="s">
        <v>86</v>
      </c>
      <c r="V42" s="167">
        <f ca="1">V38-V36</f>
        <v>126</v>
      </c>
      <c r="W42" s="165">
        <f ca="1">IF(W39&lt;W40,V42+0.1,IF(W39&gt;W40,V42-0.9,V42))</f>
        <v>126.1</v>
      </c>
      <c r="Y42" s="176">
        <f ca="1">SUM(Y39:Y40)</f>
        <v>79.900000000000006</v>
      </c>
      <c r="Z42" s="177">
        <f ca="1">SUM(Z39:Z40)</f>
        <v>6</v>
      </c>
      <c r="AA42" s="178">
        <f ca="1">IF(Z42=12,Y42+1,IF(Z42&gt;12,Y42+1.1,IF(Z42&gt;0,Y42+0.1,Y42)))</f>
        <v>80</v>
      </c>
    </row>
    <row r="43" spans="2:27" ht="17.100000000000001" customHeight="1" thickBot="1">
      <c r="B43" s="370" t="s">
        <v>55</v>
      </c>
      <c r="C43" s="7"/>
      <c r="D43" s="656" t="e">
        <f ca="1">IF(D38="Parcelas Fixas",VLOOKUP(IF(OR(D7="Portabilidade",D141="Sim"),D29,D29*12),Fixa!C25:K512,9,FALSE),VLOOKUP(IF(OR(D7="Portabilidade",D141="Sim"),D29,D29*12),'SAC Padrão_Sem Bonif'!C25:K512,9,FALSE))</f>
        <v>#VALUE!</v>
      </c>
      <c r="E43" s="657"/>
      <c r="F43" s="113"/>
      <c r="G43" s="173" t="e">
        <f ca="1">IF(G38="Parcelas Fixas",VLOOKUP(IF(OR(D7="Portabilidade",D141="Sim"),D29,D29*12),Fixa!C25:K512,9,FALSE),VLOOKUP(IF(OR(D7="Portabilidade",D141="Sim"),D29,D29*12),SAC!C25:K512,9,FALSE))</f>
        <v>#VALUE!</v>
      </c>
      <c r="I43" s="650"/>
      <c r="J43" s="61"/>
      <c r="K43" s="113"/>
      <c r="L43" s="179"/>
      <c r="M43" s="113"/>
      <c r="N43" s="24" t="str">
        <f>IF(D24="","Erro",0)</f>
        <v>Erro</v>
      </c>
      <c r="O43" s="82">
        <f t="shared" si="0"/>
        <v>0</v>
      </c>
      <c r="P43" s="25"/>
      <c r="Q43" s="22"/>
      <c r="R43" s="82">
        <f>IF(D15="",2,1)</f>
        <v>1</v>
      </c>
      <c r="S43" s="116"/>
      <c r="Y43" s="116" t="s">
        <v>88</v>
      </c>
      <c r="Z43" s="116"/>
    </row>
    <row r="44" spans="2:27" ht="17.100000000000001" customHeight="1" thickBot="1">
      <c r="B44" s="370" t="s">
        <v>5</v>
      </c>
      <c r="C44" s="7"/>
      <c r="D44" s="651" t="e">
        <f ca="1">IF(
OR(D19="CI Bonificado",D19="Plano Saúde/Leilão",D19="FOPA TJSP &amp; TJPE",D19="FOPA"),
IF(D18="Parcelas Fixas",Condições!G67,Condições!I36),
IF(D18="Parcelas Fixas",Condições!G67,Condições!H36))</f>
        <v>#N/A</v>
      </c>
      <c r="E44" s="652"/>
      <c r="F44" s="113"/>
      <c r="G44" s="180" t="e">
        <f ca="1">IF(D18="Parcelas Fixas",Condições!G67,Condições!H36)</f>
        <v>#N/A</v>
      </c>
      <c r="I44" s="661" t="str">
        <f>IF(D17="","",SAC!G3)</f>
        <v/>
      </c>
      <c r="J44" s="61"/>
      <c r="K44" s="113"/>
      <c r="L44" s="181"/>
      <c r="M44" s="113"/>
      <c r="N44" s="24" t="str">
        <f>IF(D25="","Erro",0)</f>
        <v>Erro</v>
      </c>
      <c r="O44" s="82">
        <f t="shared" si="0"/>
        <v>0</v>
      </c>
      <c r="P44" s="25"/>
      <c r="Q44" s="22"/>
      <c r="R44" s="22"/>
      <c r="S44" s="116"/>
      <c r="Y44" s="116">
        <f ca="1">YEAR(TODAY())-18</f>
        <v>2008</v>
      </c>
      <c r="Z44" s="182">
        <f ca="1">DATE(Y44,MONTH(TODAY()),DAY(TODAY()))</f>
        <v>39615</v>
      </c>
    </row>
    <row r="45" spans="2:27" ht="17.100000000000001" customHeight="1" thickBot="1">
      <c r="B45" s="370" t="s">
        <v>210</v>
      </c>
      <c r="C45" s="7"/>
      <c r="D45" s="651" t="e">
        <f ca="1">IF(D18="Parcelas Fixas",Condições!G66,IF(D40="Taxa Padrão",Condições!H28,Condições!H34))</f>
        <v>#N/A</v>
      </c>
      <c r="E45" s="652"/>
      <c r="F45" s="113"/>
      <c r="G45" s="180" t="e">
        <f ca="1">IF(D18="Parcelas Fixas",Condições!G66,Condições!H31)</f>
        <v>#N/A</v>
      </c>
      <c r="I45" s="661"/>
      <c r="J45" s="60"/>
      <c r="K45" s="113"/>
      <c r="L45" s="170"/>
      <c r="N45" s="24" t="str">
        <f>IF(D29="","Erro",0)</f>
        <v>Erro</v>
      </c>
      <c r="O45" s="82">
        <f t="shared" si="0"/>
        <v>0</v>
      </c>
      <c r="P45" s="25"/>
      <c r="Q45" s="22"/>
      <c r="R45" s="82">
        <f>IF(D17="",2,1)</f>
        <v>2</v>
      </c>
      <c r="S45" s="116"/>
      <c r="Y45" s="116"/>
      <c r="Z45" s="182">
        <f ca="1">DATE(Z48,Z47,Condições!C110)</f>
        <v>16969</v>
      </c>
    </row>
    <row r="46" spans="2:27" ht="17.100000000000001" customHeight="1" thickBot="1">
      <c r="B46" s="370" t="s">
        <v>53</v>
      </c>
      <c r="C46" s="21"/>
      <c r="D46" s="651">
        <f>IF(D18="Parcelas Fixas","Não Há",D22)</f>
        <v>0</v>
      </c>
      <c r="E46" s="652"/>
      <c r="F46" s="113"/>
      <c r="G46" s="180">
        <f>IF(D18="Parcelas Fixas","Não Há",D22)</f>
        <v>0</v>
      </c>
      <c r="I46" s="661"/>
      <c r="J46" s="65"/>
      <c r="L46" s="181"/>
      <c r="N46" s="116" t="str">
        <f>IF(I104="ok",0,"Erro")</f>
        <v>Erro</v>
      </c>
      <c r="O46" s="82">
        <f>IF(N46=0,1,0)</f>
        <v>0</v>
      </c>
      <c r="P46" s="25"/>
      <c r="Q46" s="22"/>
      <c r="R46" s="82">
        <f>IF(D18="",2,1)</f>
        <v>2</v>
      </c>
      <c r="S46" s="116"/>
      <c r="U46" s="116" t="s">
        <v>129</v>
      </c>
      <c r="V46" s="116">
        <f ca="1">YEAR(TODAY())-YEAR(D11)</f>
        <v>126</v>
      </c>
      <c r="W46" s="116"/>
      <c r="X46" s="116"/>
      <c r="Y46" s="116"/>
      <c r="Z46" s="182"/>
    </row>
    <row r="47" spans="2:27" ht="17.100000000000001" customHeight="1" thickBot="1">
      <c r="B47" s="370" t="s">
        <v>179</v>
      </c>
      <c r="D47" s="651" t="e">
        <f ca="1">IF(OR(D22="",D22=0),IF(D18="Parcelas Fixas",Fixa!AG24,'SAC Padrão_Sem Bonif'!AI24),"Clique em Calcular o CET")</f>
        <v>#NUM!</v>
      </c>
      <c r="E47" s="652"/>
      <c r="F47" s="113"/>
      <c r="G47" s="180" t="e">
        <f ca="1">IF(OR(D22="",D22=0),IF(D18="Parcelas Fixas",Fixa!AG24,SAC!AI24),"Clique em Calcular o CET")</f>
        <v>#NUM!</v>
      </c>
      <c r="I47" s="650" t="s">
        <v>296</v>
      </c>
      <c r="K47" s="12"/>
      <c r="L47" s="183"/>
      <c r="N47" s="24" t="str">
        <f>IF(SUM(O37:O46)=10,0,"Erro")</f>
        <v>Erro</v>
      </c>
      <c r="O47" s="25"/>
      <c r="P47" s="25"/>
      <c r="Q47" s="22"/>
      <c r="S47" s="116"/>
      <c r="U47" s="116" t="s">
        <v>130</v>
      </c>
      <c r="V47" s="116" t="str">
        <f ca="1">IF(OR(D9="NÃO",E11=""),"",YEAR(TODAY())-YEAR(E11))</f>
        <v/>
      </c>
      <c r="W47" s="116"/>
      <c r="X47" s="116"/>
      <c r="Y47" s="116" t="s">
        <v>150</v>
      </c>
      <c r="Z47" s="116">
        <f ca="1">IF(Condições!C111&gt;12,Condições!C111-12,Condições!C111)</f>
        <v>6</v>
      </c>
    </row>
    <row r="48" spans="2:27" ht="17.100000000000001" customHeight="1" thickBot="1">
      <c r="B48" s="370" t="s">
        <v>104</v>
      </c>
      <c r="D48" s="653" t="e">
        <f ca="1">IF(D18="Parcelas Fixas",Fixa!N24,'SAC Padrão_Sem Bonif'!N24)</f>
        <v>#VALUE!</v>
      </c>
      <c r="E48" s="654"/>
      <c r="F48" s="113"/>
      <c r="G48" s="184" t="e">
        <f ca="1">IF(D18="Parcelas Fixas",Fixa!N24,SAC!N24)</f>
        <v>#VALUE!</v>
      </c>
      <c r="I48" s="650"/>
      <c r="N48" s="24"/>
      <c r="O48" s="25"/>
      <c r="P48" s="25"/>
      <c r="Q48" s="22"/>
      <c r="R48" s="22"/>
      <c r="S48" s="116"/>
      <c r="U48" s="116"/>
      <c r="V48" s="116">
        <f ca="1">MAX(V46:V47)</f>
        <v>126</v>
      </c>
      <c r="W48" s="13"/>
      <c r="X48" s="116"/>
      <c r="Y48" s="116" t="s">
        <v>151</v>
      </c>
      <c r="Z48" s="116">
        <f ca="1">IF(Condições!C111&gt;12,Condições!C112-W54+W58+1,Condições!C112-W54+W58)</f>
        <v>1946</v>
      </c>
    </row>
    <row r="49" spans="2:27" ht="17.100000000000001" customHeight="1" thickBot="1">
      <c r="B49" s="370" t="s">
        <v>299</v>
      </c>
      <c r="D49" s="679" t="str">
        <f>IF(OR(Apoio!D24=1,Apoio!$G$11=1),"",IF(AND(Apoio!$D$24&lt;&gt;1,Apoio!$G$11=3),Fixa!$AS$24,IF(AND(Apoio!$D$24&lt;&gt;1,Apoio!$G$11=2),'SAC Padrão_Sem Bonif'!$AL$24,"")))</f>
        <v/>
      </c>
      <c r="E49" s="680"/>
      <c r="F49" s="113"/>
      <c r="G49" s="487" t="str">
        <f>IF(Apoio!D24=1,"",IF(OR(
AND(Apoio!$D$24=2,Apoio!$G$23=2),
AND(OR(Apoio!$D$24=3,Apoio!$D$24=4),Apoio!$G$5=2)),SAC!$AL$24,SAC!$AL$24))</f>
        <v/>
      </c>
      <c r="I49" s="485"/>
      <c r="N49" s="24"/>
      <c r="O49" s="25"/>
      <c r="P49" s="25"/>
      <c r="Q49" s="22"/>
      <c r="R49" s="22"/>
      <c r="S49" s="116"/>
      <c r="U49" s="116"/>
      <c r="V49" s="116"/>
      <c r="W49" s="13"/>
      <c r="X49" s="116"/>
      <c r="Y49" s="116"/>
      <c r="Z49" s="116"/>
    </row>
    <row r="50" spans="2:27" ht="17.25" customHeight="1">
      <c r="B50" s="372" t="s">
        <v>98</v>
      </c>
      <c r="I50" s="483"/>
      <c r="N50" s="24" t="b">
        <f>N47=N52</f>
        <v>1</v>
      </c>
      <c r="O50" s="25"/>
      <c r="P50" s="25"/>
      <c r="Q50" s="22"/>
      <c r="R50" s="22"/>
      <c r="S50" s="116">
        <v>1</v>
      </c>
      <c r="U50" s="116"/>
      <c r="V50" s="116"/>
      <c r="W50" s="116"/>
      <c r="X50" s="116"/>
      <c r="Y50" s="116"/>
      <c r="Z50" s="116"/>
    </row>
    <row r="51" spans="2:27" ht="17.25" customHeight="1">
      <c r="B51" s="47"/>
      <c r="I51" s="113"/>
      <c r="N51" s="24"/>
      <c r="O51" s="25"/>
      <c r="P51" s="25"/>
      <c r="Q51" s="22"/>
      <c r="R51" s="22"/>
      <c r="S51" s="116"/>
      <c r="U51" s="116"/>
      <c r="V51" s="116"/>
      <c r="W51" s="116"/>
      <c r="X51" s="116"/>
      <c r="Y51" s="116"/>
      <c r="Z51" s="116"/>
    </row>
    <row r="52" spans="2:27" ht="13.5" customHeight="1">
      <c r="B52" s="47"/>
      <c r="D52" s="649" t="s">
        <v>296</v>
      </c>
      <c r="E52" s="649"/>
      <c r="G52" s="649" t="s">
        <v>296</v>
      </c>
      <c r="I52" s="113"/>
      <c r="L52" s="135"/>
      <c r="N52" s="116" t="s">
        <v>177</v>
      </c>
      <c r="O52" s="25"/>
      <c r="P52" s="25"/>
      <c r="Q52" s="22"/>
      <c r="R52" s="22"/>
      <c r="S52" s="116"/>
      <c r="U52" s="116"/>
      <c r="V52" s="116"/>
      <c r="W52" s="116"/>
      <c r="X52" s="116"/>
      <c r="Y52" s="116"/>
      <c r="Z52" s="116"/>
    </row>
    <row r="53" spans="2:27" ht="17.100000000000001" customHeight="1">
      <c r="B53" s="145"/>
      <c r="C53" s="85"/>
      <c r="D53" s="650"/>
      <c r="E53" s="650"/>
      <c r="G53" s="650"/>
      <c r="I53" s="113"/>
      <c r="N53" s="24"/>
      <c r="O53" s="25"/>
      <c r="P53" s="25"/>
      <c r="Q53" s="22"/>
      <c r="R53" s="82">
        <f>IF(D24="",2,1)</f>
        <v>2</v>
      </c>
      <c r="S53" s="116"/>
      <c r="U53" s="116"/>
      <c r="V53" s="116"/>
      <c r="W53" s="116"/>
      <c r="X53" s="116"/>
      <c r="Y53" s="116"/>
      <c r="Z53" s="116"/>
    </row>
    <row r="54" spans="2:27" ht="12.75" customHeight="1">
      <c r="B54" s="87"/>
      <c r="C54" s="27"/>
      <c r="D54" s="27"/>
      <c r="E54" s="27"/>
      <c r="F54" s="75"/>
      <c r="G54" s="155"/>
      <c r="I54" s="113"/>
      <c r="N54" s="24"/>
      <c r="O54" s="25"/>
      <c r="P54" s="25"/>
      <c r="Q54" s="22"/>
      <c r="S54" s="116"/>
      <c r="U54" s="66" t="s">
        <v>131</v>
      </c>
      <c r="V54" s="116"/>
      <c r="W54" s="116">
        <v>81</v>
      </c>
      <c r="X54" s="116"/>
      <c r="Y54" s="116"/>
      <c r="Z54" s="116"/>
    </row>
    <row r="55" spans="2:27" ht="12.75" customHeight="1">
      <c r="B55" s="27"/>
      <c r="C55" s="27"/>
      <c r="D55" s="27"/>
      <c r="E55" s="27"/>
      <c r="F55" s="75"/>
      <c r="G55" s="155"/>
      <c r="H55" s="75"/>
      <c r="I55" s="75"/>
      <c r="N55" s="24">
        <f>'Caract. Prods'!C34</f>
        <v>0</v>
      </c>
      <c r="O55" s="25"/>
      <c r="P55" s="25"/>
      <c r="Q55" s="22"/>
      <c r="R55" s="82">
        <f>IF(D25="",2,1)</f>
        <v>2</v>
      </c>
      <c r="S55" s="116"/>
      <c r="U55" s="66"/>
      <c r="V55" s="116"/>
      <c r="W55" s="116"/>
      <c r="X55" s="116"/>
      <c r="Y55" s="116"/>
      <c r="Z55" s="116"/>
      <c r="AA55" s="185"/>
    </row>
    <row r="56" spans="2:27" ht="4.5" customHeight="1">
      <c r="B56" s="27"/>
      <c r="C56" s="27"/>
      <c r="D56" s="27"/>
      <c r="E56" s="27"/>
      <c r="F56" s="27"/>
      <c r="G56" s="27"/>
      <c r="H56" s="27"/>
      <c r="I56" s="27"/>
      <c r="N56" s="25"/>
      <c r="O56" s="116"/>
      <c r="P56" s="116"/>
      <c r="Q56" s="116"/>
      <c r="R56" s="116"/>
      <c r="S56" s="116"/>
      <c r="U56" s="48" t="s">
        <v>132</v>
      </c>
      <c r="V56" s="116"/>
      <c r="W56" s="116">
        <v>18</v>
      </c>
      <c r="X56" s="116"/>
      <c r="Y56" s="116"/>
      <c r="Z56" s="116"/>
      <c r="AA56" s="186"/>
    </row>
    <row r="57" spans="2:27" ht="3" customHeight="1">
      <c r="B57" s="79"/>
      <c r="C57" s="79"/>
      <c r="D57" s="79"/>
      <c r="E57" s="79"/>
      <c r="I57" s="113"/>
      <c r="N57" s="25"/>
      <c r="O57" s="116"/>
      <c r="P57" s="116"/>
      <c r="Q57" s="116"/>
      <c r="R57" s="116"/>
      <c r="S57" s="116"/>
      <c r="U57" s="48"/>
      <c r="V57" s="116"/>
      <c r="W57" s="116"/>
      <c r="X57" s="116"/>
      <c r="Y57" s="116"/>
      <c r="Z57" s="116">
        <v>15000</v>
      </c>
      <c r="AA57" s="186"/>
    </row>
    <row r="58" spans="2:27" ht="15" customHeight="1">
      <c r="B58" s="450" t="e">
        <f ca="1">IF(OR(D7="Portabilidade",AND(D7="Aquisição",D19="Sem Relacionamento"),AND(D7="Aquisição",D18="Parcelas Fixas")),"Taxa Indicativa - Juros Nominais de "&amp;TEXT(D44*12,"0,00%")&amp;" a.a","Taxa sem Bonificação - Juros Nominais de "&amp;TEXT(D44*12,"0,00%")&amp;" a.a")</f>
        <v>#N/A</v>
      </c>
      <c r="C58" s="76"/>
      <c r="D58"/>
      <c r="E58"/>
      <c r="F58"/>
      <c r="G58"/>
      <c r="N58" s="116"/>
      <c r="O58" s="24"/>
      <c r="P58" s="25"/>
      <c r="Q58" s="22"/>
      <c r="R58" s="22" t="s">
        <v>161</v>
      </c>
      <c r="S58" s="116">
        <f>IF(AND(R37=1,R39=1,R40=1,R41=1,R42=1,R43=1,R45=1,R46=1,R53=1,R55=1,S39=1,S40=1,S41=1,S42=1,S50=1),1,2)</f>
        <v>2</v>
      </c>
      <c r="U58" s="48" t="s">
        <v>133</v>
      </c>
      <c r="W58" s="187">
        <v>1</v>
      </c>
      <c r="Y58" s="116"/>
      <c r="Z58" s="116"/>
      <c r="AA58" s="188"/>
    </row>
    <row r="59" spans="2:27" ht="15" customHeight="1">
      <c r="B59" s="450" t="e">
        <f ca="1">"Taxa Bonificada - Juros Nominais de "&amp;TEXT(G44*12,"0,00%")&amp;" a.a"</f>
        <v>#N/A</v>
      </c>
      <c r="C59" s="76"/>
      <c r="D59"/>
      <c r="E59"/>
      <c r="F59"/>
      <c r="G59"/>
      <c r="N59" s="116"/>
      <c r="O59" s="24"/>
      <c r="P59" s="25"/>
      <c r="Q59" s="22"/>
      <c r="R59" s="22"/>
      <c r="S59" s="116"/>
      <c r="U59" s="48"/>
      <c r="W59" s="187"/>
      <c r="Y59" s="116"/>
      <c r="Z59" s="116"/>
      <c r="AA59" s="188"/>
    </row>
    <row r="60" spans="2:27" ht="6.75" customHeight="1">
      <c r="B60" s="143"/>
      <c r="C60" s="76"/>
      <c r="D60" s="76"/>
      <c r="N60" s="116"/>
      <c r="O60" s="24"/>
      <c r="P60" s="25"/>
      <c r="Q60" s="22"/>
      <c r="R60" s="22"/>
      <c r="S60" s="116"/>
      <c r="U60" s="48"/>
      <c r="W60" s="187"/>
      <c r="Y60" s="116"/>
      <c r="Z60" s="116"/>
      <c r="AA60" s="188"/>
    </row>
    <row r="61" spans="2:27" ht="15" customHeight="1">
      <c r="B61" s="375" t="s">
        <v>242</v>
      </c>
      <c r="C61" s="376"/>
      <c r="D61" s="376"/>
      <c r="E61" s="377" t="s">
        <v>215</v>
      </c>
      <c r="F61" s="376"/>
      <c r="G61" s="378"/>
      <c r="H61" s="376"/>
      <c r="I61" s="379"/>
      <c r="J61" s="68"/>
      <c r="K61" s="68"/>
      <c r="U61" s="12" t="s">
        <v>135</v>
      </c>
      <c r="W61" s="189" t="e">
        <f ca="1">IF(
AND(D18="Parcelas Variáveis",D20="Tabela Price"),
MIN(
Fixa!AP24*((V100/(1+SAC!AD35))-AA92-AA93)/(1+Fixa!AP24*Fixa!AC52),
Imovel*AA86,
Imovel*AA86),
IF(AA90=0,"",
IF(D39="SAC",MIN((((V100/(1+SAC!AD35))-AA93-AA92)/(SAC!D15+(1/(12*AA90))+Fixa!AC52)),Imovel*AA86,Imovel*AA86),
IF(D39="Tabela Price",MIN(Fixa!AK18*(V100-AA92-AA93)/(1+Fixa!AK18*Fixa!AC52),Imovel*AA86,Imovel*AA86)))))</f>
        <v>#N/A</v>
      </c>
      <c r="X61" s="189" t="s">
        <v>152</v>
      </c>
      <c r="Z61" s="82">
        <f>Z57*22%</f>
        <v>3300</v>
      </c>
      <c r="AA61" s="186"/>
    </row>
    <row r="62" spans="2:27" ht="30.75" customHeight="1">
      <c r="B62" s="676" t="s">
        <v>216</v>
      </c>
      <c r="C62" s="677"/>
      <c r="D62" s="677"/>
      <c r="E62" s="677"/>
      <c r="F62" s="677"/>
      <c r="G62" s="677"/>
      <c r="H62" s="677"/>
      <c r="I62" s="678"/>
      <c r="J62" s="68"/>
      <c r="K62" s="68"/>
      <c r="U62" s="12"/>
      <c r="W62" s="189"/>
      <c r="X62" s="189"/>
      <c r="Y62" s="140"/>
      <c r="Z62" s="73"/>
      <c r="AA62" s="186"/>
    </row>
    <row r="63" spans="2:27" ht="15" customHeight="1">
      <c r="B63" s="666" t="s">
        <v>217</v>
      </c>
      <c r="C63" s="667"/>
      <c r="D63" s="667"/>
      <c r="E63" s="667"/>
      <c r="F63" s="667"/>
      <c r="G63" s="667"/>
      <c r="H63" s="667"/>
      <c r="I63" s="668"/>
      <c r="J63" s="67"/>
      <c r="K63" s="68"/>
      <c r="L63" s="69"/>
      <c r="U63" s="12"/>
      <c r="W63" s="189"/>
      <c r="X63" s="189"/>
      <c r="Y63" s="140"/>
      <c r="Z63" s="73"/>
      <c r="AA63" s="190"/>
    </row>
    <row r="64" spans="2:27" ht="15.75">
      <c r="B64" s="666" t="s">
        <v>218</v>
      </c>
      <c r="C64" s="667"/>
      <c r="D64" s="667"/>
      <c r="E64" s="667"/>
      <c r="F64" s="667"/>
      <c r="G64" s="667"/>
      <c r="H64" s="667"/>
      <c r="I64" s="668"/>
      <c r="J64" s="67"/>
      <c r="K64" s="68"/>
      <c r="L64" s="69"/>
      <c r="T64" s="8"/>
      <c r="U64" s="12"/>
      <c r="W64" s="189"/>
      <c r="X64" s="189"/>
    </row>
    <row r="65" spans="1:37" ht="51" customHeight="1">
      <c r="B65" s="663" t="s">
        <v>340</v>
      </c>
      <c r="C65" s="664"/>
      <c r="D65" s="664"/>
      <c r="E65" s="664"/>
      <c r="F65" s="664"/>
      <c r="G65" s="664"/>
      <c r="H65" s="664"/>
      <c r="I65" s="665"/>
      <c r="J65" s="495"/>
      <c r="K65" s="496"/>
      <c r="L65" s="496"/>
      <c r="T65" s="8"/>
      <c r="U65" s="12"/>
      <c r="W65" s="189"/>
      <c r="X65" s="189"/>
    </row>
    <row r="66" spans="1:37" ht="15.75">
      <c r="B66" s="673" t="s">
        <v>219</v>
      </c>
      <c r="C66" s="674"/>
      <c r="D66" s="674"/>
      <c r="E66" s="674"/>
      <c r="F66" s="674"/>
      <c r="G66" s="674"/>
      <c r="H66" s="674"/>
      <c r="I66" s="675"/>
      <c r="J66" s="26"/>
      <c r="K66" s="26"/>
      <c r="L66" s="26"/>
      <c r="T66" s="8"/>
    </row>
    <row r="67" spans="1:37" ht="95.1" customHeight="1">
      <c r="A67" s="519"/>
      <c r="B67" s="681" t="str">
        <f>IF(AND(OR(D7="Aquisição",D7="Portabilidade"),D19="CI Bonificado"),Apoio!S3,IF(AND(OR(D7="Aquisição",D7="Portabilidade"),D19="Plano Saúde/Leilão"),Apoio!S5,IF(AND(D7="Aquisição",D19="FOPA TJSP &amp; TJPE"),Apoio!S7,IF(AND(D7="Portabilidade",D19="FOPA TJSP &amp; TJPE"),Apoio!S9,""))))</f>
        <v/>
      </c>
      <c r="C67" s="682"/>
      <c r="D67" s="682"/>
      <c r="E67" s="682"/>
      <c r="F67" s="682"/>
      <c r="G67" s="682"/>
      <c r="H67" s="682"/>
      <c r="I67" s="683"/>
    </row>
    <row r="68" spans="1:37" ht="15">
      <c r="B68" s="672"/>
      <c r="C68" s="672"/>
      <c r="D68" s="672"/>
      <c r="E68" s="672"/>
      <c r="F68" s="672"/>
      <c r="G68" s="672"/>
      <c r="H68" s="672"/>
      <c r="I68" s="672"/>
    </row>
    <row r="69" spans="1:37" ht="19.5" customHeight="1">
      <c r="B69" s="139"/>
      <c r="C69" s="139"/>
      <c r="D69" s="139"/>
      <c r="E69" s="139"/>
      <c r="F69" s="139"/>
      <c r="G69" s="139"/>
      <c r="H69" s="139"/>
      <c r="I69" s="139"/>
    </row>
    <row r="70" spans="1:37" ht="12.75" hidden="1" customHeight="1">
      <c r="B70" s="12" t="s">
        <v>68</v>
      </c>
      <c r="E70" s="82" t="s">
        <v>8</v>
      </c>
      <c r="G70" s="12"/>
    </row>
    <row r="71" spans="1:37" ht="12.75" hidden="1" customHeight="1">
      <c r="E71" s="82" t="s">
        <v>9</v>
      </c>
    </row>
    <row r="72" spans="1:37" ht="12.75" hidden="1" customHeight="1">
      <c r="B72" s="82" t="s">
        <v>45</v>
      </c>
      <c r="C72" s="135">
        <f>IF(D7="Portabilidade",D24*0.7,D24*Condições!C79)</f>
        <v>0</v>
      </c>
    </row>
    <row r="73" spans="1:37" ht="12.75" hidden="1" customHeight="1">
      <c r="Z73" t="s">
        <v>364</v>
      </c>
      <c r="AA73" s="589" t="str">
        <f>IF(E11="",IF(D11="","",D11),IF(D11="","",MIN(D11,E11)))</f>
        <v/>
      </c>
      <c r="AB73"/>
      <c r="AC73" t="s">
        <v>365</v>
      </c>
      <c r="AD73"/>
      <c r="AE73"/>
      <c r="AF73"/>
      <c r="AG73"/>
      <c r="AH73" t="e">
        <f ca="1">ROUNDUP((AA74-AA73)/365.25,0)</f>
        <v>#VALUE!</v>
      </c>
      <c r="AI73"/>
      <c r="AJ73"/>
      <c r="AK73"/>
    </row>
    <row r="74" spans="1:37" ht="12.75" hidden="1" customHeight="1">
      <c r="B74" s="116" t="s">
        <v>22</v>
      </c>
      <c r="C74" s="116">
        <v>0</v>
      </c>
      <c r="Z74" t="s">
        <v>366</v>
      </c>
      <c r="AA74" s="589">
        <f ca="1">TODAY()</f>
        <v>46189</v>
      </c>
      <c r="AB74"/>
      <c r="AC74" t="s">
        <v>367</v>
      </c>
      <c r="AD74" s="589" t="str">
        <f>AA73</f>
        <v/>
      </c>
      <c r="AE74"/>
      <c r="AF74"/>
      <c r="AG74"/>
      <c r="AH74"/>
      <c r="AI74"/>
      <c r="AJ74"/>
      <c r="AK74"/>
    </row>
    <row r="75" spans="1:37" ht="12.75" hidden="1" customHeight="1">
      <c r="B75" s="116" t="s">
        <v>10</v>
      </c>
      <c r="C75" s="116">
        <v>1</v>
      </c>
      <c r="Z75" s="590" t="s">
        <v>368</v>
      </c>
      <c r="AA75" s="590" t="e">
        <f ca="1">ROUNDUP((AA74-AA73)/365.25,0)</f>
        <v>#VALUE!</v>
      </c>
      <c r="AB75"/>
      <c r="AC75" t="s">
        <v>369</v>
      </c>
      <c r="AD75" s="589">
        <v>42104</v>
      </c>
      <c r="AE75"/>
      <c r="AF75"/>
      <c r="AG75"/>
      <c r="AH75"/>
      <c r="AI75"/>
      <c r="AJ75"/>
      <c r="AK75"/>
    </row>
    <row r="76" spans="1:37" ht="12.75" hidden="1" customHeight="1">
      <c r="B76" s="116" t="s">
        <v>11</v>
      </c>
      <c r="C76" s="116">
        <v>2</v>
      </c>
      <c r="Z76" t="s">
        <v>303</v>
      </c>
      <c r="AA76" t="e">
        <f ca="1">DATEDIF(AA73,AA74,"y")</f>
        <v>#VALUE!</v>
      </c>
      <c r="AB76" t="e">
        <f ca="1">AA76*12</f>
        <v>#VALUE!</v>
      </c>
      <c r="AC76" t="s">
        <v>370</v>
      </c>
      <c r="AD76" s="589">
        <f ca="1">AA74</f>
        <v>46189</v>
      </c>
      <c r="AE76"/>
      <c r="AF76"/>
      <c r="AG76"/>
      <c r="AH76"/>
      <c r="AI76"/>
      <c r="AJ76"/>
      <c r="AK76"/>
    </row>
    <row r="77" spans="1:37" ht="12.75" hidden="1" customHeight="1">
      <c r="B77" s="116" t="s">
        <v>12</v>
      </c>
      <c r="C77" s="116">
        <v>3</v>
      </c>
      <c r="Z77" t="s">
        <v>371</v>
      </c>
      <c r="AA77" t="e">
        <f ca="1">DATEDIF(AA73,AA74,"ym")</f>
        <v>#VALUE!</v>
      </c>
      <c r="AB77"/>
      <c r="AC77"/>
      <c r="AD77"/>
      <c r="AE77"/>
      <c r="AF77"/>
      <c r="AG77"/>
      <c r="AH77"/>
      <c r="AI77"/>
      <c r="AJ77"/>
      <c r="AK77"/>
    </row>
    <row r="78" spans="1:37" ht="12.75" hidden="1" customHeight="1">
      <c r="B78" s="116" t="s">
        <v>13</v>
      </c>
      <c r="C78" s="116">
        <v>4</v>
      </c>
      <c r="Z78" t="s">
        <v>372</v>
      </c>
      <c r="AA78" t="e">
        <f ca="1">DATEDIF(AA73,AA74,"md")</f>
        <v>#VALUE!</v>
      </c>
      <c r="AB78"/>
      <c r="AC78" s="591" t="s">
        <v>373</v>
      </c>
      <c r="AD78" t="e">
        <f ca="1">IF(AA78&gt;0,AB76+AA77+1,AB76+AA77)</f>
        <v>#VALUE!</v>
      </c>
      <c r="AE78" s="591" t="s">
        <v>374</v>
      </c>
      <c r="AF78">
        <f>(80*12)+6</f>
        <v>966</v>
      </c>
      <c r="AG78"/>
      <c r="AH78"/>
      <c r="AI78"/>
      <c r="AJ78"/>
      <c r="AK78"/>
    </row>
    <row r="79" spans="1:37" ht="12.75" hidden="1" customHeight="1">
      <c r="B79" s="116" t="s">
        <v>14</v>
      </c>
      <c r="C79" s="116">
        <v>5</v>
      </c>
      <c r="I79" s="82" t="s">
        <v>276</v>
      </c>
      <c r="Z79"/>
      <c r="AA79"/>
      <c r="AB79" s="592"/>
      <c r="AC79" s="593" t="s">
        <v>375</v>
      </c>
      <c r="AD79" s="594" t="e">
        <f ca="1">AF78-AD78</f>
        <v>#VALUE!</v>
      </c>
      <c r="AE79" s="595" t="s">
        <v>376</v>
      </c>
      <c r="AF79" s="596" t="e">
        <f ca="1">AD79/12</f>
        <v>#VALUE!</v>
      </c>
      <c r="AG79" s="597" t="s">
        <v>377</v>
      </c>
      <c r="AH79"/>
      <c r="AI79"/>
      <c r="AJ79"/>
      <c r="AK79"/>
    </row>
    <row r="80" spans="1:37" hidden="1">
      <c r="B80" s="116" t="s">
        <v>15</v>
      </c>
      <c r="C80" s="116">
        <v>6</v>
      </c>
      <c r="I80" s="82" t="s">
        <v>277</v>
      </c>
      <c r="Z80" t="s">
        <v>378</v>
      </c>
      <c r="AA80" t="e">
        <f ca="1">AA76&amp;" anos, "&amp;AA77&amp;" meses e "&amp;AA78&amp;" dias."</f>
        <v>#VALUE!</v>
      </c>
      <c r="AB80"/>
      <c r="AC80"/>
      <c r="AD80"/>
      <c r="AE80"/>
      <c r="AF80" s="598" t="e">
        <f ca="1">INT(AF79)</f>
        <v>#VALUE!</v>
      </c>
      <c r="AG80" s="598" t="s">
        <v>379</v>
      </c>
      <c r="AH80" t="e">
        <f ca="1">AF79-INT(AF79)</f>
        <v>#VALUE!</v>
      </c>
      <c r="AI80" t="s">
        <v>380</v>
      </c>
      <c r="AJ80" s="598" t="e">
        <f ca="1">AH80*12</f>
        <v>#VALUE!</v>
      </c>
      <c r="AK80" s="598" t="s">
        <v>381</v>
      </c>
    </row>
    <row r="81" spans="1:37" hidden="1">
      <c r="B81" s="116" t="s">
        <v>16</v>
      </c>
      <c r="C81" s="116">
        <v>7</v>
      </c>
      <c r="I81" s="49"/>
      <c r="J81" s="49"/>
      <c r="Z81"/>
      <c r="AA81" t="e">
        <f ca="1">DATEDIF(AA73,AA74,"y")&amp;" anos, "&amp;DATEDIF(AA73,AA74,"ym")&amp;" meses e "&amp;DATEDIF(AA73,AA74,"md")&amp;" dias."</f>
        <v>#VALUE!</v>
      </c>
      <c r="AB81"/>
      <c r="AC81"/>
      <c r="AD81"/>
      <c r="AE81"/>
      <c r="AF81"/>
      <c r="AG81"/>
      <c r="AH81"/>
      <c r="AI81"/>
      <c r="AJ81"/>
      <c r="AK81"/>
    </row>
    <row r="82" spans="1:37" hidden="1">
      <c r="B82" s="116" t="s">
        <v>17</v>
      </c>
      <c r="C82" s="116">
        <v>8</v>
      </c>
      <c r="G82" s="669" t="s">
        <v>205</v>
      </c>
      <c r="H82" s="191"/>
      <c r="I82" s="192" t="str">
        <f>IF(OR('Caract. Prods'!D6="Não",'Caract. Prods'!D6=""),"SAC","Tabela Price")</f>
        <v>SAC</v>
      </c>
    </row>
    <row r="83" spans="1:37" hidden="1">
      <c r="B83" s="116" t="s">
        <v>18</v>
      </c>
      <c r="C83" s="116">
        <v>9</v>
      </c>
      <c r="G83" s="670"/>
      <c r="I83" s="163" t="str">
        <f>IF(OR('Caract. Prods'!D6="Não",'Caract. Prods'!D6=""),"SAC","SAC")</f>
        <v>SAC</v>
      </c>
    </row>
    <row r="84" spans="1:37" hidden="1">
      <c r="B84" s="82" t="s">
        <v>19</v>
      </c>
      <c r="C84" s="82">
        <v>10</v>
      </c>
      <c r="G84" s="671"/>
      <c r="H84" s="193"/>
      <c r="I84" s="194" t="str">
        <f>'Caract. Prods'!D6</f>
        <v>Não</v>
      </c>
    </row>
    <row r="85" spans="1:37" hidden="1">
      <c r="B85" s="82" t="s">
        <v>20</v>
      </c>
      <c r="C85" s="82">
        <v>11</v>
      </c>
    </row>
    <row r="86" spans="1:37" hidden="1">
      <c r="B86" s="82" t="s">
        <v>21</v>
      </c>
      <c r="C86" s="82">
        <v>12</v>
      </c>
      <c r="I86" s="82" t="s">
        <v>102</v>
      </c>
      <c r="K86" s="116"/>
      <c r="L86" s="116"/>
      <c r="M86" s="116"/>
      <c r="U86" s="82" t="s">
        <v>136</v>
      </c>
      <c r="W86" s="82">
        <v>60000</v>
      </c>
      <c r="X86" s="82" t="s">
        <v>152</v>
      </c>
      <c r="Z86" s="82" t="s">
        <v>73</v>
      </c>
      <c r="AA86" s="195">
        <f>Condições!$C$78</f>
        <v>0.8</v>
      </c>
    </row>
    <row r="87" spans="1:37" hidden="1">
      <c r="I87" s="116" t="str">
        <f>IF(OR(D17="Clientes",D17="Funcionários",D17="Select / Private"),"","Público")</f>
        <v>Público</v>
      </c>
      <c r="J87" s="116"/>
      <c r="M87" s="116"/>
      <c r="Z87" s="73" t="s">
        <v>164</v>
      </c>
      <c r="AA87" s="196">
        <v>80</v>
      </c>
    </row>
    <row r="88" spans="1:37" hidden="1">
      <c r="B88" s="82" t="s">
        <v>70</v>
      </c>
      <c r="C88" s="197">
        <f>IF(OR(D17="",Imovel="",D25="",D11=""),2,1)</f>
        <v>2</v>
      </c>
      <c r="I88" s="116"/>
      <c r="J88" s="116"/>
      <c r="K88" s="116"/>
      <c r="L88" s="116"/>
      <c r="M88" s="116"/>
      <c r="U88" s="82" t="s">
        <v>141</v>
      </c>
      <c r="W88" s="135">
        <f>IF(D9="sim",D12+E12,D12)</f>
        <v>0</v>
      </c>
      <c r="Z88" s="74" t="s">
        <v>163</v>
      </c>
      <c r="AA88" s="196">
        <f>Apoio!L22</f>
        <v>35</v>
      </c>
    </row>
    <row r="89" spans="1:37" hidden="1">
      <c r="B89" s="82" t="s">
        <v>69</v>
      </c>
      <c r="C89" s="116">
        <f>IF(ISERROR(VLOOKUP(D21,B74:C86,2,FALSE)),0,VLOOKUP(D21,B74:C86,2,FALSE))</f>
        <v>0</v>
      </c>
      <c r="I89" s="116"/>
      <c r="J89" s="116"/>
      <c r="K89" s="116"/>
      <c r="M89" s="116"/>
      <c r="U89" s="82" t="s">
        <v>142</v>
      </c>
      <c r="W89" s="135">
        <f>IF(D9="sim",D13+E13,D13)</f>
        <v>0</v>
      </c>
      <c r="Z89" s="73" t="s">
        <v>165</v>
      </c>
      <c r="AA89" s="198">
        <f ca="1">IF(AA87-LARGE(W42,1)&gt;35,35,AA87-LARGE(W42,1))</f>
        <v>-46.099999999999994</v>
      </c>
    </row>
    <row r="90" spans="1:37" hidden="1">
      <c r="B90" s="116" t="s">
        <v>67</v>
      </c>
      <c r="C90" s="116">
        <f>MAX(40000,D25/0.8)</f>
        <v>40000</v>
      </c>
      <c r="I90" s="116"/>
      <c r="J90" s="116"/>
      <c r="K90" s="116"/>
      <c r="L90" s="116"/>
      <c r="M90" s="116"/>
      <c r="U90" s="82" t="s">
        <v>171</v>
      </c>
      <c r="W90" s="135">
        <f>IF(D9="sim",D14+E14,D14)</f>
        <v>0</v>
      </c>
      <c r="Z90" s="82" t="s">
        <v>166</v>
      </c>
      <c r="AA90" s="199">
        <f ca="1">IF(D7="Portabilidade",SMALL(AA88:AA89,1),ROUNDDOWN(SMALL(AA88:AA89,1),0))</f>
        <v>-46</v>
      </c>
      <c r="AB90" s="82">
        <f ca="1">IF(OR(D7="Portabilidade",'Caract. Prods'!D8="Sim"),IF(AD79&gt;420,420,AD79),IF(AA90=35,420,ROUNDDOWN(AA90*12,0)+6))</f>
        <v>-546</v>
      </c>
    </row>
    <row r="91" spans="1:37" hidden="1">
      <c r="C91" s="116"/>
      <c r="U91" s="82" t="s">
        <v>137</v>
      </c>
      <c r="W91" s="195">
        <f>Condições!C82</f>
        <v>0.3</v>
      </c>
      <c r="Z91" s="82" t="s">
        <v>3</v>
      </c>
      <c r="AA91" s="135" t="e">
        <f>D25*Fixa!AC47</f>
        <v>#N/A</v>
      </c>
    </row>
    <row r="92" spans="1:37" hidden="1">
      <c r="B92" s="82" t="s">
        <v>103</v>
      </c>
      <c r="C92" s="82">
        <f>IF(AND(B20&lt;&gt;"",D20=""),2,1)</f>
        <v>1</v>
      </c>
      <c r="U92" s="82" t="s">
        <v>138</v>
      </c>
      <c r="W92" s="200">
        <f>IF(W88=0,0,W89/W88)</f>
        <v>0</v>
      </c>
      <c r="Z92" s="73" t="s">
        <v>27</v>
      </c>
      <c r="AA92" s="201">
        <f>Imovel*Fixa!AC51</f>
        <v>0</v>
      </c>
    </row>
    <row r="93" spans="1:37" hidden="1">
      <c r="B93" s="116" t="s">
        <v>8</v>
      </c>
      <c r="N93" s="82" t="s">
        <v>193</v>
      </c>
      <c r="U93" s="82" t="s">
        <v>139</v>
      </c>
      <c r="W93" s="200">
        <f>IF((W91-W92)&lt;0,0,(W91-W92))</f>
        <v>0.3</v>
      </c>
      <c r="Z93" s="73" t="s">
        <v>24</v>
      </c>
      <c r="AA93" s="201">
        <f>Fixa!AC49</f>
        <v>25</v>
      </c>
    </row>
    <row r="94" spans="1:37" hidden="1">
      <c r="B94" s="116" t="s">
        <v>9</v>
      </c>
      <c r="I94" s="82" t="str">
        <f>IF(OR(Apoio!$D$5=1,Apoio!$D$5=2),"FOPA TJSP &amp; TJPE","FOPA TJSP &amp; TJPE")</f>
        <v>FOPA TJSP &amp; TJPE</v>
      </c>
      <c r="R94" s="82" t="s">
        <v>194</v>
      </c>
      <c r="S94" s="82" t="s">
        <v>195</v>
      </c>
      <c r="T94" s="82" t="s">
        <v>196</v>
      </c>
      <c r="U94" s="82" t="s">
        <v>140</v>
      </c>
      <c r="W94" s="195">
        <f>Condições!C81</f>
        <v>0.35</v>
      </c>
      <c r="Z94" s="73" t="s">
        <v>125</v>
      </c>
      <c r="AA94" s="201">
        <v>35</v>
      </c>
    </row>
    <row r="95" spans="1:37" hidden="1">
      <c r="B95" s="202"/>
      <c r="I95" s="492" t="s">
        <v>308</v>
      </c>
      <c r="N95" s="203" t="s">
        <v>182</v>
      </c>
      <c r="O95" s="191"/>
      <c r="P95" s="191"/>
      <c r="Q95" s="191">
        <f>D9</f>
        <v>0</v>
      </c>
      <c r="R95" s="191"/>
      <c r="S95" s="191"/>
      <c r="T95" s="192"/>
      <c r="Z95" s="73"/>
      <c r="AA95" s="185"/>
    </row>
    <row r="96" spans="1:37" ht="14.25" hidden="1">
      <c r="A96" s="163"/>
      <c r="B96" s="204" t="s">
        <v>227</v>
      </c>
      <c r="D96" s="82" t="s">
        <v>92</v>
      </c>
      <c r="I96" s="82" t="s">
        <v>283</v>
      </c>
      <c r="N96" s="162" t="s">
        <v>183</v>
      </c>
      <c r="Q96" s="82">
        <v>9</v>
      </c>
      <c r="T96" s="163"/>
      <c r="Z96" s="73"/>
      <c r="AA96" s="185"/>
    </row>
    <row r="97" spans="1:27" ht="14.25" hidden="1">
      <c r="A97" s="163"/>
      <c r="B97" s="205" t="s">
        <v>226</v>
      </c>
      <c r="D97" s="206">
        <v>0.09</v>
      </c>
      <c r="E97" s="206"/>
      <c r="I97" s="82" t="s">
        <v>284</v>
      </c>
      <c r="N97" s="162" t="s">
        <v>184</v>
      </c>
      <c r="T97" s="163"/>
      <c r="U97" s="82" t="s">
        <v>157</v>
      </c>
      <c r="W97" s="200">
        <f>IF(W88=0,0,W90/W88)</f>
        <v>0</v>
      </c>
      <c r="Z97" s="73" t="s">
        <v>168</v>
      </c>
      <c r="AA97" s="186"/>
    </row>
    <row r="98" spans="1:27" ht="14.25" hidden="1">
      <c r="A98" s="163"/>
      <c r="B98" s="205" t="s">
        <v>228</v>
      </c>
      <c r="I98" s="492" t="s">
        <v>234</v>
      </c>
      <c r="N98" s="162" t="s">
        <v>185</v>
      </c>
      <c r="T98" s="163"/>
      <c r="U98" s="82" t="s">
        <v>143</v>
      </c>
      <c r="W98" s="207">
        <f>MIN(W93:W94)-W97</f>
        <v>0.3</v>
      </c>
    </row>
    <row r="99" spans="1:27" hidden="1">
      <c r="B99" s="106" t="s">
        <v>240</v>
      </c>
      <c r="I99" s="82" t="s">
        <v>350</v>
      </c>
      <c r="N99" s="162" t="s">
        <v>186</v>
      </c>
      <c r="T99" s="163"/>
    </row>
    <row r="100" spans="1:27" hidden="1">
      <c r="B100" s="106"/>
      <c r="I100" s="82" t="s">
        <v>203</v>
      </c>
      <c r="N100" s="162" t="s">
        <v>187</v>
      </c>
      <c r="T100" s="163"/>
      <c r="U100" s="82" t="s">
        <v>128</v>
      </c>
      <c r="V100" s="82">
        <f>(IF(Preenchimento!D9="sim",(Preenchimento!D12+Preenchimento!E12)*Preenchimento!W98,(Preenchimento!D12)*Preenchimento!W98))</f>
        <v>0</v>
      </c>
    </row>
    <row r="101" spans="1:27" hidden="1">
      <c r="B101" s="208"/>
      <c r="I101" s="82">
        <f>IF(D7="Portabilidade","Portabilidade",IF(D18="Prestações Fixas","Não",D19))</f>
        <v>0</v>
      </c>
      <c r="N101" s="162" t="s">
        <v>188</v>
      </c>
      <c r="T101" s="163"/>
    </row>
    <row r="102" spans="1:27" hidden="1">
      <c r="N102" s="162"/>
      <c r="T102" s="163"/>
    </row>
    <row r="103" spans="1:27" hidden="1">
      <c r="B103" s="116" t="s">
        <v>81</v>
      </c>
      <c r="C103" s="82">
        <v>1</v>
      </c>
      <c r="I103" s="82" t="s">
        <v>204</v>
      </c>
      <c r="N103" s="162"/>
      <c r="T103" s="163"/>
    </row>
    <row r="104" spans="1:27" hidden="1">
      <c r="B104" s="116" t="s">
        <v>78</v>
      </c>
      <c r="I104" s="82" t="str">
        <f>IF(ISERROR(VLOOKUP(I101,I94:I99,1,FALSE)),"Não OK","OK")</f>
        <v>Não OK</v>
      </c>
      <c r="N104" s="162"/>
      <c r="T104" s="163"/>
    </row>
    <row r="105" spans="1:27" hidden="1">
      <c r="B105" s="116" t="s">
        <v>79</v>
      </c>
      <c r="C105" s="82">
        <f>IF(AND(Imovel&lt;=D109,I20&lt;=D110),2,1)</f>
        <v>2</v>
      </c>
      <c r="N105" s="162"/>
      <c r="T105" s="163"/>
    </row>
    <row r="106" spans="1:27" hidden="1">
      <c r="B106" s="116" t="s">
        <v>80</v>
      </c>
      <c r="C106" s="82">
        <f>IF(SAC!AD35&lt;&gt;0,2,1)</f>
        <v>1</v>
      </c>
      <c r="N106" s="162"/>
      <c r="T106" s="163"/>
    </row>
    <row r="107" spans="1:27" hidden="1">
      <c r="B107" s="116"/>
      <c r="N107" s="162"/>
      <c r="T107" s="163"/>
    </row>
    <row r="108" spans="1:27" hidden="1">
      <c r="B108" s="116" t="s">
        <v>93</v>
      </c>
      <c r="N108" s="209"/>
      <c r="O108" s="193"/>
      <c r="P108" s="193"/>
      <c r="Q108" s="193"/>
      <c r="R108" s="193"/>
      <c r="S108" s="193"/>
      <c r="T108" s="178"/>
    </row>
    <row r="109" spans="1:27" hidden="1">
      <c r="B109" s="116" t="s">
        <v>94</v>
      </c>
      <c r="D109" s="210">
        <v>500000</v>
      </c>
      <c r="E109" s="210"/>
      <c r="I109" s="82" t="str">
        <f>"al"&amp;AN1013+1000</f>
        <v>al1000</v>
      </c>
    </row>
    <row r="110" spans="1:27" hidden="1">
      <c r="B110" s="116" t="s">
        <v>95</v>
      </c>
      <c r="D110" s="210">
        <v>400000</v>
      </c>
      <c r="E110" s="210"/>
    </row>
    <row r="112" spans="1:27" hidden="1">
      <c r="D112" s="105" t="s">
        <v>231</v>
      </c>
      <c r="E112" s="105"/>
    </row>
    <row r="113" spans="2:9" hidden="1">
      <c r="D113" s="105" t="s">
        <v>229</v>
      </c>
      <c r="E113" s="138"/>
    </row>
    <row r="114" spans="2:9" hidden="1">
      <c r="D114" s="138" t="s">
        <v>230</v>
      </c>
      <c r="E114" s="105"/>
      <c r="I114" s="82" t="str">
        <f>IF(I97="-","I"&amp;"85","I"&amp;"86")</f>
        <v>I86</v>
      </c>
    </row>
    <row r="115" spans="2:9" hidden="1">
      <c r="D115" s="82" t="s">
        <v>127</v>
      </c>
    </row>
    <row r="116" spans="2:9" hidden="1">
      <c r="D116" s="82" t="s">
        <v>126</v>
      </c>
    </row>
    <row r="117" spans="2:9" hidden="1">
      <c r="I117" s="82" t="s">
        <v>211</v>
      </c>
    </row>
    <row r="121" spans="2:9" hidden="1">
      <c r="B121" s="82" t="s">
        <v>146</v>
      </c>
      <c r="D121" s="82">
        <f>IF(AND(D9="Não",D12&gt;=Condições!C83),1,2)</f>
        <v>2</v>
      </c>
    </row>
    <row r="122" spans="2:9" hidden="1">
      <c r="B122" s="82" t="s">
        <v>147</v>
      </c>
      <c r="D122" s="82">
        <f>IF(AND(D9="Sim",D124&gt;0),1,2)</f>
        <v>2</v>
      </c>
    </row>
    <row r="124" spans="2:9" hidden="1">
      <c r="B124" s="82" t="s">
        <v>145</v>
      </c>
      <c r="D124" s="135">
        <f>IF(Condições!C83-(D12+E12)&lt;0,0,Condições!C83-(D12+E12))</f>
        <v>2500</v>
      </c>
    </row>
    <row r="127" spans="2:9" hidden="1">
      <c r="B127" s="82" t="s">
        <v>148</v>
      </c>
      <c r="D127" s="82">
        <f>IF(OR(D12&gt;=Condições!C83,D12+E12&gt;=Condições!C83),0,IF(D121=1,1,IF(AND(D122=1,E12=""),2,3)))</f>
        <v>3</v>
      </c>
    </row>
    <row r="128" spans="2:9" hidden="1">
      <c r="B128" s="82" t="s">
        <v>149</v>
      </c>
      <c r="D128" s="82">
        <f>IF(OR(D13&gt;=Condições!C83,D12+D13&gt;=Condições!C83),0,IF(D122=2,1,IF(AND(D122=1,D12=""),2,3)))</f>
        <v>1</v>
      </c>
    </row>
    <row r="135" spans="2:4" ht="15" hidden="1">
      <c r="B135" s="211" t="s">
        <v>181</v>
      </c>
      <c r="D135" s="212" t="str">
        <f ca="1">IF(D136&gt;G61,"S","N")</f>
        <v>S</v>
      </c>
    </row>
    <row r="136" spans="2:4" ht="15" hidden="1">
      <c r="B136" s="211" t="s">
        <v>87</v>
      </c>
      <c r="D136" s="213">
        <f ca="1">TODAY()</f>
        <v>46189</v>
      </c>
    </row>
    <row r="139" spans="2:4" hidden="1">
      <c r="B139" s="82" t="s">
        <v>200</v>
      </c>
      <c r="D139" s="135">
        <f>IF(D9="não",D12,MAX(D12:E12))</f>
        <v>0</v>
      </c>
    </row>
    <row r="141" spans="2:4" hidden="1">
      <c r="B141" s="82" t="s">
        <v>213</v>
      </c>
      <c r="D141" s="214" t="str">
        <f>'Caract. Prods'!D8</f>
        <v>Não</v>
      </c>
    </row>
    <row r="143" spans="2:4" ht="13.5" hidden="1" thickBot="1"/>
    <row r="144" spans="2:4" ht="13.5" hidden="1" thickBot="1">
      <c r="B144" s="81" t="s">
        <v>225</v>
      </c>
      <c r="D144" s="82" t="s">
        <v>8</v>
      </c>
    </row>
    <row r="145" spans="2:4" hidden="1">
      <c r="D145" s="82" t="s">
        <v>9</v>
      </c>
    </row>
    <row r="150" spans="2:4" hidden="1">
      <c r="B150" s="82" t="s">
        <v>232</v>
      </c>
      <c r="D150" s="82" t="s">
        <v>233</v>
      </c>
    </row>
    <row r="151" spans="2:4" hidden="1">
      <c r="D151" s="82" t="s">
        <v>234</v>
      </c>
    </row>
    <row r="155" spans="2:4" hidden="1">
      <c r="B155" s="82" t="s">
        <v>235</v>
      </c>
      <c r="D155" s="82">
        <f ca="1">IF(OR(D7="Portabilidade",'Caract. Prods'!D8="Sim"),AB90,AA90)</f>
        <v>-46</v>
      </c>
    </row>
    <row r="156" spans="2:4" hidden="1">
      <c r="B156" s="82" t="s">
        <v>168</v>
      </c>
      <c r="D156" s="82">
        <f>IF(OR(D7="Portabilidade",'Caract. Prods'!D8="Sim"),12,1)</f>
        <v>1</v>
      </c>
    </row>
    <row r="251" spans="16:16" hidden="1">
      <c r="P251" s="82">
        <v>1</v>
      </c>
    </row>
    <row r="252" spans="16:16" hidden="1">
      <c r="P252" s="82">
        <v>1</v>
      </c>
    </row>
    <row r="253" spans="16:16" hidden="1">
      <c r="P253" s="82">
        <v>1</v>
      </c>
    </row>
    <row r="385" spans="15:15" hidden="1">
      <c r="O385" s="82">
        <v>1</v>
      </c>
    </row>
    <row r="386" spans="15:15" hidden="1">
      <c r="O386" s="82">
        <v>1</v>
      </c>
    </row>
    <row r="387" spans="15:15" hidden="1">
      <c r="O387" s="82">
        <v>1</v>
      </c>
    </row>
    <row r="388" spans="15:15" hidden="1">
      <c r="O388" s="82">
        <v>1</v>
      </c>
    </row>
    <row r="389" spans="15:15" hidden="1">
      <c r="O389" s="82">
        <v>1</v>
      </c>
    </row>
    <row r="390" spans="15:15" hidden="1">
      <c r="O390" s="82">
        <v>1</v>
      </c>
    </row>
    <row r="391" spans="15:15" hidden="1">
      <c r="O391" s="82">
        <v>1</v>
      </c>
    </row>
    <row r="392" spans="15:15" hidden="1">
      <c r="O392" s="82">
        <v>1</v>
      </c>
    </row>
    <row r="393" spans="15:15" hidden="1">
      <c r="O393" s="82">
        <v>1</v>
      </c>
    </row>
    <row r="394" spans="15:15" hidden="1">
      <c r="O394" s="82">
        <v>1</v>
      </c>
    </row>
    <row r="395" spans="15:15" hidden="1">
      <c r="O395" s="82">
        <v>1</v>
      </c>
    </row>
    <row r="396" spans="15:15" hidden="1">
      <c r="O396" s="82">
        <v>1</v>
      </c>
    </row>
    <row r="397" spans="15:15" hidden="1">
      <c r="O397" s="82">
        <v>1</v>
      </c>
    </row>
    <row r="398" spans="15:15" hidden="1">
      <c r="O398" s="82">
        <v>1</v>
      </c>
    </row>
    <row r="399" spans="15:15" hidden="1">
      <c r="O399" s="82">
        <v>1</v>
      </c>
    </row>
    <row r="400" spans="15:15" hidden="1">
      <c r="O400" s="82">
        <v>1</v>
      </c>
    </row>
    <row r="401" spans="15:15" hidden="1">
      <c r="O401" s="82">
        <v>1</v>
      </c>
    </row>
    <row r="402" spans="15:15" hidden="1">
      <c r="O402" s="82">
        <v>1</v>
      </c>
    </row>
    <row r="403" spans="15:15" hidden="1">
      <c r="O403" s="82">
        <v>1</v>
      </c>
    </row>
    <row r="404" spans="15:15" hidden="1">
      <c r="O404" s="82">
        <v>1</v>
      </c>
    </row>
    <row r="405" spans="15:15" hidden="1">
      <c r="O405" s="82">
        <v>1</v>
      </c>
    </row>
    <row r="406" spans="15:15" hidden="1">
      <c r="O406" s="82">
        <v>1</v>
      </c>
    </row>
    <row r="407" spans="15:15" hidden="1">
      <c r="O407" s="82">
        <v>1</v>
      </c>
    </row>
    <row r="408" spans="15:15" hidden="1">
      <c r="O408" s="82">
        <v>1</v>
      </c>
    </row>
    <row r="409" spans="15:15" hidden="1">
      <c r="O409" s="82">
        <v>1</v>
      </c>
    </row>
    <row r="410" spans="15:15" hidden="1">
      <c r="O410" s="82">
        <v>1</v>
      </c>
    </row>
    <row r="411" spans="15:15" hidden="1">
      <c r="O411" s="82">
        <v>1</v>
      </c>
    </row>
    <row r="412" spans="15:15" hidden="1">
      <c r="O412" s="82">
        <v>1</v>
      </c>
    </row>
    <row r="413" spans="15:15" hidden="1">
      <c r="O413" s="82">
        <v>1</v>
      </c>
    </row>
  </sheetData>
  <sheetProtection algorithmName="SHA-512" hashValue="hg3gG7wjGvlrUp+Vu/v1rtBaeEaOFsCn7euARoha8iyYz/D3BEpk8dPGoufq9ND/nJWVvhh9RiDDiYJH8LWc3A==" saltValue="/jLaViDfexQtAp1lIlMnrw==" spinCount="100000" sheet="1" formatCells="0" selectLockedCells="1"/>
  <dataConsolidate/>
  <mergeCells count="47">
    <mergeCell ref="G82:G84"/>
    <mergeCell ref="B68:I68"/>
    <mergeCell ref="B66:I66"/>
    <mergeCell ref="B62:I62"/>
    <mergeCell ref="D49:E49"/>
    <mergeCell ref="B67:I67"/>
    <mergeCell ref="D45:E45"/>
    <mergeCell ref="D43:E43"/>
    <mergeCell ref="B65:I65"/>
    <mergeCell ref="B64:I64"/>
    <mergeCell ref="B63:I63"/>
    <mergeCell ref="D39:E39"/>
    <mergeCell ref="D29:E29"/>
    <mergeCell ref="D52:E53"/>
    <mergeCell ref="D46:E46"/>
    <mergeCell ref="D47:E47"/>
    <mergeCell ref="D48:E48"/>
    <mergeCell ref="D40:E40"/>
    <mergeCell ref="D41:E41"/>
    <mergeCell ref="D44:E44"/>
    <mergeCell ref="B36:I36"/>
    <mergeCell ref="I44:I46"/>
    <mergeCell ref="I47:I48"/>
    <mergeCell ref="D38:E38"/>
    <mergeCell ref="D42:E42"/>
    <mergeCell ref="I42:I43"/>
    <mergeCell ref="G52:G53"/>
    <mergeCell ref="D24:E24"/>
    <mergeCell ref="I16:I17"/>
    <mergeCell ref="G7:I7"/>
    <mergeCell ref="G31:I32"/>
    <mergeCell ref="G16:G17"/>
    <mergeCell ref="D25:E25"/>
    <mergeCell ref="D22:E22"/>
    <mergeCell ref="G22:I24"/>
    <mergeCell ref="D23:E23"/>
    <mergeCell ref="D17:E17"/>
    <mergeCell ref="D18:E18"/>
    <mergeCell ref="B1:I2"/>
    <mergeCell ref="D15:E15"/>
    <mergeCell ref="D7:E7"/>
    <mergeCell ref="D20:E20"/>
    <mergeCell ref="D21:E21"/>
    <mergeCell ref="C4:I4"/>
    <mergeCell ref="C5:I5"/>
    <mergeCell ref="D9:E9"/>
    <mergeCell ref="D19:E19"/>
  </mergeCells>
  <phoneticPr fontId="3" type="noConversion"/>
  <conditionalFormatting sqref="B27:E28">
    <cfRule type="expression" dxfId="64" priority="188" stopIfTrue="1">
      <formula>$D$24=""</formula>
    </cfRule>
  </conditionalFormatting>
  <conditionalFormatting sqref="E27:E28">
    <cfRule type="expression" dxfId="63" priority="172" stopIfTrue="1">
      <formula>$D$27="R$              -    "</formula>
    </cfRule>
  </conditionalFormatting>
  <conditionalFormatting sqref="L25:L27">
    <cfRule type="expression" dxfId="62" priority="245" stopIfTrue="1">
      <formula>$B$15=""</formula>
    </cfRule>
  </conditionalFormatting>
  <conditionalFormatting sqref="J46">
    <cfRule type="expression" dxfId="61" priority="289" stopIfTrue="1">
      <formula>$I$47=""</formula>
    </cfRule>
  </conditionalFormatting>
  <conditionalFormatting sqref="G25">
    <cfRule type="expression" dxfId="60" priority="334" stopIfTrue="1">
      <formula>$D$25=""</formula>
    </cfRule>
  </conditionalFormatting>
  <conditionalFormatting sqref="G29">
    <cfRule type="expression" dxfId="59" priority="363" stopIfTrue="1">
      <formula>$G$29="Renda Insuficiente para o prazo desejado!"</formula>
    </cfRule>
  </conditionalFormatting>
  <conditionalFormatting sqref="E11:E14">
    <cfRule type="expression" dxfId="58" priority="403" stopIfTrue="1">
      <formula>$D$9="Não"</formula>
    </cfRule>
  </conditionalFormatting>
  <conditionalFormatting sqref="E10">
    <cfRule type="expression" dxfId="57" priority="414" stopIfTrue="1">
      <formula>$D$9="Não"</formula>
    </cfRule>
  </conditionalFormatting>
  <conditionalFormatting sqref="B144">
    <cfRule type="expression" dxfId="56" priority="115" stopIfTrue="1">
      <formula>$G$38="Parcelas Fixas"</formula>
    </cfRule>
  </conditionalFormatting>
  <conditionalFormatting sqref="G31">
    <cfRule type="expression" dxfId="55" priority="444" stopIfTrue="1">
      <formula>$N$55=0</formula>
    </cfRule>
  </conditionalFormatting>
  <conditionalFormatting sqref="B30:E30">
    <cfRule type="expression" dxfId="54" priority="109" stopIfTrue="1">
      <formula>$D$29=""</formula>
    </cfRule>
    <cfRule type="expression" dxfId="53" priority="113" stopIfTrue="1">
      <formula>$B$30&lt;&gt;""</formula>
    </cfRule>
  </conditionalFormatting>
  <conditionalFormatting sqref="G8:I18">
    <cfRule type="expression" dxfId="52" priority="112" stopIfTrue="1">
      <formula>$D$7="Portabilidade"</formula>
    </cfRule>
  </conditionalFormatting>
  <conditionalFormatting sqref="G7:I7">
    <cfRule type="expression" dxfId="51" priority="110" stopIfTrue="1">
      <formula>$D$7="Portabilidade"</formula>
    </cfRule>
  </conditionalFormatting>
  <conditionalFormatting sqref="J41">
    <cfRule type="expression" dxfId="50" priority="454" stopIfTrue="1">
      <formula>OR($G$48="",$D$18="")</formula>
    </cfRule>
  </conditionalFormatting>
  <conditionalFormatting sqref="I13 I15">
    <cfRule type="expression" dxfId="49" priority="458" stopIfTrue="1">
      <formula>$D$24=""</formula>
    </cfRule>
  </conditionalFormatting>
  <conditionalFormatting sqref="B59">
    <cfRule type="expression" dxfId="48" priority="460" stopIfTrue="1">
      <formula>OR($D$29="",$D$19="",$D$19="Sem Conta Salário",$D$19="Com Conta Salário")</formula>
    </cfRule>
  </conditionalFormatting>
  <conditionalFormatting sqref="F22">
    <cfRule type="expression" dxfId="47" priority="73" stopIfTrue="1">
      <formula>$D$18="Parcelas Fixas"</formula>
    </cfRule>
  </conditionalFormatting>
  <conditionalFormatting sqref="E14">
    <cfRule type="expression" dxfId="46" priority="54" stopIfTrue="1">
      <formula>"AND($D$7=""Promessa"";$D$9=""Não"")"</formula>
    </cfRule>
    <cfRule type="expression" dxfId="45" priority="68" stopIfTrue="1">
      <formula>$D$9="Não"</formula>
    </cfRule>
  </conditionalFormatting>
  <conditionalFormatting sqref="D18:E18 B18">
    <cfRule type="expression" dxfId="44" priority="61" stopIfTrue="1">
      <formula>$D$7="Promessa"</formula>
    </cfRule>
  </conditionalFormatting>
  <conditionalFormatting sqref="D15:E15 B15">
    <cfRule type="expression" dxfId="43" priority="60" stopIfTrue="1">
      <formula>$D$7="Promessa"</formula>
    </cfRule>
  </conditionalFormatting>
  <conditionalFormatting sqref="B17 D17:E17">
    <cfRule type="expression" dxfId="42" priority="53" stopIfTrue="1">
      <formula>$D$7="Promessa"</formula>
    </cfRule>
  </conditionalFormatting>
  <conditionalFormatting sqref="B58">
    <cfRule type="expression" dxfId="41" priority="50" stopIfTrue="1">
      <formula>OR(AND($D$18="Parcelas Variáveis",$D$19=""),$D$29="")</formula>
    </cfRule>
  </conditionalFormatting>
  <conditionalFormatting sqref="D38:E49">
    <cfRule type="expression" dxfId="40" priority="32" stopIfTrue="1">
      <formula>OR($D$24="",$D$24=0,$D$25="",$D$25=0,$D$29="",$D$29=0)</formula>
    </cfRule>
  </conditionalFormatting>
  <conditionalFormatting sqref="G38:G49">
    <cfRule type="expression" dxfId="39" priority="26" stopIfTrue="1">
      <formula>$D$40&lt;&gt;"Taxa sem Bonificação"</formula>
    </cfRule>
    <cfRule type="expression" dxfId="38" priority="29" stopIfTrue="1">
      <formula>OR($D$24="",$D$24=0,$D$25="",$D$25=0,$D$29="",$D$29=0)</formula>
    </cfRule>
  </conditionalFormatting>
  <conditionalFormatting sqref="G52:G53">
    <cfRule type="expression" dxfId="37" priority="24" stopIfTrue="1">
      <formula>OR(AND($D$19&lt;&gt;"CI Bonificado",$D$19&lt;&gt;"Plano Saúde/Leilão",$D$19&lt;&gt;"FOPA TJSP &amp; TJPE",$D$19&lt;&gt;"FOPA"),D18="Parcelas Fixas")</formula>
    </cfRule>
  </conditionalFormatting>
  <conditionalFormatting sqref="D52:E53">
    <cfRule type="expression" dxfId="36" priority="23" stopIfTrue="1">
      <formula>AND($D$19&lt;&gt;"CI Bonificado",$D$19&lt;&gt;"Plano Saúde/Leilão",$D$19&lt;&gt;"FOPA TJSP &amp; TJPE",$D$19&lt;&gt;"FOPA")</formula>
    </cfRule>
  </conditionalFormatting>
  <conditionalFormatting sqref="I47:I49">
    <cfRule type="expression" dxfId="35" priority="21" stopIfTrue="1">
      <formula>$D$18&lt;&gt;"Parcelas Fixas"</formula>
    </cfRule>
  </conditionalFormatting>
  <conditionalFormatting sqref="I42:I43">
    <cfRule type="expression" dxfId="34" priority="19" stopIfTrue="1">
      <formula>OR($D$19="CI Bonificado",$D$19="",$D$19="Plano Saúde",$D$19="FOPA TJSP &amp; TJPE",$D$19="FOPA")</formula>
    </cfRule>
  </conditionalFormatting>
  <conditionalFormatting sqref="B19">
    <cfRule type="expression" dxfId="33" priority="9" stopIfTrue="1">
      <formula>$D$18="Parcelas Fixas"</formula>
    </cfRule>
  </conditionalFormatting>
  <conditionalFormatting sqref="D19:E19">
    <cfRule type="expression" dxfId="32" priority="8" stopIfTrue="1">
      <formula>$D$18="Parcelas Fixas"</formula>
    </cfRule>
  </conditionalFormatting>
  <conditionalFormatting sqref="B5">
    <cfRule type="expression" dxfId="31" priority="7" stopIfTrue="1">
      <formula>$D$7="Portabilidade"</formula>
    </cfRule>
  </conditionalFormatting>
  <conditionalFormatting sqref="B21 D21:E21">
    <cfRule type="expression" dxfId="30" priority="5" stopIfTrue="1">
      <formula>OR($D$18="Parcelas Variáveis",$D$18="",$D$7="Portabilidade")</formula>
    </cfRule>
  </conditionalFormatting>
  <conditionalFormatting sqref="B22 D22:E22">
    <cfRule type="expression" dxfId="29" priority="4" stopIfTrue="1">
      <formula>$D$18="Parcelas Fixas"</formula>
    </cfRule>
  </conditionalFormatting>
  <conditionalFormatting sqref="B67:I67">
    <cfRule type="expression" dxfId="28" priority="2" stopIfTrue="1">
      <formula>AND($D$19&lt;&gt;"CI Bonificado",$D$19&lt;&gt;"Plano Saúde",$D$19&lt;&gt;"FOPA - Especiais",$D$19&lt;&gt;"FOPA")</formula>
    </cfRule>
  </conditionalFormatting>
  <conditionalFormatting sqref="D41:E49 G41:G49">
    <cfRule type="expression" dxfId="27" priority="1" stopIfTrue="1">
      <formula>$G$25="Valor de Financiamento maior que o permitido!"</formula>
    </cfRule>
  </conditionalFormatting>
  <dataValidations xWindow="835" yWindow="216" count="11">
    <dataValidation type="custom" allowBlank="1" showInputMessage="1" showErrorMessage="1" errorTitle="Atenção" error="Renda mínima familiar para Crédito Imobiliário de R$ 2.500,00!" sqref="D12" xr:uid="{00000000-0002-0000-0500-000000000000}">
      <formula1>OR(D127=2,D127=1,,D127=0)</formula1>
    </dataValidation>
    <dataValidation type="custom" allowBlank="1" showInputMessage="1" showErrorMessage="1" error="Renda mínima familiar para Crédito Imobiliário de R$ 1.000,00!!!" sqref="E12" xr:uid="{00000000-0002-0000-0500-000001000000}">
      <formula1>OR(D128=2,D128=1,D128=0)</formula1>
    </dataValidation>
    <dataValidation type="decimal" operator="greaterThanOrEqual" allowBlank="1" showInputMessage="1" showErrorMessage="1" sqref="D22" xr:uid="{00000000-0002-0000-0500-000002000000}">
      <formula1>0</formula1>
    </dataValidation>
    <dataValidation type="list" allowBlank="1" showInputMessage="1" showErrorMessage="1" sqref="I33:I34" xr:uid="{00000000-0002-0000-0500-000003000000}">
      <formula1>$D$130:$D$133</formula1>
    </dataValidation>
    <dataValidation type="list" allowBlank="1" showInputMessage="1" showErrorMessage="1" sqref="D21" xr:uid="{00000000-0002-0000-0500-000004000000}">
      <formula1>$B$74:$B$86</formula1>
    </dataValidation>
    <dataValidation type="list" allowBlank="1" showInputMessage="1" showErrorMessage="1" errorTitle="Verifique os Limites de Idade" error="Idade Mínima de 18 anos_x000a_Idade Máxima: Prazo + idade deve ser igual ou inferior a 75 anos" sqref="D20" xr:uid="{00000000-0002-0000-0500-000005000000}">
      <formula1>$I$82:$I$83</formula1>
    </dataValidation>
    <dataValidation type="date" allowBlank="1" showInputMessage="1" showErrorMessage="1" errorTitle="Atenção!!" error="Formato deve ser dd/mm/aaaa ._x000a__x000a_Idade Mínima de 18 anos_x000a_Idade Máxima: Prazo + idade deve ser igual ou inferior a 80 anos" sqref="E11" xr:uid="{00000000-0002-0000-0500-000006000000}">
      <formula1>AA17</formula1>
      <formula2>AA16</formula2>
    </dataValidation>
    <dataValidation type="date" allowBlank="1" showInputMessage="1" showErrorMessage="1" errorTitle="Atenção!!" error="Formato deve ser dd/mm/aaaa ._x000a__x000a_Idade Mínima de 18 anos_x000a_Idade Máxima: Prazo + idade deve ser igual ou inferior a 80 anos" sqref="D11" xr:uid="{00000000-0002-0000-0500-000007000000}">
      <formula1>Z45</formula1>
      <formula2>Z44</formula2>
    </dataValidation>
    <dataValidation type="whole" allowBlank="1" showInputMessage="1" showErrorMessage="1" errorTitle="Prazo incorreto" error="Ajustar o prazo!" sqref="D29:E29" xr:uid="{00000000-0002-0000-0500-000008000000}">
      <formula1>D156</formula1>
      <formula2>D155</formula2>
    </dataValidation>
    <dataValidation type="decimal" allowBlank="1" showInputMessage="1" showErrorMessage="1" errorTitle="Valor de Financiamento Permitido" error="O valor de financiamento deve estar entre os valores informados no campo abaixo." sqref="D25:E25" xr:uid="{00000000-0002-0000-0500-000009000000}">
      <formula1>$D$27</formula1>
      <formula2>$E$27</formula2>
    </dataValidation>
    <dataValidation type="decimal" operator="greaterThanOrEqual" allowBlank="1" showInputMessage="1" showErrorMessage="1" errorTitle="Valor Mínimo de Imóvel" error="O valor mínimo de imóveis aceitos é de R$ 90.000,00." sqref="D24:E24" xr:uid="{00000000-0002-0000-0500-00000A000000}">
      <formula1>90000</formula1>
    </dataValidation>
  </dataValidations>
  <hyperlinks>
    <hyperlink ref="G52:G53" location="SAC!A1" display="Clique Aqui para ver a Evolução" xr:uid="{00000000-0004-0000-0500-000000000000}"/>
    <hyperlink ref="I47:I48" location="Fixa!A1" display="Clique Aqui para ver a Evolução" xr:uid="{00000000-0004-0000-0500-000001000000}"/>
    <hyperlink ref="I42:I43" location="SAC!A1" display="Clique Aqui para ver a Evolução" xr:uid="{00000000-0004-0000-0500-000002000000}"/>
    <hyperlink ref="D52:E53" location="'SAC Padrão_Sem Bonif'!A1" display="Clique Aqui para ver a Evolução" xr:uid="{00000000-0004-0000-0500-000003000000}"/>
  </hyperlinks>
  <printOptions horizontalCentered="1" verticalCentered="1"/>
  <pageMargins left="0.74803149606299213" right="1.299212598425197" top="0.59055118110236227" bottom="0.59055118110236227" header="0.39370078740157483" footer="0.39370078740157483"/>
  <pageSetup paperSize="9" scale="47" orientation="landscape" r:id="rId1"/>
  <headerFooter alignWithMargins="0">
    <oddFooter>&amp;C&amp;D</oddFooter>
  </headerFooter>
  <colBreaks count="1" manualBreakCount="1">
    <brk id="12" max="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8</xdr:col>
                    <xdr:colOff>1676400</xdr:colOff>
                    <xdr:row>57</xdr:row>
                    <xdr:rowOff>180975</xdr:rowOff>
                  </from>
                  <to>
                    <xdr:col>8</xdr:col>
                    <xdr:colOff>1981200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8</xdr:col>
                    <xdr:colOff>1609725</xdr:colOff>
                    <xdr:row>57</xdr:row>
                    <xdr:rowOff>19050</xdr:rowOff>
                  </from>
                  <to>
                    <xdr:col>8</xdr:col>
                    <xdr:colOff>1914525</xdr:colOff>
                    <xdr:row>58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>
                <anchor moveWithCells="1">
                  <from>
                    <xdr:col>8</xdr:col>
                    <xdr:colOff>1695450</xdr:colOff>
                    <xdr:row>54</xdr:row>
                    <xdr:rowOff>104775</xdr:rowOff>
                  </from>
                  <to>
                    <xdr:col>8</xdr:col>
                    <xdr:colOff>2000250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>
                <anchor moveWithCells="1">
                  <from>
                    <xdr:col>8</xdr:col>
                    <xdr:colOff>1790700</xdr:colOff>
                    <xdr:row>57</xdr:row>
                    <xdr:rowOff>19050</xdr:rowOff>
                  </from>
                  <to>
                    <xdr:col>8</xdr:col>
                    <xdr:colOff>2095500</xdr:colOff>
                    <xdr:row>58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190500</xdr:rowOff>
                  </from>
                  <to>
                    <xdr:col>6</xdr:col>
                    <xdr:colOff>314325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6" r:id="rId9" name="Drop Down 4468">
              <controlPr locked="0" defaultSize="0" autoLine="0" autoPict="0" macro="[0]!Hide_Checkbox_Desconsidera_Desp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2" r:id="rId10" name="Drop Down 4494">
              <controlPr locked="0" defaultSize="0" autoLine="0" autoPict="0" macro="[0]!Replic_Renda_Coparticipant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3" r:id="rId11" name="Drop Down 4495">
              <controlPr locked="0" defaultSize="0" autoLine="0" autoPict="0" macro="[0]!Replic_Seguradora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4" r:id="rId12" name="Drop Down 4496">
              <controlPr locked="0" defaultSize="0" autoLine="0" autoPict="0" macro="[0]!Replic_Segmento">
                <anchor mov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5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5" r:id="rId13" name="Drop Down 4497">
              <controlPr locked="0" defaultSize="0" autoLine="0" autoPict="0" macro="[0]!Replic_Parcelas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0" r:id="rId14" name="Drop Down 4522">
              <controlPr locked="0" defaultSize="0" autoLine="0" autoPict="0" macro="[0]!Replic_Bonificado">
                <anchor moveWithCells="1">
                  <from>
                    <xdr:col>3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6" r:id="rId15" name="Drop Down 5244">
              <controlPr locked="0" defaultSize="0" autoLine="0" autoPict="0" macro="[0]!Replic_Segmento">
                <anchor moveWithCells="1">
                  <from>
                    <xdr:col>3</xdr:col>
                    <xdr:colOff>0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0" r:id="rId16" name="Drop Down 7974">
              <controlPr locked="0" defaultSize="0" print="0" autoLine="0" autoPict="0" macro="[0]!Select_Offer">
                <anchor moveWithCells="1">
                  <from>
                    <xdr:col>3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4" r:id="rId17" name="Option Button 12932">
              <controlPr defaultSize="0" autoFill="0" autoLine="0" autoPict="0">
                <anchor moveWithCells="1">
                  <from>
                    <xdr:col>3</xdr:col>
                    <xdr:colOff>323850</xdr:colOff>
                    <xdr:row>2</xdr:row>
                    <xdr:rowOff>104775</xdr:rowOff>
                  </from>
                  <to>
                    <xdr:col>3</xdr:col>
                    <xdr:colOff>904875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5" r:id="rId18" name="Option Button 12933">
              <controlPr defaultSize="0" autoFill="0" autoLine="0" autoPict="0">
                <anchor moveWithCells="1">
                  <from>
                    <xdr:col>4</xdr:col>
                    <xdr:colOff>171450</xdr:colOff>
                    <xdr:row>2</xdr:row>
                    <xdr:rowOff>104775</xdr:rowOff>
                  </from>
                  <to>
                    <xdr:col>4</xdr:col>
                    <xdr:colOff>752475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2:AD60"/>
  <sheetViews>
    <sheetView showGridLines="0" showRowColHeaders="0" topLeftCell="F36" workbookViewId="0">
      <selection activeCell="L40" sqref="L40 L44"/>
    </sheetView>
  </sheetViews>
  <sheetFormatPr defaultColWidth="9.140625" defaultRowHeight="12.75"/>
  <cols>
    <col min="1" max="1" width="2" style="381" customWidth="1"/>
    <col min="2" max="2" width="3.140625" style="381" customWidth="1"/>
    <col min="3" max="3" width="32.42578125" style="381" bestFit="1" customWidth="1"/>
    <col min="4" max="4" width="13.28515625" style="381" bestFit="1" customWidth="1"/>
    <col min="5" max="5" width="4.42578125" style="381" customWidth="1"/>
    <col min="6" max="6" width="38.28515625" style="381" customWidth="1"/>
    <col min="7" max="7" width="9.140625" style="381"/>
    <col min="8" max="8" width="6" style="381" customWidth="1"/>
    <col min="9" max="9" width="3" style="381" customWidth="1"/>
    <col min="10" max="10" width="4.28515625" style="381" customWidth="1"/>
    <col min="11" max="11" width="33.85546875" style="381" customWidth="1"/>
    <col min="12" max="12" width="17.85546875" style="381" customWidth="1"/>
    <col min="13" max="13" width="4.5703125" style="381" bestFit="1" customWidth="1"/>
    <col min="14" max="14" width="5" style="381" bestFit="1" customWidth="1"/>
    <col min="15" max="15" width="3" style="381" customWidth="1"/>
    <col min="16" max="16" width="5.7109375" style="381" customWidth="1"/>
    <col min="17" max="17" width="10.42578125" style="381" customWidth="1"/>
    <col min="18" max="18" width="9.140625" style="381"/>
    <col min="19" max="26" width="15" style="381" customWidth="1"/>
    <col min="27" max="28" width="9.140625" style="381"/>
    <col min="29" max="29" width="12.5703125" style="381" customWidth="1"/>
    <col min="30" max="16384" width="9.140625" style="381"/>
  </cols>
  <sheetData>
    <row r="2" spans="2:30" ht="15.75" thickBot="1">
      <c r="B2" s="380" t="s">
        <v>243</v>
      </c>
      <c r="C2" s="391"/>
      <c r="D2" s="391" t="s">
        <v>244</v>
      </c>
      <c r="E2" s="391"/>
      <c r="F2" s="391"/>
      <c r="G2" s="391"/>
      <c r="H2" s="391"/>
      <c r="I2" s="391"/>
      <c r="J2" s="392" t="s">
        <v>245</v>
      </c>
      <c r="K2" s="391"/>
      <c r="L2" s="391"/>
      <c r="M2" s="391"/>
      <c r="N2" s="391"/>
      <c r="O2" s="391"/>
      <c r="S2" s="392" t="s">
        <v>278</v>
      </c>
    </row>
    <row r="3" spans="2:30" ht="15" customHeight="1">
      <c r="B3" s="382"/>
      <c r="C3" s="393"/>
      <c r="D3" s="393"/>
      <c r="E3" s="393"/>
      <c r="F3" s="393"/>
      <c r="G3" s="393"/>
      <c r="H3" s="394"/>
      <c r="I3" s="391"/>
      <c r="J3" s="395"/>
      <c r="K3" s="393"/>
      <c r="L3" s="393"/>
      <c r="M3" s="393"/>
      <c r="N3" s="393"/>
      <c r="O3" s="394"/>
      <c r="S3" s="706" t="s">
        <v>297</v>
      </c>
      <c r="T3" s="706"/>
      <c r="U3" s="706"/>
      <c r="V3" s="706"/>
      <c r="W3" s="706"/>
      <c r="X3" s="706"/>
      <c r="Y3" s="706"/>
      <c r="Z3" s="706"/>
      <c r="AC3" s="381" t="s">
        <v>323</v>
      </c>
      <c r="AD3" s="381" t="s">
        <v>279</v>
      </c>
    </row>
    <row r="4" spans="2:30">
      <c r="B4" s="383"/>
      <c r="C4" s="711" t="s">
        <v>246</v>
      </c>
      <c r="D4" s="711"/>
      <c r="E4" s="391"/>
      <c r="F4" s="396" t="s">
        <v>290</v>
      </c>
      <c r="G4" s="391"/>
      <c r="H4" s="397"/>
      <c r="I4" s="391"/>
      <c r="J4" s="398"/>
      <c r="K4" s="399" t="s">
        <v>247</v>
      </c>
      <c r="L4" s="391"/>
      <c r="M4" s="391"/>
      <c r="N4" s="391"/>
      <c r="O4" s="397"/>
      <c r="S4" s="707" t="s">
        <v>291</v>
      </c>
      <c r="T4" s="707"/>
      <c r="U4" s="707"/>
      <c r="V4" s="707"/>
      <c r="W4" s="707"/>
      <c r="X4" s="707"/>
      <c r="Y4" s="707"/>
      <c r="Z4" s="707"/>
      <c r="AD4" s="381" t="s">
        <v>280</v>
      </c>
    </row>
    <row r="5" spans="2:30" ht="15">
      <c r="B5" s="383"/>
      <c r="C5" s="400"/>
      <c r="D5" s="401">
        <v>1</v>
      </c>
      <c r="E5" s="391"/>
      <c r="F5" s="400"/>
      <c r="G5" s="401">
        <v>1</v>
      </c>
      <c r="H5" s="397"/>
      <c r="I5" s="391"/>
      <c r="J5" s="398"/>
      <c r="K5" s="400" t="s">
        <v>248</v>
      </c>
      <c r="L5" s="402">
        <f ca="1">TODAY()</f>
        <v>46189</v>
      </c>
      <c r="M5" s="403"/>
      <c r="N5" s="391"/>
      <c r="O5" s="397"/>
      <c r="S5" s="706" t="s">
        <v>320</v>
      </c>
      <c r="T5" s="706"/>
      <c r="U5" s="706"/>
      <c r="V5" s="706"/>
      <c r="W5" s="706"/>
      <c r="X5" s="706"/>
      <c r="Y5" s="706"/>
      <c r="Z5" s="706"/>
      <c r="AC5" s="381" t="s">
        <v>324</v>
      </c>
      <c r="AD5" s="381" t="s">
        <v>279</v>
      </c>
    </row>
    <row r="6" spans="2:30">
      <c r="B6" s="383"/>
      <c r="C6" s="404" t="s">
        <v>233</v>
      </c>
      <c r="D6" s="405"/>
      <c r="E6" s="391"/>
      <c r="F6" s="404" t="s">
        <v>284</v>
      </c>
      <c r="G6" s="405"/>
      <c r="H6" s="397"/>
      <c r="I6" s="391"/>
      <c r="J6" s="398"/>
      <c r="K6" s="404" t="s">
        <v>249</v>
      </c>
      <c r="L6" s="406" t="str">
        <f>IF(OR(Preenchimento!D9="",AND(Preenchimento!D9="Não",Preenchimento!D11=""),AND(Preenchimento!D9="Sim",Preenchimento!D11=""),AND(Preenchimento!D9="Sim",Preenchimento!E11="")),"",SMALL(Preenchimento!D11:E11,1))</f>
        <v/>
      </c>
      <c r="M6" s="403"/>
      <c r="N6" s="391"/>
      <c r="O6" s="397"/>
      <c r="S6" s="708" t="s">
        <v>321</v>
      </c>
      <c r="T6" s="709"/>
      <c r="U6" s="709"/>
      <c r="V6" s="709"/>
      <c r="W6" s="709"/>
      <c r="X6" s="709"/>
      <c r="Y6" s="709"/>
      <c r="Z6" s="709"/>
      <c r="AD6" s="381" t="s">
        <v>280</v>
      </c>
    </row>
    <row r="7" spans="2:30" ht="15">
      <c r="B7" s="383"/>
      <c r="C7" s="491" t="s">
        <v>234</v>
      </c>
      <c r="D7" s="408"/>
      <c r="E7" s="391"/>
      <c r="F7" s="404" t="s">
        <v>308</v>
      </c>
      <c r="G7" s="405"/>
      <c r="H7" s="397"/>
      <c r="I7" s="391"/>
      <c r="J7" s="398"/>
      <c r="K7" s="404" t="s">
        <v>251</v>
      </c>
      <c r="L7" s="406" t="str">
        <f>IF(L6="","",IF(DATE(YEAR(L5),MONTH(L6),DAY(L6))&lt;=L5,DATE(YEAR(L5)+1,MONTH(L6),DAY(L6)),DATE(YEAR(L5),MONTH(L6),DAY(L6))))</f>
        <v/>
      </c>
      <c r="M7" s="403"/>
      <c r="N7" s="391"/>
      <c r="O7" s="397"/>
      <c r="S7" s="706" t="s">
        <v>343</v>
      </c>
      <c r="T7" s="706"/>
      <c r="U7" s="706"/>
      <c r="V7" s="706"/>
      <c r="W7" s="706"/>
      <c r="X7" s="706"/>
      <c r="Y7" s="706"/>
      <c r="Z7" s="706"/>
      <c r="AC7" s="381" t="s">
        <v>341</v>
      </c>
      <c r="AD7" s="381" t="s">
        <v>279</v>
      </c>
    </row>
    <row r="8" spans="2:30" ht="12.75" customHeight="1">
      <c r="B8" s="383"/>
      <c r="C8" s="391"/>
      <c r="D8" s="391"/>
      <c r="E8" s="405"/>
      <c r="F8" s="404" t="s">
        <v>353</v>
      </c>
      <c r="G8" s="405"/>
      <c r="H8" s="397"/>
      <c r="I8" s="391"/>
      <c r="J8" s="398"/>
      <c r="K8" s="404" t="s">
        <v>252</v>
      </c>
      <c r="L8" s="409" t="str">
        <f>IF(L6="","",((L5-L6)/365))</f>
        <v/>
      </c>
      <c r="M8" s="410"/>
      <c r="N8" s="391"/>
      <c r="O8" s="397"/>
      <c r="S8" s="710" t="s">
        <v>344</v>
      </c>
      <c r="T8" s="707"/>
      <c r="U8" s="707"/>
      <c r="V8" s="707"/>
      <c r="W8" s="707"/>
      <c r="X8" s="707"/>
      <c r="Y8" s="707"/>
      <c r="Z8" s="707"/>
      <c r="AD8" s="381" t="s">
        <v>280</v>
      </c>
    </row>
    <row r="9" spans="2:30" ht="15">
      <c r="B9" s="383"/>
      <c r="C9" s="391"/>
      <c r="D9" s="391"/>
      <c r="E9" s="405"/>
      <c r="F9" s="407" t="s">
        <v>341</v>
      </c>
      <c r="G9" s="408"/>
      <c r="H9" s="397"/>
      <c r="I9" s="391"/>
      <c r="J9" s="411"/>
      <c r="K9" s="407" t="s">
        <v>253</v>
      </c>
      <c r="L9" s="412" t="str">
        <f>IF(L8="","",L8+M9)</f>
        <v/>
      </c>
      <c r="M9" s="410">
        <v>4</v>
      </c>
      <c r="N9" s="391" t="s">
        <v>254</v>
      </c>
      <c r="O9" s="397"/>
      <c r="S9" s="706" t="s">
        <v>345</v>
      </c>
      <c r="T9" s="706"/>
      <c r="U9" s="706"/>
      <c r="V9" s="706"/>
      <c r="W9" s="706"/>
      <c r="X9" s="706"/>
      <c r="Y9" s="706"/>
      <c r="Z9" s="706"/>
      <c r="AC9" s="381" t="s">
        <v>322</v>
      </c>
      <c r="AD9" s="381" t="s">
        <v>279</v>
      </c>
    </row>
    <row r="10" spans="2:30" ht="12.75" customHeight="1">
      <c r="B10" s="383"/>
      <c r="C10" s="711" t="s">
        <v>255</v>
      </c>
      <c r="D10" s="711"/>
      <c r="E10" s="391"/>
      <c r="F10" s="396" t="s">
        <v>256</v>
      </c>
      <c r="G10" s="391"/>
      <c r="H10" s="397"/>
      <c r="I10" s="391"/>
      <c r="J10" s="398"/>
      <c r="K10" s="391"/>
      <c r="L10" s="391"/>
      <c r="M10" s="391"/>
      <c r="N10" s="391"/>
      <c r="O10" s="397"/>
      <c r="S10" s="710" t="s">
        <v>342</v>
      </c>
      <c r="T10" s="707"/>
      <c r="U10" s="707"/>
      <c r="V10" s="707"/>
      <c r="W10" s="707"/>
      <c r="X10" s="707"/>
      <c r="Y10" s="707"/>
      <c r="Z10" s="707"/>
      <c r="AD10" s="381" t="s">
        <v>280</v>
      </c>
    </row>
    <row r="11" spans="2:30">
      <c r="B11" s="383"/>
      <c r="C11" s="413"/>
      <c r="D11" s="401">
        <v>1</v>
      </c>
      <c r="E11" s="391"/>
      <c r="F11" s="400"/>
      <c r="G11" s="401">
        <v>1</v>
      </c>
      <c r="H11" s="397"/>
      <c r="I11" s="391"/>
      <c r="J11" s="398"/>
      <c r="K11" s="391"/>
      <c r="L11" s="391"/>
      <c r="M11" s="391"/>
      <c r="N11" s="391"/>
      <c r="O11" s="397"/>
    </row>
    <row r="12" spans="2:30">
      <c r="B12" s="383"/>
      <c r="C12" s="404" t="s">
        <v>8</v>
      </c>
      <c r="D12" s="405"/>
      <c r="E12" s="391"/>
      <c r="F12" s="404" t="s">
        <v>275</v>
      </c>
      <c r="G12" s="405"/>
      <c r="H12" s="397"/>
      <c r="I12" s="391"/>
      <c r="J12" s="398"/>
      <c r="K12" s="399" t="s">
        <v>257</v>
      </c>
      <c r="L12" s="391"/>
      <c r="M12" s="391"/>
      <c r="N12" s="391"/>
      <c r="O12" s="397"/>
    </row>
    <row r="13" spans="2:30">
      <c r="B13" s="383"/>
      <c r="C13" s="407" t="s">
        <v>9</v>
      </c>
      <c r="D13" s="408"/>
      <c r="E13" s="391"/>
      <c r="F13" s="407" t="s">
        <v>52</v>
      </c>
      <c r="G13" s="408"/>
      <c r="H13" s="397"/>
      <c r="I13" s="391"/>
      <c r="J13" s="398"/>
      <c r="K13" s="400" t="s">
        <v>258</v>
      </c>
      <c r="L13" s="401">
        <v>18</v>
      </c>
      <c r="M13" s="391" t="s">
        <v>254</v>
      </c>
      <c r="N13" s="391"/>
      <c r="O13" s="397"/>
    </row>
    <row r="14" spans="2:30">
      <c r="B14" s="383"/>
      <c r="C14" s="391"/>
      <c r="D14" s="391"/>
      <c r="E14" s="391"/>
      <c r="F14" s="391"/>
      <c r="G14" s="391"/>
      <c r="H14" s="397"/>
      <c r="I14" s="391"/>
      <c r="J14" s="398"/>
      <c r="K14" s="404" t="s">
        <v>259</v>
      </c>
      <c r="L14" s="406">
        <f ca="1">DATE((YEAR(TODAY())-18),MONTH($L$5),DAY($L$5))</f>
        <v>39615</v>
      </c>
      <c r="M14" s="391"/>
      <c r="N14" s="391"/>
      <c r="O14" s="397"/>
    </row>
    <row r="15" spans="2:30">
      <c r="B15" s="383"/>
      <c r="C15" s="391"/>
      <c r="D15" s="391"/>
      <c r="E15" s="391"/>
      <c r="F15" s="391"/>
      <c r="G15" s="391"/>
      <c r="H15" s="397"/>
      <c r="I15" s="391"/>
      <c r="J15" s="398"/>
      <c r="K15" s="404" t="s">
        <v>260</v>
      </c>
      <c r="L15" s="405">
        <v>80</v>
      </c>
      <c r="M15" s="391" t="s">
        <v>254</v>
      </c>
      <c r="N15" s="391"/>
      <c r="O15" s="397"/>
    </row>
    <row r="16" spans="2:30">
      <c r="B16" s="383"/>
      <c r="C16" s="711" t="s">
        <v>261</v>
      </c>
      <c r="D16" s="711"/>
      <c r="E16" s="391"/>
      <c r="F16" s="711" t="s">
        <v>262</v>
      </c>
      <c r="G16" s="711"/>
      <c r="H16" s="397"/>
      <c r="I16" s="391"/>
      <c r="J16" s="398"/>
      <c r="K16" s="404" t="s">
        <v>263</v>
      </c>
      <c r="L16" s="406">
        <f ca="1">DATE((YEAR(TODAY())-81),MONTH($L$5),DAY($L$5))</f>
        <v>16604</v>
      </c>
      <c r="M16" s="391"/>
      <c r="N16" s="391"/>
      <c r="O16" s="397"/>
    </row>
    <row r="17" spans="1:15">
      <c r="B17" s="383"/>
      <c r="C17" s="413" t="s">
        <v>231</v>
      </c>
      <c r="D17" s="401">
        <v>1</v>
      </c>
      <c r="E17" s="391"/>
      <c r="F17" s="400"/>
      <c r="G17" s="401">
        <v>1</v>
      </c>
      <c r="H17" s="397"/>
      <c r="I17" s="391"/>
      <c r="J17" s="398"/>
      <c r="K17" s="407" t="s">
        <v>264</v>
      </c>
      <c r="L17" s="414">
        <f ca="1">DATE((YEAR(TODAY())-80),MONTH($L$5),DAY($L$5))</f>
        <v>16969</v>
      </c>
      <c r="M17" s="391"/>
      <c r="N17" s="391"/>
      <c r="O17" s="397"/>
    </row>
    <row r="18" spans="1:15">
      <c r="B18" s="383"/>
      <c r="C18" s="415" t="s">
        <v>336</v>
      </c>
      <c r="D18" s="416"/>
      <c r="E18" s="391"/>
      <c r="F18" s="404" t="s">
        <v>8</v>
      </c>
      <c r="G18" s="405"/>
      <c r="H18" s="397"/>
      <c r="I18" s="391"/>
      <c r="J18" s="398"/>
      <c r="K18" s="403"/>
      <c r="L18" s="391"/>
      <c r="M18" s="391"/>
      <c r="N18" s="391"/>
      <c r="O18" s="397"/>
    </row>
    <row r="19" spans="1:15">
      <c r="B19" s="383"/>
      <c r="C19" s="415"/>
      <c r="D19" s="416"/>
      <c r="E19" s="391"/>
      <c r="F19" s="407" t="s">
        <v>9</v>
      </c>
      <c r="G19" s="408"/>
      <c r="H19" s="397"/>
      <c r="I19" s="391"/>
      <c r="J19" s="398"/>
      <c r="K19" s="391"/>
      <c r="L19" s="391"/>
      <c r="M19" s="391"/>
      <c r="N19" s="391"/>
      <c r="O19" s="397"/>
    </row>
    <row r="20" spans="1:15">
      <c r="B20" s="383"/>
      <c r="C20" s="417" t="s">
        <v>229</v>
      </c>
      <c r="D20" s="418"/>
      <c r="E20" s="391"/>
      <c r="F20" s="391"/>
      <c r="G20" s="391"/>
      <c r="H20" s="397"/>
      <c r="I20" s="391"/>
      <c r="J20" s="398"/>
      <c r="K20" s="399" t="s">
        <v>4</v>
      </c>
      <c r="L20" s="391"/>
      <c r="M20" s="391"/>
      <c r="N20" s="391"/>
      <c r="O20" s="397"/>
    </row>
    <row r="21" spans="1:15">
      <c r="B21" s="383"/>
      <c r="C21" s="391"/>
      <c r="D21" s="391"/>
      <c r="E21" s="391"/>
      <c r="F21" s="391"/>
      <c r="G21" s="391"/>
      <c r="H21" s="397"/>
      <c r="I21" s="391"/>
      <c r="J21" s="398"/>
      <c r="K21" s="400" t="s">
        <v>252</v>
      </c>
      <c r="L21" s="401" t="str">
        <f>IF(L8="","",IF(Preenchimento!$D$7="Promessa",ROUNDDOWN(L9,0),ROUNDDOWN(L8,0)))</f>
        <v/>
      </c>
      <c r="M21" s="391"/>
      <c r="N21" s="391"/>
      <c r="O21" s="397"/>
    </row>
    <row r="22" spans="1:15">
      <c r="B22" s="383"/>
      <c r="C22" s="391"/>
      <c r="D22" s="391"/>
      <c r="E22" s="391"/>
      <c r="F22" s="396" t="s">
        <v>295</v>
      </c>
      <c r="G22" s="391"/>
      <c r="H22" s="397"/>
      <c r="I22" s="391"/>
      <c r="J22" s="398"/>
      <c r="K22" s="407" t="s">
        <v>265</v>
      </c>
      <c r="L22" s="408">
        <f>IF(L21="",35,IF(L21+35&lt;=80,35,80-L21))</f>
        <v>35</v>
      </c>
      <c r="M22" s="391"/>
      <c r="N22" s="391"/>
      <c r="O22" s="397"/>
    </row>
    <row r="23" spans="1:15">
      <c r="B23" s="383"/>
      <c r="C23" s="419" t="s">
        <v>266</v>
      </c>
      <c r="D23" s="391"/>
      <c r="E23" s="391"/>
      <c r="F23" s="400"/>
      <c r="G23" s="401">
        <v>1</v>
      </c>
      <c r="H23" s="397"/>
      <c r="I23" s="391"/>
      <c r="J23" s="398"/>
      <c r="K23" s="391"/>
      <c r="L23" s="391"/>
      <c r="M23" s="391"/>
      <c r="N23" s="391"/>
      <c r="O23" s="397"/>
    </row>
    <row r="24" spans="1:15">
      <c r="B24" s="383"/>
      <c r="C24" s="400"/>
      <c r="D24" s="401">
        <v>1</v>
      </c>
      <c r="E24" s="391"/>
      <c r="F24" s="404" t="s">
        <v>284</v>
      </c>
      <c r="G24" s="405"/>
      <c r="H24" s="397"/>
      <c r="I24" s="391"/>
      <c r="J24" s="398"/>
      <c r="K24" s="391"/>
      <c r="L24" s="391"/>
      <c r="M24" s="391"/>
      <c r="N24" s="391"/>
      <c r="O24" s="397"/>
    </row>
    <row r="25" spans="1:15">
      <c r="B25" s="383"/>
      <c r="C25" s="420" t="s">
        <v>227</v>
      </c>
      <c r="D25" s="405"/>
      <c r="E25" s="391"/>
      <c r="F25" s="404" t="s">
        <v>308</v>
      </c>
      <c r="G25" s="405"/>
      <c r="H25" s="397"/>
      <c r="I25" s="391"/>
      <c r="J25" s="398"/>
      <c r="K25" s="391"/>
      <c r="L25" s="391"/>
      <c r="M25" s="391"/>
      <c r="N25" s="391"/>
      <c r="O25" s="397"/>
    </row>
    <row r="26" spans="1:15" ht="13.5" thickBot="1">
      <c r="B26" s="383"/>
      <c r="C26" s="420" t="s">
        <v>226</v>
      </c>
      <c r="D26" s="405"/>
      <c r="E26" s="505"/>
      <c r="F26" s="391" t="s">
        <v>353</v>
      </c>
      <c r="G26" s="405"/>
      <c r="H26" s="397"/>
      <c r="I26" s="391"/>
      <c r="J26" s="421"/>
      <c r="K26" s="422"/>
      <c r="L26" s="422"/>
      <c r="M26" s="422"/>
      <c r="N26" s="422"/>
      <c r="O26" s="423"/>
    </row>
    <row r="27" spans="1:15" ht="13.5" thickBot="1">
      <c r="B27" s="383"/>
      <c r="C27" s="420" t="s">
        <v>312</v>
      </c>
      <c r="D27" s="405"/>
      <c r="E27" s="505"/>
      <c r="F27" s="407" t="s">
        <v>341</v>
      </c>
      <c r="G27" s="408"/>
      <c r="H27" s="397"/>
      <c r="I27" s="391"/>
      <c r="J27" s="391"/>
      <c r="K27" s="391"/>
      <c r="L27" s="391"/>
      <c r="M27" s="391"/>
      <c r="N27" s="391"/>
      <c r="O27" s="391"/>
    </row>
    <row r="28" spans="1:15">
      <c r="B28" s="383"/>
      <c r="C28" s="420" t="s">
        <v>74</v>
      </c>
      <c r="D28" s="405"/>
      <c r="E28" s="391"/>
      <c r="F28" s="391"/>
      <c r="G28" s="391"/>
      <c r="H28" s="397"/>
      <c r="I28" s="391"/>
      <c r="J28" s="395"/>
      <c r="K28" s="393"/>
      <c r="L28" s="393"/>
      <c r="M28" s="393"/>
      <c r="N28" s="393"/>
      <c r="O28" s="394"/>
    </row>
    <row r="29" spans="1:15">
      <c r="B29" s="385"/>
      <c r="C29" s="404"/>
      <c r="D29" s="405"/>
      <c r="E29" s="391"/>
      <c r="F29" s="391"/>
      <c r="G29" s="391"/>
      <c r="H29" s="397"/>
      <c r="I29" s="391"/>
      <c r="J29" s="398"/>
      <c r="K29" s="391" t="s">
        <v>315</v>
      </c>
      <c r="L29" s="499">
        <v>1</v>
      </c>
      <c r="M29" s="391" t="str">
        <f>IF(L29=1,"Imóvel Usado","Imóvel Novo")</f>
        <v>Imóvel Usado</v>
      </c>
      <c r="N29" s="391"/>
      <c r="O29" s="397"/>
    </row>
    <row r="30" spans="1:15">
      <c r="B30" s="385"/>
      <c r="C30" s="391"/>
      <c r="D30" s="405"/>
      <c r="E30" s="391"/>
      <c r="F30" s="391"/>
      <c r="G30" s="391"/>
      <c r="H30" s="397"/>
      <c r="I30" s="391"/>
      <c r="J30" s="398"/>
      <c r="K30" s="500" t="s">
        <v>316</v>
      </c>
      <c r="L30" s="501">
        <v>73302</v>
      </c>
      <c r="M30" s="391"/>
      <c r="N30" s="391"/>
      <c r="O30" s="397"/>
    </row>
    <row r="31" spans="1:15" ht="13.5" thickBot="1">
      <c r="A31" s="384"/>
      <c r="B31" s="385"/>
      <c r="C31" s="407"/>
      <c r="D31" s="408"/>
      <c r="E31" s="391"/>
      <c r="F31" s="391"/>
      <c r="G31" s="391"/>
      <c r="H31" s="397"/>
      <c r="I31" s="391"/>
      <c r="J31" s="421"/>
      <c r="K31" s="422"/>
      <c r="L31" s="422"/>
      <c r="M31" s="422"/>
      <c r="N31" s="422"/>
      <c r="O31" s="423"/>
    </row>
    <row r="32" spans="1:15">
      <c r="A32" s="384"/>
      <c r="C32" s="391"/>
      <c r="D32" s="391"/>
      <c r="E32" s="391"/>
      <c r="F32" s="391"/>
      <c r="G32" s="391"/>
      <c r="H32" s="397"/>
      <c r="I32" s="391"/>
      <c r="J32" s="391"/>
      <c r="K32" s="391"/>
      <c r="L32" s="391"/>
      <c r="M32" s="391"/>
      <c r="N32" s="391"/>
      <c r="O32" s="391"/>
    </row>
    <row r="33" spans="1:15" ht="13.5" thickBot="1">
      <c r="A33" s="384"/>
      <c r="B33" s="386"/>
      <c r="C33" s="422"/>
      <c r="D33" s="422"/>
      <c r="E33" s="422"/>
      <c r="F33" s="422"/>
      <c r="G33" s="422"/>
      <c r="H33" s="423"/>
      <c r="I33" s="391"/>
      <c r="J33" s="391"/>
      <c r="K33" s="391"/>
      <c r="L33" s="391"/>
      <c r="M33" s="391"/>
      <c r="N33" s="391"/>
      <c r="O33" s="391"/>
    </row>
    <row r="34" spans="1:15">
      <c r="C34" s="391"/>
      <c r="D34" s="391"/>
      <c r="E34" s="391"/>
      <c r="F34" s="391"/>
      <c r="G34" s="391"/>
      <c r="H34" s="391"/>
      <c r="I34" s="391"/>
      <c r="J34" s="391"/>
      <c r="K34" s="391"/>
      <c r="L34" s="391"/>
      <c r="M34" s="391"/>
      <c r="N34" s="391"/>
      <c r="O34" s="391"/>
    </row>
    <row r="35" spans="1:15" ht="15.75" thickBot="1">
      <c r="B35" s="380" t="s">
        <v>267</v>
      </c>
      <c r="C35" s="391"/>
      <c r="D35" s="391"/>
      <c r="E35" s="391"/>
      <c r="F35" s="391"/>
      <c r="G35" s="391"/>
      <c r="H35" s="391"/>
      <c r="I35" s="391"/>
      <c r="J35" s="380" t="s">
        <v>298</v>
      </c>
      <c r="K35" s="391"/>
      <c r="L35" s="391"/>
      <c r="M35" s="391"/>
      <c r="N35" s="391"/>
      <c r="O35" s="391"/>
    </row>
    <row r="36" spans="1:15">
      <c r="B36" s="382"/>
      <c r="C36" s="393"/>
      <c r="D36" s="393"/>
      <c r="E36" s="394"/>
      <c r="F36" s="391"/>
      <c r="G36" s="391"/>
      <c r="H36" s="391"/>
      <c r="I36" s="391"/>
      <c r="J36" s="382"/>
      <c r="K36" s="393"/>
      <c r="L36" s="393"/>
      <c r="M36" s="394"/>
      <c r="N36" s="391"/>
      <c r="O36" s="391"/>
    </row>
    <row r="37" spans="1:15">
      <c r="B37" s="383"/>
      <c r="C37" s="399" t="s">
        <v>268</v>
      </c>
      <c r="D37" s="391"/>
      <c r="E37" s="397"/>
      <c r="F37" s="391"/>
      <c r="G37" s="391"/>
      <c r="H37" s="391"/>
      <c r="I37" s="391"/>
      <c r="J37" s="383"/>
      <c r="K37" s="391" t="s">
        <v>300</v>
      </c>
      <c r="L37" s="482">
        <v>0.12</v>
      </c>
      <c r="M37" s="397"/>
      <c r="N37" s="391"/>
      <c r="O37" s="391"/>
    </row>
    <row r="38" spans="1:15">
      <c r="B38" s="383"/>
      <c r="C38" s="424" t="s">
        <v>89</v>
      </c>
      <c r="D38" s="425">
        <v>3300</v>
      </c>
      <c r="E38" s="426"/>
      <c r="F38" s="391"/>
      <c r="G38" s="391"/>
      <c r="H38" s="391"/>
      <c r="I38" s="391"/>
      <c r="J38" s="383"/>
      <c r="K38" s="391"/>
      <c r="L38" s="481"/>
      <c r="M38" s="426"/>
      <c r="N38" s="391"/>
      <c r="O38" s="391"/>
    </row>
    <row r="39" spans="1:15">
      <c r="B39" s="383"/>
      <c r="C39" s="391"/>
      <c r="D39" s="391"/>
      <c r="E39" s="397"/>
      <c r="F39" s="391"/>
      <c r="G39" s="391"/>
      <c r="H39" s="391"/>
      <c r="I39" s="397"/>
      <c r="J39" s="391"/>
      <c r="K39" s="399" t="s">
        <v>301</v>
      </c>
      <c r="L39" s="391"/>
      <c r="M39" s="397"/>
      <c r="N39" s="391"/>
      <c r="O39" s="391"/>
    </row>
    <row r="40" spans="1:15">
      <c r="B40" s="383"/>
      <c r="C40" s="399" t="s">
        <v>269</v>
      </c>
      <c r="D40" s="391"/>
      <c r="E40" s="397"/>
      <c r="F40" s="391"/>
      <c r="G40" s="391"/>
      <c r="H40" s="391"/>
      <c r="I40" s="397"/>
      <c r="J40" s="391"/>
      <c r="K40" s="400" t="s">
        <v>302</v>
      </c>
      <c r="L40" s="401"/>
      <c r="M40" s="397"/>
      <c r="N40" s="391"/>
      <c r="O40" s="391"/>
    </row>
    <row r="41" spans="1:15">
      <c r="B41" s="383"/>
      <c r="C41" s="400" t="s">
        <v>270</v>
      </c>
      <c r="D41" s="427">
        <v>1000</v>
      </c>
      <c r="E41" s="426"/>
      <c r="F41" s="391"/>
      <c r="G41" s="391"/>
      <c r="H41" s="391"/>
      <c r="I41" s="397"/>
      <c r="J41" s="391"/>
      <c r="K41" s="404" t="s">
        <v>303</v>
      </c>
      <c r="L41" s="405">
        <f>ROUNDUP(L40,0)</f>
        <v>0</v>
      </c>
      <c r="M41" s="397"/>
      <c r="N41" s="391"/>
      <c r="O41" s="391"/>
    </row>
    <row r="42" spans="1:15">
      <c r="B42" s="383"/>
      <c r="C42" s="404" t="s">
        <v>271</v>
      </c>
      <c r="D42" s="428"/>
      <c r="E42" s="426"/>
      <c r="F42" s="391"/>
      <c r="G42" s="391"/>
      <c r="H42" s="391"/>
      <c r="I42" s="397"/>
      <c r="J42" s="391"/>
      <c r="K42" s="407" t="s">
        <v>304</v>
      </c>
      <c r="L42" s="408">
        <f>L41*12</f>
        <v>0</v>
      </c>
      <c r="M42" s="397"/>
      <c r="N42" s="391"/>
      <c r="O42" s="391"/>
    </row>
    <row r="43" spans="1:15">
      <c r="B43" s="383"/>
      <c r="C43" s="404" t="s">
        <v>272</v>
      </c>
      <c r="D43" s="428"/>
      <c r="E43" s="426"/>
      <c r="F43" s="391"/>
      <c r="G43" s="391"/>
      <c r="H43" s="391"/>
      <c r="I43" s="397"/>
      <c r="J43" s="391"/>
      <c r="K43" s="391"/>
      <c r="L43" s="391"/>
      <c r="M43" s="397"/>
      <c r="N43" s="391"/>
      <c r="O43" s="391"/>
    </row>
    <row r="44" spans="1:15">
      <c r="B44" s="383"/>
      <c r="C44" s="407" t="s">
        <v>273</v>
      </c>
      <c r="D44" s="429" t="s">
        <v>281</v>
      </c>
      <c r="E44" s="426"/>
      <c r="F44" s="391"/>
      <c r="G44" s="391"/>
      <c r="H44" s="391"/>
      <c r="I44" s="397"/>
      <c r="J44" s="391"/>
      <c r="K44" s="424" t="s">
        <v>305</v>
      </c>
      <c r="L44" s="486"/>
      <c r="M44" s="397"/>
      <c r="N44" s="391"/>
      <c r="O44" s="391"/>
    </row>
    <row r="45" spans="1:15">
      <c r="B45" s="383"/>
      <c r="C45" s="391"/>
      <c r="D45" s="391"/>
      <c r="E45" s="397"/>
      <c r="F45" s="391"/>
      <c r="G45" s="391"/>
      <c r="H45" s="391"/>
      <c r="I45" s="397"/>
      <c r="J45" s="391"/>
      <c r="K45" s="391"/>
      <c r="L45" s="391"/>
      <c r="M45" s="397"/>
      <c r="N45" s="391"/>
      <c r="O45" s="391"/>
    </row>
    <row r="46" spans="1:15" ht="13.5" thickBot="1">
      <c r="B46" s="386"/>
      <c r="C46" s="422"/>
      <c r="D46" s="422"/>
      <c r="E46" s="423"/>
      <c r="F46" s="391"/>
      <c r="G46" s="391"/>
      <c r="H46" s="391"/>
      <c r="I46" s="397"/>
      <c r="J46" s="421"/>
      <c r="K46" s="422"/>
      <c r="L46" s="422"/>
      <c r="M46" s="423"/>
      <c r="N46" s="391"/>
      <c r="O46" s="391"/>
    </row>
    <row r="49" spans="1:13" ht="15.75" thickBot="1">
      <c r="B49" s="380" t="s">
        <v>326</v>
      </c>
      <c r="J49" s="380" t="s">
        <v>354</v>
      </c>
      <c r="K49" s="391"/>
      <c r="L49" s="391"/>
      <c r="M49" s="391"/>
    </row>
    <row r="50" spans="1:13">
      <c r="B50" s="382"/>
      <c r="C50" s="535"/>
      <c r="D50" s="535"/>
      <c r="E50" s="536"/>
      <c r="J50" s="382"/>
      <c r="K50" s="393"/>
      <c r="L50" s="393"/>
      <c r="M50" s="394"/>
    </row>
    <row r="51" spans="1:13">
      <c r="B51" s="383"/>
      <c r="C51" s="381" t="s">
        <v>327</v>
      </c>
      <c r="D51" s="257" t="str">
        <f>IF(Apoio!$D$5=1,"",IF(Apoio!$D$5=2,Preenchimento!$D$29*12,IF(Apoio!$D$5=3,Preenchimento!$D$29,"")))</f>
        <v/>
      </c>
      <c r="E51" s="384"/>
      <c r="J51" s="383"/>
      <c r="K51" s="391" t="s">
        <v>355</v>
      </c>
      <c r="L51" s="482">
        <v>0.5</v>
      </c>
      <c r="M51" s="397"/>
    </row>
    <row r="52" spans="1:13">
      <c r="B52" s="383"/>
      <c r="C52" s="381" t="s">
        <v>328</v>
      </c>
      <c r="D52" s="257">
        <f>IF(Apoio!$D$51&lt;=Apoio!$D$54,1,IF(AND(Apoio!$D$51&gt;Apoio!D54,Apoio!$D$51&lt;=Apoio!D55),2,IF(AND(Apoio!$D$51&gt;Apoio!$D$55,Apoio!$D$51&lt;=Apoio!$D$56),3,IF(AND(Apoio!$D$51&gt;Apoio!$D$56,Apoio!$D$51&lt;=Apoio!$D$57),4,IF(Apoio!$D$51&gt;Apoio!D57,5,"")))))</f>
        <v>1</v>
      </c>
      <c r="E52" s="384"/>
      <c r="J52" s="383"/>
      <c r="K52" s="391" t="s">
        <v>359</v>
      </c>
      <c r="L52" s="588" t="e">
        <f>Preenchimento!D25/Preenchimento!D24</f>
        <v>#DIV/0!</v>
      </c>
      <c r="M52" s="426"/>
    </row>
    <row r="53" spans="1:13">
      <c r="A53" s="384"/>
      <c r="D53" s="257"/>
      <c r="E53" s="384"/>
      <c r="J53" s="398"/>
      <c r="K53" s="399" t="s">
        <v>356</v>
      </c>
      <c r="L53" s="391"/>
      <c r="M53" s="397"/>
    </row>
    <row r="54" spans="1:13">
      <c r="A54" s="384"/>
      <c r="C54" s="381" t="s">
        <v>329</v>
      </c>
      <c r="D54" s="257" t="str">
        <f>IF(Apoio!$G$11=1,"",IF(Apoio!$G$11=2,80,IF(Apoio!$G$11=3,76,"")))</f>
        <v/>
      </c>
      <c r="E54" s="384"/>
      <c r="J54" s="398"/>
      <c r="K54" s="400" t="s">
        <v>358</v>
      </c>
      <c r="L54" s="603">
        <v>8.9899999999999994E-2</v>
      </c>
      <c r="M54" s="397"/>
    </row>
    <row r="55" spans="1:13">
      <c r="A55" s="384"/>
      <c r="C55" s="381" t="s">
        <v>330</v>
      </c>
      <c r="D55" s="257" t="str">
        <f>IF(Apoio!$G$11=1,"",IF(Apoio!$G$11=2,189,IF(Apoio!$G$11=3,189,"")))</f>
        <v/>
      </c>
      <c r="E55" s="384"/>
      <c r="G55" s="257"/>
      <c r="J55" s="398"/>
      <c r="K55" s="407" t="s">
        <v>357</v>
      </c>
      <c r="L55" s="604">
        <v>8.9899999999999994E-2</v>
      </c>
      <c r="M55" s="397"/>
    </row>
    <row r="56" spans="1:13" ht="13.5" thickBot="1">
      <c r="A56" s="384"/>
      <c r="C56" s="381" t="s">
        <v>331</v>
      </c>
      <c r="D56" s="257" t="str">
        <f>IF(Apoio!$G$11=1,"",IF(Apoio!$G$11=2,294,IF(Apoio!$G$11=3,301,"")))</f>
        <v/>
      </c>
      <c r="E56" s="384"/>
      <c r="G56" s="257"/>
      <c r="J56" s="421"/>
      <c r="K56" s="422"/>
      <c r="L56" s="422"/>
      <c r="M56" s="423"/>
    </row>
    <row r="57" spans="1:13">
      <c r="A57" s="384"/>
      <c r="C57" s="381" t="s">
        <v>332</v>
      </c>
      <c r="D57" s="257" t="str">
        <f>IF(Apoio!$G$11=1,"",IF(Apoio!$G$11=2,400,IF(Apoio!$G$11=3,420,"")))</f>
        <v/>
      </c>
      <c r="E57" s="384"/>
      <c r="G57" s="257"/>
    </row>
    <row r="58" spans="1:13">
      <c r="A58" s="384"/>
      <c r="C58" s="381" t="s">
        <v>333</v>
      </c>
      <c r="D58" s="257" t="str">
        <f>IF(Apoio!$G$11=1,"",IF(Apoio!$G$11=2,420,IF(Apoio!$G$11=3,"","")))</f>
        <v/>
      </c>
      <c r="E58" s="384"/>
      <c r="G58" s="257"/>
    </row>
    <row r="59" spans="1:13">
      <c r="A59" s="384"/>
      <c r="E59" s="384"/>
    </row>
    <row r="60" spans="1:13" ht="13.5" thickBot="1">
      <c r="A60" s="384"/>
      <c r="B60" s="386"/>
      <c r="C60" s="537"/>
      <c r="D60" s="537"/>
      <c r="E60" s="538"/>
    </row>
  </sheetData>
  <sheetProtection algorithmName="SHA-512" hashValue="oUValfW+cMdPcVp9p+KWGWfSQEDzDOsQHb1lmNonAgv14Zo/A90Pv9Jm92MdMwoZHIvVpA+q5SCofHbdIJkMSg==" saltValue="ejX3YpXt9HJ+6qQOKbkNPg==" spinCount="100000" sheet="1" objects="1" scenarios="1" selectLockedCells="1"/>
  <mergeCells count="12">
    <mergeCell ref="S9:Z9"/>
    <mergeCell ref="S10:Z10"/>
    <mergeCell ref="C4:D4"/>
    <mergeCell ref="C10:D10"/>
    <mergeCell ref="C16:D16"/>
    <mergeCell ref="F16:G16"/>
    <mergeCell ref="S8:Z8"/>
    <mergeCell ref="S3:Z3"/>
    <mergeCell ref="S4:Z4"/>
    <mergeCell ref="S5:Z5"/>
    <mergeCell ref="S6:Z6"/>
    <mergeCell ref="S7:Z7"/>
  </mergeCells>
  <conditionalFormatting sqref="G38:G48">
    <cfRule type="expression" priority="1" stopIfTrue="1">
      <formula>OR($D$5=1,$D$11=1,$D$17=1,$D$24=1,OR($G$5=1,$G$23=1),$G$11=1,$G$17=1)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Condições</vt:lpstr>
      <vt:lpstr>Caract. Prods</vt:lpstr>
      <vt:lpstr>Fixa</vt:lpstr>
      <vt:lpstr>SAC</vt:lpstr>
      <vt:lpstr>SAC Padrão_Sem Bonif</vt:lpstr>
      <vt:lpstr>Preenchimento</vt:lpstr>
      <vt:lpstr>Apoio</vt:lpstr>
      <vt:lpstr>abc</vt:lpstr>
      <vt:lpstr>Condições!Area_de_impressao</vt:lpstr>
      <vt:lpstr>Fixa!Area_de_impressao</vt:lpstr>
      <vt:lpstr>Preenchimento!Area_de_impressao</vt:lpstr>
      <vt:lpstr>SAC!Area_de_impressao</vt:lpstr>
      <vt:lpstr>'SAC Padrão_Sem Bonif'!Area_de_impressao</vt:lpstr>
      <vt:lpstr>Imovel</vt:lpstr>
      <vt:lpstr>Vlr_Imovel</vt:lpstr>
    </vt:vector>
  </TitlesOfParts>
  <Company>Santander Banespa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t606430</dc:creator>
  <cp:lastModifiedBy>Renato Fontinhas Assessoria</cp:lastModifiedBy>
  <cp:lastPrinted>2025-09-29T11:53:58Z</cp:lastPrinted>
  <dcterms:created xsi:type="dcterms:W3CDTF">2006-12-15T19:59:57Z</dcterms:created>
  <dcterms:modified xsi:type="dcterms:W3CDTF">2026-06-16T20:36:23Z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41b88ec2-a72b-4523-9e84-0458a1764731_Enabled">
    <vt:lpwstr>true</vt:lpwstr>
  </property>
  <property fmtid="{D5CDD505-2E9C-101B-9397-08002B2CF9AE}" pid="4" name="MSIP_Label_41b88ec2-a72b-4523-9e84-0458a1764731_SetDate">
    <vt:lpwstr>2021-06-09T11:29:41Z</vt:lpwstr>
  </property>
  <property fmtid="{D5CDD505-2E9C-101B-9397-08002B2CF9AE}" pid="5" name="MSIP_Label_41b88ec2-a72b-4523-9e84-0458a1764731_Method">
    <vt:lpwstr>Privileged</vt:lpwstr>
  </property>
  <property fmtid="{D5CDD505-2E9C-101B-9397-08002B2CF9AE}" pid="6" name="MSIP_Label_41b88ec2-a72b-4523-9e84-0458a1764731_Name">
    <vt:lpwstr>Public O365</vt:lpwstr>
  </property>
  <property fmtid="{D5CDD505-2E9C-101B-9397-08002B2CF9AE}" pid="7" name="MSIP_Label_41b88ec2-a72b-4523-9e84-0458a1764731_SiteId">
    <vt:lpwstr>35595a02-4d6d-44ac-99e1-f9ab4cd872db</vt:lpwstr>
  </property>
  <property fmtid="{D5CDD505-2E9C-101B-9397-08002B2CF9AE}" pid="8" name="MSIP_Label_41b88ec2-a72b-4523-9e84-0458a1764731_ActionId">
    <vt:lpwstr>bfed770a-9786-4873-8563-aad9c51d2f19</vt:lpwstr>
  </property>
  <property fmtid="{D5CDD505-2E9C-101B-9397-08002B2CF9AE}" pid="9" name="MSIP_Label_41b88ec2-a72b-4523-9e84-0458a1764731_ContentBits">
    <vt:lpwstr>0</vt:lpwstr>
  </property>
</Properties>
</file>