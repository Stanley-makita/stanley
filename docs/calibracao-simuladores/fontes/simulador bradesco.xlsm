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bancobradesco-my.sharepoint.com/personal/emanuelle_virgilio_bradesco_com_br/Documents/Documentos/"/>
    </mc:Choice>
  </mc:AlternateContent>
  <xr:revisionPtr revIDLastSave="0" documentId="8_{4FDCF91A-60F6-4781-B1EC-FCE06E8EAF20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Simulador" sheetId="1" state="hidden" r:id="rId1"/>
    <sheet name="Parâmetros" sheetId="2" state="hidden" r:id="rId2"/>
    <sheet name="Simulador Bradesco" sheetId="4" r:id="rId3"/>
    <sheet name="Base de Dados" sheetId="3" state="hidden" r:id="rId4"/>
  </sheets>
  <definedNames>
    <definedName name="_xlnm._FilterDatabase" localSheetId="3" hidden="1">'Base de Dados'!$L$1:$AA$422</definedName>
    <definedName name="_xleta.IF" hidden="1" xlm="1">#NAME?</definedName>
    <definedName name="_xleta.SWITCH" hidden="1" xlm="1">#NAME?</definedName>
    <definedName name="_xlnm.Print_Area" localSheetId="0">Simulador!$A:$R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9" i="3" l="1"/>
  <c r="H23" i="2"/>
  <c r="I23" i="2" s="1"/>
  <c r="H24" i="2"/>
  <c r="I24" i="2" s="1"/>
  <c r="H25" i="2"/>
  <c r="I25" i="2" s="1"/>
  <c r="H26" i="2"/>
  <c r="I26" i="2" s="1"/>
  <c r="H22" i="2"/>
  <c r="I22" i="2" s="1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W71" i="3"/>
  <c r="W70" i="3"/>
  <c r="W69" i="3"/>
  <c r="W68" i="3"/>
  <c r="W67" i="3"/>
  <c r="W66" i="3"/>
  <c r="W65" i="3"/>
  <c r="W64" i="3"/>
  <c r="W63" i="3"/>
  <c r="W62" i="3"/>
  <c r="W61" i="3"/>
  <c r="W60" i="3"/>
  <c r="W59" i="3"/>
  <c r="W58" i="3"/>
  <c r="W57" i="3"/>
  <c r="W56" i="3"/>
  <c r="W55" i="3"/>
  <c r="W54" i="3"/>
  <c r="W53" i="3"/>
  <c r="W52" i="3"/>
  <c r="W51" i="3"/>
  <c r="W50" i="3"/>
  <c r="W49" i="3"/>
  <c r="W48" i="3"/>
  <c r="W47" i="3"/>
  <c r="W46" i="3"/>
  <c r="W45" i="3"/>
  <c r="W44" i="3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S71" i="3"/>
  <c r="S70" i="3"/>
  <c r="S69" i="3"/>
  <c r="S68" i="3"/>
  <c r="S67" i="3"/>
  <c r="S66" i="3"/>
  <c r="S65" i="3"/>
  <c r="S64" i="3"/>
  <c r="S63" i="3"/>
  <c r="S62" i="3"/>
  <c r="S61" i="3"/>
  <c r="S60" i="3"/>
  <c r="S59" i="3"/>
  <c r="S58" i="3"/>
  <c r="S57" i="3"/>
  <c r="S56" i="3"/>
  <c r="S55" i="3"/>
  <c r="S54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O68" i="3"/>
  <c r="O69" i="3"/>
  <c r="O70" i="3"/>
  <c r="O71" i="3"/>
  <c r="O67" i="3"/>
  <c r="O63" i="3"/>
  <c r="O64" i="3"/>
  <c r="O65" i="3"/>
  <c r="O66" i="3"/>
  <c r="O62" i="3"/>
  <c r="O58" i="3"/>
  <c r="O59" i="3"/>
  <c r="O60" i="3"/>
  <c r="O61" i="3"/>
  <c r="O57" i="3"/>
  <c r="O53" i="3"/>
  <c r="O54" i="3"/>
  <c r="O55" i="3"/>
  <c r="O56" i="3"/>
  <c r="O52" i="3"/>
  <c r="O48" i="3"/>
  <c r="O49" i="3"/>
  <c r="O50" i="3"/>
  <c r="O51" i="3"/>
  <c r="O47" i="3"/>
  <c r="O37" i="3"/>
  <c r="O43" i="3"/>
  <c r="O44" i="3"/>
  <c r="O45" i="3"/>
  <c r="O46" i="3"/>
  <c r="O42" i="3"/>
  <c r="O32" i="3"/>
  <c r="O38" i="3"/>
  <c r="O39" i="3"/>
  <c r="O40" i="3"/>
  <c r="O41" i="3"/>
  <c r="O27" i="3"/>
  <c r="O33" i="3"/>
  <c r="O34" i="3"/>
  <c r="O35" i="3"/>
  <c r="O36" i="3"/>
  <c r="O22" i="3"/>
  <c r="O28" i="3"/>
  <c r="O29" i="3"/>
  <c r="O30" i="3"/>
  <c r="O31" i="3"/>
  <c r="O23" i="3"/>
  <c r="O24" i="3"/>
  <c r="O25" i="3"/>
  <c r="O26" i="3"/>
  <c r="N69" i="3"/>
  <c r="N70" i="3"/>
  <c r="N71" i="3"/>
  <c r="N67" i="3"/>
  <c r="N62" i="3"/>
  <c r="N64" i="3"/>
  <c r="N65" i="3"/>
  <c r="N66" i="3"/>
  <c r="N52" i="3"/>
  <c r="N59" i="3"/>
  <c r="N60" i="3"/>
  <c r="N61" i="3"/>
  <c r="N57" i="3"/>
  <c r="N54" i="3"/>
  <c r="N55" i="3"/>
  <c r="N56" i="3"/>
  <c r="N42" i="3"/>
  <c r="N48" i="3"/>
  <c r="N49" i="3"/>
  <c r="N51" i="3"/>
  <c r="N47" i="3"/>
  <c r="N43" i="3"/>
  <c r="N44" i="3"/>
  <c r="N46" i="3"/>
  <c r="N32" i="3"/>
  <c r="N38" i="3"/>
  <c r="N39" i="3"/>
  <c r="N41" i="3"/>
  <c r="N37" i="3"/>
  <c r="N33" i="3"/>
  <c r="N34" i="3"/>
  <c r="N36" i="3"/>
  <c r="N22" i="3"/>
  <c r="N29" i="3"/>
  <c r="N30" i="3"/>
  <c r="N31" i="3"/>
  <c r="N27" i="3"/>
  <c r="N26" i="3"/>
  <c r="N24" i="3"/>
  <c r="N25" i="3"/>
  <c r="V2" i="2"/>
  <c r="I18" i="4"/>
  <c r="P19" i="3"/>
  <c r="P17" i="3"/>
  <c r="P18" i="3"/>
  <c r="P16" i="3"/>
  <c r="C8" i="1" l="1"/>
  <c r="A32" i="1" s="1"/>
  <c r="B21" i="4"/>
  <c r="G20" i="1"/>
  <c r="G17" i="1"/>
  <c r="W8" i="3" l="1"/>
  <c r="T8" i="3"/>
  <c r="S8" i="3"/>
  <c r="R8" i="3"/>
  <c r="P8" i="3"/>
  <c r="O8" i="3"/>
  <c r="N8" i="3"/>
  <c r="W7" i="3"/>
  <c r="T7" i="3"/>
  <c r="S7" i="3"/>
  <c r="R7" i="3"/>
  <c r="P7" i="3"/>
  <c r="O7" i="3"/>
  <c r="N7" i="3"/>
  <c r="N3" i="3"/>
  <c r="W4" i="3"/>
  <c r="T4" i="3"/>
  <c r="S4" i="3"/>
  <c r="R4" i="3"/>
  <c r="P4" i="3"/>
  <c r="O4" i="3"/>
  <c r="N4" i="3"/>
  <c r="W3" i="3"/>
  <c r="T3" i="3"/>
  <c r="S3" i="3"/>
  <c r="R3" i="3"/>
  <c r="P3" i="3"/>
  <c r="O3" i="3"/>
  <c r="W2" i="3"/>
  <c r="T2" i="3"/>
  <c r="S2" i="3"/>
  <c r="R2" i="3"/>
  <c r="P2" i="3"/>
  <c r="O2" i="3"/>
  <c r="E6" i="1"/>
  <c r="O11" i="4"/>
  <c r="L13" i="4"/>
  <c r="O14" i="4" s="1"/>
  <c r="L10" i="4"/>
  <c r="O10" i="4" s="1"/>
  <c r="H23" i="4"/>
  <c r="G10" i="4"/>
  <c r="K26" i="1"/>
  <c r="K25" i="1" s="1"/>
  <c r="I4" i="2"/>
  <c r="H4" i="2"/>
  <c r="Y2" i="3" s="1"/>
  <c r="G14" i="1"/>
  <c r="B1" i="3" s="1"/>
  <c r="C10" i="1"/>
  <c r="C26" i="1" l="1"/>
  <c r="Y10" i="3"/>
  <c r="S8" i="1"/>
  <c r="Y21" i="3"/>
  <c r="Y5" i="3"/>
  <c r="Y6" i="3"/>
  <c r="Y9" i="3"/>
  <c r="Y12" i="3"/>
  <c r="Y13" i="3"/>
  <c r="Y15" i="3"/>
  <c r="Y20" i="3"/>
  <c r="F24" i="2"/>
  <c r="X2" i="2" l="1"/>
  <c r="T37" i="4"/>
  <c r="R37" i="4"/>
  <c r="P37" i="4"/>
  <c r="N37" i="4"/>
  <c r="L37" i="4"/>
  <c r="J37" i="4"/>
  <c r="H37" i="4"/>
  <c r="F37" i="4"/>
  <c r="D37" i="4"/>
  <c r="B37" i="4"/>
  <c r="M11" i="4"/>
  <c r="C20" i="1"/>
  <c r="C17" i="1"/>
  <c r="C14" i="1"/>
  <c r="Z2" i="2" s="1"/>
  <c r="G11" i="1"/>
  <c r="G10" i="1"/>
  <c r="Y2" i="2" l="1"/>
  <c r="K24" i="1"/>
  <c r="N2" i="2"/>
  <c r="N3" i="2" s="1"/>
  <c r="W2" i="2" l="1"/>
  <c r="U2" i="2"/>
  <c r="T3" i="2" s="1"/>
  <c r="T2" i="2" s="1"/>
  <c r="O23" i="1" s="1"/>
  <c r="L15" i="4"/>
  <c r="U31" i="1"/>
  <c r="N15" i="3"/>
  <c r="N14" i="3"/>
  <c r="N13" i="3"/>
  <c r="N12" i="3"/>
  <c r="N11" i="3"/>
  <c r="N10" i="3"/>
  <c r="N6" i="3"/>
  <c r="N5" i="3"/>
  <c r="M27" i="1"/>
  <c r="W15" i="3"/>
  <c r="W12" i="3"/>
  <c r="W14" i="3"/>
  <c r="W11" i="3"/>
  <c r="W13" i="3"/>
  <c r="W10" i="3"/>
  <c r="W9" i="3"/>
  <c r="W5" i="3"/>
  <c r="W6" i="3"/>
  <c r="T5" i="3"/>
  <c r="T6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S21" i="3"/>
  <c r="S11" i="3"/>
  <c r="S20" i="3"/>
  <c r="S14" i="3"/>
  <c r="S15" i="3"/>
  <c r="S13" i="3"/>
  <c r="S12" i="3"/>
  <c r="S10" i="3"/>
  <c r="S9" i="3"/>
  <c r="S6" i="3"/>
  <c r="S5" i="3"/>
  <c r="N20" i="3"/>
  <c r="R12" i="3" l="1"/>
  <c r="R13" i="3"/>
  <c r="R21" i="3"/>
  <c r="R20" i="3"/>
  <c r="R15" i="3"/>
  <c r="R14" i="3"/>
  <c r="R5" i="3"/>
  <c r="R9" i="3"/>
  <c r="R11" i="3"/>
  <c r="R10" i="3"/>
  <c r="R19" i="3"/>
  <c r="R18" i="3"/>
  <c r="R17" i="3"/>
  <c r="R16" i="3"/>
  <c r="R6" i="3"/>
  <c r="N21" i="3" l="1"/>
  <c r="N19" i="3"/>
  <c r="N18" i="3"/>
  <c r="N17" i="3"/>
  <c r="N16" i="3"/>
  <c r="Q2" i="3"/>
  <c r="C23" i="2"/>
  <c r="H27" i="4" s="1"/>
  <c r="J2" i="2" l="1"/>
  <c r="F23" i="2"/>
  <c r="W21" i="3"/>
  <c r="W16" i="3"/>
  <c r="W17" i="3"/>
  <c r="W18" i="3"/>
  <c r="W19" i="3"/>
  <c r="W20" i="3"/>
  <c r="E9" i="1"/>
  <c r="O19" i="1" l="1"/>
  <c r="Q2" i="2"/>
  <c r="S23" i="1" s="1"/>
  <c r="K14" i="1"/>
  <c r="P2" i="2"/>
  <c r="S19" i="1" s="1"/>
  <c r="S25" i="1"/>
  <c r="O21" i="1"/>
  <c r="L2" i="2"/>
  <c r="K2" i="2"/>
  <c r="O27" i="1"/>
  <c r="O17" i="1"/>
  <c r="E11" i="1"/>
  <c r="U32" i="1"/>
  <c r="O10" i="1"/>
  <c r="J2" i="3"/>
  <c r="P15" i="3"/>
  <c r="P14" i="3"/>
  <c r="P13" i="3"/>
  <c r="P12" i="3"/>
  <c r="P11" i="3"/>
  <c r="P10" i="3"/>
  <c r="P9" i="3"/>
  <c r="P6" i="3"/>
  <c r="P5" i="3"/>
  <c r="O9" i="3"/>
  <c r="O6" i="3"/>
  <c r="O5" i="3"/>
  <c r="I2" i="3"/>
  <c r="H2" i="3"/>
  <c r="E2" i="3" s="1"/>
  <c r="F2" i="3" s="1"/>
  <c r="G2" i="3" s="1"/>
  <c r="F2" i="2"/>
  <c r="R2" i="2" s="1"/>
  <c r="D22" i="4" s="1"/>
  <c r="G2" i="2"/>
  <c r="S21" i="1" l="1"/>
  <c r="O11" i="1"/>
  <c r="M2" i="3"/>
  <c r="Q19" i="4"/>
  <c r="O15" i="4"/>
  <c r="P14" i="4"/>
  <c r="J22" i="4"/>
  <c r="S13" i="1"/>
  <c r="I24" i="4"/>
  <c r="O16" i="1"/>
  <c r="C23" i="1" l="1"/>
  <c r="J18" i="4" s="1"/>
  <c r="K23" i="1"/>
  <c r="I26" i="1" s="1"/>
  <c r="J20" i="4" s="1"/>
  <c r="H18" i="4" s="1"/>
  <c r="K20" i="1"/>
  <c r="K21" i="1" s="1"/>
  <c r="G26" i="1" s="1"/>
  <c r="P16" i="1"/>
  <c r="K22" i="4"/>
  <c r="D25" i="4"/>
  <c r="E26" i="4" s="1"/>
  <c r="L2" i="3"/>
  <c r="E16" i="1"/>
  <c r="G23" i="1" l="1"/>
  <c r="H23" i="1" s="1"/>
  <c r="G25" i="1"/>
  <c r="R20" i="4"/>
  <c r="D26" i="4"/>
  <c r="Q27" i="1"/>
  <c r="K3" i="2"/>
  <c r="A19" i="1" l="1"/>
  <c r="U33" i="1"/>
  <c r="J23" i="4"/>
  <c r="K5" i="1" a="1"/>
  <c r="K5" i="1" s="1"/>
  <c r="K10" i="1" s="1" a="1"/>
  <c r="K10" i="1" s="1"/>
  <c r="V33" i="1" l="1"/>
  <c r="W33" i="1" s="1"/>
  <c r="K6" i="1"/>
  <c r="U10" i="1" l="1"/>
  <c r="I9" i="1"/>
  <c r="K11" i="1"/>
  <c r="K17" i="1" s="1"/>
  <c r="K19" i="1"/>
  <c r="S10" i="1" l="1"/>
  <c r="S32" i="1" s="1"/>
  <c r="M2" i="2"/>
  <c r="L17" i="1"/>
  <c r="L18" i="1"/>
  <c r="O4" i="2"/>
  <c r="G22" i="4" l="1"/>
  <c r="C33" i="1"/>
  <c r="D2" i="3" l="1"/>
  <c r="A33" i="1"/>
  <c r="M33" i="1" s="1"/>
  <c r="E33" i="1"/>
  <c r="O33" i="1" s="1"/>
  <c r="S33" i="1"/>
  <c r="T38" i="4" s="1"/>
  <c r="D38" i="4"/>
  <c r="I33" i="1"/>
  <c r="J38" i="4" s="1"/>
  <c r="G33" i="1"/>
  <c r="H38" i="4" s="1"/>
  <c r="C34" i="1"/>
  <c r="A34" i="1" l="1"/>
  <c r="H3" i="3" s="1"/>
  <c r="E3" i="3" s="1"/>
  <c r="F3" i="3" s="1"/>
  <c r="G3" i="3" s="1"/>
  <c r="E34" i="1"/>
  <c r="P38" i="4"/>
  <c r="D34" i="1"/>
  <c r="D3" i="3"/>
  <c r="B38" i="4"/>
  <c r="C35" i="1"/>
  <c r="D39" i="4"/>
  <c r="L3" i="3"/>
  <c r="O34" i="1" l="1"/>
  <c r="P39" i="4" s="1"/>
  <c r="A35" i="1"/>
  <c r="E35" i="1"/>
  <c r="B34" i="1"/>
  <c r="D35" i="1"/>
  <c r="U34" i="1"/>
  <c r="C36" i="1"/>
  <c r="F39" i="4"/>
  <c r="D40" i="4"/>
  <c r="L4" i="3"/>
  <c r="D4" i="3"/>
  <c r="B39" i="4"/>
  <c r="O35" i="1" l="1"/>
  <c r="A36" i="1"/>
  <c r="B41" i="4" s="1"/>
  <c r="E36" i="1"/>
  <c r="B36" i="1" s="1"/>
  <c r="D41" i="4"/>
  <c r="L5" i="3"/>
  <c r="H4" i="3"/>
  <c r="D36" i="1"/>
  <c r="C37" i="1"/>
  <c r="D5" i="3"/>
  <c r="B40" i="4"/>
  <c r="B35" i="1"/>
  <c r="U35" i="1"/>
  <c r="F40" i="4"/>
  <c r="O36" i="1" l="1"/>
  <c r="P41" i="4" s="1"/>
  <c r="A37" i="1"/>
  <c r="L7" i="3" s="1"/>
  <c r="E37" i="1"/>
  <c r="B37" i="1" s="1"/>
  <c r="D37" i="1"/>
  <c r="D6" i="3"/>
  <c r="C38" i="1"/>
  <c r="D42" i="4"/>
  <c r="P40" i="4"/>
  <c r="H5" i="3"/>
  <c r="E4" i="3"/>
  <c r="U36" i="1"/>
  <c r="L6" i="3"/>
  <c r="F41" i="4"/>
  <c r="O37" i="1" l="1"/>
  <c r="P42" i="4" s="1"/>
  <c r="F4" i="3"/>
  <c r="G4" i="3" s="1"/>
  <c r="A38" i="1"/>
  <c r="L8" i="3" s="1"/>
  <c r="E38" i="1"/>
  <c r="F43" i="4" s="1"/>
  <c r="D43" i="4"/>
  <c r="D38" i="1"/>
  <c r="D7" i="3"/>
  <c r="C39" i="1"/>
  <c r="E5" i="3"/>
  <c r="F5" i="3" s="1"/>
  <c r="G5" i="3" s="1"/>
  <c r="H6" i="3"/>
  <c r="B42" i="4"/>
  <c r="F42" i="4"/>
  <c r="U37" i="1"/>
  <c r="O38" i="1" l="1"/>
  <c r="P43" i="4" s="1"/>
  <c r="A39" i="1"/>
  <c r="L9" i="3" s="1"/>
  <c r="E39" i="1"/>
  <c r="B39" i="1" s="1"/>
  <c r="D44" i="4"/>
  <c r="U38" i="1"/>
  <c r="B38" i="1"/>
  <c r="H7" i="3"/>
  <c r="E7" i="3" s="1"/>
  <c r="F7" i="3" s="1"/>
  <c r="G7" i="3" s="1"/>
  <c r="D8" i="3"/>
  <c r="B43" i="4"/>
  <c r="C40" i="1"/>
  <c r="D39" i="1"/>
  <c r="E6" i="3"/>
  <c r="F6" i="3" s="1"/>
  <c r="G6" i="3" s="1"/>
  <c r="O39" i="1" l="1"/>
  <c r="P44" i="4" s="1"/>
  <c r="A40" i="1"/>
  <c r="B45" i="4" s="1"/>
  <c r="E40" i="1"/>
  <c r="U40" i="1" s="1"/>
  <c r="U39" i="1"/>
  <c r="F44" i="4"/>
  <c r="H8" i="3"/>
  <c r="E8" i="3" s="1"/>
  <c r="F8" i="3" s="1"/>
  <c r="G8" i="3" s="1"/>
  <c r="B44" i="4"/>
  <c r="D45" i="4"/>
  <c r="D40" i="1"/>
  <c r="D9" i="3"/>
  <c r="C41" i="1"/>
  <c r="O40" i="1" l="1"/>
  <c r="P45" i="4" s="1"/>
  <c r="A41" i="1"/>
  <c r="B46" i="4" s="1"/>
  <c r="E41" i="1"/>
  <c r="B41" i="1" s="1"/>
  <c r="B40" i="1"/>
  <c r="D10" i="3"/>
  <c r="C42" i="1"/>
  <c r="F45" i="4"/>
  <c r="D46" i="4"/>
  <c r="L10" i="3"/>
  <c r="D41" i="1"/>
  <c r="H9" i="3"/>
  <c r="O41" i="1" l="1"/>
  <c r="P46" i="4" s="1"/>
  <c r="A42" i="1"/>
  <c r="H11" i="3" s="1"/>
  <c r="E42" i="1"/>
  <c r="B42" i="1" s="1"/>
  <c r="H10" i="3"/>
  <c r="E10" i="3" s="1"/>
  <c r="F10" i="3" s="1"/>
  <c r="G10" i="3" s="1"/>
  <c r="L11" i="3"/>
  <c r="U41" i="1"/>
  <c r="E9" i="3"/>
  <c r="D47" i="4"/>
  <c r="D42" i="1"/>
  <c r="D11" i="3"/>
  <c r="C43" i="1"/>
  <c r="F46" i="4"/>
  <c r="O42" i="1" l="1"/>
  <c r="P47" i="4" s="1"/>
  <c r="F9" i="3"/>
  <c r="G9" i="3" s="1"/>
  <c r="A43" i="1"/>
  <c r="B48" i="4" s="1"/>
  <c r="E43" i="1"/>
  <c r="U43" i="1" s="1"/>
  <c r="L12" i="3"/>
  <c r="B47" i="4"/>
  <c r="D43" i="1"/>
  <c r="U42" i="1"/>
  <c r="F47" i="4"/>
  <c r="C44" i="1"/>
  <c r="D48" i="4"/>
  <c r="D12" i="3"/>
  <c r="E11" i="3"/>
  <c r="F11" i="3" s="1"/>
  <c r="O43" i="1" l="1"/>
  <c r="P48" i="4" s="1"/>
  <c r="A44" i="1"/>
  <c r="H13" i="3" s="1"/>
  <c r="E44" i="1"/>
  <c r="F49" i="4" s="1"/>
  <c r="H12" i="3"/>
  <c r="E12" i="3" s="1"/>
  <c r="F12" i="3" s="1"/>
  <c r="G12" i="3" s="1"/>
  <c r="L13" i="3"/>
  <c r="B43" i="1"/>
  <c r="F48" i="4"/>
  <c r="C45" i="1"/>
  <c r="D13" i="3"/>
  <c r="D49" i="4"/>
  <c r="D44" i="1"/>
  <c r="O44" i="1" l="1"/>
  <c r="P49" i="4" s="1"/>
  <c r="A45" i="1"/>
  <c r="H14" i="3" s="1"/>
  <c r="E45" i="1"/>
  <c r="B45" i="1" s="1"/>
  <c r="D50" i="4"/>
  <c r="B44" i="1"/>
  <c r="U44" i="1"/>
  <c r="B49" i="4"/>
  <c r="L14" i="3"/>
  <c r="D14" i="3"/>
  <c r="C46" i="1"/>
  <c r="D45" i="1"/>
  <c r="E13" i="3"/>
  <c r="F13" i="3" s="1"/>
  <c r="G13" i="3" s="1"/>
  <c r="O45" i="1" l="1"/>
  <c r="P50" i="4" s="1"/>
  <c r="A46" i="1"/>
  <c r="L16" i="3" s="1"/>
  <c r="E46" i="1"/>
  <c r="U46" i="1" s="1"/>
  <c r="D15" i="3"/>
  <c r="L15" i="3"/>
  <c r="U45" i="1"/>
  <c r="D51" i="4"/>
  <c r="D46" i="1"/>
  <c r="C47" i="1"/>
  <c r="B50" i="4"/>
  <c r="F50" i="4"/>
  <c r="E14" i="3"/>
  <c r="F14" i="3" s="1"/>
  <c r="G14" i="3" s="1"/>
  <c r="O46" i="1" l="1"/>
  <c r="P51" i="4" s="1"/>
  <c r="A47" i="1"/>
  <c r="L17" i="3" s="1"/>
  <c r="E47" i="1"/>
  <c r="U47" i="1" s="1"/>
  <c r="D16" i="3"/>
  <c r="H15" i="3"/>
  <c r="B51" i="4"/>
  <c r="D47" i="1"/>
  <c r="D52" i="4"/>
  <c r="F51" i="4"/>
  <c r="B46" i="1"/>
  <c r="C48" i="1"/>
  <c r="O47" i="1" l="1"/>
  <c r="P52" i="4" s="1"/>
  <c r="A48" i="1"/>
  <c r="B53" i="4" s="1"/>
  <c r="E48" i="1"/>
  <c r="B48" i="1" s="1"/>
  <c r="D48" i="1"/>
  <c r="E15" i="3"/>
  <c r="H16" i="3"/>
  <c r="B52" i="4"/>
  <c r="B47" i="1"/>
  <c r="F52" i="4"/>
  <c r="D17" i="3"/>
  <c r="C49" i="1"/>
  <c r="D53" i="4"/>
  <c r="O48" i="1" l="1"/>
  <c r="P53" i="4" s="1"/>
  <c r="F15" i="3"/>
  <c r="G15" i="3" s="1"/>
  <c r="A49" i="1"/>
  <c r="L19" i="3" s="1"/>
  <c r="E49" i="1"/>
  <c r="B49" i="1" s="1"/>
  <c r="D18" i="3"/>
  <c r="E16" i="3"/>
  <c r="F16" i="3" s="1"/>
  <c r="G16" i="3" s="1"/>
  <c r="D54" i="4"/>
  <c r="F53" i="4"/>
  <c r="U48" i="1"/>
  <c r="L18" i="3"/>
  <c r="C50" i="1"/>
  <c r="H17" i="3"/>
  <c r="D49" i="1"/>
  <c r="O49" i="1" l="1"/>
  <c r="P54" i="4" s="1"/>
  <c r="A50" i="1"/>
  <c r="B55" i="4" s="1"/>
  <c r="E50" i="1"/>
  <c r="F55" i="4" s="1"/>
  <c r="F54" i="4"/>
  <c r="D19" i="3"/>
  <c r="E17" i="3"/>
  <c r="F17" i="3" s="1"/>
  <c r="G17" i="3" s="1"/>
  <c r="C51" i="1"/>
  <c r="D55" i="4"/>
  <c r="D50" i="1"/>
  <c r="H18" i="3"/>
  <c r="E18" i="3" s="1"/>
  <c r="F18" i="3" s="1"/>
  <c r="G18" i="3" s="1"/>
  <c r="B54" i="4"/>
  <c r="U49" i="1"/>
  <c r="O50" i="1" l="1"/>
  <c r="P55" i="4" s="1"/>
  <c r="A51" i="1"/>
  <c r="H20" i="3" s="1"/>
  <c r="E51" i="1"/>
  <c r="L20" i="3"/>
  <c r="H19" i="3"/>
  <c r="E19" i="3" s="1"/>
  <c r="F19" i="3" s="1"/>
  <c r="G19" i="3" s="1"/>
  <c r="B50" i="1"/>
  <c r="U50" i="1"/>
  <c r="D56" i="4"/>
  <c r="C52" i="1"/>
  <c r="D20" i="3"/>
  <c r="D51" i="1"/>
  <c r="O51" i="1" l="1"/>
  <c r="P56" i="4" s="1"/>
  <c r="A52" i="1"/>
  <c r="L22" i="3" s="1"/>
  <c r="E52" i="1"/>
  <c r="B56" i="4"/>
  <c r="C53" i="1"/>
  <c r="D57" i="4"/>
  <c r="D21" i="3"/>
  <c r="L21" i="3"/>
  <c r="U51" i="1"/>
  <c r="D52" i="1"/>
  <c r="F56" i="4"/>
  <c r="B51" i="1"/>
  <c r="E20" i="3"/>
  <c r="F20" i="3" s="1"/>
  <c r="G20" i="3" s="1"/>
  <c r="O52" i="1" l="1"/>
  <c r="P57" i="4" s="1"/>
  <c r="A53" i="1"/>
  <c r="L23" i="3" s="1"/>
  <c r="E53" i="1"/>
  <c r="F57" i="4"/>
  <c r="B52" i="1"/>
  <c r="U52" i="1"/>
  <c r="D53" i="1"/>
  <c r="H21" i="3"/>
  <c r="B57" i="4"/>
  <c r="D58" i="4"/>
  <c r="D22" i="3"/>
  <c r="C54" i="1"/>
  <c r="O53" i="1" l="1"/>
  <c r="P58" i="4" s="1"/>
  <c r="A54" i="1"/>
  <c r="L24" i="3" s="1"/>
  <c r="E54" i="1"/>
  <c r="B54" i="1" s="1"/>
  <c r="D59" i="4"/>
  <c r="E21" i="3"/>
  <c r="B58" i="4"/>
  <c r="H22" i="3"/>
  <c r="E22" i="3" s="1"/>
  <c r="F22" i="3" s="1"/>
  <c r="G22" i="3" s="1"/>
  <c r="F58" i="4"/>
  <c r="U53" i="1"/>
  <c r="D23" i="3"/>
  <c r="D54" i="1"/>
  <c r="C55" i="1"/>
  <c r="B53" i="1"/>
  <c r="O54" i="1" l="1"/>
  <c r="P59" i="4" s="1"/>
  <c r="F21" i="3"/>
  <c r="G21" i="3" s="1"/>
  <c r="A55" i="1"/>
  <c r="H24" i="3" s="1"/>
  <c r="E55" i="1"/>
  <c r="D55" i="1"/>
  <c r="C56" i="1"/>
  <c r="D24" i="3"/>
  <c r="D60" i="4"/>
  <c r="F59" i="4"/>
  <c r="H23" i="3"/>
  <c r="E23" i="3" s="1"/>
  <c r="F23" i="3" s="1"/>
  <c r="G23" i="3" s="1"/>
  <c r="B59" i="4"/>
  <c r="U54" i="1"/>
  <c r="O55" i="1" l="1"/>
  <c r="P60" i="4" s="1"/>
  <c r="A56" i="1"/>
  <c r="B61" i="4" s="1"/>
  <c r="E56" i="1"/>
  <c r="D25" i="3"/>
  <c r="C57" i="1"/>
  <c r="D56" i="1"/>
  <c r="D61" i="4"/>
  <c r="L25" i="3"/>
  <c r="B60" i="4"/>
  <c r="F60" i="4"/>
  <c r="B55" i="1"/>
  <c r="U55" i="1"/>
  <c r="E24" i="3"/>
  <c r="O56" i="1" l="1"/>
  <c r="P61" i="4" s="1"/>
  <c r="F24" i="3"/>
  <c r="G24" i="3" s="1"/>
  <c r="A57" i="1"/>
  <c r="H26" i="3" s="1"/>
  <c r="E57" i="1"/>
  <c r="D62" i="4"/>
  <c r="D57" i="1"/>
  <c r="D26" i="3"/>
  <c r="C58" i="1"/>
  <c r="U56" i="1"/>
  <c r="B56" i="1"/>
  <c r="F61" i="4"/>
  <c r="H25" i="3"/>
  <c r="E25" i="3" s="1"/>
  <c r="F25" i="3" s="1"/>
  <c r="G25" i="3" s="1"/>
  <c r="L26" i="3"/>
  <c r="O57" i="1" l="1"/>
  <c r="P62" i="4" s="1"/>
  <c r="A58" i="1"/>
  <c r="B63" i="4" s="1"/>
  <c r="E58" i="1"/>
  <c r="B58" i="1" s="1"/>
  <c r="C59" i="1"/>
  <c r="D63" i="4"/>
  <c r="D27" i="3"/>
  <c r="D58" i="1"/>
  <c r="L27" i="3"/>
  <c r="B62" i="4"/>
  <c r="F62" i="4"/>
  <c r="U57" i="1"/>
  <c r="B57" i="1"/>
  <c r="E26" i="3"/>
  <c r="F26" i="3" s="1"/>
  <c r="G26" i="3" s="1"/>
  <c r="O58" i="1" l="1"/>
  <c r="P63" i="4" s="1"/>
  <c r="A59" i="1"/>
  <c r="B64" i="4" s="1"/>
  <c r="E59" i="1"/>
  <c r="L28" i="3"/>
  <c r="H27" i="3"/>
  <c r="D64" i="4"/>
  <c r="D59" i="1"/>
  <c r="D28" i="3"/>
  <c r="C60" i="1"/>
  <c r="U58" i="1"/>
  <c r="F63" i="4"/>
  <c r="O59" i="1" l="1"/>
  <c r="P64" i="4" s="1"/>
  <c r="A60" i="1"/>
  <c r="H29" i="3" s="1"/>
  <c r="E60" i="1"/>
  <c r="F65" i="4" s="1"/>
  <c r="E27" i="3"/>
  <c r="D65" i="4"/>
  <c r="C61" i="1"/>
  <c r="D29" i="3"/>
  <c r="F64" i="4"/>
  <c r="U59" i="1"/>
  <c r="L29" i="3"/>
  <c r="B59" i="1"/>
  <c r="H28" i="3"/>
  <c r="E28" i="3" s="1"/>
  <c r="F28" i="3" s="1"/>
  <c r="G28" i="3" s="1"/>
  <c r="D60" i="1"/>
  <c r="O60" i="1" l="1"/>
  <c r="P65" i="4" s="1"/>
  <c r="F27" i="3"/>
  <c r="G27" i="3" s="1"/>
  <c r="A61" i="1"/>
  <c r="H30" i="3" s="1"/>
  <c r="E61" i="1"/>
  <c r="F66" i="4" s="1"/>
  <c r="C62" i="1"/>
  <c r="D30" i="3"/>
  <c r="D61" i="1"/>
  <c r="D66" i="4"/>
  <c r="B65" i="4"/>
  <c r="L30" i="3"/>
  <c r="U60" i="1"/>
  <c r="B60" i="1"/>
  <c r="E29" i="3"/>
  <c r="F29" i="3" s="1"/>
  <c r="G29" i="3" s="1"/>
  <c r="O61" i="1" l="1"/>
  <c r="P66" i="4" s="1"/>
  <c r="A62" i="1"/>
  <c r="B67" i="4" s="1"/>
  <c r="E62" i="1"/>
  <c r="D31" i="3"/>
  <c r="D62" i="1"/>
  <c r="C63" i="1"/>
  <c r="D67" i="4"/>
  <c r="L31" i="3"/>
  <c r="B66" i="4"/>
  <c r="U61" i="1"/>
  <c r="B61" i="1"/>
  <c r="E30" i="3"/>
  <c r="F30" i="3" s="1"/>
  <c r="G30" i="3" s="1"/>
  <c r="O62" i="1" l="1"/>
  <c r="P67" i="4" s="1"/>
  <c r="A63" i="1"/>
  <c r="L33" i="3" s="1"/>
  <c r="E63" i="1"/>
  <c r="B63" i="1" s="1"/>
  <c r="L32" i="3"/>
  <c r="H31" i="3"/>
  <c r="D63" i="1"/>
  <c r="D68" i="4"/>
  <c r="D32" i="3"/>
  <c r="U62" i="1"/>
  <c r="F67" i="4"/>
  <c r="B62" i="1"/>
  <c r="C64" i="1"/>
  <c r="O63" i="1" l="1"/>
  <c r="P68" i="4" s="1"/>
  <c r="A64" i="1"/>
  <c r="B69" i="4" s="1"/>
  <c r="E64" i="1"/>
  <c r="U64" i="1" s="1"/>
  <c r="E31" i="3"/>
  <c r="H32" i="3"/>
  <c r="E32" i="3" s="1"/>
  <c r="F32" i="3" s="1"/>
  <c r="G32" i="3" s="1"/>
  <c r="B68" i="4"/>
  <c r="C65" i="1"/>
  <c r="U63" i="1"/>
  <c r="F68" i="4"/>
  <c r="D33" i="3"/>
  <c r="D69" i="4"/>
  <c r="D64" i="1"/>
  <c r="O64" i="1" l="1"/>
  <c r="P69" i="4" s="1"/>
  <c r="F31" i="3"/>
  <c r="G31" i="3" s="1"/>
  <c r="A65" i="1"/>
  <c r="B70" i="4" s="1"/>
  <c r="E65" i="1"/>
  <c r="F70" i="4" s="1"/>
  <c r="L34" i="3"/>
  <c r="H33" i="3"/>
  <c r="C66" i="1"/>
  <c r="D70" i="4"/>
  <c r="D34" i="3"/>
  <c r="D65" i="1"/>
  <c r="F69" i="4"/>
  <c r="B64" i="1"/>
  <c r="O65" i="1" l="1"/>
  <c r="P70" i="4" s="1"/>
  <c r="A66" i="1"/>
  <c r="E66" i="1"/>
  <c r="E33" i="3"/>
  <c r="L35" i="3"/>
  <c r="H34" i="3"/>
  <c r="D66" i="1"/>
  <c r="D35" i="3"/>
  <c r="D71" i="4"/>
  <c r="B65" i="1"/>
  <c r="U65" i="1"/>
  <c r="C67" i="1"/>
  <c r="O66" i="1" l="1"/>
  <c r="P71" i="4" s="1"/>
  <c r="F33" i="3"/>
  <c r="G33" i="3" s="1"/>
  <c r="A67" i="1"/>
  <c r="L37" i="3" s="1"/>
  <c r="E67" i="1"/>
  <c r="B67" i="1" s="1"/>
  <c r="E34" i="3"/>
  <c r="F34" i="3" s="1"/>
  <c r="G34" i="3" s="1"/>
  <c r="U66" i="1"/>
  <c r="F71" i="4"/>
  <c r="B66" i="1"/>
  <c r="D36" i="3"/>
  <c r="D72" i="4"/>
  <c r="C68" i="1"/>
  <c r="D67" i="1"/>
  <c r="B71" i="4"/>
  <c r="H35" i="3"/>
  <c r="E35" i="3" s="1"/>
  <c r="F35" i="3" s="1"/>
  <c r="G35" i="3" s="1"/>
  <c r="L36" i="3"/>
  <c r="O67" i="1" l="1"/>
  <c r="P72" i="4" s="1"/>
  <c r="A68" i="1"/>
  <c r="H37" i="3" s="1"/>
  <c r="E68" i="1"/>
  <c r="U68" i="1" s="1"/>
  <c r="D68" i="1"/>
  <c r="D37" i="3"/>
  <c r="H36" i="3"/>
  <c r="E36" i="3" s="1"/>
  <c r="F36" i="3" s="1"/>
  <c r="G36" i="3" s="1"/>
  <c r="B72" i="4"/>
  <c r="C69" i="1"/>
  <c r="U67" i="1"/>
  <c r="D73" i="4"/>
  <c r="F72" i="4"/>
  <c r="O68" i="1" l="1"/>
  <c r="P73" i="4" s="1"/>
  <c r="A69" i="1"/>
  <c r="L39" i="3" s="1"/>
  <c r="E69" i="1"/>
  <c r="C70" i="1"/>
  <c r="F73" i="4"/>
  <c r="B68" i="1"/>
  <c r="D74" i="4"/>
  <c r="D38" i="3"/>
  <c r="D69" i="1"/>
  <c r="L38" i="3"/>
  <c r="B73" i="4"/>
  <c r="E37" i="3"/>
  <c r="F37" i="3" s="1"/>
  <c r="G37" i="3" s="1"/>
  <c r="O69" i="1" l="1"/>
  <c r="P74" i="4" s="1"/>
  <c r="A70" i="1"/>
  <c r="E70" i="1"/>
  <c r="C71" i="1"/>
  <c r="D39" i="3"/>
  <c r="D70" i="1"/>
  <c r="D75" i="4"/>
  <c r="B69" i="1"/>
  <c r="U69" i="1"/>
  <c r="F74" i="4"/>
  <c r="B74" i="4"/>
  <c r="H38" i="3"/>
  <c r="E38" i="3" s="1"/>
  <c r="O70" i="1" l="1"/>
  <c r="P75" i="4" s="1"/>
  <c r="F38" i="3"/>
  <c r="G38" i="3" s="1"/>
  <c r="A71" i="1"/>
  <c r="L41" i="3" s="1"/>
  <c r="E71" i="1"/>
  <c r="D71" i="1"/>
  <c r="C72" i="1"/>
  <c r="D40" i="3"/>
  <c r="B70" i="1"/>
  <c r="D76" i="4"/>
  <c r="F75" i="4"/>
  <c r="U70" i="1"/>
  <c r="H39" i="3"/>
  <c r="E39" i="3" s="1"/>
  <c r="F39" i="3" s="1"/>
  <c r="G39" i="3" s="1"/>
  <c r="B75" i="4"/>
  <c r="L40" i="3"/>
  <c r="O71" i="1" l="1"/>
  <c r="P76" i="4" s="1"/>
  <c r="A72" i="1"/>
  <c r="H41" i="3" s="1"/>
  <c r="E72" i="1"/>
  <c r="B72" i="1" s="1"/>
  <c r="H40" i="3"/>
  <c r="B76" i="4"/>
  <c r="D72" i="1"/>
  <c r="D41" i="3"/>
  <c r="C73" i="1"/>
  <c r="D77" i="4"/>
  <c r="B71" i="1"/>
  <c r="F76" i="4"/>
  <c r="U71" i="1"/>
  <c r="O72" i="1" l="1"/>
  <c r="P77" i="4" s="1"/>
  <c r="A73" i="1"/>
  <c r="E73" i="1"/>
  <c r="U72" i="1"/>
  <c r="F77" i="4"/>
  <c r="E40" i="3"/>
  <c r="C74" i="1"/>
  <c r="D78" i="4"/>
  <c r="D42" i="3"/>
  <c r="D73" i="1"/>
  <c r="L42" i="3"/>
  <c r="B77" i="4"/>
  <c r="E41" i="3"/>
  <c r="F41" i="3" s="1"/>
  <c r="G41" i="3" s="1"/>
  <c r="O73" i="1" l="1"/>
  <c r="P78" i="4" s="1"/>
  <c r="F40" i="3"/>
  <c r="G40" i="3" s="1"/>
  <c r="A74" i="1"/>
  <c r="L44" i="3" s="1"/>
  <c r="E74" i="1"/>
  <c r="D79" i="4"/>
  <c r="C75" i="1"/>
  <c r="D74" i="1"/>
  <c r="D43" i="3"/>
  <c r="U73" i="1"/>
  <c r="B73" i="1"/>
  <c r="F78" i="4"/>
  <c r="L43" i="3"/>
  <c r="B78" i="4"/>
  <c r="H42" i="3"/>
  <c r="O74" i="1" l="1"/>
  <c r="P79" i="4" s="1"/>
  <c r="A75" i="1"/>
  <c r="L45" i="3" s="1"/>
  <c r="E75" i="1"/>
  <c r="D44" i="3"/>
  <c r="D80" i="4"/>
  <c r="D75" i="1"/>
  <c r="C76" i="1"/>
  <c r="H43" i="3"/>
  <c r="B79" i="4"/>
  <c r="U74" i="1"/>
  <c r="F79" i="4"/>
  <c r="B74" i="1"/>
  <c r="E42" i="3"/>
  <c r="O75" i="1" l="1"/>
  <c r="P80" i="4" s="1"/>
  <c r="F42" i="3"/>
  <c r="G42" i="3" s="1"/>
  <c r="A76" i="1"/>
  <c r="E76" i="1"/>
  <c r="B75" i="1"/>
  <c r="U75" i="1"/>
  <c r="F80" i="4"/>
  <c r="C77" i="1"/>
  <c r="D76" i="1"/>
  <c r="D81" i="4"/>
  <c r="E43" i="3"/>
  <c r="F43" i="3" s="1"/>
  <c r="G43" i="3" s="1"/>
  <c r="D45" i="3"/>
  <c r="H44" i="3"/>
  <c r="E44" i="3" s="1"/>
  <c r="F44" i="3" s="1"/>
  <c r="G44" i="3" s="1"/>
  <c r="B80" i="4"/>
  <c r="O76" i="1" l="1"/>
  <c r="P81" i="4" s="1"/>
  <c r="A77" i="1"/>
  <c r="H46" i="3" s="1"/>
  <c r="E77" i="1"/>
  <c r="F82" i="4" s="1"/>
  <c r="D77" i="1"/>
  <c r="D82" i="4"/>
  <c r="D46" i="3"/>
  <c r="C78" i="1"/>
  <c r="F81" i="4"/>
  <c r="U76" i="1"/>
  <c r="B76" i="1"/>
  <c r="B81" i="4"/>
  <c r="L46" i="3"/>
  <c r="H45" i="3"/>
  <c r="O77" i="1" l="1"/>
  <c r="P82" i="4" s="1"/>
  <c r="A78" i="1"/>
  <c r="B83" i="4" s="1"/>
  <c r="E78" i="1"/>
  <c r="B82" i="4"/>
  <c r="L47" i="3"/>
  <c r="U77" i="1"/>
  <c r="B77" i="1"/>
  <c r="D78" i="1"/>
  <c r="C79" i="1"/>
  <c r="D47" i="3"/>
  <c r="D83" i="4"/>
  <c r="E45" i="3"/>
  <c r="E46" i="3"/>
  <c r="F46" i="3" s="1"/>
  <c r="G46" i="3" s="1"/>
  <c r="O78" i="1" l="1"/>
  <c r="P83" i="4" s="1"/>
  <c r="F45" i="3"/>
  <c r="G45" i="3" s="1"/>
  <c r="A79" i="1"/>
  <c r="L49" i="3" s="1"/>
  <c r="E79" i="1"/>
  <c r="D84" i="4"/>
  <c r="L48" i="3"/>
  <c r="H47" i="3"/>
  <c r="E47" i="3" s="1"/>
  <c r="D48" i="3"/>
  <c r="C80" i="1"/>
  <c r="D79" i="1"/>
  <c r="B78" i="1"/>
  <c r="F83" i="4"/>
  <c r="U78" i="1"/>
  <c r="O79" i="1" l="1"/>
  <c r="P84" i="4" s="1"/>
  <c r="F47" i="3"/>
  <c r="G47" i="3" s="1"/>
  <c r="A80" i="1"/>
  <c r="E80" i="1"/>
  <c r="C81" i="1"/>
  <c r="D49" i="3"/>
  <c r="B79" i="1"/>
  <c r="D80" i="1"/>
  <c r="H48" i="3"/>
  <c r="E48" i="3" s="1"/>
  <c r="F48" i="3" s="1"/>
  <c r="G48" i="3" s="1"/>
  <c r="B84" i="4"/>
  <c r="U79" i="1"/>
  <c r="F84" i="4"/>
  <c r="D85" i="4"/>
  <c r="O80" i="1" l="1"/>
  <c r="P85" i="4" s="1"/>
  <c r="A81" i="1"/>
  <c r="B86" i="4" s="1"/>
  <c r="E81" i="1"/>
  <c r="D50" i="3"/>
  <c r="D86" i="4"/>
  <c r="C82" i="1"/>
  <c r="D81" i="1"/>
  <c r="F85" i="4"/>
  <c r="U80" i="1"/>
  <c r="H49" i="3"/>
  <c r="E49" i="3" s="1"/>
  <c r="F49" i="3" s="1"/>
  <c r="G49" i="3" s="1"/>
  <c r="B85" i="4"/>
  <c r="L50" i="3"/>
  <c r="B80" i="1"/>
  <c r="O81" i="1" l="1"/>
  <c r="P86" i="4" s="1"/>
  <c r="A82" i="1"/>
  <c r="B87" i="4" s="1"/>
  <c r="E82" i="1"/>
  <c r="H50" i="3"/>
  <c r="E50" i="3" s="1"/>
  <c r="F50" i="3" s="1"/>
  <c r="G50" i="3" s="1"/>
  <c r="L51" i="3"/>
  <c r="C83" i="1"/>
  <c r="D87" i="4"/>
  <c r="F86" i="4"/>
  <c r="U81" i="1"/>
  <c r="B81" i="1"/>
  <c r="D82" i="1"/>
  <c r="D51" i="3"/>
  <c r="O82" i="1" l="1"/>
  <c r="P87" i="4" s="1"/>
  <c r="A83" i="1"/>
  <c r="B88" i="4" s="1"/>
  <c r="E83" i="1"/>
  <c r="D52" i="3"/>
  <c r="H51" i="3"/>
  <c r="E51" i="3" s="1"/>
  <c r="L52" i="3"/>
  <c r="D83" i="1"/>
  <c r="D88" i="4"/>
  <c r="C84" i="1"/>
  <c r="B82" i="1"/>
  <c r="U82" i="1"/>
  <c r="F87" i="4"/>
  <c r="O83" i="1" l="1"/>
  <c r="P88" i="4" s="1"/>
  <c r="F51" i="3"/>
  <c r="G51" i="3" s="1"/>
  <c r="A84" i="1"/>
  <c r="H53" i="3" s="1"/>
  <c r="E84" i="1"/>
  <c r="C85" i="1"/>
  <c r="B83" i="1"/>
  <c r="F88" i="4"/>
  <c r="U83" i="1"/>
  <c r="D84" i="1"/>
  <c r="H52" i="3"/>
  <c r="E52" i="3" s="1"/>
  <c r="F52" i="3" s="1"/>
  <c r="G52" i="3" s="1"/>
  <c r="L53" i="3"/>
  <c r="D89" i="4"/>
  <c r="D53" i="3"/>
  <c r="O84" i="1" l="1"/>
  <c r="P89" i="4" s="1"/>
  <c r="A85" i="1"/>
  <c r="E85" i="1"/>
  <c r="D85" i="1"/>
  <c r="C86" i="1"/>
  <c r="D90" i="4"/>
  <c r="D54" i="3"/>
  <c r="L54" i="3"/>
  <c r="B89" i="4"/>
  <c r="U84" i="1"/>
  <c r="F89" i="4"/>
  <c r="B84" i="1"/>
  <c r="E53" i="3"/>
  <c r="F53" i="3" s="1"/>
  <c r="G53" i="3" s="1"/>
  <c r="O85" i="1" l="1"/>
  <c r="P90" i="4" s="1"/>
  <c r="A86" i="1"/>
  <c r="L56" i="3" s="1"/>
  <c r="E86" i="1"/>
  <c r="D55" i="3"/>
  <c r="C87" i="1"/>
  <c r="D91" i="4"/>
  <c r="D86" i="1"/>
  <c r="L55" i="3"/>
  <c r="B90" i="4"/>
  <c r="B85" i="1"/>
  <c r="H54" i="3"/>
  <c r="E54" i="3" s="1"/>
  <c r="F54" i="3" s="1"/>
  <c r="G54" i="3" s="1"/>
  <c r="U85" i="1"/>
  <c r="F90" i="4"/>
  <c r="O86" i="1" l="1"/>
  <c r="P91" i="4" s="1"/>
  <c r="A87" i="1"/>
  <c r="B92" i="4" s="1"/>
  <c r="E87" i="1"/>
  <c r="B91" i="4"/>
  <c r="H55" i="3"/>
  <c r="E55" i="3" s="1"/>
  <c r="F55" i="3" s="1"/>
  <c r="G55" i="3" s="1"/>
  <c r="D87" i="1"/>
  <c r="D56" i="3"/>
  <c r="D92" i="4"/>
  <c r="C88" i="1"/>
  <c r="U86" i="1"/>
  <c r="B86" i="1"/>
  <c r="F91" i="4"/>
  <c r="O87" i="1" l="1"/>
  <c r="P92" i="4" s="1"/>
  <c r="A88" i="1"/>
  <c r="H57" i="3" s="1"/>
  <c r="E88" i="1"/>
  <c r="F92" i="4"/>
  <c r="U87" i="1"/>
  <c r="B87" i="1"/>
  <c r="L57" i="3"/>
  <c r="D88" i="1"/>
  <c r="D57" i="3"/>
  <c r="C89" i="1"/>
  <c r="D93" i="4"/>
  <c r="H56" i="3"/>
  <c r="E56" i="3" s="1"/>
  <c r="F56" i="3" s="1"/>
  <c r="G56" i="3" s="1"/>
  <c r="O88" i="1" l="1"/>
  <c r="P93" i="4" s="1"/>
  <c r="A89" i="1"/>
  <c r="E89" i="1"/>
  <c r="D94" i="4"/>
  <c r="C90" i="1"/>
  <c r="U88" i="1"/>
  <c r="F93" i="4"/>
  <c r="B93" i="4"/>
  <c r="D89" i="1"/>
  <c r="B88" i="1"/>
  <c r="D58" i="3"/>
  <c r="L58" i="3"/>
  <c r="E57" i="3"/>
  <c r="F57" i="3" s="1"/>
  <c r="G57" i="3" s="1"/>
  <c r="O89" i="1" l="1"/>
  <c r="P94" i="4" s="1"/>
  <c r="A90" i="1"/>
  <c r="L60" i="3" s="1"/>
  <c r="E90" i="1"/>
  <c r="D90" i="1"/>
  <c r="D95" i="4"/>
  <c r="D59" i="3"/>
  <c r="C91" i="1"/>
  <c r="B89" i="1"/>
  <c r="U89" i="1"/>
  <c r="F94" i="4"/>
  <c r="B94" i="4"/>
  <c r="H58" i="3"/>
  <c r="E58" i="3" s="1"/>
  <c r="F58" i="3" s="1"/>
  <c r="G58" i="3" s="1"/>
  <c r="L59" i="3"/>
  <c r="O90" i="1" l="1"/>
  <c r="P95" i="4" s="1"/>
  <c r="A91" i="1"/>
  <c r="L61" i="3" s="1"/>
  <c r="E91" i="1"/>
  <c r="B95" i="4"/>
  <c r="H59" i="3"/>
  <c r="E59" i="3" s="1"/>
  <c r="F59" i="3" s="1"/>
  <c r="G59" i="3" s="1"/>
  <c r="D91" i="1"/>
  <c r="D96" i="4"/>
  <c r="F95" i="4"/>
  <c r="D60" i="3"/>
  <c r="U90" i="1"/>
  <c r="B90" i="1"/>
  <c r="C92" i="1"/>
  <c r="O91" i="1" l="1"/>
  <c r="P96" i="4" s="1"/>
  <c r="A92" i="1"/>
  <c r="B97" i="4" s="1"/>
  <c r="E92" i="1"/>
  <c r="B96" i="4"/>
  <c r="H60" i="3"/>
  <c r="E60" i="3" s="1"/>
  <c r="F60" i="3" s="1"/>
  <c r="G60" i="3" s="1"/>
  <c r="C93" i="1"/>
  <c r="F96" i="4"/>
  <c r="B91" i="1"/>
  <c r="D61" i="3"/>
  <c r="U91" i="1"/>
  <c r="D97" i="4"/>
  <c r="D92" i="1"/>
  <c r="O92" i="1" l="1"/>
  <c r="P97" i="4" s="1"/>
  <c r="A93" i="1"/>
  <c r="H62" i="3" s="1"/>
  <c r="E93" i="1"/>
  <c r="D93" i="1"/>
  <c r="C94" i="1"/>
  <c r="L62" i="3"/>
  <c r="B92" i="1"/>
  <c r="D62" i="3"/>
  <c r="D98" i="4"/>
  <c r="F97" i="4"/>
  <c r="U92" i="1"/>
  <c r="H61" i="3"/>
  <c r="E61" i="3" s="1"/>
  <c r="O93" i="1" l="1"/>
  <c r="P98" i="4" s="1"/>
  <c r="F61" i="3"/>
  <c r="G61" i="3" s="1"/>
  <c r="A94" i="1"/>
  <c r="E94" i="1"/>
  <c r="C95" i="1"/>
  <c r="D94" i="1"/>
  <c r="D99" i="4"/>
  <c r="D63" i="3"/>
  <c r="B98" i="4"/>
  <c r="L63" i="3"/>
  <c r="U93" i="1"/>
  <c r="B93" i="1"/>
  <c r="F98" i="4"/>
  <c r="E62" i="3"/>
  <c r="F62" i="3" s="1"/>
  <c r="G62" i="3" s="1"/>
  <c r="O94" i="1" l="1"/>
  <c r="P99" i="4" s="1"/>
  <c r="A95" i="1"/>
  <c r="E95" i="1"/>
  <c r="D95" i="1"/>
  <c r="C96" i="1"/>
  <c r="D100" i="4"/>
  <c r="D64" i="3"/>
  <c r="L64" i="3"/>
  <c r="H63" i="3"/>
  <c r="E63" i="3" s="1"/>
  <c r="F63" i="3" s="1"/>
  <c r="G63" i="3" s="1"/>
  <c r="B99" i="4"/>
  <c r="U94" i="1"/>
  <c r="F99" i="4"/>
  <c r="B94" i="1"/>
  <c r="O95" i="1" l="1"/>
  <c r="P100" i="4" s="1"/>
  <c r="A96" i="1"/>
  <c r="L66" i="3" s="1"/>
  <c r="E96" i="1"/>
  <c r="C97" i="1"/>
  <c r="D101" i="4"/>
  <c r="B95" i="1"/>
  <c r="U95" i="1"/>
  <c r="D96" i="1"/>
  <c r="F100" i="4"/>
  <c r="H64" i="3"/>
  <c r="E64" i="3" s="1"/>
  <c r="F64" i="3" s="1"/>
  <c r="G64" i="3" s="1"/>
  <c r="D65" i="3"/>
  <c r="B100" i="4"/>
  <c r="L65" i="3"/>
  <c r="O96" i="1" l="1"/>
  <c r="P101" i="4" s="1"/>
  <c r="A97" i="1"/>
  <c r="H66" i="3" s="1"/>
  <c r="E97" i="1"/>
  <c r="H65" i="3"/>
  <c r="E65" i="3" s="1"/>
  <c r="F65" i="3" s="1"/>
  <c r="G65" i="3" s="1"/>
  <c r="B101" i="4"/>
  <c r="C98" i="1"/>
  <c r="D97" i="1"/>
  <c r="D66" i="3"/>
  <c r="D102" i="4"/>
  <c r="U96" i="1"/>
  <c r="F101" i="4"/>
  <c r="B96" i="1"/>
  <c r="O97" i="1" l="1"/>
  <c r="P102" i="4" s="1"/>
  <c r="A98" i="1"/>
  <c r="H67" i="3" s="1"/>
  <c r="E98" i="1"/>
  <c r="D103" i="4"/>
  <c r="U97" i="1"/>
  <c r="B97" i="1"/>
  <c r="F102" i="4"/>
  <c r="B102" i="4"/>
  <c r="L67" i="3"/>
  <c r="C99" i="1"/>
  <c r="D98" i="1"/>
  <c r="D67" i="3"/>
  <c r="E66" i="3"/>
  <c r="F66" i="3" s="1"/>
  <c r="G66" i="3" s="1"/>
  <c r="O98" i="1" l="1"/>
  <c r="P103" i="4" s="1"/>
  <c r="A99" i="1"/>
  <c r="L69" i="3" s="1"/>
  <c r="E99" i="1"/>
  <c r="D99" i="1"/>
  <c r="L68" i="3"/>
  <c r="D104" i="4"/>
  <c r="B103" i="4"/>
  <c r="C100" i="1"/>
  <c r="U98" i="1"/>
  <c r="D68" i="3"/>
  <c r="F103" i="4"/>
  <c r="B98" i="1"/>
  <c r="E67" i="3"/>
  <c r="F67" i="3" s="1"/>
  <c r="G67" i="3" s="1"/>
  <c r="O99" i="1" l="1"/>
  <c r="P104" i="4" s="1"/>
  <c r="A100" i="1"/>
  <c r="H69" i="3" s="1"/>
  <c r="E100" i="1"/>
  <c r="F104" i="4"/>
  <c r="B99" i="1"/>
  <c r="D100" i="1"/>
  <c r="C101" i="1"/>
  <c r="D69" i="3"/>
  <c r="D105" i="4"/>
  <c r="U99" i="1"/>
  <c r="B104" i="4"/>
  <c r="H68" i="3"/>
  <c r="E68" i="3" s="1"/>
  <c r="F68" i="3" s="1"/>
  <c r="G68" i="3" s="1"/>
  <c r="O100" i="1" l="1"/>
  <c r="P105" i="4" s="1"/>
  <c r="A101" i="1"/>
  <c r="E101" i="1"/>
  <c r="C102" i="1"/>
  <c r="D70" i="3"/>
  <c r="D106" i="4"/>
  <c r="D101" i="1"/>
  <c r="U100" i="1"/>
  <c r="B100" i="1"/>
  <c r="F105" i="4"/>
  <c r="B105" i="4"/>
  <c r="L70" i="3"/>
  <c r="E69" i="3"/>
  <c r="F69" i="3" s="1"/>
  <c r="G69" i="3" s="1"/>
  <c r="O101" i="1" l="1"/>
  <c r="P106" i="4" s="1"/>
  <c r="A102" i="1"/>
  <c r="E102" i="1"/>
  <c r="D107" i="4"/>
  <c r="C103" i="1"/>
  <c r="D71" i="3"/>
  <c r="D102" i="1"/>
  <c r="U101" i="1"/>
  <c r="F106" i="4"/>
  <c r="B101" i="1"/>
  <c r="B106" i="4"/>
  <c r="H70" i="3"/>
  <c r="E70" i="3" s="1"/>
  <c r="F70" i="3" s="1"/>
  <c r="G70" i="3" s="1"/>
  <c r="L71" i="3"/>
  <c r="O102" i="1" l="1"/>
  <c r="P107" i="4" s="1"/>
  <c r="A103" i="1"/>
  <c r="L73" i="3" s="1"/>
  <c r="E103" i="1"/>
  <c r="C104" i="1"/>
  <c r="D103" i="1"/>
  <c r="D72" i="3"/>
  <c r="D108" i="4"/>
  <c r="F107" i="4"/>
  <c r="B102" i="1"/>
  <c r="H71" i="3"/>
  <c r="E71" i="3" s="1"/>
  <c r="F71" i="3" s="1"/>
  <c r="G71" i="3" s="1"/>
  <c r="L72" i="3"/>
  <c r="B107" i="4"/>
  <c r="U102" i="1"/>
  <c r="O103" i="1" l="1"/>
  <c r="P108" i="4" s="1"/>
  <c r="A104" i="1"/>
  <c r="L74" i="3" s="1"/>
  <c r="E104" i="1"/>
  <c r="D104" i="1"/>
  <c r="C105" i="1"/>
  <c r="D109" i="4"/>
  <c r="D73" i="3"/>
  <c r="B103" i="1"/>
  <c r="B108" i="4"/>
  <c r="F108" i="4"/>
  <c r="U103" i="1"/>
  <c r="H72" i="3"/>
  <c r="E72" i="3" s="1"/>
  <c r="F72" i="3" s="1"/>
  <c r="G72" i="3" s="1"/>
  <c r="O104" i="1" l="1"/>
  <c r="P109" i="4" s="1"/>
  <c r="A105" i="1"/>
  <c r="E105" i="1"/>
  <c r="F109" i="4"/>
  <c r="B104" i="1"/>
  <c r="U104" i="1"/>
  <c r="D105" i="1"/>
  <c r="D110" i="4"/>
  <c r="C106" i="1"/>
  <c r="D74" i="3"/>
  <c r="B109" i="4"/>
  <c r="H73" i="3"/>
  <c r="E73" i="3" s="1"/>
  <c r="F73" i="3" s="1"/>
  <c r="G73" i="3" s="1"/>
  <c r="O105" i="1" l="1"/>
  <c r="P110" i="4" s="1"/>
  <c r="A106" i="1"/>
  <c r="H75" i="3" s="1"/>
  <c r="E106" i="1"/>
  <c r="D111" i="4"/>
  <c r="F110" i="4"/>
  <c r="U105" i="1"/>
  <c r="B105" i="1"/>
  <c r="C107" i="1"/>
  <c r="D75" i="3"/>
  <c r="D106" i="1"/>
  <c r="H74" i="3"/>
  <c r="E74" i="3" s="1"/>
  <c r="F74" i="3" s="1"/>
  <c r="G74" i="3" s="1"/>
  <c r="B110" i="4"/>
  <c r="L75" i="3"/>
  <c r="O106" i="1" l="1"/>
  <c r="P111" i="4" s="1"/>
  <c r="A107" i="1"/>
  <c r="L77" i="3" s="1"/>
  <c r="E107" i="1"/>
  <c r="B111" i="4"/>
  <c r="L76" i="3"/>
  <c r="F111" i="4"/>
  <c r="U106" i="1"/>
  <c r="B106" i="1"/>
  <c r="C108" i="1"/>
  <c r="D76" i="3"/>
  <c r="D112" i="4"/>
  <c r="D107" i="1"/>
  <c r="E75" i="3"/>
  <c r="F75" i="3" s="1"/>
  <c r="G75" i="3" s="1"/>
  <c r="O107" i="1" l="1"/>
  <c r="P112" i="4" s="1"/>
  <c r="A108" i="1"/>
  <c r="H77" i="3" s="1"/>
  <c r="E108" i="1"/>
  <c r="B112" i="4"/>
  <c r="F112" i="4"/>
  <c r="B107" i="1"/>
  <c r="H76" i="3"/>
  <c r="E76" i="3" s="1"/>
  <c r="F76" i="3" s="1"/>
  <c r="G76" i="3" s="1"/>
  <c r="D77" i="3"/>
  <c r="C109" i="1"/>
  <c r="D108" i="1"/>
  <c r="D113" i="4"/>
  <c r="U107" i="1"/>
  <c r="O108" i="1" l="1"/>
  <c r="P113" i="4" s="1"/>
  <c r="A109" i="1"/>
  <c r="H78" i="3" s="1"/>
  <c r="E109" i="1"/>
  <c r="D109" i="1"/>
  <c r="U108" i="1"/>
  <c r="B108" i="1"/>
  <c r="D114" i="4"/>
  <c r="L78" i="3"/>
  <c r="F113" i="4"/>
  <c r="B113" i="4"/>
  <c r="C110" i="1"/>
  <c r="D78" i="3"/>
  <c r="E77" i="3"/>
  <c r="F77" i="3" s="1"/>
  <c r="G77" i="3" s="1"/>
  <c r="O109" i="1" l="1"/>
  <c r="P114" i="4" s="1"/>
  <c r="A110" i="1"/>
  <c r="H79" i="3" s="1"/>
  <c r="E110" i="1"/>
  <c r="L79" i="3"/>
  <c r="B114" i="4"/>
  <c r="B109" i="1"/>
  <c r="F114" i="4"/>
  <c r="D110" i="1"/>
  <c r="U109" i="1"/>
  <c r="C111" i="1"/>
  <c r="D79" i="3"/>
  <c r="D115" i="4"/>
  <c r="E78" i="3"/>
  <c r="F78" i="3" s="1"/>
  <c r="G78" i="3" s="1"/>
  <c r="O110" i="1" l="1"/>
  <c r="P115" i="4" s="1"/>
  <c r="A111" i="1"/>
  <c r="B116" i="4" s="1"/>
  <c r="E111" i="1"/>
  <c r="D80" i="3"/>
  <c r="D116" i="4"/>
  <c r="L80" i="3"/>
  <c r="B115" i="4"/>
  <c r="B110" i="1"/>
  <c r="F115" i="4"/>
  <c r="U110" i="1"/>
  <c r="C112" i="1"/>
  <c r="D111" i="1"/>
  <c r="E79" i="3"/>
  <c r="F79" i="3" s="1"/>
  <c r="G79" i="3" s="1"/>
  <c r="O111" i="1" l="1"/>
  <c r="P116" i="4" s="1"/>
  <c r="A112" i="1"/>
  <c r="H81" i="3" s="1"/>
  <c r="E112" i="1"/>
  <c r="H80" i="3"/>
  <c r="E80" i="3" s="1"/>
  <c r="F80" i="3" s="1"/>
  <c r="G80" i="3" s="1"/>
  <c r="D117" i="4"/>
  <c r="C113" i="1"/>
  <c r="D81" i="3"/>
  <c r="L81" i="3"/>
  <c r="D112" i="1"/>
  <c r="U111" i="1"/>
  <c r="F116" i="4"/>
  <c r="B111" i="1"/>
  <c r="O112" i="1" l="1"/>
  <c r="P117" i="4" s="1"/>
  <c r="A113" i="1"/>
  <c r="E113" i="1"/>
  <c r="C114" i="1"/>
  <c r="D113" i="1"/>
  <c r="D82" i="3"/>
  <c r="B112" i="1"/>
  <c r="D118" i="4"/>
  <c r="B117" i="4"/>
  <c r="L82" i="3"/>
  <c r="U112" i="1"/>
  <c r="F117" i="4"/>
  <c r="E81" i="3"/>
  <c r="F81" i="3" s="1"/>
  <c r="G81" i="3" s="1"/>
  <c r="O113" i="1" l="1"/>
  <c r="P118" i="4" s="1"/>
  <c r="A114" i="1"/>
  <c r="H83" i="3" s="1"/>
  <c r="E114" i="1"/>
  <c r="B113" i="1"/>
  <c r="U113" i="1"/>
  <c r="F118" i="4"/>
  <c r="D114" i="1"/>
  <c r="C115" i="1"/>
  <c r="D83" i="3"/>
  <c r="D119" i="4"/>
  <c r="L83" i="3"/>
  <c r="B118" i="4"/>
  <c r="H82" i="3"/>
  <c r="E82" i="3" s="1"/>
  <c r="O114" i="1" l="1"/>
  <c r="P119" i="4" s="1"/>
  <c r="F82" i="3"/>
  <c r="G82" i="3" s="1"/>
  <c r="A115" i="1"/>
  <c r="B120" i="4" s="1"/>
  <c r="E115" i="1"/>
  <c r="L84" i="3"/>
  <c r="B119" i="4"/>
  <c r="C116" i="1"/>
  <c r="D84" i="3"/>
  <c r="D120" i="4"/>
  <c r="D115" i="1"/>
  <c r="B114" i="1"/>
  <c r="U114" i="1"/>
  <c r="F119" i="4"/>
  <c r="E83" i="3"/>
  <c r="F83" i="3" s="1"/>
  <c r="G83" i="3" s="1"/>
  <c r="O115" i="1" l="1"/>
  <c r="P120" i="4" s="1"/>
  <c r="E116" i="1"/>
  <c r="A116" i="1"/>
  <c r="B121" i="4" s="1"/>
  <c r="C117" i="1"/>
  <c r="D121" i="4"/>
  <c r="D85" i="3"/>
  <c r="D116" i="1"/>
  <c r="B115" i="1"/>
  <c r="U115" i="1"/>
  <c r="F120" i="4"/>
  <c r="H84" i="3"/>
  <c r="E84" i="3" s="1"/>
  <c r="L85" i="3"/>
  <c r="O116" i="1" l="1"/>
  <c r="P121" i="4" s="1"/>
  <c r="F84" i="3"/>
  <c r="G84" i="3" s="1"/>
  <c r="A117" i="1"/>
  <c r="L87" i="3" s="1"/>
  <c r="E117" i="1"/>
  <c r="D117" i="1"/>
  <c r="D86" i="3"/>
  <c r="D122" i="4"/>
  <c r="C118" i="1"/>
  <c r="H85" i="3"/>
  <c r="E85" i="3" s="1"/>
  <c r="F85" i="3" s="1"/>
  <c r="G85" i="3" s="1"/>
  <c r="L86" i="3"/>
  <c r="F121" i="4"/>
  <c r="B116" i="1"/>
  <c r="U116" i="1"/>
  <c r="O117" i="1" l="1"/>
  <c r="P122" i="4" s="1"/>
  <c r="A118" i="1"/>
  <c r="H87" i="3" s="1"/>
  <c r="E118" i="1"/>
  <c r="D118" i="1"/>
  <c r="C119" i="1"/>
  <c r="D87" i="3"/>
  <c r="D123" i="4"/>
  <c r="B122" i="4"/>
  <c r="F122" i="4"/>
  <c r="H86" i="3"/>
  <c r="E86" i="3" s="1"/>
  <c r="F86" i="3" s="1"/>
  <c r="G86" i="3" s="1"/>
  <c r="B117" i="1"/>
  <c r="U117" i="1"/>
  <c r="O118" i="1" l="1"/>
  <c r="P123" i="4" s="1"/>
  <c r="A119" i="1"/>
  <c r="H88" i="3" s="1"/>
  <c r="E119" i="1"/>
  <c r="B123" i="4"/>
  <c r="L88" i="3"/>
  <c r="D119" i="1"/>
  <c r="D124" i="4"/>
  <c r="C120" i="1"/>
  <c r="D88" i="3"/>
  <c r="B118" i="1"/>
  <c r="F123" i="4"/>
  <c r="U118" i="1"/>
  <c r="E87" i="3"/>
  <c r="F87" i="3" s="1"/>
  <c r="G87" i="3" s="1"/>
  <c r="O119" i="1" l="1"/>
  <c r="P124" i="4" s="1"/>
  <c r="A120" i="1"/>
  <c r="B125" i="4" s="1"/>
  <c r="E120" i="1"/>
  <c r="D120" i="1"/>
  <c r="B119" i="1"/>
  <c r="U119" i="1"/>
  <c r="F124" i="4"/>
  <c r="D125" i="4"/>
  <c r="L89" i="3"/>
  <c r="B124" i="4"/>
  <c r="C121" i="1"/>
  <c r="D89" i="3"/>
  <c r="E88" i="3"/>
  <c r="F88" i="3" s="1"/>
  <c r="G88" i="3" s="1"/>
  <c r="O120" i="1" l="1"/>
  <c r="P125" i="4" s="1"/>
  <c r="A121" i="1"/>
  <c r="L91" i="3" s="1"/>
  <c r="E121" i="1"/>
  <c r="B120" i="1"/>
  <c r="F125" i="4"/>
  <c r="U120" i="1"/>
  <c r="L90" i="3"/>
  <c r="H89" i="3"/>
  <c r="E89" i="3" s="1"/>
  <c r="F89" i="3" s="1"/>
  <c r="G89" i="3" s="1"/>
  <c r="C122" i="1"/>
  <c r="D126" i="4"/>
  <c r="D90" i="3"/>
  <c r="D121" i="1"/>
  <c r="O121" i="1" l="1"/>
  <c r="P126" i="4" s="1"/>
  <c r="A122" i="1"/>
  <c r="B127" i="4" s="1"/>
  <c r="E122" i="1"/>
  <c r="U121" i="1"/>
  <c r="F126" i="4"/>
  <c r="B121" i="1"/>
  <c r="C123" i="1"/>
  <c r="B126" i="4"/>
  <c r="H90" i="3"/>
  <c r="E90" i="3" s="1"/>
  <c r="F90" i="3" s="1"/>
  <c r="G90" i="3" s="1"/>
  <c r="D122" i="1"/>
  <c r="D91" i="3"/>
  <c r="D127" i="4"/>
  <c r="O122" i="1" l="1"/>
  <c r="P127" i="4" s="1"/>
  <c r="A123" i="1"/>
  <c r="H92" i="3" s="1"/>
  <c r="E123" i="1"/>
  <c r="D123" i="1"/>
  <c r="D128" i="4"/>
  <c r="H91" i="3"/>
  <c r="E91" i="3" s="1"/>
  <c r="F91" i="3" s="1"/>
  <c r="G91" i="3" s="1"/>
  <c r="L92" i="3"/>
  <c r="D92" i="3"/>
  <c r="C124" i="1"/>
  <c r="F127" i="4"/>
  <c r="U122" i="1"/>
  <c r="B122" i="1"/>
  <c r="O123" i="1" l="1"/>
  <c r="P128" i="4" s="1"/>
  <c r="A124" i="1"/>
  <c r="B129" i="4" s="1"/>
  <c r="E124" i="1"/>
  <c r="L93" i="3"/>
  <c r="F128" i="4"/>
  <c r="B128" i="4"/>
  <c r="D93" i="3"/>
  <c r="D124" i="1"/>
  <c r="B123" i="1"/>
  <c r="U123" i="1"/>
  <c r="C125" i="1"/>
  <c r="D129" i="4"/>
  <c r="E92" i="3"/>
  <c r="F92" i="3" s="1"/>
  <c r="G92" i="3" s="1"/>
  <c r="O124" i="1" l="1"/>
  <c r="P129" i="4" s="1"/>
  <c r="A125" i="1"/>
  <c r="L95" i="3" s="1"/>
  <c r="E125" i="1"/>
  <c r="C126" i="1"/>
  <c r="D94" i="3"/>
  <c r="D125" i="1"/>
  <c r="D130" i="4"/>
  <c r="L94" i="3"/>
  <c r="H93" i="3"/>
  <c r="E93" i="3" s="1"/>
  <c r="B124" i="1"/>
  <c r="U124" i="1"/>
  <c r="F129" i="4"/>
  <c r="O125" i="1" l="1"/>
  <c r="P130" i="4" s="1"/>
  <c r="F93" i="3"/>
  <c r="G93" i="3" s="1"/>
  <c r="A126" i="1"/>
  <c r="H95" i="3" s="1"/>
  <c r="E126" i="1"/>
  <c r="D95" i="3"/>
  <c r="D126" i="1"/>
  <c r="D131" i="4"/>
  <c r="U125" i="1"/>
  <c r="F130" i="4"/>
  <c r="C127" i="1"/>
  <c r="B130" i="4"/>
  <c r="H94" i="3"/>
  <c r="E94" i="3" s="1"/>
  <c r="F94" i="3" s="1"/>
  <c r="G94" i="3" s="1"/>
  <c r="B125" i="1"/>
  <c r="O126" i="1" l="1"/>
  <c r="P131" i="4" s="1"/>
  <c r="A127" i="1"/>
  <c r="B132" i="4" s="1"/>
  <c r="E127" i="1"/>
  <c r="C128" i="1"/>
  <c r="L96" i="3"/>
  <c r="D132" i="4"/>
  <c r="D96" i="3"/>
  <c r="B131" i="4"/>
  <c r="D127" i="1"/>
  <c r="F131" i="4"/>
  <c r="B126" i="1"/>
  <c r="U126" i="1"/>
  <c r="E95" i="3"/>
  <c r="F95" i="3" s="1"/>
  <c r="G95" i="3" s="1"/>
  <c r="O127" i="1" l="1"/>
  <c r="P132" i="4" s="1"/>
  <c r="A128" i="1"/>
  <c r="L98" i="3" s="1"/>
  <c r="E128" i="1"/>
  <c r="D128" i="1"/>
  <c r="D97" i="3"/>
  <c r="D133" i="4"/>
  <c r="B127" i="1"/>
  <c r="L97" i="3"/>
  <c r="U127" i="1"/>
  <c r="F132" i="4"/>
  <c r="H96" i="3"/>
  <c r="E96" i="3" s="1"/>
  <c r="F96" i="3" s="1"/>
  <c r="G96" i="3" s="1"/>
  <c r="C129" i="1"/>
  <c r="O128" i="1" l="1"/>
  <c r="P133" i="4" s="1"/>
  <c r="A129" i="1"/>
  <c r="B134" i="4" s="1"/>
  <c r="E129" i="1"/>
  <c r="D129" i="1"/>
  <c r="D98" i="3"/>
  <c r="H97" i="3"/>
  <c r="E97" i="3" s="1"/>
  <c r="F97" i="3" s="1"/>
  <c r="G97" i="3" s="1"/>
  <c r="B133" i="4"/>
  <c r="F133" i="4"/>
  <c r="C130" i="1"/>
  <c r="D134" i="4"/>
  <c r="U128" i="1"/>
  <c r="B128" i="1"/>
  <c r="O129" i="1" l="1"/>
  <c r="P134" i="4" s="1"/>
  <c r="A130" i="1"/>
  <c r="L100" i="3" s="1"/>
  <c r="E130" i="1"/>
  <c r="D135" i="4"/>
  <c r="C131" i="1"/>
  <c r="B129" i="1"/>
  <c r="F134" i="4"/>
  <c r="U129" i="1"/>
  <c r="D99" i="3"/>
  <c r="D130" i="1"/>
  <c r="H98" i="3"/>
  <c r="E98" i="3" s="1"/>
  <c r="F98" i="3" s="1"/>
  <c r="G98" i="3" s="1"/>
  <c r="L99" i="3"/>
  <c r="O130" i="1" l="1"/>
  <c r="P135" i="4" s="1"/>
  <c r="A131" i="1"/>
  <c r="H100" i="3" s="1"/>
  <c r="E131" i="1"/>
  <c r="C132" i="1"/>
  <c r="D136" i="4"/>
  <c r="D131" i="1"/>
  <c r="D100" i="3"/>
  <c r="H99" i="3"/>
  <c r="E99" i="3" s="1"/>
  <c r="F99" i="3" s="1"/>
  <c r="G99" i="3" s="1"/>
  <c r="F135" i="4"/>
  <c r="U130" i="1"/>
  <c r="B130" i="1"/>
  <c r="B135" i="4"/>
  <c r="O131" i="1" l="1"/>
  <c r="P136" i="4" s="1"/>
  <c r="A132" i="1"/>
  <c r="E132" i="1"/>
  <c r="F136" i="4"/>
  <c r="B131" i="1"/>
  <c r="U131" i="1"/>
  <c r="D132" i="1"/>
  <c r="D101" i="3"/>
  <c r="C133" i="1"/>
  <c r="D137" i="4"/>
  <c r="L101" i="3"/>
  <c r="B136" i="4"/>
  <c r="E100" i="3"/>
  <c r="F100" i="3" s="1"/>
  <c r="G100" i="3" s="1"/>
  <c r="O132" i="1" l="1"/>
  <c r="P137" i="4" s="1"/>
  <c r="A133" i="1"/>
  <c r="L103" i="3" s="1"/>
  <c r="E133" i="1"/>
  <c r="B132" i="1"/>
  <c r="U132" i="1"/>
  <c r="F137" i="4"/>
  <c r="C134" i="1"/>
  <c r="D133" i="1"/>
  <c r="D138" i="4"/>
  <c r="D102" i="3"/>
  <c r="H101" i="3"/>
  <c r="E101" i="3" s="1"/>
  <c r="B137" i="4"/>
  <c r="L102" i="3"/>
  <c r="O133" i="1" l="1"/>
  <c r="P138" i="4" s="1"/>
  <c r="F101" i="3"/>
  <c r="G101" i="3" s="1"/>
  <c r="A134" i="1"/>
  <c r="H103" i="3" s="1"/>
  <c r="E134" i="1"/>
  <c r="B138" i="4"/>
  <c r="H102" i="3"/>
  <c r="E102" i="3" s="1"/>
  <c r="C135" i="1"/>
  <c r="D134" i="1"/>
  <c r="U133" i="1"/>
  <c r="F138" i="4"/>
  <c r="B133" i="1"/>
  <c r="D139" i="4"/>
  <c r="D103" i="3"/>
  <c r="O134" i="1" l="1"/>
  <c r="P139" i="4" s="1"/>
  <c r="F102" i="3"/>
  <c r="G102" i="3" s="1"/>
  <c r="A135" i="1"/>
  <c r="H104" i="3" s="1"/>
  <c r="E135" i="1"/>
  <c r="L104" i="3"/>
  <c r="B139" i="4"/>
  <c r="U134" i="1"/>
  <c r="B134" i="1"/>
  <c r="D135" i="1"/>
  <c r="F139" i="4"/>
  <c r="D104" i="3"/>
  <c r="C136" i="1"/>
  <c r="D140" i="4"/>
  <c r="E103" i="3"/>
  <c r="O135" i="1" l="1"/>
  <c r="P140" i="4" s="1"/>
  <c r="F103" i="3"/>
  <c r="G103" i="3" s="1"/>
  <c r="A136" i="1"/>
  <c r="E136" i="1"/>
  <c r="B140" i="4"/>
  <c r="L105" i="3"/>
  <c r="C137" i="1"/>
  <c r="D136" i="1"/>
  <c r="D141" i="4"/>
  <c r="D105" i="3"/>
  <c r="U135" i="1"/>
  <c r="B135" i="1"/>
  <c r="F140" i="4"/>
  <c r="E104" i="3"/>
  <c r="F104" i="3" s="1"/>
  <c r="G104" i="3" s="1"/>
  <c r="O136" i="1" l="1"/>
  <c r="P141" i="4" s="1"/>
  <c r="A137" i="1"/>
  <c r="H106" i="3" s="1"/>
  <c r="E137" i="1"/>
  <c r="D142" i="4"/>
  <c r="D137" i="1"/>
  <c r="C138" i="1"/>
  <c r="D106" i="3"/>
  <c r="H105" i="3"/>
  <c r="E105" i="3" s="1"/>
  <c r="F105" i="3" s="1"/>
  <c r="G105" i="3" s="1"/>
  <c r="L106" i="3"/>
  <c r="B136" i="1"/>
  <c r="B141" i="4"/>
  <c r="F141" i="4"/>
  <c r="U136" i="1"/>
  <c r="O137" i="1" l="1"/>
  <c r="P142" i="4" s="1"/>
  <c r="A138" i="1"/>
  <c r="B143" i="4" s="1"/>
  <c r="E138" i="1"/>
  <c r="L107" i="3"/>
  <c r="D143" i="4"/>
  <c r="D107" i="3"/>
  <c r="U137" i="1"/>
  <c r="B137" i="1"/>
  <c r="F142" i="4"/>
  <c r="B142" i="4"/>
  <c r="C139" i="1"/>
  <c r="D138" i="1"/>
  <c r="E106" i="3"/>
  <c r="F106" i="3" s="1"/>
  <c r="G106" i="3" s="1"/>
  <c r="O138" i="1" l="1"/>
  <c r="P143" i="4" s="1"/>
  <c r="A139" i="1"/>
  <c r="B144" i="4" s="1"/>
  <c r="E139" i="1"/>
  <c r="C140" i="1"/>
  <c r="B138" i="1"/>
  <c r="D139" i="1"/>
  <c r="F143" i="4"/>
  <c r="H107" i="3"/>
  <c r="E107" i="3" s="1"/>
  <c r="F107" i="3" s="1"/>
  <c r="G107" i="3" s="1"/>
  <c r="L108" i="3"/>
  <c r="U138" i="1"/>
  <c r="D144" i="4"/>
  <c r="D108" i="3"/>
  <c r="O139" i="1" l="1"/>
  <c r="P144" i="4" s="1"/>
  <c r="A140" i="1"/>
  <c r="L110" i="3" s="1"/>
  <c r="E140" i="1"/>
  <c r="L109" i="3"/>
  <c r="H108" i="3"/>
  <c r="E108" i="3" s="1"/>
  <c r="C141" i="1"/>
  <c r="D140" i="1"/>
  <c r="D145" i="4"/>
  <c r="D109" i="3"/>
  <c r="U139" i="1"/>
  <c r="F144" i="4"/>
  <c r="B139" i="1"/>
  <c r="O140" i="1" l="1"/>
  <c r="P145" i="4" s="1"/>
  <c r="F108" i="3"/>
  <c r="G108" i="3" s="1"/>
  <c r="A141" i="1"/>
  <c r="L111" i="3" s="1"/>
  <c r="E141" i="1"/>
  <c r="U140" i="1"/>
  <c r="B140" i="1"/>
  <c r="F145" i="4"/>
  <c r="D110" i="3"/>
  <c r="B145" i="4"/>
  <c r="H109" i="3"/>
  <c r="E109" i="3" s="1"/>
  <c r="F109" i="3" s="1"/>
  <c r="G109" i="3" s="1"/>
  <c r="C142" i="1"/>
  <c r="D146" i="4"/>
  <c r="D141" i="1"/>
  <c r="O141" i="1" l="1"/>
  <c r="P146" i="4" s="1"/>
  <c r="A142" i="1"/>
  <c r="B147" i="4" s="1"/>
  <c r="E142" i="1"/>
  <c r="U141" i="1"/>
  <c r="B141" i="1"/>
  <c r="F146" i="4"/>
  <c r="B146" i="4"/>
  <c r="D142" i="1"/>
  <c r="D111" i="3"/>
  <c r="H110" i="3"/>
  <c r="E110" i="3" s="1"/>
  <c r="D147" i="4"/>
  <c r="C143" i="1"/>
  <c r="O142" i="1" l="1"/>
  <c r="P147" i="4" s="1"/>
  <c r="F110" i="3"/>
  <c r="G110" i="3" s="1"/>
  <c r="A143" i="1"/>
  <c r="H112" i="3" s="1"/>
  <c r="E143" i="1"/>
  <c r="B142" i="1"/>
  <c r="U142" i="1"/>
  <c r="F147" i="4"/>
  <c r="H111" i="3"/>
  <c r="E111" i="3" s="1"/>
  <c r="F111" i="3" s="1"/>
  <c r="G111" i="3" s="1"/>
  <c r="L112" i="3"/>
  <c r="C144" i="1"/>
  <c r="D143" i="1"/>
  <c r="D112" i="3"/>
  <c r="D148" i="4"/>
  <c r="O143" i="1" l="1"/>
  <c r="P148" i="4" s="1"/>
  <c r="A144" i="1"/>
  <c r="L114" i="3" s="1"/>
  <c r="E144" i="1"/>
  <c r="B143" i="1"/>
  <c r="L113" i="3"/>
  <c r="F148" i="4"/>
  <c r="U143" i="1"/>
  <c r="B148" i="4"/>
  <c r="C145" i="1"/>
  <c r="D113" i="3"/>
  <c r="D149" i="4"/>
  <c r="D144" i="1"/>
  <c r="E112" i="3"/>
  <c r="F112" i="3" s="1"/>
  <c r="G112" i="3" s="1"/>
  <c r="O144" i="1" l="1"/>
  <c r="P149" i="4" s="1"/>
  <c r="A145" i="1"/>
  <c r="E145" i="1"/>
  <c r="B149" i="4"/>
  <c r="D114" i="3"/>
  <c r="C146" i="1"/>
  <c r="D145" i="1"/>
  <c r="D150" i="4"/>
  <c r="H113" i="3"/>
  <c r="E113" i="3" s="1"/>
  <c r="F113" i="3" s="1"/>
  <c r="G113" i="3" s="1"/>
  <c r="U144" i="1"/>
  <c r="B144" i="1"/>
  <c r="F149" i="4"/>
  <c r="O145" i="1" l="1"/>
  <c r="P150" i="4" s="1"/>
  <c r="A146" i="1"/>
  <c r="H115" i="3" s="1"/>
  <c r="E146" i="1"/>
  <c r="D146" i="1"/>
  <c r="C147" i="1"/>
  <c r="D151" i="4"/>
  <c r="B150" i="4"/>
  <c r="L115" i="3"/>
  <c r="H114" i="3"/>
  <c r="E114" i="3" s="1"/>
  <c r="F114" i="3" s="1"/>
  <c r="G114" i="3" s="1"/>
  <c r="D115" i="3"/>
  <c r="U145" i="1"/>
  <c r="B145" i="1"/>
  <c r="F150" i="4"/>
  <c r="O146" i="1" l="1"/>
  <c r="P151" i="4" s="1"/>
  <c r="A147" i="1"/>
  <c r="L117" i="3" s="1"/>
  <c r="E147" i="1"/>
  <c r="B151" i="4"/>
  <c r="L116" i="3"/>
  <c r="U146" i="1"/>
  <c r="B146" i="1"/>
  <c r="F151" i="4"/>
  <c r="C148" i="1"/>
  <c r="D152" i="4"/>
  <c r="D116" i="3"/>
  <c r="D147" i="1"/>
  <c r="E115" i="3"/>
  <c r="F115" i="3" s="1"/>
  <c r="G115" i="3" s="1"/>
  <c r="O147" i="1" l="1"/>
  <c r="P152" i="4" s="1"/>
  <c r="A148" i="1"/>
  <c r="H117" i="3" s="1"/>
  <c r="E148" i="1"/>
  <c r="H116" i="3"/>
  <c r="E116" i="3" s="1"/>
  <c r="B152" i="4"/>
  <c r="D148" i="1"/>
  <c r="D117" i="3"/>
  <c r="B147" i="1"/>
  <c r="U147" i="1"/>
  <c r="F152" i="4"/>
  <c r="C149" i="1"/>
  <c r="D153" i="4"/>
  <c r="O148" i="1" l="1"/>
  <c r="P153" i="4" s="1"/>
  <c r="F116" i="3"/>
  <c r="G116" i="3" s="1"/>
  <c r="A149" i="1"/>
  <c r="B154" i="4" s="1"/>
  <c r="E149" i="1"/>
  <c r="L118" i="3"/>
  <c r="B153" i="4"/>
  <c r="U148" i="1"/>
  <c r="F153" i="4"/>
  <c r="B148" i="1"/>
  <c r="D154" i="4"/>
  <c r="D149" i="1"/>
  <c r="D118" i="3"/>
  <c r="C150" i="1"/>
  <c r="E117" i="3"/>
  <c r="F117" i="3" s="1"/>
  <c r="G117" i="3" s="1"/>
  <c r="O149" i="1" l="1"/>
  <c r="P154" i="4" s="1"/>
  <c r="A150" i="1"/>
  <c r="B155" i="4" s="1"/>
  <c r="E150" i="1"/>
  <c r="D155" i="4"/>
  <c r="D150" i="1"/>
  <c r="H118" i="3"/>
  <c r="E118" i="3" s="1"/>
  <c r="F118" i="3" s="1"/>
  <c r="G118" i="3" s="1"/>
  <c r="L119" i="3"/>
  <c r="D119" i="3"/>
  <c r="B149" i="1"/>
  <c r="U149" i="1"/>
  <c r="F154" i="4"/>
  <c r="C151" i="1"/>
  <c r="O150" i="1" l="1"/>
  <c r="P155" i="4" s="1"/>
  <c r="A151" i="1"/>
  <c r="B156" i="4" s="1"/>
  <c r="E151" i="1"/>
  <c r="U150" i="1"/>
  <c r="B150" i="1"/>
  <c r="F155" i="4"/>
  <c r="H119" i="3"/>
  <c r="E119" i="3" s="1"/>
  <c r="F119" i="3" s="1"/>
  <c r="G119" i="3" s="1"/>
  <c r="L120" i="3"/>
  <c r="D151" i="1"/>
  <c r="D120" i="3"/>
  <c r="C152" i="1"/>
  <c r="D156" i="4"/>
  <c r="O151" i="1" l="1"/>
  <c r="P156" i="4" s="1"/>
  <c r="A152" i="1"/>
  <c r="B157" i="4" s="1"/>
  <c r="E152" i="1"/>
  <c r="D157" i="4"/>
  <c r="D152" i="1"/>
  <c r="D121" i="3"/>
  <c r="C153" i="1"/>
  <c r="H120" i="3"/>
  <c r="E120" i="3" s="1"/>
  <c r="F120" i="3" s="1"/>
  <c r="G120" i="3" s="1"/>
  <c r="L121" i="3"/>
  <c r="F156" i="4"/>
  <c r="B151" i="1"/>
  <c r="U151" i="1"/>
  <c r="O152" i="1" l="1"/>
  <c r="P157" i="4" s="1"/>
  <c r="A153" i="1"/>
  <c r="B158" i="4" s="1"/>
  <c r="E153" i="1"/>
  <c r="D122" i="3"/>
  <c r="U152" i="1"/>
  <c r="B152" i="1"/>
  <c r="F157" i="4"/>
  <c r="H121" i="3"/>
  <c r="E121" i="3" s="1"/>
  <c r="L122" i="3"/>
  <c r="C154" i="1"/>
  <c r="D153" i="1"/>
  <c r="D158" i="4"/>
  <c r="O153" i="1" l="1"/>
  <c r="P158" i="4" s="1"/>
  <c r="F121" i="3"/>
  <c r="G121" i="3" s="1"/>
  <c r="A154" i="1"/>
  <c r="B159" i="4" s="1"/>
  <c r="E154" i="1"/>
  <c r="H122" i="3"/>
  <c r="E122" i="3" s="1"/>
  <c r="F122" i="3" s="1"/>
  <c r="G122" i="3" s="1"/>
  <c r="L123" i="3"/>
  <c r="B153" i="1"/>
  <c r="C155" i="1"/>
  <c r="U153" i="1"/>
  <c r="D154" i="1"/>
  <c r="F158" i="4"/>
  <c r="D123" i="3"/>
  <c r="D159" i="4"/>
  <c r="O154" i="1" l="1"/>
  <c r="P159" i="4" s="1"/>
  <c r="A155" i="1"/>
  <c r="B160" i="4" s="1"/>
  <c r="E155" i="1"/>
  <c r="H123" i="3"/>
  <c r="E123" i="3" s="1"/>
  <c r="C156" i="1"/>
  <c r="D160" i="4"/>
  <c r="L124" i="3"/>
  <c r="D124" i="3"/>
  <c r="D155" i="1"/>
  <c r="B154" i="1"/>
  <c r="F159" i="4"/>
  <c r="U154" i="1"/>
  <c r="O155" i="1" l="1"/>
  <c r="P160" i="4" s="1"/>
  <c r="F123" i="3"/>
  <c r="G123" i="3" s="1"/>
  <c r="A156" i="1"/>
  <c r="H125" i="3" s="1"/>
  <c r="E156" i="1"/>
  <c r="L125" i="3"/>
  <c r="C157" i="1"/>
  <c r="D161" i="4"/>
  <c r="D125" i="3"/>
  <c r="D156" i="1"/>
  <c r="H124" i="3"/>
  <c r="E124" i="3" s="1"/>
  <c r="F124" i="3" s="1"/>
  <c r="G124" i="3" s="1"/>
  <c r="B155" i="1"/>
  <c r="F160" i="4"/>
  <c r="U155" i="1"/>
  <c r="O156" i="1" l="1"/>
  <c r="P161" i="4" s="1"/>
  <c r="A157" i="1"/>
  <c r="B162" i="4" s="1"/>
  <c r="E157" i="1"/>
  <c r="B161" i="4"/>
  <c r="L126" i="3"/>
  <c r="B156" i="1"/>
  <c r="F161" i="4"/>
  <c r="D157" i="1"/>
  <c r="U156" i="1"/>
  <c r="D126" i="3"/>
  <c r="C158" i="1"/>
  <c r="D162" i="4"/>
  <c r="E125" i="3"/>
  <c r="O157" i="1" l="1"/>
  <c r="P162" i="4" s="1"/>
  <c r="F125" i="3"/>
  <c r="G125" i="3" s="1"/>
  <c r="A158" i="1"/>
  <c r="L128" i="3" s="1"/>
  <c r="E158" i="1"/>
  <c r="F162" i="4"/>
  <c r="B157" i="1"/>
  <c r="H126" i="3"/>
  <c r="E126" i="3" s="1"/>
  <c r="F126" i="3" s="1"/>
  <c r="G126" i="3" s="1"/>
  <c r="L127" i="3"/>
  <c r="U157" i="1"/>
  <c r="C159" i="1"/>
  <c r="D127" i="3"/>
  <c r="D163" i="4"/>
  <c r="D158" i="1"/>
  <c r="O158" i="1" l="1"/>
  <c r="P163" i="4" s="1"/>
  <c r="A159" i="1"/>
  <c r="H128" i="3" s="1"/>
  <c r="E159" i="1"/>
  <c r="C160" i="1"/>
  <c r="D159" i="1"/>
  <c r="D128" i="3"/>
  <c r="D164" i="4"/>
  <c r="B158" i="1"/>
  <c r="F163" i="4"/>
  <c r="U158" i="1"/>
  <c r="H127" i="3"/>
  <c r="E127" i="3" s="1"/>
  <c r="B163" i="4"/>
  <c r="O159" i="1" l="1"/>
  <c r="P164" i="4" s="1"/>
  <c r="F127" i="3"/>
  <c r="G127" i="3" s="1"/>
  <c r="A160" i="1"/>
  <c r="H129" i="3" s="1"/>
  <c r="E160" i="1"/>
  <c r="C161" i="1"/>
  <c r="D160" i="1"/>
  <c r="D129" i="3"/>
  <c r="D165" i="4"/>
  <c r="U159" i="1"/>
  <c r="F164" i="4"/>
  <c r="B159" i="1"/>
  <c r="L129" i="3"/>
  <c r="B164" i="4"/>
  <c r="E128" i="3"/>
  <c r="F128" i="3" s="1"/>
  <c r="G128" i="3" s="1"/>
  <c r="O160" i="1" l="1"/>
  <c r="P165" i="4" s="1"/>
  <c r="A161" i="1"/>
  <c r="L131" i="3" s="1"/>
  <c r="E161" i="1"/>
  <c r="B160" i="1"/>
  <c r="F165" i="4"/>
  <c r="U160" i="1"/>
  <c r="C162" i="1"/>
  <c r="D161" i="1"/>
  <c r="D130" i="3"/>
  <c r="D166" i="4"/>
  <c r="B165" i="4"/>
  <c r="L130" i="3"/>
  <c r="E129" i="3"/>
  <c r="F129" i="3" s="1"/>
  <c r="G129" i="3" s="1"/>
  <c r="O161" i="1" l="1"/>
  <c r="P166" i="4" s="1"/>
  <c r="A162" i="1"/>
  <c r="E162" i="1"/>
  <c r="F166" i="4"/>
  <c r="U161" i="1"/>
  <c r="B161" i="1"/>
  <c r="C163" i="1"/>
  <c r="D131" i="3"/>
  <c r="D167" i="4"/>
  <c r="D162" i="1"/>
  <c r="H130" i="3"/>
  <c r="E130" i="3" s="1"/>
  <c r="F130" i="3" s="1"/>
  <c r="G130" i="3" s="1"/>
  <c r="B166" i="4"/>
  <c r="O162" i="1" l="1"/>
  <c r="P167" i="4" s="1"/>
  <c r="A163" i="1"/>
  <c r="H132" i="3" s="1"/>
  <c r="E163" i="1"/>
  <c r="D132" i="3"/>
  <c r="B162" i="1"/>
  <c r="F167" i="4"/>
  <c r="U162" i="1"/>
  <c r="D168" i="4"/>
  <c r="C164" i="1"/>
  <c r="D163" i="1"/>
  <c r="L132" i="3"/>
  <c r="B167" i="4"/>
  <c r="H131" i="3"/>
  <c r="E131" i="3" s="1"/>
  <c r="O163" i="1" l="1"/>
  <c r="P168" i="4" s="1"/>
  <c r="F131" i="3"/>
  <c r="G131" i="3" s="1"/>
  <c r="A164" i="1"/>
  <c r="B169" i="4" s="1"/>
  <c r="E164" i="1"/>
  <c r="L133" i="3"/>
  <c r="B168" i="4"/>
  <c r="C165" i="1"/>
  <c r="B163" i="1"/>
  <c r="F168" i="4"/>
  <c r="U163" i="1"/>
  <c r="D164" i="1"/>
  <c r="D169" i="4"/>
  <c r="D133" i="3"/>
  <c r="E132" i="3"/>
  <c r="O164" i="1" l="1"/>
  <c r="P169" i="4" s="1"/>
  <c r="F132" i="3"/>
  <c r="G132" i="3" s="1"/>
  <c r="A165" i="1"/>
  <c r="H134" i="3" s="1"/>
  <c r="E165" i="1"/>
  <c r="L134" i="3"/>
  <c r="H133" i="3"/>
  <c r="E133" i="3" s="1"/>
  <c r="F133" i="3" s="1"/>
  <c r="G133" i="3" s="1"/>
  <c r="D134" i="3"/>
  <c r="C166" i="1"/>
  <c r="D170" i="4"/>
  <c r="D165" i="1"/>
  <c r="F169" i="4"/>
  <c r="U164" i="1"/>
  <c r="B164" i="1"/>
  <c r="O165" i="1" l="1"/>
  <c r="P170" i="4" s="1"/>
  <c r="A166" i="1"/>
  <c r="B171" i="4" s="1"/>
  <c r="E166" i="1"/>
  <c r="L135" i="3"/>
  <c r="B170" i="4"/>
  <c r="D166" i="1"/>
  <c r="D171" i="4"/>
  <c r="D135" i="3"/>
  <c r="U165" i="1"/>
  <c r="F170" i="4"/>
  <c r="C167" i="1"/>
  <c r="B165" i="1"/>
  <c r="E134" i="3"/>
  <c r="O166" i="1" l="1"/>
  <c r="P171" i="4" s="1"/>
  <c r="F134" i="3"/>
  <c r="G134" i="3" s="1"/>
  <c r="A167" i="1"/>
  <c r="H136" i="3" s="1"/>
  <c r="E167" i="1"/>
  <c r="L136" i="3"/>
  <c r="D167" i="1"/>
  <c r="D136" i="3"/>
  <c r="D172" i="4"/>
  <c r="C168" i="1"/>
  <c r="H135" i="3"/>
  <c r="E135" i="3" s="1"/>
  <c r="F135" i="3" s="1"/>
  <c r="G135" i="3" s="1"/>
  <c r="F171" i="4"/>
  <c r="U166" i="1"/>
  <c r="B166" i="1"/>
  <c r="O167" i="1" l="1"/>
  <c r="P172" i="4" s="1"/>
  <c r="A168" i="1"/>
  <c r="H137" i="3" s="1"/>
  <c r="E168" i="1"/>
  <c r="C169" i="1"/>
  <c r="D137" i="3"/>
  <c r="D173" i="4"/>
  <c r="D168" i="1"/>
  <c r="B172" i="4"/>
  <c r="F172" i="4"/>
  <c r="L137" i="3"/>
  <c r="U167" i="1"/>
  <c r="B167" i="1"/>
  <c r="E136" i="3"/>
  <c r="O168" i="1" l="1"/>
  <c r="P173" i="4" s="1"/>
  <c r="F136" i="3"/>
  <c r="G136" i="3" s="1"/>
  <c r="A169" i="1"/>
  <c r="L139" i="3" s="1"/>
  <c r="E169" i="1"/>
  <c r="C170" i="1"/>
  <c r="D169" i="1"/>
  <c r="D138" i="3"/>
  <c r="D174" i="4"/>
  <c r="U168" i="1"/>
  <c r="F173" i="4"/>
  <c r="L138" i="3"/>
  <c r="B173" i="4"/>
  <c r="B168" i="1"/>
  <c r="E137" i="3"/>
  <c r="F137" i="3" s="1"/>
  <c r="G137" i="3" s="1"/>
  <c r="O169" i="1" l="1"/>
  <c r="P174" i="4" s="1"/>
  <c r="A170" i="1"/>
  <c r="E170" i="1"/>
  <c r="F174" i="4"/>
  <c r="B169" i="1"/>
  <c r="U169" i="1"/>
  <c r="C171" i="1"/>
  <c r="D170" i="1"/>
  <c r="D175" i="4"/>
  <c r="D139" i="3"/>
  <c r="B174" i="4"/>
  <c r="H138" i="3"/>
  <c r="E138" i="3" s="1"/>
  <c r="O170" i="1" l="1"/>
  <c r="P175" i="4" s="1"/>
  <c r="F138" i="3"/>
  <c r="G138" i="3" s="1"/>
  <c r="A171" i="1"/>
  <c r="L141" i="3" s="1"/>
  <c r="E171" i="1"/>
  <c r="C172" i="1"/>
  <c r="D176" i="4"/>
  <c r="D140" i="3"/>
  <c r="D171" i="1"/>
  <c r="F175" i="4"/>
  <c r="U170" i="1"/>
  <c r="B170" i="1"/>
  <c r="H139" i="3"/>
  <c r="E139" i="3" s="1"/>
  <c r="F139" i="3" s="1"/>
  <c r="G139" i="3" s="1"/>
  <c r="L140" i="3"/>
  <c r="B175" i="4"/>
  <c r="O171" i="1" l="1"/>
  <c r="P176" i="4" s="1"/>
  <c r="A172" i="1"/>
  <c r="H141" i="3" s="1"/>
  <c r="E172" i="1"/>
  <c r="H140" i="3"/>
  <c r="E140" i="3" s="1"/>
  <c r="F140" i="3" s="1"/>
  <c r="G140" i="3" s="1"/>
  <c r="B176" i="4"/>
  <c r="D177" i="4"/>
  <c r="C173" i="1"/>
  <c r="D141" i="3"/>
  <c r="D172" i="1"/>
  <c r="B171" i="1"/>
  <c r="F176" i="4"/>
  <c r="U171" i="1"/>
  <c r="O172" i="1" l="1"/>
  <c r="P177" i="4" s="1"/>
  <c r="A173" i="1"/>
  <c r="L143" i="3" s="1"/>
  <c r="E173" i="1"/>
  <c r="F177" i="4"/>
  <c r="U172" i="1"/>
  <c r="B172" i="1"/>
  <c r="B177" i="4"/>
  <c r="L142" i="3"/>
  <c r="D178" i="4"/>
  <c r="D173" i="1"/>
  <c r="C174" i="1"/>
  <c r="D142" i="3"/>
  <c r="E141" i="3"/>
  <c r="F141" i="3" s="1"/>
  <c r="G141" i="3" s="1"/>
  <c r="O173" i="1" l="1"/>
  <c r="P178" i="4" s="1"/>
  <c r="A174" i="1"/>
  <c r="B179" i="4" s="1"/>
  <c r="E174" i="1"/>
  <c r="B178" i="4"/>
  <c r="H142" i="3"/>
  <c r="E142" i="3" s="1"/>
  <c r="F142" i="3" s="1"/>
  <c r="G142" i="3" s="1"/>
  <c r="D143" i="3"/>
  <c r="C175" i="1"/>
  <c r="D174" i="1"/>
  <c r="F178" i="4"/>
  <c r="U173" i="1"/>
  <c r="B173" i="1"/>
  <c r="D179" i="4"/>
  <c r="O174" i="1" l="1"/>
  <c r="P179" i="4" s="1"/>
  <c r="A175" i="1"/>
  <c r="L145" i="3" s="1"/>
  <c r="E175" i="1"/>
  <c r="F179" i="4"/>
  <c r="U174" i="1"/>
  <c r="B174" i="1"/>
  <c r="C176" i="1"/>
  <c r="D180" i="4"/>
  <c r="D144" i="3"/>
  <c r="L144" i="3"/>
  <c r="D175" i="1"/>
  <c r="H143" i="3"/>
  <c r="E143" i="3" s="1"/>
  <c r="F143" i="3" s="1"/>
  <c r="G143" i="3" s="1"/>
  <c r="O175" i="1" l="1"/>
  <c r="P180" i="4" s="1"/>
  <c r="A176" i="1"/>
  <c r="H145" i="3" s="1"/>
  <c r="E176" i="1"/>
  <c r="D145" i="3"/>
  <c r="D176" i="1"/>
  <c r="C177" i="1"/>
  <c r="D181" i="4"/>
  <c r="B175" i="1"/>
  <c r="F180" i="4"/>
  <c r="B180" i="4"/>
  <c r="H144" i="3"/>
  <c r="E144" i="3" s="1"/>
  <c r="F144" i="3" s="1"/>
  <c r="G144" i="3" s="1"/>
  <c r="U175" i="1"/>
  <c r="O176" i="1" l="1"/>
  <c r="P181" i="4" s="1"/>
  <c r="A177" i="1"/>
  <c r="L147" i="3" s="1"/>
  <c r="E177" i="1"/>
  <c r="D182" i="4"/>
  <c r="C178" i="1"/>
  <c r="B181" i="4"/>
  <c r="L146" i="3"/>
  <c r="D177" i="1"/>
  <c r="D146" i="3"/>
  <c r="F181" i="4"/>
  <c r="B176" i="1"/>
  <c r="U176" i="1"/>
  <c r="E145" i="3"/>
  <c r="F145" i="3" s="1"/>
  <c r="G145" i="3" s="1"/>
  <c r="O177" i="1" l="1"/>
  <c r="P182" i="4" s="1"/>
  <c r="A178" i="1"/>
  <c r="H147" i="3" s="1"/>
  <c r="E178" i="1"/>
  <c r="D183" i="4"/>
  <c r="D178" i="1"/>
  <c r="C179" i="1"/>
  <c r="D147" i="3"/>
  <c r="B177" i="1"/>
  <c r="H146" i="3"/>
  <c r="E146" i="3" s="1"/>
  <c r="F146" i="3" s="1"/>
  <c r="G146" i="3" s="1"/>
  <c r="B182" i="4"/>
  <c r="F182" i="4"/>
  <c r="U177" i="1"/>
  <c r="O178" i="1" l="1"/>
  <c r="P183" i="4" s="1"/>
  <c r="A179" i="1"/>
  <c r="E179" i="1"/>
  <c r="C180" i="1"/>
  <c r="D148" i="3"/>
  <c r="D179" i="1"/>
  <c r="D184" i="4"/>
  <c r="B178" i="1"/>
  <c r="F183" i="4"/>
  <c r="U178" i="1"/>
  <c r="B183" i="4"/>
  <c r="L148" i="3"/>
  <c r="E147" i="3"/>
  <c r="F147" i="3" s="1"/>
  <c r="G147" i="3" s="1"/>
  <c r="O179" i="1" l="1"/>
  <c r="P184" i="4" s="1"/>
  <c r="A180" i="1"/>
  <c r="L150" i="3" s="1"/>
  <c r="E180" i="1"/>
  <c r="C181" i="1"/>
  <c r="D180" i="1"/>
  <c r="D149" i="3"/>
  <c r="D185" i="4"/>
  <c r="B179" i="1"/>
  <c r="L149" i="3"/>
  <c r="H148" i="3"/>
  <c r="E148" i="3" s="1"/>
  <c r="U179" i="1"/>
  <c r="F184" i="4"/>
  <c r="B184" i="4"/>
  <c r="O180" i="1" l="1"/>
  <c r="P185" i="4" s="1"/>
  <c r="F148" i="3"/>
  <c r="G148" i="3" s="1"/>
  <c r="A181" i="1"/>
  <c r="L151" i="3" s="1"/>
  <c r="E181" i="1"/>
  <c r="U180" i="1"/>
  <c r="F185" i="4"/>
  <c r="B180" i="1"/>
  <c r="B185" i="4"/>
  <c r="H149" i="3"/>
  <c r="E149" i="3" s="1"/>
  <c r="F149" i="3" s="1"/>
  <c r="G149" i="3" s="1"/>
  <c r="C182" i="1"/>
  <c r="D186" i="4"/>
  <c r="D181" i="1"/>
  <c r="D150" i="3"/>
  <c r="O181" i="1" l="1"/>
  <c r="P186" i="4" s="1"/>
  <c r="A182" i="1"/>
  <c r="E182" i="1"/>
  <c r="U181" i="1"/>
  <c r="F186" i="4"/>
  <c r="D151" i="3"/>
  <c r="D187" i="4"/>
  <c r="C183" i="1"/>
  <c r="D182" i="1"/>
  <c r="B186" i="4"/>
  <c r="H150" i="3"/>
  <c r="E150" i="3" s="1"/>
  <c r="F150" i="3" s="1"/>
  <c r="G150" i="3" s="1"/>
  <c r="B181" i="1"/>
  <c r="O182" i="1" l="1"/>
  <c r="P187" i="4" s="1"/>
  <c r="A183" i="1"/>
  <c r="H152" i="3" s="1"/>
  <c r="E183" i="1"/>
  <c r="D152" i="3"/>
  <c r="D188" i="4"/>
  <c r="C184" i="1"/>
  <c r="D183" i="1"/>
  <c r="F187" i="4"/>
  <c r="U182" i="1"/>
  <c r="B182" i="1"/>
  <c r="H151" i="3"/>
  <c r="E151" i="3" s="1"/>
  <c r="F151" i="3" s="1"/>
  <c r="G151" i="3" s="1"/>
  <c r="B187" i="4"/>
  <c r="L152" i="3"/>
  <c r="O183" i="1" l="1"/>
  <c r="P188" i="4" s="1"/>
  <c r="A184" i="1"/>
  <c r="H153" i="3" s="1"/>
  <c r="E184" i="1"/>
  <c r="L153" i="3"/>
  <c r="B188" i="4"/>
  <c r="B183" i="1"/>
  <c r="U183" i="1"/>
  <c r="F188" i="4"/>
  <c r="D153" i="3"/>
  <c r="D184" i="1"/>
  <c r="C185" i="1"/>
  <c r="D189" i="4"/>
  <c r="E152" i="3"/>
  <c r="F152" i="3" s="1"/>
  <c r="G152" i="3" s="1"/>
  <c r="O184" i="1" l="1"/>
  <c r="P189" i="4" s="1"/>
  <c r="A185" i="1"/>
  <c r="L155" i="3" s="1"/>
  <c r="E185" i="1"/>
  <c r="B189" i="4"/>
  <c r="L154" i="3"/>
  <c r="C186" i="1"/>
  <c r="D190" i="4"/>
  <c r="D185" i="1"/>
  <c r="D154" i="3"/>
  <c r="U184" i="1"/>
  <c r="B184" i="1"/>
  <c r="F189" i="4"/>
  <c r="E153" i="3"/>
  <c r="F153" i="3" s="1"/>
  <c r="G153" i="3" s="1"/>
  <c r="O185" i="1" l="1"/>
  <c r="P190" i="4" s="1"/>
  <c r="A186" i="1"/>
  <c r="H155" i="3" s="1"/>
  <c r="E186" i="1"/>
  <c r="C187" i="1"/>
  <c r="D186" i="1"/>
  <c r="D155" i="3"/>
  <c r="D191" i="4"/>
  <c r="H154" i="3"/>
  <c r="E154" i="3" s="1"/>
  <c r="F154" i="3" s="1"/>
  <c r="G154" i="3" s="1"/>
  <c r="B190" i="4"/>
  <c r="U185" i="1"/>
  <c r="B185" i="1"/>
  <c r="F190" i="4"/>
  <c r="O186" i="1" l="1"/>
  <c r="P191" i="4" s="1"/>
  <c r="A187" i="1"/>
  <c r="E187" i="1"/>
  <c r="C188" i="1"/>
  <c r="D156" i="3"/>
  <c r="D192" i="4"/>
  <c r="D187" i="1"/>
  <c r="B186" i="1"/>
  <c r="F191" i="4"/>
  <c r="U186" i="1"/>
  <c r="B191" i="4"/>
  <c r="L156" i="3"/>
  <c r="E155" i="3"/>
  <c r="O187" i="1" l="1"/>
  <c r="P192" i="4" s="1"/>
  <c r="F155" i="3"/>
  <c r="G155" i="3" s="1"/>
  <c r="A188" i="1"/>
  <c r="L158" i="3" s="1"/>
  <c r="E188" i="1"/>
  <c r="C189" i="1"/>
  <c r="D193" i="4"/>
  <c r="D157" i="3"/>
  <c r="D188" i="1"/>
  <c r="F192" i="4"/>
  <c r="B187" i="1"/>
  <c r="U187" i="1"/>
  <c r="L157" i="3"/>
  <c r="B192" i="4"/>
  <c r="H156" i="3"/>
  <c r="E156" i="3" s="1"/>
  <c r="F156" i="3" s="1"/>
  <c r="G156" i="3" s="1"/>
  <c r="O188" i="1" l="1"/>
  <c r="P193" i="4" s="1"/>
  <c r="A189" i="1"/>
  <c r="B194" i="4" s="1"/>
  <c r="E189" i="1"/>
  <c r="B188" i="1"/>
  <c r="U188" i="1"/>
  <c r="F193" i="4"/>
  <c r="C190" i="1"/>
  <c r="D189" i="1"/>
  <c r="D194" i="4"/>
  <c r="D158" i="3"/>
  <c r="H157" i="3"/>
  <c r="E157" i="3" s="1"/>
  <c r="F157" i="3" s="1"/>
  <c r="G157" i="3" s="1"/>
  <c r="B193" i="4"/>
  <c r="O189" i="1" l="1"/>
  <c r="P194" i="4" s="1"/>
  <c r="A190" i="1"/>
  <c r="B195" i="4" s="1"/>
  <c r="E190" i="1"/>
  <c r="C191" i="1"/>
  <c r="D190" i="1"/>
  <c r="D159" i="3"/>
  <c r="U189" i="1"/>
  <c r="D195" i="4"/>
  <c r="B189" i="1"/>
  <c r="F194" i="4"/>
  <c r="H158" i="3"/>
  <c r="E158" i="3" s="1"/>
  <c r="F158" i="3" s="1"/>
  <c r="G158" i="3" s="1"/>
  <c r="L159" i="3"/>
  <c r="O190" i="1" l="1"/>
  <c r="P195" i="4" s="1"/>
  <c r="A191" i="1"/>
  <c r="B196" i="4" s="1"/>
  <c r="E191" i="1"/>
  <c r="C192" i="1"/>
  <c r="D196" i="4"/>
  <c r="D160" i="3"/>
  <c r="D191" i="1"/>
  <c r="B190" i="1"/>
  <c r="F195" i="4"/>
  <c r="U190" i="1"/>
  <c r="H159" i="3"/>
  <c r="E159" i="3" s="1"/>
  <c r="F159" i="3" s="1"/>
  <c r="G159" i="3" s="1"/>
  <c r="L160" i="3"/>
  <c r="O191" i="1" l="1"/>
  <c r="P196" i="4" s="1"/>
  <c r="A192" i="1"/>
  <c r="L162" i="3" s="1"/>
  <c r="E192" i="1"/>
  <c r="C193" i="1"/>
  <c r="D192" i="1"/>
  <c r="D197" i="4"/>
  <c r="L161" i="3"/>
  <c r="H160" i="3"/>
  <c r="E160" i="3" s="1"/>
  <c r="F160" i="3" s="1"/>
  <c r="G160" i="3" s="1"/>
  <c r="D161" i="3"/>
  <c r="B191" i="1"/>
  <c r="F196" i="4"/>
  <c r="U191" i="1"/>
  <c r="O192" i="1" l="1"/>
  <c r="P197" i="4" s="1"/>
  <c r="A193" i="1"/>
  <c r="E193" i="1"/>
  <c r="D193" i="1"/>
  <c r="D162" i="3"/>
  <c r="C194" i="1"/>
  <c r="D198" i="4"/>
  <c r="F197" i="4"/>
  <c r="B192" i="1"/>
  <c r="U192" i="1"/>
  <c r="H161" i="3"/>
  <c r="E161" i="3" s="1"/>
  <c r="F161" i="3" s="1"/>
  <c r="G161" i="3" s="1"/>
  <c r="B197" i="4"/>
  <c r="O193" i="1" l="1"/>
  <c r="P198" i="4" s="1"/>
  <c r="A194" i="1"/>
  <c r="B199" i="4" s="1"/>
  <c r="E194" i="1"/>
  <c r="D163" i="3"/>
  <c r="C195" i="1"/>
  <c r="D194" i="1"/>
  <c r="D199" i="4"/>
  <c r="B193" i="1"/>
  <c r="F198" i="4"/>
  <c r="U193" i="1"/>
  <c r="H162" i="3"/>
  <c r="E162" i="3" s="1"/>
  <c r="F162" i="3" s="1"/>
  <c r="G162" i="3" s="1"/>
  <c r="B198" i="4"/>
  <c r="L163" i="3"/>
  <c r="O194" i="1" l="1"/>
  <c r="P199" i="4" s="1"/>
  <c r="A195" i="1"/>
  <c r="B200" i="4" s="1"/>
  <c r="E195" i="1"/>
  <c r="H163" i="3"/>
  <c r="E163" i="3" s="1"/>
  <c r="F163" i="3" s="1"/>
  <c r="G163" i="3" s="1"/>
  <c r="L164" i="3"/>
  <c r="B194" i="1"/>
  <c r="F199" i="4"/>
  <c r="U194" i="1"/>
  <c r="D164" i="3"/>
  <c r="C196" i="1"/>
  <c r="D200" i="4"/>
  <c r="D195" i="1"/>
  <c r="O195" i="1" l="1"/>
  <c r="P200" i="4" s="1"/>
  <c r="A196" i="1"/>
  <c r="B201" i="4" s="1"/>
  <c r="E196" i="1"/>
  <c r="D201" i="4"/>
  <c r="U195" i="1"/>
  <c r="D196" i="1"/>
  <c r="C197" i="1"/>
  <c r="D165" i="3"/>
  <c r="L165" i="3"/>
  <c r="H164" i="3"/>
  <c r="E164" i="3" s="1"/>
  <c r="F200" i="4"/>
  <c r="B195" i="1"/>
  <c r="O196" i="1" l="1"/>
  <c r="P201" i="4" s="1"/>
  <c r="F164" i="3"/>
  <c r="G164" i="3" s="1"/>
  <c r="A197" i="1"/>
  <c r="B202" i="4" s="1"/>
  <c r="E197" i="1"/>
  <c r="F201" i="4"/>
  <c r="U196" i="1"/>
  <c r="B196" i="1"/>
  <c r="C198" i="1"/>
  <c r="D197" i="1"/>
  <c r="D166" i="3"/>
  <c r="D202" i="4"/>
  <c r="H165" i="3"/>
  <c r="E165" i="3" s="1"/>
  <c r="F165" i="3" s="1"/>
  <c r="G165" i="3" s="1"/>
  <c r="L166" i="3"/>
  <c r="O197" i="1" l="1"/>
  <c r="P202" i="4" s="1"/>
  <c r="A198" i="1"/>
  <c r="L168" i="3" s="1"/>
  <c r="E198" i="1"/>
  <c r="B197" i="1"/>
  <c r="C199" i="1"/>
  <c r="D203" i="4"/>
  <c r="D167" i="3"/>
  <c r="D198" i="1"/>
  <c r="U197" i="1"/>
  <c r="F202" i="4"/>
  <c r="H166" i="3"/>
  <c r="E166" i="3" s="1"/>
  <c r="F166" i="3" s="1"/>
  <c r="G166" i="3" s="1"/>
  <c r="L167" i="3"/>
  <c r="O198" i="1" l="1"/>
  <c r="P203" i="4" s="1"/>
  <c r="A199" i="1"/>
  <c r="E199" i="1"/>
  <c r="D168" i="3"/>
  <c r="D199" i="1"/>
  <c r="C200" i="1"/>
  <c r="D204" i="4"/>
  <c r="B198" i="1"/>
  <c r="F203" i="4"/>
  <c r="U198" i="1"/>
  <c r="B203" i="4"/>
  <c r="H167" i="3"/>
  <c r="E167" i="3" s="1"/>
  <c r="F167" i="3" s="1"/>
  <c r="G167" i="3" s="1"/>
  <c r="O199" i="1" l="1"/>
  <c r="P204" i="4" s="1"/>
  <c r="A200" i="1"/>
  <c r="B205" i="4" s="1"/>
  <c r="E200" i="1"/>
  <c r="B199" i="1"/>
  <c r="C201" i="1"/>
  <c r="D169" i="3"/>
  <c r="D200" i="1"/>
  <c r="D205" i="4"/>
  <c r="U199" i="1"/>
  <c r="F204" i="4"/>
  <c r="L169" i="3"/>
  <c r="H168" i="3"/>
  <c r="E168" i="3" s="1"/>
  <c r="F168" i="3" s="1"/>
  <c r="G168" i="3" s="1"/>
  <c r="B204" i="4"/>
  <c r="O200" i="1" l="1"/>
  <c r="P205" i="4" s="1"/>
  <c r="A201" i="1"/>
  <c r="H170" i="3" s="1"/>
  <c r="H169" i="3"/>
  <c r="E169" i="3" s="1"/>
  <c r="F169" i="3" s="1"/>
  <c r="G169" i="3" s="1"/>
  <c r="L170" i="3"/>
  <c r="E201" i="1"/>
  <c r="D170" i="3"/>
  <c r="D201" i="1"/>
  <c r="D206" i="4"/>
  <c r="C202" i="1"/>
  <c r="F205" i="4"/>
  <c r="U200" i="1"/>
  <c r="B200" i="1"/>
  <c r="O201" i="1" l="1"/>
  <c r="P206" i="4" s="1"/>
  <c r="A202" i="1"/>
  <c r="H171" i="3" s="1"/>
  <c r="E202" i="1"/>
  <c r="C203" i="1"/>
  <c r="L171" i="3"/>
  <c r="B206" i="4"/>
  <c r="D202" i="1"/>
  <c r="D207" i="4"/>
  <c r="D171" i="3"/>
  <c r="F206" i="4"/>
  <c r="U201" i="1"/>
  <c r="B201" i="1"/>
  <c r="E170" i="3"/>
  <c r="O202" i="1" l="1"/>
  <c r="P207" i="4" s="1"/>
  <c r="F170" i="3"/>
  <c r="G170" i="3" s="1"/>
  <c r="A203" i="1"/>
  <c r="L173" i="3" s="1"/>
  <c r="E203" i="1"/>
  <c r="D172" i="3"/>
  <c r="D208" i="4"/>
  <c r="D203" i="1"/>
  <c r="C204" i="1"/>
  <c r="U202" i="1"/>
  <c r="F207" i="4"/>
  <c r="B202" i="1"/>
  <c r="B207" i="4"/>
  <c r="L172" i="3"/>
  <c r="E171" i="3"/>
  <c r="F171" i="3" s="1"/>
  <c r="G171" i="3" s="1"/>
  <c r="O203" i="1" l="1"/>
  <c r="P208" i="4" s="1"/>
  <c r="A204" i="1"/>
  <c r="E204" i="1"/>
  <c r="C205" i="1"/>
  <c r="D209" i="4"/>
  <c r="D173" i="3"/>
  <c r="D204" i="1"/>
  <c r="U203" i="1"/>
  <c r="B203" i="1"/>
  <c r="F208" i="4"/>
  <c r="B208" i="4"/>
  <c r="H172" i="3"/>
  <c r="E172" i="3" s="1"/>
  <c r="F172" i="3" s="1"/>
  <c r="G172" i="3" s="1"/>
  <c r="O204" i="1" l="1"/>
  <c r="P209" i="4" s="1"/>
  <c r="D174" i="3"/>
  <c r="A205" i="1"/>
  <c r="H174" i="3" s="1"/>
  <c r="E205" i="1"/>
  <c r="C206" i="1"/>
  <c r="D205" i="1"/>
  <c r="D210" i="4"/>
  <c r="U204" i="1"/>
  <c r="F209" i="4"/>
  <c r="B204" i="1"/>
  <c r="L174" i="3"/>
  <c r="H173" i="3"/>
  <c r="E173" i="3" s="1"/>
  <c r="F173" i="3" s="1"/>
  <c r="G173" i="3" s="1"/>
  <c r="B209" i="4"/>
  <c r="O205" i="1" l="1"/>
  <c r="P210" i="4" s="1"/>
  <c r="A206" i="1"/>
  <c r="L176" i="3" s="1"/>
  <c r="B210" i="4"/>
  <c r="L175" i="3"/>
  <c r="C207" i="1"/>
  <c r="D211" i="4"/>
  <c r="D175" i="3"/>
  <c r="E206" i="1"/>
  <c r="D206" i="1"/>
  <c r="B205" i="1"/>
  <c r="U205" i="1"/>
  <c r="F210" i="4"/>
  <c r="E174" i="3"/>
  <c r="F174" i="3" s="1"/>
  <c r="G174" i="3" s="1"/>
  <c r="O206" i="1" l="1"/>
  <c r="P211" i="4" s="1"/>
  <c r="D207" i="1"/>
  <c r="A207" i="1"/>
  <c r="L177" i="3" s="1"/>
  <c r="B206" i="1"/>
  <c r="U206" i="1"/>
  <c r="F211" i="4"/>
  <c r="D176" i="3"/>
  <c r="D212" i="4"/>
  <c r="H175" i="3"/>
  <c r="E175" i="3" s="1"/>
  <c r="B211" i="4"/>
  <c r="C208" i="1"/>
  <c r="E207" i="1"/>
  <c r="U207" i="1" s="1"/>
  <c r="O207" i="1" l="1"/>
  <c r="P212" i="4" s="1"/>
  <c r="F175" i="3"/>
  <c r="G175" i="3" s="1"/>
  <c r="A208" i="1"/>
  <c r="H177" i="3" s="1"/>
  <c r="H176" i="3"/>
  <c r="E176" i="3" s="1"/>
  <c r="F176" i="3" s="1"/>
  <c r="G176" i="3" s="1"/>
  <c r="B212" i="4"/>
  <c r="D177" i="3"/>
  <c r="D213" i="4"/>
  <c r="F212" i="4"/>
  <c r="C209" i="1"/>
  <c r="B207" i="1"/>
  <c r="D208" i="1"/>
  <c r="E208" i="1"/>
  <c r="O208" i="1" l="1"/>
  <c r="P213" i="4" s="1"/>
  <c r="B213" i="4"/>
  <c r="L178" i="3"/>
  <c r="D209" i="1"/>
  <c r="A209" i="1"/>
  <c r="H178" i="3" s="1"/>
  <c r="U208" i="1"/>
  <c r="D178" i="3"/>
  <c r="D214" i="4"/>
  <c r="B208" i="1"/>
  <c r="E209" i="1"/>
  <c r="C210" i="1"/>
  <c r="F213" i="4"/>
  <c r="E177" i="3"/>
  <c r="F177" i="3" s="1"/>
  <c r="G177" i="3" s="1"/>
  <c r="O209" i="1" l="1"/>
  <c r="P214" i="4" s="1"/>
  <c r="A210" i="1"/>
  <c r="B215" i="4" s="1"/>
  <c r="D179" i="3"/>
  <c r="U209" i="1"/>
  <c r="E210" i="1"/>
  <c r="C211" i="1"/>
  <c r="D210" i="1"/>
  <c r="B214" i="4"/>
  <c r="L179" i="3"/>
  <c r="D215" i="4"/>
  <c r="F214" i="4"/>
  <c r="B209" i="1"/>
  <c r="E178" i="3"/>
  <c r="F178" i="3" s="1"/>
  <c r="G178" i="3" s="1"/>
  <c r="O210" i="1" l="1"/>
  <c r="P215" i="4" s="1"/>
  <c r="L180" i="3"/>
  <c r="H179" i="3"/>
  <c r="E179" i="3" s="1"/>
  <c r="F179" i="3" s="1"/>
  <c r="G179" i="3" s="1"/>
  <c r="D211" i="1"/>
  <c r="A211" i="1"/>
  <c r="B216" i="4" s="1"/>
  <c r="B210" i="1"/>
  <c r="C212" i="1"/>
  <c r="D216" i="4"/>
  <c r="U210" i="1"/>
  <c r="F215" i="4"/>
  <c r="E211" i="1"/>
  <c r="D180" i="3"/>
  <c r="O211" i="1" l="1"/>
  <c r="P216" i="4" s="1"/>
  <c r="E212" i="1"/>
  <c r="C213" i="1"/>
  <c r="D181" i="3"/>
  <c r="A212" i="1"/>
  <c r="B217" i="4" s="1"/>
  <c r="D217" i="4"/>
  <c r="D212" i="1"/>
  <c r="F216" i="4"/>
  <c r="B211" i="1"/>
  <c r="U211" i="1"/>
  <c r="H180" i="3"/>
  <c r="E180" i="3" s="1"/>
  <c r="F180" i="3" s="1"/>
  <c r="G180" i="3" s="1"/>
  <c r="L181" i="3"/>
  <c r="O212" i="1" l="1"/>
  <c r="P217" i="4" s="1"/>
  <c r="D218" i="4"/>
  <c r="D182" i="3"/>
  <c r="C214" i="1"/>
  <c r="B212" i="1"/>
  <c r="D213" i="1"/>
  <c r="E213" i="1"/>
  <c r="U212" i="1"/>
  <c r="F217" i="4"/>
  <c r="H181" i="3"/>
  <c r="E181" i="3" s="1"/>
  <c r="F181" i="3" s="1"/>
  <c r="G181" i="3" s="1"/>
  <c r="L182" i="3"/>
  <c r="A213" i="1"/>
  <c r="O213" i="1" l="1"/>
  <c r="P218" i="4" s="1"/>
  <c r="A214" i="1"/>
  <c r="L184" i="3" s="1"/>
  <c r="C215" i="1"/>
  <c r="D183" i="3"/>
  <c r="D219" i="4"/>
  <c r="D214" i="1"/>
  <c r="E214" i="1"/>
  <c r="F218" i="4"/>
  <c r="U213" i="1"/>
  <c r="B213" i="1"/>
  <c r="H182" i="3"/>
  <c r="E182" i="3" s="1"/>
  <c r="F182" i="3" s="1"/>
  <c r="G182" i="3" s="1"/>
  <c r="B218" i="4"/>
  <c r="L183" i="3"/>
  <c r="O214" i="1" l="1"/>
  <c r="P219" i="4" s="1"/>
  <c r="E215" i="1"/>
  <c r="D184" i="3"/>
  <c r="F219" i="4"/>
  <c r="A215" i="1"/>
  <c r="L185" i="3" s="1"/>
  <c r="H183" i="3"/>
  <c r="E183" i="3" s="1"/>
  <c r="F183" i="3" s="1"/>
  <c r="G183" i="3" s="1"/>
  <c r="B219" i="4"/>
  <c r="C216" i="1"/>
  <c r="D220" i="4"/>
  <c r="D215" i="1"/>
  <c r="U214" i="1"/>
  <c r="B214" i="1"/>
  <c r="O215" i="1" l="1"/>
  <c r="P220" i="4" s="1"/>
  <c r="U215" i="1"/>
  <c r="B215" i="1"/>
  <c r="F220" i="4"/>
  <c r="C217" i="1"/>
  <c r="D216" i="1"/>
  <c r="D185" i="3"/>
  <c r="D221" i="4"/>
  <c r="E216" i="1"/>
  <c r="H184" i="3"/>
  <c r="E184" i="3" s="1"/>
  <c r="F184" i="3" s="1"/>
  <c r="G184" i="3" s="1"/>
  <c r="A216" i="1"/>
  <c r="B221" i="4" s="1"/>
  <c r="B220" i="4"/>
  <c r="O216" i="1" l="1"/>
  <c r="P221" i="4" s="1"/>
  <c r="C218" i="1"/>
  <c r="D222" i="4"/>
  <c r="D186" i="3"/>
  <c r="D217" i="1"/>
  <c r="U216" i="1"/>
  <c r="E217" i="1"/>
  <c r="F221" i="4"/>
  <c r="B216" i="1"/>
  <c r="A217" i="1"/>
  <c r="B222" i="4" s="1"/>
  <c r="H185" i="3"/>
  <c r="E185" i="3" s="1"/>
  <c r="F185" i="3" s="1"/>
  <c r="G185" i="3" s="1"/>
  <c r="L186" i="3"/>
  <c r="O217" i="1" l="1"/>
  <c r="P222" i="4" s="1"/>
  <c r="E218" i="1"/>
  <c r="A218" i="1"/>
  <c r="B223" i="4" s="1"/>
  <c r="L187" i="3"/>
  <c r="C219" i="1"/>
  <c r="D218" i="1"/>
  <c r="H186" i="3"/>
  <c r="E186" i="3" s="1"/>
  <c r="F186" i="3" s="1"/>
  <c r="G186" i="3" s="1"/>
  <c r="D223" i="4"/>
  <c r="D187" i="3"/>
  <c r="B217" i="1"/>
  <c r="U217" i="1"/>
  <c r="F222" i="4"/>
  <c r="O218" i="1" l="1"/>
  <c r="P223" i="4" s="1"/>
  <c r="U218" i="1"/>
  <c r="B218" i="1"/>
  <c r="F223" i="4"/>
  <c r="E219" i="1"/>
  <c r="H187" i="3"/>
  <c r="E187" i="3" s="1"/>
  <c r="F187" i="3" s="1"/>
  <c r="G187" i="3" s="1"/>
  <c r="L188" i="3"/>
  <c r="A219" i="1"/>
  <c r="H188" i="3" s="1"/>
  <c r="C220" i="1"/>
  <c r="D188" i="3"/>
  <c r="D219" i="1"/>
  <c r="D224" i="4"/>
  <c r="O219" i="1" l="1"/>
  <c r="P224" i="4" s="1"/>
  <c r="F224" i="4"/>
  <c r="B224" i="4"/>
  <c r="D189" i="3"/>
  <c r="U219" i="1"/>
  <c r="B219" i="1"/>
  <c r="L189" i="3"/>
  <c r="D225" i="4"/>
  <c r="E220" i="1"/>
  <c r="A220" i="1"/>
  <c r="H189" i="3" s="1"/>
  <c r="C221" i="1"/>
  <c r="D220" i="1"/>
  <c r="E188" i="3"/>
  <c r="F188" i="3" s="1"/>
  <c r="G188" i="3" s="1"/>
  <c r="O220" i="1" l="1"/>
  <c r="P225" i="4" s="1"/>
  <c r="D226" i="4"/>
  <c r="E221" i="1"/>
  <c r="D221" i="1"/>
  <c r="A221" i="1"/>
  <c r="B226" i="4" s="1"/>
  <c r="D190" i="3"/>
  <c r="U220" i="1"/>
  <c r="F225" i="4"/>
  <c r="B220" i="1"/>
  <c r="C222" i="1"/>
  <c r="B225" i="4"/>
  <c r="L190" i="3"/>
  <c r="E189" i="3"/>
  <c r="F189" i="3" s="1"/>
  <c r="G189" i="3" s="1"/>
  <c r="O221" i="1" l="1"/>
  <c r="P226" i="4" s="1"/>
  <c r="C223" i="1"/>
  <c r="F226" i="4"/>
  <c r="U221" i="1"/>
  <c r="B221" i="1"/>
  <c r="D222" i="1"/>
  <c r="E222" i="1"/>
  <c r="H190" i="3"/>
  <c r="E190" i="3" s="1"/>
  <c r="F190" i="3" s="1"/>
  <c r="G190" i="3" s="1"/>
  <c r="L191" i="3"/>
  <c r="A222" i="1"/>
  <c r="D191" i="3"/>
  <c r="D227" i="4"/>
  <c r="O222" i="1" l="1"/>
  <c r="P227" i="4" s="1"/>
  <c r="D223" i="1"/>
  <c r="D228" i="4"/>
  <c r="E223" i="1"/>
  <c r="A223" i="1"/>
  <c r="L193" i="3" s="1"/>
  <c r="D192" i="3"/>
  <c r="C224" i="1"/>
  <c r="U222" i="1"/>
  <c r="F227" i="4"/>
  <c r="B222" i="1"/>
  <c r="H191" i="3"/>
  <c r="E191" i="3" s="1"/>
  <c r="F191" i="3" s="1"/>
  <c r="G191" i="3" s="1"/>
  <c r="B227" i="4"/>
  <c r="L192" i="3"/>
  <c r="O223" i="1" l="1"/>
  <c r="P228" i="4" s="1"/>
  <c r="E224" i="1"/>
  <c r="B224" i="1" s="1"/>
  <c r="D224" i="1"/>
  <c r="D193" i="3"/>
  <c r="C225" i="1"/>
  <c r="D229" i="4"/>
  <c r="A224" i="1"/>
  <c r="L194" i="3" s="1"/>
  <c r="H192" i="3"/>
  <c r="E192" i="3" s="1"/>
  <c r="F192" i="3" s="1"/>
  <c r="G192" i="3" s="1"/>
  <c r="B228" i="4"/>
  <c r="U223" i="1"/>
  <c r="B223" i="1"/>
  <c r="F228" i="4"/>
  <c r="O224" i="1" l="1"/>
  <c r="P229" i="4" s="1"/>
  <c r="F229" i="4"/>
  <c r="U224" i="1"/>
  <c r="D194" i="3"/>
  <c r="E225" i="1"/>
  <c r="U225" i="1" s="1"/>
  <c r="A225" i="1"/>
  <c r="B230" i="4" s="1"/>
  <c r="C226" i="1"/>
  <c r="D230" i="4"/>
  <c r="D225" i="1"/>
  <c r="B229" i="4"/>
  <c r="H193" i="3"/>
  <c r="E193" i="3" s="1"/>
  <c r="O225" i="1" l="1"/>
  <c r="P230" i="4" s="1"/>
  <c r="E226" i="1"/>
  <c r="U226" i="1" s="1"/>
  <c r="A226" i="1"/>
  <c r="H195" i="3" s="1"/>
  <c r="C227" i="1"/>
  <c r="D226" i="1"/>
  <c r="F230" i="4"/>
  <c r="D231" i="4"/>
  <c r="D195" i="3"/>
  <c r="B225" i="1"/>
  <c r="H194" i="3"/>
  <c r="E194" i="3" s="1"/>
  <c r="F194" i="3" s="1"/>
  <c r="G194" i="3" s="1"/>
  <c r="L195" i="3"/>
  <c r="F193" i="3"/>
  <c r="G193" i="3" s="1"/>
  <c r="D196" i="3" l="1"/>
  <c r="B226" i="1"/>
  <c r="F231" i="4"/>
  <c r="A227" i="1"/>
  <c r="B232" i="4" s="1"/>
  <c r="C228" i="1"/>
  <c r="D232" i="4"/>
  <c r="O226" i="1"/>
  <c r="P231" i="4" s="1"/>
  <c r="E227" i="1"/>
  <c r="F232" i="4" s="1"/>
  <c r="D227" i="1"/>
  <c r="L196" i="3"/>
  <c r="B231" i="4"/>
  <c r="E195" i="3"/>
  <c r="C229" i="1" l="1"/>
  <c r="D229" i="1" s="1"/>
  <c r="L197" i="3"/>
  <c r="H196" i="3"/>
  <c r="E196" i="3" s="1"/>
  <c r="D228" i="1"/>
  <c r="B227" i="1"/>
  <c r="U227" i="1"/>
  <c r="E228" i="1"/>
  <c r="F233" i="4" s="1"/>
  <c r="O227" i="1"/>
  <c r="P232" i="4" s="1"/>
  <c r="A228" i="1"/>
  <c r="D233" i="4"/>
  <c r="D197" i="3"/>
  <c r="F195" i="3"/>
  <c r="G195" i="3" s="1"/>
  <c r="E229" i="1" l="1"/>
  <c r="B229" i="1" s="1"/>
  <c r="D234" i="4"/>
  <c r="A229" i="1"/>
  <c r="L199" i="3" s="1"/>
  <c r="D198" i="3"/>
  <c r="C230" i="1"/>
  <c r="B228" i="1"/>
  <c r="U228" i="1"/>
  <c r="O228" i="1"/>
  <c r="P233" i="4" s="1"/>
  <c r="H197" i="3"/>
  <c r="E197" i="3" s="1"/>
  <c r="F197" i="3" s="1"/>
  <c r="G197" i="3" s="1"/>
  <c r="B233" i="4"/>
  <c r="L198" i="3"/>
  <c r="F196" i="3"/>
  <c r="G196" i="3" s="1"/>
  <c r="F234" i="4" l="1"/>
  <c r="U229" i="1"/>
  <c r="B234" i="4"/>
  <c r="A230" i="1"/>
  <c r="H198" i="3"/>
  <c r="E198" i="3" s="1"/>
  <c r="O229" i="1"/>
  <c r="P234" i="4" s="1"/>
  <c r="D230" i="1"/>
  <c r="C231" i="1"/>
  <c r="D231" i="1" s="1"/>
  <c r="D199" i="3"/>
  <c r="D235" i="4"/>
  <c r="E230" i="1"/>
  <c r="O230" i="1" l="1"/>
  <c r="P235" i="4" s="1"/>
  <c r="C232" i="1"/>
  <c r="E232" i="1" s="1"/>
  <c r="E231" i="1"/>
  <c r="F236" i="4" s="1"/>
  <c r="A231" i="1"/>
  <c r="H199" i="3"/>
  <c r="E199" i="3" s="1"/>
  <c r="B235" i="4"/>
  <c r="L200" i="3"/>
  <c r="U230" i="1"/>
  <c r="D236" i="4"/>
  <c r="D200" i="3"/>
  <c r="B230" i="1"/>
  <c r="F235" i="4"/>
  <c r="F198" i="3"/>
  <c r="G198" i="3" s="1"/>
  <c r="A232" i="1" l="1"/>
  <c r="L202" i="3" s="1"/>
  <c r="D201" i="3"/>
  <c r="D232" i="1"/>
  <c r="C233" i="1"/>
  <c r="E233" i="1" s="1"/>
  <c r="B231" i="1"/>
  <c r="H200" i="3"/>
  <c r="E200" i="3" s="1"/>
  <c r="F200" i="3" s="1"/>
  <c r="G200" i="3" s="1"/>
  <c r="L201" i="3"/>
  <c r="B236" i="4"/>
  <c r="U231" i="1"/>
  <c r="O231" i="1"/>
  <c r="P236" i="4" s="1"/>
  <c r="D237" i="4"/>
  <c r="F199" i="3"/>
  <c r="G199" i="3" s="1"/>
  <c r="B232" i="1"/>
  <c r="F237" i="4"/>
  <c r="U232" i="1"/>
  <c r="B237" i="4" l="1"/>
  <c r="H201" i="3"/>
  <c r="E201" i="3" s="1"/>
  <c r="F201" i="3" s="1"/>
  <c r="G201" i="3" s="1"/>
  <c r="D233" i="1"/>
  <c r="C234" i="1"/>
  <c r="D234" i="1" s="1"/>
  <c r="A233" i="1"/>
  <c r="L203" i="3" s="1"/>
  <c r="D202" i="3"/>
  <c r="D238" i="4"/>
  <c r="O232" i="1"/>
  <c r="P237" i="4" s="1"/>
  <c r="F238" i="4"/>
  <c r="U233" i="1"/>
  <c r="B233" i="1"/>
  <c r="C235" i="1" l="1"/>
  <c r="E235" i="1" s="1"/>
  <c r="D239" i="4"/>
  <c r="D203" i="3"/>
  <c r="E234" i="1"/>
  <c r="F239" i="4" s="1"/>
  <c r="O233" i="1"/>
  <c r="P238" i="4" s="1"/>
  <c r="A234" i="1"/>
  <c r="L204" i="3" s="1"/>
  <c r="H202" i="3"/>
  <c r="E202" i="3" s="1"/>
  <c r="F202" i="3" s="1"/>
  <c r="G202" i="3" s="1"/>
  <c r="B238" i="4"/>
  <c r="D240" i="4" l="1"/>
  <c r="C236" i="1"/>
  <c r="E236" i="1" s="1"/>
  <c r="D235" i="1"/>
  <c r="D204" i="3"/>
  <c r="A235" i="1"/>
  <c r="L205" i="3" s="1"/>
  <c r="O234" i="1"/>
  <c r="P239" i="4" s="1"/>
  <c r="H203" i="3"/>
  <c r="E203" i="3" s="1"/>
  <c r="F203" i="3" s="1"/>
  <c r="G203" i="3" s="1"/>
  <c r="B239" i="4"/>
  <c r="B234" i="1"/>
  <c r="U234" i="1"/>
  <c r="F240" i="4"/>
  <c r="U235" i="1"/>
  <c r="B235" i="1"/>
  <c r="D241" i="4" l="1"/>
  <c r="O235" i="1"/>
  <c r="P240" i="4" s="1"/>
  <c r="C237" i="1"/>
  <c r="D237" i="1" s="1"/>
  <c r="D236" i="1"/>
  <c r="D205" i="3"/>
  <c r="A236" i="1"/>
  <c r="L206" i="3" s="1"/>
  <c r="B240" i="4"/>
  <c r="H204" i="3"/>
  <c r="E204" i="3" s="1"/>
  <c r="B236" i="1"/>
  <c r="U236" i="1"/>
  <c r="F241" i="4"/>
  <c r="C238" i="1" l="1"/>
  <c r="D243" i="4" s="1"/>
  <c r="D242" i="4"/>
  <c r="O236" i="1"/>
  <c r="P241" i="4" s="1"/>
  <c r="E237" i="1"/>
  <c r="F242" i="4" s="1"/>
  <c r="D206" i="3"/>
  <c r="A237" i="1"/>
  <c r="H205" i="3"/>
  <c r="E205" i="3" s="1"/>
  <c r="F205" i="3" s="1"/>
  <c r="G205" i="3" s="1"/>
  <c r="B241" i="4"/>
  <c r="F204" i="3"/>
  <c r="G204" i="3" s="1"/>
  <c r="A238" i="1" l="1"/>
  <c r="H207" i="3" s="1"/>
  <c r="U237" i="1"/>
  <c r="H206" i="3"/>
  <c r="E206" i="3" s="1"/>
  <c r="F206" i="3" s="1"/>
  <c r="G206" i="3" s="1"/>
  <c r="B242" i="4"/>
  <c r="L207" i="3"/>
  <c r="E238" i="1"/>
  <c r="F243" i="4" s="1"/>
  <c r="C239" i="1"/>
  <c r="D244" i="4" s="1"/>
  <c r="D238" i="1"/>
  <c r="O237" i="1"/>
  <c r="P242" i="4" s="1"/>
  <c r="D207" i="3"/>
  <c r="B237" i="1"/>
  <c r="L208" i="3" l="1"/>
  <c r="B243" i="4"/>
  <c r="A239" i="1"/>
  <c r="L209" i="3" s="1"/>
  <c r="E239" i="1"/>
  <c r="F244" i="4" s="1"/>
  <c r="D239" i="1"/>
  <c r="C240" i="1"/>
  <c r="D245" i="4" s="1"/>
  <c r="D208" i="3"/>
  <c r="B238" i="1"/>
  <c r="U238" i="1"/>
  <c r="O238" i="1"/>
  <c r="P243" i="4" s="1"/>
  <c r="E207" i="3"/>
  <c r="B239" i="1" l="1"/>
  <c r="B244" i="4"/>
  <c r="U239" i="1"/>
  <c r="D209" i="3"/>
  <c r="H208" i="3"/>
  <c r="E208" i="3" s="1"/>
  <c r="O239" i="1"/>
  <c r="P244" i="4" s="1"/>
  <c r="C241" i="1"/>
  <c r="E241" i="1" s="1"/>
  <c r="E240" i="1"/>
  <c r="U240" i="1" s="1"/>
  <c r="D240" i="1"/>
  <c r="A240" i="1"/>
  <c r="L210" i="3" s="1"/>
  <c r="F207" i="3"/>
  <c r="G207" i="3" s="1"/>
  <c r="F245" i="4" l="1"/>
  <c r="B240" i="1"/>
  <c r="D241" i="1"/>
  <c r="C242" i="1"/>
  <c r="O241" i="1" s="1"/>
  <c r="P246" i="4" s="1"/>
  <c r="D246" i="4"/>
  <c r="D210" i="3"/>
  <c r="A241" i="1"/>
  <c r="H210" i="3" s="1"/>
  <c r="O240" i="1"/>
  <c r="P245" i="4" s="1"/>
  <c r="H209" i="3"/>
  <c r="E209" i="3" s="1"/>
  <c r="F209" i="3" s="1"/>
  <c r="G209" i="3" s="1"/>
  <c r="B245" i="4"/>
  <c r="F208" i="3"/>
  <c r="G208" i="3" s="1"/>
  <c r="U241" i="1"/>
  <c r="B241" i="1"/>
  <c r="F246" i="4"/>
  <c r="D247" i="4" l="1"/>
  <c r="D211" i="3"/>
  <c r="C243" i="1"/>
  <c r="D243" i="1" s="1"/>
  <c r="L211" i="3"/>
  <c r="D242" i="1"/>
  <c r="E242" i="1"/>
  <c r="F247" i="4" s="1"/>
  <c r="B246" i="4"/>
  <c r="A242" i="1"/>
  <c r="B247" i="4" s="1"/>
  <c r="E210" i="3"/>
  <c r="E243" i="1" l="1"/>
  <c r="F248" i="4" s="1"/>
  <c r="C244" i="1"/>
  <c r="D212" i="3"/>
  <c r="D248" i="4"/>
  <c r="O242" i="1"/>
  <c r="P247" i="4" s="1"/>
  <c r="A243" i="1"/>
  <c r="L213" i="3" s="1"/>
  <c r="B242" i="1"/>
  <c r="L212" i="3"/>
  <c r="U242" i="1"/>
  <c r="H211" i="3"/>
  <c r="E211" i="3" s="1"/>
  <c r="F211" i="3" s="1"/>
  <c r="G211" i="3" s="1"/>
  <c r="F210" i="3"/>
  <c r="G210" i="3" s="1"/>
  <c r="U243" i="1" l="1"/>
  <c r="B243" i="1"/>
  <c r="O243" i="1"/>
  <c r="P248" i="4" s="1"/>
  <c r="D244" i="1"/>
  <c r="B248" i="4"/>
  <c r="D249" i="4"/>
  <c r="D213" i="3"/>
  <c r="A244" i="1"/>
  <c r="B249" i="4" s="1"/>
  <c r="E244" i="1"/>
  <c r="U244" i="1" s="1"/>
  <c r="C245" i="1"/>
  <c r="E245" i="1" s="1"/>
  <c r="H212" i="3"/>
  <c r="E212" i="3" s="1"/>
  <c r="F212" i="3" s="1"/>
  <c r="G212" i="3" s="1"/>
  <c r="A245" i="1" l="1"/>
  <c r="L215" i="3" s="1"/>
  <c r="D245" i="1"/>
  <c r="D250" i="4"/>
  <c r="H213" i="3"/>
  <c r="E213" i="3" s="1"/>
  <c r="O244" i="1"/>
  <c r="P249" i="4" s="1"/>
  <c r="D214" i="3"/>
  <c r="B244" i="1"/>
  <c r="F249" i="4"/>
  <c r="L214" i="3"/>
  <c r="C246" i="1"/>
  <c r="E246" i="1" s="1"/>
  <c r="B245" i="1"/>
  <c r="F250" i="4"/>
  <c r="U245" i="1"/>
  <c r="C247" i="1" l="1"/>
  <c r="E247" i="1" s="1"/>
  <c r="D215" i="3"/>
  <c r="B250" i="4"/>
  <c r="H214" i="3"/>
  <c r="E214" i="3" s="1"/>
  <c r="F214" i="3" s="1"/>
  <c r="G214" i="3" s="1"/>
  <c r="A246" i="1"/>
  <c r="O245" i="1"/>
  <c r="P250" i="4" s="1"/>
  <c r="D251" i="4"/>
  <c r="D246" i="1"/>
  <c r="O246" i="1"/>
  <c r="P251" i="4" s="1"/>
  <c r="F213" i="3"/>
  <c r="G213" i="3" s="1"/>
  <c r="U246" i="1"/>
  <c r="F251" i="4"/>
  <c r="B246" i="1"/>
  <c r="C248" i="1" l="1"/>
  <c r="D252" i="4"/>
  <c r="A247" i="1"/>
  <c r="B252" i="4" s="1"/>
  <c r="D247" i="1"/>
  <c r="D216" i="3"/>
  <c r="L216" i="3"/>
  <c r="B251" i="4"/>
  <c r="H215" i="3"/>
  <c r="E215" i="3" s="1"/>
  <c r="F215" i="3" s="1"/>
  <c r="G215" i="3" s="1"/>
  <c r="F252" i="4"/>
  <c r="B247" i="1"/>
  <c r="U247" i="1"/>
  <c r="L217" i="3" l="1"/>
  <c r="A248" i="1"/>
  <c r="H217" i="3" s="1"/>
  <c r="D217" i="3"/>
  <c r="O247" i="1"/>
  <c r="P252" i="4" s="1"/>
  <c r="C249" i="1"/>
  <c r="E249" i="1" s="1"/>
  <c r="D253" i="4"/>
  <c r="H216" i="3"/>
  <c r="E216" i="3" s="1"/>
  <c r="D248" i="1"/>
  <c r="E248" i="1"/>
  <c r="F253" i="4" s="1"/>
  <c r="L218" i="3" l="1"/>
  <c r="B253" i="4"/>
  <c r="D249" i="1"/>
  <c r="B248" i="1"/>
  <c r="U248" i="1"/>
  <c r="A249" i="1"/>
  <c r="B254" i="4" s="1"/>
  <c r="O248" i="1"/>
  <c r="P253" i="4" s="1"/>
  <c r="C250" i="1"/>
  <c r="O249" i="1" s="1"/>
  <c r="P254" i="4" s="1"/>
  <c r="D254" i="4"/>
  <c r="D218" i="3"/>
  <c r="F216" i="3"/>
  <c r="G216" i="3" s="1"/>
  <c r="F254" i="4"/>
  <c r="U249" i="1"/>
  <c r="B249" i="1"/>
  <c r="E217" i="3"/>
  <c r="F217" i="3" s="1"/>
  <c r="G217" i="3" s="1"/>
  <c r="H218" i="3" l="1"/>
  <c r="E218" i="3" s="1"/>
  <c r="C251" i="1"/>
  <c r="E251" i="1" s="1"/>
  <c r="D219" i="3"/>
  <c r="D250" i="1"/>
  <c r="E250" i="1"/>
  <c r="U250" i="1" s="1"/>
  <c r="A250" i="1"/>
  <c r="B255" i="4" s="1"/>
  <c r="L219" i="3"/>
  <c r="D255" i="4"/>
  <c r="C252" i="1"/>
  <c r="D251" i="1" l="1"/>
  <c r="D256" i="4"/>
  <c r="D220" i="3"/>
  <c r="O250" i="1"/>
  <c r="P255" i="4" s="1"/>
  <c r="B250" i="1"/>
  <c r="F255" i="4"/>
  <c r="L220" i="3"/>
  <c r="H219" i="3"/>
  <c r="E219" i="3" s="1"/>
  <c r="F219" i="3" s="1"/>
  <c r="G219" i="3" s="1"/>
  <c r="A251" i="1"/>
  <c r="B256" i="4" s="1"/>
  <c r="O251" i="1"/>
  <c r="P256" i="4" s="1"/>
  <c r="F218" i="3"/>
  <c r="G218" i="3" s="1"/>
  <c r="E252" i="1"/>
  <c r="D221" i="3"/>
  <c r="D252" i="1"/>
  <c r="D257" i="4"/>
  <c r="C253" i="1"/>
  <c r="F256" i="4"/>
  <c r="B251" i="1"/>
  <c r="U251" i="1"/>
  <c r="L221" i="3" l="1"/>
  <c r="A252" i="1"/>
  <c r="L222" i="3" s="1"/>
  <c r="H220" i="3"/>
  <c r="E220" i="3" s="1"/>
  <c r="F220" i="3" s="1"/>
  <c r="G220" i="3" s="1"/>
  <c r="O252" i="1"/>
  <c r="P257" i="4" s="1"/>
  <c r="E253" i="1"/>
  <c r="B252" i="1"/>
  <c r="U252" i="1"/>
  <c r="F257" i="4"/>
  <c r="D253" i="1"/>
  <c r="D222" i="3"/>
  <c r="D258" i="4"/>
  <c r="C254" i="1"/>
  <c r="H221" i="3"/>
  <c r="B257" i="4" l="1"/>
  <c r="A253" i="1"/>
  <c r="A254" i="1" s="1"/>
  <c r="O253" i="1"/>
  <c r="P258" i="4" s="1"/>
  <c r="E254" i="1"/>
  <c r="E221" i="3"/>
  <c r="D254" i="1"/>
  <c r="D259" i="4"/>
  <c r="D223" i="3"/>
  <c r="C255" i="1"/>
  <c r="F258" i="4"/>
  <c r="B253" i="1"/>
  <c r="U253" i="1"/>
  <c r="B258" i="4"/>
  <c r="H222" i="3" l="1"/>
  <c r="E222" i="3" s="1"/>
  <c r="L223" i="3"/>
  <c r="O254" i="1"/>
  <c r="P259" i="4" s="1"/>
  <c r="F221" i="3"/>
  <c r="G221" i="3" s="1"/>
  <c r="A255" i="1"/>
  <c r="E255" i="1"/>
  <c r="H223" i="3"/>
  <c r="L224" i="3"/>
  <c r="B259" i="4"/>
  <c r="D224" i="3"/>
  <c r="D255" i="1"/>
  <c r="D260" i="4"/>
  <c r="C256" i="1"/>
  <c r="B254" i="1"/>
  <c r="F259" i="4"/>
  <c r="U254" i="1"/>
  <c r="O255" i="1" l="1"/>
  <c r="P260" i="4" s="1"/>
  <c r="F222" i="3"/>
  <c r="G222" i="3" s="1"/>
  <c r="A256" i="1"/>
  <c r="E256" i="1"/>
  <c r="H224" i="3"/>
  <c r="B260" i="4"/>
  <c r="L225" i="3"/>
  <c r="B255" i="1"/>
  <c r="U255" i="1"/>
  <c r="F260" i="4"/>
  <c r="D256" i="1"/>
  <c r="D261" i="4"/>
  <c r="D225" i="3"/>
  <c r="C257" i="1"/>
  <c r="E223" i="3"/>
  <c r="F223" i="3" s="1"/>
  <c r="G223" i="3" s="1"/>
  <c r="O256" i="1" l="1"/>
  <c r="P261" i="4" s="1"/>
  <c r="A257" i="1"/>
  <c r="E257" i="1"/>
  <c r="D226" i="3"/>
  <c r="D257" i="1"/>
  <c r="D262" i="4"/>
  <c r="C258" i="1"/>
  <c r="B256" i="1"/>
  <c r="F261" i="4"/>
  <c r="U256" i="1"/>
  <c r="B261" i="4"/>
  <c r="L226" i="3"/>
  <c r="H225" i="3"/>
  <c r="E224" i="3"/>
  <c r="F224" i="3" s="1"/>
  <c r="G224" i="3" s="1"/>
  <c r="O257" i="1" l="1"/>
  <c r="P262" i="4" s="1"/>
  <c r="A258" i="1"/>
  <c r="E258" i="1"/>
  <c r="B262" i="4"/>
  <c r="L227" i="3"/>
  <c r="H226" i="3"/>
  <c r="E225" i="3"/>
  <c r="F225" i="3" s="1"/>
  <c r="G225" i="3" s="1"/>
  <c r="D227" i="3"/>
  <c r="D263" i="4"/>
  <c r="D258" i="1"/>
  <c r="C259" i="1"/>
  <c r="F262" i="4"/>
  <c r="B257" i="1"/>
  <c r="U257" i="1"/>
  <c r="O258" i="1" l="1"/>
  <c r="P263" i="4" s="1"/>
  <c r="A259" i="1"/>
  <c r="E259" i="1"/>
  <c r="E226" i="3"/>
  <c r="F226" i="3" s="1"/>
  <c r="G226" i="3" s="1"/>
  <c r="F263" i="4"/>
  <c r="B258" i="1"/>
  <c r="U258" i="1"/>
  <c r="B263" i="4"/>
  <c r="H227" i="3"/>
  <c r="L228" i="3"/>
  <c r="D259" i="1"/>
  <c r="D264" i="4"/>
  <c r="D228" i="3"/>
  <c r="C260" i="1"/>
  <c r="O259" i="1" l="1"/>
  <c r="P264" i="4" s="1"/>
  <c r="A260" i="1"/>
  <c r="E260" i="1"/>
  <c r="D260" i="1"/>
  <c r="D265" i="4"/>
  <c r="D229" i="3"/>
  <c r="C261" i="1"/>
  <c r="F264" i="4"/>
  <c r="U259" i="1"/>
  <c r="B259" i="1"/>
  <c r="B264" i="4"/>
  <c r="L229" i="3"/>
  <c r="H228" i="3"/>
  <c r="E227" i="3"/>
  <c r="F227" i="3" s="1"/>
  <c r="G227" i="3" s="1"/>
  <c r="O260" i="1" l="1"/>
  <c r="P265" i="4" s="1"/>
  <c r="A261" i="1"/>
  <c r="E261" i="1"/>
  <c r="D266" i="4"/>
  <c r="D261" i="1"/>
  <c r="D230" i="3"/>
  <c r="C262" i="1"/>
  <c r="U260" i="1"/>
  <c r="B260" i="1"/>
  <c r="F265" i="4"/>
  <c r="E228" i="3"/>
  <c r="F228" i="3" s="1"/>
  <c r="G228" i="3" s="1"/>
  <c r="B265" i="4"/>
  <c r="L230" i="3"/>
  <c r="H229" i="3"/>
  <c r="O261" i="1" l="1"/>
  <c r="P266" i="4" s="1"/>
  <c r="A262" i="1"/>
  <c r="E262" i="1"/>
  <c r="D267" i="4"/>
  <c r="D262" i="1"/>
  <c r="D231" i="3"/>
  <c r="C263" i="1"/>
  <c r="L231" i="3"/>
  <c r="H230" i="3"/>
  <c r="B266" i="4"/>
  <c r="E229" i="3"/>
  <c r="F266" i="4"/>
  <c r="B261" i="1"/>
  <c r="U261" i="1"/>
  <c r="O262" i="1" l="1"/>
  <c r="P267" i="4" s="1"/>
  <c r="F229" i="3"/>
  <c r="G229" i="3" s="1"/>
  <c r="A263" i="1"/>
  <c r="E263" i="1"/>
  <c r="B267" i="4"/>
  <c r="H231" i="3"/>
  <c r="L232" i="3"/>
  <c r="B262" i="1"/>
  <c r="F267" i="4"/>
  <c r="U262" i="1"/>
  <c r="E230" i="3"/>
  <c r="F230" i="3" s="1"/>
  <c r="G230" i="3" s="1"/>
  <c r="D268" i="4"/>
  <c r="D263" i="1"/>
  <c r="D232" i="3"/>
  <c r="C264" i="1"/>
  <c r="O263" i="1" l="1"/>
  <c r="P268" i="4" s="1"/>
  <c r="A264" i="1"/>
  <c r="E264" i="1"/>
  <c r="F268" i="4"/>
  <c r="U263" i="1"/>
  <c r="B263" i="1"/>
  <c r="L233" i="3"/>
  <c r="H232" i="3"/>
  <c r="B268" i="4"/>
  <c r="E231" i="3"/>
  <c r="F231" i="3" s="1"/>
  <c r="G231" i="3" s="1"/>
  <c r="D269" i="4"/>
  <c r="D233" i="3"/>
  <c r="D264" i="1"/>
  <c r="C265" i="1"/>
  <c r="O264" i="1" l="1"/>
  <c r="P269" i="4" s="1"/>
  <c r="A265" i="1"/>
  <c r="E265" i="1"/>
  <c r="E232" i="3"/>
  <c r="F232" i="3" s="1"/>
  <c r="G232" i="3" s="1"/>
  <c r="D270" i="4"/>
  <c r="D265" i="1"/>
  <c r="D234" i="3"/>
  <c r="C266" i="1"/>
  <c r="H233" i="3"/>
  <c r="L234" i="3"/>
  <c r="B269" i="4"/>
  <c r="B264" i="1"/>
  <c r="F269" i="4"/>
  <c r="U264" i="1"/>
  <c r="O265" i="1" l="1"/>
  <c r="P270" i="4" s="1"/>
  <c r="A266" i="1"/>
  <c r="E266" i="1"/>
  <c r="U265" i="1"/>
  <c r="B265" i="1"/>
  <c r="F270" i="4"/>
  <c r="E233" i="3"/>
  <c r="F233" i="3" s="1"/>
  <c r="G233" i="3" s="1"/>
  <c r="B270" i="4"/>
  <c r="L235" i="3"/>
  <c r="H234" i="3"/>
  <c r="D235" i="3"/>
  <c r="D266" i="1"/>
  <c r="D271" i="4"/>
  <c r="C267" i="1"/>
  <c r="O266" i="1" l="1"/>
  <c r="P271" i="4" s="1"/>
  <c r="A267" i="1"/>
  <c r="E267" i="1"/>
  <c r="F271" i="4"/>
  <c r="B266" i="1"/>
  <c r="U266" i="1"/>
  <c r="B271" i="4"/>
  <c r="H235" i="3"/>
  <c r="L236" i="3"/>
  <c r="D267" i="1"/>
  <c r="D272" i="4"/>
  <c r="D236" i="3"/>
  <c r="C268" i="1"/>
  <c r="E234" i="3"/>
  <c r="F234" i="3" s="1"/>
  <c r="G234" i="3" s="1"/>
  <c r="O267" i="1" l="1"/>
  <c r="P272" i="4" s="1"/>
  <c r="A268" i="1"/>
  <c r="E268" i="1"/>
  <c r="E235" i="3"/>
  <c r="F235" i="3" s="1"/>
  <c r="G235" i="3" s="1"/>
  <c r="B267" i="1"/>
  <c r="F272" i="4"/>
  <c r="U267" i="1"/>
  <c r="D268" i="1"/>
  <c r="D273" i="4"/>
  <c r="D237" i="3"/>
  <c r="C269" i="1"/>
  <c r="L237" i="3"/>
  <c r="H236" i="3"/>
  <c r="B272" i="4"/>
  <c r="O268" i="1" l="1"/>
  <c r="P273" i="4" s="1"/>
  <c r="A269" i="1"/>
  <c r="E269" i="1"/>
  <c r="U268" i="1"/>
  <c r="F273" i="4"/>
  <c r="B268" i="1"/>
  <c r="L238" i="3"/>
  <c r="B273" i="4"/>
  <c r="H237" i="3"/>
  <c r="E236" i="3"/>
  <c r="F236" i="3" s="1"/>
  <c r="G236" i="3" s="1"/>
  <c r="D238" i="3"/>
  <c r="D269" i="1"/>
  <c r="D274" i="4"/>
  <c r="C270" i="1"/>
  <c r="O269" i="1" l="1"/>
  <c r="P274" i="4" s="1"/>
  <c r="A270" i="1"/>
  <c r="E270" i="1"/>
  <c r="H238" i="3"/>
  <c r="B274" i="4"/>
  <c r="L239" i="3"/>
  <c r="D275" i="4"/>
  <c r="D270" i="1"/>
  <c r="D239" i="3"/>
  <c r="C271" i="1"/>
  <c r="U269" i="1"/>
  <c r="B269" i="1"/>
  <c r="F274" i="4"/>
  <c r="E237" i="3"/>
  <c r="F237" i="3" s="1"/>
  <c r="G237" i="3" s="1"/>
  <c r="O270" i="1" l="1"/>
  <c r="P275" i="4" s="1"/>
  <c r="A271" i="1"/>
  <c r="E271" i="1"/>
  <c r="F275" i="4"/>
  <c r="U270" i="1"/>
  <c r="B270" i="1"/>
  <c r="D276" i="4"/>
  <c r="D271" i="1"/>
  <c r="D240" i="3"/>
  <c r="C272" i="1"/>
  <c r="B275" i="4"/>
  <c r="H239" i="3"/>
  <c r="L240" i="3"/>
  <c r="E238" i="3"/>
  <c r="O271" i="1" l="1"/>
  <c r="P276" i="4" s="1"/>
  <c r="F238" i="3"/>
  <c r="G238" i="3" s="1"/>
  <c r="A272" i="1"/>
  <c r="E272" i="1"/>
  <c r="U271" i="1"/>
  <c r="B271" i="1"/>
  <c r="F276" i="4"/>
  <c r="D272" i="1"/>
  <c r="D241" i="3"/>
  <c r="D277" i="4"/>
  <c r="C273" i="1"/>
  <c r="E239" i="3"/>
  <c r="H240" i="3"/>
  <c r="L241" i="3"/>
  <c r="B276" i="4"/>
  <c r="O272" i="1" l="1"/>
  <c r="P277" i="4" s="1"/>
  <c r="F239" i="3"/>
  <c r="G239" i="3" s="1"/>
  <c r="A273" i="1"/>
  <c r="E273" i="1"/>
  <c r="B277" i="4"/>
  <c r="L242" i="3"/>
  <c r="H241" i="3"/>
  <c r="U272" i="1"/>
  <c r="B272" i="1"/>
  <c r="F277" i="4"/>
  <c r="E240" i="3"/>
  <c r="D278" i="4"/>
  <c r="D273" i="1"/>
  <c r="D242" i="3"/>
  <c r="C274" i="1"/>
  <c r="O273" i="1" l="1"/>
  <c r="P278" i="4" s="1"/>
  <c r="F240" i="3"/>
  <c r="G240" i="3" s="1"/>
  <c r="A274" i="1"/>
  <c r="E274" i="1"/>
  <c r="E241" i="3"/>
  <c r="F241" i="3" s="1"/>
  <c r="G241" i="3" s="1"/>
  <c r="B278" i="4"/>
  <c r="H242" i="3"/>
  <c r="L243" i="3"/>
  <c r="D274" i="1"/>
  <c r="D243" i="3"/>
  <c r="D279" i="4"/>
  <c r="C275" i="1"/>
  <c r="F278" i="4"/>
  <c r="U273" i="1"/>
  <c r="B273" i="1"/>
  <c r="O274" i="1" l="1"/>
  <c r="P279" i="4" s="1"/>
  <c r="A275" i="1"/>
  <c r="E275" i="1"/>
  <c r="E242" i="3"/>
  <c r="F242" i="3" s="1"/>
  <c r="G242" i="3" s="1"/>
  <c r="U274" i="1"/>
  <c r="B274" i="1"/>
  <c r="F279" i="4"/>
  <c r="B279" i="4"/>
  <c r="H243" i="3"/>
  <c r="L244" i="3"/>
  <c r="D244" i="3"/>
  <c r="D275" i="1"/>
  <c r="D280" i="4"/>
  <c r="C276" i="1"/>
  <c r="O275" i="1" l="1"/>
  <c r="P280" i="4" s="1"/>
  <c r="A276" i="1"/>
  <c r="E276" i="1"/>
  <c r="E243" i="3"/>
  <c r="F243" i="3" s="1"/>
  <c r="G243" i="3" s="1"/>
  <c r="L245" i="3"/>
  <c r="B280" i="4"/>
  <c r="H244" i="3"/>
  <c r="D245" i="3"/>
  <c r="D281" i="4"/>
  <c r="D276" i="1"/>
  <c r="C277" i="1"/>
  <c r="U275" i="1"/>
  <c r="F280" i="4"/>
  <c r="B275" i="1"/>
  <c r="O276" i="1" l="1"/>
  <c r="P281" i="4" s="1"/>
  <c r="A277" i="1"/>
  <c r="E277" i="1"/>
  <c r="E244" i="3"/>
  <c r="F244" i="3" s="1"/>
  <c r="G244" i="3" s="1"/>
  <c r="H245" i="3"/>
  <c r="B281" i="4"/>
  <c r="L246" i="3"/>
  <c r="D282" i="4"/>
  <c r="D246" i="3"/>
  <c r="D277" i="1"/>
  <c r="C278" i="1"/>
  <c r="B276" i="1"/>
  <c r="U276" i="1"/>
  <c r="F281" i="4"/>
  <c r="O277" i="1" l="1"/>
  <c r="P282" i="4" s="1"/>
  <c r="A278" i="1"/>
  <c r="E278" i="1"/>
  <c r="E245" i="3"/>
  <c r="F245" i="3" s="1"/>
  <c r="G245" i="3" s="1"/>
  <c r="B282" i="4"/>
  <c r="L247" i="3"/>
  <c r="H246" i="3"/>
  <c r="D283" i="4"/>
  <c r="D278" i="1"/>
  <c r="D247" i="3"/>
  <c r="C279" i="1"/>
  <c r="U277" i="1"/>
  <c r="B277" i="1"/>
  <c r="F282" i="4"/>
  <c r="O278" i="1" l="1"/>
  <c r="P283" i="4" s="1"/>
  <c r="A279" i="1"/>
  <c r="E279" i="1"/>
  <c r="U278" i="1"/>
  <c r="F283" i="4"/>
  <c r="B278" i="1"/>
  <c r="E246" i="3"/>
  <c r="F246" i="3" s="1"/>
  <c r="G246" i="3" s="1"/>
  <c r="B283" i="4"/>
  <c r="L248" i="3"/>
  <c r="H247" i="3"/>
  <c r="D284" i="4"/>
  <c r="D248" i="3"/>
  <c r="D279" i="1"/>
  <c r="C280" i="1"/>
  <c r="O279" i="1" l="1"/>
  <c r="P284" i="4" s="1"/>
  <c r="A280" i="1"/>
  <c r="E280" i="1"/>
  <c r="L249" i="3"/>
  <c r="B284" i="4"/>
  <c r="H248" i="3"/>
  <c r="D285" i="4"/>
  <c r="D249" i="3"/>
  <c r="D280" i="1"/>
  <c r="C281" i="1"/>
  <c r="U279" i="1"/>
  <c r="F284" i="4"/>
  <c r="B279" i="1"/>
  <c r="E247" i="3"/>
  <c r="F247" i="3" s="1"/>
  <c r="G247" i="3" s="1"/>
  <c r="O280" i="1" l="1"/>
  <c r="P285" i="4" s="1"/>
  <c r="A281" i="1"/>
  <c r="E281" i="1"/>
  <c r="U280" i="1"/>
  <c r="F285" i="4"/>
  <c r="B280" i="1"/>
  <c r="B285" i="4"/>
  <c r="L250" i="3"/>
  <c r="H249" i="3"/>
  <c r="E248" i="3"/>
  <c r="D286" i="4"/>
  <c r="D250" i="3"/>
  <c r="D281" i="1"/>
  <c r="C282" i="1"/>
  <c r="O281" i="1" l="1"/>
  <c r="P286" i="4" s="1"/>
  <c r="F248" i="3"/>
  <c r="G248" i="3" s="1"/>
  <c r="A282" i="1"/>
  <c r="E282" i="1"/>
  <c r="U281" i="1"/>
  <c r="F286" i="4"/>
  <c r="B281" i="1"/>
  <c r="D282" i="1"/>
  <c r="D251" i="3"/>
  <c r="D287" i="4"/>
  <c r="C283" i="1"/>
  <c r="L251" i="3"/>
  <c r="B286" i="4"/>
  <c r="H250" i="3"/>
  <c r="E249" i="3"/>
  <c r="F249" i="3" s="1"/>
  <c r="G249" i="3" s="1"/>
  <c r="O282" i="1" l="1"/>
  <c r="P287" i="4" s="1"/>
  <c r="A283" i="1"/>
  <c r="E283" i="1"/>
  <c r="E250" i="3"/>
  <c r="F250" i="3" s="1"/>
  <c r="G250" i="3" s="1"/>
  <c r="D288" i="4"/>
  <c r="D283" i="1"/>
  <c r="D252" i="3"/>
  <c r="C284" i="1"/>
  <c r="L252" i="3"/>
  <c r="H251" i="3"/>
  <c r="B287" i="4"/>
  <c r="F287" i="4"/>
  <c r="B282" i="1"/>
  <c r="U282" i="1"/>
  <c r="O283" i="1" l="1"/>
  <c r="P288" i="4" s="1"/>
  <c r="A284" i="1"/>
  <c r="E284" i="1"/>
  <c r="E251" i="3"/>
  <c r="D284" i="1"/>
  <c r="D253" i="3"/>
  <c r="D289" i="4"/>
  <c r="C285" i="1"/>
  <c r="L253" i="3"/>
  <c r="B288" i="4"/>
  <c r="H252" i="3"/>
  <c r="B283" i="1"/>
  <c r="U283" i="1"/>
  <c r="F288" i="4"/>
  <c r="O284" i="1" l="1"/>
  <c r="P289" i="4" s="1"/>
  <c r="F251" i="3"/>
  <c r="G251" i="3" s="1"/>
  <c r="A285" i="1"/>
  <c r="E285" i="1"/>
  <c r="F289" i="4"/>
  <c r="B284" i="1"/>
  <c r="U284" i="1"/>
  <c r="D285" i="1"/>
  <c r="D290" i="4"/>
  <c r="D254" i="3"/>
  <c r="C286" i="1"/>
  <c r="H253" i="3"/>
  <c r="L254" i="3"/>
  <c r="B289" i="4"/>
  <c r="E252" i="3"/>
  <c r="F252" i="3" s="1"/>
  <c r="G252" i="3" s="1"/>
  <c r="O285" i="1" l="1"/>
  <c r="P290" i="4" s="1"/>
  <c r="A286" i="1"/>
  <c r="E286" i="1"/>
  <c r="U285" i="1"/>
  <c r="B285" i="1"/>
  <c r="F290" i="4"/>
  <c r="D286" i="1"/>
  <c r="D291" i="4"/>
  <c r="D255" i="3"/>
  <c r="C287" i="1"/>
  <c r="E253" i="3"/>
  <c r="L255" i="3"/>
  <c r="B290" i="4"/>
  <c r="H254" i="3"/>
  <c r="O286" i="1" l="1"/>
  <c r="P291" i="4" s="1"/>
  <c r="F253" i="3"/>
  <c r="G253" i="3" s="1"/>
  <c r="A287" i="1"/>
  <c r="E287" i="1"/>
  <c r="E254" i="3"/>
  <c r="F254" i="3" s="1"/>
  <c r="G254" i="3" s="1"/>
  <c r="B291" i="4"/>
  <c r="H255" i="3"/>
  <c r="L256" i="3"/>
  <c r="D292" i="4"/>
  <c r="D256" i="3"/>
  <c r="D287" i="1"/>
  <c r="C288" i="1"/>
  <c r="U286" i="1"/>
  <c r="F291" i="4"/>
  <c r="B286" i="1"/>
  <c r="O287" i="1" l="1"/>
  <c r="P292" i="4" s="1"/>
  <c r="A288" i="1"/>
  <c r="E288" i="1"/>
  <c r="L257" i="3"/>
  <c r="B292" i="4"/>
  <c r="H256" i="3"/>
  <c r="E255" i="3"/>
  <c r="F255" i="3" s="1"/>
  <c r="G255" i="3" s="1"/>
  <c r="D257" i="3"/>
  <c r="D293" i="4"/>
  <c r="D288" i="1"/>
  <c r="C289" i="1"/>
  <c r="U287" i="1"/>
  <c r="B287" i="1"/>
  <c r="F292" i="4"/>
  <c r="O288" i="1" l="1"/>
  <c r="P293" i="4" s="1"/>
  <c r="A289" i="1"/>
  <c r="E289" i="1"/>
  <c r="D258" i="3"/>
  <c r="D294" i="4"/>
  <c r="D289" i="1"/>
  <c r="C290" i="1"/>
  <c r="E256" i="3"/>
  <c r="B293" i="4"/>
  <c r="L258" i="3"/>
  <c r="H257" i="3"/>
  <c r="B288" i="1"/>
  <c r="U288" i="1"/>
  <c r="F293" i="4"/>
  <c r="O289" i="1" l="1"/>
  <c r="P294" i="4" s="1"/>
  <c r="F256" i="3"/>
  <c r="G256" i="3" s="1"/>
  <c r="A290" i="1"/>
  <c r="E290" i="1"/>
  <c r="U289" i="1"/>
  <c r="F294" i="4"/>
  <c r="B289" i="1"/>
  <c r="B294" i="4"/>
  <c r="L259" i="3"/>
  <c r="H258" i="3"/>
  <c r="D290" i="1"/>
  <c r="D295" i="4"/>
  <c r="D259" i="3"/>
  <c r="C291" i="1"/>
  <c r="E257" i="3"/>
  <c r="O290" i="1" l="1"/>
  <c r="P295" i="4" s="1"/>
  <c r="F257" i="3"/>
  <c r="G257" i="3" s="1"/>
  <c r="A291" i="1"/>
  <c r="E291" i="1"/>
  <c r="E258" i="3"/>
  <c r="F258" i="3" s="1"/>
  <c r="G258" i="3" s="1"/>
  <c r="B295" i="4"/>
  <c r="L260" i="3"/>
  <c r="H259" i="3"/>
  <c r="D296" i="4"/>
  <c r="D291" i="1"/>
  <c r="D260" i="3"/>
  <c r="C292" i="1"/>
  <c r="F295" i="4"/>
  <c r="U290" i="1"/>
  <c r="B290" i="1"/>
  <c r="O291" i="1" l="1"/>
  <c r="P296" i="4" s="1"/>
  <c r="A292" i="1"/>
  <c r="E292" i="1"/>
  <c r="B291" i="1"/>
  <c r="F296" i="4"/>
  <c r="U291" i="1"/>
  <c r="E259" i="3"/>
  <c r="H260" i="3"/>
  <c r="L261" i="3"/>
  <c r="B296" i="4"/>
  <c r="D261" i="3"/>
  <c r="D297" i="4"/>
  <c r="D292" i="1"/>
  <c r="C293" i="1"/>
  <c r="O292" i="1" l="1"/>
  <c r="P297" i="4" s="1"/>
  <c r="F259" i="3"/>
  <c r="G259" i="3" s="1"/>
  <c r="A293" i="1"/>
  <c r="E293" i="1"/>
  <c r="E260" i="3"/>
  <c r="D262" i="3"/>
  <c r="D298" i="4"/>
  <c r="D293" i="1"/>
  <c r="C294" i="1"/>
  <c r="B292" i="1"/>
  <c r="F297" i="4"/>
  <c r="U292" i="1"/>
  <c r="L262" i="3"/>
  <c r="B297" i="4"/>
  <c r="H261" i="3"/>
  <c r="O293" i="1" l="1"/>
  <c r="P298" i="4" s="1"/>
  <c r="F260" i="3"/>
  <c r="G260" i="3" s="1"/>
  <c r="A294" i="1"/>
  <c r="E294" i="1"/>
  <c r="H262" i="3"/>
  <c r="L263" i="3"/>
  <c r="B298" i="4"/>
  <c r="E261" i="3"/>
  <c r="F261" i="3" s="1"/>
  <c r="G261" i="3" s="1"/>
  <c r="B293" i="1"/>
  <c r="F298" i="4"/>
  <c r="U293" i="1"/>
  <c r="D294" i="1"/>
  <c r="D263" i="3"/>
  <c r="D299" i="4"/>
  <c r="C295" i="1"/>
  <c r="O294" i="1" l="1"/>
  <c r="P299" i="4" s="1"/>
  <c r="A295" i="1"/>
  <c r="E295" i="1"/>
  <c r="D295" i="1"/>
  <c r="D264" i="3"/>
  <c r="D300" i="4"/>
  <c r="C296" i="1"/>
  <c r="H263" i="3"/>
  <c r="B299" i="4"/>
  <c r="L264" i="3"/>
  <c r="F299" i="4"/>
  <c r="U294" i="1"/>
  <c r="B294" i="1"/>
  <c r="E262" i="3"/>
  <c r="O295" i="1" l="1"/>
  <c r="P300" i="4" s="1"/>
  <c r="F262" i="3"/>
  <c r="G262" i="3" s="1"/>
  <c r="A296" i="1"/>
  <c r="E296" i="1"/>
  <c r="H264" i="3"/>
  <c r="L265" i="3"/>
  <c r="B300" i="4"/>
  <c r="D301" i="4"/>
  <c r="D296" i="1"/>
  <c r="D265" i="3"/>
  <c r="C297" i="1"/>
  <c r="E263" i="3"/>
  <c r="F263" i="3" s="1"/>
  <c r="G263" i="3" s="1"/>
  <c r="U295" i="1"/>
  <c r="B295" i="1"/>
  <c r="F300" i="4"/>
  <c r="O296" i="1" l="1"/>
  <c r="P301" i="4" s="1"/>
  <c r="A297" i="1"/>
  <c r="E297" i="1"/>
  <c r="L266" i="3"/>
  <c r="B301" i="4"/>
  <c r="H265" i="3"/>
  <c r="D302" i="4"/>
  <c r="D297" i="1"/>
  <c r="D266" i="3"/>
  <c r="C298" i="1"/>
  <c r="U296" i="1"/>
  <c r="B296" i="1"/>
  <c r="F301" i="4"/>
  <c r="E264" i="3"/>
  <c r="F264" i="3" s="1"/>
  <c r="G264" i="3" s="1"/>
  <c r="O297" i="1" l="1"/>
  <c r="P302" i="4" s="1"/>
  <c r="A298" i="1"/>
  <c r="E298" i="1"/>
  <c r="U297" i="1"/>
  <c r="B297" i="1"/>
  <c r="F302" i="4"/>
  <c r="L267" i="3"/>
  <c r="B302" i="4"/>
  <c r="H266" i="3"/>
  <c r="E265" i="3"/>
  <c r="D267" i="3"/>
  <c r="D298" i="1"/>
  <c r="D303" i="4"/>
  <c r="C299" i="1"/>
  <c r="O298" i="1" l="1"/>
  <c r="P303" i="4" s="1"/>
  <c r="F265" i="3"/>
  <c r="G265" i="3" s="1"/>
  <c r="A299" i="1"/>
  <c r="E299" i="1"/>
  <c r="B303" i="4"/>
  <c r="L268" i="3"/>
  <c r="H267" i="3"/>
  <c r="D299" i="1"/>
  <c r="D304" i="4"/>
  <c r="D268" i="3"/>
  <c r="C300" i="1"/>
  <c r="E266" i="3"/>
  <c r="B298" i="1"/>
  <c r="F303" i="4"/>
  <c r="U298" i="1"/>
  <c r="O299" i="1" l="1"/>
  <c r="P304" i="4" s="1"/>
  <c r="F266" i="3"/>
  <c r="G266" i="3" s="1"/>
  <c r="A300" i="1"/>
  <c r="E300" i="1"/>
  <c r="B304" i="4"/>
  <c r="L269" i="3"/>
  <c r="H268" i="3"/>
  <c r="E267" i="3"/>
  <c r="F267" i="3" s="1"/>
  <c r="G267" i="3" s="1"/>
  <c r="D269" i="3"/>
  <c r="D300" i="1"/>
  <c r="D305" i="4"/>
  <c r="C301" i="1"/>
  <c r="F304" i="4"/>
  <c r="U299" i="1"/>
  <c r="B299" i="1"/>
  <c r="O300" i="1" l="1"/>
  <c r="P305" i="4" s="1"/>
  <c r="A301" i="1"/>
  <c r="E301" i="1"/>
  <c r="H269" i="3"/>
  <c r="B305" i="4"/>
  <c r="L270" i="3"/>
  <c r="E268" i="3"/>
  <c r="B300" i="1"/>
  <c r="U300" i="1"/>
  <c r="F305" i="4"/>
  <c r="D306" i="4"/>
  <c r="D301" i="1"/>
  <c r="D270" i="3"/>
  <c r="C302" i="1"/>
  <c r="O301" i="1" l="1"/>
  <c r="P306" i="4" s="1"/>
  <c r="F268" i="3"/>
  <c r="G268" i="3" s="1"/>
  <c r="A302" i="1"/>
  <c r="E302" i="1"/>
  <c r="D271" i="3"/>
  <c r="D307" i="4"/>
  <c r="D302" i="1"/>
  <c r="C303" i="1"/>
  <c r="B306" i="4"/>
  <c r="H270" i="3"/>
  <c r="L271" i="3"/>
  <c r="U301" i="1"/>
  <c r="F306" i="4"/>
  <c r="B301" i="1"/>
  <c r="E269" i="3"/>
  <c r="O302" i="1" l="1"/>
  <c r="P307" i="4" s="1"/>
  <c r="F269" i="3"/>
  <c r="G269" i="3" s="1"/>
  <c r="A303" i="1"/>
  <c r="E303" i="1"/>
  <c r="E270" i="3"/>
  <c r="D308" i="4"/>
  <c r="D272" i="3"/>
  <c r="D303" i="1"/>
  <c r="C304" i="1"/>
  <c r="B302" i="1"/>
  <c r="U302" i="1"/>
  <c r="F307" i="4"/>
  <c r="L272" i="3"/>
  <c r="B307" i="4"/>
  <c r="H271" i="3"/>
  <c r="O303" i="1" l="1"/>
  <c r="P308" i="4" s="1"/>
  <c r="F270" i="3"/>
  <c r="G270" i="3" s="1"/>
  <c r="A304" i="1"/>
  <c r="E304" i="1"/>
  <c r="D273" i="3"/>
  <c r="D309" i="4"/>
  <c r="D304" i="1"/>
  <c r="C305" i="1"/>
  <c r="E271" i="3"/>
  <c r="F271" i="3" s="1"/>
  <c r="G271" i="3" s="1"/>
  <c r="F308" i="4"/>
  <c r="B303" i="1"/>
  <c r="U303" i="1"/>
  <c r="B308" i="4"/>
  <c r="L273" i="3"/>
  <c r="H272" i="3"/>
  <c r="O304" i="1" l="1"/>
  <c r="P309" i="4" s="1"/>
  <c r="A305" i="1"/>
  <c r="E305" i="1"/>
  <c r="L274" i="3"/>
  <c r="B309" i="4"/>
  <c r="H273" i="3"/>
  <c r="E272" i="3"/>
  <c r="F272" i="3" s="1"/>
  <c r="G272" i="3" s="1"/>
  <c r="D305" i="1"/>
  <c r="D274" i="3"/>
  <c r="D310" i="4"/>
  <c r="C306" i="1"/>
  <c r="B304" i="1"/>
  <c r="U304" i="1"/>
  <c r="F309" i="4"/>
  <c r="O305" i="1" l="1"/>
  <c r="P310" i="4" s="1"/>
  <c r="A306" i="1"/>
  <c r="E306" i="1"/>
  <c r="E273" i="3"/>
  <c r="F310" i="4"/>
  <c r="U305" i="1"/>
  <c r="B305" i="1"/>
  <c r="D311" i="4"/>
  <c r="D275" i="3"/>
  <c r="D306" i="1"/>
  <c r="C307" i="1"/>
  <c r="H274" i="3"/>
  <c r="B310" i="4"/>
  <c r="L275" i="3"/>
  <c r="O306" i="1" l="1"/>
  <c r="P311" i="4" s="1"/>
  <c r="F273" i="3"/>
  <c r="G273" i="3" s="1"/>
  <c r="A307" i="1"/>
  <c r="E307" i="1"/>
  <c r="F311" i="4"/>
  <c r="B306" i="1"/>
  <c r="U306" i="1"/>
  <c r="E274" i="3"/>
  <c r="F274" i="3" s="1"/>
  <c r="G274" i="3" s="1"/>
  <c r="D312" i="4"/>
  <c r="D307" i="1"/>
  <c r="D276" i="3"/>
  <c r="C308" i="1"/>
  <c r="B311" i="4"/>
  <c r="L276" i="3"/>
  <c r="H275" i="3"/>
  <c r="O307" i="1" l="1"/>
  <c r="P312" i="4" s="1"/>
  <c r="A308" i="1"/>
  <c r="E308" i="1"/>
  <c r="E275" i="3"/>
  <c r="F275" i="3" s="1"/>
  <c r="G275" i="3" s="1"/>
  <c r="B312" i="4"/>
  <c r="L277" i="3"/>
  <c r="H276" i="3"/>
  <c r="D277" i="3"/>
  <c r="D308" i="1"/>
  <c r="D313" i="4"/>
  <c r="C309" i="1"/>
  <c r="U307" i="1"/>
  <c r="B307" i="1"/>
  <c r="F312" i="4"/>
  <c r="O308" i="1" l="1"/>
  <c r="P313" i="4" s="1"/>
  <c r="A309" i="1"/>
  <c r="E309" i="1"/>
  <c r="E276" i="3"/>
  <c r="F276" i="3" s="1"/>
  <c r="G276" i="3" s="1"/>
  <c r="D278" i="3"/>
  <c r="D309" i="1"/>
  <c r="D314" i="4"/>
  <c r="C310" i="1"/>
  <c r="B308" i="1"/>
  <c r="U308" i="1"/>
  <c r="F313" i="4"/>
  <c r="L278" i="3"/>
  <c r="B313" i="4"/>
  <c r="H277" i="3"/>
  <c r="O309" i="1" l="1"/>
  <c r="P314" i="4" s="1"/>
  <c r="A310" i="1"/>
  <c r="E310" i="1"/>
  <c r="H278" i="3"/>
  <c r="B314" i="4"/>
  <c r="L279" i="3"/>
  <c r="D315" i="4"/>
  <c r="D310" i="1"/>
  <c r="D279" i="3"/>
  <c r="C311" i="1"/>
  <c r="E277" i="3"/>
  <c r="F277" i="3" s="1"/>
  <c r="G277" i="3" s="1"/>
  <c r="F314" i="4"/>
  <c r="B309" i="1"/>
  <c r="U309" i="1"/>
  <c r="O310" i="1" l="1"/>
  <c r="P315" i="4" s="1"/>
  <c r="A311" i="1"/>
  <c r="E311" i="1"/>
  <c r="L280" i="3"/>
  <c r="B315" i="4"/>
  <c r="H279" i="3"/>
  <c r="D280" i="3"/>
  <c r="D316" i="4"/>
  <c r="D311" i="1"/>
  <c r="C312" i="1"/>
  <c r="B310" i="1"/>
  <c r="U310" i="1"/>
  <c r="F315" i="4"/>
  <c r="E278" i="3"/>
  <c r="F278" i="3" s="1"/>
  <c r="G278" i="3" s="1"/>
  <c r="O311" i="1" l="1"/>
  <c r="P316" i="4" s="1"/>
  <c r="A312" i="1"/>
  <c r="E312" i="1"/>
  <c r="B311" i="1"/>
  <c r="U311" i="1"/>
  <c r="F316" i="4"/>
  <c r="E279" i="3"/>
  <c r="F279" i="3" s="1"/>
  <c r="G279" i="3" s="1"/>
  <c r="L281" i="3"/>
  <c r="H280" i="3"/>
  <c r="B316" i="4"/>
  <c r="D312" i="1"/>
  <c r="D317" i="4"/>
  <c r="D281" i="3"/>
  <c r="C313" i="1"/>
  <c r="O312" i="1" l="1"/>
  <c r="P317" i="4" s="1"/>
  <c r="A313" i="1"/>
  <c r="E313" i="1"/>
  <c r="F317" i="4"/>
  <c r="B312" i="1"/>
  <c r="U312" i="1"/>
  <c r="L282" i="3"/>
  <c r="B317" i="4"/>
  <c r="H281" i="3"/>
  <c r="D318" i="4"/>
  <c r="D282" i="3"/>
  <c r="D313" i="1"/>
  <c r="C314" i="1"/>
  <c r="E280" i="3"/>
  <c r="F280" i="3" s="1"/>
  <c r="G280" i="3" s="1"/>
  <c r="O313" i="1" l="1"/>
  <c r="P318" i="4" s="1"/>
  <c r="A314" i="1"/>
  <c r="E314" i="1"/>
  <c r="F318" i="4"/>
  <c r="B313" i="1"/>
  <c r="U313" i="1"/>
  <c r="E281" i="3"/>
  <c r="F281" i="3" s="1"/>
  <c r="G281" i="3" s="1"/>
  <c r="L283" i="3"/>
  <c r="B318" i="4"/>
  <c r="H282" i="3"/>
  <c r="D283" i="3"/>
  <c r="D314" i="1"/>
  <c r="D319" i="4"/>
  <c r="C315" i="1"/>
  <c r="O314" i="1" l="1"/>
  <c r="P319" i="4" s="1"/>
  <c r="A315" i="1"/>
  <c r="E315" i="1"/>
  <c r="D320" i="4"/>
  <c r="D284" i="3"/>
  <c r="D315" i="1"/>
  <c r="C316" i="1"/>
  <c r="B314" i="1"/>
  <c r="F319" i="4"/>
  <c r="U314" i="1"/>
  <c r="L284" i="3"/>
  <c r="B319" i="4"/>
  <c r="H283" i="3"/>
  <c r="E282" i="3"/>
  <c r="F282" i="3" s="1"/>
  <c r="G282" i="3" s="1"/>
  <c r="O315" i="1" l="1"/>
  <c r="P320" i="4" s="1"/>
  <c r="A316" i="1"/>
  <c r="E316" i="1"/>
  <c r="F320" i="4"/>
  <c r="U315" i="1"/>
  <c r="B315" i="1"/>
  <c r="E283" i="3"/>
  <c r="F283" i="3" s="1"/>
  <c r="G283" i="3" s="1"/>
  <c r="B320" i="4"/>
  <c r="L285" i="3"/>
  <c r="H284" i="3"/>
  <c r="D316" i="1"/>
  <c r="D321" i="4"/>
  <c r="D285" i="3"/>
  <c r="C317" i="1"/>
  <c r="O316" i="1" l="1"/>
  <c r="P321" i="4" s="1"/>
  <c r="A317" i="1"/>
  <c r="E317" i="1"/>
  <c r="L286" i="3"/>
  <c r="B321" i="4"/>
  <c r="H285" i="3"/>
  <c r="E284" i="3"/>
  <c r="F284" i="3" s="1"/>
  <c r="G284" i="3" s="1"/>
  <c r="B316" i="1"/>
  <c r="F321" i="4"/>
  <c r="U316" i="1"/>
  <c r="D317" i="1"/>
  <c r="D322" i="4"/>
  <c r="D286" i="3"/>
  <c r="C318" i="1"/>
  <c r="O317" i="1" l="1"/>
  <c r="P322" i="4" s="1"/>
  <c r="A318" i="1"/>
  <c r="E318" i="1"/>
  <c r="D318" i="1"/>
  <c r="D287" i="3"/>
  <c r="D323" i="4"/>
  <c r="C319" i="1"/>
  <c r="H286" i="3"/>
  <c r="L287" i="3"/>
  <c r="B322" i="4"/>
  <c r="E285" i="3"/>
  <c r="F285" i="3" s="1"/>
  <c r="G285" i="3" s="1"/>
  <c r="B317" i="1"/>
  <c r="U317" i="1"/>
  <c r="F322" i="4"/>
  <c r="O318" i="1" l="1"/>
  <c r="P323" i="4" s="1"/>
  <c r="A319" i="1"/>
  <c r="E319" i="1"/>
  <c r="E286" i="3"/>
  <c r="F286" i="3" s="1"/>
  <c r="G286" i="3" s="1"/>
  <c r="D288" i="3"/>
  <c r="D319" i="1"/>
  <c r="D324" i="4"/>
  <c r="C320" i="1"/>
  <c r="B318" i="1"/>
  <c r="F323" i="4"/>
  <c r="U318" i="1"/>
  <c r="H287" i="3"/>
  <c r="B323" i="4"/>
  <c r="L288" i="3"/>
  <c r="O319" i="1" l="1"/>
  <c r="P324" i="4" s="1"/>
  <c r="A320" i="1"/>
  <c r="E320" i="1"/>
  <c r="F324" i="4"/>
  <c r="U319" i="1"/>
  <c r="B319" i="1"/>
  <c r="E287" i="3"/>
  <c r="F287" i="3" s="1"/>
  <c r="G287" i="3" s="1"/>
  <c r="L289" i="3"/>
  <c r="B324" i="4"/>
  <c r="H288" i="3"/>
  <c r="D289" i="3"/>
  <c r="D325" i="4"/>
  <c r="D320" i="1"/>
  <c r="C321" i="1"/>
  <c r="O320" i="1" l="1"/>
  <c r="P325" i="4" s="1"/>
  <c r="A321" i="1"/>
  <c r="E321" i="1"/>
  <c r="U320" i="1"/>
  <c r="B320" i="1"/>
  <c r="F325" i="4"/>
  <c r="D326" i="4"/>
  <c r="D321" i="1"/>
  <c r="D290" i="3"/>
  <c r="C322" i="1"/>
  <c r="H289" i="3"/>
  <c r="L290" i="3"/>
  <c r="B325" i="4"/>
  <c r="E288" i="3"/>
  <c r="F288" i="3" s="1"/>
  <c r="G288" i="3" s="1"/>
  <c r="O321" i="1" l="1"/>
  <c r="P326" i="4" s="1"/>
  <c r="A322" i="1"/>
  <c r="E322" i="1"/>
  <c r="F326" i="4"/>
  <c r="U321" i="1"/>
  <c r="B321" i="1"/>
  <c r="E289" i="3"/>
  <c r="F289" i="3" s="1"/>
  <c r="G289" i="3" s="1"/>
  <c r="B326" i="4"/>
  <c r="L291" i="3"/>
  <c r="H290" i="3"/>
  <c r="D327" i="4"/>
  <c r="D291" i="3"/>
  <c r="D322" i="1"/>
  <c r="C323" i="1"/>
  <c r="O322" i="1" l="1"/>
  <c r="P327" i="4" s="1"/>
  <c r="A323" i="1"/>
  <c r="E323" i="1"/>
  <c r="L292" i="3"/>
  <c r="B327" i="4"/>
  <c r="H291" i="3"/>
  <c r="B322" i="1"/>
  <c r="F327" i="4"/>
  <c r="U322" i="1"/>
  <c r="E290" i="3"/>
  <c r="F290" i="3" s="1"/>
  <c r="G290" i="3" s="1"/>
  <c r="D328" i="4"/>
  <c r="D292" i="3"/>
  <c r="D323" i="1"/>
  <c r="C324" i="1"/>
  <c r="O323" i="1" l="1"/>
  <c r="P328" i="4" s="1"/>
  <c r="A324" i="1"/>
  <c r="E324" i="1"/>
  <c r="U323" i="1"/>
  <c r="B323" i="1"/>
  <c r="F328" i="4"/>
  <c r="D324" i="1"/>
  <c r="D329" i="4"/>
  <c r="D293" i="3"/>
  <c r="C325" i="1"/>
  <c r="H292" i="3"/>
  <c r="L293" i="3"/>
  <c r="B328" i="4"/>
  <c r="E291" i="3"/>
  <c r="F291" i="3" s="1"/>
  <c r="G291" i="3" s="1"/>
  <c r="O324" i="1" l="1"/>
  <c r="P329" i="4" s="1"/>
  <c r="A325" i="1"/>
  <c r="E325" i="1"/>
  <c r="F329" i="4"/>
  <c r="U324" i="1"/>
  <c r="B324" i="1"/>
  <c r="L294" i="3"/>
  <c r="H293" i="3"/>
  <c r="B329" i="4"/>
  <c r="D325" i="1"/>
  <c r="D294" i="3"/>
  <c r="D330" i="4"/>
  <c r="C326" i="1"/>
  <c r="E292" i="3"/>
  <c r="F292" i="3" s="1"/>
  <c r="G292" i="3" s="1"/>
  <c r="O325" i="1" l="1"/>
  <c r="P330" i="4" s="1"/>
  <c r="A326" i="1"/>
  <c r="E326" i="1"/>
  <c r="E293" i="3"/>
  <c r="F293" i="3" s="1"/>
  <c r="G293" i="3" s="1"/>
  <c r="L295" i="3"/>
  <c r="B330" i="4"/>
  <c r="H294" i="3"/>
  <c r="D295" i="3"/>
  <c r="D326" i="1"/>
  <c r="D331" i="4"/>
  <c r="C327" i="1"/>
  <c r="U325" i="1"/>
  <c r="F330" i="4"/>
  <c r="B325" i="1"/>
  <c r="O326" i="1" l="1"/>
  <c r="P331" i="4" s="1"/>
  <c r="A327" i="1"/>
  <c r="E327" i="1"/>
  <c r="H295" i="3"/>
  <c r="L296" i="3"/>
  <c r="B331" i="4"/>
  <c r="E294" i="3"/>
  <c r="F294" i="3" s="1"/>
  <c r="G294" i="3" s="1"/>
  <c r="F331" i="4"/>
  <c r="U326" i="1"/>
  <c r="B326" i="1"/>
  <c r="D327" i="1"/>
  <c r="D332" i="4"/>
  <c r="D296" i="3"/>
  <c r="C328" i="1"/>
  <c r="O327" i="1" l="1"/>
  <c r="P332" i="4" s="1"/>
  <c r="A328" i="1"/>
  <c r="E328" i="1"/>
  <c r="D328" i="1"/>
  <c r="D297" i="3"/>
  <c r="D333" i="4"/>
  <c r="C329" i="1"/>
  <c r="B332" i="4"/>
  <c r="L297" i="3"/>
  <c r="H296" i="3"/>
  <c r="F332" i="4"/>
  <c r="U327" i="1"/>
  <c r="B327" i="1"/>
  <c r="E295" i="3"/>
  <c r="F295" i="3" s="1"/>
  <c r="G295" i="3" s="1"/>
  <c r="O328" i="1" l="1"/>
  <c r="P333" i="4" s="1"/>
  <c r="A329" i="1"/>
  <c r="E329" i="1"/>
  <c r="H297" i="3"/>
  <c r="B333" i="4"/>
  <c r="L298" i="3"/>
  <c r="F333" i="4"/>
  <c r="U328" i="1"/>
  <c r="B328" i="1"/>
  <c r="D334" i="4"/>
  <c r="D329" i="1"/>
  <c r="D298" i="3"/>
  <c r="C330" i="1"/>
  <c r="E296" i="3"/>
  <c r="F296" i="3" s="1"/>
  <c r="G296" i="3" s="1"/>
  <c r="O329" i="1" l="1"/>
  <c r="P334" i="4" s="1"/>
  <c r="A330" i="1"/>
  <c r="E330" i="1"/>
  <c r="U329" i="1"/>
  <c r="B329" i="1"/>
  <c r="F334" i="4"/>
  <c r="E297" i="3"/>
  <c r="F297" i="3" s="1"/>
  <c r="G297" i="3" s="1"/>
  <c r="D335" i="4"/>
  <c r="D299" i="3"/>
  <c r="D330" i="1"/>
  <c r="C331" i="1"/>
  <c r="L299" i="3"/>
  <c r="H298" i="3"/>
  <c r="B334" i="4"/>
  <c r="O330" i="1" l="1"/>
  <c r="P335" i="4" s="1"/>
  <c r="A331" i="1"/>
  <c r="E331" i="1"/>
  <c r="E298" i="3"/>
  <c r="F298" i="3" s="1"/>
  <c r="G298" i="3" s="1"/>
  <c r="U330" i="1"/>
  <c r="F335" i="4"/>
  <c r="B330" i="1"/>
  <c r="D331" i="1"/>
  <c r="D300" i="3"/>
  <c r="D336" i="4"/>
  <c r="C332" i="1"/>
  <c r="B335" i="4"/>
  <c r="H299" i="3"/>
  <c r="L300" i="3"/>
  <c r="O331" i="1" l="1"/>
  <c r="P336" i="4" s="1"/>
  <c r="A332" i="1"/>
  <c r="E332" i="1"/>
  <c r="E299" i="3"/>
  <c r="F299" i="3" s="1"/>
  <c r="G299" i="3" s="1"/>
  <c r="D301" i="3"/>
  <c r="D337" i="4"/>
  <c r="D332" i="1"/>
  <c r="C333" i="1"/>
  <c r="B336" i="4"/>
  <c r="L301" i="3"/>
  <c r="H300" i="3"/>
  <c r="F336" i="4"/>
  <c r="B331" i="1"/>
  <c r="U331" i="1"/>
  <c r="O332" i="1" l="1"/>
  <c r="P337" i="4" s="1"/>
  <c r="A333" i="1"/>
  <c r="E333" i="1"/>
  <c r="D302" i="3"/>
  <c r="D333" i="1"/>
  <c r="D338" i="4"/>
  <c r="C334" i="1"/>
  <c r="E300" i="3"/>
  <c r="F300" i="3" s="1"/>
  <c r="G300" i="3" s="1"/>
  <c r="H301" i="3"/>
  <c r="L302" i="3"/>
  <c r="B337" i="4"/>
  <c r="F337" i="4"/>
  <c r="U332" i="1"/>
  <c r="B332" i="1"/>
  <c r="O333" i="1" l="1"/>
  <c r="P338" i="4" s="1"/>
  <c r="A334" i="1"/>
  <c r="E334" i="1"/>
  <c r="H302" i="3"/>
  <c r="B338" i="4"/>
  <c r="L303" i="3"/>
  <c r="E301" i="3"/>
  <c r="F301" i="3" s="1"/>
  <c r="G301" i="3" s="1"/>
  <c r="D303" i="3"/>
  <c r="D339" i="4"/>
  <c r="D334" i="1"/>
  <c r="C335" i="1"/>
  <c r="U333" i="1"/>
  <c r="F338" i="4"/>
  <c r="B333" i="1"/>
  <c r="O334" i="1" l="1"/>
  <c r="P339" i="4" s="1"/>
  <c r="A335" i="1"/>
  <c r="E335" i="1"/>
  <c r="U334" i="1"/>
  <c r="B334" i="1"/>
  <c r="F339" i="4"/>
  <c r="D304" i="3"/>
  <c r="D335" i="1"/>
  <c r="D340" i="4"/>
  <c r="C336" i="1"/>
  <c r="E302" i="3"/>
  <c r="F302" i="3" s="1"/>
  <c r="G302" i="3" s="1"/>
  <c r="L304" i="3"/>
  <c r="B339" i="4"/>
  <c r="H303" i="3"/>
  <c r="O335" i="1" l="1"/>
  <c r="P340" i="4" s="1"/>
  <c r="A336" i="1"/>
  <c r="E336" i="1"/>
  <c r="B335" i="1"/>
  <c r="F340" i="4"/>
  <c r="U335" i="1"/>
  <c r="E303" i="3"/>
  <c r="D341" i="4"/>
  <c r="D305" i="3"/>
  <c r="D336" i="1"/>
  <c r="C337" i="1"/>
  <c r="H304" i="3"/>
  <c r="B340" i="4"/>
  <c r="L305" i="3"/>
  <c r="O336" i="1" l="1"/>
  <c r="P341" i="4" s="1"/>
  <c r="F303" i="3"/>
  <c r="G303" i="3" s="1"/>
  <c r="A337" i="1"/>
  <c r="E337" i="1"/>
  <c r="E304" i="3"/>
  <c r="F304" i="3" s="1"/>
  <c r="G304" i="3" s="1"/>
  <c r="B336" i="1"/>
  <c r="U336" i="1"/>
  <c r="F341" i="4"/>
  <c r="B341" i="4"/>
  <c r="L306" i="3"/>
  <c r="H305" i="3"/>
  <c r="D306" i="3"/>
  <c r="D342" i="4"/>
  <c r="D337" i="1"/>
  <c r="C338" i="1"/>
  <c r="O337" i="1" l="1"/>
  <c r="P342" i="4" s="1"/>
  <c r="A338" i="1"/>
  <c r="E338" i="1"/>
  <c r="D343" i="4"/>
  <c r="D307" i="3"/>
  <c r="D338" i="1"/>
  <c r="C339" i="1"/>
  <c r="H306" i="3"/>
  <c r="B342" i="4"/>
  <c r="L307" i="3"/>
  <c r="U337" i="1"/>
  <c r="B337" i="1"/>
  <c r="F342" i="4"/>
  <c r="E305" i="3"/>
  <c r="F305" i="3" s="1"/>
  <c r="G305" i="3" s="1"/>
  <c r="O338" i="1" l="1"/>
  <c r="P343" i="4" s="1"/>
  <c r="A339" i="1"/>
  <c r="E339" i="1"/>
  <c r="D339" i="1"/>
  <c r="D308" i="3"/>
  <c r="D344" i="4"/>
  <c r="C340" i="1"/>
  <c r="B338" i="1"/>
  <c r="F343" i="4"/>
  <c r="U338" i="1"/>
  <c r="E306" i="3"/>
  <c r="F306" i="3" s="1"/>
  <c r="G306" i="3" s="1"/>
  <c r="H307" i="3"/>
  <c r="B343" i="4"/>
  <c r="L308" i="3"/>
  <c r="O339" i="1" l="1"/>
  <c r="P344" i="4" s="1"/>
  <c r="A340" i="1"/>
  <c r="E340" i="1"/>
  <c r="L309" i="3"/>
  <c r="H308" i="3"/>
  <c r="B344" i="4"/>
  <c r="D345" i="4"/>
  <c r="D340" i="1"/>
  <c r="D309" i="3"/>
  <c r="C341" i="1"/>
  <c r="B339" i="1"/>
  <c r="U339" i="1"/>
  <c r="F344" i="4"/>
  <c r="E307" i="3"/>
  <c r="F307" i="3" s="1"/>
  <c r="G307" i="3" s="1"/>
  <c r="O340" i="1" l="1"/>
  <c r="P345" i="4" s="1"/>
  <c r="A341" i="1"/>
  <c r="E341" i="1"/>
  <c r="L310" i="3"/>
  <c r="H309" i="3"/>
  <c r="B345" i="4"/>
  <c r="D310" i="3"/>
  <c r="D341" i="1"/>
  <c r="D346" i="4"/>
  <c r="C342" i="1"/>
  <c r="E308" i="3"/>
  <c r="F308" i="3" s="1"/>
  <c r="G308" i="3" s="1"/>
  <c r="B340" i="1"/>
  <c r="F345" i="4"/>
  <c r="U340" i="1"/>
  <c r="O341" i="1" l="1"/>
  <c r="P346" i="4" s="1"/>
  <c r="A342" i="1"/>
  <c r="E342" i="1"/>
  <c r="F346" i="4"/>
  <c r="U341" i="1"/>
  <c r="B341" i="1"/>
  <c r="H310" i="3"/>
  <c r="L311" i="3"/>
  <c r="B346" i="4"/>
  <c r="E309" i="3"/>
  <c r="F309" i="3" s="1"/>
  <c r="G309" i="3" s="1"/>
  <c r="D342" i="1"/>
  <c r="D347" i="4"/>
  <c r="D311" i="3"/>
  <c r="C343" i="1"/>
  <c r="O342" i="1" l="1"/>
  <c r="P347" i="4" s="1"/>
  <c r="A343" i="1"/>
  <c r="E343" i="1"/>
  <c r="E310" i="3"/>
  <c r="F310" i="3" s="1"/>
  <c r="G310" i="3" s="1"/>
  <c r="B342" i="1"/>
  <c r="F347" i="4"/>
  <c r="U342" i="1"/>
  <c r="D312" i="3"/>
  <c r="D343" i="1"/>
  <c r="D348" i="4"/>
  <c r="C344" i="1"/>
  <c r="B347" i="4"/>
  <c r="L312" i="3"/>
  <c r="H311" i="3"/>
  <c r="O343" i="1" l="1"/>
  <c r="P348" i="4" s="1"/>
  <c r="A344" i="1"/>
  <c r="E344" i="1"/>
  <c r="D313" i="3"/>
  <c r="D344" i="1"/>
  <c r="D349" i="4"/>
  <c r="C345" i="1"/>
  <c r="L313" i="3"/>
  <c r="B348" i="4"/>
  <c r="H312" i="3"/>
  <c r="E311" i="3"/>
  <c r="F311" i="3" s="1"/>
  <c r="G311" i="3" s="1"/>
  <c r="F348" i="4"/>
  <c r="B343" i="1"/>
  <c r="U343" i="1"/>
  <c r="O344" i="1" l="1"/>
  <c r="P349" i="4" s="1"/>
  <c r="A345" i="1"/>
  <c r="E345" i="1"/>
  <c r="H313" i="3"/>
  <c r="L314" i="3"/>
  <c r="B349" i="4"/>
  <c r="U344" i="1"/>
  <c r="F349" i="4"/>
  <c r="B344" i="1"/>
  <c r="D314" i="3"/>
  <c r="D350" i="4"/>
  <c r="D345" i="1"/>
  <c r="C346" i="1"/>
  <c r="E312" i="3"/>
  <c r="F312" i="3" s="1"/>
  <c r="G312" i="3" s="1"/>
  <c r="O345" i="1" l="1"/>
  <c r="P350" i="4" s="1"/>
  <c r="A346" i="1"/>
  <c r="E346" i="1"/>
  <c r="D315" i="3"/>
  <c r="D351" i="4"/>
  <c r="D346" i="1"/>
  <c r="C347" i="1"/>
  <c r="H314" i="3"/>
  <c r="B350" i="4"/>
  <c r="L315" i="3"/>
  <c r="E313" i="3"/>
  <c r="F313" i="3" s="1"/>
  <c r="G313" i="3" s="1"/>
  <c r="U345" i="1"/>
  <c r="F350" i="4"/>
  <c r="B345" i="1"/>
  <c r="O346" i="1" l="1"/>
  <c r="P351" i="4" s="1"/>
  <c r="A347" i="1"/>
  <c r="E347" i="1"/>
  <c r="L316" i="3"/>
  <c r="B351" i="4"/>
  <c r="H315" i="3"/>
  <c r="B346" i="1"/>
  <c r="F351" i="4"/>
  <c r="U346" i="1"/>
  <c r="D316" i="3"/>
  <c r="D352" i="4"/>
  <c r="D347" i="1"/>
  <c r="C348" i="1"/>
  <c r="E314" i="3"/>
  <c r="F314" i="3" s="1"/>
  <c r="G314" i="3" s="1"/>
  <c r="O347" i="1" l="1"/>
  <c r="P352" i="4" s="1"/>
  <c r="A348" i="1"/>
  <c r="E348" i="1"/>
  <c r="U347" i="1"/>
  <c r="F352" i="4"/>
  <c r="B347" i="1"/>
  <c r="E315" i="3"/>
  <c r="D353" i="4"/>
  <c r="D317" i="3"/>
  <c r="D348" i="1"/>
  <c r="C349" i="1"/>
  <c r="L317" i="3"/>
  <c r="B352" i="4"/>
  <c r="H316" i="3"/>
  <c r="O348" i="1" l="1"/>
  <c r="P353" i="4" s="1"/>
  <c r="F315" i="3"/>
  <c r="G315" i="3" s="1"/>
  <c r="A349" i="1"/>
  <c r="E349" i="1"/>
  <c r="E316" i="3"/>
  <c r="F316" i="3" s="1"/>
  <c r="G316" i="3" s="1"/>
  <c r="D354" i="4"/>
  <c r="D318" i="3"/>
  <c r="D349" i="1"/>
  <c r="C350" i="1"/>
  <c r="B353" i="4"/>
  <c r="L318" i="3"/>
  <c r="H317" i="3"/>
  <c r="B348" i="1"/>
  <c r="F353" i="4"/>
  <c r="U348" i="1"/>
  <c r="O349" i="1" l="1"/>
  <c r="P354" i="4" s="1"/>
  <c r="A350" i="1"/>
  <c r="E350" i="1"/>
  <c r="D350" i="1"/>
  <c r="D319" i="3"/>
  <c r="D355" i="4"/>
  <c r="C351" i="1"/>
  <c r="B354" i="4"/>
  <c r="L319" i="3"/>
  <c r="H318" i="3"/>
  <c r="E317" i="3"/>
  <c r="F317" i="3" s="1"/>
  <c r="G317" i="3" s="1"/>
  <c r="F354" i="4"/>
  <c r="U349" i="1"/>
  <c r="B349" i="1"/>
  <c r="O350" i="1" l="1"/>
  <c r="P355" i="4" s="1"/>
  <c r="A351" i="1"/>
  <c r="E351" i="1"/>
  <c r="B350" i="1"/>
  <c r="F355" i="4"/>
  <c r="U350" i="1"/>
  <c r="E318" i="3"/>
  <c r="D351" i="1"/>
  <c r="D356" i="4"/>
  <c r="D320" i="3"/>
  <c r="C352" i="1"/>
  <c r="L320" i="3"/>
  <c r="B355" i="4"/>
  <c r="H319" i="3"/>
  <c r="O351" i="1" l="1"/>
  <c r="P356" i="4" s="1"/>
  <c r="F318" i="3"/>
  <c r="G318" i="3" s="1"/>
  <c r="A352" i="1"/>
  <c r="E352" i="1"/>
  <c r="L321" i="3"/>
  <c r="B356" i="4"/>
  <c r="H320" i="3"/>
  <c r="F356" i="4"/>
  <c r="U351" i="1"/>
  <c r="B351" i="1"/>
  <c r="E319" i="3"/>
  <c r="F319" i="3" s="1"/>
  <c r="G319" i="3" s="1"/>
  <c r="D357" i="4"/>
  <c r="D321" i="3"/>
  <c r="D352" i="1"/>
  <c r="C353" i="1"/>
  <c r="O352" i="1" l="1"/>
  <c r="P357" i="4" s="1"/>
  <c r="A353" i="1"/>
  <c r="E353" i="1"/>
  <c r="D358" i="4"/>
  <c r="D322" i="3"/>
  <c r="D353" i="1"/>
  <c r="C354" i="1"/>
  <c r="B357" i="4"/>
  <c r="L322" i="3"/>
  <c r="H321" i="3"/>
  <c r="E320" i="3"/>
  <c r="F320" i="3" s="1"/>
  <c r="G320" i="3" s="1"/>
  <c r="B352" i="1"/>
  <c r="F357" i="4"/>
  <c r="U352" i="1"/>
  <c r="O353" i="1" l="1"/>
  <c r="P358" i="4" s="1"/>
  <c r="A354" i="1"/>
  <c r="E354" i="1"/>
  <c r="F358" i="4"/>
  <c r="U353" i="1"/>
  <c r="B353" i="1"/>
  <c r="L323" i="3"/>
  <c r="H322" i="3"/>
  <c r="B358" i="4"/>
  <c r="D323" i="3"/>
  <c r="D359" i="4"/>
  <c r="D354" i="1"/>
  <c r="C355" i="1"/>
  <c r="E321" i="3"/>
  <c r="F321" i="3" s="1"/>
  <c r="G321" i="3" s="1"/>
  <c r="O354" i="1" l="1"/>
  <c r="P359" i="4" s="1"/>
  <c r="A355" i="1"/>
  <c r="E355" i="1"/>
  <c r="E322" i="3"/>
  <c r="F322" i="3" s="1"/>
  <c r="G322" i="3" s="1"/>
  <c r="U354" i="1"/>
  <c r="B354" i="1"/>
  <c r="F359" i="4"/>
  <c r="D360" i="4"/>
  <c r="D355" i="1"/>
  <c r="D324" i="3"/>
  <c r="C356" i="1"/>
  <c r="L324" i="3"/>
  <c r="H323" i="3"/>
  <c r="B359" i="4"/>
  <c r="O355" i="1" l="1"/>
  <c r="P360" i="4" s="1"/>
  <c r="A356" i="1"/>
  <c r="E356" i="1"/>
  <c r="E323" i="3"/>
  <c r="F323" i="3" s="1"/>
  <c r="G323" i="3" s="1"/>
  <c r="U355" i="1"/>
  <c r="F360" i="4"/>
  <c r="B355" i="1"/>
  <c r="B360" i="4"/>
  <c r="L325" i="3"/>
  <c r="H324" i="3"/>
  <c r="D356" i="1"/>
  <c r="D325" i="3"/>
  <c r="D361" i="4"/>
  <c r="C357" i="1"/>
  <c r="O356" i="1" l="1"/>
  <c r="P361" i="4" s="1"/>
  <c r="A357" i="1"/>
  <c r="E357" i="1"/>
  <c r="B361" i="4"/>
  <c r="H325" i="3"/>
  <c r="L326" i="3"/>
  <c r="D362" i="4"/>
  <c r="D357" i="1"/>
  <c r="D326" i="3"/>
  <c r="C358" i="1"/>
  <c r="E324" i="3"/>
  <c r="F324" i="3" s="1"/>
  <c r="G324" i="3" s="1"/>
  <c r="B356" i="1"/>
  <c r="F361" i="4"/>
  <c r="U356" i="1"/>
  <c r="O357" i="1" l="1"/>
  <c r="P362" i="4" s="1"/>
  <c r="A358" i="1"/>
  <c r="E358" i="1"/>
  <c r="D358" i="1"/>
  <c r="D363" i="4"/>
  <c r="D327" i="3"/>
  <c r="C359" i="1"/>
  <c r="B357" i="1"/>
  <c r="F362" i="4"/>
  <c r="U357" i="1"/>
  <c r="E325" i="3"/>
  <c r="L327" i="3"/>
  <c r="H326" i="3"/>
  <c r="B362" i="4"/>
  <c r="O358" i="1" l="1"/>
  <c r="P363" i="4" s="1"/>
  <c r="F325" i="3"/>
  <c r="G325" i="3" s="1"/>
  <c r="A359" i="1"/>
  <c r="E359" i="1"/>
  <c r="F363" i="4"/>
  <c r="B358" i="1"/>
  <c r="U358" i="1"/>
  <c r="D359" i="1"/>
  <c r="D328" i="3"/>
  <c r="D364" i="4"/>
  <c r="C360" i="1"/>
  <c r="E326" i="3"/>
  <c r="F326" i="3" s="1"/>
  <c r="G326" i="3" s="1"/>
  <c r="L328" i="3"/>
  <c r="B363" i="4"/>
  <c r="H327" i="3"/>
  <c r="O359" i="1" l="1"/>
  <c r="P364" i="4" s="1"/>
  <c r="A360" i="1"/>
  <c r="E360" i="1"/>
  <c r="B359" i="1"/>
  <c r="F364" i="4"/>
  <c r="U359" i="1"/>
  <c r="D329" i="3"/>
  <c r="D365" i="4"/>
  <c r="D360" i="1"/>
  <c r="C361" i="1"/>
  <c r="E327" i="3"/>
  <c r="F327" i="3" s="1"/>
  <c r="G327" i="3" s="1"/>
  <c r="B364" i="4"/>
  <c r="L329" i="3"/>
  <c r="H328" i="3"/>
  <c r="O360" i="1" l="1"/>
  <c r="P365" i="4" s="1"/>
  <c r="A361" i="1"/>
  <c r="E361" i="1"/>
  <c r="L330" i="3"/>
  <c r="H329" i="3"/>
  <c r="B365" i="4"/>
  <c r="E328" i="3"/>
  <c r="F328" i="3" s="1"/>
  <c r="G328" i="3" s="1"/>
  <c r="D361" i="1"/>
  <c r="D366" i="4"/>
  <c r="D330" i="3"/>
  <c r="C362" i="1"/>
  <c r="B360" i="1"/>
  <c r="U360" i="1"/>
  <c r="F365" i="4"/>
  <c r="O361" i="1" l="1"/>
  <c r="P366" i="4" s="1"/>
  <c r="A362" i="1"/>
  <c r="E362" i="1"/>
  <c r="D331" i="3"/>
  <c r="D367" i="4"/>
  <c r="D362" i="1"/>
  <c r="C363" i="1"/>
  <c r="B366" i="4"/>
  <c r="L331" i="3"/>
  <c r="H330" i="3"/>
  <c r="B361" i="1"/>
  <c r="F366" i="4"/>
  <c r="U361" i="1"/>
  <c r="E329" i="3"/>
  <c r="F329" i="3" s="1"/>
  <c r="G329" i="3" s="1"/>
  <c r="O362" i="1" l="1"/>
  <c r="P367" i="4" s="1"/>
  <c r="A363" i="1"/>
  <c r="E363" i="1"/>
  <c r="B367" i="4"/>
  <c r="H331" i="3"/>
  <c r="L332" i="3"/>
  <c r="E330" i="3"/>
  <c r="F330" i="3" s="1"/>
  <c r="G330" i="3" s="1"/>
  <c r="D363" i="1"/>
  <c r="D332" i="3"/>
  <c r="D368" i="4"/>
  <c r="C364" i="1"/>
  <c r="B362" i="1"/>
  <c r="F367" i="4"/>
  <c r="U362" i="1"/>
  <c r="O363" i="1" l="1"/>
  <c r="P368" i="4" s="1"/>
  <c r="A364" i="1"/>
  <c r="E364" i="1"/>
  <c r="L333" i="3"/>
  <c r="B368" i="4"/>
  <c r="H332" i="3"/>
  <c r="F368" i="4"/>
  <c r="B363" i="1"/>
  <c r="U363" i="1"/>
  <c r="E331" i="3"/>
  <c r="F331" i="3" s="1"/>
  <c r="G331" i="3" s="1"/>
  <c r="D364" i="1"/>
  <c r="D369" i="4"/>
  <c r="D333" i="3"/>
  <c r="C365" i="1"/>
  <c r="O364" i="1" l="1"/>
  <c r="P369" i="4" s="1"/>
  <c r="A365" i="1"/>
  <c r="E365" i="1"/>
  <c r="U364" i="1"/>
  <c r="F369" i="4"/>
  <c r="B364" i="1"/>
  <c r="E332" i="3"/>
  <c r="F332" i="3" s="1"/>
  <c r="G332" i="3" s="1"/>
  <c r="D365" i="1"/>
  <c r="D334" i="3"/>
  <c r="D370" i="4"/>
  <c r="C366" i="1"/>
  <c r="L334" i="3"/>
  <c r="B369" i="4"/>
  <c r="H333" i="3"/>
  <c r="O365" i="1" l="1"/>
  <c r="P370" i="4" s="1"/>
  <c r="A366" i="1"/>
  <c r="E366" i="1"/>
  <c r="B370" i="4"/>
  <c r="L335" i="3"/>
  <c r="H334" i="3"/>
  <c r="E333" i="3"/>
  <c r="F333" i="3" s="1"/>
  <c r="G333" i="3" s="1"/>
  <c r="D335" i="3"/>
  <c r="D366" i="1"/>
  <c r="D371" i="4"/>
  <c r="C367" i="1"/>
  <c r="B365" i="1"/>
  <c r="F370" i="4"/>
  <c r="U365" i="1"/>
  <c r="O366" i="1" l="1"/>
  <c r="P371" i="4" s="1"/>
  <c r="A367" i="1"/>
  <c r="E367" i="1"/>
  <c r="E334" i="3"/>
  <c r="F334" i="3" s="1"/>
  <c r="G334" i="3" s="1"/>
  <c r="B371" i="4"/>
  <c r="H335" i="3"/>
  <c r="L336" i="3"/>
  <c r="D372" i="4"/>
  <c r="D336" i="3"/>
  <c r="D367" i="1"/>
  <c r="C368" i="1"/>
  <c r="F371" i="4"/>
  <c r="B366" i="1"/>
  <c r="U366" i="1"/>
  <c r="O367" i="1" l="1"/>
  <c r="P372" i="4" s="1"/>
  <c r="A368" i="1"/>
  <c r="E368" i="1"/>
  <c r="B367" i="1"/>
  <c r="U367" i="1"/>
  <c r="F372" i="4"/>
  <c r="E335" i="3"/>
  <c r="F335" i="3" s="1"/>
  <c r="G335" i="3" s="1"/>
  <c r="L337" i="3"/>
  <c r="B372" i="4"/>
  <c r="H336" i="3"/>
  <c r="D373" i="4"/>
  <c r="D368" i="1"/>
  <c r="D337" i="3"/>
  <c r="C369" i="1"/>
  <c r="O368" i="1" l="1"/>
  <c r="P373" i="4" s="1"/>
  <c r="A369" i="1"/>
  <c r="E369" i="1"/>
  <c r="E336" i="3"/>
  <c r="F336" i="3" s="1"/>
  <c r="G336" i="3" s="1"/>
  <c r="D369" i="1"/>
  <c r="D374" i="4"/>
  <c r="D338" i="3"/>
  <c r="C370" i="1"/>
  <c r="B373" i="4"/>
  <c r="H337" i="3"/>
  <c r="L338" i="3"/>
  <c r="U368" i="1"/>
  <c r="B368" i="1"/>
  <c r="F373" i="4"/>
  <c r="O369" i="1" l="1"/>
  <c r="P374" i="4" s="1"/>
  <c r="A370" i="1"/>
  <c r="E370" i="1"/>
  <c r="B374" i="4"/>
  <c r="H338" i="3"/>
  <c r="L339" i="3"/>
  <c r="E337" i="3"/>
  <c r="D339" i="3"/>
  <c r="D375" i="4"/>
  <c r="D370" i="1"/>
  <c r="C371" i="1"/>
  <c r="B369" i="1"/>
  <c r="F374" i="4"/>
  <c r="U369" i="1"/>
  <c r="O370" i="1" l="1"/>
  <c r="P375" i="4" s="1"/>
  <c r="F337" i="3"/>
  <c r="G337" i="3" s="1"/>
  <c r="A371" i="1"/>
  <c r="E371" i="1"/>
  <c r="B375" i="4"/>
  <c r="L340" i="3"/>
  <c r="H339" i="3"/>
  <c r="D376" i="4"/>
  <c r="D371" i="1"/>
  <c r="D340" i="3"/>
  <c r="C372" i="1"/>
  <c r="F375" i="4"/>
  <c r="B370" i="1"/>
  <c r="U370" i="1"/>
  <c r="E338" i="3"/>
  <c r="F338" i="3" s="1"/>
  <c r="G338" i="3" s="1"/>
  <c r="O371" i="1" l="1"/>
  <c r="P376" i="4" s="1"/>
  <c r="A372" i="1"/>
  <c r="E372" i="1"/>
  <c r="E339" i="3"/>
  <c r="F339" i="3" s="1"/>
  <c r="G339" i="3" s="1"/>
  <c r="L341" i="3"/>
  <c r="B376" i="4"/>
  <c r="H340" i="3"/>
  <c r="B371" i="1"/>
  <c r="F376" i="4"/>
  <c r="U371" i="1"/>
  <c r="D377" i="4"/>
  <c r="D341" i="3"/>
  <c r="D372" i="1"/>
  <c r="C373" i="1"/>
  <c r="O372" i="1" l="1"/>
  <c r="P377" i="4" s="1"/>
  <c r="A373" i="1"/>
  <c r="E373" i="1"/>
  <c r="B377" i="4"/>
  <c r="L342" i="3"/>
  <c r="H341" i="3"/>
  <c r="D373" i="1"/>
  <c r="D342" i="3"/>
  <c r="D378" i="4"/>
  <c r="C374" i="1"/>
  <c r="B372" i="1"/>
  <c r="U372" i="1"/>
  <c r="F377" i="4"/>
  <c r="E340" i="3"/>
  <c r="F340" i="3" s="1"/>
  <c r="G340" i="3" s="1"/>
  <c r="O373" i="1" l="1"/>
  <c r="P378" i="4" s="1"/>
  <c r="A374" i="1"/>
  <c r="E374" i="1"/>
  <c r="D343" i="3"/>
  <c r="D379" i="4"/>
  <c r="D374" i="1"/>
  <c r="C375" i="1"/>
  <c r="F378" i="4"/>
  <c r="U373" i="1"/>
  <c r="B373" i="1"/>
  <c r="E341" i="3"/>
  <c r="F341" i="3" s="1"/>
  <c r="G341" i="3" s="1"/>
  <c r="L343" i="3"/>
  <c r="H342" i="3"/>
  <c r="B378" i="4"/>
  <c r="O374" i="1" l="1"/>
  <c r="P379" i="4" s="1"/>
  <c r="A375" i="1"/>
  <c r="E375" i="1"/>
  <c r="B374" i="1"/>
  <c r="U374" i="1"/>
  <c r="F379" i="4"/>
  <c r="E342" i="3"/>
  <c r="D375" i="1"/>
  <c r="D344" i="3"/>
  <c r="D380" i="4"/>
  <c r="C376" i="1"/>
  <c r="B379" i="4"/>
  <c r="L344" i="3"/>
  <c r="H343" i="3"/>
  <c r="O375" i="1" l="1"/>
  <c r="P380" i="4" s="1"/>
  <c r="F342" i="3"/>
  <c r="G342" i="3" s="1"/>
  <c r="A376" i="1"/>
  <c r="E376" i="1"/>
  <c r="F380" i="4"/>
  <c r="B375" i="1"/>
  <c r="U375" i="1"/>
  <c r="E343" i="3"/>
  <c r="F343" i="3" s="1"/>
  <c r="G343" i="3" s="1"/>
  <c r="D345" i="3"/>
  <c r="D376" i="1"/>
  <c r="D381" i="4"/>
  <c r="C377" i="1"/>
  <c r="B380" i="4"/>
  <c r="L345" i="3"/>
  <c r="H344" i="3"/>
  <c r="O376" i="1" l="1"/>
  <c r="P381" i="4" s="1"/>
  <c r="A377" i="1"/>
  <c r="E377" i="1"/>
  <c r="F381" i="4"/>
  <c r="U376" i="1"/>
  <c r="B376" i="1"/>
  <c r="L346" i="3"/>
  <c r="B381" i="4"/>
  <c r="H345" i="3"/>
  <c r="D346" i="3"/>
  <c r="D377" i="1"/>
  <c r="D382" i="4"/>
  <c r="C378" i="1"/>
  <c r="E344" i="3"/>
  <c r="F344" i="3" s="1"/>
  <c r="G344" i="3" s="1"/>
  <c r="O377" i="1" l="1"/>
  <c r="P382" i="4" s="1"/>
  <c r="A378" i="1"/>
  <c r="E378" i="1"/>
  <c r="U377" i="1"/>
  <c r="F382" i="4"/>
  <c r="B377" i="1"/>
  <c r="L347" i="3"/>
  <c r="B382" i="4"/>
  <c r="H346" i="3"/>
  <c r="D378" i="1"/>
  <c r="D347" i="3"/>
  <c r="D383" i="4"/>
  <c r="C379" i="1"/>
  <c r="E345" i="3"/>
  <c r="F345" i="3" s="1"/>
  <c r="G345" i="3" s="1"/>
  <c r="O378" i="1" l="1"/>
  <c r="P383" i="4" s="1"/>
  <c r="A379" i="1"/>
  <c r="E379" i="1"/>
  <c r="E346" i="3"/>
  <c r="F346" i="3" s="1"/>
  <c r="G346" i="3" s="1"/>
  <c r="H347" i="3"/>
  <c r="L348" i="3"/>
  <c r="B383" i="4"/>
  <c r="B378" i="1"/>
  <c r="U378" i="1"/>
  <c r="F383" i="4"/>
  <c r="D384" i="4"/>
  <c r="D348" i="3"/>
  <c r="D379" i="1"/>
  <c r="C380" i="1"/>
  <c r="O379" i="1" l="1"/>
  <c r="P384" i="4" s="1"/>
  <c r="A380" i="1"/>
  <c r="E380" i="1"/>
  <c r="E347" i="3"/>
  <c r="D385" i="4"/>
  <c r="D349" i="3"/>
  <c r="D380" i="1"/>
  <c r="C381" i="1"/>
  <c r="B379" i="1"/>
  <c r="U379" i="1"/>
  <c r="F384" i="4"/>
  <c r="L349" i="3"/>
  <c r="B384" i="4"/>
  <c r="H348" i="3"/>
  <c r="O380" i="1" l="1"/>
  <c r="P385" i="4" s="1"/>
  <c r="F347" i="3"/>
  <c r="G347" i="3" s="1"/>
  <c r="A381" i="1"/>
  <c r="E381" i="1"/>
  <c r="U380" i="1"/>
  <c r="F385" i="4"/>
  <c r="B380" i="1"/>
  <c r="L350" i="3"/>
  <c r="H349" i="3"/>
  <c r="B385" i="4"/>
  <c r="D381" i="1"/>
  <c r="D386" i="4"/>
  <c r="D350" i="3"/>
  <c r="C382" i="1"/>
  <c r="E348" i="3"/>
  <c r="F348" i="3" s="1"/>
  <c r="G348" i="3" s="1"/>
  <c r="O381" i="1" l="1"/>
  <c r="P386" i="4" s="1"/>
  <c r="A382" i="1"/>
  <c r="E382" i="1"/>
  <c r="E349" i="3"/>
  <c r="F349" i="3" s="1"/>
  <c r="G349" i="3" s="1"/>
  <c r="F386" i="4"/>
  <c r="B381" i="1"/>
  <c r="U381" i="1"/>
  <c r="D351" i="3"/>
  <c r="D382" i="1"/>
  <c r="D387" i="4"/>
  <c r="C383" i="1"/>
  <c r="L351" i="3"/>
  <c r="B386" i="4"/>
  <c r="H350" i="3"/>
  <c r="O382" i="1" l="1"/>
  <c r="P387" i="4" s="1"/>
  <c r="A383" i="1"/>
  <c r="E383" i="1"/>
  <c r="F387" i="4"/>
  <c r="B382" i="1"/>
  <c r="U382" i="1"/>
  <c r="E350" i="3"/>
  <c r="F350" i="3" s="1"/>
  <c r="G350" i="3" s="1"/>
  <c r="D383" i="1"/>
  <c r="D352" i="3"/>
  <c r="D388" i="4"/>
  <c r="C384" i="1"/>
  <c r="L352" i="3"/>
  <c r="B387" i="4"/>
  <c r="H351" i="3"/>
  <c r="O383" i="1" l="1"/>
  <c r="P388" i="4" s="1"/>
  <c r="A384" i="1"/>
  <c r="E384" i="1"/>
  <c r="B388" i="4"/>
  <c r="L353" i="3"/>
  <c r="H352" i="3"/>
  <c r="B383" i="1"/>
  <c r="F388" i="4"/>
  <c r="U383" i="1"/>
  <c r="E351" i="3"/>
  <c r="F351" i="3" s="1"/>
  <c r="G351" i="3" s="1"/>
  <c r="D384" i="1"/>
  <c r="D353" i="3"/>
  <c r="D389" i="4"/>
  <c r="C385" i="1"/>
  <c r="O384" i="1" l="1"/>
  <c r="P389" i="4" s="1"/>
  <c r="A385" i="1"/>
  <c r="E385" i="1"/>
  <c r="D390" i="4"/>
  <c r="D354" i="3"/>
  <c r="D385" i="1"/>
  <c r="C386" i="1"/>
  <c r="B389" i="4"/>
  <c r="L354" i="3"/>
  <c r="H353" i="3"/>
  <c r="E352" i="3"/>
  <c r="F352" i="3" s="1"/>
  <c r="G352" i="3" s="1"/>
  <c r="B384" i="1"/>
  <c r="U384" i="1"/>
  <c r="F389" i="4"/>
  <c r="O385" i="1" l="1"/>
  <c r="P390" i="4" s="1"/>
  <c r="A386" i="1"/>
  <c r="E386" i="1"/>
  <c r="B390" i="4"/>
  <c r="H354" i="3"/>
  <c r="L355" i="3"/>
  <c r="D355" i="3"/>
  <c r="D391" i="4"/>
  <c r="D386" i="1"/>
  <c r="C387" i="1"/>
  <c r="B385" i="1"/>
  <c r="U385" i="1"/>
  <c r="F390" i="4"/>
  <c r="E353" i="3"/>
  <c r="O386" i="1" l="1"/>
  <c r="P391" i="4" s="1"/>
  <c r="F353" i="3"/>
  <c r="G353" i="3" s="1"/>
  <c r="A387" i="1"/>
  <c r="E387" i="1"/>
  <c r="D387" i="1"/>
  <c r="C388" i="1"/>
  <c r="D356" i="3"/>
  <c r="D392" i="4"/>
  <c r="B391" i="4"/>
  <c r="L356" i="3"/>
  <c r="H355" i="3"/>
  <c r="U386" i="1"/>
  <c r="B386" i="1"/>
  <c r="F391" i="4"/>
  <c r="E354" i="3"/>
  <c r="F354" i="3" s="1"/>
  <c r="G354" i="3" s="1"/>
  <c r="O387" i="1" l="1"/>
  <c r="P392" i="4" s="1"/>
  <c r="A388" i="1"/>
  <c r="E388" i="1"/>
  <c r="E355" i="3"/>
  <c r="F355" i="3" s="1"/>
  <c r="G355" i="3" s="1"/>
  <c r="H356" i="3"/>
  <c r="L357" i="3"/>
  <c r="B392" i="4"/>
  <c r="F392" i="4"/>
  <c r="U387" i="1"/>
  <c r="B387" i="1"/>
  <c r="D357" i="3"/>
  <c r="D393" i="4"/>
  <c r="D388" i="1"/>
  <c r="C389" i="1"/>
  <c r="O388" i="1" l="1"/>
  <c r="P393" i="4" s="1"/>
  <c r="A389" i="1"/>
  <c r="E389" i="1"/>
  <c r="B388" i="1"/>
  <c r="U388" i="1"/>
  <c r="F393" i="4"/>
  <c r="E356" i="3"/>
  <c r="F356" i="3" s="1"/>
  <c r="G356" i="3" s="1"/>
  <c r="L358" i="3"/>
  <c r="B393" i="4"/>
  <c r="H357" i="3"/>
  <c r="D394" i="4"/>
  <c r="D389" i="1"/>
  <c r="D358" i="3"/>
  <c r="C390" i="1"/>
  <c r="O389" i="1" l="1"/>
  <c r="P394" i="4" s="1"/>
  <c r="A390" i="1"/>
  <c r="E390" i="1"/>
  <c r="H358" i="3"/>
  <c r="B394" i="4"/>
  <c r="L359" i="3"/>
  <c r="U389" i="1"/>
  <c r="F394" i="4"/>
  <c r="B389" i="1"/>
  <c r="D359" i="3"/>
  <c r="D390" i="1"/>
  <c r="D395" i="4"/>
  <c r="C391" i="1"/>
  <c r="E357" i="3"/>
  <c r="F357" i="3" s="1"/>
  <c r="G357" i="3" s="1"/>
  <c r="O390" i="1" l="1"/>
  <c r="P395" i="4" s="1"/>
  <c r="A391" i="1"/>
  <c r="E391" i="1"/>
  <c r="B395" i="4"/>
  <c r="L360" i="3"/>
  <c r="H359" i="3"/>
  <c r="D360" i="3"/>
  <c r="D396" i="4"/>
  <c r="D391" i="1"/>
  <c r="C392" i="1"/>
  <c r="U390" i="1"/>
  <c r="F395" i="4"/>
  <c r="B390" i="1"/>
  <c r="E358" i="3"/>
  <c r="F358" i="3" s="1"/>
  <c r="G358" i="3" s="1"/>
  <c r="O391" i="1" l="1"/>
  <c r="P396" i="4" s="1"/>
  <c r="A392" i="1"/>
  <c r="E392" i="1"/>
  <c r="H360" i="3"/>
  <c r="L361" i="3"/>
  <c r="B396" i="4"/>
  <c r="D397" i="4"/>
  <c r="D392" i="1"/>
  <c r="D361" i="3"/>
  <c r="C393" i="1"/>
  <c r="B391" i="1"/>
  <c r="F396" i="4"/>
  <c r="U391" i="1"/>
  <c r="E359" i="3"/>
  <c r="O392" i="1" l="1"/>
  <c r="P397" i="4" s="1"/>
  <c r="F359" i="3"/>
  <c r="G359" i="3" s="1"/>
  <c r="A393" i="1"/>
  <c r="E393" i="1"/>
  <c r="D362" i="3"/>
  <c r="D393" i="1"/>
  <c r="D398" i="4"/>
  <c r="C394" i="1"/>
  <c r="B392" i="1"/>
  <c r="F397" i="4"/>
  <c r="U392" i="1"/>
  <c r="H361" i="3"/>
  <c r="B397" i="4"/>
  <c r="L362" i="3"/>
  <c r="E360" i="3"/>
  <c r="F360" i="3" s="1"/>
  <c r="G360" i="3" s="1"/>
  <c r="O393" i="1" l="1"/>
  <c r="P398" i="4" s="1"/>
  <c r="A394" i="1"/>
  <c r="E394" i="1"/>
  <c r="E361" i="3"/>
  <c r="F361" i="3" s="1"/>
  <c r="G361" i="3" s="1"/>
  <c r="B398" i="4"/>
  <c r="L363" i="3"/>
  <c r="H362" i="3"/>
  <c r="D394" i="1"/>
  <c r="D399" i="4"/>
  <c r="D363" i="3"/>
  <c r="C395" i="1"/>
  <c r="B393" i="1"/>
  <c r="F398" i="4"/>
  <c r="O394" i="1" l="1"/>
  <c r="P399" i="4" s="1"/>
  <c r="A395" i="1"/>
  <c r="E395" i="1"/>
  <c r="E362" i="3"/>
  <c r="F362" i="3" s="1"/>
  <c r="G362" i="3" s="1"/>
  <c r="F399" i="4"/>
  <c r="B394" i="1"/>
  <c r="B399" i="4"/>
  <c r="L364" i="3"/>
  <c r="H363" i="3"/>
  <c r="D364" i="3"/>
  <c r="D395" i="1"/>
  <c r="D400" i="4"/>
  <c r="C396" i="1"/>
  <c r="O395" i="1" l="1"/>
  <c r="P400" i="4" s="1"/>
  <c r="A396" i="1"/>
  <c r="E396" i="1"/>
  <c r="E363" i="3"/>
  <c r="F363" i="3" s="1"/>
  <c r="G363" i="3" s="1"/>
  <c r="D396" i="1"/>
  <c r="D401" i="4"/>
  <c r="D365" i="3"/>
  <c r="C397" i="1"/>
  <c r="F400" i="4"/>
  <c r="B395" i="1"/>
  <c r="L365" i="3"/>
  <c r="B400" i="4"/>
  <c r="H364" i="3"/>
  <c r="O396" i="1" l="1"/>
  <c r="P401" i="4" s="1"/>
  <c r="A397" i="1"/>
  <c r="E397" i="1"/>
  <c r="L366" i="3"/>
  <c r="B401" i="4"/>
  <c r="H365" i="3"/>
  <c r="D366" i="3"/>
  <c r="D397" i="1"/>
  <c r="D402" i="4"/>
  <c r="C398" i="1"/>
  <c r="E364" i="3"/>
  <c r="B396" i="1"/>
  <c r="F401" i="4"/>
  <c r="O397" i="1" l="1"/>
  <c r="P402" i="4" s="1"/>
  <c r="F364" i="3"/>
  <c r="G364" i="3" s="1"/>
  <c r="A398" i="1"/>
  <c r="E398" i="1"/>
  <c r="D398" i="1"/>
  <c r="D367" i="3"/>
  <c r="D403" i="4"/>
  <c r="C399" i="1"/>
  <c r="E365" i="3"/>
  <c r="B402" i="4"/>
  <c r="L367" i="3"/>
  <c r="H366" i="3"/>
  <c r="F402" i="4"/>
  <c r="B397" i="1"/>
  <c r="O398" i="1" l="1"/>
  <c r="P403" i="4" s="1"/>
  <c r="F365" i="3"/>
  <c r="G365" i="3" s="1"/>
  <c r="A399" i="1"/>
  <c r="E399" i="1"/>
  <c r="F403" i="4"/>
  <c r="B398" i="1"/>
  <c r="H367" i="3"/>
  <c r="B403" i="4"/>
  <c r="L368" i="3"/>
  <c r="D399" i="1"/>
  <c r="D404" i="4"/>
  <c r="D368" i="3"/>
  <c r="C400" i="1"/>
  <c r="E366" i="3"/>
  <c r="F366" i="3" s="1"/>
  <c r="G366" i="3" s="1"/>
  <c r="O399" i="1" l="1"/>
  <c r="P404" i="4" s="1"/>
  <c r="A400" i="1"/>
  <c r="E400" i="1"/>
  <c r="B404" i="4"/>
  <c r="L369" i="3"/>
  <c r="H368" i="3"/>
  <c r="E367" i="3"/>
  <c r="F367" i="3" s="1"/>
  <c r="G367" i="3" s="1"/>
  <c r="B399" i="1"/>
  <c r="F404" i="4"/>
  <c r="D400" i="1"/>
  <c r="D369" i="3"/>
  <c r="D405" i="4"/>
  <c r="C401" i="1"/>
  <c r="O400" i="1" l="1"/>
  <c r="P405" i="4" s="1"/>
  <c r="A401" i="1"/>
  <c r="E401" i="1"/>
  <c r="F405" i="4"/>
  <c r="B400" i="1"/>
  <c r="D370" i="3"/>
  <c r="D406" i="4"/>
  <c r="D401" i="1"/>
  <c r="C402" i="1"/>
  <c r="E368" i="3"/>
  <c r="B405" i="4"/>
  <c r="L370" i="3"/>
  <c r="H369" i="3"/>
  <c r="O401" i="1" l="1"/>
  <c r="P406" i="4" s="1"/>
  <c r="F368" i="3"/>
  <c r="G368" i="3" s="1"/>
  <c r="A402" i="1"/>
  <c r="E402" i="1"/>
  <c r="H370" i="3"/>
  <c r="L371" i="3"/>
  <c r="B406" i="4"/>
  <c r="B401" i="1"/>
  <c r="F406" i="4"/>
  <c r="D402" i="1"/>
  <c r="D371" i="3"/>
  <c r="D407" i="4"/>
  <c r="C403" i="1"/>
  <c r="E369" i="3"/>
  <c r="F369" i="3" s="1"/>
  <c r="G369" i="3" s="1"/>
  <c r="O402" i="1" l="1"/>
  <c r="P407" i="4" s="1"/>
  <c r="A403" i="1"/>
  <c r="E403" i="1"/>
  <c r="F407" i="4"/>
  <c r="B402" i="1"/>
  <c r="D372" i="3"/>
  <c r="D403" i="1"/>
  <c r="D408" i="4"/>
  <c r="C404" i="1"/>
  <c r="H371" i="3"/>
  <c r="B407" i="4"/>
  <c r="L372" i="3"/>
  <c r="E370" i="3"/>
  <c r="O403" i="1" l="1"/>
  <c r="P408" i="4" s="1"/>
  <c r="F370" i="3"/>
  <c r="G370" i="3" s="1"/>
  <c r="A404" i="1"/>
  <c r="E404" i="1"/>
  <c r="L373" i="3"/>
  <c r="H372" i="3"/>
  <c r="B408" i="4"/>
  <c r="B403" i="1"/>
  <c r="F408" i="4"/>
  <c r="E371" i="3"/>
  <c r="F371" i="3" s="1"/>
  <c r="G371" i="3" s="1"/>
  <c r="D409" i="4"/>
  <c r="D404" i="1"/>
  <c r="D373" i="3"/>
  <c r="C405" i="1"/>
  <c r="O404" i="1" l="1"/>
  <c r="P409" i="4" s="1"/>
  <c r="A405" i="1"/>
  <c r="E405" i="1"/>
  <c r="H373" i="3"/>
  <c r="L374" i="3"/>
  <c r="B409" i="4"/>
  <c r="B404" i="1"/>
  <c r="F409" i="4"/>
  <c r="D410" i="4"/>
  <c r="D405" i="1"/>
  <c r="D374" i="3"/>
  <c r="C406" i="1"/>
  <c r="E372" i="3"/>
  <c r="F372" i="3" s="1"/>
  <c r="G372" i="3" s="1"/>
  <c r="O405" i="1" l="1"/>
  <c r="P410" i="4" s="1"/>
  <c r="A406" i="1"/>
  <c r="E406" i="1"/>
  <c r="L375" i="3"/>
  <c r="B410" i="4"/>
  <c r="H374" i="3"/>
  <c r="E373" i="3"/>
  <c r="D406" i="1"/>
  <c r="D411" i="4"/>
  <c r="D375" i="3"/>
  <c r="C407" i="1"/>
  <c r="F410" i="4"/>
  <c r="B405" i="1"/>
  <c r="O406" i="1" l="1"/>
  <c r="P411" i="4" s="1"/>
  <c r="F373" i="3"/>
  <c r="G373" i="3" s="1"/>
  <c r="A407" i="1"/>
  <c r="E407" i="1"/>
  <c r="B406" i="1"/>
  <c r="F411" i="4"/>
  <c r="E374" i="3"/>
  <c r="F374" i="3" s="1"/>
  <c r="G374" i="3" s="1"/>
  <c r="H375" i="3"/>
  <c r="L376" i="3"/>
  <c r="B411" i="4"/>
  <c r="D412" i="4"/>
  <c r="D376" i="3"/>
  <c r="D407" i="1"/>
  <c r="C408" i="1"/>
  <c r="O407" i="1" l="1"/>
  <c r="P412" i="4" s="1"/>
  <c r="A408" i="1"/>
  <c r="E408" i="1"/>
  <c r="D413" i="4"/>
  <c r="D408" i="1"/>
  <c r="D377" i="3"/>
  <c r="C409" i="1"/>
  <c r="E375" i="3"/>
  <c r="L377" i="3"/>
  <c r="H376" i="3"/>
  <c r="B412" i="4"/>
  <c r="B407" i="1"/>
  <c r="F412" i="4"/>
  <c r="O408" i="1" l="1"/>
  <c r="P413" i="4" s="1"/>
  <c r="F375" i="3"/>
  <c r="G375" i="3" s="1"/>
  <c r="A409" i="1"/>
  <c r="E409" i="1"/>
  <c r="E376" i="3"/>
  <c r="L378" i="3"/>
  <c r="B413" i="4"/>
  <c r="H377" i="3"/>
  <c r="D409" i="1"/>
  <c r="D414" i="4"/>
  <c r="D378" i="3"/>
  <c r="C410" i="1"/>
  <c r="F413" i="4"/>
  <c r="B408" i="1"/>
  <c r="O409" i="1" l="1"/>
  <c r="P414" i="4" s="1"/>
  <c r="F376" i="3"/>
  <c r="G376" i="3" s="1"/>
  <c r="A410" i="1"/>
  <c r="E410" i="1"/>
  <c r="F414" i="4"/>
  <c r="B409" i="1"/>
  <c r="E377" i="3"/>
  <c r="F377" i="3" s="1"/>
  <c r="G377" i="3" s="1"/>
  <c r="B414" i="4"/>
  <c r="L379" i="3"/>
  <c r="H378" i="3"/>
  <c r="D410" i="1"/>
  <c r="D415" i="4"/>
  <c r="D379" i="3"/>
  <c r="C411" i="1"/>
  <c r="O410" i="1" l="1"/>
  <c r="P415" i="4" s="1"/>
  <c r="A411" i="1"/>
  <c r="E411" i="1"/>
  <c r="D380" i="3"/>
  <c r="D411" i="1"/>
  <c r="D416" i="4"/>
  <c r="C412" i="1"/>
  <c r="F415" i="4"/>
  <c r="B410" i="1"/>
  <c r="E378" i="3"/>
  <c r="L380" i="3"/>
  <c r="B415" i="4"/>
  <c r="H379" i="3"/>
  <c r="O411" i="1" l="1"/>
  <c r="P416" i="4" s="1"/>
  <c r="F378" i="3"/>
  <c r="G378" i="3" s="1"/>
  <c r="A412" i="1"/>
  <c r="E412" i="1"/>
  <c r="E379" i="3"/>
  <c r="F379" i="3" s="1"/>
  <c r="G379" i="3" s="1"/>
  <c r="F416" i="4"/>
  <c r="B411" i="1"/>
  <c r="D381" i="3"/>
  <c r="D412" i="1"/>
  <c r="D417" i="4"/>
  <c r="C413" i="1"/>
  <c r="H380" i="3"/>
  <c r="L381" i="3"/>
  <c r="B416" i="4"/>
  <c r="O412" i="1" l="1"/>
  <c r="P417" i="4" s="1"/>
  <c r="A413" i="1"/>
  <c r="E413" i="1"/>
  <c r="B417" i="4"/>
  <c r="L382" i="3"/>
  <c r="H381" i="3"/>
  <c r="F417" i="4"/>
  <c r="B412" i="1"/>
  <c r="E380" i="3"/>
  <c r="D413" i="1"/>
  <c r="D382" i="3"/>
  <c r="D418" i="4"/>
  <c r="C414" i="1"/>
  <c r="O413" i="1" l="1"/>
  <c r="P418" i="4" s="1"/>
  <c r="F380" i="3"/>
  <c r="G380" i="3" s="1"/>
  <c r="A414" i="1"/>
  <c r="E414" i="1"/>
  <c r="E381" i="3"/>
  <c r="D414" i="1"/>
  <c r="D383" i="3"/>
  <c r="D419" i="4"/>
  <c r="C415" i="1"/>
  <c r="B413" i="1"/>
  <c r="F418" i="4"/>
  <c r="H382" i="3"/>
  <c r="L383" i="3"/>
  <c r="B418" i="4"/>
  <c r="O414" i="1" l="1"/>
  <c r="P419" i="4" s="1"/>
  <c r="F381" i="3"/>
  <c r="G381" i="3" s="1"/>
  <c r="A415" i="1"/>
  <c r="E415" i="1"/>
  <c r="L384" i="3"/>
  <c r="H383" i="3"/>
  <c r="B419" i="4"/>
  <c r="D415" i="1"/>
  <c r="D420" i="4"/>
  <c r="D384" i="3"/>
  <c r="C416" i="1"/>
  <c r="F419" i="4"/>
  <c r="B414" i="1"/>
  <c r="E382" i="3"/>
  <c r="O415" i="1" l="1"/>
  <c r="P420" i="4" s="1"/>
  <c r="F382" i="3"/>
  <c r="G382" i="3" s="1"/>
  <c r="A416" i="1"/>
  <c r="E416" i="1"/>
  <c r="B420" i="4"/>
  <c r="L385" i="3"/>
  <c r="H384" i="3"/>
  <c r="F420" i="4"/>
  <c r="B415" i="1"/>
  <c r="E383" i="3"/>
  <c r="C417" i="1"/>
  <c r="D385" i="3"/>
  <c r="D421" i="4"/>
  <c r="D416" i="1"/>
  <c r="O416" i="1" l="1"/>
  <c r="P421" i="4" s="1"/>
  <c r="F383" i="3"/>
  <c r="G383" i="3" s="1"/>
  <c r="A417" i="1"/>
  <c r="E417" i="1"/>
  <c r="E384" i="3"/>
  <c r="B416" i="1"/>
  <c r="F421" i="4"/>
  <c r="D417" i="1"/>
  <c r="D422" i="4"/>
  <c r="D386" i="3"/>
  <c r="C418" i="1"/>
  <c r="H385" i="3"/>
  <c r="B421" i="4"/>
  <c r="L386" i="3"/>
  <c r="O417" i="1" l="1"/>
  <c r="P422" i="4" s="1"/>
  <c r="F384" i="3"/>
  <c r="G384" i="3" s="1"/>
  <c r="A418" i="1"/>
  <c r="E418" i="1"/>
  <c r="B417" i="1"/>
  <c r="F422" i="4"/>
  <c r="B422" i="4"/>
  <c r="L387" i="3"/>
  <c r="H386" i="3"/>
  <c r="E385" i="3"/>
  <c r="F385" i="3" s="1"/>
  <c r="G385" i="3" s="1"/>
  <c r="D418" i="1"/>
  <c r="D423" i="4"/>
  <c r="C419" i="1"/>
  <c r="D387" i="3"/>
  <c r="O418" i="1" l="1"/>
  <c r="P423" i="4" s="1"/>
  <c r="A419" i="1"/>
  <c r="E419" i="1"/>
  <c r="E386" i="3"/>
  <c r="B423" i="4"/>
  <c r="L388" i="3"/>
  <c r="H387" i="3"/>
  <c r="D424" i="4"/>
  <c r="C420" i="1"/>
  <c r="D419" i="1"/>
  <c r="D388" i="3"/>
  <c r="F423" i="4"/>
  <c r="B418" i="1"/>
  <c r="O419" i="1" l="1"/>
  <c r="P424" i="4" s="1"/>
  <c r="F386" i="3"/>
  <c r="G386" i="3" s="1"/>
  <c r="A420" i="1"/>
  <c r="E420" i="1"/>
  <c r="E387" i="3"/>
  <c r="F387" i="3" s="1"/>
  <c r="G387" i="3" s="1"/>
  <c r="D425" i="4"/>
  <c r="D389" i="3"/>
  <c r="D420" i="1"/>
  <c r="C421" i="1"/>
  <c r="F424" i="4"/>
  <c r="B419" i="1"/>
  <c r="B424" i="4"/>
  <c r="H388" i="3"/>
  <c r="L389" i="3"/>
  <c r="O420" i="1" l="1"/>
  <c r="P425" i="4" s="1"/>
  <c r="A421" i="1"/>
  <c r="E421" i="1"/>
  <c r="D390" i="3"/>
  <c r="D426" i="4"/>
  <c r="D421" i="1"/>
  <c r="C422" i="1"/>
  <c r="B425" i="4"/>
  <c r="H389" i="3"/>
  <c r="L390" i="3"/>
  <c r="E388" i="3"/>
  <c r="B420" i="1"/>
  <c r="F425" i="4"/>
  <c r="O421" i="1" l="1"/>
  <c r="P426" i="4" s="1"/>
  <c r="F388" i="3"/>
  <c r="G388" i="3" s="1"/>
  <c r="A422" i="1"/>
  <c r="E422" i="1"/>
  <c r="B426" i="4"/>
  <c r="L391" i="3"/>
  <c r="H390" i="3"/>
  <c r="D422" i="1"/>
  <c r="D391" i="3"/>
  <c r="D427" i="4"/>
  <c r="C423" i="1"/>
  <c r="E389" i="3"/>
  <c r="F426" i="4"/>
  <c r="B421" i="1"/>
  <c r="O422" i="1" l="1"/>
  <c r="P427" i="4" s="1"/>
  <c r="F389" i="3"/>
  <c r="G389" i="3" s="1"/>
  <c r="A423" i="1"/>
  <c r="E423" i="1"/>
  <c r="B422" i="1"/>
  <c r="F427" i="4"/>
  <c r="D392" i="3"/>
  <c r="D428" i="4"/>
  <c r="C424" i="1"/>
  <c r="D423" i="1"/>
  <c r="L392" i="3"/>
  <c r="B427" i="4"/>
  <c r="H391" i="3"/>
  <c r="E390" i="3"/>
  <c r="F390" i="3" s="1"/>
  <c r="G390" i="3" s="1"/>
  <c r="O423" i="1" l="1"/>
  <c r="P428" i="4" s="1"/>
  <c r="A424" i="1"/>
  <c r="E424" i="1"/>
  <c r="B423" i="1"/>
  <c r="F428" i="4"/>
  <c r="D424" i="1"/>
  <c r="D429" i="4"/>
  <c r="D393" i="3"/>
  <c r="C425" i="1"/>
  <c r="E391" i="3"/>
  <c r="F391" i="3" s="1"/>
  <c r="G391" i="3" s="1"/>
  <c r="L393" i="3"/>
  <c r="H392" i="3"/>
  <c r="B428" i="4"/>
  <c r="O424" i="1" l="1"/>
  <c r="P429" i="4" s="1"/>
  <c r="A425" i="1"/>
  <c r="E425" i="1"/>
  <c r="E392" i="3"/>
  <c r="B429" i="4"/>
  <c r="L394" i="3"/>
  <c r="H393" i="3"/>
  <c r="B424" i="1"/>
  <c r="F429" i="4"/>
  <c r="D430" i="4"/>
  <c r="D425" i="1"/>
  <c r="D394" i="3"/>
  <c r="C426" i="1"/>
  <c r="O425" i="1" l="1"/>
  <c r="P430" i="4" s="1"/>
  <c r="F392" i="3"/>
  <c r="G392" i="3" s="1"/>
  <c r="A426" i="1"/>
  <c r="E426" i="1"/>
  <c r="L395" i="3"/>
  <c r="B430" i="4"/>
  <c r="H394" i="3"/>
  <c r="D431" i="4"/>
  <c r="D426" i="1"/>
  <c r="D395" i="3"/>
  <c r="C427" i="1"/>
  <c r="F430" i="4"/>
  <c r="B425" i="1"/>
  <c r="E393" i="3"/>
  <c r="O426" i="1" l="1"/>
  <c r="P431" i="4" s="1"/>
  <c r="F393" i="3"/>
  <c r="G393" i="3" s="1"/>
  <c r="A427" i="1"/>
  <c r="E427" i="1"/>
  <c r="L396" i="3"/>
  <c r="B431" i="4"/>
  <c r="H395" i="3"/>
  <c r="F431" i="4"/>
  <c r="B426" i="1"/>
  <c r="D432" i="4"/>
  <c r="D396" i="3"/>
  <c r="D427" i="1"/>
  <c r="C428" i="1"/>
  <c r="E394" i="3"/>
  <c r="O427" i="1" l="1"/>
  <c r="P432" i="4" s="1"/>
  <c r="F394" i="3"/>
  <c r="G394" i="3" s="1"/>
  <c r="A428" i="1"/>
  <c r="E428" i="1"/>
  <c r="B427" i="1"/>
  <c r="F432" i="4"/>
  <c r="E395" i="3"/>
  <c r="F395" i="3" s="1"/>
  <c r="G395" i="3" s="1"/>
  <c r="H396" i="3"/>
  <c r="B432" i="4"/>
  <c r="L397" i="3"/>
  <c r="D433" i="4"/>
  <c r="D428" i="1"/>
  <c r="D397" i="3"/>
  <c r="C429" i="1"/>
  <c r="O428" i="1" l="1"/>
  <c r="P433" i="4" s="1"/>
  <c r="A429" i="1"/>
  <c r="E429" i="1"/>
  <c r="E396" i="3"/>
  <c r="B433" i="4"/>
  <c r="L398" i="3"/>
  <c r="H397" i="3"/>
  <c r="F433" i="4"/>
  <c r="B428" i="1"/>
  <c r="D398" i="3"/>
  <c r="D429" i="1"/>
  <c r="D434" i="4"/>
  <c r="C430" i="1"/>
  <c r="O429" i="1" l="1"/>
  <c r="P434" i="4" s="1"/>
  <c r="F396" i="3"/>
  <c r="G396" i="3" s="1"/>
  <c r="A430" i="1"/>
  <c r="E430" i="1"/>
  <c r="E397" i="3"/>
  <c r="F397" i="3" s="1"/>
  <c r="G397" i="3" s="1"/>
  <c r="B429" i="1"/>
  <c r="F434" i="4"/>
  <c r="D399" i="3"/>
  <c r="D430" i="1"/>
  <c r="D435" i="4"/>
  <c r="C431" i="1"/>
  <c r="B434" i="4"/>
  <c r="L399" i="3"/>
  <c r="H398" i="3"/>
  <c r="O430" i="1" l="1"/>
  <c r="P435" i="4" s="1"/>
  <c r="A431" i="1"/>
  <c r="E431" i="1"/>
  <c r="B435" i="4"/>
  <c r="H399" i="3"/>
  <c r="L400" i="3"/>
  <c r="E398" i="3"/>
  <c r="B430" i="1"/>
  <c r="F435" i="4"/>
  <c r="D400" i="3"/>
  <c r="D431" i="1"/>
  <c r="C432" i="1"/>
  <c r="D436" i="4"/>
  <c r="O431" i="1" l="1"/>
  <c r="P436" i="4" s="1"/>
  <c r="F398" i="3"/>
  <c r="G398" i="3" s="1"/>
  <c r="A432" i="1"/>
  <c r="E432" i="1"/>
  <c r="H400" i="3"/>
  <c r="B436" i="4"/>
  <c r="L401" i="3"/>
  <c r="D432" i="1"/>
  <c r="D437" i="4"/>
  <c r="C433" i="1"/>
  <c r="D401" i="3"/>
  <c r="B431" i="1"/>
  <c r="F436" i="4"/>
  <c r="E399" i="3"/>
  <c r="F399" i="3" s="1"/>
  <c r="G399" i="3" s="1"/>
  <c r="O432" i="1" l="1"/>
  <c r="P437" i="4" s="1"/>
  <c r="A433" i="1"/>
  <c r="E433" i="1"/>
  <c r="L402" i="3"/>
  <c r="B437" i="4"/>
  <c r="H401" i="3"/>
  <c r="B432" i="1"/>
  <c r="F437" i="4"/>
  <c r="D438" i="4"/>
  <c r="D433" i="1"/>
  <c r="D402" i="3"/>
  <c r="C434" i="1"/>
  <c r="E400" i="3"/>
  <c r="F400" i="3" s="1"/>
  <c r="G400" i="3" s="1"/>
  <c r="O433" i="1" l="1"/>
  <c r="P438" i="4" s="1"/>
  <c r="A434" i="1"/>
  <c r="E434" i="1"/>
  <c r="F438" i="4"/>
  <c r="B433" i="1"/>
  <c r="E401" i="3"/>
  <c r="F401" i="3" s="1"/>
  <c r="G401" i="3" s="1"/>
  <c r="B438" i="4"/>
  <c r="L403" i="3"/>
  <c r="H402" i="3"/>
  <c r="D439" i="4"/>
  <c r="D403" i="3"/>
  <c r="D434" i="1"/>
  <c r="C435" i="1"/>
  <c r="O434" i="1" l="1"/>
  <c r="P439" i="4" s="1"/>
  <c r="A435" i="1"/>
  <c r="E435" i="1"/>
  <c r="D435" i="1"/>
  <c r="D404" i="3"/>
  <c r="D440" i="4"/>
  <c r="C436" i="1"/>
  <c r="H403" i="3"/>
  <c r="B439" i="4"/>
  <c r="L404" i="3"/>
  <c r="E402" i="3"/>
  <c r="F402" i="3" s="1"/>
  <c r="G402" i="3" s="1"/>
  <c r="B434" i="1"/>
  <c r="F439" i="4"/>
  <c r="O435" i="1" l="1"/>
  <c r="P440" i="4" s="1"/>
  <c r="A436" i="1"/>
  <c r="E436" i="1"/>
  <c r="F440" i="4"/>
  <c r="B435" i="1"/>
  <c r="D441" i="4"/>
  <c r="D436" i="1"/>
  <c r="D405" i="3"/>
  <c r="C437" i="1"/>
  <c r="E403" i="3"/>
  <c r="B440" i="4"/>
  <c r="L405" i="3"/>
  <c r="H404" i="3"/>
  <c r="O436" i="1" l="1"/>
  <c r="P441" i="4" s="1"/>
  <c r="F403" i="3"/>
  <c r="G403" i="3" s="1"/>
  <c r="A437" i="1"/>
  <c r="E437" i="1"/>
  <c r="H405" i="3"/>
  <c r="L406" i="3"/>
  <c r="B441" i="4"/>
  <c r="D406" i="3"/>
  <c r="D437" i="1"/>
  <c r="D442" i="4"/>
  <c r="C438" i="1"/>
  <c r="B436" i="1"/>
  <c r="F441" i="4"/>
  <c r="E404" i="3"/>
  <c r="O437" i="1" l="1"/>
  <c r="P442" i="4" s="1"/>
  <c r="F404" i="3"/>
  <c r="G404" i="3" s="1"/>
  <c r="A438" i="1"/>
  <c r="E438" i="1"/>
  <c r="D438" i="1"/>
  <c r="D407" i="3"/>
  <c r="D443" i="4"/>
  <c r="C439" i="1"/>
  <c r="B437" i="1"/>
  <c r="F442" i="4"/>
  <c r="L407" i="3"/>
  <c r="B442" i="4"/>
  <c r="H406" i="3"/>
  <c r="E405" i="3"/>
  <c r="O438" i="1" l="1"/>
  <c r="P443" i="4" s="1"/>
  <c r="F405" i="3"/>
  <c r="G405" i="3" s="1"/>
  <c r="A439" i="1"/>
  <c r="E439" i="1"/>
  <c r="D439" i="1"/>
  <c r="D408" i="3"/>
  <c r="D444" i="4"/>
  <c r="C440" i="1"/>
  <c r="E406" i="3"/>
  <c r="B443" i="4"/>
  <c r="H407" i="3"/>
  <c r="L408" i="3"/>
  <c r="B438" i="1"/>
  <c r="F443" i="4"/>
  <c r="O439" i="1" l="1"/>
  <c r="P444" i="4" s="1"/>
  <c r="F406" i="3"/>
  <c r="G406" i="3" s="1"/>
  <c r="A440" i="1"/>
  <c r="E440" i="1"/>
  <c r="D409" i="3"/>
  <c r="D440" i="1"/>
  <c r="C441" i="1"/>
  <c r="D445" i="4"/>
  <c r="B439" i="1"/>
  <c r="F444" i="4"/>
  <c r="E407" i="3"/>
  <c r="F407" i="3" s="1"/>
  <c r="G407" i="3" s="1"/>
  <c r="L409" i="3"/>
  <c r="B444" i="4"/>
  <c r="H408" i="3"/>
  <c r="O440" i="1" l="1"/>
  <c r="P445" i="4" s="1"/>
  <c r="A441" i="1"/>
  <c r="E441" i="1"/>
  <c r="B440" i="1"/>
  <c r="F445" i="4"/>
  <c r="E408" i="3"/>
  <c r="L410" i="3"/>
  <c r="B445" i="4"/>
  <c r="H409" i="3"/>
  <c r="D410" i="3"/>
  <c r="D446" i="4"/>
  <c r="D441" i="1"/>
  <c r="C442" i="1"/>
  <c r="O441" i="1" l="1"/>
  <c r="P446" i="4" s="1"/>
  <c r="F408" i="3"/>
  <c r="G408" i="3" s="1"/>
  <c r="A442" i="1"/>
  <c r="E442" i="1"/>
  <c r="F446" i="4"/>
  <c r="B441" i="1"/>
  <c r="E409" i="3"/>
  <c r="F409" i="3" s="1"/>
  <c r="G409" i="3" s="1"/>
  <c r="D442" i="1"/>
  <c r="D447" i="4"/>
  <c r="D411" i="3"/>
  <c r="C443" i="1"/>
  <c r="L411" i="3"/>
  <c r="H410" i="3"/>
  <c r="B446" i="4"/>
  <c r="O442" i="1" l="1"/>
  <c r="P447" i="4" s="1"/>
  <c r="A443" i="1"/>
  <c r="E443" i="1"/>
  <c r="H411" i="3"/>
  <c r="L412" i="3"/>
  <c r="B447" i="4"/>
  <c r="E410" i="3"/>
  <c r="B442" i="1"/>
  <c r="F447" i="4"/>
  <c r="D448" i="4"/>
  <c r="D412" i="3"/>
  <c r="D443" i="1"/>
  <c r="C444" i="1"/>
  <c r="O443" i="1" l="1"/>
  <c r="P448" i="4" s="1"/>
  <c r="F410" i="3"/>
  <c r="G410" i="3" s="1"/>
  <c r="A444" i="1"/>
  <c r="E444" i="1"/>
  <c r="H412" i="3"/>
  <c r="B448" i="4"/>
  <c r="L413" i="3"/>
  <c r="D444" i="1"/>
  <c r="D449" i="4"/>
  <c r="D413" i="3"/>
  <c r="C445" i="1"/>
  <c r="E411" i="3"/>
  <c r="F411" i="3" s="1"/>
  <c r="G411" i="3" s="1"/>
  <c r="F448" i="4"/>
  <c r="B443" i="1"/>
  <c r="O444" i="1" l="1"/>
  <c r="P449" i="4" s="1"/>
  <c r="A445" i="1"/>
  <c r="E445" i="1"/>
  <c r="L414" i="3"/>
  <c r="B449" i="4"/>
  <c r="H413" i="3"/>
  <c r="B444" i="1"/>
  <c r="F449" i="4"/>
  <c r="E412" i="3"/>
  <c r="F412" i="3" s="1"/>
  <c r="G412" i="3" s="1"/>
  <c r="D445" i="1"/>
  <c r="D414" i="3"/>
  <c r="C446" i="1"/>
  <c r="D450" i="4"/>
  <c r="O445" i="1" l="1"/>
  <c r="P450" i="4" s="1"/>
  <c r="A446" i="1"/>
  <c r="E446" i="1"/>
  <c r="B445" i="1"/>
  <c r="F450" i="4"/>
  <c r="E413" i="3"/>
  <c r="B450" i="4"/>
  <c r="L415" i="3"/>
  <c r="H414" i="3"/>
  <c r="D446" i="1"/>
  <c r="D415" i="3"/>
  <c r="D451" i="4"/>
  <c r="C447" i="1"/>
  <c r="O446" i="1" l="1"/>
  <c r="P451" i="4" s="1"/>
  <c r="F413" i="3"/>
  <c r="G413" i="3" s="1"/>
  <c r="A447" i="1"/>
  <c r="E447" i="1"/>
  <c r="B446" i="1"/>
  <c r="F451" i="4"/>
  <c r="B451" i="4"/>
  <c r="H415" i="3"/>
  <c r="L416" i="3"/>
  <c r="E414" i="3"/>
  <c r="D447" i="1"/>
  <c r="D416" i="3"/>
  <c r="D452" i="4"/>
  <c r="C448" i="1"/>
  <c r="O447" i="1" l="1"/>
  <c r="P452" i="4" s="1"/>
  <c r="F414" i="3"/>
  <c r="G414" i="3" s="1"/>
  <c r="A448" i="1"/>
  <c r="E448" i="1"/>
  <c r="E415" i="3"/>
  <c r="F415" i="3" s="1"/>
  <c r="G415" i="3" s="1"/>
  <c r="D448" i="1"/>
  <c r="D417" i="3"/>
  <c r="D453" i="4"/>
  <c r="C449" i="1"/>
  <c r="L417" i="3"/>
  <c r="H416" i="3"/>
  <c r="B452" i="4"/>
  <c r="B447" i="1"/>
  <c r="F452" i="4"/>
  <c r="O448" i="1" l="1"/>
  <c r="P453" i="4" s="1"/>
  <c r="A449" i="1"/>
  <c r="E449" i="1"/>
  <c r="B448" i="1"/>
  <c r="F453" i="4"/>
  <c r="D454" i="4"/>
  <c r="D418" i="3"/>
  <c r="D449" i="1"/>
  <c r="C450" i="1"/>
  <c r="E416" i="3"/>
  <c r="B453" i="4"/>
  <c r="L418" i="3"/>
  <c r="H417" i="3"/>
  <c r="O449" i="1" l="1"/>
  <c r="P454" i="4" s="1"/>
  <c r="F416" i="3"/>
  <c r="G416" i="3" s="1"/>
  <c r="A450" i="1"/>
  <c r="E450" i="1"/>
  <c r="F454" i="4"/>
  <c r="B449" i="1"/>
  <c r="E417" i="3"/>
  <c r="D455" i="4"/>
  <c r="D450" i="1"/>
  <c r="D419" i="3"/>
  <c r="C451" i="1"/>
  <c r="H418" i="3"/>
  <c r="L419" i="3"/>
  <c r="B454" i="4"/>
  <c r="O450" i="1" l="1"/>
  <c r="P455" i="4" s="1"/>
  <c r="F417" i="3"/>
  <c r="G417" i="3" s="1"/>
  <c r="A451" i="1"/>
  <c r="E451" i="1"/>
  <c r="E418" i="3"/>
  <c r="B455" i="4"/>
  <c r="L420" i="3"/>
  <c r="H419" i="3"/>
  <c r="F455" i="4"/>
  <c r="B450" i="1"/>
  <c r="D456" i="4"/>
  <c r="C452" i="1"/>
  <c r="D451" i="1"/>
  <c r="D420" i="3"/>
  <c r="O451" i="1" l="1"/>
  <c r="P456" i="4" s="1"/>
  <c r="F418" i="3"/>
  <c r="G418" i="3" s="1"/>
  <c r="A452" i="1"/>
  <c r="E452" i="1"/>
  <c r="E419" i="3"/>
  <c r="F419" i="3" s="1"/>
  <c r="G419" i="3" s="1"/>
  <c r="D421" i="3"/>
  <c r="D452" i="1"/>
  <c r="C453" i="1"/>
  <c r="D457" i="4"/>
  <c r="B451" i="1"/>
  <c r="F456" i="4"/>
  <c r="L421" i="3"/>
  <c r="H420" i="3"/>
  <c r="B456" i="4"/>
  <c r="O453" i="1" l="1"/>
  <c r="O452" i="1"/>
  <c r="P457" i="4" s="1"/>
  <c r="A453" i="1"/>
  <c r="E453" i="1"/>
  <c r="B452" i="1"/>
  <c r="F457" i="4"/>
  <c r="B457" i="4"/>
  <c r="L422" i="3"/>
  <c r="H421" i="3"/>
  <c r="D453" i="1"/>
  <c r="D422" i="3"/>
  <c r="D458" i="4"/>
  <c r="E420" i="3"/>
  <c r="F420" i="3" l="1"/>
  <c r="G420" i="3" s="1"/>
  <c r="P458" i="4"/>
  <c r="P35" i="4" s="1"/>
  <c r="E421" i="3"/>
  <c r="B458" i="4"/>
  <c r="H422" i="3"/>
  <c r="F458" i="4"/>
  <c r="B453" i="1"/>
  <c r="F421" i="3" l="1"/>
  <c r="G421" i="3" s="1"/>
  <c r="E422" i="3"/>
  <c r="F422" i="3" s="1"/>
  <c r="G422" i="3" s="1"/>
  <c r="N38" i="4" l="1"/>
  <c r="K284" i="1" l="1"/>
  <c r="L289" i="4" s="1"/>
  <c r="K285" i="1"/>
  <c r="L290" i="4" s="1"/>
  <c r="K286" i="1"/>
  <c r="L291" i="4" s="1"/>
  <c r="K287" i="1"/>
  <c r="L292" i="4" s="1"/>
  <c r="K288" i="1"/>
  <c r="L293" i="4" s="1"/>
  <c r="K289" i="1"/>
  <c r="L294" i="4" s="1"/>
  <c r="K290" i="1"/>
  <c r="L295" i="4" s="1"/>
  <c r="K291" i="1"/>
  <c r="L296" i="4" s="1"/>
  <c r="K292" i="1"/>
  <c r="L297" i="4" s="1"/>
  <c r="K293" i="1"/>
  <c r="L298" i="4" s="1"/>
  <c r="K294" i="1"/>
  <c r="L299" i="4" s="1"/>
  <c r="K295" i="1"/>
  <c r="L300" i="4" s="1"/>
  <c r="K296" i="1"/>
  <c r="L301" i="4" s="1"/>
  <c r="K297" i="1"/>
  <c r="L302" i="4" s="1"/>
  <c r="K298" i="1"/>
  <c r="L303" i="4" s="1"/>
  <c r="K299" i="1"/>
  <c r="L304" i="4" s="1"/>
  <c r="K300" i="1"/>
  <c r="L305" i="4" s="1"/>
  <c r="K301" i="1"/>
  <c r="L306" i="4" s="1"/>
  <c r="K302" i="1"/>
  <c r="L307" i="4" s="1"/>
  <c r="K303" i="1"/>
  <c r="L308" i="4" s="1"/>
  <c r="K304" i="1"/>
  <c r="L309" i="4" s="1"/>
  <c r="K305" i="1"/>
  <c r="L310" i="4" s="1"/>
  <c r="K306" i="1"/>
  <c r="L311" i="4" s="1"/>
  <c r="K307" i="1"/>
  <c r="L312" i="4" s="1"/>
  <c r="K308" i="1"/>
  <c r="L313" i="4" s="1"/>
  <c r="K309" i="1"/>
  <c r="L314" i="4" s="1"/>
  <c r="K310" i="1"/>
  <c r="L315" i="4" s="1"/>
  <c r="K311" i="1"/>
  <c r="L316" i="4" s="1"/>
  <c r="K312" i="1"/>
  <c r="L317" i="4" s="1"/>
  <c r="K313" i="1"/>
  <c r="L318" i="4" s="1"/>
  <c r="K314" i="1"/>
  <c r="L319" i="4" s="1"/>
  <c r="K315" i="1"/>
  <c r="L320" i="4" s="1"/>
  <c r="K316" i="1"/>
  <c r="L321" i="4" s="1"/>
  <c r="K317" i="1"/>
  <c r="L322" i="4" s="1"/>
  <c r="K318" i="1"/>
  <c r="L323" i="4" s="1"/>
  <c r="K319" i="1"/>
  <c r="L324" i="4" s="1"/>
  <c r="K320" i="1"/>
  <c r="L325" i="4" s="1"/>
  <c r="K321" i="1"/>
  <c r="L326" i="4" s="1"/>
  <c r="K322" i="1"/>
  <c r="L327" i="4" s="1"/>
  <c r="K323" i="1"/>
  <c r="L328" i="4" s="1"/>
  <c r="K324" i="1"/>
  <c r="L329" i="4" s="1"/>
  <c r="K325" i="1"/>
  <c r="L330" i="4" s="1"/>
  <c r="K326" i="1"/>
  <c r="L331" i="4" s="1"/>
  <c r="K327" i="1"/>
  <c r="L332" i="4" s="1"/>
  <c r="K328" i="1"/>
  <c r="L333" i="4" s="1"/>
  <c r="K329" i="1"/>
  <c r="L334" i="4" s="1"/>
  <c r="K330" i="1"/>
  <c r="L335" i="4" s="1"/>
  <c r="K331" i="1"/>
  <c r="L336" i="4" s="1"/>
  <c r="K332" i="1"/>
  <c r="L337" i="4" s="1"/>
  <c r="K333" i="1"/>
  <c r="L338" i="4" s="1"/>
  <c r="K334" i="1"/>
  <c r="L339" i="4" s="1"/>
  <c r="K335" i="1"/>
  <c r="L340" i="4" s="1"/>
  <c r="K336" i="1"/>
  <c r="L341" i="4" s="1"/>
  <c r="K337" i="1"/>
  <c r="L342" i="4" s="1"/>
  <c r="K338" i="1"/>
  <c r="L343" i="4" s="1"/>
  <c r="K339" i="1"/>
  <c r="L344" i="4" s="1"/>
  <c r="K340" i="1"/>
  <c r="L345" i="4" s="1"/>
  <c r="K341" i="1"/>
  <c r="L346" i="4" s="1"/>
  <c r="K342" i="1"/>
  <c r="L347" i="4" s="1"/>
  <c r="K343" i="1"/>
  <c r="L348" i="4" s="1"/>
  <c r="K344" i="1"/>
  <c r="L349" i="4" s="1"/>
  <c r="K345" i="1"/>
  <c r="L350" i="4" s="1"/>
  <c r="K346" i="1"/>
  <c r="L351" i="4" s="1"/>
  <c r="K347" i="1"/>
  <c r="L352" i="4" s="1"/>
  <c r="K348" i="1"/>
  <c r="L353" i="4" s="1"/>
  <c r="K349" i="1"/>
  <c r="L354" i="4" s="1"/>
  <c r="K350" i="1"/>
  <c r="L355" i="4" s="1"/>
  <c r="K351" i="1"/>
  <c r="L356" i="4" s="1"/>
  <c r="K352" i="1"/>
  <c r="L357" i="4" s="1"/>
  <c r="K353" i="1"/>
  <c r="L358" i="4" s="1"/>
  <c r="K354" i="1"/>
  <c r="L359" i="4" s="1"/>
  <c r="K355" i="1"/>
  <c r="L360" i="4" s="1"/>
  <c r="K356" i="1"/>
  <c r="L361" i="4" s="1"/>
  <c r="K357" i="1"/>
  <c r="L362" i="4" s="1"/>
  <c r="K358" i="1"/>
  <c r="L363" i="4" s="1"/>
  <c r="K359" i="1"/>
  <c r="L364" i="4" s="1"/>
  <c r="K360" i="1"/>
  <c r="L365" i="4" s="1"/>
  <c r="K361" i="1"/>
  <c r="L366" i="4" s="1"/>
  <c r="K362" i="1"/>
  <c r="L367" i="4" s="1"/>
  <c r="K363" i="1"/>
  <c r="L368" i="4" s="1"/>
  <c r="K364" i="1"/>
  <c r="L369" i="4" s="1"/>
  <c r="K365" i="1"/>
  <c r="L370" i="4" s="1"/>
  <c r="K366" i="1"/>
  <c r="L371" i="4" s="1"/>
  <c r="K367" i="1"/>
  <c r="L372" i="4" s="1"/>
  <c r="K368" i="1"/>
  <c r="L373" i="4" s="1"/>
  <c r="K369" i="1"/>
  <c r="L374" i="4" s="1"/>
  <c r="K370" i="1"/>
  <c r="L375" i="4" s="1"/>
  <c r="K371" i="1"/>
  <c r="L376" i="4" s="1"/>
  <c r="K372" i="1"/>
  <c r="L377" i="4" s="1"/>
  <c r="K373" i="1"/>
  <c r="L378" i="4" s="1"/>
  <c r="K374" i="1"/>
  <c r="L379" i="4" s="1"/>
  <c r="K375" i="1"/>
  <c r="L380" i="4" s="1"/>
  <c r="K376" i="1"/>
  <c r="L381" i="4" s="1"/>
  <c r="K377" i="1"/>
  <c r="L382" i="4" s="1"/>
  <c r="K378" i="1"/>
  <c r="L383" i="4" s="1"/>
  <c r="K379" i="1"/>
  <c r="L384" i="4" s="1"/>
  <c r="K380" i="1"/>
  <c r="L385" i="4" s="1"/>
  <c r="K381" i="1"/>
  <c r="L386" i="4" s="1"/>
  <c r="K382" i="1"/>
  <c r="L387" i="4" s="1"/>
  <c r="K383" i="1"/>
  <c r="L388" i="4" s="1"/>
  <c r="K384" i="1"/>
  <c r="L389" i="4" s="1"/>
  <c r="K385" i="1"/>
  <c r="L390" i="4" s="1"/>
  <c r="K386" i="1"/>
  <c r="L391" i="4" s="1"/>
  <c r="K387" i="1"/>
  <c r="L392" i="4" s="1"/>
  <c r="K388" i="1"/>
  <c r="L393" i="4" s="1"/>
  <c r="K389" i="1"/>
  <c r="L394" i="4" s="1"/>
  <c r="K390" i="1"/>
  <c r="L395" i="4" s="1"/>
  <c r="K391" i="1"/>
  <c r="L396" i="4" s="1"/>
  <c r="K392" i="1"/>
  <c r="L397" i="4" s="1"/>
  <c r="K393" i="1"/>
  <c r="L398" i="4" s="1"/>
  <c r="K394" i="1"/>
  <c r="L399" i="4" s="1"/>
  <c r="K395" i="1"/>
  <c r="L400" i="4" s="1"/>
  <c r="K396" i="1"/>
  <c r="L401" i="4" s="1"/>
  <c r="K397" i="1"/>
  <c r="L402" i="4" s="1"/>
  <c r="K398" i="1"/>
  <c r="L403" i="4" s="1"/>
  <c r="K399" i="1"/>
  <c r="L404" i="4" s="1"/>
  <c r="K400" i="1"/>
  <c r="L405" i="4" s="1"/>
  <c r="K401" i="1"/>
  <c r="L406" i="4" s="1"/>
  <c r="K402" i="1"/>
  <c r="L407" i="4" s="1"/>
  <c r="K403" i="1"/>
  <c r="L408" i="4" s="1"/>
  <c r="K404" i="1"/>
  <c r="L409" i="4" s="1"/>
  <c r="K405" i="1"/>
  <c r="L410" i="4" s="1"/>
  <c r="K406" i="1"/>
  <c r="L411" i="4" s="1"/>
  <c r="K407" i="1"/>
  <c r="L412" i="4" s="1"/>
  <c r="K408" i="1"/>
  <c r="L413" i="4" s="1"/>
  <c r="K409" i="1"/>
  <c r="L414" i="4" s="1"/>
  <c r="K410" i="1"/>
  <c r="L415" i="4" s="1"/>
  <c r="K411" i="1"/>
  <c r="L416" i="4" s="1"/>
  <c r="K412" i="1"/>
  <c r="L417" i="4" s="1"/>
  <c r="K413" i="1"/>
  <c r="L418" i="4" s="1"/>
  <c r="K414" i="1"/>
  <c r="L419" i="4" s="1"/>
  <c r="K415" i="1"/>
  <c r="L420" i="4" s="1"/>
  <c r="K416" i="1"/>
  <c r="L421" i="4" s="1"/>
  <c r="K417" i="1"/>
  <c r="L422" i="4" s="1"/>
  <c r="K418" i="1"/>
  <c r="L423" i="4" s="1"/>
  <c r="K419" i="1"/>
  <c r="L424" i="4" s="1"/>
  <c r="K420" i="1"/>
  <c r="L425" i="4" s="1"/>
  <c r="K421" i="1"/>
  <c r="L426" i="4" s="1"/>
  <c r="K422" i="1"/>
  <c r="L427" i="4" s="1"/>
  <c r="K423" i="1"/>
  <c r="L428" i="4" s="1"/>
  <c r="K424" i="1"/>
  <c r="L429" i="4" s="1"/>
  <c r="K425" i="1"/>
  <c r="L430" i="4" s="1"/>
  <c r="K426" i="1"/>
  <c r="L431" i="4" s="1"/>
  <c r="K427" i="1"/>
  <c r="L432" i="4" s="1"/>
  <c r="K428" i="1"/>
  <c r="L433" i="4" s="1"/>
  <c r="K429" i="1"/>
  <c r="L434" i="4" s="1"/>
  <c r="K430" i="1"/>
  <c r="L435" i="4" s="1"/>
  <c r="K431" i="1"/>
  <c r="L436" i="4" s="1"/>
  <c r="K432" i="1"/>
  <c r="L437" i="4" s="1"/>
  <c r="K433" i="1"/>
  <c r="L438" i="4" s="1"/>
  <c r="K434" i="1"/>
  <c r="L439" i="4" s="1"/>
  <c r="K435" i="1"/>
  <c r="L440" i="4" s="1"/>
  <c r="K436" i="1"/>
  <c r="L441" i="4" s="1"/>
  <c r="K437" i="1"/>
  <c r="L442" i="4" s="1"/>
  <c r="K438" i="1"/>
  <c r="L443" i="4" s="1"/>
  <c r="K439" i="1"/>
  <c r="L444" i="4" s="1"/>
  <c r="K440" i="1"/>
  <c r="L445" i="4" s="1"/>
  <c r="K441" i="1"/>
  <c r="L446" i="4" s="1"/>
  <c r="K442" i="1"/>
  <c r="L447" i="4" s="1"/>
  <c r="K443" i="1"/>
  <c r="L448" i="4" s="1"/>
  <c r="K444" i="1"/>
  <c r="L449" i="4" s="1"/>
  <c r="K445" i="1"/>
  <c r="L450" i="4" s="1"/>
  <c r="K446" i="1"/>
  <c r="L451" i="4" s="1"/>
  <c r="K447" i="1"/>
  <c r="L452" i="4" s="1"/>
  <c r="K448" i="1"/>
  <c r="L453" i="4" s="1"/>
  <c r="K449" i="1"/>
  <c r="L454" i="4" s="1"/>
  <c r="K450" i="1"/>
  <c r="L455" i="4" s="1"/>
  <c r="K451" i="1"/>
  <c r="L456" i="4" s="1"/>
  <c r="K452" i="1"/>
  <c r="L457" i="4" s="1"/>
  <c r="K453" i="1"/>
  <c r="L458" i="4" s="1"/>
  <c r="K222" i="1"/>
  <c r="L227" i="4" s="1"/>
  <c r="K274" i="1"/>
  <c r="L279" i="4" s="1"/>
  <c r="K275" i="1"/>
  <c r="L280" i="4" s="1"/>
  <c r="K276" i="1"/>
  <c r="L281" i="4" s="1"/>
  <c r="K277" i="1"/>
  <c r="L282" i="4" s="1"/>
  <c r="K278" i="1"/>
  <c r="L283" i="4" s="1"/>
  <c r="K279" i="1"/>
  <c r="L284" i="4" s="1"/>
  <c r="K280" i="1"/>
  <c r="L285" i="4" s="1"/>
  <c r="K281" i="1"/>
  <c r="L286" i="4" s="1"/>
  <c r="K282" i="1"/>
  <c r="L287" i="4" s="1"/>
  <c r="K283" i="1"/>
  <c r="L288" i="4" s="1"/>
  <c r="K129" i="1"/>
  <c r="L134" i="4" s="1"/>
  <c r="K185" i="1"/>
  <c r="L190" i="4" s="1"/>
  <c r="K144" i="1"/>
  <c r="L149" i="4" s="1"/>
  <c r="K122" i="1"/>
  <c r="L127" i="4" s="1"/>
  <c r="K245" i="1"/>
  <c r="L250" i="4" s="1"/>
  <c r="K71" i="1"/>
  <c r="L76" i="4" s="1"/>
  <c r="K63" i="1"/>
  <c r="L68" i="4" s="1"/>
  <c r="K91" i="1"/>
  <c r="L96" i="4" s="1"/>
  <c r="K156" i="1"/>
  <c r="L161" i="4" s="1"/>
  <c r="K181" i="1"/>
  <c r="L186" i="4" s="1"/>
  <c r="K257" i="1"/>
  <c r="L262" i="4" s="1"/>
  <c r="K264" i="1"/>
  <c r="L269" i="4" s="1"/>
  <c r="K50" i="1"/>
  <c r="L55" i="4" s="1"/>
  <c r="K175" i="1"/>
  <c r="L180" i="4" s="1"/>
  <c r="K231" i="1"/>
  <c r="L236" i="4" s="1"/>
  <c r="K153" i="1"/>
  <c r="L158" i="4" s="1"/>
  <c r="K154" i="1"/>
  <c r="L159" i="4" s="1"/>
  <c r="K217" i="1"/>
  <c r="L222" i="4" s="1"/>
  <c r="K260" i="1"/>
  <c r="L265" i="4" s="1"/>
  <c r="K84" i="1"/>
  <c r="L89" i="4" s="1"/>
  <c r="K149" i="1"/>
  <c r="L154" i="4" s="1"/>
  <c r="K109" i="1"/>
  <c r="L114" i="4" s="1"/>
  <c r="K177" i="1"/>
  <c r="L182" i="4" s="1"/>
  <c r="K243" i="1"/>
  <c r="L248" i="4" s="1"/>
  <c r="K35" i="1"/>
  <c r="L40" i="4" s="1"/>
  <c r="K247" i="1"/>
  <c r="L252" i="4" s="1"/>
  <c r="K140" i="1"/>
  <c r="L145" i="4" s="1"/>
  <c r="K209" i="1"/>
  <c r="L214" i="4" s="1"/>
  <c r="K162" i="1"/>
  <c r="L167" i="4" s="1"/>
  <c r="K116" i="1"/>
  <c r="L121" i="4" s="1"/>
  <c r="K72" i="1"/>
  <c r="L77" i="4" s="1"/>
  <c r="K119" i="1"/>
  <c r="L124" i="4" s="1"/>
  <c r="K223" i="1"/>
  <c r="L228" i="4" s="1"/>
  <c r="K43" i="1"/>
  <c r="L48" i="4" s="1"/>
  <c r="K202" i="1"/>
  <c r="L207" i="4" s="1"/>
  <c r="K68" i="1"/>
  <c r="L73" i="4" s="1"/>
  <c r="K89" i="1"/>
  <c r="L94" i="4" s="1"/>
  <c r="K163" i="1"/>
  <c r="L168" i="4" s="1"/>
  <c r="K242" i="1"/>
  <c r="L247" i="4" s="1"/>
  <c r="K137" i="1"/>
  <c r="L142" i="4" s="1"/>
  <c r="K100" i="1"/>
  <c r="L105" i="4" s="1"/>
  <c r="K256" i="1"/>
  <c r="L261" i="4" s="1"/>
  <c r="K218" i="1"/>
  <c r="L223" i="4" s="1"/>
  <c r="K198" i="1"/>
  <c r="L203" i="4" s="1"/>
  <c r="K228" i="1"/>
  <c r="L233" i="4" s="1"/>
  <c r="K130" i="1"/>
  <c r="L135" i="4" s="1"/>
  <c r="K99" i="1"/>
  <c r="L104" i="4" s="1"/>
  <c r="K227" i="1"/>
  <c r="L232" i="4" s="1"/>
  <c r="K101" i="1"/>
  <c r="L106" i="4" s="1"/>
  <c r="K238" i="1"/>
  <c r="L243" i="4" s="1"/>
  <c r="K106" i="1"/>
  <c r="L111" i="4" s="1"/>
  <c r="K248" i="1"/>
  <c r="L253" i="4" s="1"/>
  <c r="K272" i="1"/>
  <c r="L277" i="4" s="1"/>
  <c r="K93" i="1"/>
  <c r="L98" i="4" s="1"/>
  <c r="K207" i="1"/>
  <c r="L212" i="4" s="1"/>
  <c r="K229" i="1"/>
  <c r="L234" i="4" s="1"/>
  <c r="K133" i="1"/>
  <c r="L138" i="4" s="1"/>
  <c r="K192" i="1"/>
  <c r="L197" i="4" s="1"/>
  <c r="K259" i="1"/>
  <c r="L264" i="4" s="1"/>
  <c r="K59" i="1"/>
  <c r="L64" i="4" s="1"/>
  <c r="K45" i="1"/>
  <c r="L50" i="4" s="1"/>
  <c r="K83" i="1"/>
  <c r="L88" i="4" s="1"/>
  <c r="K105" i="1"/>
  <c r="L110" i="4" s="1"/>
  <c r="K234" i="1"/>
  <c r="L239" i="4" s="1"/>
  <c r="K240" i="1"/>
  <c r="L245" i="4" s="1"/>
  <c r="K225" i="1"/>
  <c r="L230" i="4" s="1"/>
  <c r="K184" i="1"/>
  <c r="L189" i="4" s="1"/>
  <c r="K169" i="1"/>
  <c r="L174" i="4" s="1"/>
  <c r="K254" i="1"/>
  <c r="L259" i="4" s="1"/>
  <c r="K123" i="1"/>
  <c r="L128" i="4" s="1"/>
  <c r="K111" i="1"/>
  <c r="L116" i="4" s="1"/>
  <c r="K44" i="1"/>
  <c r="L49" i="4" s="1"/>
  <c r="K190" i="1"/>
  <c r="L195" i="4" s="1"/>
  <c r="K86" i="1"/>
  <c r="L91" i="4" s="1"/>
  <c r="K34" i="1"/>
  <c r="K206" i="1"/>
  <c r="L211" i="4" s="1"/>
  <c r="K170" i="1"/>
  <c r="L175" i="4" s="1"/>
  <c r="K57" i="1"/>
  <c r="L62" i="4" s="1"/>
  <c r="K58" i="1"/>
  <c r="L63" i="4" s="1"/>
  <c r="K128" i="1"/>
  <c r="L133" i="4" s="1"/>
  <c r="K188" i="1"/>
  <c r="L193" i="4" s="1"/>
  <c r="K70" i="1"/>
  <c r="L75" i="4" s="1"/>
  <c r="K212" i="1"/>
  <c r="L217" i="4" s="1"/>
  <c r="K82" i="1"/>
  <c r="L87" i="4" s="1"/>
  <c r="K168" i="1"/>
  <c r="L173" i="4" s="1"/>
  <c r="K73" i="1"/>
  <c r="L78" i="4" s="1"/>
  <c r="K255" i="1"/>
  <c r="L260" i="4" s="1"/>
  <c r="K65" i="1"/>
  <c r="L70" i="4" s="1"/>
  <c r="K193" i="1"/>
  <c r="L198" i="4" s="1"/>
  <c r="K125" i="1"/>
  <c r="L130" i="4" s="1"/>
  <c r="K210" i="1"/>
  <c r="L215" i="4" s="1"/>
  <c r="K142" i="1"/>
  <c r="L147" i="4" s="1"/>
  <c r="K226" i="1"/>
  <c r="L231" i="4" s="1"/>
  <c r="K251" i="1"/>
  <c r="L256" i="4" s="1"/>
  <c r="K258" i="1"/>
  <c r="L263" i="4" s="1"/>
  <c r="K205" i="1"/>
  <c r="L210" i="4" s="1"/>
  <c r="K237" i="1"/>
  <c r="L242" i="4" s="1"/>
  <c r="K47" i="1"/>
  <c r="L52" i="4" s="1"/>
  <c r="K145" i="1"/>
  <c r="L150" i="4" s="1"/>
  <c r="K178" i="1"/>
  <c r="L183" i="4" s="1"/>
  <c r="K76" i="1"/>
  <c r="L81" i="4" s="1"/>
  <c r="K49" i="1"/>
  <c r="L54" i="4" s="1"/>
  <c r="K127" i="1"/>
  <c r="L132" i="4" s="1"/>
  <c r="K51" i="1"/>
  <c r="L56" i="4" s="1"/>
  <c r="K94" i="1"/>
  <c r="L99" i="4" s="1"/>
  <c r="K249" i="1"/>
  <c r="L254" i="4" s="1"/>
  <c r="K60" i="1"/>
  <c r="L65" i="4" s="1"/>
  <c r="K148" i="1"/>
  <c r="L153" i="4" s="1"/>
  <c r="K197" i="1"/>
  <c r="L202" i="4" s="1"/>
  <c r="K39" i="1"/>
  <c r="L44" i="4" s="1"/>
  <c r="K161" i="1"/>
  <c r="L166" i="4" s="1"/>
  <c r="K221" i="1"/>
  <c r="L226" i="4" s="1"/>
  <c r="K124" i="1"/>
  <c r="L129" i="4" s="1"/>
  <c r="K239" i="1"/>
  <c r="L244" i="4" s="1"/>
  <c r="K216" i="1"/>
  <c r="L221" i="4" s="1"/>
  <c r="K158" i="1"/>
  <c r="L163" i="4" s="1"/>
  <c r="K266" i="1"/>
  <c r="L271" i="4" s="1"/>
  <c r="K117" i="1"/>
  <c r="L122" i="4" s="1"/>
  <c r="K88" i="1"/>
  <c r="L93" i="4" s="1"/>
  <c r="K199" i="1"/>
  <c r="L204" i="4" s="1"/>
  <c r="K195" i="1"/>
  <c r="L200" i="4" s="1"/>
  <c r="K121" i="1"/>
  <c r="L126" i="4" s="1"/>
  <c r="K186" i="1"/>
  <c r="L191" i="4" s="1"/>
  <c r="K244" i="1"/>
  <c r="L249" i="4" s="1"/>
  <c r="K97" i="1"/>
  <c r="L102" i="4" s="1"/>
  <c r="K135" i="1"/>
  <c r="L140" i="4" s="1"/>
  <c r="K273" i="1"/>
  <c r="L278" i="4" s="1"/>
  <c r="K150" i="1"/>
  <c r="L155" i="4" s="1"/>
  <c r="K165" i="1"/>
  <c r="L170" i="4" s="1"/>
  <c r="K52" i="1"/>
  <c r="L57" i="4" s="1"/>
  <c r="K40" i="1"/>
  <c r="L45" i="4" s="1"/>
  <c r="K172" i="1"/>
  <c r="L177" i="4" s="1"/>
  <c r="K126" i="1"/>
  <c r="L131" i="4" s="1"/>
  <c r="K138" i="1"/>
  <c r="L143" i="4" s="1"/>
  <c r="K224" i="1"/>
  <c r="L229" i="4" s="1"/>
  <c r="K95" i="1"/>
  <c r="L100" i="4" s="1"/>
  <c r="K252" i="1"/>
  <c r="L257" i="4" s="1"/>
  <c r="K157" i="1"/>
  <c r="L162" i="4" s="1"/>
  <c r="K262" i="1"/>
  <c r="L267" i="4" s="1"/>
  <c r="K204" i="1"/>
  <c r="L209" i="4" s="1"/>
  <c r="K213" i="1"/>
  <c r="L218" i="4" s="1"/>
  <c r="K263" i="1"/>
  <c r="L268" i="4" s="1"/>
  <c r="K235" i="1"/>
  <c r="L240" i="4" s="1"/>
  <c r="K183" i="1"/>
  <c r="L188" i="4" s="1"/>
  <c r="K246" i="1"/>
  <c r="L251" i="4" s="1"/>
  <c r="K164" i="1"/>
  <c r="L169" i="4" s="1"/>
  <c r="K194" i="1"/>
  <c r="L199" i="4" s="1"/>
  <c r="K271" i="1"/>
  <c r="L276" i="4" s="1"/>
  <c r="K114" i="1"/>
  <c r="L119" i="4" s="1"/>
  <c r="K80" i="1"/>
  <c r="L85" i="4" s="1"/>
  <c r="K96" i="1"/>
  <c r="L101" i="4" s="1"/>
  <c r="K174" i="1"/>
  <c r="L179" i="4" s="1"/>
  <c r="K203" i="1"/>
  <c r="L208" i="4" s="1"/>
  <c r="K191" i="1"/>
  <c r="L196" i="4" s="1"/>
  <c r="K98" i="1"/>
  <c r="L103" i="4" s="1"/>
  <c r="K208" i="1"/>
  <c r="L213" i="4" s="1"/>
  <c r="K41" i="1"/>
  <c r="L46" i="4" s="1"/>
  <c r="K64" i="1"/>
  <c r="L69" i="4" s="1"/>
  <c r="K36" i="1"/>
  <c r="L41" i="4" s="1"/>
  <c r="K241" i="1"/>
  <c r="L246" i="4" s="1"/>
  <c r="K261" i="1"/>
  <c r="L266" i="4" s="1"/>
  <c r="K236" i="1"/>
  <c r="L241" i="4" s="1"/>
  <c r="K87" i="1"/>
  <c r="L92" i="4" s="1"/>
  <c r="K132" i="1"/>
  <c r="L137" i="4" s="1"/>
  <c r="K56" i="1"/>
  <c r="L61" i="4" s="1"/>
  <c r="Q25" i="4"/>
  <c r="K267" i="1"/>
  <c r="L272" i="4" s="1"/>
  <c r="K189" i="1"/>
  <c r="L194" i="4" s="1"/>
  <c r="K230" i="1"/>
  <c r="L235" i="4" s="1"/>
  <c r="K270" i="1"/>
  <c r="L275" i="4" s="1"/>
  <c r="K141" i="1"/>
  <c r="L146" i="4" s="1"/>
  <c r="K67" i="1"/>
  <c r="L72" i="4" s="1"/>
  <c r="K85" i="1"/>
  <c r="L90" i="4" s="1"/>
  <c r="K220" i="1"/>
  <c r="L225" i="4" s="1"/>
  <c r="K176" i="1"/>
  <c r="L181" i="4" s="1"/>
  <c r="K61" i="1"/>
  <c r="L66" i="4" s="1"/>
  <c r="K104" i="1"/>
  <c r="L109" i="4" s="1"/>
  <c r="K215" i="1"/>
  <c r="L220" i="4" s="1"/>
  <c r="K179" i="1"/>
  <c r="L184" i="4" s="1"/>
  <c r="K146" i="1"/>
  <c r="L151" i="4" s="1"/>
  <c r="K219" i="1"/>
  <c r="L224" i="4" s="1"/>
  <c r="K77" i="1"/>
  <c r="L82" i="4" s="1"/>
  <c r="K167" i="1"/>
  <c r="L172" i="4" s="1"/>
  <c r="K46" i="1"/>
  <c r="L51" i="4" s="1"/>
  <c r="K53" i="1"/>
  <c r="L58" i="4" s="1"/>
  <c r="K118" i="1"/>
  <c r="L123" i="4" s="1"/>
  <c r="K143" i="1"/>
  <c r="L148" i="4" s="1"/>
  <c r="K233" i="1"/>
  <c r="L238" i="4" s="1"/>
  <c r="K131" i="1"/>
  <c r="L136" i="4" s="1"/>
  <c r="O25" i="1"/>
  <c r="I34" i="1" s="1"/>
  <c r="G34" i="1" s="1"/>
  <c r="K42" i="1"/>
  <c r="L47" i="4" s="1"/>
  <c r="K201" i="1"/>
  <c r="L206" i="4" s="1"/>
  <c r="K37" i="1"/>
  <c r="L42" i="4" s="1"/>
  <c r="K211" i="1"/>
  <c r="L216" i="4" s="1"/>
  <c r="K171" i="1"/>
  <c r="L176" i="4" s="1"/>
  <c r="K147" i="1"/>
  <c r="L152" i="4" s="1"/>
  <c r="K38" i="1"/>
  <c r="L43" i="4" s="1"/>
  <c r="K159" i="1"/>
  <c r="L164" i="4" s="1"/>
  <c r="K81" i="1"/>
  <c r="L86" i="4" s="1"/>
  <c r="K79" i="1"/>
  <c r="L84" i="4" s="1"/>
  <c r="K152" i="1"/>
  <c r="L157" i="4" s="1"/>
  <c r="K90" i="1"/>
  <c r="L95" i="4" s="1"/>
  <c r="K112" i="1"/>
  <c r="L117" i="4" s="1"/>
  <c r="K250" i="1"/>
  <c r="L255" i="4" s="1"/>
  <c r="K268" i="1"/>
  <c r="L273" i="4" s="1"/>
  <c r="K187" i="1"/>
  <c r="L192" i="4" s="1"/>
  <c r="K110" i="1"/>
  <c r="L115" i="4" s="1"/>
  <c r="K139" i="1"/>
  <c r="L144" i="4" s="1"/>
  <c r="K151" i="1"/>
  <c r="L156" i="4" s="1"/>
  <c r="K173" i="1"/>
  <c r="L178" i="4" s="1"/>
  <c r="K253" i="1"/>
  <c r="L258" i="4" s="1"/>
  <c r="O8" i="1"/>
  <c r="D24" i="4" s="1"/>
  <c r="G11" i="3" s="1"/>
  <c r="K107" i="1"/>
  <c r="L112" i="4" s="1"/>
  <c r="K120" i="1"/>
  <c r="L125" i="4" s="1"/>
  <c r="K48" i="1"/>
  <c r="L53" i="4" s="1"/>
  <c r="K136" i="1"/>
  <c r="L141" i="4" s="1"/>
  <c r="K113" i="1"/>
  <c r="L118" i="4" s="1"/>
  <c r="K196" i="1"/>
  <c r="L201" i="4" s="1"/>
  <c r="K62" i="1"/>
  <c r="L67" i="4" s="1"/>
  <c r="K155" i="1"/>
  <c r="L160" i="4" s="1"/>
  <c r="K102" i="1"/>
  <c r="L107" i="4" s="1"/>
  <c r="K66" i="1"/>
  <c r="L71" i="4" s="1"/>
  <c r="K103" i="1"/>
  <c r="L108" i="4" s="1"/>
  <c r="K55" i="1"/>
  <c r="L60" i="4" s="1"/>
  <c r="K180" i="1"/>
  <c r="L185" i="4" s="1"/>
  <c r="K269" i="1"/>
  <c r="L274" i="4" s="1"/>
  <c r="K69" i="1"/>
  <c r="L74" i="4" s="1"/>
  <c r="K54" i="1"/>
  <c r="L59" i="4" s="1"/>
  <c r="K115" i="1"/>
  <c r="L120" i="4" s="1"/>
  <c r="K200" i="1"/>
  <c r="L205" i="4" s="1"/>
  <c r="K182" i="1"/>
  <c r="L187" i="4" s="1"/>
  <c r="K78" i="1"/>
  <c r="L83" i="4" s="1"/>
  <c r="K75" i="1"/>
  <c r="L80" i="4" s="1"/>
  <c r="K166" i="1"/>
  <c r="L171" i="4" s="1"/>
  <c r="K134" i="1"/>
  <c r="L139" i="4" s="1"/>
  <c r="K92" i="1"/>
  <c r="L97" i="4" s="1"/>
  <c r="K160" i="1"/>
  <c r="L165" i="4" s="1"/>
  <c r="K108" i="1"/>
  <c r="L113" i="4" s="1"/>
  <c r="K232" i="1"/>
  <c r="L237" i="4" s="1"/>
  <c r="K214" i="1"/>
  <c r="L219" i="4" s="1"/>
  <c r="K74" i="1"/>
  <c r="L79" i="4" s="1"/>
  <c r="K265" i="1"/>
  <c r="L270" i="4" s="1"/>
  <c r="L39" i="4" l="1"/>
  <c r="K33" i="1"/>
  <c r="J39" i="4" l="1"/>
  <c r="L38" i="4"/>
  <c r="L35" i="4" s="1"/>
  <c r="Q33" i="1"/>
  <c r="M3" i="3" l="1"/>
  <c r="R38" i="4"/>
  <c r="H39" i="4" l="1"/>
  <c r="S34" i="1"/>
  <c r="M34" i="1" s="1"/>
  <c r="I35" i="1" l="1"/>
  <c r="T39" i="4"/>
  <c r="C7" i="4" s="1"/>
  <c r="N39" i="4" l="1"/>
  <c r="Q34" i="1"/>
  <c r="J40" i="4"/>
  <c r="G35" i="1"/>
  <c r="R39" i="4" l="1"/>
  <c r="Q10" i="4"/>
  <c r="O13" i="1" s="1"/>
  <c r="I25" i="4" s="1"/>
  <c r="M4" i="3"/>
  <c r="H40" i="4"/>
  <c r="S35" i="1"/>
  <c r="I36" i="1" l="1"/>
  <c r="M35" i="1"/>
  <c r="T40" i="4"/>
  <c r="N40" i="4" l="1"/>
  <c r="Q35" i="1"/>
  <c r="G36" i="1"/>
  <c r="J41" i="4"/>
  <c r="H41" i="4" l="1"/>
  <c r="S36" i="1"/>
  <c r="R40" i="4"/>
  <c r="M5" i="3"/>
  <c r="I37" i="1" l="1"/>
  <c r="T41" i="4"/>
  <c r="M36" i="1"/>
  <c r="N41" i="4" l="1"/>
  <c r="Q36" i="1"/>
  <c r="G37" i="1"/>
  <c r="J42" i="4"/>
  <c r="R41" i="4" l="1"/>
  <c r="M6" i="3"/>
  <c r="H42" i="4"/>
  <c r="S37" i="1"/>
  <c r="I38" i="1" l="1"/>
  <c r="T42" i="4"/>
  <c r="M37" i="1"/>
  <c r="N42" i="4" l="1"/>
  <c r="Q37" i="1"/>
  <c r="G38" i="1"/>
  <c r="J43" i="4"/>
  <c r="H43" i="4" l="1"/>
  <c r="S38" i="1"/>
  <c r="R42" i="4"/>
  <c r="M7" i="3"/>
  <c r="I39" i="1" l="1"/>
  <c r="T43" i="4"/>
  <c r="M38" i="1"/>
  <c r="N43" i="4" l="1"/>
  <c r="Q38" i="1"/>
  <c r="G39" i="1"/>
  <c r="J44" i="4"/>
  <c r="H44" i="4" l="1"/>
  <c r="S39" i="1"/>
  <c r="R43" i="4"/>
  <c r="M8" i="3"/>
  <c r="T44" i="4" l="1"/>
  <c r="I40" i="1"/>
  <c r="M39" i="1"/>
  <c r="G40" i="1" l="1"/>
  <c r="J45" i="4"/>
  <c r="N44" i="4"/>
  <c r="Q39" i="1"/>
  <c r="M9" i="3" l="1"/>
  <c r="R44" i="4"/>
  <c r="H45" i="4"/>
  <c r="S40" i="1"/>
  <c r="M40" i="1" l="1"/>
  <c r="T45" i="4"/>
  <c r="I41" i="1"/>
  <c r="G41" i="1" l="1"/>
  <c r="J46" i="4"/>
  <c r="Q40" i="1"/>
  <c r="N45" i="4"/>
  <c r="M10" i="3" l="1"/>
  <c r="R45" i="4"/>
  <c r="H46" i="4"/>
  <c r="S41" i="1"/>
  <c r="T46" i="4" l="1"/>
  <c r="M41" i="1"/>
  <c r="I42" i="1"/>
  <c r="G42" i="1" l="1"/>
  <c r="J47" i="4"/>
  <c r="N46" i="4"/>
  <c r="Q41" i="1"/>
  <c r="M11" i="3" l="1"/>
  <c r="R46" i="4"/>
  <c r="H47" i="4"/>
  <c r="S42" i="1"/>
  <c r="M42" i="1" l="1"/>
  <c r="T47" i="4"/>
  <c r="I43" i="1"/>
  <c r="G43" i="1" l="1"/>
  <c r="J48" i="4"/>
  <c r="N47" i="4"/>
  <c r="Q42" i="1"/>
  <c r="M12" i="3" l="1"/>
  <c r="R47" i="4"/>
  <c r="H48" i="4"/>
  <c r="S43" i="1"/>
  <c r="T48" i="4" l="1"/>
  <c r="I44" i="1"/>
  <c r="M43" i="1"/>
  <c r="Q43" i="1" l="1"/>
  <c r="N48" i="4"/>
  <c r="G44" i="1"/>
  <c r="J49" i="4"/>
  <c r="H49" i="4" l="1"/>
  <c r="S44" i="1"/>
  <c r="R48" i="4"/>
  <c r="M13" i="3"/>
  <c r="M44" i="1" l="1"/>
  <c r="I45" i="1"/>
  <c r="T49" i="4"/>
  <c r="G45" i="1" l="1"/>
  <c r="J50" i="4"/>
  <c r="Q44" i="1"/>
  <c r="N49" i="4"/>
  <c r="R49" i="4" l="1"/>
  <c r="M14" i="3"/>
  <c r="H50" i="4"/>
  <c r="S45" i="1"/>
  <c r="M45" i="1" l="1"/>
  <c r="T50" i="4"/>
  <c r="I46" i="1"/>
  <c r="G46" i="1" l="1"/>
  <c r="J51" i="4"/>
  <c r="N50" i="4"/>
  <c r="Q45" i="1"/>
  <c r="M15" i="3" l="1"/>
  <c r="R50" i="4"/>
  <c r="H51" i="4"/>
  <c r="S46" i="1"/>
  <c r="I47" i="1" l="1"/>
  <c r="T51" i="4"/>
  <c r="M46" i="1"/>
  <c r="N51" i="4" l="1"/>
  <c r="Q46" i="1"/>
  <c r="G47" i="1"/>
  <c r="J52" i="4"/>
  <c r="R51" i="4" l="1"/>
  <c r="M16" i="3"/>
  <c r="H52" i="4"/>
  <c r="S47" i="1"/>
  <c r="M47" i="1" l="1"/>
  <c r="I48" i="1"/>
  <c r="T52" i="4"/>
  <c r="G48" i="1" l="1"/>
  <c r="J53" i="4"/>
  <c r="N52" i="4"/>
  <c r="Q47" i="1"/>
  <c r="M17" i="3" l="1"/>
  <c r="R52" i="4"/>
  <c r="H53" i="4"/>
  <c r="S48" i="1"/>
  <c r="M48" i="1" l="1"/>
  <c r="T53" i="4"/>
  <c r="I49" i="1"/>
  <c r="G49" i="1" l="1"/>
  <c r="J54" i="4"/>
  <c r="N53" i="4"/>
  <c r="Q48" i="1"/>
  <c r="H54" i="4" l="1"/>
  <c r="S49" i="1"/>
  <c r="R53" i="4"/>
  <c r="M18" i="3"/>
  <c r="I50" i="1" l="1"/>
  <c r="T54" i="4"/>
  <c r="M49" i="1"/>
  <c r="N54" i="4" l="1"/>
  <c r="Q49" i="1"/>
  <c r="G50" i="1"/>
  <c r="J55" i="4"/>
  <c r="R54" i="4" l="1"/>
  <c r="M19" i="3"/>
  <c r="H55" i="4"/>
  <c r="S50" i="1"/>
  <c r="I51" i="1" l="1"/>
  <c r="T55" i="4"/>
  <c r="M50" i="1"/>
  <c r="N55" i="4" l="1"/>
  <c r="Q50" i="1"/>
  <c r="G51" i="1"/>
  <c r="J56" i="4"/>
  <c r="M20" i="3" l="1"/>
  <c r="R55" i="4"/>
  <c r="H56" i="4"/>
  <c r="S51" i="1"/>
  <c r="M51" i="1" l="1"/>
  <c r="T56" i="4"/>
  <c r="I52" i="1"/>
  <c r="G52" i="1" l="1"/>
  <c r="J57" i="4"/>
  <c r="Q51" i="1"/>
  <c r="N56" i="4"/>
  <c r="R56" i="4" l="1"/>
  <c r="M21" i="3"/>
  <c r="H57" i="4"/>
  <c r="S52" i="1"/>
  <c r="M52" i="1" l="1"/>
  <c r="T57" i="4"/>
  <c r="I53" i="1"/>
  <c r="G53" i="1" l="1"/>
  <c r="J58" i="4"/>
  <c r="N57" i="4"/>
  <c r="Q52" i="1"/>
  <c r="M22" i="3" l="1"/>
  <c r="R57" i="4"/>
  <c r="H58" i="4"/>
  <c r="S53" i="1"/>
  <c r="M53" i="1" l="1"/>
  <c r="T58" i="4"/>
  <c r="I54" i="1"/>
  <c r="G54" i="1" l="1"/>
  <c r="J59" i="4"/>
  <c r="N58" i="4"/>
  <c r="Q53" i="1"/>
  <c r="R58" i="4" l="1"/>
  <c r="M23" i="3"/>
  <c r="H59" i="4"/>
  <c r="S54" i="1"/>
  <c r="I55" i="1" l="1"/>
  <c r="M54" i="1"/>
  <c r="T59" i="4"/>
  <c r="N59" i="4" l="1"/>
  <c r="Q54" i="1"/>
  <c r="G55" i="1"/>
  <c r="J60" i="4"/>
  <c r="H60" i="4" l="1"/>
  <c r="S55" i="1"/>
  <c r="M24" i="3"/>
  <c r="R59" i="4"/>
  <c r="I56" i="1" l="1"/>
  <c r="T60" i="4"/>
  <c r="M55" i="1"/>
  <c r="N60" i="4" l="1"/>
  <c r="Q55" i="1"/>
  <c r="G56" i="1"/>
  <c r="J61" i="4"/>
  <c r="M25" i="3" l="1"/>
  <c r="R60" i="4"/>
  <c r="H61" i="4"/>
  <c r="S56" i="1"/>
  <c r="I57" i="1" l="1"/>
  <c r="M56" i="1"/>
  <c r="T61" i="4"/>
  <c r="Q56" i="1" l="1"/>
  <c r="N61" i="4"/>
  <c r="G57" i="1"/>
  <c r="J62" i="4"/>
  <c r="H62" i="4" l="1"/>
  <c r="S57" i="1"/>
  <c r="R61" i="4"/>
  <c r="M26" i="3"/>
  <c r="I58" i="1" l="1"/>
  <c r="T62" i="4"/>
  <c r="M57" i="1"/>
  <c r="Q57" i="1" l="1"/>
  <c r="N62" i="4"/>
  <c r="G58" i="1"/>
  <c r="J63" i="4"/>
  <c r="H63" i="4" l="1"/>
  <c r="S58" i="1"/>
  <c r="M27" i="3"/>
  <c r="R62" i="4"/>
  <c r="M58" i="1" l="1"/>
  <c r="T63" i="4"/>
  <c r="I59" i="1"/>
  <c r="G59" i="1" l="1"/>
  <c r="J64" i="4"/>
  <c r="Q58" i="1"/>
  <c r="N63" i="4"/>
  <c r="R63" i="4" l="1"/>
  <c r="M28" i="3"/>
  <c r="H64" i="4"/>
  <c r="S59" i="1"/>
  <c r="I60" i="1" l="1"/>
  <c r="M59" i="1"/>
  <c r="T64" i="4"/>
  <c r="N64" i="4" l="1"/>
  <c r="Q59" i="1"/>
  <c r="G60" i="1"/>
  <c r="J65" i="4"/>
  <c r="H65" i="4" l="1"/>
  <c r="S60" i="1"/>
  <c r="R64" i="4"/>
  <c r="M29" i="3"/>
  <c r="M60" i="1" l="1"/>
  <c r="I61" i="1"/>
  <c r="T65" i="4"/>
  <c r="G61" i="1" l="1"/>
  <c r="J66" i="4"/>
  <c r="Q60" i="1"/>
  <c r="N65" i="4"/>
  <c r="M30" i="3" l="1"/>
  <c r="R65" i="4"/>
  <c r="H66" i="4"/>
  <c r="S61" i="1"/>
  <c r="I62" i="1" l="1"/>
  <c r="M61" i="1"/>
  <c r="T66" i="4"/>
  <c r="G62" i="1" l="1"/>
  <c r="J67" i="4"/>
  <c r="Q61" i="1"/>
  <c r="N66" i="4"/>
  <c r="R66" i="4" l="1"/>
  <c r="M31" i="3"/>
  <c r="H67" i="4"/>
  <c r="S62" i="1"/>
  <c r="M62" i="1" l="1"/>
  <c r="I63" i="1"/>
  <c r="T67" i="4"/>
  <c r="G63" i="1" l="1"/>
  <c r="J68" i="4"/>
  <c r="N67" i="4"/>
  <c r="Q62" i="1"/>
  <c r="M32" i="3" l="1"/>
  <c r="R67" i="4"/>
  <c r="H68" i="4"/>
  <c r="S63" i="1"/>
  <c r="I64" i="1" l="1"/>
  <c r="T68" i="4"/>
  <c r="M63" i="1"/>
  <c r="Q63" i="1" l="1"/>
  <c r="N68" i="4"/>
  <c r="G64" i="1"/>
  <c r="J69" i="4"/>
  <c r="H69" i="4" l="1"/>
  <c r="S64" i="1"/>
  <c r="M33" i="3"/>
  <c r="R68" i="4"/>
  <c r="I65" i="1" l="1"/>
  <c r="M64" i="1"/>
  <c r="T69" i="4"/>
  <c r="N69" i="4" l="1"/>
  <c r="Q64" i="1"/>
  <c r="G65" i="1"/>
  <c r="J70" i="4"/>
  <c r="H70" i="4" l="1"/>
  <c r="S65" i="1"/>
  <c r="M34" i="3"/>
  <c r="R69" i="4"/>
  <c r="I66" i="1" l="1"/>
  <c r="T70" i="4"/>
  <c r="M65" i="1"/>
  <c r="N70" i="4" l="1"/>
  <c r="Q65" i="1"/>
  <c r="G66" i="1"/>
  <c r="J71" i="4"/>
  <c r="H71" i="4" l="1"/>
  <c r="S66" i="1"/>
  <c r="M35" i="3"/>
  <c r="R70" i="4"/>
  <c r="T71" i="4" l="1"/>
  <c r="M66" i="1"/>
  <c r="I67" i="1"/>
  <c r="G67" i="1" l="1"/>
  <c r="J72" i="4"/>
  <c r="N71" i="4"/>
  <c r="Q66" i="1"/>
  <c r="M36" i="3" l="1"/>
  <c r="R71" i="4"/>
  <c r="H72" i="4"/>
  <c r="S67" i="1"/>
  <c r="M67" i="1" l="1"/>
  <c r="I68" i="1"/>
  <c r="T72" i="4"/>
  <c r="G68" i="1" l="1"/>
  <c r="J73" i="4"/>
  <c r="N72" i="4"/>
  <c r="Q67" i="1"/>
  <c r="R72" i="4" l="1"/>
  <c r="M37" i="3"/>
  <c r="H73" i="4"/>
  <c r="S68" i="1"/>
  <c r="M68" i="1" l="1"/>
  <c r="I69" i="1"/>
  <c r="T73" i="4"/>
  <c r="G69" i="1" l="1"/>
  <c r="J74" i="4"/>
  <c r="N73" i="4"/>
  <c r="Q68" i="1"/>
  <c r="R73" i="4" l="1"/>
  <c r="M38" i="3"/>
  <c r="H74" i="4"/>
  <c r="S69" i="1"/>
  <c r="M69" i="1" l="1"/>
  <c r="T74" i="4"/>
  <c r="I70" i="1"/>
  <c r="G70" i="1" l="1"/>
  <c r="J75" i="4"/>
  <c r="Q69" i="1"/>
  <c r="N74" i="4"/>
  <c r="R74" i="4" l="1"/>
  <c r="M39" i="3"/>
  <c r="H75" i="4"/>
  <c r="S70" i="1"/>
  <c r="M70" i="1" l="1"/>
  <c r="T75" i="4"/>
  <c r="I71" i="1"/>
  <c r="G71" i="1" l="1"/>
  <c r="J76" i="4"/>
  <c r="N75" i="4"/>
  <c r="Q70" i="1"/>
  <c r="R75" i="4" l="1"/>
  <c r="M40" i="3"/>
  <c r="H76" i="4"/>
  <c r="S71" i="1"/>
  <c r="M71" i="1" l="1"/>
  <c r="I72" i="1"/>
  <c r="T76" i="4"/>
  <c r="G72" i="1" l="1"/>
  <c r="J77" i="4"/>
  <c r="N76" i="4"/>
  <c r="Q71" i="1"/>
  <c r="M41" i="3" l="1"/>
  <c r="R76" i="4"/>
  <c r="H77" i="4"/>
  <c r="S72" i="1"/>
  <c r="I73" i="1" l="1"/>
  <c r="T77" i="4"/>
  <c r="M72" i="1"/>
  <c r="N77" i="4" l="1"/>
  <c r="Q72" i="1"/>
  <c r="G73" i="1"/>
  <c r="J78" i="4"/>
  <c r="H78" i="4" l="1"/>
  <c r="S73" i="1"/>
  <c r="M42" i="3"/>
  <c r="R77" i="4"/>
  <c r="T78" i="4" l="1"/>
  <c r="I74" i="1"/>
  <c r="M73" i="1"/>
  <c r="N78" i="4" l="1"/>
  <c r="Q73" i="1"/>
  <c r="G74" i="1"/>
  <c r="J79" i="4"/>
  <c r="H79" i="4" l="1"/>
  <c r="S74" i="1"/>
  <c r="R78" i="4"/>
  <c r="M43" i="3"/>
  <c r="I75" i="1" l="1"/>
  <c r="T79" i="4"/>
  <c r="M74" i="1"/>
  <c r="N79" i="4" l="1"/>
  <c r="Q74" i="1"/>
  <c r="G75" i="1"/>
  <c r="J80" i="4"/>
  <c r="H80" i="4" l="1"/>
  <c r="S75" i="1"/>
  <c r="R79" i="4"/>
  <c r="M44" i="3"/>
  <c r="M75" i="1" l="1"/>
  <c r="I76" i="1"/>
  <c r="T80" i="4"/>
  <c r="G76" i="1" l="1"/>
  <c r="J81" i="4"/>
  <c r="N80" i="4"/>
  <c r="Q75" i="1"/>
  <c r="R80" i="4" l="1"/>
  <c r="M45" i="3"/>
  <c r="H81" i="4"/>
  <c r="S76" i="1"/>
  <c r="I77" i="1" l="1"/>
  <c r="T81" i="4"/>
  <c r="M76" i="1"/>
  <c r="N81" i="4" l="1"/>
  <c r="Q76" i="1"/>
  <c r="G77" i="1"/>
  <c r="J82" i="4"/>
  <c r="H82" i="4" l="1"/>
  <c r="S77" i="1"/>
  <c r="M46" i="3"/>
  <c r="R81" i="4"/>
  <c r="T82" i="4" l="1"/>
  <c r="I78" i="1"/>
  <c r="M77" i="1"/>
  <c r="G78" i="1" l="1"/>
  <c r="J83" i="4"/>
  <c r="N82" i="4"/>
  <c r="Q77" i="1"/>
  <c r="R82" i="4" l="1"/>
  <c r="M47" i="3"/>
  <c r="H83" i="4"/>
  <c r="S78" i="1"/>
  <c r="I79" i="1" l="1"/>
  <c r="T83" i="4"/>
  <c r="M78" i="1"/>
  <c r="N83" i="4" l="1"/>
  <c r="Q78" i="1"/>
  <c r="G79" i="1"/>
  <c r="J84" i="4"/>
  <c r="H84" i="4" l="1"/>
  <c r="S79" i="1"/>
  <c r="M48" i="3"/>
  <c r="R83" i="4"/>
  <c r="I80" i="1" l="1"/>
  <c r="M79" i="1"/>
  <c r="T84" i="4"/>
  <c r="N84" i="4" l="1"/>
  <c r="Q79" i="1"/>
  <c r="G80" i="1"/>
  <c r="J85" i="4"/>
  <c r="H85" i="4" l="1"/>
  <c r="S80" i="1"/>
  <c r="R84" i="4"/>
  <c r="M49" i="3"/>
  <c r="I81" i="1" l="1"/>
  <c r="M80" i="1"/>
  <c r="T85" i="4"/>
  <c r="N85" i="4" l="1"/>
  <c r="Q80" i="1"/>
  <c r="G81" i="1"/>
  <c r="J86" i="4"/>
  <c r="H86" i="4" l="1"/>
  <c r="S81" i="1"/>
  <c r="M50" i="3"/>
  <c r="R85" i="4"/>
  <c r="T86" i="4" l="1"/>
  <c r="M81" i="1"/>
  <c r="I82" i="1"/>
  <c r="Q81" i="1" l="1"/>
  <c r="N86" i="4"/>
  <c r="G82" i="1"/>
  <c r="J87" i="4"/>
  <c r="H87" i="4" l="1"/>
  <c r="S82" i="1"/>
  <c r="M51" i="3"/>
  <c r="R86" i="4"/>
  <c r="I83" i="1" l="1"/>
  <c r="T87" i="4"/>
  <c r="M82" i="1"/>
  <c r="Q82" i="1" l="1"/>
  <c r="N87" i="4"/>
  <c r="G83" i="1"/>
  <c r="J88" i="4"/>
  <c r="H88" i="4" l="1"/>
  <c r="S83" i="1"/>
  <c r="M52" i="3"/>
  <c r="R87" i="4"/>
  <c r="I84" i="1" l="1"/>
  <c r="M83" i="1"/>
  <c r="T88" i="4"/>
  <c r="Q83" i="1" l="1"/>
  <c r="N88" i="4"/>
  <c r="G84" i="1"/>
  <c r="J89" i="4"/>
  <c r="H89" i="4" l="1"/>
  <c r="S84" i="1"/>
  <c r="R88" i="4"/>
  <c r="M53" i="3"/>
  <c r="I85" i="1" l="1"/>
  <c r="M84" i="1"/>
  <c r="T89" i="4"/>
  <c r="N89" i="4" l="1"/>
  <c r="Q84" i="1"/>
  <c r="G85" i="1"/>
  <c r="J90" i="4"/>
  <c r="H90" i="4" l="1"/>
  <c r="S85" i="1"/>
  <c r="R89" i="4"/>
  <c r="M54" i="3"/>
  <c r="M85" i="1" l="1"/>
  <c r="T90" i="4"/>
  <c r="I86" i="1"/>
  <c r="Q85" i="1" l="1"/>
  <c r="N90" i="4"/>
  <c r="G86" i="1"/>
  <c r="J91" i="4"/>
  <c r="H91" i="4" l="1"/>
  <c r="S86" i="1"/>
  <c r="R90" i="4"/>
  <c r="M55" i="3"/>
  <c r="I87" i="1" l="1"/>
  <c r="T91" i="4"/>
  <c r="M86" i="1"/>
  <c r="Q86" i="1" l="1"/>
  <c r="N91" i="4"/>
  <c r="G87" i="1"/>
  <c r="J92" i="4"/>
  <c r="H92" i="4" l="1"/>
  <c r="S87" i="1"/>
  <c r="R91" i="4"/>
  <c r="M56" i="3"/>
  <c r="M87" i="1" l="1"/>
  <c r="T92" i="4"/>
  <c r="I88" i="1"/>
  <c r="G88" i="1" l="1"/>
  <c r="J93" i="4"/>
  <c r="N92" i="4"/>
  <c r="Q87" i="1"/>
  <c r="M57" i="3" l="1"/>
  <c r="R92" i="4"/>
  <c r="H93" i="4"/>
  <c r="S88" i="1"/>
  <c r="M88" i="1" l="1"/>
  <c r="I89" i="1"/>
  <c r="T93" i="4"/>
  <c r="G89" i="1" l="1"/>
  <c r="J94" i="4"/>
  <c r="N93" i="4"/>
  <c r="Q88" i="1"/>
  <c r="R93" i="4" l="1"/>
  <c r="M58" i="3"/>
  <c r="H94" i="4"/>
  <c r="S89" i="1"/>
  <c r="T94" i="4" l="1"/>
  <c r="I90" i="1"/>
  <c r="M89" i="1"/>
  <c r="G90" i="1" l="1"/>
  <c r="J95" i="4"/>
  <c r="N94" i="4"/>
  <c r="Q89" i="1"/>
  <c r="M59" i="3" l="1"/>
  <c r="R94" i="4"/>
  <c r="H95" i="4"/>
  <c r="S90" i="1"/>
  <c r="I91" i="1" l="1"/>
  <c r="T95" i="4"/>
  <c r="M90" i="1"/>
  <c r="Q90" i="1" l="1"/>
  <c r="N95" i="4"/>
  <c r="G91" i="1"/>
  <c r="J96" i="4"/>
  <c r="H96" i="4" l="1"/>
  <c r="S91" i="1"/>
  <c r="M60" i="3"/>
  <c r="R95" i="4"/>
  <c r="T96" i="4" l="1"/>
  <c r="M91" i="1"/>
  <c r="I92" i="1"/>
  <c r="G92" i="1" l="1"/>
  <c r="J97" i="4"/>
  <c r="Q91" i="1"/>
  <c r="N96" i="4"/>
  <c r="M61" i="3" l="1"/>
  <c r="R96" i="4"/>
  <c r="H97" i="4"/>
  <c r="S92" i="1"/>
  <c r="M92" i="1" l="1"/>
  <c r="I93" i="1"/>
  <c r="T97" i="4"/>
  <c r="Q92" i="1" l="1"/>
  <c r="N97" i="4"/>
  <c r="G93" i="1"/>
  <c r="J98" i="4"/>
  <c r="H98" i="4" l="1"/>
  <c r="S93" i="1"/>
  <c r="R97" i="4"/>
  <c r="M62" i="3"/>
  <c r="T98" i="4" l="1"/>
  <c r="M93" i="1"/>
  <c r="I94" i="1"/>
  <c r="N98" i="4" l="1"/>
  <c r="Q93" i="1"/>
  <c r="G94" i="1"/>
  <c r="J99" i="4"/>
  <c r="H99" i="4" l="1"/>
  <c r="S94" i="1"/>
  <c r="M63" i="3"/>
  <c r="R98" i="4"/>
  <c r="I95" i="1" l="1"/>
  <c r="M94" i="1"/>
  <c r="T99" i="4"/>
  <c r="G95" i="1" l="1"/>
  <c r="J100" i="4"/>
  <c r="N99" i="4"/>
  <c r="Q94" i="1"/>
  <c r="R99" i="4" l="1"/>
  <c r="M64" i="3"/>
  <c r="H100" i="4"/>
  <c r="S95" i="1"/>
  <c r="I96" i="1" l="1"/>
  <c r="M95" i="1"/>
  <c r="T100" i="4"/>
  <c r="N100" i="4" l="1"/>
  <c r="Q95" i="1"/>
  <c r="G96" i="1"/>
  <c r="J101" i="4"/>
  <c r="M65" i="3" l="1"/>
  <c r="R100" i="4"/>
  <c r="H101" i="4"/>
  <c r="S96" i="1"/>
  <c r="T101" i="4" l="1"/>
  <c r="M96" i="1"/>
  <c r="I97" i="1"/>
  <c r="N101" i="4" l="1"/>
  <c r="Q96" i="1"/>
  <c r="G97" i="1"/>
  <c r="J102" i="4"/>
  <c r="H102" i="4" l="1"/>
  <c r="S97" i="1"/>
  <c r="M66" i="3"/>
  <c r="R101" i="4"/>
  <c r="M97" i="1" l="1"/>
  <c r="I98" i="1"/>
  <c r="T102" i="4"/>
  <c r="G98" i="1" l="1"/>
  <c r="J103" i="4"/>
  <c r="N102" i="4"/>
  <c r="Q97" i="1"/>
  <c r="M67" i="3" l="1"/>
  <c r="R102" i="4"/>
  <c r="H103" i="4"/>
  <c r="S98" i="1"/>
  <c r="I99" i="1" l="1"/>
  <c r="T103" i="4"/>
  <c r="M98" i="1"/>
  <c r="N103" i="4" l="1"/>
  <c r="Q98" i="1"/>
  <c r="G99" i="1"/>
  <c r="J104" i="4"/>
  <c r="H104" i="4" l="1"/>
  <c r="S99" i="1"/>
  <c r="R103" i="4"/>
  <c r="M68" i="3"/>
  <c r="M99" i="1" l="1"/>
  <c r="T104" i="4"/>
  <c r="I100" i="1"/>
  <c r="G100" i="1" l="1"/>
  <c r="J105" i="4"/>
  <c r="N104" i="4"/>
  <c r="Q99" i="1"/>
  <c r="R104" i="4" l="1"/>
  <c r="M69" i="3"/>
  <c r="H105" i="4"/>
  <c r="S100" i="1"/>
  <c r="M100" i="1" l="1"/>
  <c r="T105" i="4"/>
  <c r="I101" i="1"/>
  <c r="G101" i="1" l="1"/>
  <c r="J106" i="4"/>
  <c r="Q100" i="1"/>
  <c r="N105" i="4"/>
  <c r="R105" i="4" l="1"/>
  <c r="M70" i="3"/>
  <c r="H106" i="4"/>
  <c r="S101" i="1"/>
  <c r="I102" i="1" l="1"/>
  <c r="M101" i="1"/>
  <c r="T106" i="4"/>
  <c r="N106" i="4" l="1"/>
  <c r="Q101" i="1"/>
  <c r="G102" i="1"/>
  <c r="J107" i="4"/>
  <c r="H107" i="4" l="1"/>
  <c r="S102" i="1"/>
  <c r="R106" i="4"/>
  <c r="M71" i="3"/>
  <c r="M102" i="1" l="1"/>
  <c r="T107" i="4"/>
  <c r="I103" i="1"/>
  <c r="G103" i="1" l="1"/>
  <c r="J108" i="4"/>
  <c r="N107" i="4"/>
  <c r="Q102" i="1"/>
  <c r="M72" i="3" l="1"/>
  <c r="R107" i="4"/>
  <c r="H108" i="4"/>
  <c r="S103" i="1"/>
  <c r="I104" i="1" l="1"/>
  <c r="T108" i="4"/>
  <c r="M103" i="1"/>
  <c r="N108" i="4" l="1"/>
  <c r="Q103" i="1"/>
  <c r="G104" i="1"/>
  <c r="J109" i="4"/>
  <c r="H109" i="4" l="1"/>
  <c r="S104" i="1"/>
  <c r="R108" i="4"/>
  <c r="M73" i="3"/>
  <c r="T109" i="4" l="1"/>
  <c r="M104" i="1"/>
  <c r="I105" i="1"/>
  <c r="N109" i="4" l="1"/>
  <c r="Q104" i="1"/>
  <c r="G105" i="1"/>
  <c r="J110" i="4"/>
  <c r="H110" i="4" l="1"/>
  <c r="S105" i="1"/>
  <c r="R109" i="4"/>
  <c r="M74" i="3"/>
  <c r="T110" i="4" l="1"/>
  <c r="I106" i="1"/>
  <c r="M105" i="1"/>
  <c r="Q105" i="1" l="1"/>
  <c r="N110" i="4"/>
  <c r="G106" i="1"/>
  <c r="J111" i="4"/>
  <c r="H111" i="4" l="1"/>
  <c r="S106" i="1"/>
  <c r="M75" i="3"/>
  <c r="R110" i="4"/>
  <c r="M106" i="1" l="1"/>
  <c r="I107" i="1"/>
  <c r="T111" i="4"/>
  <c r="G107" i="1" l="1"/>
  <c r="J112" i="4"/>
  <c r="N111" i="4"/>
  <c r="Q106" i="1"/>
  <c r="M76" i="3" l="1"/>
  <c r="R111" i="4"/>
  <c r="H112" i="4"/>
  <c r="S107" i="1"/>
  <c r="I108" i="1" l="1"/>
  <c r="T112" i="4"/>
  <c r="M107" i="1"/>
  <c r="Q107" i="1" l="1"/>
  <c r="N112" i="4"/>
  <c r="G108" i="1"/>
  <c r="J113" i="4"/>
  <c r="H113" i="4" l="1"/>
  <c r="S108" i="1"/>
  <c r="M77" i="3"/>
  <c r="R112" i="4"/>
  <c r="T113" i="4" l="1"/>
  <c r="I109" i="1"/>
  <c r="M108" i="1"/>
  <c r="G109" i="1" l="1"/>
  <c r="J114" i="4"/>
  <c r="Q108" i="1"/>
  <c r="N113" i="4"/>
  <c r="M78" i="3" l="1"/>
  <c r="R113" i="4"/>
  <c r="H114" i="4"/>
  <c r="S109" i="1"/>
  <c r="M109" i="1" l="1"/>
  <c r="I110" i="1"/>
  <c r="T114" i="4"/>
  <c r="Q109" i="1" l="1"/>
  <c r="N114" i="4"/>
  <c r="G110" i="1"/>
  <c r="J115" i="4"/>
  <c r="H115" i="4" l="1"/>
  <c r="S110" i="1"/>
  <c r="M79" i="3"/>
  <c r="R114" i="4"/>
  <c r="M110" i="1" l="1"/>
  <c r="T115" i="4"/>
  <c r="I111" i="1"/>
  <c r="G111" i="1" l="1"/>
  <c r="J116" i="4"/>
  <c r="Q110" i="1"/>
  <c r="N115" i="4"/>
  <c r="R115" i="4" l="1"/>
  <c r="M80" i="3"/>
  <c r="H116" i="4"/>
  <c r="S111" i="1"/>
  <c r="T116" i="4" l="1"/>
  <c r="M111" i="1"/>
  <c r="I112" i="1"/>
  <c r="G112" i="1" l="1"/>
  <c r="J117" i="4"/>
  <c r="N116" i="4"/>
  <c r="Q111" i="1"/>
  <c r="M81" i="3" l="1"/>
  <c r="R116" i="4"/>
  <c r="H117" i="4"/>
  <c r="S112" i="1"/>
  <c r="I113" i="1" l="1"/>
  <c r="M112" i="1"/>
  <c r="T117" i="4"/>
  <c r="N117" i="4" l="1"/>
  <c r="Q112" i="1"/>
  <c r="G113" i="1"/>
  <c r="J118" i="4"/>
  <c r="H118" i="4" l="1"/>
  <c r="S113" i="1"/>
  <c r="M82" i="3"/>
  <c r="R117" i="4"/>
  <c r="T118" i="4" l="1"/>
  <c r="M113" i="1"/>
  <c r="I114" i="1"/>
  <c r="G114" i="1" l="1"/>
  <c r="J119" i="4"/>
  <c r="Q113" i="1"/>
  <c r="N118" i="4"/>
  <c r="R118" i="4" l="1"/>
  <c r="M83" i="3"/>
  <c r="H119" i="4"/>
  <c r="S114" i="1"/>
  <c r="M114" i="1" l="1"/>
  <c r="I115" i="1"/>
  <c r="T119" i="4"/>
  <c r="G115" i="1" l="1"/>
  <c r="J120" i="4"/>
  <c r="N119" i="4"/>
  <c r="Q114" i="1"/>
  <c r="M84" i="3" l="1"/>
  <c r="R119" i="4"/>
  <c r="H120" i="4"/>
  <c r="S115" i="1"/>
  <c r="M115" i="1" l="1"/>
  <c r="T120" i="4"/>
  <c r="I116" i="1"/>
  <c r="G116" i="1" l="1"/>
  <c r="J121" i="4"/>
  <c r="Q115" i="1"/>
  <c r="N120" i="4"/>
  <c r="M85" i="3" l="1"/>
  <c r="R120" i="4"/>
  <c r="H121" i="4"/>
  <c r="S116" i="1"/>
  <c r="M116" i="1" l="1"/>
  <c r="I117" i="1"/>
  <c r="T121" i="4"/>
  <c r="G117" i="1" l="1"/>
  <c r="J122" i="4"/>
  <c r="Q116" i="1"/>
  <c r="N121" i="4"/>
  <c r="R121" i="4" l="1"/>
  <c r="M86" i="3"/>
  <c r="H122" i="4"/>
  <c r="S117" i="1"/>
  <c r="M117" i="1" l="1"/>
  <c r="T122" i="4"/>
  <c r="I118" i="1"/>
  <c r="G118" i="1" l="1"/>
  <c r="J123" i="4"/>
  <c r="N122" i="4"/>
  <c r="Q117" i="1"/>
  <c r="R122" i="4" l="1"/>
  <c r="M87" i="3"/>
  <c r="H123" i="4"/>
  <c r="S118" i="1"/>
  <c r="I119" i="1" l="1"/>
  <c r="M118" i="1"/>
  <c r="T123" i="4"/>
  <c r="Q118" i="1" l="1"/>
  <c r="N123" i="4"/>
  <c r="G119" i="1"/>
  <c r="J124" i="4"/>
  <c r="H124" i="4" l="1"/>
  <c r="S119" i="1"/>
  <c r="R123" i="4"/>
  <c r="M88" i="3"/>
  <c r="M119" i="1" l="1"/>
  <c r="I120" i="1"/>
  <c r="T124" i="4"/>
  <c r="G120" i="1" l="1"/>
  <c r="J125" i="4"/>
  <c r="N124" i="4"/>
  <c r="Q119" i="1"/>
  <c r="M89" i="3" l="1"/>
  <c r="R124" i="4"/>
  <c r="H125" i="4"/>
  <c r="S120" i="1"/>
  <c r="M120" i="1" l="1"/>
  <c r="I121" i="1"/>
  <c r="T125" i="4"/>
  <c r="G121" i="1" l="1"/>
  <c r="J126" i="4"/>
  <c r="Q120" i="1"/>
  <c r="N125" i="4"/>
  <c r="M90" i="3" l="1"/>
  <c r="R125" i="4"/>
  <c r="H126" i="4"/>
  <c r="S121" i="1"/>
  <c r="M121" i="1" l="1"/>
  <c r="I122" i="1"/>
  <c r="T126" i="4"/>
  <c r="G122" i="1" l="1"/>
  <c r="J127" i="4"/>
  <c r="N126" i="4"/>
  <c r="Q121" i="1"/>
  <c r="R126" i="4" l="1"/>
  <c r="M91" i="3"/>
  <c r="H127" i="4"/>
  <c r="S122" i="1"/>
  <c r="M122" i="1" l="1"/>
  <c r="T127" i="4"/>
  <c r="I123" i="1"/>
  <c r="G123" i="1" l="1"/>
  <c r="J128" i="4"/>
  <c r="Q122" i="1"/>
  <c r="N127" i="4"/>
  <c r="R127" i="4" l="1"/>
  <c r="M92" i="3"/>
  <c r="H128" i="4"/>
  <c r="S123" i="1"/>
  <c r="T128" i="4" l="1"/>
  <c r="I124" i="1"/>
  <c r="M123" i="1"/>
  <c r="G124" i="1" l="1"/>
  <c r="J129" i="4"/>
  <c r="N128" i="4"/>
  <c r="Q123" i="1"/>
  <c r="M93" i="3" l="1"/>
  <c r="R128" i="4"/>
  <c r="H129" i="4"/>
  <c r="S124" i="1"/>
  <c r="M124" i="1" l="1"/>
  <c r="I125" i="1"/>
  <c r="T129" i="4"/>
  <c r="G125" i="1" l="1"/>
  <c r="J130" i="4"/>
  <c r="N129" i="4"/>
  <c r="Q124" i="1"/>
  <c r="M94" i="3" l="1"/>
  <c r="R129" i="4"/>
  <c r="H130" i="4"/>
  <c r="S125" i="1"/>
  <c r="T130" i="4" l="1"/>
  <c r="I126" i="1"/>
  <c r="M125" i="1"/>
  <c r="G126" i="1" l="1"/>
  <c r="J131" i="4"/>
  <c r="N130" i="4"/>
  <c r="Q125" i="1"/>
  <c r="M95" i="3" l="1"/>
  <c r="R130" i="4"/>
  <c r="H131" i="4"/>
  <c r="S126" i="1"/>
  <c r="I127" i="1" l="1"/>
  <c r="T131" i="4"/>
  <c r="M126" i="1"/>
  <c r="N131" i="4" l="1"/>
  <c r="Q126" i="1"/>
  <c r="G127" i="1"/>
  <c r="J132" i="4"/>
  <c r="H132" i="4" l="1"/>
  <c r="S127" i="1"/>
  <c r="M96" i="3"/>
  <c r="R131" i="4"/>
  <c r="M127" i="1" l="1"/>
  <c r="T132" i="4"/>
  <c r="I128" i="1"/>
  <c r="G128" i="1" l="1"/>
  <c r="J133" i="4"/>
  <c r="N132" i="4"/>
  <c r="Q127" i="1"/>
  <c r="R132" i="4" l="1"/>
  <c r="M97" i="3"/>
  <c r="H133" i="4"/>
  <c r="S128" i="1"/>
  <c r="I129" i="1" l="1"/>
  <c r="M128" i="1"/>
  <c r="T133" i="4"/>
  <c r="N133" i="4" l="1"/>
  <c r="Q128" i="1"/>
  <c r="G129" i="1"/>
  <c r="J134" i="4"/>
  <c r="H134" i="4" l="1"/>
  <c r="S129" i="1"/>
  <c r="M98" i="3"/>
  <c r="R133" i="4"/>
  <c r="T134" i="4" l="1"/>
  <c r="I130" i="1"/>
  <c r="M129" i="1"/>
  <c r="N134" i="4" l="1"/>
  <c r="Q129" i="1"/>
  <c r="G130" i="1"/>
  <c r="J135" i="4"/>
  <c r="H135" i="4" l="1"/>
  <c r="S130" i="1"/>
  <c r="R134" i="4"/>
  <c r="M99" i="3"/>
  <c r="I131" i="1" l="1"/>
  <c r="T135" i="4"/>
  <c r="M130" i="1"/>
  <c r="N135" i="4" l="1"/>
  <c r="Q130" i="1"/>
  <c r="G131" i="1"/>
  <c r="J136" i="4"/>
  <c r="H136" i="4" l="1"/>
  <c r="S131" i="1"/>
  <c r="M100" i="3"/>
  <c r="R135" i="4"/>
  <c r="M131" i="1" l="1"/>
  <c r="T136" i="4"/>
  <c r="I132" i="1"/>
  <c r="G132" i="1" l="1"/>
  <c r="J137" i="4"/>
  <c r="N136" i="4"/>
  <c r="Q131" i="1"/>
  <c r="M101" i="3" l="1"/>
  <c r="R136" i="4"/>
  <c r="H137" i="4"/>
  <c r="S132" i="1"/>
  <c r="I133" i="1" l="1"/>
  <c r="T137" i="4"/>
  <c r="M132" i="1"/>
  <c r="N137" i="4" l="1"/>
  <c r="Q132" i="1"/>
  <c r="G133" i="1"/>
  <c r="J138" i="4"/>
  <c r="H138" i="4" l="1"/>
  <c r="S133" i="1"/>
  <c r="M102" i="3"/>
  <c r="R137" i="4"/>
  <c r="M133" i="1" l="1"/>
  <c r="T138" i="4"/>
  <c r="I134" i="1"/>
  <c r="G134" i="1" l="1"/>
  <c r="J139" i="4"/>
  <c r="N138" i="4"/>
  <c r="Q133" i="1"/>
  <c r="M103" i="3" l="1"/>
  <c r="R138" i="4"/>
  <c r="H139" i="4"/>
  <c r="S134" i="1"/>
  <c r="M134" i="1" l="1"/>
  <c r="I135" i="1"/>
  <c r="T139" i="4"/>
  <c r="G135" i="1" l="1"/>
  <c r="J140" i="4"/>
  <c r="N139" i="4"/>
  <c r="Q134" i="1"/>
  <c r="R139" i="4" l="1"/>
  <c r="M104" i="3"/>
  <c r="H140" i="4"/>
  <c r="S135" i="1"/>
  <c r="I136" i="1" l="1"/>
  <c r="T140" i="4"/>
  <c r="M135" i="1"/>
  <c r="Q135" i="1" l="1"/>
  <c r="N140" i="4"/>
  <c r="G136" i="1"/>
  <c r="J141" i="4"/>
  <c r="H141" i="4" l="1"/>
  <c r="S136" i="1"/>
  <c r="R140" i="4"/>
  <c r="M105" i="3"/>
  <c r="M136" i="1" l="1"/>
  <c r="I137" i="1"/>
  <c r="T141" i="4"/>
  <c r="G137" i="1" l="1"/>
  <c r="J142" i="4"/>
  <c r="N141" i="4"/>
  <c r="Q136" i="1"/>
  <c r="R141" i="4" l="1"/>
  <c r="M106" i="3"/>
  <c r="H142" i="4"/>
  <c r="S137" i="1"/>
  <c r="T142" i="4" l="1"/>
  <c r="I138" i="1"/>
  <c r="M137" i="1"/>
  <c r="G138" i="1" l="1"/>
  <c r="J143" i="4"/>
  <c r="N142" i="4"/>
  <c r="Q137" i="1"/>
  <c r="R142" i="4" l="1"/>
  <c r="M107" i="3"/>
  <c r="H143" i="4"/>
  <c r="S138" i="1"/>
  <c r="T143" i="4" l="1"/>
  <c r="I139" i="1"/>
  <c r="M138" i="1"/>
  <c r="G139" i="1" l="1"/>
  <c r="J144" i="4"/>
  <c r="N143" i="4"/>
  <c r="Q138" i="1"/>
  <c r="R143" i="4" l="1"/>
  <c r="M108" i="3"/>
  <c r="H144" i="4"/>
  <c r="S139" i="1"/>
  <c r="T144" i="4" l="1"/>
  <c r="I140" i="1"/>
  <c r="M139" i="1"/>
  <c r="G140" i="1" l="1"/>
  <c r="J145" i="4"/>
  <c r="Q139" i="1"/>
  <c r="N144" i="4"/>
  <c r="R144" i="4" l="1"/>
  <c r="M109" i="3"/>
  <c r="H145" i="4"/>
  <c r="S140" i="1"/>
  <c r="I141" i="1" l="1"/>
  <c r="T145" i="4"/>
  <c r="M140" i="1"/>
  <c r="Q140" i="1" l="1"/>
  <c r="N145" i="4"/>
  <c r="G141" i="1"/>
  <c r="J146" i="4"/>
  <c r="H146" i="4" l="1"/>
  <c r="S141" i="1"/>
  <c r="M110" i="3"/>
  <c r="R145" i="4"/>
  <c r="M141" i="1" l="1"/>
  <c r="T146" i="4"/>
  <c r="I142" i="1"/>
  <c r="G142" i="1" l="1"/>
  <c r="J147" i="4"/>
  <c r="N146" i="4"/>
  <c r="Q141" i="1"/>
  <c r="R146" i="4" l="1"/>
  <c r="M111" i="3"/>
  <c r="H147" i="4"/>
  <c r="S142" i="1"/>
  <c r="M142" i="1" l="1"/>
  <c r="I143" i="1"/>
  <c r="T147" i="4"/>
  <c r="G143" i="1" l="1"/>
  <c r="J148" i="4"/>
  <c r="N147" i="4"/>
  <c r="Q142" i="1"/>
  <c r="R147" i="4" l="1"/>
  <c r="M112" i="3"/>
  <c r="H148" i="4"/>
  <c r="S143" i="1"/>
  <c r="M143" i="1" l="1"/>
  <c r="T148" i="4"/>
  <c r="I144" i="1"/>
  <c r="G144" i="1" l="1"/>
  <c r="J149" i="4"/>
  <c r="Q143" i="1"/>
  <c r="N148" i="4"/>
  <c r="R148" i="4" l="1"/>
  <c r="M113" i="3"/>
  <c r="H149" i="4"/>
  <c r="S144" i="1"/>
  <c r="M144" i="1" l="1"/>
  <c r="I145" i="1"/>
  <c r="T149" i="4"/>
  <c r="G145" i="1" l="1"/>
  <c r="J150" i="4"/>
  <c r="N149" i="4"/>
  <c r="Q144" i="1"/>
  <c r="R149" i="4" l="1"/>
  <c r="M114" i="3"/>
  <c r="H150" i="4"/>
  <c r="S145" i="1"/>
  <c r="M145" i="1" l="1"/>
  <c r="I146" i="1"/>
  <c r="T150" i="4"/>
  <c r="G146" i="1" l="1"/>
  <c r="J151" i="4"/>
  <c r="N150" i="4"/>
  <c r="Q145" i="1"/>
  <c r="R150" i="4" l="1"/>
  <c r="M115" i="3"/>
  <c r="H151" i="4"/>
  <c r="S146" i="1"/>
  <c r="M146" i="1" l="1"/>
  <c r="I147" i="1"/>
  <c r="T151" i="4"/>
  <c r="G147" i="1" l="1"/>
  <c r="J152" i="4"/>
  <c r="Q146" i="1"/>
  <c r="N151" i="4"/>
  <c r="R151" i="4" l="1"/>
  <c r="M116" i="3"/>
  <c r="H152" i="4"/>
  <c r="S147" i="1"/>
  <c r="T152" i="4" l="1"/>
  <c r="I148" i="1"/>
  <c r="M147" i="1"/>
  <c r="N152" i="4" l="1"/>
  <c r="Q147" i="1"/>
  <c r="G148" i="1"/>
  <c r="J153" i="4"/>
  <c r="H153" i="4" l="1"/>
  <c r="S148" i="1"/>
  <c r="M117" i="3"/>
  <c r="R152" i="4"/>
  <c r="M148" i="1" l="1"/>
  <c r="T153" i="4"/>
  <c r="I149" i="1"/>
  <c r="G149" i="1" l="1"/>
  <c r="J154" i="4"/>
  <c r="N153" i="4"/>
  <c r="Q148" i="1"/>
  <c r="R153" i="4" l="1"/>
  <c r="M118" i="3"/>
  <c r="H154" i="4"/>
  <c r="S149" i="1"/>
  <c r="M149" i="1" l="1"/>
  <c r="T154" i="4"/>
  <c r="I150" i="1"/>
  <c r="G150" i="1" l="1"/>
  <c r="J155" i="4"/>
  <c r="Q149" i="1"/>
  <c r="N154" i="4"/>
  <c r="R154" i="4" l="1"/>
  <c r="M119" i="3"/>
  <c r="H155" i="4"/>
  <c r="S150" i="1"/>
  <c r="M150" i="1" l="1"/>
  <c r="T155" i="4"/>
  <c r="I151" i="1"/>
  <c r="G151" i="1" l="1"/>
  <c r="J156" i="4"/>
  <c r="N155" i="4"/>
  <c r="Q150" i="1"/>
  <c r="M120" i="3" l="1"/>
  <c r="R155" i="4"/>
  <c r="H156" i="4"/>
  <c r="S151" i="1"/>
  <c r="I152" i="1" l="1"/>
  <c r="T156" i="4"/>
  <c r="M151" i="1"/>
  <c r="N156" i="4" l="1"/>
  <c r="Q151" i="1"/>
  <c r="G152" i="1"/>
  <c r="J157" i="4"/>
  <c r="R156" i="4" l="1"/>
  <c r="M121" i="3"/>
  <c r="H157" i="4"/>
  <c r="S152" i="1"/>
  <c r="I153" i="1" l="1"/>
  <c r="M152" i="1"/>
  <c r="T157" i="4"/>
  <c r="N157" i="4" l="1"/>
  <c r="Q152" i="1"/>
  <c r="G153" i="1"/>
  <c r="J158" i="4"/>
  <c r="H158" i="4" l="1"/>
  <c r="S153" i="1"/>
  <c r="M122" i="3"/>
  <c r="R157" i="4"/>
  <c r="M153" i="1" l="1"/>
  <c r="I154" i="1"/>
  <c r="T158" i="4"/>
  <c r="G154" i="1" l="1"/>
  <c r="J159" i="4"/>
  <c r="N158" i="4"/>
  <c r="Q153" i="1"/>
  <c r="R158" i="4" l="1"/>
  <c r="M123" i="3"/>
  <c r="H159" i="4"/>
  <c r="S154" i="1"/>
  <c r="I155" i="1" l="1"/>
  <c r="T159" i="4"/>
  <c r="M154" i="1"/>
  <c r="N159" i="4" l="1"/>
  <c r="Q154" i="1"/>
  <c r="G155" i="1"/>
  <c r="J160" i="4"/>
  <c r="R159" i="4" l="1"/>
  <c r="M124" i="3"/>
  <c r="H160" i="4"/>
  <c r="S155" i="1"/>
  <c r="M155" i="1" l="1"/>
  <c r="T160" i="4"/>
  <c r="I156" i="1"/>
  <c r="G156" i="1" l="1"/>
  <c r="J161" i="4"/>
  <c r="N160" i="4"/>
  <c r="Q155" i="1"/>
  <c r="R160" i="4" l="1"/>
  <c r="M125" i="3"/>
  <c r="H161" i="4"/>
  <c r="S156" i="1"/>
  <c r="M156" i="1" l="1"/>
  <c r="I157" i="1"/>
  <c r="T161" i="4"/>
  <c r="G157" i="1" l="1"/>
  <c r="J162" i="4"/>
  <c r="Q156" i="1"/>
  <c r="N161" i="4"/>
  <c r="R161" i="4" l="1"/>
  <c r="M126" i="3"/>
  <c r="H162" i="4"/>
  <c r="S157" i="1"/>
  <c r="M157" i="1" l="1"/>
  <c r="T162" i="4"/>
  <c r="I158" i="1"/>
  <c r="G158" i="1" l="1"/>
  <c r="J163" i="4"/>
  <c r="N162" i="4"/>
  <c r="Q157" i="1"/>
  <c r="R162" i="4" l="1"/>
  <c r="M127" i="3"/>
  <c r="H163" i="4"/>
  <c r="S158" i="1"/>
  <c r="M158" i="1" l="1"/>
  <c r="I159" i="1"/>
  <c r="T163" i="4"/>
  <c r="G159" i="1" l="1"/>
  <c r="J164" i="4"/>
  <c r="N163" i="4"/>
  <c r="Q158" i="1"/>
  <c r="R163" i="4" l="1"/>
  <c r="M128" i="3"/>
  <c r="H164" i="4"/>
  <c r="S159" i="1"/>
  <c r="M159" i="1" l="1"/>
  <c r="T164" i="4"/>
  <c r="I160" i="1"/>
  <c r="G160" i="1" l="1"/>
  <c r="J165" i="4"/>
  <c r="Q159" i="1"/>
  <c r="N164" i="4"/>
  <c r="M129" i="3" l="1"/>
  <c r="R164" i="4"/>
  <c r="H165" i="4"/>
  <c r="S160" i="1"/>
  <c r="M160" i="1" l="1"/>
  <c r="T165" i="4"/>
  <c r="I161" i="1"/>
  <c r="G161" i="1" l="1"/>
  <c r="J166" i="4"/>
  <c r="N165" i="4"/>
  <c r="Q160" i="1"/>
  <c r="M130" i="3" l="1"/>
  <c r="R165" i="4"/>
  <c r="H166" i="4"/>
  <c r="S161" i="1"/>
  <c r="M161" i="1" l="1"/>
  <c r="I162" i="1"/>
  <c r="T166" i="4"/>
  <c r="G162" i="1" l="1"/>
  <c r="J167" i="4"/>
  <c r="N166" i="4"/>
  <c r="Q161" i="1"/>
  <c r="R166" i="4" l="1"/>
  <c r="M131" i="3"/>
  <c r="H167" i="4"/>
  <c r="S162" i="1"/>
  <c r="M162" i="1" l="1"/>
  <c r="T167" i="4"/>
  <c r="I163" i="1"/>
  <c r="G163" i="1" l="1"/>
  <c r="J168" i="4"/>
  <c r="Q162" i="1"/>
  <c r="N167" i="4"/>
  <c r="R167" i="4" l="1"/>
  <c r="M132" i="3"/>
  <c r="H168" i="4"/>
  <c r="S163" i="1"/>
  <c r="M163" i="1" l="1"/>
  <c r="T168" i="4"/>
  <c r="I164" i="1"/>
  <c r="G164" i="1" l="1"/>
  <c r="J169" i="4"/>
  <c r="N168" i="4"/>
  <c r="Q163" i="1"/>
  <c r="R168" i="4" l="1"/>
  <c r="M133" i="3"/>
  <c r="H169" i="4"/>
  <c r="S164" i="1"/>
  <c r="M164" i="1" l="1"/>
  <c r="T169" i="4"/>
  <c r="I165" i="1"/>
  <c r="G165" i="1" l="1"/>
  <c r="J170" i="4"/>
  <c r="N169" i="4"/>
  <c r="Q164" i="1"/>
  <c r="R169" i="4" l="1"/>
  <c r="M134" i="3"/>
  <c r="H170" i="4"/>
  <c r="S165" i="1"/>
  <c r="M165" i="1" l="1"/>
  <c r="T170" i="4"/>
  <c r="I166" i="1"/>
  <c r="N170" i="4" l="1"/>
  <c r="Q165" i="1"/>
  <c r="G166" i="1"/>
  <c r="J171" i="4"/>
  <c r="H171" i="4" l="1"/>
  <c r="S166" i="1"/>
  <c r="R170" i="4"/>
  <c r="M135" i="3"/>
  <c r="I167" i="1" l="1"/>
  <c r="M166" i="1"/>
  <c r="T171" i="4"/>
  <c r="N171" i="4" l="1"/>
  <c r="Q166" i="1"/>
  <c r="G167" i="1"/>
  <c r="J172" i="4"/>
  <c r="H172" i="4" l="1"/>
  <c r="S167" i="1"/>
  <c r="R171" i="4"/>
  <c r="M136" i="3"/>
  <c r="I168" i="1" l="1"/>
  <c r="T172" i="4"/>
  <c r="M167" i="1"/>
  <c r="N172" i="4" l="1"/>
  <c r="Q167" i="1"/>
  <c r="G168" i="1"/>
  <c r="J173" i="4"/>
  <c r="H173" i="4" l="1"/>
  <c r="S168" i="1"/>
  <c r="M137" i="3"/>
  <c r="R172" i="4"/>
  <c r="T173" i="4" l="1"/>
  <c r="I169" i="1"/>
  <c r="M168" i="1"/>
  <c r="Q168" i="1" l="1"/>
  <c r="N173" i="4"/>
  <c r="G169" i="1"/>
  <c r="J174" i="4"/>
  <c r="H174" i="4" l="1"/>
  <c r="S169" i="1"/>
  <c r="M138" i="3"/>
  <c r="R173" i="4"/>
  <c r="M169" i="1" l="1"/>
  <c r="T174" i="4"/>
  <c r="I170" i="1"/>
  <c r="G170" i="1" l="1"/>
  <c r="J175" i="4"/>
  <c r="Q169" i="1"/>
  <c r="N174" i="4"/>
  <c r="R174" i="4" l="1"/>
  <c r="M139" i="3"/>
  <c r="H175" i="4"/>
  <c r="S170" i="1"/>
  <c r="T175" i="4" l="1"/>
  <c r="M170" i="1"/>
  <c r="I171" i="1"/>
  <c r="G171" i="1" l="1"/>
  <c r="J176" i="4"/>
  <c r="N175" i="4"/>
  <c r="Q170" i="1"/>
  <c r="M140" i="3" l="1"/>
  <c r="R175" i="4"/>
  <c r="H176" i="4"/>
  <c r="S171" i="1"/>
  <c r="I172" i="1" l="1"/>
  <c r="M171" i="1"/>
  <c r="T176" i="4"/>
  <c r="N176" i="4" l="1"/>
  <c r="Q171" i="1"/>
  <c r="G172" i="1"/>
  <c r="J177" i="4"/>
  <c r="R176" i="4" l="1"/>
  <c r="M141" i="3"/>
  <c r="H177" i="4"/>
  <c r="S172" i="1"/>
  <c r="I173" i="1" l="1"/>
  <c r="M172" i="1"/>
  <c r="T177" i="4"/>
  <c r="N177" i="4" l="1"/>
  <c r="Q172" i="1"/>
  <c r="G173" i="1"/>
  <c r="J178" i="4"/>
  <c r="H178" i="4" l="1"/>
  <c r="S173" i="1"/>
  <c r="M142" i="3"/>
  <c r="R177" i="4"/>
  <c r="T178" i="4" l="1"/>
  <c r="I174" i="1"/>
  <c r="M173" i="1"/>
  <c r="N178" i="4" l="1"/>
  <c r="Q173" i="1"/>
  <c r="G174" i="1"/>
  <c r="J179" i="4"/>
  <c r="H179" i="4" l="1"/>
  <c r="S174" i="1"/>
  <c r="M143" i="3"/>
  <c r="R178" i="4"/>
  <c r="T179" i="4" l="1"/>
  <c r="I175" i="1"/>
  <c r="M174" i="1"/>
  <c r="N179" i="4" l="1"/>
  <c r="Q174" i="1"/>
  <c r="G175" i="1"/>
  <c r="J180" i="4"/>
  <c r="H180" i="4" l="1"/>
  <c r="S175" i="1"/>
  <c r="R179" i="4"/>
  <c r="M144" i="3"/>
  <c r="M175" i="1" l="1"/>
  <c r="T180" i="4"/>
  <c r="I176" i="1"/>
  <c r="G176" i="1" l="1"/>
  <c r="J181" i="4"/>
  <c r="Q175" i="1"/>
  <c r="N180" i="4"/>
  <c r="M145" i="3" l="1"/>
  <c r="R180" i="4"/>
  <c r="H181" i="4"/>
  <c r="S176" i="1"/>
  <c r="M176" i="1" l="1"/>
  <c r="T181" i="4"/>
  <c r="I177" i="1"/>
  <c r="G177" i="1" l="1"/>
  <c r="J182" i="4"/>
  <c r="N181" i="4"/>
  <c r="Q176" i="1"/>
  <c r="R181" i="4" l="1"/>
  <c r="M146" i="3"/>
  <c r="H182" i="4"/>
  <c r="S177" i="1"/>
  <c r="I178" i="1" l="1"/>
  <c r="T182" i="4"/>
  <c r="M177" i="1"/>
  <c r="N182" i="4" l="1"/>
  <c r="Q177" i="1"/>
  <c r="G178" i="1"/>
  <c r="J183" i="4"/>
  <c r="H183" i="4" l="1"/>
  <c r="S178" i="1"/>
  <c r="R182" i="4"/>
  <c r="M147" i="3"/>
  <c r="M178" i="1" l="1"/>
  <c r="T183" i="4"/>
  <c r="I179" i="1"/>
  <c r="G179" i="1" l="1"/>
  <c r="J184" i="4"/>
  <c r="N183" i="4"/>
  <c r="Q178" i="1"/>
  <c r="M148" i="3" l="1"/>
  <c r="R183" i="4"/>
  <c r="H184" i="4"/>
  <c r="S179" i="1"/>
  <c r="M179" i="1" l="1"/>
  <c r="I180" i="1"/>
  <c r="T184" i="4"/>
  <c r="G180" i="1" l="1"/>
  <c r="J185" i="4"/>
  <c r="N184" i="4"/>
  <c r="Q179" i="1"/>
  <c r="M149" i="3" l="1"/>
  <c r="R184" i="4"/>
  <c r="H185" i="4"/>
  <c r="S180" i="1"/>
  <c r="M180" i="1" l="1"/>
  <c r="I181" i="1"/>
  <c r="T185" i="4"/>
  <c r="G181" i="1" l="1"/>
  <c r="J186" i="4"/>
  <c r="Q180" i="1"/>
  <c r="N185" i="4"/>
  <c r="R185" i="4" l="1"/>
  <c r="M150" i="3"/>
  <c r="H186" i="4"/>
  <c r="S181" i="1"/>
  <c r="M181" i="1" l="1"/>
  <c r="I182" i="1"/>
  <c r="T186" i="4"/>
  <c r="G182" i="1" l="1"/>
  <c r="J187" i="4"/>
  <c r="Q181" i="1"/>
  <c r="N186" i="4"/>
  <c r="M151" i="3" l="1"/>
  <c r="R186" i="4"/>
  <c r="H187" i="4"/>
  <c r="S182" i="1"/>
  <c r="M182" i="1" l="1"/>
  <c r="I183" i="1"/>
  <c r="T187" i="4"/>
  <c r="G183" i="1" l="1"/>
  <c r="J188" i="4"/>
  <c r="N187" i="4"/>
  <c r="Q182" i="1"/>
  <c r="R187" i="4" l="1"/>
  <c r="M152" i="3"/>
  <c r="H188" i="4"/>
  <c r="S183" i="1"/>
  <c r="M183" i="1" l="1"/>
  <c r="T188" i="4"/>
  <c r="I184" i="1"/>
  <c r="G184" i="1" l="1"/>
  <c r="J189" i="4"/>
  <c r="Q183" i="1"/>
  <c r="N188" i="4"/>
  <c r="R188" i="4" l="1"/>
  <c r="M153" i="3"/>
  <c r="H189" i="4"/>
  <c r="S184" i="1"/>
  <c r="T189" i="4" l="1"/>
  <c r="I185" i="1"/>
  <c r="M184" i="1"/>
  <c r="N189" i="4" l="1"/>
  <c r="Q184" i="1"/>
  <c r="G185" i="1"/>
  <c r="J190" i="4"/>
  <c r="H190" i="4" l="1"/>
  <c r="S185" i="1"/>
  <c r="M154" i="3"/>
  <c r="R189" i="4"/>
  <c r="T190" i="4" l="1"/>
  <c r="I186" i="1"/>
  <c r="M185" i="1"/>
  <c r="Q185" i="1" l="1"/>
  <c r="N190" i="4"/>
  <c r="G186" i="1"/>
  <c r="J191" i="4"/>
  <c r="H191" i="4" l="1"/>
  <c r="S186" i="1"/>
  <c r="M155" i="3"/>
  <c r="R190" i="4"/>
  <c r="M186" i="1" l="1"/>
  <c r="T191" i="4"/>
  <c r="I187" i="1"/>
  <c r="G187" i="1" l="1"/>
  <c r="J192" i="4"/>
  <c r="Q186" i="1"/>
  <c r="N191" i="4"/>
  <c r="R191" i="4" l="1"/>
  <c r="M156" i="3"/>
  <c r="H192" i="4"/>
  <c r="S187" i="1"/>
  <c r="I188" i="1" l="1"/>
  <c r="T192" i="4"/>
  <c r="M187" i="1"/>
  <c r="N192" i="4" l="1"/>
  <c r="Q187" i="1"/>
  <c r="G188" i="1"/>
  <c r="J193" i="4"/>
  <c r="M157" i="3" l="1"/>
  <c r="R192" i="4"/>
  <c r="H193" i="4"/>
  <c r="S188" i="1"/>
  <c r="I189" i="1" l="1"/>
  <c r="T193" i="4"/>
  <c r="M188" i="1"/>
  <c r="N193" i="4" l="1"/>
  <c r="Q188" i="1"/>
  <c r="G189" i="1"/>
  <c r="J194" i="4"/>
  <c r="H194" i="4" l="1"/>
  <c r="S189" i="1"/>
  <c r="M158" i="3"/>
  <c r="R193" i="4"/>
  <c r="M189" i="1" l="1"/>
  <c r="T194" i="4"/>
  <c r="I190" i="1"/>
  <c r="G190" i="1" l="1"/>
  <c r="J195" i="4"/>
  <c r="N194" i="4"/>
  <c r="Q189" i="1"/>
  <c r="R194" i="4" l="1"/>
  <c r="M159" i="3"/>
  <c r="H195" i="4"/>
  <c r="S190" i="1"/>
  <c r="I191" i="1" l="1"/>
  <c r="M190" i="1"/>
  <c r="T195" i="4"/>
  <c r="N195" i="4" l="1"/>
  <c r="Q190" i="1"/>
  <c r="G191" i="1"/>
  <c r="J196" i="4"/>
  <c r="H196" i="4" l="1"/>
  <c r="S191" i="1"/>
  <c r="R195" i="4"/>
  <c r="M160" i="3"/>
  <c r="M191" i="1" l="1"/>
  <c r="T196" i="4"/>
  <c r="I192" i="1"/>
  <c r="G192" i="1" l="1"/>
  <c r="J197" i="4"/>
  <c r="N196" i="4"/>
  <c r="Q191" i="1"/>
  <c r="M161" i="3" l="1"/>
  <c r="R196" i="4"/>
  <c r="H197" i="4"/>
  <c r="S192" i="1"/>
  <c r="I193" i="1" l="1"/>
  <c r="T197" i="4"/>
  <c r="M192" i="1"/>
  <c r="N197" i="4" l="1"/>
  <c r="Q192" i="1"/>
  <c r="G193" i="1"/>
  <c r="J198" i="4"/>
  <c r="H198" i="4" l="1"/>
  <c r="S193" i="1"/>
  <c r="R197" i="4"/>
  <c r="M162" i="3"/>
  <c r="M193" i="1" l="1"/>
  <c r="I194" i="1"/>
  <c r="T198" i="4"/>
  <c r="G194" i="1" l="1"/>
  <c r="J199" i="4"/>
  <c r="Q193" i="1"/>
  <c r="N198" i="4"/>
  <c r="M163" i="3" l="1"/>
  <c r="R198" i="4"/>
  <c r="H199" i="4"/>
  <c r="S194" i="1"/>
  <c r="M194" i="1" l="1"/>
  <c r="T199" i="4"/>
  <c r="I195" i="1"/>
  <c r="G195" i="1" l="1"/>
  <c r="J200" i="4"/>
  <c r="Q194" i="1"/>
  <c r="N199" i="4"/>
  <c r="M164" i="3" l="1"/>
  <c r="R199" i="4"/>
  <c r="H200" i="4"/>
  <c r="S195" i="1"/>
  <c r="I196" i="1" l="1"/>
  <c r="M195" i="1"/>
  <c r="T200" i="4"/>
  <c r="G196" i="1" l="1"/>
  <c r="J201" i="4"/>
  <c r="N200" i="4"/>
  <c r="Q195" i="1"/>
  <c r="R200" i="4" l="1"/>
  <c r="M165" i="3"/>
  <c r="H201" i="4"/>
  <c r="S196" i="1"/>
  <c r="T201" i="4" l="1"/>
  <c r="M196" i="1"/>
  <c r="I197" i="1"/>
  <c r="N201" i="4" l="1"/>
  <c r="Q196" i="1"/>
  <c r="G197" i="1"/>
  <c r="J202" i="4"/>
  <c r="R201" i="4" l="1"/>
  <c r="M166" i="3"/>
  <c r="H202" i="4"/>
  <c r="S197" i="1"/>
  <c r="M197" i="1" l="1"/>
  <c r="T202" i="4"/>
  <c r="I198" i="1"/>
  <c r="G198" i="1" l="1"/>
  <c r="J203" i="4"/>
  <c r="N202" i="4"/>
  <c r="Q197" i="1"/>
  <c r="M167" i="3" l="1"/>
  <c r="R202" i="4"/>
  <c r="H203" i="4"/>
  <c r="S198" i="1"/>
  <c r="M198" i="1" l="1"/>
  <c r="T203" i="4"/>
  <c r="I199" i="1"/>
  <c r="G199" i="1" l="1"/>
  <c r="J204" i="4"/>
  <c r="N203" i="4"/>
  <c r="Q198" i="1"/>
  <c r="R203" i="4" l="1"/>
  <c r="M168" i="3"/>
  <c r="H204" i="4"/>
  <c r="S199" i="1"/>
  <c r="I200" i="1" l="1"/>
  <c r="T204" i="4"/>
  <c r="M199" i="1"/>
  <c r="N204" i="4" l="1"/>
  <c r="Q199" i="1"/>
  <c r="G200" i="1"/>
  <c r="J205" i="4"/>
  <c r="M169" i="3" l="1"/>
  <c r="R204" i="4"/>
  <c r="H205" i="4"/>
  <c r="S200" i="1"/>
  <c r="M200" i="1" l="1"/>
  <c r="I201" i="1"/>
  <c r="T205" i="4"/>
  <c r="G201" i="1" l="1"/>
  <c r="J206" i="4"/>
  <c r="N205" i="4"/>
  <c r="Q200" i="1"/>
  <c r="R205" i="4" l="1"/>
  <c r="M170" i="3"/>
  <c r="H206" i="4"/>
  <c r="S201" i="1"/>
  <c r="M201" i="1" l="1"/>
  <c r="I202" i="1"/>
  <c r="T206" i="4"/>
  <c r="G202" i="1" l="1"/>
  <c r="J207" i="4"/>
  <c r="N206" i="4"/>
  <c r="Q201" i="1"/>
  <c r="R206" i="4" l="1"/>
  <c r="M171" i="3"/>
  <c r="H207" i="4"/>
  <c r="S202" i="1"/>
  <c r="M202" i="1" l="1"/>
  <c r="T207" i="4"/>
  <c r="I203" i="1"/>
  <c r="G203" i="1" l="1"/>
  <c r="J208" i="4"/>
  <c r="N207" i="4"/>
  <c r="Q202" i="1"/>
  <c r="R207" i="4" l="1"/>
  <c r="M172" i="3"/>
  <c r="H208" i="4"/>
  <c r="S203" i="1"/>
  <c r="M203" i="1" l="1"/>
  <c r="I204" i="1"/>
  <c r="T208" i="4"/>
  <c r="G204" i="1" l="1"/>
  <c r="J209" i="4"/>
  <c r="Q203" i="1"/>
  <c r="N208" i="4"/>
  <c r="R208" i="4" l="1"/>
  <c r="M173" i="3"/>
  <c r="H209" i="4"/>
  <c r="S204" i="1"/>
  <c r="M204" i="1" l="1"/>
  <c r="I205" i="1"/>
  <c r="T209" i="4"/>
  <c r="G205" i="1" l="1"/>
  <c r="J210" i="4"/>
  <c r="N209" i="4"/>
  <c r="Q204" i="1"/>
  <c r="M174" i="3" l="1"/>
  <c r="R209" i="4"/>
  <c r="H210" i="4"/>
  <c r="S205" i="1"/>
  <c r="I206" i="1" l="1"/>
  <c r="M205" i="1"/>
  <c r="T210" i="4"/>
  <c r="N210" i="4" l="1"/>
  <c r="Q205" i="1"/>
  <c r="G206" i="1"/>
  <c r="J211" i="4"/>
  <c r="H211" i="4" l="1"/>
  <c r="S206" i="1"/>
  <c r="M175" i="3"/>
  <c r="R210" i="4"/>
  <c r="M206" i="1" l="1"/>
  <c r="I207" i="1"/>
  <c r="T211" i="4"/>
  <c r="G207" i="1" l="1"/>
  <c r="J212" i="4"/>
  <c r="N211" i="4"/>
  <c r="Q206" i="1"/>
  <c r="M176" i="3" l="1"/>
  <c r="R211" i="4"/>
  <c r="H212" i="4"/>
  <c r="S207" i="1"/>
  <c r="I208" i="1" l="1"/>
  <c r="M207" i="1"/>
  <c r="T212" i="4"/>
  <c r="N212" i="4" l="1"/>
  <c r="Q207" i="1"/>
  <c r="G208" i="1"/>
  <c r="J213" i="4"/>
  <c r="R212" i="4" l="1"/>
  <c r="M177" i="3"/>
  <c r="H213" i="4"/>
  <c r="S208" i="1"/>
  <c r="T213" i="4" l="1"/>
  <c r="I209" i="1"/>
  <c r="M208" i="1"/>
  <c r="G209" i="1" l="1"/>
  <c r="J214" i="4"/>
  <c r="N213" i="4"/>
  <c r="Q208" i="1"/>
  <c r="M178" i="3" l="1"/>
  <c r="R213" i="4"/>
  <c r="H214" i="4"/>
  <c r="S209" i="1"/>
  <c r="M209" i="1" l="1"/>
  <c r="T214" i="4"/>
  <c r="I210" i="1"/>
  <c r="G210" i="1" l="1"/>
  <c r="J215" i="4"/>
  <c r="Q209" i="1"/>
  <c r="N214" i="4"/>
  <c r="R214" i="4" l="1"/>
  <c r="M179" i="3"/>
  <c r="H215" i="4"/>
  <c r="S210" i="1"/>
  <c r="I211" i="1" l="1"/>
  <c r="M210" i="1"/>
  <c r="T215" i="4"/>
  <c r="N215" i="4" l="1"/>
  <c r="Q210" i="1"/>
  <c r="G211" i="1"/>
  <c r="J216" i="4"/>
  <c r="H216" i="4" l="1"/>
  <c r="S211" i="1"/>
  <c r="R215" i="4"/>
  <c r="M180" i="3"/>
  <c r="I212" i="1" l="1"/>
  <c r="T216" i="4"/>
  <c r="M211" i="1"/>
  <c r="N216" i="4" l="1"/>
  <c r="Q211" i="1"/>
  <c r="G212" i="1"/>
  <c r="J217" i="4"/>
  <c r="H217" i="4" l="1"/>
  <c r="S212" i="1"/>
  <c r="M181" i="3"/>
  <c r="R216" i="4"/>
  <c r="I213" i="1" l="1"/>
  <c r="T217" i="4"/>
  <c r="M212" i="1"/>
  <c r="N217" i="4" l="1"/>
  <c r="Q212" i="1"/>
  <c r="G213" i="1"/>
  <c r="J218" i="4"/>
  <c r="H218" i="4" l="1"/>
  <c r="S213" i="1"/>
  <c r="M182" i="3"/>
  <c r="R217" i="4"/>
  <c r="M213" i="1" l="1"/>
  <c r="I214" i="1"/>
  <c r="T218" i="4"/>
  <c r="G214" i="1" l="1"/>
  <c r="J219" i="4"/>
  <c r="N218" i="4"/>
  <c r="Q213" i="1"/>
  <c r="R218" i="4" l="1"/>
  <c r="M183" i="3"/>
  <c r="H219" i="4"/>
  <c r="S214" i="1"/>
  <c r="M214" i="1" l="1"/>
  <c r="T219" i="4"/>
  <c r="I215" i="1"/>
  <c r="G215" i="1" l="1"/>
  <c r="J220" i="4"/>
  <c r="N219" i="4"/>
  <c r="Q214" i="1"/>
  <c r="R219" i="4" l="1"/>
  <c r="M184" i="3"/>
  <c r="H220" i="4"/>
  <c r="S215" i="1"/>
  <c r="M215" i="1" l="1"/>
  <c r="I216" i="1"/>
  <c r="T220" i="4"/>
  <c r="G216" i="1" l="1"/>
  <c r="J221" i="4"/>
  <c r="N220" i="4"/>
  <c r="Q215" i="1"/>
  <c r="M185" i="3" l="1"/>
  <c r="R220" i="4"/>
  <c r="H221" i="4"/>
  <c r="S216" i="1"/>
  <c r="I217" i="1" l="1"/>
  <c r="M216" i="1"/>
  <c r="T221" i="4"/>
  <c r="N221" i="4" l="1"/>
  <c r="Q216" i="1"/>
  <c r="G217" i="1"/>
  <c r="J222" i="4"/>
  <c r="R221" i="4" l="1"/>
  <c r="M186" i="3"/>
  <c r="H222" i="4"/>
  <c r="S217" i="1"/>
  <c r="M217" i="1" l="1"/>
  <c r="T222" i="4"/>
  <c r="I218" i="1"/>
  <c r="G218" i="1" l="1"/>
  <c r="J223" i="4"/>
  <c r="N222" i="4"/>
  <c r="Q217" i="1"/>
  <c r="R222" i="4" l="1"/>
  <c r="M187" i="3"/>
  <c r="H223" i="4"/>
  <c r="S218" i="1"/>
  <c r="T223" i="4" l="1"/>
  <c r="I219" i="1"/>
  <c r="M218" i="1"/>
  <c r="G219" i="1" l="1"/>
  <c r="J224" i="4"/>
  <c r="Q218" i="1"/>
  <c r="N223" i="4"/>
  <c r="R223" i="4" l="1"/>
  <c r="M188" i="3"/>
  <c r="H224" i="4"/>
  <c r="S219" i="1"/>
  <c r="M219" i="1" l="1"/>
  <c r="I220" i="1"/>
  <c r="T224" i="4"/>
  <c r="G220" i="1" l="1"/>
  <c r="J225" i="4"/>
  <c r="N224" i="4"/>
  <c r="Q219" i="1"/>
  <c r="M189" i="3" l="1"/>
  <c r="R224" i="4"/>
  <c r="H225" i="4"/>
  <c r="S220" i="1"/>
  <c r="T225" i="4" l="1"/>
  <c r="I221" i="1"/>
  <c r="M220" i="1"/>
  <c r="N225" i="4" l="1"/>
  <c r="Q220" i="1"/>
  <c r="G221" i="1"/>
  <c r="J226" i="4"/>
  <c r="R225" i="4" l="1"/>
  <c r="M190" i="3"/>
  <c r="H226" i="4"/>
  <c r="S221" i="1"/>
  <c r="I222" i="1" l="1"/>
  <c r="M221" i="1"/>
  <c r="T226" i="4"/>
  <c r="Q221" i="1" l="1"/>
  <c r="N226" i="4"/>
  <c r="G222" i="1"/>
  <c r="J227" i="4"/>
  <c r="H227" i="4" l="1"/>
  <c r="S222" i="1"/>
  <c r="R226" i="4"/>
  <c r="M191" i="3"/>
  <c r="M222" i="1" l="1"/>
  <c r="I223" i="1"/>
  <c r="T227" i="4"/>
  <c r="G223" i="1" l="1"/>
  <c r="J228" i="4"/>
  <c r="N227" i="4"/>
  <c r="Q222" i="1"/>
  <c r="M192" i="3" l="1"/>
  <c r="R227" i="4"/>
  <c r="H228" i="4"/>
  <c r="S223" i="1"/>
  <c r="M223" i="1" l="1"/>
  <c r="I224" i="1"/>
  <c r="T228" i="4"/>
  <c r="G224" i="1" l="1"/>
  <c r="J229" i="4"/>
  <c r="Q223" i="1"/>
  <c r="N228" i="4"/>
  <c r="R228" i="4" l="1"/>
  <c r="M193" i="3"/>
  <c r="H229" i="4"/>
  <c r="S224" i="1"/>
  <c r="I225" i="1" l="1"/>
  <c r="M224" i="1"/>
  <c r="T229" i="4"/>
  <c r="N229" i="4" l="1"/>
  <c r="Q224" i="1"/>
  <c r="G225" i="1"/>
  <c r="J230" i="4"/>
  <c r="H230" i="4" l="1"/>
  <c r="S225" i="1"/>
  <c r="R229" i="4"/>
  <c r="M194" i="3"/>
  <c r="T230" i="4" l="1"/>
  <c r="I226" i="1"/>
  <c r="M225" i="1"/>
  <c r="Q225" i="1" l="1"/>
  <c r="N230" i="4"/>
  <c r="G226" i="1"/>
  <c r="J231" i="4"/>
  <c r="H231" i="4" l="1"/>
  <c r="S226" i="1"/>
  <c r="M195" i="3"/>
  <c r="R230" i="4"/>
  <c r="I227" i="1" l="1"/>
  <c r="T231" i="4"/>
  <c r="M226" i="1"/>
  <c r="Q226" i="1" l="1"/>
  <c r="N231" i="4"/>
  <c r="G227" i="1"/>
  <c r="J232" i="4"/>
  <c r="H232" i="4" l="1"/>
  <c r="S227" i="1"/>
  <c r="M196" i="3"/>
  <c r="R231" i="4"/>
  <c r="M227" i="1" l="1"/>
  <c r="T232" i="4"/>
  <c r="I228" i="1"/>
  <c r="G228" i="1" l="1"/>
  <c r="J233" i="4"/>
  <c r="N232" i="4"/>
  <c r="Q227" i="1"/>
  <c r="R232" i="4" l="1"/>
  <c r="M197" i="3"/>
  <c r="H233" i="4"/>
  <c r="S228" i="1"/>
  <c r="T233" i="4" l="1"/>
  <c r="I229" i="1"/>
  <c r="M228" i="1"/>
  <c r="N233" i="4" l="1"/>
  <c r="Q228" i="1"/>
  <c r="G229" i="1"/>
  <c r="J234" i="4"/>
  <c r="H234" i="4" l="1"/>
  <c r="S229" i="1"/>
  <c r="R233" i="4"/>
  <c r="M198" i="3"/>
  <c r="T234" i="4" l="1"/>
  <c r="M229" i="1"/>
  <c r="I230" i="1"/>
  <c r="N234" i="4" l="1"/>
  <c r="Q229" i="1"/>
  <c r="G230" i="1"/>
  <c r="J235" i="4"/>
  <c r="H235" i="4" l="1"/>
  <c r="S230" i="1"/>
  <c r="R234" i="4"/>
  <c r="M199" i="3"/>
  <c r="M230" i="1" l="1"/>
  <c r="I231" i="1"/>
  <c r="T235" i="4"/>
  <c r="G231" i="1" l="1"/>
  <c r="J236" i="4"/>
  <c r="N235" i="4"/>
  <c r="Q230" i="1"/>
  <c r="M200" i="3" l="1"/>
  <c r="R235" i="4"/>
  <c r="H236" i="4"/>
  <c r="S231" i="1"/>
  <c r="M231" i="1" l="1"/>
  <c r="I232" i="1"/>
  <c r="T236" i="4"/>
  <c r="G232" i="1" l="1"/>
  <c r="J237" i="4"/>
  <c r="N236" i="4"/>
  <c r="Q231" i="1"/>
  <c r="M201" i="3" l="1"/>
  <c r="R236" i="4"/>
  <c r="H237" i="4"/>
  <c r="S232" i="1"/>
  <c r="M232" i="1" l="1"/>
  <c r="I233" i="1"/>
  <c r="T237" i="4"/>
  <c r="G233" i="1" l="1"/>
  <c r="J238" i="4"/>
  <c r="N237" i="4"/>
  <c r="Q232" i="1"/>
  <c r="M202" i="3" l="1"/>
  <c r="R237" i="4"/>
  <c r="H238" i="4"/>
  <c r="S233" i="1"/>
  <c r="I234" i="1" l="1"/>
  <c r="M233" i="1"/>
  <c r="T238" i="4"/>
  <c r="N238" i="4" l="1"/>
  <c r="Q233" i="1"/>
  <c r="G234" i="1"/>
  <c r="J239" i="4"/>
  <c r="H239" i="4" l="1"/>
  <c r="S234" i="1"/>
  <c r="M203" i="3"/>
  <c r="R238" i="4"/>
  <c r="I235" i="1" l="1"/>
  <c r="T239" i="4"/>
  <c r="M234" i="1"/>
  <c r="N239" i="4" l="1"/>
  <c r="Q234" i="1"/>
  <c r="G235" i="1"/>
  <c r="J240" i="4"/>
  <c r="H240" i="4" l="1"/>
  <c r="S235" i="1"/>
  <c r="R239" i="4"/>
  <c r="M204" i="3"/>
  <c r="T240" i="4" l="1"/>
  <c r="I236" i="1"/>
  <c r="M235" i="1"/>
  <c r="N240" i="4" l="1"/>
  <c r="Q235" i="1"/>
  <c r="G236" i="1"/>
  <c r="J241" i="4"/>
  <c r="R240" i="4" l="1"/>
  <c r="M205" i="3"/>
  <c r="H241" i="4"/>
  <c r="S236" i="1"/>
  <c r="I237" i="1" l="1"/>
  <c r="T241" i="4"/>
  <c r="M236" i="1"/>
  <c r="N241" i="4" l="1"/>
  <c r="Q236" i="1"/>
  <c r="G237" i="1"/>
  <c r="J242" i="4"/>
  <c r="H242" i="4" l="1"/>
  <c r="S237" i="1"/>
  <c r="R241" i="4"/>
  <c r="M206" i="3"/>
  <c r="M237" i="1" l="1"/>
  <c r="T242" i="4"/>
  <c r="I238" i="1"/>
  <c r="G238" i="1" l="1"/>
  <c r="J243" i="4"/>
  <c r="Q237" i="1"/>
  <c r="N242" i="4"/>
  <c r="M207" i="3" l="1"/>
  <c r="R242" i="4"/>
  <c r="H243" i="4"/>
  <c r="S238" i="1"/>
  <c r="T243" i="4" l="1"/>
  <c r="I239" i="1"/>
  <c r="M238" i="1"/>
  <c r="Q238" i="1" l="1"/>
  <c r="N243" i="4"/>
  <c r="G239" i="1"/>
  <c r="J244" i="4"/>
  <c r="H244" i="4" l="1"/>
  <c r="S239" i="1"/>
  <c r="M208" i="3"/>
  <c r="R243" i="4"/>
  <c r="I240" i="1" l="1"/>
  <c r="T244" i="4"/>
  <c r="M239" i="1"/>
  <c r="N244" i="4" l="1"/>
  <c r="Q239" i="1"/>
  <c r="G240" i="1"/>
  <c r="J245" i="4"/>
  <c r="H245" i="4" l="1"/>
  <c r="S240" i="1"/>
  <c r="R244" i="4"/>
  <c r="M209" i="3"/>
  <c r="M240" i="1" l="1"/>
  <c r="T245" i="4"/>
  <c r="I241" i="1"/>
  <c r="N245" i="4" l="1"/>
  <c r="Q240" i="1"/>
  <c r="G241" i="1"/>
  <c r="J246" i="4"/>
  <c r="H246" i="4" l="1"/>
  <c r="S241" i="1"/>
  <c r="M210" i="3"/>
  <c r="R245" i="4"/>
  <c r="I242" i="1" l="1"/>
  <c r="M241" i="1"/>
  <c r="T246" i="4"/>
  <c r="N246" i="4" l="1"/>
  <c r="Q241" i="1"/>
  <c r="G242" i="1"/>
  <c r="J247" i="4"/>
  <c r="H247" i="4" l="1"/>
  <c r="S242" i="1"/>
  <c r="M211" i="3"/>
  <c r="R246" i="4"/>
  <c r="I243" i="1" l="1"/>
  <c r="T247" i="4"/>
  <c r="M242" i="1"/>
  <c r="N247" i="4" l="1"/>
  <c r="Q242" i="1"/>
  <c r="G243" i="1"/>
  <c r="J248" i="4"/>
  <c r="H248" i="4" l="1"/>
  <c r="S243" i="1"/>
  <c r="R247" i="4"/>
  <c r="M212" i="3"/>
  <c r="I244" i="1" l="1"/>
  <c r="M243" i="1"/>
  <c r="T248" i="4"/>
  <c r="N248" i="4" l="1"/>
  <c r="Q243" i="1"/>
  <c r="G244" i="1"/>
  <c r="J249" i="4"/>
  <c r="H249" i="4" l="1"/>
  <c r="S244" i="1"/>
  <c r="M213" i="3"/>
  <c r="R248" i="4"/>
  <c r="T249" i="4" l="1"/>
  <c r="M244" i="1"/>
  <c r="I245" i="1"/>
  <c r="Q244" i="1" l="1"/>
  <c r="N249" i="4"/>
  <c r="G245" i="1"/>
  <c r="J250" i="4"/>
  <c r="H250" i="4" l="1"/>
  <c r="S245" i="1"/>
  <c r="M214" i="3"/>
  <c r="R249" i="4"/>
  <c r="T250" i="4" l="1"/>
  <c r="I246" i="1"/>
  <c r="M245" i="1"/>
  <c r="N250" i="4" l="1"/>
  <c r="Q245" i="1"/>
  <c r="G246" i="1"/>
  <c r="J251" i="4"/>
  <c r="H251" i="4" l="1"/>
  <c r="S246" i="1"/>
  <c r="R250" i="4"/>
  <c r="M215" i="3"/>
  <c r="I247" i="1" l="1"/>
  <c r="T251" i="4"/>
  <c r="M246" i="1"/>
  <c r="N251" i="4" l="1"/>
  <c r="Q246" i="1"/>
  <c r="G247" i="1"/>
  <c r="J252" i="4"/>
  <c r="H252" i="4" l="1"/>
  <c r="S247" i="1"/>
  <c r="R251" i="4"/>
  <c r="M216" i="3"/>
  <c r="M247" i="1" l="1"/>
  <c r="T252" i="4"/>
  <c r="I248" i="1"/>
  <c r="G248" i="1" l="1"/>
  <c r="J253" i="4"/>
  <c r="N252" i="4"/>
  <c r="Q247" i="1"/>
  <c r="M217" i="3" l="1"/>
  <c r="R252" i="4"/>
  <c r="H253" i="4"/>
  <c r="S248" i="1"/>
  <c r="M248" i="1" l="1"/>
  <c r="T253" i="4"/>
  <c r="I249" i="1"/>
  <c r="G249" i="1" l="1"/>
  <c r="J254" i="4"/>
  <c r="Q248" i="1"/>
  <c r="N253" i="4"/>
  <c r="M218" i="3" l="1"/>
  <c r="R253" i="4"/>
  <c r="H254" i="4"/>
  <c r="S249" i="1"/>
  <c r="M249" i="1" l="1"/>
  <c r="I250" i="1"/>
  <c r="T254" i="4"/>
  <c r="G250" i="1" l="1"/>
  <c r="J255" i="4"/>
  <c r="Q249" i="1"/>
  <c r="N254" i="4"/>
  <c r="R254" i="4" l="1"/>
  <c r="M219" i="3"/>
  <c r="H255" i="4"/>
  <c r="S250" i="1"/>
  <c r="M250" i="1" l="1"/>
  <c r="T255" i="4"/>
  <c r="I251" i="1"/>
  <c r="G251" i="1" l="1"/>
  <c r="J256" i="4"/>
  <c r="Q250" i="1"/>
  <c r="N255" i="4"/>
  <c r="R255" i="4" l="1"/>
  <c r="M220" i="3"/>
  <c r="H256" i="4"/>
  <c r="S251" i="1"/>
  <c r="M251" i="1" l="1"/>
  <c r="T256" i="4"/>
  <c r="I252" i="1"/>
  <c r="G252" i="1" l="1"/>
  <c r="J257" i="4"/>
  <c r="Q251" i="1"/>
  <c r="N256" i="4"/>
  <c r="M221" i="3" l="1"/>
  <c r="R256" i="4"/>
  <c r="H257" i="4"/>
  <c r="S252" i="1"/>
  <c r="M252" i="1" l="1"/>
  <c r="I253" i="1"/>
  <c r="T257" i="4"/>
  <c r="G253" i="1" l="1"/>
  <c r="J258" i="4"/>
  <c r="N257" i="4"/>
  <c r="Q252" i="1"/>
  <c r="M222" i="3" l="1"/>
  <c r="R257" i="4"/>
  <c r="H258" i="4"/>
  <c r="S253" i="1"/>
  <c r="I254" i="1" l="1"/>
  <c r="M253" i="1"/>
  <c r="T258" i="4"/>
  <c r="Q253" i="1" l="1"/>
  <c r="N258" i="4"/>
  <c r="G254" i="1"/>
  <c r="J259" i="4"/>
  <c r="H259" i="4" l="1"/>
  <c r="S254" i="1"/>
  <c r="M223" i="3"/>
  <c r="R258" i="4"/>
  <c r="I255" i="1" l="1"/>
  <c r="T259" i="4"/>
  <c r="M254" i="1"/>
  <c r="N259" i="4" l="1"/>
  <c r="Q254" i="1"/>
  <c r="G255" i="1"/>
  <c r="J260" i="4"/>
  <c r="H260" i="4" l="1"/>
  <c r="S255" i="1"/>
  <c r="M224" i="3"/>
  <c r="R259" i="4"/>
  <c r="M255" i="1" l="1"/>
  <c r="T260" i="4"/>
  <c r="I256" i="1"/>
  <c r="G256" i="1" l="1"/>
  <c r="J261" i="4"/>
  <c r="N260" i="4"/>
  <c r="Q255" i="1"/>
  <c r="M225" i="3" l="1"/>
  <c r="R260" i="4"/>
  <c r="H261" i="4"/>
  <c r="S256" i="1"/>
  <c r="M256" i="1" l="1"/>
  <c r="I257" i="1"/>
  <c r="T261" i="4"/>
  <c r="G257" i="1" l="1"/>
  <c r="J262" i="4"/>
  <c r="Q256" i="1"/>
  <c r="N261" i="4"/>
  <c r="M226" i="3" l="1"/>
  <c r="R261" i="4"/>
  <c r="H262" i="4"/>
  <c r="S257" i="1"/>
  <c r="I258" i="1" l="1"/>
  <c r="T262" i="4"/>
  <c r="M257" i="1"/>
  <c r="N262" i="4" l="1"/>
  <c r="Q257" i="1"/>
  <c r="G258" i="1"/>
  <c r="J263" i="4"/>
  <c r="H263" i="4" l="1"/>
  <c r="S258" i="1"/>
  <c r="R262" i="4"/>
  <c r="M227" i="3"/>
  <c r="M258" i="1" l="1"/>
  <c r="T263" i="4"/>
  <c r="I259" i="1"/>
  <c r="G259" i="1" l="1"/>
  <c r="J264" i="4"/>
  <c r="N263" i="4"/>
  <c r="Q258" i="1"/>
  <c r="M228" i="3" l="1"/>
  <c r="R263" i="4"/>
  <c r="H264" i="4"/>
  <c r="S259" i="1"/>
  <c r="T264" i="4" l="1"/>
  <c r="M259" i="1"/>
  <c r="I260" i="1"/>
  <c r="G260" i="1" l="1"/>
  <c r="J265" i="4"/>
  <c r="N264" i="4"/>
  <c r="Q259" i="1"/>
  <c r="R264" i="4" l="1"/>
  <c r="M229" i="3"/>
  <c r="H265" i="4"/>
  <c r="S260" i="1"/>
  <c r="M260" i="1" l="1"/>
  <c r="I261" i="1"/>
  <c r="T265" i="4"/>
  <c r="G261" i="1" l="1"/>
  <c r="J266" i="4"/>
  <c r="N265" i="4"/>
  <c r="Q260" i="1"/>
  <c r="R265" i="4" l="1"/>
  <c r="M230" i="3"/>
  <c r="H266" i="4"/>
  <c r="S261" i="1"/>
  <c r="T266" i="4" l="1"/>
  <c r="I262" i="1"/>
  <c r="M261" i="1"/>
  <c r="G262" i="1" l="1"/>
  <c r="J267" i="4"/>
  <c r="N266" i="4"/>
  <c r="Q261" i="1"/>
  <c r="M231" i="3" l="1"/>
  <c r="R266" i="4"/>
  <c r="H267" i="4"/>
  <c r="S262" i="1"/>
  <c r="M262" i="1" l="1"/>
  <c r="T267" i="4"/>
  <c r="I263" i="1"/>
  <c r="G263" i="1" l="1"/>
  <c r="J268" i="4"/>
  <c r="N267" i="4"/>
  <c r="Q262" i="1"/>
  <c r="R267" i="4" l="1"/>
  <c r="M232" i="3"/>
  <c r="H268" i="4"/>
  <c r="S263" i="1"/>
  <c r="T268" i="4" l="1"/>
  <c r="M263" i="1"/>
  <c r="I264" i="1"/>
  <c r="N268" i="4" l="1"/>
  <c r="Q263" i="1"/>
  <c r="G264" i="1"/>
  <c r="J269" i="4"/>
  <c r="H269" i="4" l="1"/>
  <c r="S264" i="1"/>
  <c r="M233" i="3"/>
  <c r="R268" i="4"/>
  <c r="M264" i="1" l="1"/>
  <c r="T269" i="4"/>
  <c r="I265" i="1"/>
  <c r="G265" i="1" l="1"/>
  <c r="J270" i="4"/>
  <c r="N269" i="4"/>
  <c r="Q264" i="1"/>
  <c r="M234" i="3" l="1"/>
  <c r="R269" i="4"/>
  <c r="H270" i="4"/>
  <c r="S265" i="1"/>
  <c r="I266" i="1" l="1"/>
  <c r="T270" i="4"/>
  <c r="M265" i="1"/>
  <c r="N270" i="4" l="1"/>
  <c r="Q265" i="1"/>
  <c r="G266" i="1"/>
  <c r="J271" i="4"/>
  <c r="H271" i="4" l="1"/>
  <c r="S266" i="1"/>
  <c r="R270" i="4"/>
  <c r="M235" i="3"/>
  <c r="M266" i="1" l="1"/>
  <c r="I267" i="1"/>
  <c r="T271" i="4"/>
  <c r="G267" i="1" l="1"/>
  <c r="J272" i="4"/>
  <c r="N271" i="4"/>
  <c r="Q266" i="1"/>
  <c r="R271" i="4" l="1"/>
  <c r="M236" i="3"/>
  <c r="H272" i="4"/>
  <c r="S267" i="1"/>
  <c r="I268" i="1" l="1"/>
  <c r="T272" i="4"/>
  <c r="M267" i="1"/>
  <c r="N272" i="4" l="1"/>
  <c r="Q267" i="1"/>
  <c r="G268" i="1"/>
  <c r="J273" i="4"/>
  <c r="H273" i="4" l="1"/>
  <c r="S268" i="1"/>
  <c r="R272" i="4"/>
  <c r="M237" i="3"/>
  <c r="M268" i="1" l="1"/>
  <c r="T273" i="4"/>
  <c r="I269" i="1"/>
  <c r="G269" i="1" l="1"/>
  <c r="J274" i="4"/>
  <c r="Q268" i="1"/>
  <c r="N273" i="4"/>
  <c r="M238" i="3" l="1"/>
  <c r="R273" i="4"/>
  <c r="H274" i="4"/>
  <c r="S269" i="1"/>
  <c r="I270" i="1" l="1"/>
  <c r="M269" i="1"/>
  <c r="T274" i="4"/>
  <c r="N274" i="4" l="1"/>
  <c r="Q269" i="1"/>
  <c r="G270" i="1"/>
  <c r="J275" i="4"/>
  <c r="H275" i="4" l="1"/>
  <c r="S270" i="1"/>
  <c r="R274" i="4"/>
  <c r="M239" i="3"/>
  <c r="M270" i="1" l="1"/>
  <c r="T275" i="4"/>
  <c r="I271" i="1"/>
  <c r="G271" i="1" l="1"/>
  <c r="J276" i="4"/>
  <c r="N275" i="4"/>
  <c r="Q270" i="1"/>
  <c r="M240" i="3" l="1"/>
  <c r="R275" i="4"/>
  <c r="H276" i="4"/>
  <c r="S271" i="1"/>
  <c r="I272" i="1" l="1"/>
  <c r="T276" i="4"/>
  <c r="M271" i="1"/>
  <c r="N276" i="4" l="1"/>
  <c r="Q271" i="1"/>
  <c r="G272" i="1"/>
  <c r="J277" i="4"/>
  <c r="H277" i="4" l="1"/>
  <c r="S272" i="1"/>
  <c r="M241" i="3"/>
  <c r="R276" i="4"/>
  <c r="I273" i="1" l="1"/>
  <c r="M272" i="1"/>
  <c r="T277" i="4"/>
  <c r="N277" i="4" l="1"/>
  <c r="Q272" i="1"/>
  <c r="G273" i="1"/>
  <c r="J278" i="4"/>
  <c r="H278" i="4" l="1"/>
  <c r="S273" i="1"/>
  <c r="M242" i="3"/>
  <c r="R277" i="4"/>
  <c r="T278" i="4" l="1"/>
  <c r="M273" i="1"/>
  <c r="I274" i="1"/>
  <c r="G274" i="1" l="1"/>
  <c r="J279" i="4"/>
  <c r="N278" i="4"/>
  <c r="Q273" i="1"/>
  <c r="M243" i="3" l="1"/>
  <c r="R278" i="4"/>
  <c r="H279" i="4"/>
  <c r="S274" i="1"/>
  <c r="M274" i="1" l="1"/>
  <c r="I275" i="1"/>
  <c r="T279" i="4"/>
  <c r="G275" i="1" l="1"/>
  <c r="J280" i="4"/>
  <c r="N279" i="4"/>
  <c r="Q274" i="1"/>
  <c r="R279" i="4" l="1"/>
  <c r="M244" i="3"/>
  <c r="H280" i="4"/>
  <c r="S275" i="1"/>
  <c r="T280" i="4" l="1"/>
  <c r="M275" i="1"/>
  <c r="I276" i="1"/>
  <c r="G276" i="1" l="1"/>
  <c r="J281" i="4"/>
  <c r="N280" i="4"/>
  <c r="Q275" i="1"/>
  <c r="M245" i="3" l="1"/>
  <c r="R280" i="4"/>
  <c r="H281" i="4"/>
  <c r="S276" i="1"/>
  <c r="I277" i="1" l="1"/>
  <c r="M276" i="1"/>
  <c r="T281" i="4"/>
  <c r="N281" i="4" l="1"/>
  <c r="Q276" i="1"/>
  <c r="G277" i="1"/>
  <c r="J282" i="4"/>
  <c r="H282" i="4" l="1"/>
  <c r="S277" i="1"/>
  <c r="R281" i="4"/>
  <c r="M246" i="3"/>
  <c r="T282" i="4" l="1"/>
  <c r="I278" i="1"/>
  <c r="M277" i="1"/>
  <c r="G278" i="1" l="1"/>
  <c r="J283" i="4"/>
  <c r="N282" i="4"/>
  <c r="Q277" i="1"/>
  <c r="M247" i="3" l="1"/>
  <c r="R282" i="4"/>
  <c r="H283" i="4"/>
  <c r="S278" i="1"/>
  <c r="M278" i="1" l="1"/>
  <c r="I279" i="1"/>
  <c r="T283" i="4"/>
  <c r="G279" i="1" l="1"/>
  <c r="J284" i="4"/>
  <c r="N283" i="4"/>
  <c r="Q278" i="1"/>
  <c r="R283" i="4" l="1"/>
  <c r="M248" i="3"/>
  <c r="H284" i="4"/>
  <c r="S279" i="1"/>
  <c r="M279" i="1" l="1"/>
  <c r="T284" i="4"/>
  <c r="I280" i="1"/>
  <c r="G280" i="1" l="1"/>
  <c r="J285" i="4"/>
  <c r="N284" i="4"/>
  <c r="Q279" i="1"/>
  <c r="M249" i="3" l="1"/>
  <c r="R284" i="4"/>
  <c r="H285" i="4"/>
  <c r="S280" i="1"/>
  <c r="I281" i="1" l="1"/>
  <c r="M280" i="1"/>
  <c r="T285" i="4"/>
  <c r="N285" i="4" l="1"/>
  <c r="Q280" i="1"/>
  <c r="G281" i="1"/>
  <c r="J286" i="4"/>
  <c r="R285" i="4" l="1"/>
  <c r="M250" i="3"/>
  <c r="H286" i="4"/>
  <c r="S281" i="1"/>
  <c r="M281" i="1" l="1"/>
  <c r="I282" i="1"/>
  <c r="T286" i="4"/>
  <c r="G282" i="1" l="1"/>
  <c r="J287" i="4"/>
  <c r="Q281" i="1"/>
  <c r="N286" i="4"/>
  <c r="M251" i="3" l="1"/>
  <c r="R286" i="4"/>
  <c r="H287" i="4"/>
  <c r="S282" i="1"/>
  <c r="T287" i="4" l="1"/>
  <c r="M282" i="1"/>
  <c r="I283" i="1"/>
  <c r="N287" i="4" l="1"/>
  <c r="Q282" i="1"/>
  <c r="G283" i="1"/>
  <c r="J288" i="4"/>
  <c r="M252" i="3" l="1"/>
  <c r="R287" i="4"/>
  <c r="H288" i="4"/>
  <c r="S283" i="1"/>
  <c r="T288" i="4" l="1"/>
  <c r="M283" i="1"/>
  <c r="I284" i="1"/>
  <c r="N288" i="4" l="1"/>
  <c r="Q283" i="1"/>
  <c r="G284" i="1"/>
  <c r="J289" i="4"/>
  <c r="H289" i="4" l="1"/>
  <c r="S284" i="1"/>
  <c r="R288" i="4"/>
  <c r="M253" i="3"/>
  <c r="I285" i="1" l="1"/>
  <c r="M284" i="1"/>
  <c r="T289" i="4"/>
  <c r="N289" i="4" l="1"/>
  <c r="Q284" i="1"/>
  <c r="G285" i="1"/>
  <c r="J290" i="4"/>
  <c r="M254" i="3" l="1"/>
  <c r="R289" i="4"/>
  <c r="H290" i="4"/>
  <c r="S285" i="1"/>
  <c r="M285" i="1" l="1"/>
  <c r="I286" i="1"/>
  <c r="T290" i="4"/>
  <c r="G286" i="1" l="1"/>
  <c r="J291" i="4"/>
  <c r="N290" i="4"/>
  <c r="Q285" i="1"/>
  <c r="M255" i="3" l="1"/>
  <c r="R290" i="4"/>
  <c r="H291" i="4"/>
  <c r="S286" i="1"/>
  <c r="T291" i="4" l="1"/>
  <c r="I287" i="1"/>
  <c r="M286" i="1"/>
  <c r="N291" i="4" l="1"/>
  <c r="Q286" i="1"/>
  <c r="G287" i="1"/>
  <c r="J292" i="4"/>
  <c r="H292" i="4" l="1"/>
  <c r="S287" i="1"/>
  <c r="R291" i="4"/>
  <c r="M256" i="3"/>
  <c r="I288" i="1" l="1"/>
  <c r="M287" i="1"/>
  <c r="T292" i="4"/>
  <c r="N292" i="4" l="1"/>
  <c r="Q287" i="1"/>
  <c r="G288" i="1"/>
  <c r="J293" i="4"/>
  <c r="H293" i="4" l="1"/>
  <c r="S288" i="1"/>
  <c r="R292" i="4"/>
  <c r="M257" i="3"/>
  <c r="M288" i="1" l="1"/>
  <c r="I289" i="1"/>
  <c r="T293" i="4"/>
  <c r="G289" i="1" l="1"/>
  <c r="J294" i="4"/>
  <c r="N293" i="4"/>
  <c r="Q288" i="1"/>
  <c r="R293" i="4" l="1"/>
  <c r="M258" i="3"/>
  <c r="H294" i="4"/>
  <c r="S289" i="1"/>
  <c r="M289" i="1" l="1"/>
  <c r="T294" i="4"/>
  <c r="I290" i="1"/>
  <c r="G290" i="1" l="1"/>
  <c r="J295" i="4"/>
  <c r="N294" i="4"/>
  <c r="Q289" i="1"/>
  <c r="M259" i="3" l="1"/>
  <c r="R294" i="4"/>
  <c r="H295" i="4"/>
  <c r="S290" i="1"/>
  <c r="I291" i="1" l="1"/>
  <c r="M290" i="1"/>
  <c r="T295" i="4"/>
  <c r="N295" i="4" l="1"/>
  <c r="Q290" i="1"/>
  <c r="G291" i="1"/>
  <c r="J296" i="4"/>
  <c r="H296" i="4" l="1"/>
  <c r="S291" i="1"/>
  <c r="R295" i="4"/>
  <c r="M260" i="3"/>
  <c r="M291" i="1" l="1"/>
  <c r="T296" i="4"/>
  <c r="I292" i="1"/>
  <c r="G292" i="1" l="1"/>
  <c r="J297" i="4"/>
  <c r="Q291" i="1"/>
  <c r="N296" i="4"/>
  <c r="M261" i="3" l="1"/>
  <c r="R296" i="4"/>
  <c r="H297" i="4"/>
  <c r="S292" i="1"/>
  <c r="I293" i="1" l="1"/>
  <c r="T297" i="4"/>
  <c r="M292" i="1"/>
  <c r="N297" i="4" l="1"/>
  <c r="Q292" i="1"/>
  <c r="G293" i="1"/>
  <c r="J298" i="4"/>
  <c r="H298" i="4" l="1"/>
  <c r="S293" i="1"/>
  <c r="R297" i="4"/>
  <c r="M262" i="3"/>
  <c r="I294" i="1" l="1"/>
  <c r="T298" i="4"/>
  <c r="M293" i="1"/>
  <c r="N298" i="4" l="1"/>
  <c r="Q293" i="1"/>
  <c r="G294" i="1"/>
  <c r="J299" i="4"/>
  <c r="H299" i="4" l="1"/>
  <c r="S294" i="1"/>
  <c r="R298" i="4"/>
  <c r="M263" i="3"/>
  <c r="M294" i="1" l="1"/>
  <c r="I295" i="1"/>
  <c r="T299" i="4"/>
  <c r="G295" i="1" l="1"/>
  <c r="J300" i="4"/>
  <c r="N299" i="4"/>
  <c r="Q294" i="1"/>
  <c r="R299" i="4" l="1"/>
  <c r="M264" i="3"/>
  <c r="H300" i="4"/>
  <c r="S295" i="1"/>
  <c r="M295" i="1" l="1"/>
  <c r="T300" i="4"/>
  <c r="I296" i="1"/>
  <c r="G296" i="1" l="1"/>
  <c r="J301" i="4"/>
  <c r="N300" i="4"/>
  <c r="Q295" i="1"/>
  <c r="M265" i="3" l="1"/>
  <c r="R300" i="4"/>
  <c r="H301" i="4"/>
  <c r="S296" i="1"/>
  <c r="M296" i="1" l="1"/>
  <c r="I297" i="1"/>
  <c r="T301" i="4"/>
  <c r="G297" i="1" l="1"/>
  <c r="J302" i="4"/>
  <c r="N301" i="4"/>
  <c r="Q296" i="1"/>
  <c r="M266" i="3" l="1"/>
  <c r="R301" i="4"/>
  <c r="H302" i="4"/>
  <c r="S297" i="1"/>
  <c r="M297" i="1" l="1"/>
  <c r="T302" i="4"/>
  <c r="I298" i="1"/>
  <c r="G298" i="1" l="1"/>
  <c r="J303" i="4"/>
  <c r="Q297" i="1"/>
  <c r="N302" i="4"/>
  <c r="M267" i="3" l="1"/>
  <c r="R302" i="4"/>
  <c r="H303" i="4"/>
  <c r="S298" i="1"/>
  <c r="M298" i="1" l="1"/>
  <c r="T303" i="4"/>
  <c r="I299" i="1"/>
  <c r="G299" i="1" l="1"/>
  <c r="J304" i="4"/>
  <c r="N303" i="4"/>
  <c r="Q298" i="1"/>
  <c r="M268" i="3" l="1"/>
  <c r="R303" i="4"/>
  <c r="H304" i="4"/>
  <c r="S299" i="1"/>
  <c r="M299" i="1" l="1"/>
  <c r="I300" i="1"/>
  <c r="T304" i="4"/>
  <c r="G300" i="1" l="1"/>
  <c r="J305" i="4"/>
  <c r="Q299" i="1"/>
  <c r="N304" i="4"/>
  <c r="M269" i="3" l="1"/>
  <c r="R304" i="4"/>
  <c r="H305" i="4"/>
  <c r="S300" i="1"/>
  <c r="I301" i="1" l="1"/>
  <c r="M300" i="1"/>
  <c r="T305" i="4"/>
  <c r="Q300" i="1" l="1"/>
  <c r="N305" i="4"/>
  <c r="G301" i="1"/>
  <c r="J306" i="4"/>
  <c r="H306" i="4" l="1"/>
  <c r="S301" i="1"/>
  <c r="R305" i="4"/>
  <c r="M270" i="3"/>
  <c r="I302" i="1" l="1"/>
  <c r="T306" i="4"/>
  <c r="M301" i="1"/>
  <c r="N306" i="4" l="1"/>
  <c r="Q301" i="1"/>
  <c r="G302" i="1"/>
  <c r="J307" i="4"/>
  <c r="H307" i="4" l="1"/>
  <c r="S302" i="1"/>
  <c r="M271" i="3"/>
  <c r="R306" i="4"/>
  <c r="I303" i="1" l="1"/>
  <c r="T307" i="4"/>
  <c r="M302" i="1"/>
  <c r="N307" i="4" l="1"/>
  <c r="Q302" i="1"/>
  <c r="G303" i="1"/>
  <c r="J308" i="4"/>
  <c r="H308" i="4" l="1"/>
  <c r="S303" i="1"/>
  <c r="R307" i="4"/>
  <c r="M272" i="3"/>
  <c r="I304" i="1" l="1"/>
  <c r="T308" i="4"/>
  <c r="M303" i="1"/>
  <c r="N308" i="4" l="1"/>
  <c r="Q303" i="1"/>
  <c r="G304" i="1"/>
  <c r="J309" i="4"/>
  <c r="H309" i="4" l="1"/>
  <c r="S304" i="1"/>
  <c r="M273" i="3"/>
  <c r="R308" i="4"/>
  <c r="I305" i="1" l="1"/>
  <c r="T309" i="4"/>
  <c r="M304" i="1"/>
  <c r="Q304" i="1" l="1"/>
  <c r="N309" i="4"/>
  <c r="G305" i="1"/>
  <c r="J310" i="4"/>
  <c r="H310" i="4" l="1"/>
  <c r="S305" i="1"/>
  <c r="M274" i="3"/>
  <c r="R309" i="4"/>
  <c r="M305" i="1" l="1"/>
  <c r="I306" i="1"/>
  <c r="T310" i="4"/>
  <c r="G306" i="1" l="1"/>
  <c r="J311" i="4"/>
  <c r="N310" i="4"/>
  <c r="Q305" i="1"/>
  <c r="R310" i="4" l="1"/>
  <c r="M275" i="3"/>
  <c r="H311" i="4"/>
  <c r="S306" i="1"/>
  <c r="M306" i="1" l="1"/>
  <c r="T311" i="4"/>
  <c r="I307" i="1"/>
  <c r="G307" i="1" l="1"/>
  <c r="J312" i="4"/>
  <c r="N311" i="4"/>
  <c r="Q306" i="1"/>
  <c r="R311" i="4" l="1"/>
  <c r="M276" i="3"/>
  <c r="H312" i="4"/>
  <c r="S307" i="1"/>
  <c r="M307" i="1" l="1"/>
  <c r="I308" i="1"/>
  <c r="T312" i="4"/>
  <c r="G308" i="1" l="1"/>
  <c r="J313" i="4"/>
  <c r="N312" i="4"/>
  <c r="Q307" i="1"/>
  <c r="M277" i="3" l="1"/>
  <c r="R312" i="4"/>
  <c r="H313" i="4"/>
  <c r="S308" i="1"/>
  <c r="I309" i="1" l="1"/>
  <c r="T313" i="4"/>
  <c r="M308" i="1"/>
  <c r="N313" i="4" l="1"/>
  <c r="Q308" i="1"/>
  <c r="G309" i="1"/>
  <c r="J314" i="4"/>
  <c r="H314" i="4" l="1"/>
  <c r="S309" i="1"/>
  <c r="R313" i="4"/>
  <c r="M278" i="3"/>
  <c r="M309" i="1" l="1"/>
  <c r="T314" i="4"/>
  <c r="I310" i="1"/>
  <c r="G310" i="1" l="1"/>
  <c r="J315" i="4"/>
  <c r="N314" i="4"/>
  <c r="Q309" i="1"/>
  <c r="M279" i="3" l="1"/>
  <c r="R314" i="4"/>
  <c r="H315" i="4"/>
  <c r="S310" i="1"/>
  <c r="T315" i="4" l="1"/>
  <c r="M310" i="1"/>
  <c r="I311" i="1"/>
  <c r="Q310" i="1" l="1"/>
  <c r="N315" i="4"/>
  <c r="G311" i="1"/>
  <c r="J316" i="4"/>
  <c r="H316" i="4" l="1"/>
  <c r="S311" i="1"/>
  <c r="R315" i="4"/>
  <c r="M280" i="3"/>
  <c r="M311" i="1" l="1"/>
  <c r="T316" i="4"/>
  <c r="I312" i="1"/>
  <c r="G312" i="1" l="1"/>
  <c r="J317" i="4"/>
  <c r="N316" i="4"/>
  <c r="Q311" i="1"/>
  <c r="R316" i="4" l="1"/>
  <c r="M281" i="3"/>
  <c r="H317" i="4"/>
  <c r="S312" i="1"/>
  <c r="T317" i="4" l="1"/>
  <c r="I313" i="1"/>
  <c r="M312" i="1"/>
  <c r="Q312" i="1" l="1"/>
  <c r="N317" i="4"/>
  <c r="G313" i="1"/>
  <c r="J318" i="4"/>
  <c r="H318" i="4" l="1"/>
  <c r="S313" i="1"/>
  <c r="R317" i="4"/>
  <c r="M282" i="3"/>
  <c r="I314" i="1" l="1"/>
  <c r="T318" i="4"/>
  <c r="M313" i="1"/>
  <c r="Q313" i="1" l="1"/>
  <c r="N318" i="4"/>
  <c r="G314" i="1"/>
  <c r="J319" i="4"/>
  <c r="H319" i="4" l="1"/>
  <c r="S314" i="1"/>
  <c r="R318" i="4"/>
  <c r="M283" i="3"/>
  <c r="I315" i="1" l="1"/>
  <c r="M314" i="1"/>
  <c r="T319" i="4"/>
  <c r="N319" i="4" l="1"/>
  <c r="Q314" i="1"/>
  <c r="G315" i="1"/>
  <c r="J320" i="4"/>
  <c r="M284" i="3" l="1"/>
  <c r="R319" i="4"/>
  <c r="H320" i="4"/>
  <c r="S315" i="1"/>
  <c r="M315" i="1" l="1"/>
  <c r="T320" i="4"/>
  <c r="I316" i="1"/>
  <c r="G316" i="1" l="1"/>
  <c r="J321" i="4"/>
  <c r="N320" i="4"/>
  <c r="Q315" i="1"/>
  <c r="M285" i="3" l="1"/>
  <c r="R320" i="4"/>
  <c r="H321" i="4"/>
  <c r="S316" i="1"/>
  <c r="T321" i="4" l="1"/>
  <c r="I317" i="1"/>
  <c r="M316" i="1"/>
  <c r="N321" i="4" l="1"/>
  <c r="Q316" i="1"/>
  <c r="G317" i="1"/>
  <c r="J322" i="4"/>
  <c r="H322" i="4" l="1"/>
  <c r="S317" i="1"/>
  <c r="R321" i="4"/>
  <c r="M286" i="3"/>
  <c r="I318" i="1" l="1"/>
  <c r="T322" i="4"/>
  <c r="M317" i="1"/>
  <c r="N322" i="4" l="1"/>
  <c r="Q317" i="1"/>
  <c r="G318" i="1"/>
  <c r="J323" i="4"/>
  <c r="H323" i="4" l="1"/>
  <c r="S318" i="1"/>
  <c r="R322" i="4"/>
  <c r="M287" i="3"/>
  <c r="T323" i="4" l="1"/>
  <c r="I319" i="1"/>
  <c r="M318" i="1"/>
  <c r="Q318" i="1" l="1"/>
  <c r="N323" i="4"/>
  <c r="G319" i="1"/>
  <c r="J324" i="4"/>
  <c r="H324" i="4" l="1"/>
  <c r="S319" i="1"/>
  <c r="R323" i="4"/>
  <c r="M288" i="3"/>
  <c r="M319" i="1" l="1"/>
  <c r="I320" i="1"/>
  <c r="T324" i="4"/>
  <c r="G320" i="1" l="1"/>
  <c r="J325" i="4"/>
  <c r="N324" i="4"/>
  <c r="Q319" i="1"/>
  <c r="H325" i="4" l="1"/>
  <c r="S320" i="1"/>
  <c r="M289" i="3"/>
  <c r="R324" i="4"/>
  <c r="T325" i="4" l="1"/>
  <c r="M320" i="1"/>
  <c r="I321" i="1"/>
  <c r="G321" i="1" l="1"/>
  <c r="J326" i="4"/>
  <c r="N325" i="4"/>
  <c r="Q320" i="1"/>
  <c r="M290" i="3" l="1"/>
  <c r="R325" i="4"/>
  <c r="H326" i="4"/>
  <c r="S321" i="1"/>
  <c r="M321" i="1" l="1"/>
  <c r="T326" i="4"/>
  <c r="I322" i="1"/>
  <c r="G322" i="1" l="1"/>
  <c r="J327" i="4"/>
  <c r="Q321" i="1"/>
  <c r="N326" i="4"/>
  <c r="M291" i="3" l="1"/>
  <c r="R326" i="4"/>
  <c r="H327" i="4"/>
  <c r="S322" i="1"/>
  <c r="M322" i="1" l="1"/>
  <c r="I323" i="1"/>
  <c r="T327" i="4"/>
  <c r="G323" i="1" l="1"/>
  <c r="J328" i="4"/>
  <c r="N327" i="4"/>
  <c r="Q322" i="1"/>
  <c r="R327" i="4" l="1"/>
  <c r="M292" i="3"/>
  <c r="H328" i="4"/>
  <c r="S323" i="1"/>
  <c r="M323" i="1" l="1"/>
  <c r="T328" i="4"/>
  <c r="I324" i="1"/>
  <c r="G324" i="1" l="1"/>
  <c r="J329" i="4"/>
  <c r="Q323" i="1"/>
  <c r="N328" i="4"/>
  <c r="R328" i="4" l="1"/>
  <c r="M293" i="3"/>
  <c r="H329" i="4"/>
  <c r="S324" i="1"/>
  <c r="M324" i="1" l="1"/>
  <c r="I325" i="1"/>
  <c r="T329" i="4"/>
  <c r="G325" i="1" l="1"/>
  <c r="J330" i="4"/>
  <c r="N329" i="4"/>
  <c r="Q324" i="1"/>
  <c r="R329" i="4" l="1"/>
  <c r="M294" i="3"/>
  <c r="H330" i="4"/>
  <c r="S325" i="1"/>
  <c r="T330" i="4" l="1"/>
  <c r="I326" i="1"/>
  <c r="M325" i="1"/>
  <c r="N330" i="4" l="1"/>
  <c r="Q325" i="1"/>
  <c r="G326" i="1"/>
  <c r="J331" i="4"/>
  <c r="M295" i="3" l="1"/>
  <c r="R330" i="4"/>
  <c r="H331" i="4"/>
  <c r="S326" i="1"/>
  <c r="I327" i="1" l="1"/>
  <c r="T331" i="4"/>
  <c r="M326" i="1"/>
  <c r="N331" i="4" l="1"/>
  <c r="Q326" i="1"/>
  <c r="G327" i="1"/>
  <c r="J332" i="4"/>
  <c r="R331" i="4" l="1"/>
  <c r="M296" i="3"/>
  <c r="H332" i="4"/>
  <c r="S327" i="1"/>
  <c r="M327" i="1" l="1"/>
  <c r="T332" i="4"/>
  <c r="I328" i="1"/>
  <c r="G328" i="1" l="1"/>
  <c r="J333" i="4"/>
  <c r="Q327" i="1"/>
  <c r="N332" i="4"/>
  <c r="M297" i="3" l="1"/>
  <c r="R332" i="4"/>
  <c r="H333" i="4"/>
  <c r="S328" i="1"/>
  <c r="I329" i="1" l="1"/>
  <c r="T333" i="4"/>
  <c r="M328" i="1"/>
  <c r="N333" i="4" l="1"/>
  <c r="Q328" i="1"/>
  <c r="G329" i="1"/>
  <c r="J334" i="4"/>
  <c r="M298" i="3" l="1"/>
  <c r="R333" i="4"/>
  <c r="H334" i="4"/>
  <c r="S329" i="1"/>
  <c r="I330" i="1" l="1"/>
  <c r="M329" i="1"/>
  <c r="T334" i="4"/>
  <c r="N334" i="4" l="1"/>
  <c r="Q329" i="1"/>
  <c r="G330" i="1"/>
  <c r="J335" i="4"/>
  <c r="H335" i="4" l="1"/>
  <c r="S330" i="1"/>
  <c r="M299" i="3"/>
  <c r="R334" i="4"/>
  <c r="I331" i="1" l="1"/>
  <c r="M330" i="1"/>
  <c r="T335" i="4"/>
  <c r="N335" i="4" l="1"/>
  <c r="Q330" i="1"/>
  <c r="G331" i="1"/>
  <c r="J336" i="4"/>
  <c r="H336" i="4" l="1"/>
  <c r="S331" i="1"/>
  <c r="R335" i="4"/>
  <c r="M300" i="3"/>
  <c r="M331" i="1" l="1"/>
  <c r="T336" i="4"/>
  <c r="I332" i="1"/>
  <c r="G332" i="1" l="1"/>
  <c r="J337" i="4"/>
  <c r="Q331" i="1"/>
  <c r="N336" i="4"/>
  <c r="R336" i="4" l="1"/>
  <c r="M301" i="3"/>
  <c r="H337" i="4"/>
  <c r="S332" i="1"/>
  <c r="M332" i="1" l="1"/>
  <c r="I333" i="1"/>
  <c r="T337" i="4"/>
  <c r="G333" i="1" l="1"/>
  <c r="J338" i="4"/>
  <c r="Q332" i="1"/>
  <c r="N337" i="4"/>
  <c r="M302" i="3" l="1"/>
  <c r="R337" i="4"/>
  <c r="H338" i="4"/>
  <c r="S333" i="1"/>
  <c r="M333" i="1" l="1"/>
  <c r="I334" i="1"/>
  <c r="T338" i="4"/>
  <c r="G334" i="1" l="1"/>
  <c r="J339" i="4"/>
  <c r="N338" i="4"/>
  <c r="Q333" i="1"/>
  <c r="M303" i="3" l="1"/>
  <c r="R338" i="4"/>
  <c r="H339" i="4"/>
  <c r="S334" i="1"/>
  <c r="T339" i="4" l="1"/>
  <c r="I335" i="1"/>
  <c r="M334" i="1"/>
  <c r="N339" i="4" l="1"/>
  <c r="Q334" i="1"/>
  <c r="G335" i="1"/>
  <c r="J340" i="4"/>
  <c r="H340" i="4" l="1"/>
  <c r="S335" i="1"/>
  <c r="M304" i="3"/>
  <c r="R339" i="4"/>
  <c r="M335" i="1" l="1"/>
  <c r="I336" i="1"/>
  <c r="T340" i="4"/>
  <c r="G336" i="1" l="1"/>
  <c r="J341" i="4"/>
  <c r="N340" i="4"/>
  <c r="Q335" i="1"/>
  <c r="R340" i="4" l="1"/>
  <c r="M305" i="3"/>
  <c r="H341" i="4"/>
  <c r="S336" i="1"/>
  <c r="M336" i="1" l="1"/>
  <c r="T341" i="4"/>
  <c r="I337" i="1"/>
  <c r="G337" i="1" l="1"/>
  <c r="J342" i="4"/>
  <c r="N341" i="4"/>
  <c r="Q336" i="1"/>
  <c r="M306" i="3" l="1"/>
  <c r="R341" i="4"/>
  <c r="H342" i="4"/>
  <c r="S337" i="1"/>
  <c r="I338" i="1" l="1"/>
  <c r="M337" i="1"/>
  <c r="T342" i="4"/>
  <c r="N342" i="4" l="1"/>
  <c r="Q337" i="1"/>
  <c r="G338" i="1"/>
  <c r="J343" i="4"/>
  <c r="H343" i="4" l="1"/>
  <c r="S338" i="1"/>
  <c r="M307" i="3"/>
  <c r="R342" i="4"/>
  <c r="M338" i="1" l="1"/>
  <c r="I339" i="1"/>
  <c r="T343" i="4"/>
  <c r="G339" i="1" l="1"/>
  <c r="J344" i="4"/>
  <c r="N343" i="4"/>
  <c r="Q338" i="1"/>
  <c r="M308" i="3" l="1"/>
  <c r="R343" i="4"/>
  <c r="H344" i="4"/>
  <c r="S339" i="1"/>
  <c r="I340" i="1" l="1"/>
  <c r="M339" i="1"/>
  <c r="T344" i="4"/>
  <c r="N344" i="4" l="1"/>
  <c r="Q339" i="1"/>
  <c r="G340" i="1"/>
  <c r="J345" i="4"/>
  <c r="M309" i="3" l="1"/>
  <c r="R344" i="4"/>
  <c r="H345" i="4"/>
  <c r="S340" i="1"/>
  <c r="I341" i="1" l="1"/>
  <c r="T345" i="4"/>
  <c r="M340" i="1"/>
  <c r="N345" i="4" l="1"/>
  <c r="Q340" i="1"/>
  <c r="G341" i="1"/>
  <c r="J346" i="4"/>
  <c r="M310" i="3" l="1"/>
  <c r="R345" i="4"/>
  <c r="H346" i="4"/>
  <c r="S341" i="1"/>
  <c r="M341" i="1" l="1"/>
  <c r="T346" i="4"/>
  <c r="I342" i="1"/>
  <c r="G342" i="1" l="1"/>
  <c r="J347" i="4"/>
  <c r="N346" i="4"/>
  <c r="Q341" i="1"/>
  <c r="M311" i="3" l="1"/>
  <c r="R346" i="4"/>
  <c r="H347" i="4"/>
  <c r="S342" i="1"/>
  <c r="I343" i="1" l="1"/>
  <c r="M342" i="1"/>
  <c r="T347" i="4"/>
  <c r="N347" i="4" l="1"/>
  <c r="Q342" i="1"/>
  <c r="G343" i="1"/>
  <c r="J348" i="4"/>
  <c r="H348" i="4" l="1"/>
  <c r="S343" i="1"/>
  <c r="M312" i="3"/>
  <c r="R347" i="4"/>
  <c r="I344" i="1" l="1"/>
  <c r="T348" i="4"/>
  <c r="M343" i="1"/>
  <c r="Q343" i="1" l="1"/>
  <c r="N348" i="4"/>
  <c r="G344" i="1"/>
  <c r="J349" i="4"/>
  <c r="H349" i="4" l="1"/>
  <c r="S344" i="1"/>
  <c r="R348" i="4"/>
  <c r="M313" i="3"/>
  <c r="I345" i="1" l="1"/>
  <c r="T349" i="4"/>
  <c r="M344" i="1"/>
  <c r="N349" i="4" l="1"/>
  <c r="Q344" i="1"/>
  <c r="G345" i="1"/>
  <c r="J350" i="4"/>
  <c r="H350" i="4" l="1"/>
  <c r="S345" i="1"/>
  <c r="R349" i="4"/>
  <c r="M314" i="3"/>
  <c r="M345" i="1" l="1"/>
  <c r="I346" i="1"/>
  <c r="T350" i="4"/>
  <c r="G346" i="1" l="1"/>
  <c r="J351" i="4"/>
  <c r="N350" i="4"/>
  <c r="Q345" i="1"/>
  <c r="R350" i="4" l="1"/>
  <c r="M315" i="3"/>
  <c r="H351" i="4"/>
  <c r="S346" i="1"/>
  <c r="T351" i="4" l="1"/>
  <c r="I347" i="1"/>
  <c r="M346" i="1"/>
  <c r="N351" i="4" l="1"/>
  <c r="Q346" i="1"/>
  <c r="G347" i="1"/>
  <c r="J352" i="4"/>
  <c r="H352" i="4" l="1"/>
  <c r="S347" i="1"/>
  <c r="M316" i="3"/>
  <c r="R351" i="4"/>
  <c r="I348" i="1" l="1"/>
  <c r="M347" i="1"/>
  <c r="T352" i="4"/>
  <c r="N352" i="4" l="1"/>
  <c r="Q347" i="1"/>
  <c r="G348" i="1"/>
  <c r="J353" i="4"/>
  <c r="M317" i="3" l="1"/>
  <c r="R352" i="4"/>
  <c r="H353" i="4"/>
  <c r="S348" i="1"/>
  <c r="I349" i="1" l="1"/>
  <c r="T353" i="4"/>
  <c r="M348" i="1"/>
  <c r="N353" i="4" l="1"/>
  <c r="Q348" i="1"/>
  <c r="G349" i="1"/>
  <c r="J354" i="4"/>
  <c r="M318" i="3" l="1"/>
  <c r="R353" i="4"/>
  <c r="H354" i="4"/>
  <c r="S349" i="1"/>
  <c r="M349" i="1" l="1"/>
  <c r="T354" i="4"/>
  <c r="I350" i="1"/>
  <c r="G350" i="1" l="1"/>
  <c r="J355" i="4"/>
  <c r="N354" i="4"/>
  <c r="Q349" i="1"/>
  <c r="R354" i="4" l="1"/>
  <c r="M319" i="3"/>
  <c r="H355" i="4"/>
  <c r="S350" i="1"/>
  <c r="M350" i="1" l="1"/>
  <c r="T355" i="4"/>
  <c r="I351" i="1"/>
  <c r="G351" i="1" l="1"/>
  <c r="J356" i="4"/>
  <c r="N355" i="4"/>
  <c r="Q350" i="1"/>
  <c r="M320" i="3" l="1"/>
  <c r="R355" i="4"/>
  <c r="H356" i="4"/>
  <c r="S351" i="1"/>
  <c r="M351" i="1" l="1"/>
  <c r="T356" i="4"/>
  <c r="I352" i="1"/>
  <c r="G352" i="1" l="1"/>
  <c r="J357" i="4"/>
  <c r="N356" i="4"/>
  <c r="Q351" i="1"/>
  <c r="R356" i="4" l="1"/>
  <c r="M321" i="3"/>
  <c r="H357" i="4"/>
  <c r="S352" i="1"/>
  <c r="M352" i="1" l="1"/>
  <c r="I353" i="1"/>
  <c r="T357" i="4"/>
  <c r="G353" i="1" l="1"/>
  <c r="J358" i="4"/>
  <c r="N357" i="4"/>
  <c r="Q352" i="1"/>
  <c r="M322" i="3" l="1"/>
  <c r="R357" i="4"/>
  <c r="H358" i="4"/>
  <c r="S353" i="1"/>
  <c r="I354" i="1" l="1"/>
  <c r="M353" i="1"/>
  <c r="T358" i="4"/>
  <c r="N358" i="4" l="1"/>
  <c r="Q353" i="1"/>
  <c r="G354" i="1"/>
  <c r="J359" i="4"/>
  <c r="H359" i="4" l="1"/>
  <c r="S354" i="1"/>
  <c r="R358" i="4"/>
  <c r="M323" i="3"/>
  <c r="M354" i="1" l="1"/>
  <c r="T359" i="4"/>
  <c r="I355" i="1"/>
  <c r="G355" i="1" l="1"/>
  <c r="J360" i="4"/>
  <c r="N359" i="4"/>
  <c r="Q354" i="1"/>
  <c r="M324" i="3" l="1"/>
  <c r="R359" i="4"/>
  <c r="H360" i="4"/>
  <c r="S355" i="1"/>
  <c r="M355" i="1" l="1"/>
  <c r="I356" i="1"/>
  <c r="T360" i="4"/>
  <c r="G356" i="1" l="1"/>
  <c r="J361" i="4"/>
  <c r="Q355" i="1"/>
  <c r="N360" i="4"/>
  <c r="M325" i="3" l="1"/>
  <c r="R360" i="4"/>
  <c r="H361" i="4"/>
  <c r="S356" i="1"/>
  <c r="T361" i="4" l="1"/>
  <c r="I357" i="1"/>
  <c r="M356" i="1"/>
  <c r="N361" i="4" l="1"/>
  <c r="Q356" i="1"/>
  <c r="G357" i="1"/>
  <c r="J362" i="4"/>
  <c r="H362" i="4" l="1"/>
  <c r="S357" i="1"/>
  <c r="M326" i="3"/>
  <c r="R361" i="4"/>
  <c r="M357" i="1" l="1"/>
  <c r="I358" i="1"/>
  <c r="T362" i="4"/>
  <c r="G358" i="1" l="1"/>
  <c r="J363" i="4"/>
  <c r="N362" i="4"/>
  <c r="Q357" i="1"/>
  <c r="R362" i="4" l="1"/>
  <c r="M327" i="3"/>
  <c r="H363" i="4"/>
  <c r="S358" i="1"/>
  <c r="M358" i="1" l="1"/>
  <c r="I359" i="1"/>
  <c r="T363" i="4"/>
  <c r="G359" i="1" l="1"/>
  <c r="J364" i="4"/>
  <c r="N363" i="4"/>
  <c r="Q358" i="1"/>
  <c r="R363" i="4" l="1"/>
  <c r="M328" i="3"/>
  <c r="H364" i="4"/>
  <c r="S359" i="1"/>
  <c r="M359" i="1" l="1"/>
  <c r="I360" i="1"/>
  <c r="T364" i="4"/>
  <c r="G360" i="1" l="1"/>
  <c r="J365" i="4"/>
  <c r="N364" i="4"/>
  <c r="Q359" i="1"/>
  <c r="R364" i="4" l="1"/>
  <c r="M329" i="3"/>
  <c r="H365" i="4"/>
  <c r="S360" i="1"/>
  <c r="I361" i="1" l="1"/>
  <c r="M360" i="1"/>
  <c r="T365" i="4"/>
  <c r="N365" i="4" l="1"/>
  <c r="Q360" i="1"/>
  <c r="G361" i="1"/>
  <c r="J366" i="4"/>
  <c r="H366" i="4" l="1"/>
  <c r="S361" i="1"/>
  <c r="R365" i="4"/>
  <c r="M330" i="3"/>
  <c r="I362" i="1" l="1"/>
  <c r="T366" i="4"/>
  <c r="M361" i="1"/>
  <c r="N366" i="4" l="1"/>
  <c r="Q361" i="1"/>
  <c r="G362" i="1"/>
  <c r="J367" i="4"/>
  <c r="M331" i="3" l="1"/>
  <c r="R366" i="4"/>
  <c r="H367" i="4"/>
  <c r="S362" i="1"/>
  <c r="I363" i="1" l="1"/>
  <c r="M362" i="1"/>
  <c r="T367" i="4"/>
  <c r="N367" i="4" l="1"/>
  <c r="Q362" i="1"/>
  <c r="G363" i="1"/>
  <c r="J368" i="4"/>
  <c r="R367" i="4" l="1"/>
  <c r="M332" i="3"/>
  <c r="H368" i="4"/>
  <c r="S363" i="1"/>
  <c r="T368" i="4" l="1"/>
  <c r="M363" i="1"/>
  <c r="I364" i="1"/>
  <c r="N368" i="4" l="1"/>
  <c r="Q363" i="1"/>
  <c r="G364" i="1"/>
  <c r="J369" i="4"/>
  <c r="M333" i="3" l="1"/>
  <c r="R368" i="4"/>
  <c r="H369" i="4"/>
  <c r="S364" i="1"/>
  <c r="T369" i="4" l="1"/>
  <c r="I365" i="1"/>
  <c r="M364" i="1"/>
  <c r="G365" i="1" l="1"/>
  <c r="J370" i="4"/>
  <c r="N369" i="4"/>
  <c r="Q364" i="1"/>
  <c r="R369" i="4" l="1"/>
  <c r="M334" i="3"/>
  <c r="H370" i="4"/>
  <c r="S365" i="1"/>
  <c r="I366" i="1" l="1"/>
  <c r="M365" i="1"/>
  <c r="T370" i="4"/>
  <c r="Q365" i="1" l="1"/>
  <c r="N370" i="4"/>
  <c r="G366" i="1"/>
  <c r="J371" i="4"/>
  <c r="H371" i="4" l="1"/>
  <c r="S366" i="1"/>
  <c r="M335" i="3"/>
  <c r="R370" i="4"/>
  <c r="M366" i="1" l="1"/>
  <c r="I367" i="1"/>
  <c r="T371" i="4"/>
  <c r="G367" i="1" l="1"/>
  <c r="J372" i="4"/>
  <c r="N371" i="4"/>
  <c r="Q366" i="1"/>
  <c r="M336" i="3" l="1"/>
  <c r="R371" i="4"/>
  <c r="H372" i="4"/>
  <c r="S367" i="1"/>
  <c r="I368" i="1" l="1"/>
  <c r="T372" i="4"/>
  <c r="M367" i="1"/>
  <c r="N372" i="4" l="1"/>
  <c r="Q367" i="1"/>
  <c r="G368" i="1"/>
  <c r="J373" i="4"/>
  <c r="H373" i="4" l="1"/>
  <c r="S368" i="1"/>
  <c r="R372" i="4"/>
  <c r="M337" i="3"/>
  <c r="M368" i="1" l="1"/>
  <c r="I369" i="1"/>
  <c r="T373" i="4"/>
  <c r="G369" i="1" l="1"/>
  <c r="J374" i="4"/>
  <c r="Q368" i="1"/>
  <c r="N373" i="4"/>
  <c r="M338" i="3" l="1"/>
  <c r="R373" i="4"/>
  <c r="H374" i="4"/>
  <c r="S369" i="1"/>
  <c r="M369" i="1" l="1"/>
  <c r="I370" i="1"/>
  <c r="T374" i="4"/>
  <c r="G370" i="1" l="1"/>
  <c r="J375" i="4"/>
  <c r="Q369" i="1"/>
  <c r="N374" i="4"/>
  <c r="M339" i="3" l="1"/>
  <c r="R374" i="4"/>
  <c r="H375" i="4"/>
  <c r="S370" i="1"/>
  <c r="I371" i="1" l="1"/>
  <c r="M370" i="1"/>
  <c r="T375" i="4"/>
  <c r="N375" i="4" l="1"/>
  <c r="Q370" i="1"/>
  <c r="G371" i="1"/>
  <c r="J376" i="4"/>
  <c r="M340" i="3" l="1"/>
  <c r="R375" i="4"/>
  <c r="H376" i="4"/>
  <c r="S371" i="1"/>
  <c r="I372" i="1" l="1"/>
  <c r="M371" i="1"/>
  <c r="T376" i="4"/>
  <c r="N376" i="4" l="1"/>
  <c r="Q371" i="1"/>
  <c r="G372" i="1"/>
  <c r="J377" i="4"/>
  <c r="H377" i="4" l="1"/>
  <c r="S372" i="1"/>
  <c r="M341" i="3"/>
  <c r="R376" i="4"/>
  <c r="M372" i="1" l="1"/>
  <c r="T377" i="4"/>
  <c r="I373" i="1"/>
  <c r="G373" i="1" l="1"/>
  <c r="J378" i="4"/>
  <c r="N377" i="4"/>
  <c r="Q372" i="1"/>
  <c r="R377" i="4" l="1"/>
  <c r="M342" i="3"/>
  <c r="H378" i="4"/>
  <c r="S373" i="1"/>
  <c r="I374" i="1" l="1"/>
  <c r="M373" i="1"/>
  <c r="T378" i="4"/>
  <c r="Q373" i="1" l="1"/>
  <c r="N378" i="4"/>
  <c r="G374" i="1"/>
  <c r="J379" i="4"/>
  <c r="H379" i="4" l="1"/>
  <c r="S374" i="1"/>
  <c r="M343" i="3"/>
  <c r="R378" i="4"/>
  <c r="I375" i="1" l="1"/>
  <c r="T379" i="4"/>
  <c r="M374" i="1"/>
  <c r="N379" i="4" l="1"/>
  <c r="Q374" i="1"/>
  <c r="G375" i="1"/>
  <c r="J380" i="4"/>
  <c r="R379" i="4" l="1"/>
  <c r="M344" i="3"/>
  <c r="H380" i="4"/>
  <c r="S375" i="1"/>
  <c r="I376" i="1" l="1"/>
  <c r="T380" i="4"/>
  <c r="M375" i="1"/>
  <c r="N380" i="4" l="1"/>
  <c r="Q375" i="1"/>
  <c r="G376" i="1"/>
  <c r="J381" i="4"/>
  <c r="R380" i="4" l="1"/>
  <c r="M345" i="3"/>
  <c r="H381" i="4"/>
  <c r="S376" i="1"/>
  <c r="M376" i="1" l="1"/>
  <c r="I377" i="1"/>
  <c r="T381" i="4"/>
  <c r="G377" i="1" l="1"/>
  <c r="J382" i="4"/>
  <c r="N381" i="4"/>
  <c r="Q376" i="1"/>
  <c r="R381" i="4" l="1"/>
  <c r="M346" i="3"/>
  <c r="H382" i="4"/>
  <c r="S377" i="1"/>
  <c r="M377" i="1" l="1"/>
  <c r="I378" i="1"/>
  <c r="T382" i="4"/>
  <c r="G378" i="1" l="1"/>
  <c r="J383" i="4"/>
  <c r="Q377" i="1"/>
  <c r="N382" i="4"/>
  <c r="R382" i="4" l="1"/>
  <c r="M347" i="3"/>
  <c r="H383" i="4"/>
  <c r="S378" i="1"/>
  <c r="M378" i="1" l="1"/>
  <c r="T383" i="4"/>
  <c r="I379" i="1"/>
  <c r="G379" i="1" l="1"/>
  <c r="J384" i="4"/>
  <c r="N383" i="4"/>
  <c r="Q378" i="1"/>
  <c r="M348" i="3" l="1"/>
  <c r="R383" i="4"/>
  <c r="H384" i="4"/>
  <c r="S379" i="1"/>
  <c r="M379" i="1" l="1"/>
  <c r="I380" i="1"/>
  <c r="T384" i="4"/>
  <c r="G380" i="1" l="1"/>
  <c r="J385" i="4"/>
  <c r="N384" i="4"/>
  <c r="Q379" i="1"/>
  <c r="M349" i="3" l="1"/>
  <c r="R384" i="4"/>
  <c r="H385" i="4"/>
  <c r="S380" i="1"/>
  <c r="I381" i="1" l="1"/>
  <c r="T385" i="4"/>
  <c r="M380" i="1"/>
  <c r="N385" i="4" l="1"/>
  <c r="Q380" i="1"/>
  <c r="G381" i="1"/>
  <c r="J386" i="4"/>
  <c r="H386" i="4" l="1"/>
  <c r="S381" i="1"/>
  <c r="R385" i="4"/>
  <c r="M350" i="3"/>
  <c r="I382" i="1" l="1"/>
  <c r="M381" i="1"/>
  <c r="T386" i="4"/>
  <c r="N386" i="4" l="1"/>
  <c r="Q381" i="1"/>
  <c r="G382" i="1"/>
  <c r="J387" i="4"/>
  <c r="H387" i="4" l="1"/>
  <c r="S382" i="1"/>
  <c r="R386" i="4"/>
  <c r="M351" i="3"/>
  <c r="M382" i="1" l="1"/>
  <c r="I383" i="1"/>
  <c r="T387" i="4"/>
  <c r="G383" i="1" l="1"/>
  <c r="J388" i="4"/>
  <c r="N387" i="4"/>
  <c r="Q382" i="1"/>
  <c r="R387" i="4" l="1"/>
  <c r="M352" i="3"/>
  <c r="H388" i="4"/>
  <c r="S383" i="1"/>
  <c r="I384" i="1" l="1"/>
  <c r="T388" i="4"/>
  <c r="M383" i="1"/>
  <c r="Q383" i="1" l="1"/>
  <c r="N388" i="4"/>
  <c r="G384" i="1"/>
  <c r="J389" i="4"/>
  <c r="H389" i="4" l="1"/>
  <c r="S384" i="1"/>
  <c r="M353" i="3"/>
  <c r="R388" i="4"/>
  <c r="T389" i="4" l="1"/>
  <c r="M384" i="1"/>
  <c r="I385" i="1"/>
  <c r="G385" i="1" l="1"/>
  <c r="J390" i="4"/>
  <c r="N389" i="4"/>
  <c r="Q384" i="1"/>
  <c r="M354" i="3" l="1"/>
  <c r="R389" i="4"/>
  <c r="H390" i="4"/>
  <c r="S385" i="1"/>
  <c r="M385" i="1" l="1"/>
  <c r="T390" i="4"/>
  <c r="I386" i="1"/>
  <c r="G386" i="1" l="1"/>
  <c r="J391" i="4"/>
  <c r="N390" i="4"/>
  <c r="Q385" i="1"/>
  <c r="R390" i="4" l="1"/>
  <c r="M355" i="3"/>
  <c r="H391" i="4"/>
  <c r="S386" i="1"/>
  <c r="T391" i="4" l="1"/>
  <c r="M386" i="1"/>
  <c r="I387" i="1"/>
  <c r="N391" i="4" l="1"/>
  <c r="Q386" i="1"/>
  <c r="G387" i="1"/>
  <c r="J392" i="4"/>
  <c r="R391" i="4" l="1"/>
  <c r="M356" i="3"/>
  <c r="H392" i="4"/>
  <c r="S387" i="1"/>
  <c r="M387" i="1" l="1"/>
  <c r="T392" i="4"/>
  <c r="I388" i="1"/>
  <c r="G388" i="1" l="1"/>
  <c r="J393" i="4"/>
  <c r="N392" i="4"/>
  <c r="Q387" i="1"/>
  <c r="M357" i="3" l="1"/>
  <c r="R392" i="4"/>
  <c r="H393" i="4"/>
  <c r="S388" i="1"/>
  <c r="I389" i="1" l="1"/>
  <c r="M388" i="1"/>
  <c r="T393" i="4"/>
  <c r="N393" i="4" l="1"/>
  <c r="Q388" i="1"/>
  <c r="G389" i="1"/>
  <c r="J394" i="4"/>
  <c r="H394" i="4" l="1"/>
  <c r="S389" i="1"/>
  <c r="R393" i="4"/>
  <c r="M358" i="3"/>
  <c r="I390" i="1" l="1"/>
  <c r="M389" i="1"/>
  <c r="T394" i="4"/>
  <c r="Q389" i="1" l="1"/>
  <c r="N394" i="4"/>
  <c r="G390" i="1"/>
  <c r="J395" i="4"/>
  <c r="H395" i="4" l="1"/>
  <c r="S390" i="1"/>
  <c r="R394" i="4"/>
  <c r="M359" i="3"/>
  <c r="I391" i="1" l="1"/>
  <c r="T395" i="4"/>
  <c r="M390" i="1"/>
  <c r="N395" i="4" l="1"/>
  <c r="Q390" i="1"/>
  <c r="G391" i="1"/>
  <c r="J396" i="4"/>
  <c r="H396" i="4" l="1"/>
  <c r="S391" i="1"/>
  <c r="M360" i="3"/>
  <c r="R395" i="4"/>
  <c r="I392" i="1" l="1"/>
  <c r="M391" i="1"/>
  <c r="T396" i="4"/>
  <c r="Q391" i="1" l="1"/>
  <c r="N396" i="4"/>
  <c r="G392" i="1"/>
  <c r="J397" i="4"/>
  <c r="H397" i="4" l="1"/>
  <c r="S392" i="1"/>
  <c r="M361" i="3"/>
  <c r="R396" i="4"/>
  <c r="M392" i="1" l="1"/>
  <c r="T397" i="4"/>
  <c r="I393" i="1"/>
  <c r="G393" i="1" l="1"/>
  <c r="J398" i="4"/>
  <c r="N397" i="4"/>
  <c r="Q392" i="1"/>
  <c r="R397" i="4" l="1"/>
  <c r="M362" i="3"/>
  <c r="H398" i="4"/>
  <c r="S393" i="1"/>
  <c r="M393" i="1" l="1"/>
  <c r="I394" i="1"/>
  <c r="T398" i="4"/>
  <c r="G394" i="1" l="1"/>
  <c r="J399" i="4"/>
  <c r="N398" i="4"/>
  <c r="Q393" i="1"/>
  <c r="R398" i="4" l="1"/>
  <c r="M363" i="3"/>
  <c r="H399" i="4"/>
  <c r="S394" i="1"/>
  <c r="M394" i="1" l="1"/>
  <c r="T399" i="4"/>
  <c r="I395" i="1"/>
  <c r="G395" i="1" l="1"/>
  <c r="J400" i="4"/>
  <c r="N399" i="4"/>
  <c r="Q394" i="1"/>
  <c r="M364" i="3" l="1"/>
  <c r="R399" i="4"/>
  <c r="H400" i="4"/>
  <c r="S395" i="1"/>
  <c r="M395" i="1" l="1"/>
  <c r="I396" i="1"/>
  <c r="T400" i="4"/>
  <c r="G396" i="1" l="1"/>
  <c r="J401" i="4"/>
  <c r="N400" i="4"/>
  <c r="Q395" i="1"/>
  <c r="M365" i="3" l="1"/>
  <c r="R400" i="4"/>
  <c r="H401" i="4"/>
  <c r="S396" i="1"/>
  <c r="M396" i="1" l="1"/>
  <c r="I397" i="1"/>
  <c r="T401" i="4"/>
  <c r="G397" i="1" l="1"/>
  <c r="J402" i="4"/>
  <c r="N401" i="4"/>
  <c r="Q396" i="1"/>
  <c r="R401" i="4" l="1"/>
  <c r="M366" i="3"/>
  <c r="H402" i="4"/>
  <c r="S397" i="1"/>
  <c r="M397" i="1" l="1"/>
  <c r="T402" i="4"/>
  <c r="I398" i="1"/>
  <c r="G398" i="1" l="1"/>
  <c r="J403" i="4"/>
  <c r="N402" i="4"/>
  <c r="Q397" i="1"/>
  <c r="M367" i="3" l="1"/>
  <c r="R402" i="4"/>
  <c r="H403" i="4"/>
  <c r="S398" i="1"/>
  <c r="T403" i="4" l="1"/>
  <c r="I399" i="1"/>
  <c r="M398" i="1"/>
  <c r="G399" i="1" l="1"/>
  <c r="J404" i="4"/>
  <c r="Q398" i="1"/>
  <c r="N403" i="4"/>
  <c r="M368" i="3" l="1"/>
  <c r="R403" i="4"/>
  <c r="H404" i="4"/>
  <c r="S399" i="1"/>
  <c r="M399" i="1" l="1"/>
  <c r="T404" i="4"/>
  <c r="I400" i="1"/>
  <c r="G400" i="1" l="1"/>
  <c r="J405" i="4"/>
  <c r="Q399" i="1"/>
  <c r="N404" i="4"/>
  <c r="R404" i="4" l="1"/>
  <c r="M369" i="3"/>
  <c r="H405" i="4"/>
  <c r="S400" i="1"/>
  <c r="M400" i="1" l="1"/>
  <c r="I401" i="1"/>
  <c r="T405" i="4"/>
  <c r="G401" i="1" l="1"/>
  <c r="J406" i="4"/>
  <c r="Q400" i="1"/>
  <c r="N405" i="4"/>
  <c r="R405" i="4" l="1"/>
  <c r="M370" i="3"/>
  <c r="H406" i="4"/>
  <c r="S401" i="1"/>
  <c r="T406" i="4" l="1"/>
  <c r="M401" i="1"/>
  <c r="I402" i="1"/>
  <c r="G402" i="1" l="1"/>
  <c r="J407" i="4"/>
  <c r="N406" i="4"/>
  <c r="Q401" i="1"/>
  <c r="M371" i="3" l="1"/>
  <c r="R406" i="4"/>
  <c r="H407" i="4"/>
  <c r="S402" i="1"/>
  <c r="T407" i="4" l="1"/>
  <c r="I403" i="1"/>
  <c r="M402" i="1"/>
  <c r="Q402" i="1" l="1"/>
  <c r="N407" i="4"/>
  <c r="G403" i="1"/>
  <c r="J408" i="4"/>
  <c r="H408" i="4" l="1"/>
  <c r="S403" i="1"/>
  <c r="M372" i="3"/>
  <c r="R407" i="4"/>
  <c r="M403" i="1" l="1"/>
  <c r="I404" i="1"/>
  <c r="T408" i="4"/>
  <c r="G404" i="1" l="1"/>
  <c r="J409" i="4"/>
  <c r="N408" i="4"/>
  <c r="Q403" i="1"/>
  <c r="R408" i="4" l="1"/>
  <c r="M373" i="3"/>
  <c r="H409" i="4"/>
  <c r="S404" i="1"/>
  <c r="T409" i="4" l="1"/>
  <c r="I405" i="1"/>
  <c r="M404" i="1"/>
  <c r="N409" i="4" l="1"/>
  <c r="Q404" i="1"/>
  <c r="G405" i="1"/>
  <c r="J410" i="4"/>
  <c r="H410" i="4" l="1"/>
  <c r="S405" i="1"/>
  <c r="M374" i="3"/>
  <c r="R409" i="4"/>
  <c r="M405" i="1" l="1"/>
  <c r="I406" i="1"/>
  <c r="T410" i="4"/>
  <c r="G406" i="1" l="1"/>
  <c r="J411" i="4"/>
  <c r="N410" i="4"/>
  <c r="Q405" i="1"/>
  <c r="R410" i="4" l="1"/>
  <c r="M375" i="3"/>
  <c r="H411" i="4"/>
  <c r="S406" i="1"/>
  <c r="T411" i="4" l="1"/>
  <c r="I407" i="1"/>
  <c r="M406" i="1"/>
  <c r="N411" i="4" l="1"/>
  <c r="Q406" i="1"/>
  <c r="G407" i="1"/>
  <c r="J412" i="4"/>
  <c r="H412" i="4" l="1"/>
  <c r="S407" i="1"/>
  <c r="R411" i="4"/>
  <c r="M376" i="3"/>
  <c r="I408" i="1" l="1"/>
  <c r="M407" i="1"/>
  <c r="T412" i="4"/>
  <c r="N412" i="4" l="1"/>
  <c r="Q407" i="1"/>
  <c r="G408" i="1"/>
  <c r="J413" i="4"/>
  <c r="H413" i="4" l="1"/>
  <c r="S408" i="1"/>
  <c r="R412" i="4"/>
  <c r="M377" i="3"/>
  <c r="M408" i="1" l="1"/>
  <c r="I409" i="1"/>
  <c r="T413" i="4"/>
  <c r="G409" i="1" l="1"/>
  <c r="J414" i="4"/>
  <c r="N413" i="4"/>
  <c r="Q408" i="1"/>
  <c r="R413" i="4" l="1"/>
  <c r="M378" i="3"/>
  <c r="H414" i="4"/>
  <c r="S409" i="1"/>
  <c r="M409" i="1" l="1"/>
  <c r="T414" i="4"/>
  <c r="I410" i="1"/>
  <c r="G410" i="1" l="1"/>
  <c r="J415" i="4"/>
  <c r="Q409" i="1"/>
  <c r="N414" i="4"/>
  <c r="M379" i="3" l="1"/>
  <c r="R414" i="4"/>
  <c r="H415" i="4"/>
  <c r="S410" i="1"/>
  <c r="I411" i="1" l="1"/>
  <c r="T415" i="4"/>
  <c r="M410" i="1"/>
  <c r="N415" i="4" l="1"/>
  <c r="Q410" i="1"/>
  <c r="G411" i="1"/>
  <c r="J416" i="4"/>
  <c r="M380" i="3" l="1"/>
  <c r="R415" i="4"/>
  <c r="H416" i="4"/>
  <c r="S411" i="1"/>
  <c r="M411" i="1" l="1"/>
  <c r="I412" i="1"/>
  <c r="T416" i="4"/>
  <c r="G412" i="1" l="1"/>
  <c r="J417" i="4"/>
  <c r="Q411" i="1"/>
  <c r="N416" i="4"/>
  <c r="R416" i="4" l="1"/>
  <c r="M381" i="3"/>
  <c r="H417" i="4"/>
  <c r="S412" i="1"/>
  <c r="M412" i="1" l="1"/>
  <c r="T417" i="4"/>
  <c r="I413" i="1"/>
  <c r="G413" i="1" l="1"/>
  <c r="J418" i="4"/>
  <c r="N417" i="4"/>
  <c r="Q412" i="1"/>
  <c r="R417" i="4" l="1"/>
  <c r="M382" i="3"/>
  <c r="H418" i="4"/>
  <c r="S413" i="1"/>
  <c r="T418" i="4" l="1"/>
  <c r="M413" i="1"/>
  <c r="I414" i="1"/>
  <c r="N418" i="4" l="1"/>
  <c r="Q413" i="1"/>
  <c r="G414" i="1"/>
  <c r="J419" i="4"/>
  <c r="R418" i="4" l="1"/>
  <c r="M383" i="3"/>
  <c r="H419" i="4"/>
  <c r="S414" i="1"/>
  <c r="M414" i="1" l="1"/>
  <c r="I415" i="1"/>
  <c r="T419" i="4"/>
  <c r="G415" i="1" l="1"/>
  <c r="J420" i="4"/>
  <c r="N419" i="4"/>
  <c r="Q414" i="1"/>
  <c r="R419" i="4" l="1"/>
  <c r="M384" i="3"/>
  <c r="H420" i="4"/>
  <c r="S415" i="1"/>
  <c r="I416" i="1" l="1"/>
  <c r="T420" i="4"/>
  <c r="M415" i="1"/>
  <c r="N420" i="4" l="1"/>
  <c r="Q415" i="1"/>
  <c r="G416" i="1"/>
  <c r="J421" i="4"/>
  <c r="H421" i="4" l="1"/>
  <c r="S416" i="1"/>
  <c r="R420" i="4"/>
  <c r="M385" i="3"/>
  <c r="M416" i="1" l="1"/>
  <c r="T421" i="4"/>
  <c r="I417" i="1"/>
  <c r="G417" i="1" l="1"/>
  <c r="J422" i="4"/>
  <c r="N421" i="4"/>
  <c r="Q416" i="1"/>
  <c r="M386" i="3" l="1"/>
  <c r="R421" i="4"/>
  <c r="H422" i="4"/>
  <c r="S417" i="1"/>
  <c r="M417" i="1" l="1"/>
  <c r="T422" i="4"/>
  <c r="I418" i="1"/>
  <c r="G418" i="1" l="1"/>
  <c r="J423" i="4"/>
  <c r="N422" i="4"/>
  <c r="Q417" i="1"/>
  <c r="M387" i="3" l="1"/>
  <c r="R422" i="4"/>
  <c r="H423" i="4"/>
  <c r="S418" i="1"/>
  <c r="I419" i="1" l="1"/>
  <c r="T423" i="4"/>
  <c r="M418" i="1"/>
  <c r="N423" i="4" l="1"/>
  <c r="Q418" i="1"/>
  <c r="G419" i="1"/>
  <c r="J424" i="4"/>
  <c r="H424" i="4" l="1"/>
  <c r="S419" i="1"/>
  <c r="M388" i="3"/>
  <c r="R423" i="4"/>
  <c r="M419" i="1" l="1"/>
  <c r="T424" i="4"/>
  <c r="I420" i="1"/>
  <c r="G420" i="1" l="1"/>
  <c r="J425" i="4"/>
  <c r="Q419" i="1"/>
  <c r="N424" i="4"/>
  <c r="M389" i="3" l="1"/>
  <c r="R424" i="4"/>
  <c r="H425" i="4"/>
  <c r="S420" i="1"/>
  <c r="M420" i="1" l="1"/>
  <c r="I421" i="1"/>
  <c r="T425" i="4"/>
  <c r="G421" i="1" l="1"/>
  <c r="J426" i="4"/>
  <c r="Q420" i="1"/>
  <c r="N425" i="4"/>
  <c r="M390" i="3" l="1"/>
  <c r="R425" i="4"/>
  <c r="H426" i="4"/>
  <c r="S421" i="1"/>
  <c r="M421" i="1" l="1"/>
  <c r="T426" i="4"/>
  <c r="I422" i="1"/>
  <c r="G422" i="1" l="1"/>
  <c r="J427" i="4"/>
  <c r="Q421" i="1"/>
  <c r="N426" i="4"/>
  <c r="M391" i="3" l="1"/>
  <c r="R426" i="4"/>
  <c r="H427" i="4"/>
  <c r="S422" i="1"/>
  <c r="M422" i="1" l="1"/>
  <c r="I423" i="1"/>
  <c r="T427" i="4"/>
  <c r="G423" i="1" l="1"/>
  <c r="J428" i="4"/>
  <c r="N427" i="4"/>
  <c r="Q422" i="1"/>
  <c r="R427" i="4" l="1"/>
  <c r="M392" i="3"/>
  <c r="H428" i="4"/>
  <c r="S423" i="1"/>
  <c r="M423" i="1" l="1"/>
  <c r="I424" i="1"/>
  <c r="T428" i="4"/>
  <c r="G424" i="1" l="1"/>
  <c r="J429" i="4"/>
  <c r="Q423" i="1"/>
  <c r="N428" i="4"/>
  <c r="R428" i="4" l="1"/>
  <c r="M393" i="3"/>
  <c r="H429" i="4"/>
  <c r="S424" i="1"/>
  <c r="M424" i="1" l="1"/>
  <c r="I425" i="1"/>
  <c r="T429" i="4"/>
  <c r="G425" i="1" l="1"/>
  <c r="J430" i="4"/>
  <c r="N429" i="4"/>
  <c r="Q424" i="1"/>
  <c r="M394" i="3" l="1"/>
  <c r="R429" i="4"/>
  <c r="H430" i="4"/>
  <c r="S425" i="1"/>
  <c r="M425" i="1" l="1"/>
  <c r="I426" i="1"/>
  <c r="T430" i="4"/>
  <c r="G426" i="1" l="1"/>
  <c r="J431" i="4"/>
  <c r="N430" i="4"/>
  <c r="Q425" i="1"/>
  <c r="M395" i="3" l="1"/>
  <c r="R430" i="4"/>
  <c r="H431" i="4"/>
  <c r="S426" i="1"/>
  <c r="T431" i="4" l="1"/>
  <c r="I427" i="1"/>
  <c r="M426" i="1"/>
  <c r="G427" i="1" l="1"/>
  <c r="J432" i="4"/>
  <c r="N431" i="4"/>
  <c r="Q426" i="1"/>
  <c r="M396" i="3" l="1"/>
  <c r="R431" i="4"/>
  <c r="H432" i="4"/>
  <c r="S427" i="1"/>
  <c r="M427" i="1" l="1"/>
  <c r="I428" i="1"/>
  <c r="T432" i="4"/>
  <c r="G428" i="1" l="1"/>
  <c r="J433" i="4"/>
  <c r="N432" i="4"/>
  <c r="Q427" i="1"/>
  <c r="M397" i="3" l="1"/>
  <c r="R432" i="4"/>
  <c r="H433" i="4"/>
  <c r="S428" i="1"/>
  <c r="M428" i="1" l="1"/>
  <c r="I429" i="1"/>
  <c r="T433" i="4"/>
  <c r="G429" i="1" l="1"/>
  <c r="J434" i="4"/>
  <c r="Q428" i="1"/>
  <c r="N433" i="4"/>
  <c r="M398" i="3" l="1"/>
  <c r="R433" i="4"/>
  <c r="H434" i="4"/>
  <c r="S429" i="1"/>
  <c r="I430" i="1" l="1"/>
  <c r="M429" i="1"/>
  <c r="T434" i="4"/>
  <c r="N434" i="4" l="1"/>
  <c r="Q429" i="1"/>
  <c r="G430" i="1"/>
  <c r="J435" i="4"/>
  <c r="H435" i="4" l="1"/>
  <c r="S430" i="1"/>
  <c r="R434" i="4"/>
  <c r="M399" i="3"/>
  <c r="T435" i="4" l="1"/>
  <c r="I431" i="1"/>
  <c r="M430" i="1"/>
  <c r="G431" i="1" l="1"/>
  <c r="J436" i="4"/>
  <c r="Q430" i="1"/>
  <c r="N435" i="4"/>
  <c r="R435" i="4" l="1"/>
  <c r="M400" i="3"/>
  <c r="H436" i="4"/>
  <c r="S431" i="1"/>
  <c r="M431" i="1" l="1"/>
  <c r="I432" i="1"/>
  <c r="T436" i="4"/>
  <c r="G432" i="1" l="1"/>
  <c r="J437" i="4"/>
  <c r="N436" i="4"/>
  <c r="Q431" i="1"/>
  <c r="M401" i="3" l="1"/>
  <c r="R436" i="4"/>
  <c r="H437" i="4"/>
  <c r="S432" i="1"/>
  <c r="M432" i="1" l="1"/>
  <c r="I433" i="1"/>
  <c r="T437" i="4"/>
  <c r="G433" i="1" l="1"/>
  <c r="J438" i="4"/>
  <c r="N437" i="4"/>
  <c r="Q432" i="1"/>
  <c r="R437" i="4" l="1"/>
  <c r="M402" i="3"/>
  <c r="H438" i="4"/>
  <c r="S433" i="1"/>
  <c r="M433" i="1" l="1"/>
  <c r="T438" i="4"/>
  <c r="I434" i="1"/>
  <c r="G434" i="1" l="1"/>
  <c r="J439" i="4"/>
  <c r="N438" i="4"/>
  <c r="Q433" i="1"/>
  <c r="R438" i="4" l="1"/>
  <c r="M403" i="3"/>
  <c r="H439" i="4"/>
  <c r="S434" i="1"/>
  <c r="M434" i="1" l="1"/>
  <c r="T439" i="4"/>
  <c r="I435" i="1"/>
  <c r="G435" i="1" l="1"/>
  <c r="J440" i="4"/>
  <c r="Q434" i="1"/>
  <c r="N439" i="4"/>
  <c r="R439" i="4" l="1"/>
  <c r="M404" i="3"/>
  <c r="H440" i="4"/>
  <c r="S435" i="1"/>
  <c r="M435" i="1" l="1"/>
  <c r="I436" i="1"/>
  <c r="T440" i="4"/>
  <c r="G436" i="1" l="1"/>
  <c r="J441" i="4"/>
  <c r="N440" i="4"/>
  <c r="Q435" i="1"/>
  <c r="R440" i="4" l="1"/>
  <c r="M405" i="3"/>
  <c r="H441" i="4"/>
  <c r="S436" i="1"/>
  <c r="M436" i="1" l="1"/>
  <c r="I437" i="1"/>
  <c r="T441" i="4"/>
  <c r="G437" i="1" l="1"/>
  <c r="J442" i="4"/>
  <c r="N441" i="4"/>
  <c r="Q436" i="1"/>
  <c r="M406" i="3" l="1"/>
  <c r="R441" i="4"/>
  <c r="H442" i="4"/>
  <c r="S437" i="1"/>
  <c r="T442" i="4" l="1"/>
  <c r="I438" i="1"/>
  <c r="M437" i="1"/>
  <c r="G438" i="1" l="1"/>
  <c r="J443" i="4"/>
  <c r="Q437" i="1"/>
  <c r="N442" i="4"/>
  <c r="M407" i="3" l="1"/>
  <c r="R442" i="4"/>
  <c r="H443" i="4"/>
  <c r="S438" i="1"/>
  <c r="M438" i="1" l="1"/>
  <c r="I439" i="1"/>
  <c r="T443" i="4"/>
  <c r="G439" i="1" l="1"/>
  <c r="J444" i="4"/>
  <c r="N443" i="4"/>
  <c r="Q438" i="1"/>
  <c r="M408" i="3" l="1"/>
  <c r="R443" i="4"/>
  <c r="H444" i="4"/>
  <c r="S439" i="1"/>
  <c r="M439" i="1" l="1"/>
  <c r="I440" i="1"/>
  <c r="T444" i="4"/>
  <c r="G440" i="1" l="1"/>
  <c r="J445" i="4"/>
  <c r="N444" i="4"/>
  <c r="Q439" i="1"/>
  <c r="M409" i="3" l="1"/>
  <c r="R444" i="4"/>
  <c r="H445" i="4"/>
  <c r="S440" i="1"/>
  <c r="M440" i="1" l="1"/>
  <c r="T445" i="4"/>
  <c r="I441" i="1"/>
  <c r="G441" i="1" l="1"/>
  <c r="J446" i="4"/>
  <c r="N445" i="4"/>
  <c r="Q440" i="1"/>
  <c r="M410" i="3" l="1"/>
  <c r="R445" i="4"/>
  <c r="H446" i="4"/>
  <c r="S441" i="1"/>
  <c r="T446" i="4" l="1"/>
  <c r="I442" i="1"/>
  <c r="M441" i="1"/>
  <c r="N446" i="4" l="1"/>
  <c r="Q441" i="1"/>
  <c r="G442" i="1"/>
  <c r="J447" i="4"/>
  <c r="R446" i="4" l="1"/>
  <c r="M411" i="3"/>
  <c r="H447" i="4"/>
  <c r="S442" i="1"/>
  <c r="M442" i="1" l="1"/>
  <c r="I443" i="1"/>
  <c r="T447" i="4"/>
  <c r="G443" i="1" l="1"/>
  <c r="J448" i="4"/>
  <c r="N447" i="4"/>
  <c r="Q442" i="1"/>
  <c r="R447" i="4" l="1"/>
  <c r="M412" i="3"/>
  <c r="H448" i="4"/>
  <c r="S443" i="1"/>
  <c r="M443" i="1" l="1"/>
  <c r="T448" i="4"/>
  <c r="I444" i="1"/>
  <c r="G444" i="1" l="1"/>
  <c r="J449" i="4"/>
  <c r="N448" i="4"/>
  <c r="Q443" i="1"/>
  <c r="R448" i="4" l="1"/>
  <c r="M413" i="3"/>
  <c r="H449" i="4"/>
  <c r="S444" i="1"/>
  <c r="M444" i="1" l="1"/>
  <c r="I445" i="1"/>
  <c r="T449" i="4"/>
  <c r="G445" i="1" l="1"/>
  <c r="J450" i="4"/>
  <c r="N449" i="4"/>
  <c r="Q444" i="1"/>
  <c r="R449" i="4" l="1"/>
  <c r="M414" i="3"/>
  <c r="H450" i="4"/>
  <c r="S445" i="1"/>
  <c r="M445" i="1" l="1"/>
  <c r="I446" i="1"/>
  <c r="T450" i="4"/>
  <c r="G446" i="1" l="1"/>
  <c r="J451" i="4"/>
  <c r="N450" i="4"/>
  <c r="Q445" i="1"/>
  <c r="M415" i="3" l="1"/>
  <c r="R450" i="4"/>
  <c r="H451" i="4"/>
  <c r="S446" i="1"/>
  <c r="I447" i="1" l="1"/>
  <c r="T451" i="4"/>
  <c r="M446" i="1"/>
  <c r="Q446" i="1" l="1"/>
  <c r="N451" i="4"/>
  <c r="G447" i="1"/>
  <c r="J452" i="4"/>
  <c r="H452" i="4" l="1"/>
  <c r="S447" i="1"/>
  <c r="M416" i="3"/>
  <c r="R451" i="4"/>
  <c r="M447" i="1" l="1"/>
  <c r="T452" i="4"/>
  <c r="I448" i="1"/>
  <c r="G448" i="1" l="1"/>
  <c r="J453" i="4"/>
  <c r="N452" i="4"/>
  <c r="Q447" i="1"/>
  <c r="M417" i="3" l="1"/>
  <c r="R452" i="4"/>
  <c r="H453" i="4"/>
  <c r="S448" i="1"/>
  <c r="M448" i="1" l="1"/>
  <c r="T453" i="4"/>
  <c r="I449" i="1"/>
  <c r="G449" i="1" l="1"/>
  <c r="J454" i="4"/>
  <c r="Q448" i="1"/>
  <c r="N453" i="4"/>
  <c r="R453" i="4" l="1"/>
  <c r="M418" i="3"/>
  <c r="H454" i="4"/>
  <c r="S449" i="1"/>
  <c r="I450" i="1" l="1"/>
  <c r="M449" i="1"/>
  <c r="T454" i="4"/>
  <c r="Q449" i="1" l="1"/>
  <c r="N454" i="4"/>
  <c r="G450" i="1"/>
  <c r="J455" i="4"/>
  <c r="H455" i="4" l="1"/>
  <c r="S450" i="1"/>
  <c r="R454" i="4"/>
  <c r="M419" i="3"/>
  <c r="T455" i="4" l="1"/>
  <c r="M450" i="1"/>
  <c r="I451" i="1"/>
  <c r="Q450" i="1" l="1"/>
  <c r="N455" i="4"/>
  <c r="G451" i="1"/>
  <c r="J456" i="4"/>
  <c r="H456" i="4" l="1"/>
  <c r="S451" i="1"/>
  <c r="M420" i="3"/>
  <c r="R455" i="4"/>
  <c r="M451" i="1" l="1"/>
  <c r="T456" i="4"/>
  <c r="I452" i="1"/>
  <c r="G452" i="1" l="1"/>
  <c r="J457" i="4"/>
  <c r="N456" i="4"/>
  <c r="Q451" i="1"/>
  <c r="R456" i="4" l="1"/>
  <c r="M421" i="3"/>
  <c r="H457" i="4"/>
  <c r="S452" i="1"/>
  <c r="M452" i="1" l="1"/>
  <c r="T457" i="4"/>
  <c r="I453" i="1"/>
  <c r="G453" i="1" l="1"/>
  <c r="J458" i="4"/>
  <c r="J35" i="4" s="1"/>
  <c r="Q452" i="1"/>
  <c r="N457" i="4"/>
  <c r="M422" i="3" l="1"/>
  <c r="S16" i="1" s="1"/>
  <c r="Q27" i="4" s="1"/>
  <c r="R457" i="4"/>
  <c r="H458" i="4"/>
  <c r="H35" i="4" s="1"/>
  <c r="S453" i="1"/>
  <c r="T458" i="4" l="1"/>
  <c r="M453" i="1"/>
  <c r="N458" i="4" l="1"/>
  <c r="N35" i="4" s="1"/>
  <c r="Q453" i="1"/>
  <c r="R458" i="4" s="1"/>
  <c r="R35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<sst xmlns="http://schemas.openxmlformats.org/spreadsheetml/2006/main" count="913" uniqueCount="493">
  <si>
    <t xml:space="preserve">Tipo de Imóvel </t>
  </si>
  <si>
    <t>Tipo de Pessoa</t>
  </si>
  <si>
    <t>Valor do Imóvel</t>
  </si>
  <si>
    <t>Valor de Financiamento</t>
  </si>
  <si>
    <t>Custas Cartorárias</t>
  </si>
  <si>
    <t>Prazo de Pagamento</t>
  </si>
  <si>
    <t>Renda Necessária</t>
  </si>
  <si>
    <t>LTV</t>
  </si>
  <si>
    <t>Idade do Cliente</t>
  </si>
  <si>
    <t>Tarifa de Avaliação</t>
  </si>
  <si>
    <t>Tem IOF?</t>
  </si>
  <si>
    <t>CET</t>
  </si>
  <si>
    <t>Lote</t>
  </si>
  <si>
    <t>SFH</t>
  </si>
  <si>
    <t>Comercial</t>
  </si>
  <si>
    <t>RESIDENCIAL</t>
  </si>
  <si>
    <t>Lote Pj</t>
  </si>
  <si>
    <t>CHH Lote PJ</t>
  </si>
  <si>
    <t>Residencial PJ</t>
  </si>
  <si>
    <t>CHH PJ</t>
  </si>
  <si>
    <t>Comercial PJ</t>
  </si>
  <si>
    <t>CHC PJ</t>
  </si>
  <si>
    <t>Pessoa Física</t>
  </si>
  <si>
    <t xml:space="preserve">Pessoa Jurídica </t>
  </si>
  <si>
    <t>COMERCIAL</t>
  </si>
  <si>
    <t>LOTE</t>
  </si>
  <si>
    <t>Carteira</t>
  </si>
  <si>
    <t>Taxa</t>
  </si>
  <si>
    <t>Prazo Mínimo</t>
  </si>
  <si>
    <t>Sigla</t>
  </si>
  <si>
    <t>Prazo Máximo</t>
  </si>
  <si>
    <t>CHH</t>
  </si>
  <si>
    <t>LTV SAC</t>
  </si>
  <si>
    <t>LTV PRICE</t>
  </si>
  <si>
    <t>CRV SAC</t>
  </si>
  <si>
    <t>CRV PRICE</t>
  </si>
  <si>
    <t>N/A</t>
  </si>
  <si>
    <t>Tipo de Imóvel</t>
  </si>
  <si>
    <t>Sistema de Amortização</t>
  </si>
  <si>
    <t>Sist. Amort</t>
  </si>
  <si>
    <t>SAC</t>
  </si>
  <si>
    <t>PRICE</t>
  </si>
  <si>
    <t>Opção</t>
  </si>
  <si>
    <t>SIM</t>
  </si>
  <si>
    <t>NÃO</t>
  </si>
  <si>
    <t>IOF</t>
  </si>
  <si>
    <t>Total Financiamento ($)</t>
  </si>
  <si>
    <t>DATA DO ENCARGO</t>
  </si>
  <si>
    <t>N PREST</t>
  </si>
  <si>
    <t>AMORTIZAÇÃO</t>
  </si>
  <si>
    <t>JUROS</t>
  </si>
  <si>
    <t>ENCARGO</t>
  </si>
  <si>
    <t>SALDO DEVEDOR</t>
  </si>
  <si>
    <t>Seguro MIP</t>
  </si>
  <si>
    <t>Seguro DFI</t>
  </si>
  <si>
    <t>Dt Ppt em mês</t>
  </si>
  <si>
    <t>Ano de Nascimento</t>
  </si>
  <si>
    <t>Nascimento</t>
  </si>
  <si>
    <t>Idade na data do encargo</t>
  </si>
  <si>
    <t>Data do Encargo</t>
  </si>
  <si>
    <t>Encargo</t>
  </si>
  <si>
    <t>Dt Encargo</t>
  </si>
  <si>
    <t>Alíquota que deve ser utilizada</t>
  </si>
  <si>
    <t>Data cálculo CET</t>
  </si>
  <si>
    <t>Parcela</t>
  </si>
  <si>
    <t>Tarifas*</t>
  </si>
  <si>
    <t>MIP*</t>
  </si>
  <si>
    <t>DFI*</t>
  </si>
  <si>
    <t>Valor IOF</t>
  </si>
  <si>
    <t>Alíquota Aplicada</t>
  </si>
  <si>
    <t>Alíquota IOF PF</t>
  </si>
  <si>
    <t>Alíquota IOF PJ</t>
  </si>
  <si>
    <t>PESSOA FÍSICA</t>
  </si>
  <si>
    <t>PESSOA JURÍDICA</t>
  </si>
  <si>
    <t>Tx Efetiva a.a.</t>
  </si>
  <si>
    <t>Tx Efetiva a.m.</t>
  </si>
  <si>
    <t>Prazo Máximo Carteira</t>
  </si>
  <si>
    <t>Prazo Mínimo Carteira</t>
  </si>
  <si>
    <t>Limite Renda Carteira</t>
  </si>
  <si>
    <t>CRV</t>
  </si>
  <si>
    <t>ID CARTEIRA</t>
  </si>
  <si>
    <t>CRV Simulador</t>
  </si>
  <si>
    <t>LTV Simulador</t>
  </si>
  <si>
    <t>ID Simulação</t>
  </si>
  <si>
    <t>Prazo Proposta</t>
  </si>
  <si>
    <t>Prazo Máximo de Amortização</t>
  </si>
  <si>
    <t xml:space="preserve">Simulador de Crédito Imobiliário </t>
  </si>
  <si>
    <t>* Tarifas: quando houver IOF os valores são somados às tarifas. Valores detalhados no resultado</t>
  </si>
  <si>
    <t>*Seguro MIP somente aplicado quando Pessoa Física, baseado na data do proponente mais velho</t>
  </si>
  <si>
    <t xml:space="preserve">*O resultado dessa simulação é meramente referencial, baseado em datas e informações nela inserida e não representa proposta ou oferta de crédito/financiamento nem gera qualquer espécie de obrigação mútua. As datas e demais informações serão conferidas quando da emissão do contrato, sendo que os valores serão apurados pelo índice de remuneração básica da poupança que atualmente é a tr - taxa referencial. </t>
  </si>
  <si>
    <t>Resultado*</t>
  </si>
  <si>
    <t>MENSAGENS</t>
  </si>
  <si>
    <t>Prazo +Idade</t>
  </si>
  <si>
    <t>SIMULAÇÃO NOK</t>
  </si>
  <si>
    <t>LTV NÃO PERMITIDO</t>
  </si>
  <si>
    <t>Data da Simulação</t>
  </si>
  <si>
    <t>Taxa Selic Atual</t>
  </si>
  <si>
    <t>Fator Utilizado</t>
  </si>
  <si>
    <t>Spread</t>
  </si>
  <si>
    <t>Produto</t>
  </si>
  <si>
    <t>Repasse/Aquisição</t>
  </si>
  <si>
    <t>Poupança+</t>
  </si>
  <si>
    <t>Poup+Permitido</t>
  </si>
  <si>
    <t>Prazo Mínimo Poup+</t>
  </si>
  <si>
    <t>Prazo Max Poup+</t>
  </si>
  <si>
    <t>LTV Poup+</t>
  </si>
  <si>
    <t>Término de Construção</t>
  </si>
  <si>
    <t>Prazo de Construção</t>
  </si>
  <si>
    <t>Construção</t>
  </si>
  <si>
    <t xml:space="preserve">Prazo Mínimo </t>
  </si>
  <si>
    <t>Prazo máximo</t>
  </si>
  <si>
    <t>Prazo de carência</t>
  </si>
  <si>
    <t xml:space="preserve">SIM </t>
  </si>
  <si>
    <t>Tipo de encargo</t>
  </si>
  <si>
    <t>Prazo total simul</t>
  </si>
  <si>
    <t>Prazo max constru</t>
  </si>
  <si>
    <t>Prazo max care</t>
  </si>
  <si>
    <t>Painel Para Término de Construção</t>
  </si>
  <si>
    <t>Prazo de Carência</t>
  </si>
  <si>
    <t xml:space="preserve">Crédito Associativo </t>
  </si>
  <si>
    <t>Tipo de Produto</t>
  </si>
  <si>
    <t>Condições e Taxa Poup+</t>
  </si>
  <si>
    <t>Aquisição</t>
  </si>
  <si>
    <t>Evolução de Obra</t>
  </si>
  <si>
    <t>Prazo Total</t>
  </si>
  <si>
    <t>Prazo de Construção restante</t>
  </si>
  <si>
    <t>1ª Prestação</t>
  </si>
  <si>
    <t>Valor Financiado ($)</t>
  </si>
  <si>
    <t>Valor do Imóvel ($)</t>
  </si>
  <si>
    <t>Valor Financiamento ($)</t>
  </si>
  <si>
    <t>Financia Despesas?</t>
  </si>
  <si>
    <t>Valor de Despesas ($)</t>
  </si>
  <si>
    <t>Máx</t>
  </si>
  <si>
    <t>Sistema de Amort.</t>
  </si>
  <si>
    <t>Prazo de Amort.</t>
  </si>
  <si>
    <t>Mín/Máx</t>
  </si>
  <si>
    <t>Taxa Efetiva</t>
  </si>
  <si>
    <t>Fluxo de Prestações</t>
  </si>
  <si>
    <t>Tarifa de Avaliação ($)</t>
  </si>
  <si>
    <t>Permite despesas</t>
  </si>
  <si>
    <t xml:space="preserve"> </t>
  </si>
  <si>
    <t>Valor máximo permitido</t>
  </si>
  <si>
    <t>Financiado</t>
  </si>
  <si>
    <t>LTV Máximo</t>
  </si>
  <si>
    <t>Início da Construção</t>
  </si>
  <si>
    <t>Término da Construção</t>
  </si>
  <si>
    <t>Prime</t>
  </si>
  <si>
    <t>Exclusive</t>
  </si>
  <si>
    <t>Classic</t>
  </si>
  <si>
    <t>Segmento</t>
  </si>
  <si>
    <t>PRIME</t>
  </si>
  <si>
    <t>EXCLUSIVE</t>
  </si>
  <si>
    <t>CLASSIC</t>
  </si>
  <si>
    <t>Despesa Permitida</t>
  </si>
  <si>
    <t>Despesas máx</t>
  </si>
  <si>
    <t>Alíquota</t>
  </si>
  <si>
    <t>Total</t>
  </si>
  <si>
    <t>Depesa Máxima</t>
  </si>
  <si>
    <t>Idade</t>
  </si>
  <si>
    <t>Idade mínima</t>
  </si>
  <si>
    <t>""</t>
  </si>
  <si>
    <t>Funcionário</t>
  </si>
  <si>
    <t>18PRIME</t>
  </si>
  <si>
    <t>19PRIME</t>
  </si>
  <si>
    <t>20PRIME</t>
  </si>
  <si>
    <t>21PRIME</t>
  </si>
  <si>
    <t>22PRIME</t>
  </si>
  <si>
    <t>23PRIME</t>
  </si>
  <si>
    <t>24PRIME</t>
  </si>
  <si>
    <t>25PRIME</t>
  </si>
  <si>
    <t>26PRIME</t>
  </si>
  <si>
    <t>27PRIME</t>
  </si>
  <si>
    <t>28PRIME</t>
  </si>
  <si>
    <t>29PRIME</t>
  </si>
  <si>
    <t>30PRIME</t>
  </si>
  <si>
    <t>31PRIME</t>
  </si>
  <si>
    <t>32PRIME</t>
  </si>
  <si>
    <t>33PRIME</t>
  </si>
  <si>
    <t>34PRIME</t>
  </si>
  <si>
    <t>35PRIME</t>
  </si>
  <si>
    <t>36PRIME</t>
  </si>
  <si>
    <t>37PRIME</t>
  </si>
  <si>
    <t>38PRIME</t>
  </si>
  <si>
    <t>39PRIME</t>
  </si>
  <si>
    <t>40PRIME</t>
  </si>
  <si>
    <t>41PRIME</t>
  </si>
  <si>
    <t>42PRIME</t>
  </si>
  <si>
    <t>43PRIME</t>
  </si>
  <si>
    <t>44PRIME</t>
  </si>
  <si>
    <t>45PRIME</t>
  </si>
  <si>
    <t>46PRIME</t>
  </si>
  <si>
    <t>47PRIME</t>
  </si>
  <si>
    <t>48PRIME</t>
  </si>
  <si>
    <t>49PRIME</t>
  </si>
  <si>
    <t>50PRIME</t>
  </si>
  <si>
    <t>51PRIME</t>
  </si>
  <si>
    <t>52PRIME</t>
  </si>
  <si>
    <t>53PRIME</t>
  </si>
  <si>
    <t>54PRIME</t>
  </si>
  <si>
    <t>55PRIME</t>
  </si>
  <si>
    <t>56PRIME</t>
  </si>
  <si>
    <t>57PRIME</t>
  </si>
  <si>
    <t>58PRIME</t>
  </si>
  <si>
    <t>59PRIME</t>
  </si>
  <si>
    <t>60PRIME</t>
  </si>
  <si>
    <t>61PRIME</t>
  </si>
  <si>
    <t>62PRIME</t>
  </si>
  <si>
    <t>63PRIME</t>
  </si>
  <si>
    <t>64PRIME</t>
  </si>
  <si>
    <t>65PRIME</t>
  </si>
  <si>
    <t>66PRIME</t>
  </si>
  <si>
    <t>67PRIME</t>
  </si>
  <si>
    <t>68PRIME</t>
  </si>
  <si>
    <t>69PRIME</t>
  </si>
  <si>
    <t>70PRIME</t>
  </si>
  <si>
    <t>71PRIME</t>
  </si>
  <si>
    <t>72PRIME</t>
  </si>
  <si>
    <t>73PRIME</t>
  </si>
  <si>
    <t>74PRIME</t>
  </si>
  <si>
    <t>75PRIME</t>
  </si>
  <si>
    <t>76PRIME</t>
  </si>
  <si>
    <t>77PRIME</t>
  </si>
  <si>
    <t>78PRIME</t>
  </si>
  <si>
    <t>79PRIME</t>
  </si>
  <si>
    <t>80PRIME</t>
  </si>
  <si>
    <t>18EXCLUSIVE</t>
  </si>
  <si>
    <t>19EXCLUSIVE</t>
  </si>
  <si>
    <t>20EXCLUSIVE</t>
  </si>
  <si>
    <t>21EXCLUSIVE</t>
  </si>
  <si>
    <t>22EXCLUSIVE</t>
  </si>
  <si>
    <t>23EXCLUSIVE</t>
  </si>
  <si>
    <t>24EXCLUSIVE</t>
  </si>
  <si>
    <t>25EXCLUSIVE</t>
  </si>
  <si>
    <t>26EXCLUSIVE</t>
  </si>
  <si>
    <t>27EXCLUSIVE</t>
  </si>
  <si>
    <t>28EXCLUSIVE</t>
  </si>
  <si>
    <t>29EXCLUSIVE</t>
  </si>
  <si>
    <t>30EXCLUSIVE</t>
  </si>
  <si>
    <t>31EXCLUSIVE</t>
  </si>
  <si>
    <t>32EXCLUSIVE</t>
  </si>
  <si>
    <t>33EXCLUSIVE</t>
  </si>
  <si>
    <t>34EXCLUSIVE</t>
  </si>
  <si>
    <t>35EXCLUSIVE</t>
  </si>
  <si>
    <t>36EXCLUSIVE</t>
  </si>
  <si>
    <t>37EXCLUSIVE</t>
  </si>
  <si>
    <t>38EXCLUSIVE</t>
  </si>
  <si>
    <t>39EXCLUSIVE</t>
  </si>
  <si>
    <t>40EXCLUSIVE</t>
  </si>
  <si>
    <t>41EXCLUSIVE</t>
  </si>
  <si>
    <t>42EXCLUSIVE</t>
  </si>
  <si>
    <t>43EXCLUSIVE</t>
  </si>
  <si>
    <t>44EXCLUSIVE</t>
  </si>
  <si>
    <t>45EXCLUSIVE</t>
  </si>
  <si>
    <t>46EXCLUSIVE</t>
  </si>
  <si>
    <t>47EXCLUSIVE</t>
  </si>
  <si>
    <t>48EXCLUSIVE</t>
  </si>
  <si>
    <t>49EXCLUSIVE</t>
  </si>
  <si>
    <t>50EXCLUSIVE</t>
  </si>
  <si>
    <t>51EXCLUSIVE</t>
  </si>
  <si>
    <t>52EXCLUSIVE</t>
  </si>
  <si>
    <t>53EXCLUSIVE</t>
  </si>
  <si>
    <t>54EXCLUSIVE</t>
  </si>
  <si>
    <t>55EXCLUSIVE</t>
  </si>
  <si>
    <t>56EXCLUSIVE</t>
  </si>
  <si>
    <t>57EXCLUSIVE</t>
  </si>
  <si>
    <t>58EXCLUSIVE</t>
  </si>
  <si>
    <t>59EXCLUSIVE</t>
  </si>
  <si>
    <t>60EXCLUSIVE</t>
  </si>
  <si>
    <t>61EXCLUSIVE</t>
  </si>
  <si>
    <t>62EXCLUSIVE</t>
  </si>
  <si>
    <t>63EXCLUSIVE</t>
  </si>
  <si>
    <t>64EXCLUSIVE</t>
  </si>
  <si>
    <t>65EXCLUSIVE</t>
  </si>
  <si>
    <t>66EXCLUSIVE</t>
  </si>
  <si>
    <t>67EXCLUSIVE</t>
  </si>
  <si>
    <t>68EXCLUSIVE</t>
  </si>
  <si>
    <t>69EXCLUSIVE</t>
  </si>
  <si>
    <t>70EXCLUSIVE</t>
  </si>
  <si>
    <t>71EXCLUSIVE</t>
  </si>
  <si>
    <t>72EXCLUSIVE</t>
  </si>
  <si>
    <t>73EXCLUSIVE</t>
  </si>
  <si>
    <t>74EXCLUSIVE</t>
  </si>
  <si>
    <t>75EXCLUSIVE</t>
  </si>
  <si>
    <t>76EXCLUSIVE</t>
  </si>
  <si>
    <t>77EXCLUSIVE</t>
  </si>
  <si>
    <t>78EXCLUSIVE</t>
  </si>
  <si>
    <t>79EXCLUSIVE</t>
  </si>
  <si>
    <t>80EXCLUSIVE</t>
  </si>
  <si>
    <t>18CLASSIC</t>
  </si>
  <si>
    <t>19CLASSIC</t>
  </si>
  <si>
    <t>20CLASSIC</t>
  </si>
  <si>
    <t>21CLASSIC</t>
  </si>
  <si>
    <t>22CLASSIC</t>
  </si>
  <si>
    <t>23CLASSIC</t>
  </si>
  <si>
    <t>24CLASSIC</t>
  </si>
  <si>
    <t>25CLASSIC</t>
  </si>
  <si>
    <t>26CLASSIC</t>
  </si>
  <si>
    <t>27CLASSIC</t>
  </si>
  <si>
    <t>28CLASSIC</t>
  </si>
  <si>
    <t>29CLASSIC</t>
  </si>
  <si>
    <t>30CLASSIC</t>
  </si>
  <si>
    <t>31CLASSIC</t>
  </si>
  <si>
    <t>32CLASSIC</t>
  </si>
  <si>
    <t>33CLASSIC</t>
  </si>
  <si>
    <t>34CLASSIC</t>
  </si>
  <si>
    <t>35CLASSIC</t>
  </si>
  <si>
    <t>36CLASSIC</t>
  </si>
  <si>
    <t>37CLASSIC</t>
  </si>
  <si>
    <t>38CLASSIC</t>
  </si>
  <si>
    <t>39CLASSIC</t>
  </si>
  <si>
    <t>40CLASSIC</t>
  </si>
  <si>
    <t>41CLASSIC</t>
  </si>
  <si>
    <t>42CLASSIC</t>
  </si>
  <si>
    <t>43CLASSIC</t>
  </si>
  <si>
    <t>44CLASSIC</t>
  </si>
  <si>
    <t>45CLASSIC</t>
  </si>
  <si>
    <t>46CLASSIC</t>
  </si>
  <si>
    <t>47CLASSIC</t>
  </si>
  <si>
    <t>48CLASSIC</t>
  </si>
  <si>
    <t>49CLASSIC</t>
  </si>
  <si>
    <t>50CLASSIC</t>
  </si>
  <si>
    <t>51CLASSIC</t>
  </si>
  <si>
    <t>52CLASSIC</t>
  </si>
  <si>
    <t>53CLASSIC</t>
  </si>
  <si>
    <t>54CLASSIC</t>
  </si>
  <si>
    <t>55CLASSIC</t>
  </si>
  <si>
    <t>56CLASSIC</t>
  </si>
  <si>
    <t>57CLASSIC</t>
  </si>
  <si>
    <t>58CLASSIC</t>
  </si>
  <si>
    <t>59CLASSIC</t>
  </si>
  <si>
    <t>60CLASSIC</t>
  </si>
  <si>
    <t>61CLASSIC</t>
  </si>
  <si>
    <t>62CLASSIC</t>
  </si>
  <si>
    <t>63CLASSIC</t>
  </si>
  <si>
    <t>64CLASSIC</t>
  </si>
  <si>
    <t>65CLASSIC</t>
  </si>
  <si>
    <t>66CLASSIC</t>
  </si>
  <si>
    <t>67CLASSIC</t>
  </si>
  <si>
    <t>68CLASSIC</t>
  </si>
  <si>
    <t>69CLASSIC</t>
  </si>
  <si>
    <t>70CLASSIC</t>
  </si>
  <si>
    <t>71CLASSIC</t>
  </si>
  <si>
    <t>72CLASSIC</t>
  </si>
  <si>
    <t>73CLASSIC</t>
  </si>
  <si>
    <t>74CLASSIC</t>
  </si>
  <si>
    <t>75CLASSIC</t>
  </si>
  <si>
    <t>76CLASSIC</t>
  </si>
  <si>
    <t>77CLASSIC</t>
  </si>
  <si>
    <t>78CLASSIC</t>
  </si>
  <si>
    <t>79CLASSIC</t>
  </si>
  <si>
    <t>80CLASSIC</t>
  </si>
  <si>
    <t>Taxa de Juros</t>
  </si>
  <si>
    <t xml:space="preserve">   </t>
  </si>
  <si>
    <t>ID simplificado</t>
  </si>
  <si>
    <t>PRINCIPAL</t>
  </si>
  <si>
    <t>Principal</t>
  </si>
  <si>
    <t>Residencial até 2,25mm</t>
  </si>
  <si>
    <t>Residencial maior 2,25mm</t>
  </si>
  <si>
    <t>Residencial até 2,25mm &lt; 12</t>
  </si>
  <si>
    <t>Private</t>
  </si>
  <si>
    <t>Valor Mínimo imóvel</t>
  </si>
  <si>
    <t>PRIVATE</t>
  </si>
  <si>
    <t>ID Secundário</t>
  </si>
  <si>
    <t>Segmento Enquadra no SFH</t>
  </si>
  <si>
    <t>RESIDENCIAL &gt; 225</t>
  </si>
  <si>
    <t>Enquadramento</t>
  </si>
  <si>
    <t>18PRINCIPAL</t>
  </si>
  <si>
    <t>19PRINCIPAL</t>
  </si>
  <si>
    <t>20PRINCIPAL</t>
  </si>
  <si>
    <t>21PRINCIPAL</t>
  </si>
  <si>
    <t>22PRINCIPAL</t>
  </si>
  <si>
    <t>23PRINCIPAL</t>
  </si>
  <si>
    <t>24PRINCIPAL</t>
  </si>
  <si>
    <t>25PRINCIPAL</t>
  </si>
  <si>
    <t>26PRINCIPAL</t>
  </si>
  <si>
    <t>27PRINCIPAL</t>
  </si>
  <si>
    <t>28PRINCIPAL</t>
  </si>
  <si>
    <t>29PRINCIPAL</t>
  </si>
  <si>
    <t>30PRINCIPAL</t>
  </si>
  <si>
    <t>31PRINCIPAL</t>
  </si>
  <si>
    <t>32PRINCIPAL</t>
  </si>
  <si>
    <t>33PRINCIPAL</t>
  </si>
  <si>
    <t>34PRINCIPAL</t>
  </si>
  <si>
    <t>35PRINCIPAL</t>
  </si>
  <si>
    <t>36PRINCIPAL</t>
  </si>
  <si>
    <t>37PRINCIPAL</t>
  </si>
  <si>
    <t>38PRINCIPAL</t>
  </si>
  <si>
    <t>39PRINCIPAL</t>
  </si>
  <si>
    <t>40PRINCIPAL</t>
  </si>
  <si>
    <t>41PRINCIPAL</t>
  </si>
  <si>
    <t>42PRINCIPAL</t>
  </si>
  <si>
    <t>43PRINCIPAL</t>
  </si>
  <si>
    <t>44PRINCIPAL</t>
  </si>
  <si>
    <t>45PRINCIPAL</t>
  </si>
  <si>
    <t>46PRINCIPAL</t>
  </si>
  <si>
    <t>47PRINCIPAL</t>
  </si>
  <si>
    <t>48PRINCIPAL</t>
  </si>
  <si>
    <t>49PRINCIPAL</t>
  </si>
  <si>
    <t>50PRINCIPAL</t>
  </si>
  <si>
    <t>51PRINCIPAL</t>
  </si>
  <si>
    <t>52PRINCIPAL</t>
  </si>
  <si>
    <t>53PRINCIPAL</t>
  </si>
  <si>
    <t>54PRINCIPAL</t>
  </si>
  <si>
    <t>55PRINCIPAL</t>
  </si>
  <si>
    <t>56PRINCIPAL</t>
  </si>
  <si>
    <t>57PRINCIPAL</t>
  </si>
  <si>
    <t>58PRINCIPAL</t>
  </si>
  <si>
    <t>59PRINCIPAL</t>
  </si>
  <si>
    <t>60PRINCIPAL</t>
  </si>
  <si>
    <t>61PRINCIPAL</t>
  </si>
  <si>
    <t>62PRINCIPAL</t>
  </si>
  <si>
    <t>63PRINCIPAL</t>
  </si>
  <si>
    <t>64PRINCIPAL</t>
  </si>
  <si>
    <t>65PRINCIPAL</t>
  </si>
  <si>
    <t>66PRINCIPAL</t>
  </si>
  <si>
    <t>67PRINCIPAL</t>
  </si>
  <si>
    <t>68PRINCIPAL</t>
  </si>
  <si>
    <t>69PRINCIPAL</t>
  </si>
  <si>
    <t>70PRINCIPAL</t>
  </si>
  <si>
    <t>71PRINCIPAL</t>
  </si>
  <si>
    <t>72PRINCIPAL</t>
  </si>
  <si>
    <t>73PRINCIPAL</t>
  </si>
  <si>
    <t>74PRINCIPAL</t>
  </si>
  <si>
    <t>75PRINCIPAL</t>
  </si>
  <si>
    <t>76PRINCIPAL</t>
  </si>
  <si>
    <t>77PRINCIPAL</t>
  </si>
  <si>
    <t>78PRINCIPAL</t>
  </si>
  <si>
    <t>79PRINCIPAL</t>
  </si>
  <si>
    <t>80PRINCIPAL</t>
  </si>
  <si>
    <t>Repasse/AquisiçãoCOMERCIALPRICEEXCLUSIVE</t>
  </si>
  <si>
    <t>18PRIVATE</t>
  </si>
  <si>
    <t>19PRIVATE</t>
  </si>
  <si>
    <t>20PRIVATE</t>
  </si>
  <si>
    <t>21PRIVATE</t>
  </si>
  <si>
    <t>22PRIVATE</t>
  </si>
  <si>
    <t>23PRIVATE</t>
  </si>
  <si>
    <t>24PRIVATE</t>
  </si>
  <si>
    <t>25PRIVATE</t>
  </si>
  <si>
    <t>26PRIVATE</t>
  </si>
  <si>
    <t>27PRIVATE</t>
  </si>
  <si>
    <t>28PRIVATE</t>
  </si>
  <si>
    <t>29PRIVATE</t>
  </si>
  <si>
    <t>30PRIVATE</t>
  </si>
  <si>
    <t>31PRIVATE</t>
  </si>
  <si>
    <t>32PRIVATE</t>
  </si>
  <si>
    <t>33PRIVATE</t>
  </si>
  <si>
    <t>34PRIVATE</t>
  </si>
  <si>
    <t>35PRIVATE</t>
  </si>
  <si>
    <t>36PRIVATE</t>
  </si>
  <si>
    <t>37PRIVATE</t>
  </si>
  <si>
    <t>38PRIVATE</t>
  </si>
  <si>
    <t>39PRIVATE</t>
  </si>
  <si>
    <t>40PRIVATE</t>
  </si>
  <si>
    <t>41PRIVATE</t>
  </si>
  <si>
    <t>42PRIVATE</t>
  </si>
  <si>
    <t>43PRIVATE</t>
  </si>
  <si>
    <t>44PRIVATE</t>
  </si>
  <si>
    <t>45PRIVATE</t>
  </si>
  <si>
    <t>46PRIVATE</t>
  </si>
  <si>
    <t>47PRIVATE</t>
  </si>
  <si>
    <t>48PRIVATE</t>
  </si>
  <si>
    <t>49PRIVATE</t>
  </si>
  <si>
    <t>50PRIVATE</t>
  </si>
  <si>
    <t>51PRIVATE</t>
  </si>
  <si>
    <t>52PRIVATE</t>
  </si>
  <si>
    <t>53PRIVATE</t>
  </si>
  <si>
    <t>54PRIVATE</t>
  </si>
  <si>
    <t>55PRIVATE</t>
  </si>
  <si>
    <t>56PRIVATE</t>
  </si>
  <si>
    <t>57PRIVATE</t>
  </si>
  <si>
    <t>58PRIVATE</t>
  </si>
  <si>
    <t>59PRIVATE</t>
  </si>
  <si>
    <t>60PRIVATE</t>
  </si>
  <si>
    <t>61PRIVATE</t>
  </si>
  <si>
    <t>62PRIVATE</t>
  </si>
  <si>
    <t>63PRIVATE</t>
  </si>
  <si>
    <t>64PRIVATE</t>
  </si>
  <si>
    <t>65PRIVATE</t>
  </si>
  <si>
    <t>66PRIVATE</t>
  </si>
  <si>
    <t>67PRIVATE</t>
  </si>
  <si>
    <t>68PRIVATE</t>
  </si>
  <si>
    <t>69PRIVATE</t>
  </si>
  <si>
    <t>70PRIVATE</t>
  </si>
  <si>
    <t>71PRIVATE</t>
  </si>
  <si>
    <t>72PRIVATE</t>
  </si>
  <si>
    <t>73PRIVATE</t>
  </si>
  <si>
    <t>74PRIVATE</t>
  </si>
  <si>
    <t>75PRIVATE</t>
  </si>
  <si>
    <t>76PRIVATE</t>
  </si>
  <si>
    <t>77PRIVATE</t>
  </si>
  <si>
    <t>78PRIVATE</t>
  </si>
  <si>
    <t>79PRIVATE</t>
  </si>
  <si>
    <t>80PRIVATE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</si>
</sst>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%"/>
    <numFmt numFmtId="165" formatCode="[$-416]mmm\-yy;@"/>
    <numFmt numFmtId="166" formatCode="0.0%"/>
    <numFmt numFmtId="167" formatCode="&quot;R$&quot;\ #,##0.00"/>
    <numFmt numFmtId="168" formatCode="&quot;R$&quot;\ #,##0"/>
    <numFmt numFmtId="169" formatCode="0.000000%"/>
  </numFmts>
  <fonts count="37" x14ac:knownFonts="1">
    <font>
      <sz val="10"/>
      <color theme="1"/>
      <name val="Bradesco Sans"/>
      <family val="2"/>
    </font>
    <font>
      <sz val="10"/>
      <color theme="1"/>
      <name val="Bradesco Sans"/>
      <family val="2"/>
    </font>
    <font>
      <b/>
      <sz val="10"/>
      <color theme="0"/>
      <name val="Bradesco Sans"/>
    </font>
    <font>
      <sz val="10"/>
      <color theme="1"/>
      <name val="Century Gothic"/>
      <family val="2"/>
    </font>
    <font>
      <b/>
      <sz val="10"/>
      <color theme="0"/>
      <name val="Century Gothic"/>
      <family val="2"/>
    </font>
    <font>
      <b/>
      <sz val="10"/>
      <color theme="1"/>
      <name val="Century Gothic"/>
      <family val="2"/>
    </font>
    <font>
      <sz val="9"/>
      <color theme="1"/>
      <name val="Century Gothic"/>
      <family val="2"/>
    </font>
    <font>
      <b/>
      <sz val="9"/>
      <color theme="0"/>
      <name val="Century Gothic"/>
      <family val="2"/>
    </font>
    <font>
      <sz val="8"/>
      <color theme="1"/>
      <name val="Century Gothic"/>
      <family val="2"/>
    </font>
    <font>
      <b/>
      <sz val="9"/>
      <color theme="1"/>
      <name val="Century Gothic"/>
      <family val="2"/>
    </font>
    <font>
      <b/>
      <sz val="28"/>
      <color theme="0"/>
      <name val="Century Gothic"/>
      <family val="2"/>
    </font>
    <font>
      <sz val="10"/>
      <color theme="0"/>
      <name val="Bradesco Sans"/>
      <family val="2"/>
    </font>
    <font>
      <sz val="10"/>
      <color theme="0"/>
      <name val="Century Gothic"/>
      <family val="2"/>
    </font>
    <font>
      <sz val="26"/>
      <color theme="1"/>
      <name val="Bradesco Sans"/>
      <family val="2"/>
    </font>
    <font>
      <b/>
      <sz val="10"/>
      <color rgb="FF990033"/>
      <name val="Bradesco Sans"/>
    </font>
    <font>
      <b/>
      <sz val="22"/>
      <color theme="1"/>
      <name val="Gill Sans Nova"/>
      <family val="2"/>
    </font>
    <font>
      <b/>
      <sz val="14"/>
      <color theme="1"/>
      <name val="Gill Sans Nova"/>
      <family val="2"/>
    </font>
    <font>
      <sz val="10"/>
      <color theme="1"/>
      <name val="Gill Sans Nova"/>
      <family val="2"/>
    </font>
    <font>
      <b/>
      <sz val="16"/>
      <color theme="1"/>
      <name val="Gill Sans Nova"/>
      <family val="2"/>
    </font>
    <font>
      <b/>
      <sz val="13"/>
      <color theme="1"/>
      <name val="Gill Sans Nova"/>
      <family val="2"/>
    </font>
    <font>
      <sz val="16"/>
      <color theme="1"/>
      <name val="Gill Sans Nova"/>
      <family val="2"/>
    </font>
    <font>
      <sz val="22"/>
      <color theme="1"/>
      <name val="Gill Sans Nova"/>
      <family val="2"/>
    </font>
    <font>
      <sz val="10"/>
      <color theme="6" tint="-0.249977111117893"/>
      <name val="Gill Sans Nova"/>
      <family val="2"/>
    </font>
    <font>
      <b/>
      <sz val="10"/>
      <color theme="0"/>
      <name val="Gill Sans Nova"/>
      <family val="2"/>
    </font>
    <font>
      <b/>
      <sz val="8"/>
      <color theme="1"/>
      <name val="Gill Sans Nova"/>
      <family val="2"/>
    </font>
    <font>
      <sz val="8"/>
      <color theme="1"/>
      <name val="Gill Sans Nova"/>
      <family val="2"/>
    </font>
    <font>
      <sz val="9"/>
      <color theme="1"/>
      <name val="Gill Sans Nova"/>
      <family val="2"/>
    </font>
    <font>
      <sz val="11"/>
      <color theme="2" tint="-0.499984740745262"/>
      <name val="Gill Sans Nova"/>
      <family val="2"/>
    </font>
    <font>
      <sz val="6"/>
      <color theme="0"/>
      <name val="Gill Sans Nova"/>
      <family val="2"/>
    </font>
    <font>
      <sz val="10"/>
      <color theme="0"/>
      <name val="Gill Sans Nova"/>
      <family val="2"/>
    </font>
    <font>
      <b/>
      <sz val="10"/>
      <color theme="1"/>
      <name val="Gill Sans Nova"/>
      <family val="2"/>
    </font>
    <font>
      <b/>
      <sz val="9"/>
      <color theme="0"/>
      <name val="Gill Sans Nova"/>
      <family val="2"/>
    </font>
    <font>
      <b/>
      <sz val="9"/>
      <color theme="1"/>
      <name val="Gill Sans Nova"/>
      <family val="2"/>
    </font>
    <font>
      <b/>
      <sz val="26"/>
      <color theme="0"/>
      <name val="Gisha"/>
      <family val="2"/>
      <charset val="177"/>
    </font>
    <font>
      <b/>
      <sz val="11"/>
      <color theme="1"/>
      <name val="Gisha"/>
      <family val="2"/>
      <charset val="177"/>
    </font>
    <font>
      <b/>
      <sz val="9"/>
      <color theme="1"/>
      <name val="Gisha"/>
      <family val="2"/>
      <charset val="177"/>
    </font>
    <font>
      <sz val="9"/>
      <color theme="1"/>
      <name val="Gisha"/>
      <family val="2"/>
      <charset val="177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165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16">
    <xf numFmtId="165" fontId="0" fillId="0" borderId="0" xfId="0"/>
    <xf numFmtId="14" fontId="0" fillId="0" borderId="0" xfId="0" applyNumberFormat="1"/>
    <xf numFmtId="10" fontId="0" fillId="0" borderId="0" xfId="2" applyNumberFormat="1" applyFont="1"/>
    <xf numFmtId="9" fontId="0" fillId="0" borderId="0" xfId="2" applyFont="1"/>
    <xf numFmtId="44" fontId="0" fillId="0" borderId="0" xfId="1" applyFont="1"/>
    <xf numFmtId="165" fontId="0" fillId="0" borderId="0" xfId="0" applyAlignment="1">
      <alignment horizontal="center" vertical="center"/>
    </xf>
    <xf numFmtId="165" fontId="2" fillId="2" borderId="0" xfId="0" applyFont="1" applyFill="1" applyAlignment="1">
      <alignment horizontal="center" vertical="center"/>
    </xf>
    <xf numFmtId="165" fontId="2" fillId="3" borderId="0" xfId="0" applyFont="1" applyFill="1" applyAlignment="1">
      <alignment horizontal="center" vertical="center"/>
    </xf>
    <xf numFmtId="165" fontId="0" fillId="0" borderId="1" xfId="0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2" fillId="2" borderId="0" xfId="0" applyFont="1" applyFill="1" applyAlignment="1">
      <alignment vertical="center"/>
    </xf>
    <xf numFmtId="44" fontId="0" fillId="0" borderId="1" xfId="1" applyFont="1" applyBorder="1" applyAlignment="1">
      <alignment horizontal="center" vertical="center"/>
    </xf>
    <xf numFmtId="44" fontId="0" fillId="0" borderId="0" xfId="0" applyNumberFormat="1"/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165" fontId="0" fillId="0" borderId="0" xfId="0" applyAlignment="1">
      <alignment horizontal="center"/>
    </xf>
    <xf numFmtId="10" fontId="0" fillId="0" borderId="0" xfId="0" applyNumberFormat="1" applyAlignment="1">
      <alignment horizontal="center" vertical="center"/>
    </xf>
    <xf numFmtId="165" fontId="0" fillId="0" borderId="0" xfId="0" applyAlignment="1" applyProtection="1">
      <alignment horizontal="center" vertical="center"/>
      <protection locked="0"/>
    </xf>
    <xf numFmtId="165" fontId="3" fillId="0" borderId="0" xfId="0" applyFont="1"/>
    <xf numFmtId="165" fontId="3" fillId="0" borderId="2" xfId="0" applyFont="1" applyBorder="1"/>
    <xf numFmtId="165" fontId="3" fillId="0" borderId="3" xfId="0" applyFont="1" applyBorder="1"/>
    <xf numFmtId="44" fontId="3" fillId="0" borderId="0" xfId="1" applyFont="1"/>
    <xf numFmtId="165" fontId="5" fillId="0" borderId="0" xfId="0" applyFont="1" applyAlignment="1">
      <alignment horizontal="center" vertical="center"/>
    </xf>
    <xf numFmtId="165" fontId="5" fillId="4" borderId="0" xfId="0" applyFont="1" applyFill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165" fontId="5" fillId="0" borderId="2" xfId="0" applyFont="1" applyBorder="1" applyAlignment="1">
      <alignment horizontal="center" vertical="center"/>
    </xf>
    <xf numFmtId="165" fontId="3" fillId="0" borderId="1" xfId="0" applyFont="1" applyBorder="1" applyAlignment="1">
      <alignment horizontal="center" vertical="center"/>
    </xf>
    <xf numFmtId="165" fontId="5" fillId="5" borderId="0" xfId="0" applyFont="1" applyFill="1"/>
    <xf numFmtId="165" fontId="6" fillId="5" borderId="0" xfId="0" applyFont="1" applyFill="1"/>
    <xf numFmtId="165" fontId="3" fillId="4" borderId="0" xfId="0" applyFont="1" applyFill="1"/>
    <xf numFmtId="165" fontId="3" fillId="0" borderId="0" xfId="0" applyFont="1" applyAlignment="1">
      <alignment horizontal="center" vertical="center"/>
    </xf>
    <xf numFmtId="165" fontId="6" fillId="0" borderId="1" xfId="0" applyFont="1" applyBorder="1" applyAlignment="1" applyProtection="1">
      <alignment horizontal="center" vertical="center"/>
      <protection locked="0"/>
    </xf>
    <xf numFmtId="165" fontId="3" fillId="4" borderId="0" xfId="0" applyFont="1" applyFill="1" applyAlignment="1">
      <alignment horizontal="center" vertical="center"/>
    </xf>
    <xf numFmtId="44" fontId="3" fillId="0" borderId="1" xfId="1" applyFont="1" applyBorder="1" applyAlignment="1">
      <alignment horizontal="center" vertical="center"/>
    </xf>
    <xf numFmtId="1" fontId="3" fillId="0" borderId="1" xfId="1" applyNumberFormat="1" applyFont="1" applyBorder="1" applyAlignment="1">
      <alignment horizontal="center" vertical="center"/>
    </xf>
    <xf numFmtId="165" fontId="6" fillId="0" borderId="0" xfId="0" applyFont="1" applyAlignment="1">
      <alignment horizontal="center" vertical="center"/>
    </xf>
    <xf numFmtId="44" fontId="6" fillId="0" borderId="1" xfId="1" applyFont="1" applyBorder="1" applyAlignment="1" applyProtection="1">
      <alignment horizontal="center" vertical="center"/>
      <protection locked="0"/>
    </xf>
    <xf numFmtId="44" fontId="6" fillId="0" borderId="0" xfId="1" applyFont="1" applyBorder="1" applyAlignment="1">
      <alignment horizontal="center" vertical="center"/>
    </xf>
    <xf numFmtId="165" fontId="5" fillId="5" borderId="0" xfId="0" applyFont="1" applyFill="1" applyAlignment="1">
      <alignment horizontal="center" vertical="center"/>
    </xf>
    <xf numFmtId="165" fontId="6" fillId="5" borderId="0" xfId="0" applyFont="1" applyFill="1" applyAlignment="1">
      <alignment horizontal="center" vertical="center"/>
    </xf>
    <xf numFmtId="165" fontId="3" fillId="5" borderId="0" xfId="0" applyFont="1" applyFill="1" applyAlignment="1">
      <alignment horizontal="center" vertical="center"/>
    </xf>
    <xf numFmtId="44" fontId="6" fillId="5" borderId="0" xfId="1" applyFont="1" applyFill="1"/>
    <xf numFmtId="44" fontId="3" fillId="0" borderId="0" xfId="1" applyFont="1" applyAlignment="1">
      <alignment horizontal="center" vertical="center"/>
    </xf>
    <xf numFmtId="44" fontId="5" fillId="0" borderId="0" xfId="1" applyFont="1" applyAlignment="1">
      <alignment horizontal="center"/>
    </xf>
    <xf numFmtId="9" fontId="3" fillId="0" borderId="1" xfId="2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0" fontId="3" fillId="0" borderId="1" xfId="2" applyNumberFormat="1" applyFont="1" applyBorder="1" applyAlignment="1">
      <alignment horizontal="center" vertical="center"/>
    </xf>
    <xf numFmtId="44" fontId="3" fillId="0" borderId="2" xfId="1" applyFont="1" applyBorder="1"/>
    <xf numFmtId="44" fontId="5" fillId="0" borderId="0" xfId="1" applyFont="1" applyAlignment="1">
      <alignment horizontal="center" vertical="center"/>
    </xf>
    <xf numFmtId="165" fontId="3" fillId="0" borderId="0" xfId="0" applyFont="1" applyAlignment="1">
      <alignment vertical="center"/>
    </xf>
    <xf numFmtId="165" fontId="9" fillId="0" borderId="0" xfId="0" applyFont="1" applyAlignment="1">
      <alignment horizontal="center" vertical="center"/>
    </xf>
    <xf numFmtId="165" fontId="3" fillId="0" borderId="2" xfId="0" applyFont="1" applyBorder="1" applyAlignment="1">
      <alignment vertical="center"/>
    </xf>
    <xf numFmtId="165" fontId="5" fillId="0" borderId="0" xfId="0" applyFont="1" applyAlignment="1">
      <alignment vertical="center"/>
    </xf>
    <xf numFmtId="44" fontId="3" fillId="0" borderId="1" xfId="0" applyNumberFormat="1" applyFont="1" applyBorder="1" applyAlignment="1">
      <alignment horizontal="center" vertical="center"/>
    </xf>
    <xf numFmtId="165" fontId="3" fillId="0" borderId="6" xfId="0" applyFont="1" applyBorder="1" applyAlignment="1">
      <alignment horizontal="center" vertical="center"/>
    </xf>
    <xf numFmtId="165" fontId="3" fillId="0" borderId="5" xfId="0" applyFont="1" applyBorder="1" applyAlignment="1">
      <alignment horizontal="center" vertical="center"/>
    </xf>
    <xf numFmtId="165" fontId="3" fillId="0" borderId="5" xfId="0" applyFont="1" applyBorder="1" applyAlignment="1">
      <alignment vertical="center"/>
    </xf>
    <xf numFmtId="165" fontId="3" fillId="0" borderId="4" xfId="0" applyFont="1" applyBorder="1"/>
    <xf numFmtId="165" fontId="8" fillId="0" borderId="0" xfId="0" applyFont="1" applyAlignment="1">
      <alignment vertical="center" wrapText="1"/>
    </xf>
    <xf numFmtId="44" fontId="3" fillId="0" borderId="0" xfId="0" applyNumberFormat="1" applyFont="1" applyAlignment="1">
      <alignment horizontal="center" vertical="center"/>
    </xf>
    <xf numFmtId="165" fontId="7" fillId="5" borderId="0" xfId="0" applyFont="1" applyFill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165" fontId="7" fillId="5" borderId="0" xfId="0" applyFont="1" applyFill="1" applyAlignment="1">
      <alignment vertical="center"/>
    </xf>
    <xf numFmtId="1" fontId="0" fillId="0" borderId="1" xfId="2" applyNumberFormat="1" applyFont="1" applyFill="1" applyBorder="1" applyAlignment="1">
      <alignment horizontal="center" vertical="center"/>
    </xf>
    <xf numFmtId="9" fontId="0" fillId="0" borderId="1" xfId="0" applyNumberFormat="1" applyBorder="1" applyAlignment="1">
      <alignment horizontal="center"/>
    </xf>
    <xf numFmtId="9" fontId="0" fillId="0" borderId="1" xfId="0" applyNumberFormat="1" applyBorder="1"/>
    <xf numFmtId="165" fontId="0" fillId="0" borderId="1" xfId="0" applyBorder="1"/>
    <xf numFmtId="10" fontId="3" fillId="0" borderId="1" xfId="2" applyNumberFormat="1" applyFont="1" applyFill="1" applyBorder="1" applyAlignment="1">
      <alignment horizontal="center" vertical="center"/>
    </xf>
    <xf numFmtId="1" fontId="3" fillId="0" borderId="1" xfId="1" applyNumberFormat="1" applyFont="1" applyFill="1" applyBorder="1" applyAlignment="1">
      <alignment horizontal="center" vertical="center"/>
    </xf>
    <xf numFmtId="165" fontId="4" fillId="0" borderId="0" xfId="0" applyFont="1" applyAlignment="1">
      <alignment vertical="center"/>
    </xf>
    <xf numFmtId="166" fontId="0" fillId="0" borderId="0" xfId="2" applyNumberFormat="1" applyFont="1"/>
    <xf numFmtId="165" fontId="0" fillId="0" borderId="1" xfId="0" applyBorder="1" applyAlignment="1">
      <alignment horizontal="center"/>
    </xf>
    <xf numFmtId="166" fontId="0" fillId="0" borderId="1" xfId="2" applyNumberFormat="1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9" fontId="0" fillId="0" borderId="0" xfId="0" applyNumberFormat="1"/>
    <xf numFmtId="10" fontId="0" fillId="0" borderId="0" xfId="0" applyNumberFormat="1"/>
    <xf numFmtId="0" fontId="3" fillId="0" borderId="0" xfId="0" applyNumberFormat="1" applyFont="1" applyAlignment="1">
      <alignment horizontal="center" vertical="center"/>
    </xf>
    <xf numFmtId="1" fontId="0" fillId="0" borderId="0" xfId="1" applyNumberFormat="1" applyFont="1"/>
    <xf numFmtId="1" fontId="3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1" fontId="3" fillId="0" borderId="0" xfId="1" applyNumberFormat="1" applyFont="1" applyAlignment="1">
      <alignment horizontal="center" vertical="center"/>
    </xf>
    <xf numFmtId="1" fontId="0" fillId="0" borderId="1" xfId="1" applyNumberFormat="1" applyFont="1" applyBorder="1" applyAlignment="1">
      <alignment horizontal="center" vertical="center"/>
    </xf>
    <xf numFmtId="0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>
      <alignment horizontal="center"/>
    </xf>
    <xf numFmtId="0" fontId="0" fillId="0" borderId="1" xfId="2" applyNumberFormat="1" applyFont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9" fontId="0" fillId="0" borderId="0" xfId="0" applyNumberFormat="1" applyAlignment="1">
      <alignment horizontal="center" vertical="center"/>
    </xf>
    <xf numFmtId="165" fontId="12" fillId="0" borderId="0" xfId="0" applyFont="1" applyAlignment="1">
      <alignment vertical="center"/>
    </xf>
    <xf numFmtId="165" fontId="12" fillId="0" borderId="0" xfId="0" applyFont="1"/>
    <xf numFmtId="44" fontId="12" fillId="0" borderId="0" xfId="1" applyFont="1"/>
    <xf numFmtId="0" fontId="11" fillId="0" borderId="0" xfId="0" applyNumberFormat="1" applyFont="1" applyAlignment="1">
      <alignment horizontal="center"/>
    </xf>
    <xf numFmtId="165" fontId="11" fillId="0" borderId="0" xfId="0" applyFont="1"/>
    <xf numFmtId="1" fontId="0" fillId="0" borderId="0" xfId="1" applyNumberFormat="1" applyFont="1" applyAlignment="1">
      <alignment horizontal="center"/>
    </xf>
    <xf numFmtId="44" fontId="13" fillId="0" borderId="0" xfId="1" applyFont="1" applyAlignment="1">
      <alignment vertical="center"/>
    </xf>
    <xf numFmtId="1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1" fontId="11" fillId="0" borderId="0" xfId="1" applyNumberFormat="1" applyFont="1" applyAlignment="1">
      <alignment horizontal="center"/>
    </xf>
    <xf numFmtId="165" fontId="8" fillId="0" borderId="0" xfId="0" applyFont="1" applyAlignment="1">
      <alignment vertical="center"/>
    </xf>
    <xf numFmtId="9" fontId="6" fillId="0" borderId="1" xfId="2" applyFont="1" applyBorder="1" applyAlignment="1" applyProtection="1">
      <alignment horizontal="center" vertical="center"/>
      <protection locked="0"/>
    </xf>
    <xf numFmtId="0" fontId="5" fillId="0" borderId="0" xfId="0" applyNumberFormat="1" applyFont="1" applyAlignment="1">
      <alignment horizontal="center" vertical="center"/>
    </xf>
    <xf numFmtId="2" fontId="3" fillId="0" borderId="1" xfId="1" applyNumberFormat="1" applyFont="1" applyBorder="1" applyAlignment="1">
      <alignment horizontal="center" vertical="center"/>
    </xf>
    <xf numFmtId="1" fontId="0" fillId="0" borderId="1" xfId="1" applyNumberFormat="1" applyFont="1" applyBorder="1" applyAlignment="1">
      <alignment horizontal="left" indent="3"/>
    </xf>
    <xf numFmtId="0" fontId="11" fillId="0" borderId="0" xfId="0" applyNumberFormat="1" applyFont="1"/>
    <xf numFmtId="1" fontId="11" fillId="0" borderId="0" xfId="1" applyNumberFormat="1" applyFont="1"/>
    <xf numFmtId="165" fontId="11" fillId="4" borderId="0" xfId="0" applyFont="1" applyFill="1"/>
    <xf numFmtId="165" fontId="12" fillId="4" borderId="0" xfId="0" applyFont="1" applyFill="1" applyAlignment="1">
      <alignment horizontal="center" vertical="center"/>
    </xf>
    <xf numFmtId="9" fontId="11" fillId="4" borderId="0" xfId="2" applyFont="1" applyFill="1"/>
    <xf numFmtId="0" fontId="12" fillId="4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44" fontId="11" fillId="0" borderId="0" xfId="1" applyFont="1"/>
    <xf numFmtId="1" fontId="11" fillId="0" borderId="0" xfId="0" applyNumberFormat="1" applyFont="1"/>
    <xf numFmtId="44" fontId="1" fillId="4" borderId="0" xfId="1" applyFont="1" applyFill="1"/>
    <xf numFmtId="1" fontId="1" fillId="4" borderId="0" xfId="1" applyNumberFormat="1" applyFont="1" applyFill="1"/>
    <xf numFmtId="10" fontId="1" fillId="4" borderId="0" xfId="2" applyNumberFormat="1" applyFont="1" applyFill="1"/>
    <xf numFmtId="0" fontId="1" fillId="4" borderId="0" xfId="2" applyNumberFormat="1" applyFont="1" applyFill="1"/>
    <xf numFmtId="0" fontId="1" fillId="4" borderId="0" xfId="1" applyNumberFormat="1" applyFont="1" applyFill="1"/>
    <xf numFmtId="169" fontId="0" fillId="0" borderId="0" xfId="2" applyNumberFormat="1" applyFont="1"/>
    <xf numFmtId="9" fontId="1" fillId="4" borderId="0" xfId="2" applyFont="1" applyFill="1"/>
    <xf numFmtId="10" fontId="3" fillId="0" borderId="0" xfId="1" applyNumberFormat="1" applyFont="1"/>
    <xf numFmtId="10" fontId="1" fillId="4" borderId="1" xfId="2" applyNumberFormat="1" applyFont="1" applyFill="1" applyBorder="1"/>
    <xf numFmtId="10" fontId="0" fillId="8" borderId="0" xfId="2" applyNumberFormat="1" applyFont="1" applyFill="1" applyAlignment="1">
      <alignment horizontal="center" vertical="center"/>
    </xf>
    <xf numFmtId="10" fontId="0" fillId="8" borderId="12" xfId="2" applyNumberFormat="1" applyFont="1" applyFill="1" applyBorder="1" applyAlignment="1">
      <alignment horizontal="center" vertical="center"/>
    </xf>
    <xf numFmtId="10" fontId="0" fillId="8" borderId="1" xfId="2" applyNumberFormat="1" applyFont="1" applyFill="1" applyBorder="1" applyAlignment="1">
      <alignment horizontal="center" vertical="center"/>
    </xf>
    <xf numFmtId="44" fontId="8" fillId="0" borderId="0" xfId="1" applyFont="1" applyAlignment="1">
      <alignment vertical="center" wrapText="1"/>
    </xf>
    <xf numFmtId="2" fontId="3" fillId="0" borderId="1" xfId="0" applyNumberFormat="1" applyFont="1" applyBorder="1" applyAlignment="1">
      <alignment horizontal="center"/>
    </xf>
    <xf numFmtId="1" fontId="3" fillId="0" borderId="0" xfId="1" applyNumberFormat="1" applyFont="1"/>
    <xf numFmtId="1" fontId="0" fillId="0" borderId="0" xfId="0" applyNumberFormat="1" applyAlignment="1">
      <alignment horizontal="left" indent="7"/>
    </xf>
    <xf numFmtId="165" fontId="17" fillId="0" borderId="0" xfId="0" applyFont="1"/>
    <xf numFmtId="44" fontId="16" fillId="0" borderId="0" xfId="1" applyFont="1" applyAlignment="1">
      <alignment vertical="center"/>
    </xf>
    <xf numFmtId="44" fontId="21" fillId="0" borderId="0" xfId="1" applyFont="1" applyAlignment="1">
      <alignment vertical="center"/>
    </xf>
    <xf numFmtId="0" fontId="22" fillId="0" borderId="0" xfId="0" applyNumberFormat="1" applyFont="1" applyAlignment="1">
      <alignment horizontal="left" vertical="center"/>
    </xf>
    <xf numFmtId="44" fontId="20" fillId="0" borderId="0" xfId="1" applyFont="1" applyAlignment="1">
      <alignment vertical="center"/>
    </xf>
    <xf numFmtId="14" fontId="17" fillId="0" borderId="0" xfId="0" applyNumberFormat="1" applyFont="1" applyAlignment="1">
      <alignment horizontal="center"/>
    </xf>
    <xf numFmtId="165" fontId="20" fillId="0" borderId="0" xfId="0" applyFont="1"/>
    <xf numFmtId="165" fontId="24" fillId="0" borderId="0" xfId="0" applyFont="1" applyAlignment="1">
      <alignment horizontal="center" vertical="center" wrapText="1"/>
    </xf>
    <xf numFmtId="165" fontId="25" fillId="0" borderId="0" xfId="0" applyFont="1"/>
    <xf numFmtId="167" fontId="26" fillId="0" borderId="7" xfId="1" applyNumberFormat="1" applyFont="1" applyBorder="1" applyAlignment="1"/>
    <xf numFmtId="168" fontId="26" fillId="0" borderId="7" xfId="1" applyNumberFormat="1" applyFont="1" applyBorder="1" applyAlignment="1"/>
    <xf numFmtId="167" fontId="27" fillId="0" borderId="0" xfId="0" applyNumberFormat="1" applyFont="1"/>
    <xf numFmtId="165" fontId="28" fillId="0" borderId="0" xfId="0" applyFont="1" applyAlignment="1">
      <alignment vertical="top" wrapText="1"/>
    </xf>
    <xf numFmtId="165" fontId="29" fillId="0" borderId="0" xfId="0" applyFont="1"/>
    <xf numFmtId="0" fontId="17" fillId="0" borderId="0" xfId="0" applyNumberFormat="1" applyFont="1"/>
    <xf numFmtId="1" fontId="29" fillId="0" borderId="0" xfId="0" applyNumberFormat="1" applyFont="1"/>
    <xf numFmtId="165" fontId="31" fillId="0" borderId="0" xfId="0" applyFont="1" applyAlignment="1">
      <alignment horizontal="center" vertical="center"/>
    </xf>
    <xf numFmtId="165" fontId="26" fillId="0" borderId="0" xfId="0" applyFont="1" applyAlignment="1">
      <alignment horizontal="right" vertical="top"/>
    </xf>
    <xf numFmtId="44" fontId="17" fillId="0" borderId="0" xfId="1" applyFont="1" applyFill="1" applyBorder="1"/>
    <xf numFmtId="165" fontId="32" fillId="0" borderId="0" xfId="0" applyFont="1" applyAlignment="1">
      <alignment vertical="center"/>
    </xf>
    <xf numFmtId="10" fontId="20" fillId="0" borderId="0" xfId="2" applyNumberFormat="1" applyFont="1" applyAlignment="1"/>
    <xf numFmtId="165" fontId="33" fillId="0" borderId="0" xfId="0" applyFont="1" applyAlignment="1">
      <alignment horizontal="center" vertical="center"/>
    </xf>
    <xf numFmtId="167" fontId="35" fillId="0" borderId="0" xfId="0" applyNumberFormat="1" applyFont="1" applyAlignment="1">
      <alignment horizontal="center" vertical="center"/>
    </xf>
    <xf numFmtId="165" fontId="33" fillId="7" borderId="0" xfId="0" applyFont="1" applyFill="1" applyAlignment="1">
      <alignment horizontal="center" vertical="center"/>
    </xf>
    <xf numFmtId="165" fontId="35" fillId="0" borderId="0" xfId="0" applyFont="1" applyAlignment="1">
      <alignment horizontal="center" vertical="center"/>
    </xf>
    <xf numFmtId="14" fontId="36" fillId="0" borderId="0" xfId="0" applyNumberFormat="1" applyFont="1" applyAlignment="1">
      <alignment horizontal="center"/>
    </xf>
    <xf numFmtId="0" fontId="36" fillId="0" borderId="0" xfId="0" applyNumberFormat="1" applyFont="1" applyAlignment="1">
      <alignment horizontal="center" vertical="center"/>
    </xf>
    <xf numFmtId="0" fontId="35" fillId="0" borderId="0" xfId="0" applyNumberFormat="1" applyFont="1" applyAlignment="1">
      <alignment horizontal="center" vertical="center"/>
    </xf>
    <xf numFmtId="14" fontId="35" fillId="0" borderId="0" xfId="0" applyNumberFormat="1" applyFont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 wrapText="1"/>
    </xf>
    <xf numFmtId="164" fontId="0" fillId="0" borderId="0" xfId="2" applyNumberFormat="1" applyFont="1"/>
    <xf numFmtId="43" fontId="0" fillId="8" borderId="0" xfId="3" applyFont="1" applyFill="1" applyBorder="1" applyAlignment="1">
      <alignment horizontal="center" vertical="center"/>
    </xf>
    <xf numFmtId="43" fontId="0" fillId="8" borderId="2" xfId="3" applyFont="1" applyFill="1" applyBorder="1" applyAlignment="1">
      <alignment horizontal="center" vertical="center"/>
    </xf>
    <xf numFmtId="43" fontId="0" fillId="8" borderId="12" xfId="3" applyFont="1" applyFill="1" applyBorder="1" applyAlignment="1">
      <alignment horizontal="center" vertical="center"/>
    </xf>
    <xf numFmtId="10" fontId="0" fillId="0" borderId="12" xfId="2" applyNumberFormat="1" applyFont="1" applyFill="1" applyBorder="1" applyAlignment="1">
      <alignment horizontal="center" vertical="center"/>
    </xf>
    <xf numFmtId="165" fontId="0" fillId="0" borderId="0" xfId="0" applyFont="1"/>
    <xf numFmtId="2" fontId="0" fillId="0" borderId="0" xfId="0" applyNumberFormat="1" applyFont="1"/>
    <xf numFmtId="0" fontId="0" fillId="0" borderId="0" xfId="0" applyNumberFormat="1" applyFont="1"/>
    <xf numFmtId="1" fontId="0" fillId="0" borderId="0" xfId="0" applyNumberFormat="1" applyFont="1"/>
    <xf numFmtId="44" fontId="0" fillId="0" borderId="0" xfId="0" applyNumberFormat="1" applyFont="1"/>
    <xf numFmtId="165" fontId="10" fillId="5" borderId="0" xfId="0" applyFont="1" applyFill="1" applyAlignment="1">
      <alignment horizontal="center" vertical="center"/>
    </xf>
    <xf numFmtId="165" fontId="5" fillId="0" borderId="0" xfId="0" applyFont="1" applyAlignment="1">
      <alignment horizontal="center" vertical="center"/>
    </xf>
    <xf numFmtId="165" fontId="9" fillId="6" borderId="2" xfId="0" applyFont="1" applyFill="1" applyBorder="1" applyAlignment="1">
      <alignment horizontal="center" vertical="center"/>
    </xf>
    <xf numFmtId="165" fontId="9" fillId="6" borderId="0" xfId="0" applyFont="1" applyFill="1" applyAlignment="1">
      <alignment horizontal="center" vertical="center"/>
    </xf>
    <xf numFmtId="165" fontId="7" fillId="5" borderId="0" xfId="0" applyFont="1" applyFill="1" applyAlignment="1">
      <alignment horizontal="center" vertical="center"/>
    </xf>
    <xf numFmtId="165" fontId="4" fillId="5" borderId="0" xfId="0" applyFont="1" applyFill="1" applyAlignment="1">
      <alignment horizontal="center"/>
    </xf>
    <xf numFmtId="1" fontId="4" fillId="5" borderId="0" xfId="0" applyNumberFormat="1" applyFont="1" applyFill="1" applyAlignment="1">
      <alignment horizontal="center"/>
    </xf>
    <xf numFmtId="165" fontId="4" fillId="5" borderId="2" xfId="0" applyFont="1" applyFill="1" applyBorder="1" applyAlignment="1">
      <alignment horizontal="center" vertical="center"/>
    </xf>
    <xf numFmtId="165" fontId="4" fillId="5" borderId="0" xfId="0" applyFont="1" applyFill="1" applyAlignment="1">
      <alignment horizontal="center" vertical="center"/>
    </xf>
    <xf numFmtId="165" fontId="2" fillId="2" borderId="0" xfId="0" applyFont="1" applyFill="1" applyAlignment="1">
      <alignment horizontal="center" vertical="center"/>
    </xf>
    <xf numFmtId="10" fontId="20" fillId="0" borderId="0" xfId="2" applyNumberFormat="1" applyFont="1" applyAlignment="1">
      <alignment horizontal="center"/>
    </xf>
    <xf numFmtId="165" fontId="33" fillId="9" borderId="0" xfId="0" applyFont="1" applyFill="1" applyAlignment="1">
      <alignment horizontal="center" vertical="center"/>
    </xf>
    <xf numFmtId="44" fontId="18" fillId="0" borderId="0" xfId="1" applyFont="1" applyAlignment="1">
      <alignment horizontal="center" vertical="center"/>
    </xf>
    <xf numFmtId="165" fontId="17" fillId="0" borderId="0" xfId="0" applyFont="1" applyAlignment="1">
      <alignment horizontal="center" wrapText="1"/>
    </xf>
    <xf numFmtId="165" fontId="17" fillId="0" borderId="0" xfId="0" applyFont="1" applyAlignment="1">
      <alignment horizontal="center"/>
    </xf>
    <xf numFmtId="165" fontId="19" fillId="0" borderId="0" xfId="0" applyFont="1" applyAlignment="1">
      <alignment horizontal="center"/>
    </xf>
    <xf numFmtId="0" fontId="17" fillId="0" borderId="5" xfId="0" applyNumberFormat="1" applyFont="1" applyBorder="1" applyAlignment="1">
      <alignment horizontal="center" vertical="center"/>
    </xf>
    <xf numFmtId="167" fontId="17" fillId="0" borderId="8" xfId="1" applyNumberFormat="1" applyFont="1" applyBorder="1" applyAlignment="1">
      <alignment horizontal="center"/>
    </xf>
    <xf numFmtId="167" fontId="17" fillId="0" borderId="9" xfId="0" applyNumberFormat="1" applyFont="1" applyBorder="1" applyAlignment="1">
      <alignment horizontal="center"/>
    </xf>
    <xf numFmtId="167" fontId="17" fillId="0" borderId="10" xfId="2" applyNumberFormat="1" applyFont="1" applyBorder="1" applyAlignment="1">
      <alignment horizontal="center"/>
    </xf>
    <xf numFmtId="165" fontId="17" fillId="0" borderId="0" xfId="0" applyFont="1" applyAlignment="1" applyProtection="1">
      <alignment horizontal="center"/>
      <protection locked="0"/>
    </xf>
    <xf numFmtId="10" fontId="26" fillId="0" borderId="11" xfId="2" applyNumberFormat="1" applyFont="1" applyFill="1" applyBorder="1" applyAlignment="1">
      <alignment horizontal="left" vertical="top"/>
    </xf>
    <xf numFmtId="165" fontId="28" fillId="0" borderId="0" xfId="0" applyFont="1" applyAlignment="1">
      <alignment horizontal="center" vertical="top" wrapText="1"/>
    </xf>
    <xf numFmtId="0" fontId="17" fillId="0" borderId="0" xfId="0" applyNumberFormat="1" applyFont="1" applyAlignment="1">
      <alignment horizontal="center"/>
    </xf>
    <xf numFmtId="165" fontId="17" fillId="0" borderId="5" xfId="0" applyFont="1" applyBorder="1" applyAlignment="1" applyProtection="1">
      <alignment horizontal="center" vertical="center"/>
      <protection locked="0"/>
    </xf>
    <xf numFmtId="14" fontId="23" fillId="0" borderId="7" xfId="0" applyNumberFormat="1" applyFont="1" applyBorder="1" applyAlignment="1">
      <alignment horizontal="center"/>
    </xf>
    <xf numFmtId="14" fontId="17" fillId="0" borderId="5" xfId="0" applyNumberFormat="1" applyFont="1" applyBorder="1" applyAlignment="1" applyProtection="1">
      <alignment horizontal="center"/>
      <protection locked="0"/>
    </xf>
    <xf numFmtId="44" fontId="20" fillId="0" borderId="0" xfId="1" applyFont="1" applyAlignment="1">
      <alignment horizontal="center" vertical="center"/>
    </xf>
    <xf numFmtId="165" fontId="22" fillId="0" borderId="0" xfId="0" applyFont="1" applyAlignment="1">
      <alignment horizontal="center" vertical="center"/>
    </xf>
    <xf numFmtId="165" fontId="19" fillId="0" borderId="0" xfId="0" applyFont="1" applyAlignment="1" applyProtection="1">
      <alignment horizontal="center"/>
      <protection locked="0"/>
    </xf>
    <xf numFmtId="1" fontId="17" fillId="0" borderId="0" xfId="0" applyNumberFormat="1" applyFont="1" applyAlignment="1">
      <alignment horizontal="center"/>
    </xf>
    <xf numFmtId="167" fontId="18" fillId="0" borderId="0" xfId="1" applyNumberFormat="1" applyFont="1" applyAlignment="1">
      <alignment horizontal="center" vertical="top"/>
    </xf>
    <xf numFmtId="0" fontId="17" fillId="0" borderId="5" xfId="0" applyNumberFormat="1" applyFont="1" applyBorder="1" applyAlignment="1" applyProtection="1">
      <alignment horizontal="center" vertical="center"/>
      <protection locked="0"/>
    </xf>
    <xf numFmtId="44" fontId="17" fillId="0" borderId="5" xfId="1" applyFont="1" applyBorder="1" applyAlignment="1" applyProtection="1">
      <alignment horizontal="center" vertical="center"/>
      <protection locked="0"/>
    </xf>
    <xf numFmtId="44" fontId="17" fillId="0" borderId="5" xfId="0" applyNumberFormat="1" applyFont="1" applyBorder="1" applyAlignment="1" applyProtection="1">
      <alignment horizontal="center"/>
      <protection locked="0"/>
    </xf>
    <xf numFmtId="165" fontId="34" fillId="7" borderId="0" xfId="0" applyFont="1" applyFill="1" applyAlignment="1">
      <alignment horizontal="center" vertical="center"/>
    </xf>
    <xf numFmtId="165" fontId="14" fillId="0" borderId="0" xfId="0" applyFont="1" applyAlignment="1">
      <alignment horizontal="center"/>
    </xf>
    <xf numFmtId="165" fontId="16" fillId="0" borderId="0" xfId="0" applyFont="1" applyAlignment="1">
      <alignment horizontal="center" vertical="center"/>
    </xf>
    <xf numFmtId="165" fontId="16" fillId="0" borderId="5" xfId="0" applyFont="1" applyBorder="1" applyAlignment="1">
      <alignment horizontal="center" vertical="center"/>
    </xf>
    <xf numFmtId="165" fontId="15" fillId="0" borderId="0" xfId="0" applyFont="1" applyAlignment="1">
      <alignment horizontal="center" vertical="center"/>
    </xf>
    <xf numFmtId="165" fontId="30" fillId="0" borderId="0" xfId="0" applyFont="1" applyAlignment="1">
      <alignment horizontal="center" vertic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13">
    <dxf>
      <border>
        <bottom style="thin">
          <color auto="1"/>
        </bottom>
        <vertical/>
        <horizontal/>
      </border>
    </dxf>
    <dxf>
      <fill>
        <patternFill>
          <bgColor rgb="FFFF5050"/>
        </patternFill>
      </fill>
    </dxf>
    <dxf>
      <fill>
        <patternFill>
          <bgColor rgb="FFCC0066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/>
      </font>
      <fill>
        <patternFill>
          <bgColor rgb="FF990033"/>
        </patternFill>
      </fill>
    </dxf>
    <dxf>
      <font>
        <color theme="0"/>
      </font>
      <fill>
        <patternFill>
          <bgColor rgb="FF990033"/>
        </patternFill>
      </fill>
    </dxf>
    <dxf>
      <fill>
        <patternFill>
          <bgColor rgb="FFCC0066"/>
        </patternFill>
      </fill>
    </dxf>
    <dxf>
      <font>
        <b/>
        <i val="0"/>
        <color theme="0"/>
      </font>
      <fill>
        <patternFill>
          <bgColor rgb="FFEC205F"/>
        </patternFill>
      </fill>
    </dxf>
    <dxf>
      <font>
        <b/>
        <i val="0"/>
        <color theme="0"/>
      </font>
      <fill>
        <patternFill>
          <bgColor rgb="FFCC0066"/>
        </patternFill>
      </fill>
    </dxf>
  </dxfs>
  <tableStyles count="0" defaultTableStyle="TableStyleMedium2" defaultPivotStyle="PivotStyleLight16"/>
  <colors>
    <mruColors>
      <color rgb="FF8E0000"/>
      <color rgb="FFFF5050"/>
      <color rgb="FFFF9999"/>
      <color rgb="FFCC0066"/>
      <color rgb="FFD10522"/>
      <color rgb="FFD20069"/>
      <color rgb="FF660033"/>
      <color rgb="FF990033"/>
      <color rgb="FF51075D"/>
      <color rgb="FF800B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8E0000"/>
              </a:solidFill>
              <a:ln w="9525" cap="flat" cmpd="sng" algn="ctr">
                <a:noFill/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4835-4F5F-A966-5300913E0604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9525" cap="flat" cmpd="sng" algn="ctr">
                <a:noFill/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835-4F5F-A966-5300913E0604}"/>
              </c:ext>
            </c:extLst>
          </c:dPt>
          <c:dLbls>
            <c:delete val="1"/>
          </c:dLbls>
          <c:val>
            <c:numRef>
              <c:f>Simulador!$G$23:$H$23</c:f>
              <c:numCache>
                <c:formatCode>0%</c:formatCode>
                <c:ptCount val="2"/>
                <c:pt idx="0">
                  <c:v>0.625</c:v>
                </c:pt>
                <c:pt idx="1">
                  <c:v>-0.375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835-4F5F-A966-5300913E060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122822</xdr:rowOff>
    </xdr:to>
    <xdr:sp macro="" textlink="">
      <xdr:nvSpPr>
        <xdr:cNvPr id="1026" name="AutoShape 2" descr="Destaque - Logo Bradesco Png Branco, Transparent Png - kindpng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27241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874516</xdr:colOff>
      <xdr:row>0</xdr:row>
      <xdr:rowOff>130343</xdr:rowOff>
    </xdr:from>
    <xdr:to>
      <xdr:col>4</xdr:col>
      <xdr:colOff>201441</xdr:colOff>
      <xdr:row>3</xdr:row>
      <xdr:rowOff>102483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7F7F7"/>
            </a:clrFrom>
            <a:clrTo>
              <a:srgbClr val="F7F7F7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1474" y="130343"/>
          <a:ext cx="456689" cy="460478"/>
        </a:xfrm>
        <a:prstGeom prst="rect">
          <a:avLst/>
        </a:prstGeom>
      </xdr:spPr>
    </xdr:pic>
    <xdr:clientData/>
  </xdr:twoCellAnchor>
  <xdr:twoCellAnchor editAs="oneCell">
    <xdr:from>
      <xdr:col>16</xdr:col>
      <xdr:colOff>685047</xdr:colOff>
      <xdr:row>0</xdr:row>
      <xdr:rowOff>142376</xdr:rowOff>
    </xdr:from>
    <xdr:to>
      <xdr:col>16</xdr:col>
      <xdr:colOff>1135688</xdr:colOff>
      <xdr:row>3</xdr:row>
      <xdr:rowOff>59277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7F7F7"/>
            </a:clrFrom>
            <a:clrTo>
              <a:srgbClr val="F7F7F7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98328" y="142376"/>
          <a:ext cx="444291" cy="416964"/>
        </a:xfrm>
        <a:prstGeom prst="rect">
          <a:avLst/>
        </a:prstGeom>
      </xdr:spPr>
    </xdr:pic>
    <xdr:clientData/>
  </xdr:twoCellAnchor>
  <xdr:twoCellAnchor>
    <xdr:from>
      <xdr:col>0</xdr:col>
      <xdr:colOff>290763</xdr:colOff>
      <xdr:row>4</xdr:row>
      <xdr:rowOff>50132</xdr:rowOff>
    </xdr:from>
    <xdr:to>
      <xdr:col>0</xdr:col>
      <xdr:colOff>1694447</xdr:colOff>
      <xdr:row>6</xdr:row>
      <xdr:rowOff>10027</xdr:rowOff>
    </xdr:to>
    <xdr:sp macro="[0]!impressã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0763" y="691816"/>
          <a:ext cx="1403684" cy="280737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entury Gothic" panose="020B0502020202020204" pitchFamily="34" charset="0"/>
            </a:rPr>
            <a:t>Imprimir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32</xdr:row>
      <xdr:rowOff>0</xdr:rowOff>
    </xdr:from>
    <xdr:to>
      <xdr:col>3</xdr:col>
      <xdr:colOff>304800</xdr:colOff>
      <xdr:row>33</xdr:row>
      <xdr:rowOff>141870</xdr:rowOff>
    </xdr:to>
    <xdr:sp macro="" textlink="">
      <xdr:nvSpPr>
        <xdr:cNvPr id="2" name="AutoShape 2" descr="Destaque - Logo Bradesco Png Branco, Transparent Png - kind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3228975" y="1152525"/>
          <a:ext cx="304800" cy="303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15</xdr:col>
      <xdr:colOff>580358</xdr:colOff>
      <xdr:row>13</xdr:row>
      <xdr:rowOff>157471</xdr:rowOff>
    </xdr:from>
    <xdr:to>
      <xdr:col>19</xdr:col>
      <xdr:colOff>370016</xdr:colOff>
      <xdr:row>23</xdr:row>
      <xdr:rowOff>39203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ABC854E-4957-4DD5-A3AA-808180A80D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19</xdr:col>
      <xdr:colOff>1341019</xdr:colOff>
      <xdr:row>5</xdr:row>
      <xdr:rowOff>197351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AA9439C-8F0C-B2B1-C1C7-A8E4282AC943}"/>
            </a:ext>
          </a:extLst>
        </xdr:cNvPr>
        <xdr:cNvSpPr/>
      </xdr:nvSpPr>
      <xdr:spPr>
        <a:xfrm>
          <a:off x="0" y="0"/>
          <a:ext cx="15916776" cy="1011989"/>
        </a:xfrm>
        <a:prstGeom prst="roundRect">
          <a:avLst>
            <a:gd name="adj" fmla="val 0"/>
          </a:avLst>
        </a:prstGeom>
        <a:solidFill>
          <a:srgbClr val="8E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 sz="1250"/>
        </a:p>
      </xdr:txBody>
    </xdr:sp>
    <xdr:clientData/>
  </xdr:twoCellAnchor>
  <xdr:twoCellAnchor>
    <xdr:from>
      <xdr:col>19</xdr:col>
      <xdr:colOff>914901</xdr:colOff>
      <xdr:row>0</xdr:row>
      <xdr:rowOff>1</xdr:rowOff>
    </xdr:from>
    <xdr:to>
      <xdr:col>20</xdr:col>
      <xdr:colOff>87730</xdr:colOff>
      <xdr:row>5</xdr:row>
      <xdr:rowOff>200563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978604A6-521E-5580-F205-727FCDBE8E02}"/>
            </a:ext>
          </a:extLst>
        </xdr:cNvPr>
        <xdr:cNvSpPr/>
      </xdr:nvSpPr>
      <xdr:spPr>
        <a:xfrm>
          <a:off x="15490658" y="1"/>
          <a:ext cx="977565" cy="1015200"/>
        </a:xfrm>
        <a:prstGeom prst="ellipse">
          <a:avLst/>
        </a:prstGeom>
        <a:solidFill>
          <a:srgbClr val="8E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0</xdr:colOff>
      <xdr:row>5</xdr:row>
      <xdr:rowOff>103559</xdr:rowOff>
    </xdr:from>
    <xdr:to>
      <xdr:col>0</xdr:col>
      <xdr:colOff>744899</xdr:colOff>
      <xdr:row>459</xdr:row>
      <xdr:rowOff>61060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081C6B4-86A5-4304-B8DA-1C4283C7012C}"/>
            </a:ext>
          </a:extLst>
        </xdr:cNvPr>
        <xdr:cNvSpPr/>
      </xdr:nvSpPr>
      <xdr:spPr>
        <a:xfrm rot="5400000">
          <a:off x="-36704955" y="37602264"/>
          <a:ext cx="74154809" cy="744899"/>
        </a:xfrm>
        <a:prstGeom prst="roundRect">
          <a:avLst>
            <a:gd name="adj" fmla="val 0"/>
          </a:avLst>
        </a:prstGeom>
        <a:solidFill>
          <a:srgbClr val="8E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 sz="1250"/>
        </a:p>
      </xdr:txBody>
    </xdr:sp>
    <xdr:clientData/>
  </xdr:twoCellAnchor>
  <xdr:twoCellAnchor>
    <xdr:from>
      <xdr:col>0</xdr:col>
      <xdr:colOff>0</xdr:colOff>
      <xdr:row>458</xdr:row>
      <xdr:rowOff>32580</xdr:rowOff>
    </xdr:from>
    <xdr:to>
      <xdr:col>20</xdr:col>
      <xdr:colOff>430578</xdr:colOff>
      <xdr:row>460</xdr:row>
      <xdr:rowOff>96313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9FCE827-9720-491D-B65B-9A5EE3FE56B0}"/>
            </a:ext>
          </a:extLst>
        </xdr:cNvPr>
        <xdr:cNvSpPr/>
      </xdr:nvSpPr>
      <xdr:spPr>
        <a:xfrm rot="10800000">
          <a:off x="0" y="78071127"/>
          <a:ext cx="16612002" cy="396000"/>
        </a:xfrm>
        <a:prstGeom prst="roundRect">
          <a:avLst>
            <a:gd name="adj" fmla="val 0"/>
          </a:avLst>
        </a:prstGeom>
        <a:solidFill>
          <a:srgbClr val="8E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 sz="1250"/>
        </a:p>
      </xdr:txBody>
    </xdr:sp>
    <xdr:clientData/>
  </xdr:twoCellAnchor>
  <xdr:twoCellAnchor editAs="oneCell">
    <xdr:from>
      <xdr:col>17</xdr:col>
      <xdr:colOff>1025770</xdr:colOff>
      <xdr:row>1</xdr:row>
      <xdr:rowOff>45673</xdr:rowOff>
    </xdr:from>
    <xdr:to>
      <xdr:col>20</xdr:col>
      <xdr:colOff>10336</xdr:colOff>
      <xdr:row>4</xdr:row>
      <xdr:rowOff>63596</xdr:rowOff>
    </xdr:to>
    <xdr:pic>
      <xdr:nvPicPr>
        <xdr:cNvPr id="19" name="Picture 2">
          <a:extLst>
            <a:ext uri="{FF2B5EF4-FFF2-40B4-BE49-F238E27FC236}">
              <a16:creationId xmlns:a16="http://schemas.microsoft.com/office/drawing/2014/main" id="{D3079871-5B84-6A10-8644-2317B1DEA2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57789" y="204423"/>
          <a:ext cx="2174339" cy="4941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222807</xdr:colOff>
      <xdr:row>458</xdr:row>
      <xdr:rowOff>28066</xdr:rowOff>
    </xdr:from>
    <xdr:to>
      <xdr:col>20</xdr:col>
      <xdr:colOff>641032</xdr:colOff>
      <xdr:row>460</xdr:row>
      <xdr:rowOff>101749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3905CCC3-1870-EA50-2A9A-E211B2DF6A21}"/>
            </a:ext>
          </a:extLst>
        </xdr:cNvPr>
        <xdr:cNvSpPr/>
      </xdr:nvSpPr>
      <xdr:spPr>
        <a:xfrm>
          <a:off x="16404231" y="78066613"/>
          <a:ext cx="418225" cy="405950"/>
        </a:xfrm>
        <a:prstGeom prst="ellipse">
          <a:avLst/>
        </a:prstGeom>
        <a:solidFill>
          <a:srgbClr val="8E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0</xdr:col>
      <xdr:colOff>521203</xdr:colOff>
      <xdr:row>4</xdr:row>
      <xdr:rowOff>137325</xdr:rowOff>
    </xdr:from>
    <xdr:to>
      <xdr:col>1</xdr:col>
      <xdr:colOff>545935</xdr:colOff>
      <xdr:row>9</xdr:row>
      <xdr:rowOff>84975</xdr:rowOff>
    </xdr:to>
    <xdr:sp macro="" textlink="">
      <xdr:nvSpPr>
        <xdr:cNvPr id="14" name="Semicírculo 13">
          <a:extLst>
            <a:ext uri="{FF2B5EF4-FFF2-40B4-BE49-F238E27FC236}">
              <a16:creationId xmlns:a16="http://schemas.microsoft.com/office/drawing/2014/main" id="{0C3B5F0B-6CD6-35D5-CD75-7E9F5E9156B0}"/>
            </a:ext>
          </a:extLst>
        </xdr:cNvPr>
        <xdr:cNvSpPr/>
      </xdr:nvSpPr>
      <xdr:spPr>
        <a:xfrm>
          <a:off x="521203" y="772325"/>
          <a:ext cx="928386" cy="887938"/>
        </a:xfrm>
        <a:prstGeom prst="blockArc">
          <a:avLst>
            <a:gd name="adj1" fmla="val 9897625"/>
            <a:gd name="adj2" fmla="val 16062525"/>
            <a:gd name="adj3" fmla="val 23938"/>
          </a:avLst>
        </a:prstGeom>
        <a:solidFill>
          <a:srgbClr val="8E0000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21</xdr:col>
      <xdr:colOff>72802</xdr:colOff>
      <xdr:row>0</xdr:row>
      <xdr:rowOff>50652</xdr:rowOff>
    </xdr:from>
    <xdr:to>
      <xdr:col>22</xdr:col>
      <xdr:colOff>279316</xdr:colOff>
      <xdr:row>5</xdr:row>
      <xdr:rowOff>199360</xdr:rowOff>
    </xdr:to>
    <xdr:pic macro="[0]!Módulo4.Macro2">
      <xdr:nvPicPr>
        <xdr:cNvPr id="22" name="Imagem 21" descr="imprimir, vetor de ícone de impressora no botão de círculo 7817906 Vetor no  Vecteezy">
          <a:extLst>
            <a:ext uri="{FF2B5EF4-FFF2-40B4-BE49-F238E27FC236}">
              <a16:creationId xmlns:a16="http://schemas.microsoft.com/office/drawing/2014/main" id="{CCD60C1B-8782-E5EF-05EF-53CCB508D6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18442" y="50652"/>
          <a:ext cx="973904" cy="9825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X453"/>
  <sheetViews>
    <sheetView showGridLines="0" zoomScale="85" zoomScaleNormal="83" workbookViewId="0">
      <selection activeCell="K33" sqref="K33"/>
    </sheetView>
  </sheetViews>
  <sheetFormatPr defaultRowHeight="13" x14ac:dyDescent="0.3"/>
  <cols>
    <col min="1" max="1" width="24.69140625" bestFit="1" customWidth="1"/>
    <col min="2" max="2" width="9.23046875" customWidth="1"/>
    <col min="3" max="3" width="16.07421875" bestFit="1" customWidth="1"/>
    <col min="4" max="4" width="0.84375" customWidth="1"/>
    <col min="5" max="5" width="24.23046875" style="4" bestFit="1" customWidth="1"/>
    <col min="6" max="6" width="1.3046875" style="4" customWidth="1"/>
    <col min="7" max="7" width="15.69140625" style="4" bestFit="1" customWidth="1"/>
    <col min="8" max="8" width="2.3046875" customWidth="1"/>
    <col min="9" max="9" width="32.84375" style="4" bestFit="1" customWidth="1"/>
    <col min="10" max="10" width="1.765625" style="4" customWidth="1"/>
    <col min="11" max="11" width="10.3046875" style="4" bestFit="1" customWidth="1"/>
    <col min="12" max="12" width="2.69140625" customWidth="1"/>
    <col min="13" max="13" width="23.84375" style="4" bestFit="1" customWidth="1"/>
    <col min="14" max="14" width="1.07421875" style="4" customWidth="1"/>
    <col min="15" max="15" width="15.23046875" style="4" bestFit="1" customWidth="1"/>
    <col min="16" max="16" width="1.3046875" style="4" customWidth="1"/>
    <col min="17" max="17" width="23.84375" style="4" bestFit="1" customWidth="1"/>
    <col min="18" max="18" width="2.23046875" style="4" customWidth="1"/>
    <col min="19" max="19" width="17.84375" bestFit="1" customWidth="1"/>
    <col min="20" max="20" width="3.3046875" customWidth="1"/>
    <col min="21" max="21" width="18.3046875" bestFit="1" customWidth="1"/>
    <col min="22" max="22" width="13.53515625" style="174" bestFit="1" customWidth="1"/>
    <col min="23" max="23" width="11.3046875" bestFit="1" customWidth="1"/>
  </cols>
  <sheetData>
    <row r="1" spans="1:24" ht="12.75" customHeight="1" x14ac:dyDescent="0.3">
      <c r="A1" s="175" t="s">
        <v>86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0"/>
    </row>
    <row r="2" spans="1:24" ht="12.75" customHeight="1" x14ac:dyDescent="0.3">
      <c r="A2" s="175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0"/>
    </row>
    <row r="3" spans="1:24" ht="12.75" customHeight="1" x14ac:dyDescent="0.3">
      <c r="A3" s="175"/>
      <c r="B3" s="175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0"/>
    </row>
    <row r="4" spans="1:24" ht="12.75" customHeight="1" x14ac:dyDescent="0.3">
      <c r="A4" s="175"/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70"/>
    </row>
    <row r="5" spans="1:24" x14ac:dyDescent="0.3">
      <c r="E5"/>
      <c r="F5"/>
      <c r="G5"/>
      <c r="I5"/>
      <c r="J5"/>
      <c r="K5" s="110" t="str" cm="1">
        <f t="array" ref="K5">IF(E6=Parâmetros!D25,'Simulador Bradesco'!O10:P10,IF(E6=Parâmetros!D24,'Simulador Bradesco'!O13:P13,""))</f>
        <v/>
      </c>
      <c r="L5" s="99"/>
      <c r="M5"/>
      <c r="N5"/>
      <c r="O5"/>
      <c r="P5"/>
      <c r="Q5"/>
      <c r="R5"/>
      <c r="V5" s="170"/>
    </row>
    <row r="6" spans="1:24" x14ac:dyDescent="0.3">
      <c r="A6" s="22"/>
      <c r="B6" s="22"/>
      <c r="C6" s="64" t="s">
        <v>99</v>
      </c>
      <c r="D6" s="67"/>
      <c r="E6" s="177" t="str">
        <f>'Simulador Bradesco'!D9</f>
        <v>Repasse/Aquisição</v>
      </c>
      <c r="F6" s="178"/>
      <c r="G6" s="178"/>
      <c r="H6" s="22"/>
      <c r="J6" s="74"/>
      <c r="K6" s="111" t="e">
        <f>INT(K5)</f>
        <v>#VALUE!</v>
      </c>
      <c r="L6" s="99"/>
      <c r="M6" s="182" t="s">
        <v>90</v>
      </c>
      <c r="N6" s="183"/>
      <c r="O6" s="183"/>
      <c r="P6" s="183"/>
      <c r="Q6" s="183"/>
      <c r="R6" s="183"/>
      <c r="S6" s="183"/>
      <c r="T6" s="183"/>
      <c r="V6" s="170"/>
    </row>
    <row r="7" spans="1:24" x14ac:dyDescent="0.3">
      <c r="A7" s="22"/>
      <c r="B7" s="22"/>
      <c r="C7" s="22"/>
      <c r="D7" s="22"/>
      <c r="E7" s="22"/>
      <c r="F7" s="22"/>
      <c r="G7" s="22"/>
      <c r="I7" s="176" t="s">
        <v>117</v>
      </c>
      <c r="J7" s="176"/>
      <c r="K7" s="176"/>
      <c r="M7" s="23"/>
      <c r="N7" s="22"/>
      <c r="O7" s="22"/>
      <c r="P7" s="22"/>
      <c r="Q7" s="22"/>
      <c r="R7" s="22"/>
      <c r="S7" s="22"/>
      <c r="T7" s="24"/>
      <c r="V7" s="170"/>
    </row>
    <row r="8" spans="1:24" x14ac:dyDescent="0.3">
      <c r="A8" s="26" t="s">
        <v>95</v>
      </c>
      <c r="B8" s="27"/>
      <c r="C8" s="28">
        <f ca="1">TODAY()</f>
        <v>46163</v>
      </c>
      <c r="D8" s="22"/>
      <c r="E8" s="22"/>
      <c r="F8" s="22"/>
      <c r="G8" s="22"/>
      <c r="I8" s="82"/>
      <c r="J8" s="83"/>
      <c r="K8" s="82"/>
      <c r="M8" s="29" t="s">
        <v>26</v>
      </c>
      <c r="N8" s="25"/>
      <c r="O8" s="30" t="str">
        <f>IF(AND(C14=Parâmetros!B2,Simulador!C17&lt;2250000,Simulador!O23&lt;12.01%),"SFH",IF(AND(C14=Parâmetros!B2,Simulador!C17&lt;2250000),"CHH FGTS",IF(Simulador!C14=Parâmetros!B3,"CHC",IF(Simulador!C14=Parâmetros!B4,"LOTE",IF(AND(Simulador!C10=Parâmetros!C3,Simulador!C14=Parâmetros!B2),Parâmetros!C15,IF(AND(Simulador!C10=Parâmetros!C3,Simulador!C14=Parâmetros!B3),Parâmetros!C16,IF(AND(Simulador!C10=Parâmetros!C3,Simulador!C14=Parâmetros!B4),Parâmetros!B4,"CHH")))))))</f>
        <v>CHC</v>
      </c>
      <c r="P8" s="25"/>
      <c r="Q8" s="26" t="s">
        <v>8</v>
      </c>
      <c r="R8" s="26"/>
      <c r="S8" s="132">
        <f ca="1">IF(C10=Parâmetros!C3,"Proponente PJ",_xlfn.DAYS(TODAY(),G14)/365)</f>
        <v>36.706849315068496</v>
      </c>
      <c r="T8" s="24"/>
      <c r="U8" s="99"/>
      <c r="V8" s="170"/>
    </row>
    <row r="9" spans="1:24" x14ac:dyDescent="0.3">
      <c r="A9" s="31"/>
      <c r="B9" s="31"/>
      <c r="C9" s="32"/>
      <c r="D9" s="33"/>
      <c r="E9" s="180" t="str">
        <f>IF(G10="NÃO","",IF(AND(G10="SIM",C10=Parâmetros!C3),"NÃO PERMITIDO",IF(Simulador!G11&gt;0.05*Simulador!C17,"VALOR NÃO PERMITIDO","OK")))</f>
        <v>OK</v>
      </c>
      <c r="F9" s="180"/>
      <c r="G9" s="180"/>
      <c r="I9" s="181" t="str">
        <f>IF(K10&gt;O27,'Base de Dados'!AA2,"")</f>
        <v>SIMULAÇÃO NOK</v>
      </c>
      <c r="J9" s="181"/>
      <c r="K9" s="181"/>
      <c r="M9" s="29"/>
      <c r="N9" s="25"/>
      <c r="O9" s="34"/>
      <c r="P9" s="25"/>
      <c r="Q9" s="25"/>
      <c r="R9" s="25"/>
      <c r="S9" s="25"/>
      <c r="T9" s="24"/>
      <c r="U9" s="99"/>
      <c r="V9" s="171"/>
    </row>
    <row r="10" spans="1:24" x14ac:dyDescent="0.3">
      <c r="A10" s="26" t="s">
        <v>1</v>
      </c>
      <c r="B10" s="27"/>
      <c r="C10" s="35" t="str">
        <f>'Simulador Bradesco'!D13</f>
        <v>PESSOA FÍSICA</v>
      </c>
      <c r="D10" s="36"/>
      <c r="E10" s="26" t="s">
        <v>4</v>
      </c>
      <c r="F10" s="34"/>
      <c r="G10" s="35" t="str">
        <f>'Simulador Bradesco'!D17</f>
        <v>SIM</v>
      </c>
      <c r="I10" s="84" t="s">
        <v>125</v>
      </c>
      <c r="J10" s="85"/>
      <c r="K10" s="109" t="b" cm="1">
        <f t="array" ref="K10">IF(E6=Parâmetros!D25,INT(K5),IF(E6=Parâmetros!D24,'Simulador Bradesco'!O13:P13))</f>
        <v>0</v>
      </c>
      <c r="M10" s="29" t="s">
        <v>46</v>
      </c>
      <c r="N10" s="25"/>
      <c r="O10" s="37">
        <f>IF(AND(G10=Parâmetros!E2,Simulador!E9="OK"),Simulador!G11+Simulador!C20,Simulador!C20)</f>
        <v>750000</v>
      </c>
      <c r="P10" s="25"/>
      <c r="Q10" s="26" t="s">
        <v>92</v>
      </c>
      <c r="R10" s="34"/>
      <c r="S10" s="108">
        <f ca="1">IF(C10=Parâmetros!C3,"",IF(Simulador!S8+(Simulador!K19/12)&gt;80.5,"Prazo Superior",Simulador!S8+(K19/12)))</f>
        <v>56.706849315068496</v>
      </c>
      <c r="T10" s="24"/>
      <c r="U10" s="118">
        <f>ROUNDUP(K10,2)</f>
        <v>0</v>
      </c>
      <c r="V10" s="171"/>
      <c r="W10" s="17"/>
    </row>
    <row r="11" spans="1:24" x14ac:dyDescent="0.3">
      <c r="A11" s="26"/>
      <c r="B11" s="27"/>
      <c r="C11" s="39"/>
      <c r="D11" s="36"/>
      <c r="E11" s="107" t="str">
        <f>VLOOKUP(Parâmetros!J2,'Base de Dados'!N1:Z102950,13,FALSE)</f>
        <v>SIM</v>
      </c>
      <c r="F11" s="34"/>
      <c r="G11" s="40">
        <f>'Simulador Bradesco'!I19</f>
        <v>0</v>
      </c>
      <c r="I11" s="100"/>
      <c r="J11" s="85"/>
      <c r="K11" s="104">
        <f>Parâmetros!O2-K10</f>
        <v>50</v>
      </c>
      <c r="M11" s="29"/>
      <c r="N11" s="25"/>
      <c r="O11" s="46">
        <f>IF(OR(C17=0,C17=""),"",O10)</f>
        <v>750000</v>
      </c>
      <c r="P11" s="25"/>
      <c r="Q11" s="26"/>
      <c r="R11" s="26"/>
      <c r="S11" s="34"/>
      <c r="T11" s="24"/>
      <c r="U11" s="99"/>
      <c r="V11" s="170"/>
    </row>
    <row r="12" spans="1:24" ht="3" customHeight="1" x14ac:dyDescent="0.3">
      <c r="A12" s="26"/>
      <c r="B12" s="27"/>
      <c r="C12" s="39"/>
      <c r="D12" s="36"/>
      <c r="E12" s="26"/>
      <c r="F12" s="34"/>
      <c r="G12" s="41"/>
      <c r="I12" s="82"/>
      <c r="J12" s="85"/>
      <c r="K12" s="82"/>
      <c r="M12" s="29"/>
      <c r="N12" s="25"/>
      <c r="O12" s="34"/>
      <c r="P12" s="25"/>
      <c r="Q12" s="26"/>
      <c r="R12" s="26"/>
      <c r="S12" s="34"/>
      <c r="T12" s="24"/>
      <c r="U12" s="99"/>
      <c r="V12" s="170"/>
    </row>
    <row r="13" spans="1:24" x14ac:dyDescent="0.3">
      <c r="A13" s="42"/>
      <c r="B13" s="31"/>
      <c r="C13" s="43"/>
      <c r="D13" s="36"/>
      <c r="E13" s="42"/>
      <c r="F13" s="44"/>
      <c r="G13" s="45"/>
      <c r="I13" s="86"/>
      <c r="J13" s="86"/>
      <c r="K13" s="86"/>
      <c r="M13" s="29" t="s">
        <v>6</v>
      </c>
      <c r="N13" s="25"/>
      <c r="O13" s="37">
        <f ca="1">IFERROR(IF(C10=Parâmetros!C3,"",('Simulador Bradesco'!Q10*100)/S13/100),"")</f>
        <v>60576.410239988538</v>
      </c>
      <c r="P13" s="25"/>
      <c r="Q13" s="47" t="s">
        <v>78</v>
      </c>
      <c r="R13" s="25"/>
      <c r="S13" s="48">
        <f>IF(Parâmetros!K2="N/A","",Parâmetros!K2)</f>
        <v>0.15</v>
      </c>
      <c r="T13" s="24"/>
      <c r="U13" s="99"/>
      <c r="V13" s="172"/>
      <c r="X13" s="17"/>
    </row>
    <row r="14" spans="1:24" x14ac:dyDescent="0.3">
      <c r="A14" s="26" t="s">
        <v>0</v>
      </c>
      <c r="B14" s="27"/>
      <c r="C14" s="35" t="str">
        <f>'Simulador Bradesco'!D15</f>
        <v>COMERCIAL</v>
      </c>
      <c r="D14" s="36"/>
      <c r="E14" s="26" t="s">
        <v>56</v>
      </c>
      <c r="F14" s="34"/>
      <c r="G14" s="35">
        <f>'Simulador Bradesco'!D21</f>
        <v>32765</v>
      </c>
      <c r="I14" s="84" t="s">
        <v>118</v>
      </c>
      <c r="J14" s="87"/>
      <c r="K14" s="88" t="e">
        <f>IF(VLOOKUP(Parâmetros!J2,'Base de Dados'!N1:V310200303,9,FALSE)="","",VLOOKUP(Parâmetros!J2,'Base de Dados'!N1:V32994003,9,FALSE))</f>
        <v>#NAME?</v>
      </c>
      <c r="M14" s="29"/>
      <c r="N14" s="25"/>
      <c r="O14" s="34"/>
      <c r="P14" s="25"/>
      <c r="Q14" s="25"/>
      <c r="R14" s="25"/>
      <c r="S14" s="25"/>
      <c r="T14" s="24"/>
      <c r="U14" s="99"/>
      <c r="V14" s="173"/>
      <c r="X14" s="17"/>
    </row>
    <row r="15" spans="1:24" ht="4.5" customHeight="1" x14ac:dyDescent="0.3">
      <c r="A15" s="26"/>
      <c r="B15" s="27"/>
      <c r="C15" s="39"/>
      <c r="D15" s="36"/>
      <c r="E15" s="26"/>
      <c r="F15" s="34"/>
      <c r="G15" s="39"/>
      <c r="I15" s="82"/>
      <c r="J15" s="87"/>
      <c r="K15" s="82"/>
      <c r="M15" s="29"/>
      <c r="N15" s="25"/>
      <c r="O15" s="34"/>
      <c r="P15" s="25"/>
      <c r="Q15" s="25"/>
      <c r="R15" s="25"/>
      <c r="S15" s="25"/>
      <c r="T15" s="24"/>
      <c r="V15" s="170"/>
    </row>
    <row r="16" spans="1:24" x14ac:dyDescent="0.3">
      <c r="A16" s="42"/>
      <c r="B16" s="31"/>
      <c r="C16" s="43"/>
      <c r="D16" s="36"/>
      <c r="E16" s="179" t="str">
        <f>IF(OR(G17&gt;O21,G17&lt;O19),"VERIFICAR PRAZO","PRAZO ENQUADRADO")</f>
        <v>PRAZO ENQUADRADO</v>
      </c>
      <c r="F16" s="179"/>
      <c r="G16" s="179"/>
      <c r="I16" s="86"/>
      <c r="J16" s="86"/>
      <c r="K16" s="86"/>
      <c r="M16" s="29" t="s">
        <v>7</v>
      </c>
      <c r="N16" s="25"/>
      <c r="O16" s="72">
        <f>IF((O10/C17)&gt;Parâmetros!L2,'Base de Dados'!AA3,O10/C17)</f>
        <v>0.5</v>
      </c>
      <c r="P16" s="126">
        <f>100%-O16</f>
        <v>0.5</v>
      </c>
      <c r="Q16" s="26" t="s">
        <v>11</v>
      </c>
      <c r="R16" s="26"/>
      <c r="S16" s="50">
        <f ca="1">IFERROR(XIRR('Base de Dados'!M2:M422,'Base de Dados'!L2:L422),"")</f>
        <v>0.15285696387290956</v>
      </c>
      <c r="T16" s="24"/>
      <c r="V16" s="170"/>
    </row>
    <row r="17" spans="1:23" x14ac:dyDescent="0.3">
      <c r="A17" s="26" t="s">
        <v>2</v>
      </c>
      <c r="B17" s="27"/>
      <c r="C17" s="40">
        <f>'Simulador Bradesco'!I15</f>
        <v>1500000</v>
      </c>
      <c r="D17" s="34"/>
      <c r="E17" s="26" t="s">
        <v>5</v>
      </c>
      <c r="F17" s="34"/>
      <c r="G17" s="89">
        <f>'Simulador Bradesco'!I21</f>
        <v>240</v>
      </c>
      <c r="I17" s="84" t="s">
        <v>123</v>
      </c>
      <c r="J17" s="85"/>
      <c r="K17" s="9" t="str">
        <f>IF(E6=Parâmetros!D25,IF(Parâmetros!O2&lt;&gt;"",Simulador!K11/Parâmetros!O2,""),"")</f>
        <v/>
      </c>
      <c r="L17" s="99" t="e">
        <f>K17-100%</f>
        <v>#VALUE!</v>
      </c>
      <c r="M17" s="29" t="s">
        <v>143</v>
      </c>
      <c r="N17" s="25"/>
      <c r="O17" s="72">
        <f>_xlfn.XLOOKUP(Parâmetros!J2,'Base de Dados'!N:N,'Base de Dados'!P:P,"",0,1)</f>
        <v>0.8</v>
      </c>
      <c r="P17" s="25"/>
      <c r="Q17" s="26"/>
      <c r="R17" s="26"/>
      <c r="S17" s="34"/>
      <c r="T17" s="24"/>
      <c r="V17" s="170"/>
    </row>
    <row r="18" spans="1:23" ht="4.5" customHeight="1" x14ac:dyDescent="0.3">
      <c r="A18" s="26"/>
      <c r="B18" s="26"/>
      <c r="C18" s="41"/>
      <c r="D18" s="34"/>
      <c r="E18" s="26"/>
      <c r="F18" s="34"/>
      <c r="G18" s="39"/>
      <c r="J18" s="34"/>
      <c r="L18" t="str">
        <f>IF(E6=Parâmetros!D25,Simulador!K17,"")</f>
        <v/>
      </c>
      <c r="M18" s="51"/>
      <c r="N18" s="25"/>
      <c r="O18" s="25"/>
      <c r="P18" s="25"/>
      <c r="Q18" s="26"/>
      <c r="R18" s="26"/>
      <c r="S18" s="34"/>
      <c r="T18" s="24"/>
      <c r="V18" s="170"/>
    </row>
    <row r="19" spans="1:23" x14ac:dyDescent="0.3">
      <c r="A19" s="179" t="str">
        <f>IF(O16="LTV NÃO PERMITIDO","VALOR NÃO PERMITIDO","VALOR ENQUADRADO")</f>
        <v>VALOR ENQUADRADO</v>
      </c>
      <c r="B19" s="179"/>
      <c r="C19" s="179"/>
      <c r="D19" s="34"/>
      <c r="E19" s="42"/>
      <c r="F19" s="44"/>
      <c r="G19" s="43"/>
      <c r="H19" s="112"/>
      <c r="I19" s="119" t="s">
        <v>124</v>
      </c>
      <c r="J19" s="36"/>
      <c r="K19" s="120">
        <f>IF(Parâmetros!N3=Parâmetros!E22,SUM(Simulador!G17,Simulador!K10,Simulador!K14),Simulador!G17)</f>
        <v>240</v>
      </c>
      <c r="M19" s="29" t="s">
        <v>77</v>
      </c>
      <c r="N19" s="25"/>
      <c r="O19" s="73">
        <f>VLOOKUP(Parâmetros!J2,'Base de Dados'!N1:S10000,6,FALSE)</f>
        <v>121</v>
      </c>
      <c r="P19" s="25"/>
      <c r="Q19" s="26" t="s">
        <v>10</v>
      </c>
      <c r="R19" s="26"/>
      <c r="S19" s="30" t="str">
        <f>Parâmetros!P2</f>
        <v>SIM</v>
      </c>
      <c r="T19" s="24"/>
      <c r="V19" s="170"/>
    </row>
    <row r="20" spans="1:23" x14ac:dyDescent="0.3">
      <c r="A20" s="26" t="s">
        <v>3</v>
      </c>
      <c r="B20" s="26"/>
      <c r="C20" s="40">
        <f>'Simulador Bradesco'!I17</f>
        <v>750000</v>
      </c>
      <c r="D20" s="34"/>
      <c r="E20" s="26" t="s">
        <v>38</v>
      </c>
      <c r="F20" s="34"/>
      <c r="G20" s="35" t="str">
        <f>'Simulador Bradesco'!D19</f>
        <v>PRICE</v>
      </c>
      <c r="H20" s="112"/>
      <c r="I20" s="121">
        <v>0.05</v>
      </c>
      <c r="J20" s="36"/>
      <c r="K20" s="121">
        <f>Parâmetros!L2-Simulador!O16</f>
        <v>0.30000000000000004</v>
      </c>
      <c r="M20" s="51"/>
      <c r="N20" s="25"/>
      <c r="O20" s="25"/>
      <c r="P20" s="25"/>
      <c r="Q20" s="26"/>
      <c r="R20" s="26"/>
      <c r="S20" s="34"/>
      <c r="T20" s="24"/>
      <c r="V20" s="170"/>
    </row>
    <row r="21" spans="1:23" x14ac:dyDescent="0.3">
      <c r="A21" s="22"/>
      <c r="B21" s="22"/>
      <c r="C21" s="22"/>
      <c r="D21" s="22"/>
      <c r="E21" s="25"/>
      <c r="F21" s="25"/>
      <c r="G21" s="25"/>
      <c r="H21" s="112"/>
      <c r="I21" s="119"/>
      <c r="J21" s="36"/>
      <c r="K21" s="121">
        <f>IF(I20&gt;K20,K20,I20)</f>
        <v>0.05</v>
      </c>
      <c r="M21" s="29" t="s">
        <v>76</v>
      </c>
      <c r="N21" s="25"/>
      <c r="O21" s="38">
        <f>VLOOKUP(Parâmetros!J2,'Base de Dados'!N1:T100000,7,FALSE)</f>
        <v>240</v>
      </c>
      <c r="P21" s="22"/>
      <c r="Q21" s="52" t="s">
        <v>68</v>
      </c>
      <c r="R21" s="52"/>
      <c r="S21" s="37">
        <f>S23*O10</f>
        <v>25349.999999999996</v>
      </c>
      <c r="T21" s="24"/>
      <c r="V21" s="170"/>
    </row>
    <row r="22" spans="1:23" x14ac:dyDescent="0.3">
      <c r="A22" s="42"/>
      <c r="B22" s="42"/>
      <c r="C22" s="42"/>
      <c r="D22" s="105"/>
      <c r="E22" s="42"/>
      <c r="F22" s="42"/>
      <c r="G22" s="42"/>
      <c r="H22" s="112"/>
      <c r="I22" s="42"/>
      <c r="J22" s="42"/>
      <c r="K22" s="42"/>
      <c r="M22" s="29"/>
      <c r="N22" s="25"/>
      <c r="O22" s="25"/>
      <c r="P22" s="22"/>
      <c r="Q22" s="25"/>
      <c r="R22" s="25"/>
      <c r="S22" s="22"/>
      <c r="T22" s="24"/>
      <c r="V22" s="170"/>
    </row>
    <row r="23" spans="1:23" x14ac:dyDescent="0.3">
      <c r="A23" s="26" t="s">
        <v>141</v>
      </c>
      <c r="B23" s="105"/>
      <c r="C23" s="40">
        <f>IFERROR(ROUNDDOWN((C17*O17),2),0)</f>
        <v>1200000</v>
      </c>
      <c r="D23" s="105"/>
      <c r="E23" s="26" t="s">
        <v>142</v>
      </c>
      <c r="F23" s="105"/>
      <c r="G23" s="106">
        <f>IFERROR(O11/C23,"")</f>
        <v>0.625</v>
      </c>
      <c r="H23" s="114">
        <f>G23-100%</f>
        <v>-0.375</v>
      </c>
      <c r="I23" s="119" t="s">
        <v>154</v>
      </c>
      <c r="J23" s="36"/>
      <c r="K23" s="127">
        <f>IF(O17-K24&gt;I20,I20,O17-K24)</f>
        <v>0.05</v>
      </c>
      <c r="M23" s="29" t="s">
        <v>74</v>
      </c>
      <c r="N23" s="53"/>
      <c r="O23" s="50">
        <f>Parâmetros!T2</f>
        <v>0.1399</v>
      </c>
      <c r="P23" s="53"/>
      <c r="Q23" s="54" t="s">
        <v>69</v>
      </c>
      <c r="R23" s="54"/>
      <c r="S23" s="50">
        <f>Parâmetros!Q2</f>
        <v>3.3799999999999997E-2</v>
      </c>
      <c r="T23" s="24"/>
      <c r="V23" s="170"/>
    </row>
    <row r="24" spans="1:23" x14ac:dyDescent="0.3">
      <c r="A24" s="105"/>
      <c r="B24" s="105"/>
      <c r="C24" s="105"/>
      <c r="D24" s="105"/>
      <c r="E24" s="105"/>
      <c r="F24" s="105"/>
      <c r="G24" s="105"/>
      <c r="H24" s="112"/>
      <c r="I24" s="119"/>
      <c r="J24" s="36"/>
      <c r="K24" s="125">
        <f>C20/C17</f>
        <v>0.5</v>
      </c>
      <c r="M24" s="55"/>
      <c r="N24" s="53"/>
      <c r="O24" s="53"/>
      <c r="P24" s="53"/>
      <c r="Q24" s="25"/>
      <c r="R24" s="25"/>
      <c r="S24" s="22"/>
      <c r="T24" s="24"/>
      <c r="V24" s="170"/>
    </row>
    <row r="25" spans="1:23" ht="12.75" customHeight="1" x14ac:dyDescent="0.3">
      <c r="A25" s="42"/>
      <c r="B25" s="42"/>
      <c r="C25" s="42"/>
      <c r="D25" s="62"/>
      <c r="E25" s="26" t="s">
        <v>157</v>
      </c>
      <c r="F25" s="62"/>
      <c r="G25" s="131">
        <f>K23*C17</f>
        <v>75000</v>
      </c>
      <c r="H25" s="112"/>
      <c r="I25" s="119"/>
      <c r="J25" s="36"/>
      <c r="K25" s="122">
        <f>SUM(K26:K27)</f>
        <v>80</v>
      </c>
      <c r="M25" s="29" t="s">
        <v>75</v>
      </c>
      <c r="N25" s="53"/>
      <c r="O25" s="50">
        <f>(1+O23)^(1/12)-1</f>
        <v>1.0971461456750209E-2</v>
      </c>
      <c r="P25" s="53"/>
      <c r="Q25" s="26" t="s">
        <v>9</v>
      </c>
      <c r="R25" s="56"/>
      <c r="S25" s="57">
        <f>VLOOKUP(Parâmetros!J2,'Base de Dados'!N1:R10000,5,FALSE)</f>
        <v>3400</v>
      </c>
      <c r="T25" s="24"/>
      <c r="V25" s="170"/>
    </row>
    <row r="26" spans="1:23" x14ac:dyDescent="0.3">
      <c r="A26" s="26" t="s">
        <v>149</v>
      </c>
      <c r="B26" s="62"/>
      <c r="C26" s="164" t="str">
        <f>IF(C10=Parâmetros!C3,C10,'Simulador Bradesco'!I13)</f>
        <v>PRIVATE</v>
      </c>
      <c r="D26" s="62"/>
      <c r="E26" s="26" t="s">
        <v>153</v>
      </c>
      <c r="F26" s="62"/>
      <c r="G26" s="40">
        <f>IF(VLOOKUP(Parâmetros!J2,'Base de Dados'!N1:Z1000000,13,FALSE)="SIM",ROUNDDOWN(K21*C17,2),0)</f>
        <v>75000</v>
      </c>
      <c r="H26" s="112"/>
      <c r="I26" s="119">
        <f>IF(VLOOKUP(Parâmetros!J2,'Base de Dados'!N1:Z100003,13,FALSE)="SIM",ROUNDDOWN(K23*C17,2),0)</f>
        <v>75000</v>
      </c>
      <c r="J26" s="36"/>
      <c r="K26" s="123">
        <f>396/12</f>
        <v>33</v>
      </c>
      <c r="M26" s="58"/>
      <c r="N26" s="59"/>
      <c r="O26" s="59"/>
      <c r="P26" s="59"/>
      <c r="Q26" s="60"/>
      <c r="R26" s="60"/>
      <c r="S26" s="60"/>
      <c r="T26" s="61"/>
      <c r="U26" s="93"/>
      <c r="V26" s="172"/>
    </row>
    <row r="27" spans="1:23" x14ac:dyDescent="0.3">
      <c r="A27" s="62"/>
      <c r="B27" s="62"/>
      <c r="C27" s="62"/>
      <c r="D27" s="62"/>
      <c r="E27" s="62"/>
      <c r="F27" s="62"/>
      <c r="G27" s="62"/>
      <c r="H27" s="113"/>
      <c r="I27" s="113"/>
      <c r="J27" s="113"/>
      <c r="K27" s="115">
        <v>47</v>
      </c>
      <c r="L27" s="34"/>
      <c r="M27" s="95" t="str">
        <f>IF(E6=Parâmetros!D24,"Prazo Máx Construção","")</f>
        <v/>
      </c>
      <c r="N27" s="95"/>
      <c r="O27" s="116">
        <f>VLOOKUP(Parâmetros!J2,'Base de Dados'!N1:U100000,8,FALSE)</f>
        <v>0</v>
      </c>
      <c r="P27" s="96"/>
      <c r="Q27" s="97">
        <f>O16*C17</f>
        <v>750000</v>
      </c>
      <c r="R27" s="97"/>
      <c r="S27" s="98" t="s">
        <v>140</v>
      </c>
      <c r="T27" s="99" t="s">
        <v>132</v>
      </c>
      <c r="V27" s="171"/>
    </row>
    <row r="28" spans="1:23" x14ac:dyDescent="0.3">
      <c r="A28" s="62"/>
      <c r="B28" s="62"/>
      <c r="C28" s="62"/>
      <c r="D28" s="62"/>
      <c r="E28" s="62"/>
      <c r="F28" s="62"/>
      <c r="G28" s="62"/>
      <c r="H28" s="34"/>
      <c r="I28" s="34"/>
      <c r="J28" s="34"/>
      <c r="K28" s="34"/>
      <c r="L28" s="34"/>
      <c r="M28" s="53"/>
      <c r="N28" s="53"/>
      <c r="O28" s="53"/>
      <c r="P28" s="22"/>
      <c r="Q28" s="133"/>
      <c r="R28" s="25"/>
      <c r="U28" s="134"/>
      <c r="V28" s="170"/>
    </row>
    <row r="29" spans="1:23" x14ac:dyDescent="0.3">
      <c r="A29" s="62"/>
      <c r="B29" s="62"/>
      <c r="C29" s="62"/>
      <c r="D29" s="62"/>
      <c r="E29" s="62"/>
      <c r="F29" s="62"/>
      <c r="G29" s="6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93"/>
      <c r="U29" s="93"/>
      <c r="V29" s="171"/>
    </row>
    <row r="30" spans="1:23" x14ac:dyDescent="0.3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U30" s="18"/>
      <c r="V30" s="170"/>
      <c r="W30" s="99"/>
    </row>
    <row r="31" spans="1:23" x14ac:dyDescent="0.3">
      <c r="A31" s="26" t="s">
        <v>47</v>
      </c>
      <c r="B31" s="26"/>
      <c r="C31" s="26" t="s">
        <v>48</v>
      </c>
      <c r="D31" s="26"/>
      <c r="E31" s="26" t="s">
        <v>113</v>
      </c>
      <c r="G31" s="26" t="s">
        <v>49</v>
      </c>
      <c r="H31" s="26"/>
      <c r="I31" s="26" t="s">
        <v>50</v>
      </c>
      <c r="J31" s="26"/>
      <c r="K31" s="26" t="s">
        <v>65</v>
      </c>
      <c r="L31" s="26"/>
      <c r="M31" s="26" t="s">
        <v>66</v>
      </c>
      <c r="N31" s="26"/>
      <c r="O31" s="26" t="s">
        <v>67</v>
      </c>
      <c r="P31" s="26"/>
      <c r="Q31" s="26" t="s">
        <v>51</v>
      </c>
      <c r="R31" s="26"/>
      <c r="S31" s="26" t="s">
        <v>52</v>
      </c>
      <c r="U31" s="26" t="str">
        <f>IF(Parâmetros!N3=Parâmetros!E22,"Liberações","")</f>
        <v/>
      </c>
      <c r="W31" s="99"/>
    </row>
    <row r="32" spans="1:23" x14ac:dyDescent="0.3">
      <c r="A32" s="49">
        <f ca="1">C8</f>
        <v>46163</v>
      </c>
      <c r="B32" s="49"/>
      <c r="C32" s="81"/>
      <c r="D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63">
        <f ca="1">IFERROR(IF(AND(C14=Parâmetros!B7,Simulador!C20&lt;750000),"SIMULAÇÃO NOK",IF(OR(G17&gt;O21,G17&lt;O19),"SIMULAÇÃO NOK",IF(S10="Prazo Superior","SIMULAÇÃO NOK",IF(Parâmetros!$N$3=Parâmetros!$E$22,U32*-1,IF(G11&gt;G25,"SIMULAÇÃO NOK",IF(Parâmetros!R2&lt;18,"SIMULAÇÃO NOK",$O$10)))))),"")</f>
        <v>750000</v>
      </c>
      <c r="U32" s="15">
        <f>IF(E6=Parâmetros!D25,Simulador!O10*'Simulador Bradesco'!$N$21*-1,0)</f>
        <v>0</v>
      </c>
      <c r="W32" s="99"/>
    </row>
    <row r="33" spans="1:23" x14ac:dyDescent="0.3">
      <c r="A33" s="49">
        <f ca="1">IF(C33="","",C8)</f>
        <v>46163</v>
      </c>
      <c r="B33" s="49"/>
      <c r="C33" s="81">
        <f ca="1">IFERROR(IF(O16='Base de Dados'!AA3,"",IF(S32='Base de Dados'!AA2,"",0)),"")</f>
        <v>0</v>
      </c>
      <c r="D33" s="34"/>
      <c r="E33" s="4" t="str">
        <f ca="1">IF(C33="","","Seguro")</f>
        <v>Seguro</v>
      </c>
      <c r="G33" s="46">
        <f ca="1">IF(C33="","",0)</f>
        <v>0</v>
      </c>
      <c r="H33" s="46"/>
      <c r="I33" s="46">
        <f ca="1">IF(C33="","",0)</f>
        <v>0</v>
      </c>
      <c r="J33" s="34"/>
      <c r="K33" s="46">
        <f ca="1">IF(C33="","",IF(Simulador!O8=Parâmetros!C8,SUM(Simulador!S25,Simulador!S21,25),SUM(Simulador!S25+Simulador!S21)))</f>
        <v>28749.999999999996</v>
      </c>
      <c r="L33" s="46"/>
      <c r="M33" s="46">
        <f ca="1">IFERROR(IF(C33="","",IF($C$10=Parâmetros!$C$3,0,VLOOKUP(A33,'Base de Dados'!$E$2:$G$422,3,FALSE)*Simulador!S32)),"")</f>
        <v>136.04999999999998</v>
      </c>
      <c r="N33" s="34"/>
      <c r="O33" s="46">
        <f ca="1">IF(C33="","",IF(E33="Construção",0,IF(C14=Parâmetros!B4,0,IF(E33="Seguro",$C$17*'Base de Dados'!$C$2,IF($C$14=Parâmetros!$B$4,0,Simulador!$C$17*'Base de Dados'!$C$2)))))</f>
        <v>75</v>
      </c>
      <c r="P33" s="46"/>
      <c r="Q33" s="46">
        <f ca="1">IF(C33="","",SUM(G33:O33))</f>
        <v>28961.049999999996</v>
      </c>
      <c r="R33" s="46"/>
      <c r="S33" s="46">
        <f ca="1">IF(C33="","",S32)</f>
        <v>750000</v>
      </c>
      <c r="U33" s="15">
        <f>U32</f>
        <v>0</v>
      </c>
      <c r="V33" s="174">
        <f>SUM(O10,U33)</f>
        <v>750000</v>
      </c>
      <c r="W33" s="117">
        <f>V33/40</f>
        <v>18750</v>
      </c>
    </row>
    <row r="34" spans="1:23" x14ac:dyDescent="0.3">
      <c r="A34" s="49">
        <f ca="1">IF(C34="","",IF(C33&gt;$G$17,0,EDATE(A33,1)))</f>
        <v>46194</v>
      </c>
      <c r="B34" s="49" t="str">
        <f ca="1">IF(AND(E34="Retorno",E33&lt;&gt;"Retorno"),"Primeira",IF(AND(E34="Retorno",E33=""),"Primeira",""))</f>
        <v>Primeira</v>
      </c>
      <c r="C34" s="81">
        <f ca="1">IF(OR(C33&gt;=$K$19,C33=""),"",C33+1)</f>
        <v>1</v>
      </c>
      <c r="D34" s="34">
        <f ca="1">C34</f>
        <v>1</v>
      </c>
      <c r="E34" s="4" t="str">
        <f ca="1">IF(C34="","","Retorno")</f>
        <v>Retorno</v>
      </c>
      <c r="G34" s="46">
        <f ca="1">IF(C34="","",IF(E34&lt;&gt;"Retorno",0,IF($G$20=Parâmetros!$D$2,Simulador!$O$10/$G$17,IF($G$20=Parâmetros!$D$3,PMT($O$25,$G$17,($O$10)*-1)-I34,""))))</f>
        <v>646.93279704500674</v>
      </c>
      <c r="H34" s="46"/>
      <c r="I34" s="46">
        <f ca="1">IFERROR(IF(C34="","",FV($O$25,1,,-S33,0)-S33),"")</f>
        <v>8228.5960925626568</v>
      </c>
      <c r="J34" s="34"/>
      <c r="K34" s="46">
        <f ca="1">IF(C34="","",IF(AND($O$23&lt;12.01%,$C$17&lt;2250000.01),25,0))</f>
        <v>0</v>
      </c>
      <c r="L34" s="46"/>
      <c r="M34" s="46">
        <f ca="1">IFERROR(IF(C34="","",IF($C$10=Parâmetros!$C$3,0,VLOOKUP(A34,'Base de Dados'!$E$3:$G$422,3,FALSE)*S34)),0)</f>
        <v>135.93264639061604</v>
      </c>
      <c r="N34" s="34"/>
      <c r="O34" s="46">
        <f ca="1">IF(C34="","",IF(C35="",0,IF(E34="Construção",0,IF(E34="Seguro",$C$17*'Base de Dados'!$C$2,IF($C$14=Parâmetros!$B$4,0,Simulador!$C$17*'Base de Dados'!$C$2)))))</f>
        <v>75</v>
      </c>
      <c r="P34" s="46"/>
      <c r="Q34" s="46">
        <f ca="1">IF(C34="","",IF(E34&lt;&gt;"Retorno",(I34+K34+M34),IF($G$20=Parâmetros!$D$2,SUM(G34,I34,K34,M34,O34),PMT($O$25,$G$17,($O$10)*-1)+O34+K34+M34)))</f>
        <v>9086.4615359982799</v>
      </c>
      <c r="R34" s="46"/>
      <c r="S34" s="46">
        <f ca="1">IF(E34="Construção",S33+(U34*-1),IF(E34="Carência",S33,IF(E34="Retorno",S33-G34,"")))</f>
        <v>749353.06720295502</v>
      </c>
      <c r="U34" s="15" t="str">
        <f ca="1">IF(E34="Construção",(($O$10+$U$33)/$K$10)*-1,"")</f>
        <v/>
      </c>
      <c r="W34" s="99"/>
    </row>
    <row r="35" spans="1:23" x14ac:dyDescent="0.3">
      <c r="A35" s="49">
        <f t="shared" ref="A35:A98" ca="1" si="0">IF(C35="","",IF(C34&gt;$G$17,0,EDATE(A34,1)))</f>
        <v>46224</v>
      </c>
      <c r="B35" s="49" t="str">
        <f t="shared" ref="B35:B98" ca="1" si="1">IF(AND(E35="Retorno",E34&lt;&gt;"Retorno"),"Primeira",IF(AND(E35="Retorno",E34=""),"Primeira",""))</f>
        <v/>
      </c>
      <c r="C35" s="81">
        <f t="shared" ref="C35:C98" ca="1" si="2">IF(OR(C34&gt;=$K$19,C34=""),"",C34+1)</f>
        <v>2</v>
      </c>
      <c r="D35" s="34">
        <f t="shared" ref="D35:D98" ca="1" si="3">C35</f>
        <v>2</v>
      </c>
      <c r="E35" s="4" t="str">
        <f t="shared" ref="E35:E98" ca="1" si="4">IF(C35="","","Retorno")</f>
        <v>Retorno</v>
      </c>
      <c r="G35" s="46">
        <f ca="1">IF(C35="","",IF(E35&lt;&gt;"Retorno",0,IF($G$20=Parâmetros!$D$2,Simulador!$O$10/$G$17,IF($G$20=Parâmetros!$D$3,PMT($O$25,$G$17,($O$10)*-1)-I35,""))))</f>
        <v>654.03059529294478</v>
      </c>
      <c r="H35" s="46"/>
      <c r="I35" s="46">
        <f ca="1">IFERROR(IF(C35="","",FV($O$25,1,,-S34,0)-S34),"")</f>
        <v>8221.4982943147188</v>
      </c>
      <c r="J35" s="34"/>
      <c r="K35" s="46">
        <f t="shared" ref="K35:K98" ca="1" si="5">IF(C35="","",IF(AND($O$23&lt;12.01%,$C$17&lt;2250000.01),25,0))</f>
        <v>0</v>
      </c>
      <c r="L35" s="46"/>
      <c r="M35" s="46">
        <f ca="1">IFERROR(IF(C35="","",IF($C$10=Parâmetros!$C$3,0,VLOOKUP(A35,'Base de Dados'!$E$3:$G$422,3,FALSE)*S35)),0)</f>
        <v>135.81400524062991</v>
      </c>
      <c r="N35" s="34"/>
      <c r="O35" s="46">
        <f ca="1">IF(C35="","",IF(C36="",0,IF(E35="Construção",0,IF(E35="Seguro",$C$17*'Base de Dados'!$C$2,IF($C$14=Parâmetros!$B$4,0,Simulador!$C$17*'Base de Dados'!$C$2)))))</f>
        <v>75</v>
      </c>
      <c r="P35" s="46"/>
      <c r="Q35" s="46">
        <f ca="1">IF(C35="","",IF(E35&lt;&gt;"Retorno",(I35+K35+M35),IF($G$20=Parâmetros!$D$2,SUM(G35,I35,K35,M35,O35),PMT($O$25,$G$17,($O$10)*-1)+O35+M35+K35)))</f>
        <v>9086.3428948482942</v>
      </c>
      <c r="R35" s="46"/>
      <c r="S35" s="46">
        <f ca="1">IF(E35="Construção",S34+(U35*-1),IF(E35="Carência",S34,IF(E35="Retorno",S34-G35,"")))</f>
        <v>748699.0366076621</v>
      </c>
      <c r="U35" s="15" t="str">
        <f t="shared" ref="U35:U98" ca="1" si="6">IF(E35="Construção",(($O$10+$U$33)/$K$10)*-1,"")</f>
        <v/>
      </c>
      <c r="W35" s="99"/>
    </row>
    <row r="36" spans="1:23" x14ac:dyDescent="0.3">
      <c r="A36" s="49">
        <f t="shared" ca="1" si="0"/>
        <v>46255</v>
      </c>
      <c r="B36" s="49" t="str">
        <f t="shared" ca="1" si="1"/>
        <v/>
      </c>
      <c r="C36" s="81">
        <f t="shared" ca="1" si="2"/>
        <v>3</v>
      </c>
      <c r="D36" s="34">
        <f t="shared" ca="1" si="3"/>
        <v>3</v>
      </c>
      <c r="E36" s="4" t="str">
        <f t="shared" ca="1" si="4"/>
        <v>Retorno</v>
      </c>
      <c r="G36" s="46">
        <f ca="1">IF(C36="","",IF(E36&lt;&gt;"Retorno",0,IF($G$20=Parâmetros!$D$2,Simulador!$O$10/$G$17,IF($G$20=Parâmetros!$D$3,PMT($O$25,$G$17,($O$10)*-1)-I36,""))))</f>
        <v>661.20626676073516</v>
      </c>
      <c r="H36" s="46"/>
      <c r="I36" s="46">
        <f t="shared" ref="I36:I97" ca="1" si="7">IFERROR(IF(C36="","",FV($O$25,1,,-S35,0)-S35),"")</f>
        <v>8214.3226228469284</v>
      </c>
      <c r="J36" s="34"/>
      <c r="K36" s="46">
        <f t="shared" ca="1" si="5"/>
        <v>0</v>
      </c>
      <c r="L36" s="46"/>
      <c r="M36" s="46">
        <f ca="1">IFERROR(IF(C36="","",IF($C$10=Parâmetros!$C$3,0,VLOOKUP(A36,'Base de Dados'!$E$3:$G$422,3,FALSE)*S36)),0)</f>
        <v>135.69406242383951</v>
      </c>
      <c r="N36" s="34"/>
      <c r="O36" s="46">
        <f ca="1">IF(C36="","",IF(C37="",0,IF(E36="Construção",0,IF(E36="Seguro",$C$17*'Base de Dados'!$C$2,IF($C$14=Parâmetros!$B$4,0,Simulador!$C$17*'Base de Dados'!$C$2)))))</f>
        <v>75</v>
      </c>
      <c r="P36" s="46"/>
      <c r="Q36" s="46">
        <f ca="1">IF(C36="","",IF(E36&lt;&gt;"Retorno",(I36+K36+M36),IF($G$20=Parâmetros!$D$2,SUM(G36,I36,K36,M36,O36),PMT($O$25,SUM($G$17),($O$10)*-1)+O36+M36+K36)))</f>
        <v>9086.2229520315032</v>
      </c>
      <c r="R36" s="46"/>
      <c r="S36" s="46">
        <f t="shared" ref="S36:S98" ca="1" si="8">IF(E36="Construção",S35+(U36*-1),IF(E36="Carência",S35,IF(E36="Retorno",S35-G36,"")))</f>
        <v>748037.83034090139</v>
      </c>
      <c r="U36" s="15" t="str">
        <f t="shared" ca="1" si="6"/>
        <v/>
      </c>
      <c r="W36" s="99"/>
    </row>
    <row r="37" spans="1:23" x14ac:dyDescent="0.3">
      <c r="A37" s="49">
        <f t="shared" ca="1" si="0"/>
        <v>46286</v>
      </c>
      <c r="B37" s="49" t="str">
        <f t="shared" ca="1" si="1"/>
        <v/>
      </c>
      <c r="C37" s="81">
        <f t="shared" ca="1" si="2"/>
        <v>4</v>
      </c>
      <c r="D37" s="34">
        <f t="shared" ca="1" si="3"/>
        <v>4</v>
      </c>
      <c r="E37" s="4" t="str">
        <f t="shared" ca="1" si="4"/>
        <v>Retorno</v>
      </c>
      <c r="G37" s="46">
        <f ca="1">IF(C37="","",IF(E37&lt;&gt;"Retorno",0,IF($G$20=Parâmetros!$D$2,Simulador!$O$10/$G$17,IF($G$20=Parâmetros!$D$3,PMT($O$25,$G$17,($O$10)*-1)-I37,""))))</f>
        <v>668.46066583136781</v>
      </c>
      <c r="H37" s="46"/>
      <c r="I37" s="46">
        <f t="shared" ca="1" si="7"/>
        <v>8207.0682237762958</v>
      </c>
      <c r="J37" s="34"/>
      <c r="K37" s="46">
        <f t="shared" ca="1" si="5"/>
        <v>0</v>
      </c>
      <c r="L37" s="46"/>
      <c r="M37" s="46">
        <f ca="1">IFERROR(IF(C37="","",IF($C$10=Parâmetros!$C$3,0,VLOOKUP(A37,'Base de Dados'!$E$3:$G$422,3,FALSE)*S37)),0)</f>
        <v>135.57280365905771</v>
      </c>
      <c r="N37" s="34"/>
      <c r="O37" s="46">
        <f ca="1">IF(C37="","",IF(C38="",0,IF(E37="Construção",0,IF(E37="Seguro",$C$17*'Base de Dados'!$C$2,IF($C$14=Parâmetros!$B$4,0,Simulador!$C$17*'Base de Dados'!$C$2)))))</f>
        <v>75</v>
      </c>
      <c r="P37" s="46"/>
      <c r="Q37" s="46">
        <f ca="1">IF(C37="","",IF(E37&lt;&gt;"Retorno",(I37+K37+M37),IF($G$20=Parâmetros!$D$2,SUM(G37,I37,K37,M37,O37),PMT($O$25,SUM($G$17),($O$10)*-1)+O37+M37+K37)))</f>
        <v>9086.1016932667208</v>
      </c>
      <c r="R37" s="46"/>
      <c r="S37" s="46">
        <f t="shared" ca="1" si="8"/>
        <v>747369.36967507005</v>
      </c>
      <c r="U37" s="15" t="str">
        <f t="shared" ca="1" si="6"/>
        <v/>
      </c>
      <c r="W37" s="99"/>
    </row>
    <row r="38" spans="1:23" x14ac:dyDescent="0.3">
      <c r="A38" s="49">
        <f t="shared" ca="1" si="0"/>
        <v>46316</v>
      </c>
      <c r="B38" s="49" t="str">
        <f t="shared" ca="1" si="1"/>
        <v/>
      </c>
      <c r="C38" s="81">
        <f t="shared" ca="1" si="2"/>
        <v>5</v>
      </c>
      <c r="D38" s="34">
        <f t="shared" ca="1" si="3"/>
        <v>5</v>
      </c>
      <c r="E38" s="4" t="str">
        <f t="shared" ca="1" si="4"/>
        <v>Retorno</v>
      </c>
      <c r="G38" s="46">
        <f ca="1">IF(C38="","",IF(E38&lt;&gt;"Retorno",0,IF($G$20=Parâmetros!$D$2,Simulador!$O$10/$G$17,IF($G$20=Parâmetros!$D$3,PMT($O$25,$G$17,($O$10)*-1)-I38,""))))</f>
        <v>675.7946562619436</v>
      </c>
      <c r="H38" s="46"/>
      <c r="I38" s="46">
        <f t="shared" ca="1" si="7"/>
        <v>8199.73423334572</v>
      </c>
      <c r="J38" s="34"/>
      <c r="K38" s="46">
        <f t="shared" ca="1" si="5"/>
        <v>0</v>
      </c>
      <c r="L38" s="46"/>
      <c r="M38" s="46">
        <f ca="1">IFERROR(IF(C38="","",IF($C$10=Parâmetros!$C$3,0,VLOOKUP(A38,'Base de Dados'!$E$3:$G$422,3,FALSE)*S38)),0)</f>
        <v>135.45021450841179</v>
      </c>
      <c r="N38" s="34"/>
      <c r="O38" s="46">
        <f ca="1">IF(C38="","",IF(C39="",0,IF(E38="Construção",0,IF(E38="Seguro",$C$17*'Base de Dados'!$C$2,IF($C$14=Parâmetros!$B$4,0,Simulador!$C$17*'Base de Dados'!$C$2)))))</f>
        <v>75</v>
      </c>
      <c r="P38" s="46"/>
      <c r="Q38" s="46">
        <f ca="1">IF(C38="","",IF(E38&lt;&gt;"Retorno",(I38+K38+M38),IF($G$20=Parâmetros!$D$2,SUM(G38,I38,K38,M38,O38),PMT($O$25,SUM($G$17),($O$10)*-1)+O38+M38+K38)))</f>
        <v>9085.9791041160752</v>
      </c>
      <c r="R38" s="46"/>
      <c r="S38" s="46">
        <f t="shared" ca="1" si="8"/>
        <v>746693.57501880813</v>
      </c>
      <c r="U38" s="15" t="str">
        <f t="shared" ca="1" si="6"/>
        <v/>
      </c>
      <c r="W38" s="99"/>
    </row>
    <row r="39" spans="1:23" x14ac:dyDescent="0.3">
      <c r="A39" s="49">
        <f t="shared" ca="1" si="0"/>
        <v>46347</v>
      </c>
      <c r="B39" s="49" t="str">
        <f t="shared" ca="1" si="1"/>
        <v/>
      </c>
      <c r="C39" s="81">
        <f t="shared" ca="1" si="2"/>
        <v>6</v>
      </c>
      <c r="D39" s="34">
        <f t="shared" ca="1" si="3"/>
        <v>6</v>
      </c>
      <c r="E39" s="4" t="str">
        <f t="shared" ca="1" si="4"/>
        <v>Retorno</v>
      </c>
      <c r="G39" s="46">
        <f ca="1">IF(C39="","",IF(E39&lt;&gt;"Retorno",0,IF($G$20=Parâmetros!$D$2,Simulador!$O$10/$G$17,IF($G$20=Parâmetros!$D$3,PMT($O$25,$G$17,($O$10)*-1)-I39,""))))</f>
        <v>683.20911128577063</v>
      </c>
      <c r="H39" s="46"/>
      <c r="I39" s="46">
        <f t="shared" ca="1" si="7"/>
        <v>8192.319778321893</v>
      </c>
      <c r="J39" s="34"/>
      <c r="K39" s="46">
        <f t="shared" ca="1" si="5"/>
        <v>0</v>
      </c>
      <c r="L39" s="46"/>
      <c r="M39" s="46">
        <f ca="1">IFERROR(IF(C39="","",IF($C$10=Parâmetros!$C$3,0,VLOOKUP(A39,'Base de Dados'!$E$3:$G$422,3,FALSE)*S39)),0)</f>
        <v>135.32628037562455</v>
      </c>
      <c r="N39" s="34"/>
      <c r="O39" s="46">
        <f ca="1">IF(C39="","",IF(C40="",0,IF(E39="Construção",0,IF(E39="Seguro",$C$17*'Base de Dados'!$C$2,IF($C$14=Parâmetros!$B$4,0,Simulador!$C$17*'Base de Dados'!$C$2)))))</f>
        <v>75</v>
      </c>
      <c r="P39" s="46"/>
      <c r="Q39" s="46">
        <f ca="1">IF(C39="","",IF(E39&lt;&gt;"Retorno",(I39+K39+M39),IF($G$20=Parâmetros!$D$2,SUM(G39,I39,K39,M39,O39),PMT($O$25,SUM($G$17),($O$10)*-1)+O39+M39+K39)))</f>
        <v>9085.8551699832879</v>
      </c>
      <c r="R39" s="46"/>
      <c r="S39" s="46">
        <f t="shared" ca="1" si="8"/>
        <v>746010.36590752238</v>
      </c>
      <c r="U39" s="15" t="str">
        <f t="shared" ca="1" si="6"/>
        <v/>
      </c>
    </row>
    <row r="40" spans="1:23" x14ac:dyDescent="0.3">
      <c r="A40" s="49">
        <f t="shared" ca="1" si="0"/>
        <v>46377</v>
      </c>
      <c r="B40" s="49" t="str">
        <f t="shared" ca="1" si="1"/>
        <v/>
      </c>
      <c r="C40" s="81">
        <f t="shared" ca="1" si="2"/>
        <v>7</v>
      </c>
      <c r="D40" s="34">
        <f t="shared" ca="1" si="3"/>
        <v>7</v>
      </c>
      <c r="E40" s="4" t="str">
        <f t="shared" ca="1" si="4"/>
        <v>Retorno</v>
      </c>
      <c r="G40" s="46">
        <f ca="1">IF(C40="","",IF(E40&lt;&gt;"Retorno",0,IF($G$20=Parâmetros!$D$2,Simulador!$O$10/$G$17,IF($G$20=Parâmetros!$D$3,PMT($O$25,$G$17,($O$10)*-1)-I40,""))))</f>
        <v>690.70491371713797</v>
      </c>
      <c r="H40" s="46"/>
      <c r="I40" s="46">
        <f t="shared" ca="1" si="7"/>
        <v>8184.8239758905256</v>
      </c>
      <c r="J40" s="34"/>
      <c r="K40" s="46">
        <f t="shared" ca="1" si="5"/>
        <v>0</v>
      </c>
      <c r="L40" s="46"/>
      <c r="M40" s="46">
        <f ca="1">IFERROR(IF(C40="","",IF($C$10=Parâmetros!$C$3,0,VLOOKUP(A40,'Base de Dados'!$E$3:$G$422,3,FALSE)*S40)),0)</f>
        <v>135.20098650427627</v>
      </c>
      <c r="N40" s="34"/>
      <c r="O40" s="46">
        <f ca="1">IF(C40="","",IF(C41="",0,IF(E40="Construção",0,IF(E40="Seguro",$C$17*'Base de Dados'!$C$2,IF($C$14=Parâmetros!$B$4,0,Simulador!$C$17*'Base de Dados'!$C$2)))))</f>
        <v>75</v>
      </c>
      <c r="P40" s="46"/>
      <c r="Q40" s="46">
        <f ca="1">IF(C40="","",IF(E40&lt;&gt;"Retorno",(I40+K40+M40),IF($G$20=Parâmetros!$D$2,SUM(G40,I40,K40,M40,O40),PMT($O$25,SUM($G$17),($O$10)*-1)+O40+M40+K40)))</f>
        <v>9085.72987611194</v>
      </c>
      <c r="R40" s="46"/>
      <c r="S40" s="46">
        <f t="shared" ca="1" si="8"/>
        <v>745319.66099380527</v>
      </c>
      <c r="U40" s="15" t="str">
        <f t="shared" ca="1" si="6"/>
        <v/>
      </c>
    </row>
    <row r="41" spans="1:23" x14ac:dyDescent="0.3">
      <c r="A41" s="49">
        <f t="shared" ca="1" si="0"/>
        <v>46408</v>
      </c>
      <c r="B41" s="49" t="str">
        <f t="shared" ca="1" si="1"/>
        <v/>
      </c>
      <c r="C41" s="81">
        <f t="shared" ca="1" si="2"/>
        <v>8</v>
      </c>
      <c r="D41" s="34">
        <f t="shared" ca="1" si="3"/>
        <v>8</v>
      </c>
      <c r="E41" s="4" t="str">
        <f t="shared" ca="1" si="4"/>
        <v>Retorno</v>
      </c>
      <c r="G41" s="46">
        <f ca="1">IF(C41="","",IF(E41&lt;&gt;"Retorno",0,IF($G$20=Parâmetros!$D$2,Simulador!$O$10/$G$17,IF($G$20=Parâmetros!$D$3,PMT($O$25,$G$17,($O$10)*-1)-I41,""))))</f>
        <v>698.28295605597305</v>
      </c>
      <c r="H41" s="46"/>
      <c r="I41" s="46">
        <f t="shared" ca="1" si="7"/>
        <v>8177.2459335516905</v>
      </c>
      <c r="J41" s="34"/>
      <c r="K41" s="46">
        <f t="shared" ca="1" si="5"/>
        <v>0</v>
      </c>
      <c r="L41" s="46"/>
      <c r="M41" s="46">
        <f ca="1">IFERROR(IF(C41="","",IF($C$10=Parâmetros!$C$3,0,VLOOKUP(A41,'Base de Dados'!$E$3:$G$422,3,FALSE)*S41)),0)</f>
        <v>135.07431797604772</v>
      </c>
      <c r="N41" s="34"/>
      <c r="O41" s="46">
        <f ca="1">IF(C41="","",IF(C42="",0,IF(E41="Construção",0,IF(E41="Seguro",$C$17*'Base de Dados'!$C$2,IF($C$14=Parâmetros!$B$4,0,Simulador!$C$17*'Base de Dados'!$C$2)))))</f>
        <v>75</v>
      </c>
      <c r="P41" s="46"/>
      <c r="Q41" s="46">
        <f ca="1">IF(C41="","",IF(E41&lt;&gt;"Retorno",(I41+K41+M41),IF($G$20=Parâmetros!$D$2,SUM(G41,I41,K41,M41,O41),PMT($O$25,SUM($G$17),($O$10)*-1)+O41+M41+K41)))</f>
        <v>9085.603207583712</v>
      </c>
      <c r="R41" s="46"/>
      <c r="S41" s="46">
        <f t="shared" ca="1" si="8"/>
        <v>744621.37803774932</v>
      </c>
      <c r="U41" s="15" t="str">
        <f t="shared" ca="1" si="6"/>
        <v/>
      </c>
    </row>
    <row r="42" spans="1:23" x14ac:dyDescent="0.3">
      <c r="A42" s="49">
        <f t="shared" ca="1" si="0"/>
        <v>46439</v>
      </c>
      <c r="B42" s="49" t="str">
        <f t="shared" ca="1" si="1"/>
        <v/>
      </c>
      <c r="C42" s="81">
        <f t="shared" ca="1" si="2"/>
        <v>9</v>
      </c>
      <c r="D42" s="34">
        <f t="shared" ca="1" si="3"/>
        <v>9</v>
      </c>
      <c r="E42" s="4" t="str">
        <f t="shared" ca="1" si="4"/>
        <v>Retorno</v>
      </c>
      <c r="G42" s="46">
        <f ca="1">IF(C42="","",IF(E42&lt;&gt;"Retorno",0,IF($G$20=Parâmetros!$D$2,Simulador!$O$10/$G$17,IF($G$20=Parâmetros!$D$3,PMT($O$25,$G$17,($O$10)*-1)-I42,""))))</f>
        <v>705.94414059424525</v>
      </c>
      <c r="H42" s="46"/>
      <c r="I42" s="46">
        <f t="shared" ca="1" si="7"/>
        <v>8169.5847490134183</v>
      </c>
      <c r="J42" s="34"/>
      <c r="K42" s="46">
        <f t="shared" ca="1" si="5"/>
        <v>0</v>
      </c>
      <c r="L42" s="46"/>
      <c r="M42" s="46">
        <f ca="1">IFERROR(IF(C42="","",IF($C$10=Parâmetros!$C$3,0,VLOOKUP(A42,'Base de Dados'!$E$3:$G$422,3,FALSE)*S42)),0)</f>
        <v>134.94625970894393</v>
      </c>
      <c r="N42" s="34"/>
      <c r="O42" s="46">
        <f ca="1">IF(C42="","",IF(C43="",0,IF(E42="Construção",0,IF(E42="Seguro",$C$17*'Base de Dados'!$C$2,IF($C$14=Parâmetros!$B$4,0,Simulador!$C$17*'Base de Dados'!$C$2)))))</f>
        <v>75</v>
      </c>
      <c r="P42" s="46"/>
      <c r="Q42" s="46">
        <f ca="1">IF(C42="","",IF(E42&lt;&gt;"Retorno",(I42+K42+M42),IF($G$20=Parâmetros!$D$2,SUM(G42,I42,K42,M42,O42),PMT($O$25,SUM($G$17),($O$10)*-1)+O42+M42+K42)))</f>
        <v>9085.4751493166077</v>
      </c>
      <c r="R42" s="46"/>
      <c r="S42" s="46">
        <f t="shared" ca="1" si="8"/>
        <v>743915.4338971551</v>
      </c>
      <c r="U42" s="15" t="str">
        <f t="shared" ca="1" si="6"/>
        <v/>
      </c>
    </row>
    <row r="43" spans="1:23" x14ac:dyDescent="0.3">
      <c r="A43" s="49">
        <f t="shared" ca="1" si="0"/>
        <v>46467</v>
      </c>
      <c r="B43" s="49" t="str">
        <f t="shared" ca="1" si="1"/>
        <v/>
      </c>
      <c r="C43" s="81">
        <f t="shared" ca="1" si="2"/>
        <v>10</v>
      </c>
      <c r="D43" s="34">
        <f t="shared" ca="1" si="3"/>
        <v>10</v>
      </c>
      <c r="E43" s="4" t="str">
        <f t="shared" ca="1" si="4"/>
        <v>Retorno</v>
      </c>
      <c r="G43" s="46">
        <f ca="1">IF(C43="","",IF(E43&lt;&gt;"Retorno",0,IF($G$20=Parâmetros!$D$2,Simulador!$O$10/$G$17,IF($G$20=Parâmetros!$D$3,PMT($O$25,$G$17,($O$10)*-1)-I43,""))))</f>
        <v>713.6893795234173</v>
      </c>
      <c r="H43" s="46"/>
      <c r="I43" s="46">
        <f t="shared" ca="1" si="7"/>
        <v>8161.8395100842463</v>
      </c>
      <c r="J43" s="34"/>
      <c r="K43" s="46">
        <f t="shared" ca="1" si="5"/>
        <v>0</v>
      </c>
      <c r="L43" s="46"/>
      <c r="M43" s="46">
        <f ca="1">IFERROR(IF(C43="","",IF($C$10=Parâmetros!$C$3,0,VLOOKUP(A43,'Base de Dados'!$E$3:$G$422,3,FALSE)*S43)),0)</f>
        <v>134.81679645549838</v>
      </c>
      <c r="N43" s="34"/>
      <c r="O43" s="46">
        <f ca="1">IF(C43="","",IF(C44="",0,IF(E43="Construção",0,IF(E43="Seguro",$C$17*'Base de Dados'!$C$2,IF($C$14=Parâmetros!$B$4,0,Simulador!$C$17*'Base de Dados'!$C$2)))))</f>
        <v>75</v>
      </c>
      <c r="P43" s="46"/>
      <c r="Q43" s="46">
        <f ca="1">IF(C43="","",IF(E43&lt;&gt;"Retorno",(I43+K43+M43),IF($G$20=Parâmetros!$D$2,SUM(G43,I43,K43,M43,O43),PMT($O$25,SUM($G$17),($O$10)*-1)+O43+M43+K43)))</f>
        <v>9085.3456860631613</v>
      </c>
      <c r="R43" s="46"/>
      <c r="S43" s="46">
        <f t="shared" ca="1" si="8"/>
        <v>743201.74451763171</v>
      </c>
      <c r="U43" s="15" t="str">
        <f t="shared" ca="1" si="6"/>
        <v/>
      </c>
    </row>
    <row r="44" spans="1:23" x14ac:dyDescent="0.3">
      <c r="A44" s="49">
        <f t="shared" ca="1" si="0"/>
        <v>46498</v>
      </c>
      <c r="B44" s="49" t="str">
        <f t="shared" ca="1" si="1"/>
        <v/>
      </c>
      <c r="C44" s="81">
        <f t="shared" ca="1" si="2"/>
        <v>11</v>
      </c>
      <c r="D44" s="34">
        <f t="shared" ca="1" si="3"/>
        <v>11</v>
      </c>
      <c r="E44" s="4" t="str">
        <f t="shared" ca="1" si="4"/>
        <v>Retorno</v>
      </c>
      <c r="G44" s="46">
        <f ca="1">IF(C44="","",IF(E44&lt;&gt;"Retorno",0,IF($G$20=Parâmetros!$D$2,Simulador!$O$10/$G$17,IF($G$20=Parâmetros!$D$3,PMT($O$25,$G$17,($O$10)*-1)-I44,""))))</f>
        <v>721.51959504294427</v>
      </c>
      <c r="H44" s="46"/>
      <c r="I44" s="46">
        <f t="shared" ca="1" si="7"/>
        <v>8154.0092945647193</v>
      </c>
      <c r="J44" s="34"/>
      <c r="K44" s="46">
        <f t="shared" ca="1" si="5"/>
        <v>0</v>
      </c>
      <c r="L44" s="46"/>
      <c r="M44" s="46">
        <f ca="1">IFERROR(IF(C44="","",IF($C$10=Parâmetros!$C$3,0,VLOOKUP(A44,'Base de Dados'!$E$3:$G$422,3,FALSE)*S44)),0)</f>
        <v>134.6859128009576</v>
      </c>
      <c r="N44" s="34"/>
      <c r="O44" s="46">
        <f ca="1">IF(C44="","",IF(C45="",0,IF(E44="Construção",0,IF(E44="Seguro",$C$17*'Base de Dados'!$C$2,IF($C$14=Parâmetros!$B$4,0,Simulador!$C$17*'Base de Dados'!$C$2)))))</f>
        <v>75</v>
      </c>
      <c r="P44" s="46"/>
      <c r="Q44" s="46">
        <f ca="1">IF(C44="","",IF(E44&lt;&gt;"Retorno",(I44+K44+M44),IF($G$20=Parâmetros!$D$2,SUM(G44,I44,K44,M44,O44),PMT($O$25,SUM($G$17),($O$10)*-1)+O44+M44+K44)))</f>
        <v>9085.2148024086218</v>
      </c>
      <c r="R44" s="46"/>
      <c r="S44" s="46">
        <f t="shared" ca="1" si="8"/>
        <v>742480.22492258879</v>
      </c>
      <c r="U44" s="15" t="str">
        <f t="shared" ca="1" si="6"/>
        <v/>
      </c>
    </row>
    <row r="45" spans="1:23" x14ac:dyDescent="0.3">
      <c r="A45" s="49">
        <f t="shared" ca="1" si="0"/>
        <v>46528</v>
      </c>
      <c r="B45" s="49" t="str">
        <f t="shared" ca="1" si="1"/>
        <v/>
      </c>
      <c r="C45" s="81">
        <f t="shared" ca="1" si="2"/>
        <v>12</v>
      </c>
      <c r="D45" s="34">
        <f t="shared" ca="1" si="3"/>
        <v>12</v>
      </c>
      <c r="E45" s="4" t="str">
        <f t="shared" ca="1" si="4"/>
        <v>Retorno</v>
      </c>
      <c r="G45" s="46">
        <f ca="1">IF(C45="","",IF(E45&lt;&gt;"Retorno",0,IF($G$20=Parâmetros!$D$2,Simulador!$O$10/$G$17,IF($G$20=Parâmetros!$D$3,PMT($O$25,$G$17,($O$10)*-1)-I45,""))))</f>
        <v>729.43571947028613</v>
      </c>
      <c r="H45" s="46"/>
      <c r="I45" s="46">
        <f t="shared" ca="1" si="7"/>
        <v>8146.0931701373775</v>
      </c>
      <c r="J45" s="34"/>
      <c r="K45" s="46">
        <f t="shared" ca="1" si="5"/>
        <v>0</v>
      </c>
      <c r="L45" s="46"/>
      <c r="M45" s="46">
        <f ca="1">IFERROR(IF(C45="","",IF($C$10=Parâmetros!$C$3,0,VLOOKUP(A45,'Base de Dados'!$E$3:$G$422,3,FALSE)*S45)),0)</f>
        <v>134.55359316144569</v>
      </c>
      <c r="N45" s="34"/>
      <c r="O45" s="46">
        <f ca="1">IF(C45="","",IF(C46="",0,IF(E45="Construção",0,IF(E45="Seguro",$C$17*'Base de Dados'!$C$2,IF($C$14=Parâmetros!$B$4,0,Simulador!$C$17*'Base de Dados'!$C$2)))))</f>
        <v>75</v>
      </c>
      <c r="P45" s="46"/>
      <c r="Q45" s="46">
        <f ca="1">IF(C45="","",IF(E45&lt;&gt;"Retorno",(I45+K45+M45),IF($G$20=Parâmetros!$D$2,SUM(G45,I45,K45,M45,O45),PMT($O$25,SUM($G$17),($O$10)*-1)+O45+M45+K45)))</f>
        <v>9085.0824827691085</v>
      </c>
      <c r="R45" s="46"/>
      <c r="S45" s="46">
        <f t="shared" ca="1" si="8"/>
        <v>741750.78920311853</v>
      </c>
      <c r="U45" s="15" t="str">
        <f t="shared" ca="1" si="6"/>
        <v/>
      </c>
    </row>
    <row r="46" spans="1:23" x14ac:dyDescent="0.3">
      <c r="A46" s="49">
        <f t="shared" ca="1" si="0"/>
        <v>46559</v>
      </c>
      <c r="B46" s="49" t="str">
        <f t="shared" ca="1" si="1"/>
        <v/>
      </c>
      <c r="C46" s="81">
        <f t="shared" ca="1" si="2"/>
        <v>13</v>
      </c>
      <c r="D46" s="34">
        <f t="shared" ca="1" si="3"/>
        <v>13</v>
      </c>
      <c r="E46" s="4" t="str">
        <f t="shared" ca="1" si="4"/>
        <v>Retorno</v>
      </c>
      <c r="G46" s="46">
        <f ca="1">IF(C46="","",IF(E46&lt;&gt;"Retorno",0,IF($G$20=Parâmetros!$D$2,Simulador!$O$10/$G$17,IF($G$20=Parâmetros!$D$3,PMT($O$25,$G$17,($O$10)*-1)-I46,""))))</f>
        <v>737.43869535161866</v>
      </c>
      <c r="H46" s="46"/>
      <c r="I46" s="46">
        <f t="shared" ca="1" si="7"/>
        <v>8138.0901942560449</v>
      </c>
      <c r="J46" s="34"/>
      <c r="K46" s="46">
        <f t="shared" ca="1" si="5"/>
        <v>0</v>
      </c>
      <c r="L46" s="46"/>
      <c r="M46" s="46">
        <f ca="1">IFERROR(IF(C46="","",IF($C$10=Parâmetros!$C$3,0,VLOOKUP(A46,'Base de Dados'!$E$3:$G$422,3,FALSE)*S46)),0)</f>
        <v>134.41982178210893</v>
      </c>
      <c r="N46" s="34"/>
      <c r="O46" s="46">
        <f ca="1">IF(C46="","",IF(C47="",0,IF(E46="Construção",0,IF(E46="Seguro",$C$17*'Base de Dados'!$C$2,IF($C$14=Parâmetros!$B$4,0,Simulador!$C$17*'Base de Dados'!$C$2)))))</f>
        <v>75</v>
      </c>
      <c r="P46" s="46"/>
      <c r="Q46" s="46">
        <f ca="1">IF(C46="","",IF(E46&lt;&gt;"Retorno",(I46+K46+M46),IF($G$20=Parâmetros!$D$2,SUM(G46,I46,K46,M46,O46),PMT($O$25,SUM($G$17),($O$10)*-1)+O46+M46+K46)))</f>
        <v>9084.9487113897721</v>
      </c>
      <c r="R46" s="46"/>
      <c r="S46" s="46">
        <f t="shared" ca="1" si="8"/>
        <v>741013.35050776694</v>
      </c>
      <c r="U46" s="15" t="str">
        <f t="shared" ca="1" si="6"/>
        <v/>
      </c>
    </row>
    <row r="47" spans="1:23" x14ac:dyDescent="0.3">
      <c r="A47" s="49">
        <f t="shared" ca="1" si="0"/>
        <v>46589</v>
      </c>
      <c r="B47" s="49" t="str">
        <f t="shared" ca="1" si="1"/>
        <v/>
      </c>
      <c r="C47" s="81">
        <f t="shared" ca="1" si="2"/>
        <v>14</v>
      </c>
      <c r="D47" s="34">
        <f t="shared" ca="1" si="3"/>
        <v>14</v>
      </c>
      <c r="E47" s="4" t="str">
        <f t="shared" ca="1" si="4"/>
        <v>Retorno</v>
      </c>
      <c r="G47" s="46">
        <f ca="1">IF(C47="","",IF(E47&lt;&gt;"Retorno",0,IF($G$20=Parâmetros!$D$2,Simulador!$O$10/$G$17,IF($G$20=Parâmetros!$D$3,PMT($O$25,$G$17,($O$10)*-1)-I47,""))))</f>
        <v>745.52947557440712</v>
      </c>
      <c r="H47" s="46"/>
      <c r="I47" s="46">
        <f t="shared" ca="1" si="7"/>
        <v>8129.9994140332565</v>
      </c>
      <c r="J47" s="34"/>
      <c r="K47" s="46">
        <f t="shared" ca="1" si="5"/>
        <v>0</v>
      </c>
      <c r="L47" s="46"/>
      <c r="M47" s="46">
        <f ca="1">IFERROR(IF(C47="","",IF($C$10=Parâmetros!$C$3,0,VLOOKUP(A47,'Base de Dados'!$E$3:$G$422,3,FALSE)*S47)),0)</f>
        <v>134.28458273523972</v>
      </c>
      <c r="N47" s="34"/>
      <c r="O47" s="46">
        <f ca="1">IF(C47="","",IF(C48="",0,IF(E47="Construção",0,IF(E47="Seguro",$C$17*'Base de Dados'!$C$2,IF($C$14=Parâmetros!$B$4,0,Simulador!$C$17*'Base de Dados'!$C$2)))))</f>
        <v>75</v>
      </c>
      <c r="P47" s="46"/>
      <c r="Q47" s="46">
        <f ca="1">IF(C47="","",IF(E47&lt;&gt;"Retorno",(I47+K47+M47),IF($G$20=Parâmetros!$D$2,SUM(G47,I47,K47,M47,O47),PMT($O$25,SUM($G$17),($O$10)*-1)+O47+M47+K47)))</f>
        <v>9084.813472342903</v>
      </c>
      <c r="R47" s="46"/>
      <c r="S47" s="46">
        <f t="shared" ca="1" si="8"/>
        <v>740267.82103219256</v>
      </c>
      <c r="U47" s="15" t="str">
        <f t="shared" ca="1" si="6"/>
        <v/>
      </c>
    </row>
    <row r="48" spans="1:23" x14ac:dyDescent="0.3">
      <c r="A48" s="49">
        <f t="shared" ca="1" si="0"/>
        <v>46620</v>
      </c>
      <c r="B48" s="49" t="str">
        <f t="shared" ca="1" si="1"/>
        <v/>
      </c>
      <c r="C48" s="81">
        <f t="shared" ca="1" si="2"/>
        <v>15</v>
      </c>
      <c r="D48" s="34">
        <f t="shared" ca="1" si="3"/>
        <v>15</v>
      </c>
      <c r="E48" s="4" t="str">
        <f t="shared" ca="1" si="4"/>
        <v>Retorno</v>
      </c>
      <c r="G48" s="46">
        <f ca="1">IF(C48="","",IF(E48&lt;&gt;"Retorno",0,IF($G$20=Parâmetros!$D$2,Simulador!$O$10/$G$17,IF($G$20=Parâmetros!$D$3,PMT($O$25,$G$17,($O$10)*-1)-I48,""))))</f>
        <v>753.70902348044547</v>
      </c>
      <c r="H48" s="46"/>
      <c r="I48" s="46">
        <f t="shared" ca="1" si="7"/>
        <v>8121.8198661272181</v>
      </c>
      <c r="J48" s="34"/>
      <c r="K48" s="46">
        <f t="shared" ca="1" si="5"/>
        <v>0</v>
      </c>
      <c r="L48" s="46"/>
      <c r="M48" s="46">
        <f ca="1">IFERROR(IF(C48="","",IF($C$10=Parâmetros!$C$3,0,VLOOKUP(A48,'Base de Dados'!$E$3:$G$422,3,FALSE)*S48)),0)</f>
        <v>131.33770629274727</v>
      </c>
      <c r="N48" s="34"/>
      <c r="O48" s="46">
        <f ca="1">IF(C48="","",IF(C49="",0,IF(E48="Construção",0,IF(E48="Seguro",$C$17*'Base de Dados'!$C$2,IF($C$14=Parâmetros!$B$4,0,Simulador!$C$17*'Base de Dados'!$C$2)))))</f>
        <v>75</v>
      </c>
      <c r="P48" s="46"/>
      <c r="Q48" s="46">
        <f ca="1">IF(C48="","",IF(E48&lt;&gt;"Retorno",(I48+K48+M48),IF($G$20=Parâmetros!$D$2,SUM(G48,I48,K48,M48,O48),PMT($O$25,SUM($G$17),($O$10)*-1)+O48+M48+K48)))</f>
        <v>9081.8665959004102</v>
      </c>
      <c r="R48" s="46"/>
      <c r="S48" s="46">
        <f t="shared" ca="1" si="8"/>
        <v>739514.11200871214</v>
      </c>
      <c r="U48" s="15" t="str">
        <f t="shared" ca="1" si="6"/>
        <v/>
      </c>
    </row>
    <row r="49" spans="1:21" x14ac:dyDescent="0.3">
      <c r="A49" s="49">
        <f t="shared" ca="1" si="0"/>
        <v>46651</v>
      </c>
      <c r="B49" s="49" t="str">
        <f t="shared" ca="1" si="1"/>
        <v/>
      </c>
      <c r="C49" s="81">
        <f t="shared" ca="1" si="2"/>
        <v>16</v>
      </c>
      <c r="D49" s="34">
        <f t="shared" ca="1" si="3"/>
        <v>16</v>
      </c>
      <c r="E49" s="4" t="str">
        <f t="shared" ca="1" si="4"/>
        <v>Retorno</v>
      </c>
      <c r="G49" s="46">
        <f ca="1">IF(C49="","",IF(E49&lt;&gt;"Retorno",0,IF($G$20=Parâmetros!$D$2,Simulador!$O$10/$G$17,IF($G$20=Parâmetros!$D$3,PMT($O$25,$G$17,($O$10)*-1)-I49,""))))</f>
        <v>761.97831298122401</v>
      </c>
      <c r="H49" s="46"/>
      <c r="I49" s="46">
        <f t="shared" ca="1" si="7"/>
        <v>8113.5505766264396</v>
      </c>
      <c r="J49" s="34"/>
      <c r="K49" s="46">
        <f t="shared" ca="1" si="5"/>
        <v>0</v>
      </c>
      <c r="L49" s="46"/>
      <c r="M49" s="46">
        <f ca="1">IFERROR(IF(C49="","",IF($C$10=Parâmetros!$C$3,0,VLOOKUP(A49,'Base de Dados'!$E$3:$G$422,3,FALSE)*S49)),0)</f>
        <v>134.00963705240559</v>
      </c>
      <c r="N49" s="34"/>
      <c r="O49" s="46">
        <f ca="1">IF(C49="","",IF(C50="",0,IF(E49="Construção",0,IF(E49="Seguro",$C$17*'Base de Dados'!$C$2,IF($C$14=Parâmetros!$B$4,0,Simulador!$C$17*'Base de Dados'!$C$2)))))</f>
        <v>75</v>
      </c>
      <c r="P49" s="46"/>
      <c r="Q49" s="46">
        <f ca="1">IF(C49="","",IF(E49&lt;&gt;"Retorno",(I49+K49+M49),IF($G$20=Parâmetros!$D$2,SUM(G49,I49,K49,M49,O49),PMT($O$25,SUM($G$17),($O$10)*-1)+O49+M49+K49)))</f>
        <v>9084.5385266600697</v>
      </c>
      <c r="R49" s="46"/>
      <c r="S49" s="46">
        <f t="shared" ca="1" si="8"/>
        <v>738752.13369573094</v>
      </c>
      <c r="U49" s="15" t="str">
        <f t="shared" ca="1" si="6"/>
        <v/>
      </c>
    </row>
    <row r="50" spans="1:21" x14ac:dyDescent="0.3">
      <c r="A50" s="49">
        <f t="shared" ca="1" si="0"/>
        <v>46681</v>
      </c>
      <c r="B50" s="49" t="str">
        <f t="shared" ca="1" si="1"/>
        <v/>
      </c>
      <c r="C50" s="81">
        <f t="shared" ca="1" si="2"/>
        <v>17</v>
      </c>
      <c r="D50" s="34">
        <f t="shared" ca="1" si="3"/>
        <v>17</v>
      </c>
      <c r="E50" s="4" t="str">
        <f t="shared" ca="1" si="4"/>
        <v>Retorno</v>
      </c>
      <c r="G50" s="46">
        <f ca="1">IF(C50="","",IF(E50&lt;&gt;"Retorno",0,IF($G$20=Parâmetros!$D$2,Simulador!$O$10/$G$17,IF($G$20=Parâmetros!$D$3,PMT($O$25,$G$17,($O$10)*-1)-I50,""))))</f>
        <v>770.33832867294768</v>
      </c>
      <c r="H50" s="46"/>
      <c r="I50" s="46">
        <f t="shared" ca="1" si="7"/>
        <v>8105.1905609347159</v>
      </c>
      <c r="J50" s="34"/>
      <c r="K50" s="46">
        <f t="shared" ca="1" si="5"/>
        <v>0</v>
      </c>
      <c r="L50" s="46"/>
      <c r="M50" s="46">
        <f ca="1">IFERROR(IF(C50="","",IF($C$10=Parâmetros!$C$3,0,VLOOKUP(A50,'Base de Dados'!$E$3:$G$422,3,FALSE)*S50)),0)</f>
        <v>133.86989767958431</v>
      </c>
      <c r="N50" s="34"/>
      <c r="O50" s="46">
        <f ca="1">IF(C50="","",IF(C51="",0,IF(E50="Construção",0,IF(E50="Seguro",$C$17*'Base de Dados'!$C$2,IF($C$14=Parâmetros!$B$4,0,Simulador!$C$17*'Base de Dados'!$C$2)))))</f>
        <v>75</v>
      </c>
      <c r="P50" s="46"/>
      <c r="Q50" s="46">
        <f ca="1">IF(C50="","",IF(E50&lt;&gt;"Retorno",(I50+K50+M50),IF($G$20=Parâmetros!$D$2,SUM(G50,I50,K50,M50,O50),PMT($O$25,SUM($G$17),($O$10)*-1)+O50+M50+K50)))</f>
        <v>9084.3987872872476</v>
      </c>
      <c r="R50" s="46"/>
      <c r="S50" s="46">
        <f t="shared" ca="1" si="8"/>
        <v>737981.79536705802</v>
      </c>
      <c r="U50" s="15" t="str">
        <f t="shared" ca="1" si="6"/>
        <v/>
      </c>
    </row>
    <row r="51" spans="1:21" x14ac:dyDescent="0.3">
      <c r="A51" s="49">
        <f t="shared" ca="1" si="0"/>
        <v>46712</v>
      </c>
      <c r="B51" s="49" t="str">
        <f t="shared" ca="1" si="1"/>
        <v/>
      </c>
      <c r="C51" s="81">
        <f t="shared" ca="1" si="2"/>
        <v>18</v>
      </c>
      <c r="D51" s="34">
        <f t="shared" ca="1" si="3"/>
        <v>18</v>
      </c>
      <c r="E51" s="4" t="str">
        <f t="shared" ca="1" si="4"/>
        <v>Retorno</v>
      </c>
      <c r="G51" s="46">
        <f ca="1">IF(C51="","",IF(E51&lt;&gt;"Retorno",0,IF($G$20=Parâmetros!$D$2,Simulador!$O$10/$G$17,IF($G$20=Parâmetros!$D$3,PMT($O$25,$G$17,($O$10)*-1)-I51,""))))</f>
        <v>778.79006595469764</v>
      </c>
      <c r="H51" s="46"/>
      <c r="I51" s="46">
        <f t="shared" ca="1" si="7"/>
        <v>8096.7388236529659</v>
      </c>
      <c r="J51" s="34"/>
      <c r="K51" s="46">
        <f t="shared" ca="1" si="5"/>
        <v>0</v>
      </c>
      <c r="L51" s="46"/>
      <c r="M51" s="46">
        <f ca="1">IFERROR(IF(C51="","",IF($C$10=Parâmetros!$C$3,0,VLOOKUP(A51,'Base de Dados'!$E$3:$G$422,3,FALSE)*S51)),0)</f>
        <v>130.92725374147597</v>
      </c>
      <c r="N51" s="34"/>
      <c r="O51" s="46">
        <f ca="1">IF(C51="","",IF(C52="",0,IF(E51="Construção",0,IF(E51="Seguro",$C$17*'Base de Dados'!$C$2,IF($C$14=Parâmetros!$B$4,0,Simulador!$C$17*'Base de Dados'!$C$2)))))</f>
        <v>75</v>
      </c>
      <c r="P51" s="46"/>
      <c r="Q51" s="46">
        <f ca="1">IF(C51="","",IF(E51&lt;&gt;"Retorno",(I51+K51+M51),IF($G$20=Parâmetros!$D$2,SUM(G51,I51,K51,M51,O51),PMT($O$25,SUM($G$17),($O$10)*-1)+O51+M51+K51)))</f>
        <v>9081.4561433491399</v>
      </c>
      <c r="R51" s="46"/>
      <c r="S51" s="46">
        <f t="shared" ca="1" si="8"/>
        <v>737203.00530110335</v>
      </c>
      <c r="U51" s="15" t="str">
        <f t="shared" ca="1" si="6"/>
        <v/>
      </c>
    </row>
    <row r="52" spans="1:21" x14ac:dyDescent="0.3">
      <c r="A52" s="49">
        <f t="shared" ca="1" si="0"/>
        <v>46742</v>
      </c>
      <c r="B52" s="49" t="str">
        <f t="shared" ca="1" si="1"/>
        <v/>
      </c>
      <c r="C52" s="81">
        <f t="shared" ca="1" si="2"/>
        <v>19</v>
      </c>
      <c r="D52" s="34">
        <f t="shared" ca="1" si="3"/>
        <v>19</v>
      </c>
      <c r="E52" s="4" t="str">
        <f t="shared" ca="1" si="4"/>
        <v>Retorno</v>
      </c>
      <c r="G52" s="46">
        <f ca="1">IF(C52="","",IF(E52&lt;&gt;"Retorno",0,IF($G$20=Parâmetros!$D$2,Simulador!$O$10/$G$17,IF($G$20=Parâmetros!$D$3,PMT($O$25,$G$17,($O$10)*-1)-I52,""))))</f>
        <v>787.33453114624353</v>
      </c>
      <c r="H52" s="46"/>
      <c r="I52" s="46">
        <f t="shared" ca="1" si="7"/>
        <v>8088.1943584614201</v>
      </c>
      <c r="J52" s="34"/>
      <c r="K52" s="46">
        <f t="shared" ca="1" si="5"/>
        <v>0</v>
      </c>
      <c r="L52" s="46"/>
      <c r="M52" s="46">
        <f ca="1">IFERROR(IF(C52="","",IF($C$10=Parâmetros!$C$3,0,VLOOKUP(A52,'Base de Dados'!$E$3:$G$422,3,FALSE)*S52)),0)</f>
        <v>133.58580267767022</v>
      </c>
      <c r="N52" s="34"/>
      <c r="O52" s="46">
        <f ca="1">IF(C52="","",IF(C53="",0,IF(E52="Construção",0,IF(E52="Seguro",$C$17*'Base de Dados'!$C$2,IF($C$14=Parâmetros!$B$4,0,Simulador!$C$17*'Base de Dados'!$C$2)))))</f>
        <v>75</v>
      </c>
      <c r="P52" s="46"/>
      <c r="Q52" s="46">
        <f ca="1">IF(C52="","",IF(E52&lt;&gt;"Retorno",(I52+K52+M52),IF($G$20=Parâmetros!$D$2,SUM(G52,I52,K52,M52,O52),PMT($O$25,SUM($G$17),($O$10)*-1)+O52+M52+K52)))</f>
        <v>9084.1146922853331</v>
      </c>
      <c r="R52" s="46"/>
      <c r="S52" s="46">
        <f t="shared" ca="1" si="8"/>
        <v>736415.67076995713</v>
      </c>
      <c r="U52" s="15" t="str">
        <f t="shared" ca="1" si="6"/>
        <v/>
      </c>
    </row>
    <row r="53" spans="1:21" x14ac:dyDescent="0.3">
      <c r="A53" s="49">
        <f t="shared" ca="1" si="0"/>
        <v>46773</v>
      </c>
      <c r="B53" s="49" t="str">
        <f t="shared" ca="1" si="1"/>
        <v/>
      </c>
      <c r="C53" s="81">
        <f t="shared" ca="1" si="2"/>
        <v>20</v>
      </c>
      <c r="D53" s="34">
        <f t="shared" ca="1" si="3"/>
        <v>20</v>
      </c>
      <c r="E53" s="4" t="str">
        <f t="shared" ca="1" si="4"/>
        <v>Retorno</v>
      </c>
      <c r="G53" s="46">
        <f ca="1">IF(C53="","",IF(E53&lt;&gt;"Retorno",0,IF($G$20=Parâmetros!$D$2,Simulador!$O$10/$G$17,IF($G$20=Parâmetros!$D$3,PMT($O$25,$G$17,($O$10)*-1)-I53,""))))</f>
        <v>795.97274160818415</v>
      </c>
      <c r="H53" s="46"/>
      <c r="I53" s="46">
        <f t="shared" ca="1" si="7"/>
        <v>8079.5561479994794</v>
      </c>
      <c r="J53" s="34"/>
      <c r="K53" s="46">
        <f t="shared" ca="1" si="5"/>
        <v>0</v>
      </c>
      <c r="L53" s="46"/>
      <c r="M53" s="46">
        <f ca="1">IFERROR(IF(C53="","",IF($C$10=Parâmetros!$C$3,0,VLOOKUP(A53,'Base de Dados'!$E$3:$G$422,3,FALSE)*S53)),0)</f>
        <v>133.4414132223425</v>
      </c>
      <c r="N53" s="34"/>
      <c r="O53" s="46">
        <f ca="1">IF(C53="","",IF(C54="",0,IF(E53="Construção",0,IF(E53="Seguro",$C$17*'Base de Dados'!$C$2,IF($C$14=Parâmetros!$B$4,0,Simulador!$C$17*'Base de Dados'!$C$2)))))</f>
        <v>75</v>
      </c>
      <c r="P53" s="46"/>
      <c r="Q53" s="46">
        <f ca="1">IF(C53="","",IF(E53&lt;&gt;"Retorno",(I53+K53+M53),IF($G$20=Parâmetros!$D$2,SUM(G53,I53,K53,M53,O53),PMT($O$25,SUM($G$17),($O$10)*-1)+O53+M53+K53)))</f>
        <v>9083.9703028300064</v>
      </c>
      <c r="R53" s="46"/>
      <c r="S53" s="46">
        <f t="shared" ca="1" si="8"/>
        <v>735619.69802834897</v>
      </c>
      <c r="U53" s="15" t="str">
        <f t="shared" ca="1" si="6"/>
        <v/>
      </c>
    </row>
    <row r="54" spans="1:21" x14ac:dyDescent="0.3">
      <c r="A54" s="49">
        <f t="shared" ca="1" si="0"/>
        <v>46804</v>
      </c>
      <c r="B54" s="49" t="str">
        <f t="shared" ca="1" si="1"/>
        <v/>
      </c>
      <c r="C54" s="81">
        <f t="shared" ca="1" si="2"/>
        <v>21</v>
      </c>
      <c r="D54" s="34">
        <f t="shared" ca="1" si="3"/>
        <v>21</v>
      </c>
      <c r="E54" s="4" t="str">
        <f t="shared" ca="1" si="4"/>
        <v>Retorno</v>
      </c>
      <c r="G54" s="46">
        <f ca="1">IF(C54="","",IF(E54&lt;&gt;"Retorno",0,IF($G$20=Parâmetros!$D$2,Simulador!$O$10/$G$17,IF($G$20=Parâmetros!$D$3,PMT($O$25,$G$17,($O$10)*-1)-I54,""))))</f>
        <v>804.70572586336857</v>
      </c>
      <c r="H54" s="46"/>
      <c r="I54" s="46">
        <f t="shared" ca="1" si="7"/>
        <v>8070.823163744295</v>
      </c>
      <c r="J54" s="34"/>
      <c r="K54" s="46">
        <f t="shared" ca="1" si="5"/>
        <v>0</v>
      </c>
      <c r="L54" s="46"/>
      <c r="M54" s="46">
        <f ca="1">IFERROR(IF(C54="","",IF($C$10=Parâmetros!$C$3,0,VLOOKUP(A54,'Base de Dados'!$E$3:$G$422,3,FALSE)*S54)),0)</f>
        <v>133.2954396036709</v>
      </c>
      <c r="N54" s="34"/>
      <c r="O54" s="46">
        <f ca="1">IF(C54="","",IF(C55="",0,IF(E54="Construção",0,IF(E54="Seguro",$C$17*'Base de Dados'!$C$2,IF($C$14=Parâmetros!$B$4,0,Simulador!$C$17*'Base de Dados'!$C$2)))))</f>
        <v>75</v>
      </c>
      <c r="P54" s="46"/>
      <c r="Q54" s="46">
        <f ca="1">IF(C54="","",IF(E54&lt;&gt;"Retorno",(I54+K54+M54),IF($G$20=Parâmetros!$D$2,SUM(G54,I54,K54,M54,O54),PMT($O$25,SUM($G$17),($O$10)*-1)+O54+M54+K54)))</f>
        <v>9083.8243292113348</v>
      </c>
      <c r="R54" s="46"/>
      <c r="S54" s="46">
        <f t="shared" ca="1" si="8"/>
        <v>734814.99230248563</v>
      </c>
      <c r="U54" s="15" t="str">
        <f t="shared" ca="1" si="6"/>
        <v/>
      </c>
    </row>
    <row r="55" spans="1:21" x14ac:dyDescent="0.3">
      <c r="A55" s="49">
        <f t="shared" ca="1" si="0"/>
        <v>46833</v>
      </c>
      <c r="B55" s="49" t="str">
        <f t="shared" ca="1" si="1"/>
        <v/>
      </c>
      <c r="C55" s="81">
        <f t="shared" ca="1" si="2"/>
        <v>22</v>
      </c>
      <c r="D55" s="34">
        <f t="shared" ca="1" si="3"/>
        <v>22</v>
      </c>
      <c r="E55" s="4" t="str">
        <f t="shared" ca="1" si="4"/>
        <v>Retorno</v>
      </c>
      <c r="G55" s="46">
        <f ca="1">IF(C55="","",IF(E55&lt;&gt;"Retorno",0,IF($G$20=Parâmetros!$D$2,Simulador!$O$10/$G$17,IF($G$20=Parâmetros!$D$3,PMT($O$25,$G$17,($O$10)*-1)-I55,""))))</f>
        <v>813.53452371878302</v>
      </c>
      <c r="H55" s="46"/>
      <c r="I55" s="46">
        <f t="shared" ca="1" si="7"/>
        <v>8061.9943658888806</v>
      </c>
      <c r="J55" s="34"/>
      <c r="K55" s="46">
        <f t="shared" ca="1" si="5"/>
        <v>0</v>
      </c>
      <c r="L55" s="46"/>
      <c r="M55" s="46">
        <f ca="1">IFERROR(IF(C55="","",IF($C$10=Parâmetros!$C$3,0,VLOOKUP(A55,'Base de Dados'!$E$3:$G$422,3,FALSE)*S55)),0)</f>
        <v>133.14786444106829</v>
      </c>
      <c r="N55" s="34"/>
      <c r="O55" s="46">
        <f ca="1">IF(C55="","",IF(C56="",0,IF(E55="Construção",0,IF(E55="Seguro",$C$17*'Base de Dados'!$C$2,IF($C$14=Parâmetros!$B$4,0,Simulador!$C$17*'Base de Dados'!$C$2)))))</f>
        <v>75</v>
      </c>
      <c r="P55" s="46"/>
      <c r="Q55" s="46">
        <f ca="1">IF(C55="","",IF(E55&lt;&gt;"Retorno",(I55+K55+M55),IF($G$20=Parâmetros!$D$2,SUM(G55,I55,K55,M55,O55),PMT($O$25,SUM($G$17),($O$10)*-1)+O55+M55+K55)))</f>
        <v>9083.6767540487326</v>
      </c>
      <c r="R55" s="46"/>
      <c r="S55" s="46">
        <f t="shared" ca="1" si="8"/>
        <v>734001.45777876687</v>
      </c>
      <c r="U55" s="15" t="str">
        <f t="shared" ca="1" si="6"/>
        <v/>
      </c>
    </row>
    <row r="56" spans="1:21" x14ac:dyDescent="0.3">
      <c r="A56" s="49">
        <f t="shared" ca="1" si="0"/>
        <v>46864</v>
      </c>
      <c r="B56" s="49" t="str">
        <f t="shared" ca="1" si="1"/>
        <v/>
      </c>
      <c r="C56" s="81">
        <f t="shared" ca="1" si="2"/>
        <v>23</v>
      </c>
      <c r="D56" s="34">
        <f t="shared" ca="1" si="3"/>
        <v>23</v>
      </c>
      <c r="E56" s="4" t="str">
        <f t="shared" ca="1" si="4"/>
        <v>Retorno</v>
      </c>
      <c r="G56" s="46">
        <f ca="1">IF(C56="","",IF(E56&lt;&gt;"Retorno",0,IF($G$20=Parâmetros!$D$2,Simulador!$O$10/$G$17,IF($G$20=Parâmetros!$D$3,PMT($O$25,$G$17,($O$10)*-1)-I56,""))))</f>
        <v>822.46018638941678</v>
      </c>
      <c r="H56" s="46"/>
      <c r="I56" s="46">
        <f t="shared" ca="1" si="7"/>
        <v>8053.0687032182468</v>
      </c>
      <c r="J56" s="34"/>
      <c r="K56" s="46">
        <f t="shared" ca="1" si="5"/>
        <v>0</v>
      </c>
      <c r="L56" s="46"/>
      <c r="M56" s="46">
        <f ca="1">IFERROR(IF(C56="","",IF($C$10=Parâmetros!$C$3,0,VLOOKUP(A56,'Base de Dados'!$E$3:$G$422,3,FALSE)*S56)),0)</f>
        <v>130.21258997240625</v>
      </c>
      <c r="N56" s="34"/>
      <c r="O56" s="46">
        <f ca="1">IF(C56="","",IF(C57="",0,IF(E56="Construção",0,IF(E56="Seguro",$C$17*'Base de Dados'!$C$2,IF($C$14=Parâmetros!$B$4,0,Simulador!$C$17*'Base de Dados'!$C$2)))))</f>
        <v>75</v>
      </c>
      <c r="P56" s="46"/>
      <c r="Q56" s="46">
        <f ca="1">IF(C56="","",IF(E56&lt;&gt;"Retorno",(I56+K56+M56),IF($G$20=Parâmetros!$D$2,SUM(G56,I56,K56,M56,O56),PMT($O$25,SUM($G$17),($O$10)*-1)+O56+M56+K56)))</f>
        <v>9080.7414795800705</v>
      </c>
      <c r="R56" s="46"/>
      <c r="S56" s="46">
        <f t="shared" ca="1" si="8"/>
        <v>733178.99759237748</v>
      </c>
      <c r="U56" s="15" t="str">
        <f t="shared" ca="1" si="6"/>
        <v/>
      </c>
    </row>
    <row r="57" spans="1:21" x14ac:dyDescent="0.3">
      <c r="A57" s="49">
        <f t="shared" ca="1" si="0"/>
        <v>46894</v>
      </c>
      <c r="B57" s="49" t="str">
        <f t="shared" ca="1" si="1"/>
        <v/>
      </c>
      <c r="C57" s="81">
        <f t="shared" ca="1" si="2"/>
        <v>24</v>
      </c>
      <c r="D57" s="34">
        <f t="shared" ca="1" si="3"/>
        <v>24</v>
      </c>
      <c r="E57" s="4" t="str">
        <f t="shared" ca="1" si="4"/>
        <v>Retorno</v>
      </c>
      <c r="G57" s="46">
        <f ca="1">IF(C57="","",IF(E57&lt;&gt;"Retorno",0,IF($G$20=Parâmetros!$D$2,Simulador!$O$10/$G$17,IF($G$20=Parâmetros!$D$3,PMT($O$25,$G$17,($O$10)*-1)-I57,""))))</f>
        <v>831.48377662410712</v>
      </c>
      <c r="H57" s="46"/>
      <c r="I57" s="46">
        <f t="shared" ca="1" si="7"/>
        <v>8044.0451129835565</v>
      </c>
      <c r="J57" s="34"/>
      <c r="K57" s="46">
        <f t="shared" ca="1" si="5"/>
        <v>0</v>
      </c>
      <c r="L57" s="46"/>
      <c r="M57" s="46">
        <f ca="1">IFERROR(IF(C57="","",IF($C$10=Parâmetros!$C$3,0,VLOOKUP(A57,'Base de Dados'!$E$3:$G$422,3,FALSE)*S57)),0)</f>
        <v>132.84783900617765</v>
      </c>
      <c r="N57" s="34"/>
      <c r="O57" s="46">
        <f ca="1">IF(C57="","",IF(C58="",0,IF(E57="Construção",0,IF(E57="Seguro",$C$17*'Base de Dados'!$C$2,IF($C$14=Parâmetros!$B$4,0,Simulador!$C$17*'Base de Dados'!$C$2)))))</f>
        <v>75</v>
      </c>
      <c r="P57" s="46"/>
      <c r="Q57" s="46">
        <f ca="1">IF(C57="","",IF(E57&lt;&gt;"Retorno",(I57+K57+M57),IF($G$20=Parâmetros!$D$2,SUM(G57,I57,K57,M57,O57),PMT($O$25,SUM($G$17),($O$10)*-1)+O57+M57+K57)))</f>
        <v>9083.3767286138409</v>
      </c>
      <c r="R57" s="46"/>
      <c r="S57" s="46">
        <f t="shared" ca="1" si="8"/>
        <v>732347.51381575339</v>
      </c>
      <c r="U57" s="15" t="str">
        <f t="shared" ca="1" si="6"/>
        <v/>
      </c>
    </row>
    <row r="58" spans="1:21" x14ac:dyDescent="0.3">
      <c r="A58" s="49">
        <f t="shared" ca="1" si="0"/>
        <v>46925</v>
      </c>
      <c r="B58" s="49" t="str">
        <f t="shared" ca="1" si="1"/>
        <v/>
      </c>
      <c r="C58" s="81">
        <f t="shared" ca="1" si="2"/>
        <v>25</v>
      </c>
      <c r="D58" s="34">
        <f t="shared" ca="1" si="3"/>
        <v>25</v>
      </c>
      <c r="E58" s="4" t="str">
        <f t="shared" ca="1" si="4"/>
        <v>Retorno</v>
      </c>
      <c r="G58" s="46">
        <f ca="1">IF(C58="","",IF(E58&lt;&gt;"Retorno",0,IF($G$20=Parâmetros!$D$2,Simulador!$O$10/$G$17,IF($G$20=Parâmetros!$D$3,PMT($O$25,$G$17,($O$10)*-1)-I58,""))))</f>
        <v>840.6063688312679</v>
      </c>
      <c r="H58" s="46"/>
      <c r="I58" s="46">
        <f t="shared" ca="1" si="7"/>
        <v>8034.9225207763957</v>
      </c>
      <c r="J58" s="34"/>
      <c r="K58" s="46">
        <f t="shared" ca="1" si="5"/>
        <v>0</v>
      </c>
      <c r="L58" s="46"/>
      <c r="M58" s="46">
        <f ca="1">IFERROR(IF(C58="","",IF($C$10=Parâmetros!$C$3,0,VLOOKUP(A58,'Base de Dados'!$E$3:$G$422,3,FALSE)*S58)),0)</f>
        <v>132.69535301087168</v>
      </c>
      <c r="N58" s="34"/>
      <c r="O58" s="46">
        <f ca="1">IF(C58="","",IF(C59="",0,IF(E58="Construção",0,IF(E58="Seguro",$C$17*'Base de Dados'!$C$2,IF($C$14=Parâmetros!$B$4,0,Simulador!$C$17*'Base de Dados'!$C$2)))))</f>
        <v>75</v>
      </c>
      <c r="P58" s="46"/>
      <c r="Q58" s="46">
        <f ca="1">IF(C58="","",IF(E58&lt;&gt;"Retorno",(I58+K58+M58),IF($G$20=Parâmetros!$D$2,SUM(G58,I58,K58,M58,O58),PMT($O$25,SUM($G$17),($O$10)*-1)+O58+M58+K58)))</f>
        <v>9083.2242426185348</v>
      </c>
      <c r="R58" s="46"/>
      <c r="S58" s="46">
        <f t="shared" ca="1" si="8"/>
        <v>731506.90744692215</v>
      </c>
      <c r="U58" s="15" t="str">
        <f t="shared" ca="1" si="6"/>
        <v/>
      </c>
    </row>
    <row r="59" spans="1:21" x14ac:dyDescent="0.3">
      <c r="A59" s="49">
        <f t="shared" ca="1" si="0"/>
        <v>46955</v>
      </c>
      <c r="B59" s="49" t="str">
        <f t="shared" ca="1" si="1"/>
        <v/>
      </c>
      <c r="C59" s="81">
        <f t="shared" ca="1" si="2"/>
        <v>26</v>
      </c>
      <c r="D59" s="34">
        <f t="shared" ca="1" si="3"/>
        <v>26</v>
      </c>
      <c r="E59" s="4" t="str">
        <f t="shared" ca="1" si="4"/>
        <v>Retorno</v>
      </c>
      <c r="G59" s="46">
        <f ca="1">IF(C59="","",IF(E59&lt;&gt;"Retorno",0,IF($G$20=Parâmetros!$D$2,Simulador!$O$10/$G$17,IF($G$20=Parâmetros!$D$3,PMT($O$25,$G$17,($O$10)*-1)-I59,""))))</f>
        <v>849.8290492071792</v>
      </c>
      <c r="H59" s="46"/>
      <c r="I59" s="46">
        <f t="shared" ca="1" si="7"/>
        <v>8025.6998404004844</v>
      </c>
      <c r="J59" s="34"/>
      <c r="K59" s="46">
        <f t="shared" ca="1" si="5"/>
        <v>0</v>
      </c>
      <c r="L59" s="46"/>
      <c r="M59" s="46">
        <f ca="1">IFERROR(IF(C59="","",IF($C$10=Parâmetros!$C$3,0,VLOOKUP(A59,'Base de Dados'!$E$3:$G$422,3,FALSE)*S59)),0)</f>
        <v>132.54119402134549</v>
      </c>
      <c r="N59" s="34"/>
      <c r="O59" s="46">
        <f ca="1">IF(C59="","",IF(C60="",0,IF(E59="Construção",0,IF(E59="Seguro",$C$17*'Base de Dados'!$C$2,IF($C$14=Parâmetros!$B$4,0,Simulador!$C$17*'Base de Dados'!$C$2)))))</f>
        <v>75</v>
      </c>
      <c r="P59" s="46"/>
      <c r="Q59" s="46">
        <f ca="1">IF(C59="","",IF(E59&lt;&gt;"Retorno",(I59+K59+M59),IF($G$20=Parâmetros!$D$2,SUM(G59,I59,K59,M59,O59),PMT($O$25,SUM($G$17),($O$10)*-1)+O59+M59+K59)))</f>
        <v>9083.0700836290089</v>
      </c>
      <c r="R59" s="46"/>
      <c r="S59" s="46">
        <f t="shared" ca="1" si="8"/>
        <v>730657.078397715</v>
      </c>
      <c r="U59" s="15" t="str">
        <f t="shared" ca="1" si="6"/>
        <v/>
      </c>
    </row>
    <row r="60" spans="1:21" x14ac:dyDescent="0.3">
      <c r="A60" s="49">
        <f t="shared" ca="1" si="0"/>
        <v>46986</v>
      </c>
      <c r="B60" s="49" t="str">
        <f t="shared" ca="1" si="1"/>
        <v/>
      </c>
      <c r="C60" s="81">
        <f t="shared" ca="1" si="2"/>
        <v>27</v>
      </c>
      <c r="D60" s="34">
        <f t="shared" ca="1" si="3"/>
        <v>27</v>
      </c>
      <c r="E60" s="4" t="str">
        <f t="shared" ca="1" si="4"/>
        <v>Retorno</v>
      </c>
      <c r="G60" s="46">
        <f ca="1">IF(C60="","",IF(E60&lt;&gt;"Retorno",0,IF($G$20=Parâmetros!$D$2,Simulador!$O$10/$G$17,IF($G$20=Parâmetros!$D$3,PMT($O$25,$G$17,($O$10)*-1)-I60,""))))</f>
        <v>859.15291586544117</v>
      </c>
      <c r="H60" s="46"/>
      <c r="I60" s="46">
        <f t="shared" ca="1" si="7"/>
        <v>8016.3759737422224</v>
      </c>
      <c r="J60" s="34"/>
      <c r="K60" s="46">
        <f t="shared" ca="1" si="5"/>
        <v>0</v>
      </c>
      <c r="L60" s="46"/>
      <c r="M60" s="46">
        <f ca="1">IFERROR(IF(C60="","",IF($C$10=Parâmetros!$C$3,0,VLOOKUP(A60,'Base de Dados'!$E$3:$G$422,3,FALSE)*S60)),0)</f>
        <v>132.38534368240749</v>
      </c>
      <c r="N60" s="34"/>
      <c r="O60" s="46">
        <f ca="1">IF(C60="","",IF(C61="",0,IF(E60="Construção",0,IF(E60="Seguro",$C$17*'Base de Dados'!$C$2,IF($C$14=Parâmetros!$B$4,0,Simulador!$C$17*'Base de Dados'!$C$2)))))</f>
        <v>75</v>
      </c>
      <c r="P60" s="46"/>
      <c r="Q60" s="46">
        <f ca="1">IF(C60="","",IF(E60&lt;&gt;"Retorno",(I60+K60+M60),IF($G$20=Parâmetros!$D$2,SUM(G60,I60,K60,M60,O60),PMT($O$25,SUM($G$17),($O$10)*-1)+O60+M60+K60)))</f>
        <v>9082.9142332900719</v>
      </c>
      <c r="R60" s="46"/>
      <c r="S60" s="46">
        <f t="shared" ca="1" si="8"/>
        <v>729797.92548184958</v>
      </c>
      <c r="U60" s="15" t="str">
        <f t="shared" ca="1" si="6"/>
        <v/>
      </c>
    </row>
    <row r="61" spans="1:21" x14ac:dyDescent="0.3">
      <c r="A61" s="49">
        <f t="shared" ca="1" si="0"/>
        <v>47017</v>
      </c>
      <c r="B61" s="49" t="str">
        <f t="shared" ca="1" si="1"/>
        <v/>
      </c>
      <c r="C61" s="81">
        <f t="shared" ca="1" si="2"/>
        <v>28</v>
      </c>
      <c r="D61" s="34">
        <f t="shared" ca="1" si="3"/>
        <v>28</v>
      </c>
      <c r="E61" s="4" t="str">
        <f t="shared" ca="1" si="4"/>
        <v>Retorno</v>
      </c>
      <c r="G61" s="46">
        <f ca="1">IF(C61="","",IF(E61&lt;&gt;"Retorno",0,IF($G$20=Parâmetros!$D$2,Simulador!$O$10/$G$17,IF($G$20=Parâmetros!$D$3,PMT($O$25,$G$17,($O$10)*-1)-I61,""))))</f>
        <v>868.57907896724282</v>
      </c>
      <c r="H61" s="46"/>
      <c r="I61" s="46">
        <f t="shared" ca="1" si="7"/>
        <v>8006.9498106404208</v>
      </c>
      <c r="J61" s="34"/>
      <c r="K61" s="46">
        <f t="shared" ca="1" si="5"/>
        <v>0</v>
      </c>
      <c r="L61" s="46"/>
      <c r="M61" s="46">
        <f ca="1">IFERROR(IF(C61="","",IF($C$10=Parâmetros!$C$3,0,VLOOKUP(A61,'Base de Dados'!$E$3:$G$422,3,FALSE)*S61)),0)</f>
        <v>163.06149479032479</v>
      </c>
      <c r="N61" s="34"/>
      <c r="O61" s="46">
        <f ca="1">IF(C61="","",IF(C62="",0,IF(E61="Construção",0,IF(E61="Seguro",$C$17*'Base de Dados'!$C$2,IF($C$14=Parâmetros!$B$4,0,Simulador!$C$17*'Base de Dados'!$C$2)))))</f>
        <v>75</v>
      </c>
      <c r="P61" s="46"/>
      <c r="Q61" s="46">
        <f ca="1">IF(C61="","",IF(E61&lt;&gt;"Retorno",(I61+K61+M61),IF($G$20=Parâmetros!$D$2,SUM(G61,I61,K61,M61,O61),PMT($O$25,SUM($G$17),($O$10)*-1)+O61+M61+K61)))</f>
        <v>9113.5903843979886</v>
      </c>
      <c r="R61" s="46"/>
      <c r="S61" s="46">
        <f t="shared" ca="1" si="8"/>
        <v>728929.34640288237</v>
      </c>
      <c r="U61" s="15" t="str">
        <f t="shared" ca="1" si="6"/>
        <v/>
      </c>
    </row>
    <row r="62" spans="1:21" x14ac:dyDescent="0.3">
      <c r="A62" s="49">
        <f t="shared" ca="1" si="0"/>
        <v>47047</v>
      </c>
      <c r="B62" s="49" t="str">
        <f t="shared" ca="1" si="1"/>
        <v/>
      </c>
      <c r="C62" s="81">
        <f t="shared" ca="1" si="2"/>
        <v>29</v>
      </c>
      <c r="D62" s="34">
        <f t="shared" ca="1" si="3"/>
        <v>29</v>
      </c>
      <c r="E62" s="4" t="str">
        <f t="shared" ca="1" si="4"/>
        <v>Retorno</v>
      </c>
      <c r="G62" s="46">
        <f ca="1">IF(C62="","",IF(E62&lt;&gt;"Retorno",0,IF($G$20=Parâmetros!$D$2,Simulador!$O$10/$G$17,IF($G$20=Parâmetros!$D$3,PMT($O$25,$G$17,($O$10)*-1)-I62,""))))</f>
        <v>878.10866085430825</v>
      </c>
      <c r="H62" s="46"/>
      <c r="I62" s="46">
        <f t="shared" ca="1" si="7"/>
        <v>7997.4202287533553</v>
      </c>
      <c r="J62" s="34"/>
      <c r="K62" s="46">
        <f t="shared" ca="1" si="5"/>
        <v>0</v>
      </c>
      <c r="L62" s="46"/>
      <c r="M62" s="46">
        <f ca="1">IFERROR(IF(C62="","",IF($C$10=Parâmetros!$C$3,0,VLOOKUP(A62,'Base de Dados'!$E$3:$G$422,3,FALSE)*S62)),0)</f>
        <v>162.86506188289167</v>
      </c>
      <c r="N62" s="34"/>
      <c r="O62" s="46">
        <f ca="1">IF(C62="","",IF(C63="",0,IF(E62="Construção",0,IF(E62="Seguro",$C$17*'Base de Dados'!$C$2,IF($C$14=Parâmetros!$B$4,0,Simulador!$C$17*'Base de Dados'!$C$2)))))</f>
        <v>75</v>
      </c>
      <c r="P62" s="46"/>
      <c r="Q62" s="46">
        <f ca="1">IF(C62="","",IF(E62&lt;&gt;"Retorno",(I62+K62+M62),IF($G$20=Parâmetros!$D$2,SUM(G62,I62,K62,M62,O62),PMT($O$25,SUM($G$17),($O$10)*-1)+O62+M62+K62)))</f>
        <v>9113.393951490556</v>
      </c>
      <c r="R62" s="46"/>
      <c r="S62" s="46">
        <f t="shared" ca="1" si="8"/>
        <v>728051.23774202808</v>
      </c>
      <c r="U62" s="15" t="str">
        <f t="shared" ca="1" si="6"/>
        <v/>
      </c>
    </row>
    <row r="63" spans="1:21" x14ac:dyDescent="0.3">
      <c r="A63" s="49">
        <f t="shared" ca="1" si="0"/>
        <v>47078</v>
      </c>
      <c r="B63" s="49" t="str">
        <f t="shared" ca="1" si="1"/>
        <v/>
      </c>
      <c r="C63" s="81">
        <f t="shared" ca="1" si="2"/>
        <v>30</v>
      </c>
      <c r="D63" s="34">
        <f t="shared" ca="1" si="3"/>
        <v>30</v>
      </c>
      <c r="E63" s="4" t="str">
        <f t="shared" ca="1" si="4"/>
        <v>Retorno</v>
      </c>
      <c r="G63" s="46">
        <f ca="1">IF(C63="","",IF(E63&lt;&gt;"Retorno",0,IF($G$20=Parâmetros!$D$2,Simulador!$O$10/$G$17,IF($G$20=Parâmetros!$D$3,PMT($O$25,$G$17,($O$10)*-1)-I63,""))))</f>
        <v>887.74279618172659</v>
      </c>
      <c r="H63" s="46"/>
      <c r="I63" s="46">
        <f t="shared" ca="1" si="7"/>
        <v>7987.786093425937</v>
      </c>
      <c r="J63" s="34"/>
      <c r="K63" s="46">
        <f t="shared" ca="1" si="5"/>
        <v>0</v>
      </c>
      <c r="L63" s="46"/>
      <c r="M63" s="46">
        <f ca="1">IFERROR(IF(C63="","",IF($C$10=Parâmetros!$C$3,0,VLOOKUP(A63,'Base de Dados'!$E$3:$G$422,3,FALSE)*S63)),0)</f>
        <v>162.66647381938583</v>
      </c>
      <c r="N63" s="34"/>
      <c r="O63" s="46">
        <f ca="1">IF(C63="","",IF(C64="",0,IF(E63="Construção",0,IF(E63="Seguro",$C$17*'Base de Dados'!$C$2,IF($C$14=Parâmetros!$B$4,0,Simulador!$C$17*'Base de Dados'!$C$2)))))</f>
        <v>75</v>
      </c>
      <c r="P63" s="46"/>
      <c r="Q63" s="46">
        <f ca="1">IF(C63="","",IF(E63&lt;&gt;"Retorno",(I63+K63+M63),IF($G$20=Parâmetros!$D$2,SUM(G63,I63,K63,M63,O63),PMT($O$25,SUM($G$17),($O$10)*-1)+O63+M63+K63)))</f>
        <v>9113.1953634270503</v>
      </c>
      <c r="R63" s="46"/>
      <c r="S63" s="46">
        <f t="shared" ca="1" si="8"/>
        <v>727163.49494584638</v>
      </c>
      <c r="U63" s="15" t="str">
        <f t="shared" ca="1" si="6"/>
        <v/>
      </c>
    </row>
    <row r="64" spans="1:21" x14ac:dyDescent="0.3">
      <c r="A64" s="49">
        <f t="shared" ca="1" si="0"/>
        <v>47108</v>
      </c>
      <c r="B64" s="49" t="str">
        <f t="shared" ca="1" si="1"/>
        <v/>
      </c>
      <c r="C64" s="81">
        <f t="shared" ca="1" si="2"/>
        <v>31</v>
      </c>
      <c r="D64" s="34">
        <f t="shared" ca="1" si="3"/>
        <v>31</v>
      </c>
      <c r="E64" s="4" t="str">
        <f t="shared" ca="1" si="4"/>
        <v>Retorno</v>
      </c>
      <c r="G64" s="46">
        <f ca="1">IF(C64="","",IF(E64&lt;&gt;"Retorno",0,IF($G$20=Parâmetros!$D$2,Simulador!$O$10/$G$17,IF($G$20=Parâmetros!$D$3,PMT($O$25,$G$17,($O$10)*-1)-I64,""))))</f>
        <v>897.4826320535758</v>
      </c>
      <c r="H64" s="46"/>
      <c r="I64" s="46">
        <f t="shared" ca="1" si="7"/>
        <v>7978.0462575540878</v>
      </c>
      <c r="J64" s="34"/>
      <c r="K64" s="46">
        <f t="shared" ca="1" si="5"/>
        <v>0</v>
      </c>
      <c r="L64" s="46"/>
      <c r="M64" s="46">
        <f ca="1">IFERROR(IF(C64="","",IF($C$10=Parâmetros!$C$3,0,VLOOKUP(A64,'Base de Dados'!$E$3:$G$422,3,FALSE)*S64)),0)</f>
        <v>162.46570695459545</v>
      </c>
      <c r="N64" s="34"/>
      <c r="O64" s="46">
        <f ca="1">IF(C64="","",IF(C65="",0,IF(E64="Construção",0,IF(E64="Seguro",$C$17*'Base de Dados'!$C$2,IF($C$14=Parâmetros!$B$4,0,Simulador!$C$17*'Base de Dados'!$C$2)))))</f>
        <v>75</v>
      </c>
      <c r="P64" s="46"/>
      <c r="Q64" s="46">
        <f ca="1">IF(C64="","",IF(E64&lt;&gt;"Retorno",(I64+K64+M64),IF($G$20=Parâmetros!$D$2,SUM(G64,I64,K64,M64,O64),PMT($O$25,SUM($G$17),($O$10)*-1)+O64+M64+K64)))</f>
        <v>9112.9945965622592</v>
      </c>
      <c r="R64" s="46"/>
      <c r="S64" s="46">
        <f t="shared" ca="1" si="8"/>
        <v>726266.01231379283</v>
      </c>
      <c r="U64" s="15" t="str">
        <f t="shared" ca="1" si="6"/>
        <v/>
      </c>
    </row>
    <row r="65" spans="1:21" x14ac:dyDescent="0.3">
      <c r="A65" s="49">
        <f t="shared" ca="1" si="0"/>
        <v>47139</v>
      </c>
      <c r="B65" s="49" t="str">
        <f t="shared" ca="1" si="1"/>
        <v/>
      </c>
      <c r="C65" s="81">
        <f t="shared" ca="1" si="2"/>
        <v>32</v>
      </c>
      <c r="D65" s="34">
        <f t="shared" ca="1" si="3"/>
        <v>32</v>
      </c>
      <c r="E65" s="4" t="str">
        <f t="shared" ca="1" si="4"/>
        <v>Retorno</v>
      </c>
      <c r="G65" s="46">
        <f ca="1">IF(C65="","",IF(E65&lt;&gt;"Retorno",0,IF($G$20=Parâmetros!$D$2,Simulador!$O$10/$G$17,IF($G$20=Parâmetros!$D$3,PMT($O$25,$G$17,($O$10)*-1)-I65,""))))</f>
        <v>907.32932815924505</v>
      </c>
      <c r="H65" s="46"/>
      <c r="I65" s="46">
        <f t="shared" ca="1" si="7"/>
        <v>7968.1995614484185</v>
      </c>
      <c r="J65" s="34"/>
      <c r="K65" s="46">
        <f t="shared" ca="1" si="5"/>
        <v>0</v>
      </c>
      <c r="L65" s="46"/>
      <c r="M65" s="46">
        <f ca="1">IFERROR(IF(C65="","",IF($C$10=Parâmetros!$C$3,0,VLOOKUP(A65,'Base de Dados'!$E$3:$G$422,3,FALSE)*S65)),0)</f>
        <v>162.26273738388622</v>
      </c>
      <c r="N65" s="34"/>
      <c r="O65" s="46">
        <f ca="1">IF(C65="","",IF(C66="",0,IF(E65="Construção",0,IF(E65="Seguro",$C$17*'Base de Dados'!$C$2,IF($C$14=Parâmetros!$B$4,0,Simulador!$C$17*'Base de Dados'!$C$2)))))</f>
        <v>75</v>
      </c>
      <c r="P65" s="46"/>
      <c r="Q65" s="46">
        <f ca="1">IF(C65="","",IF(E65&lt;&gt;"Retorno",(I65+K65+M65),IF($G$20=Parâmetros!$D$2,SUM(G65,I65,K65,M65,O65),PMT($O$25,SUM($G$17),($O$10)*-1)+O65+M65+K65)))</f>
        <v>9112.7916269915495</v>
      </c>
      <c r="R65" s="46"/>
      <c r="S65" s="46">
        <f t="shared" ca="1" si="8"/>
        <v>725358.68298563361</v>
      </c>
      <c r="U65" s="15" t="str">
        <f t="shared" ca="1" si="6"/>
        <v/>
      </c>
    </row>
    <row r="66" spans="1:21" x14ac:dyDescent="0.3">
      <c r="A66" s="49">
        <f t="shared" ca="1" si="0"/>
        <v>47170</v>
      </c>
      <c r="B66" s="49" t="str">
        <f t="shared" ca="1" si="1"/>
        <v/>
      </c>
      <c r="C66" s="81">
        <f t="shared" ca="1" si="2"/>
        <v>33</v>
      </c>
      <c r="D66" s="34">
        <f t="shared" ca="1" si="3"/>
        <v>33</v>
      </c>
      <c r="E66" s="4" t="str">
        <f t="shared" ca="1" si="4"/>
        <v>Retorno</v>
      </c>
      <c r="G66" s="46">
        <f ca="1">IF(C66="","",IF(E66&lt;&gt;"Retorno",0,IF($G$20=Parâmetros!$D$2,Simulador!$O$10/$G$17,IF($G$20=Parâmetros!$D$3,PMT($O$25,$G$17,($O$10)*-1)-I66,""))))</f>
        <v>917.28405691173612</v>
      </c>
      <c r="H66" s="46"/>
      <c r="I66" s="46">
        <f t="shared" ca="1" si="7"/>
        <v>7958.2448326959275</v>
      </c>
      <c r="J66" s="34"/>
      <c r="K66" s="46">
        <f t="shared" ca="1" si="5"/>
        <v>0</v>
      </c>
      <c r="L66" s="46"/>
      <c r="M66" s="46">
        <f ca="1">IFERROR(IF(C66="","",IF($C$10=Parâmetros!$C$3,0,VLOOKUP(A66,'Base de Dados'!$E$3:$G$422,3,FALSE)*S66)),0)</f>
        <v>162.05754094035507</v>
      </c>
      <c r="N66" s="34"/>
      <c r="O66" s="46">
        <f ca="1">IF(C66="","",IF(C67="",0,IF(E66="Construção",0,IF(E66="Seguro",$C$17*'Base de Dados'!$C$2,IF($C$14=Parâmetros!$B$4,0,Simulador!$C$17*'Base de Dados'!$C$2)))))</f>
        <v>75</v>
      </c>
      <c r="P66" s="46"/>
      <c r="Q66" s="46">
        <f ca="1">IF(C66="","",IF(E66&lt;&gt;"Retorno",(I66+K66+M66),IF($G$20=Parâmetros!$D$2,SUM(G66,I66,K66,M66,O66),PMT($O$25,SUM($G$17),($O$10)*-1)+O66+M66+K66)))</f>
        <v>9112.5864305480191</v>
      </c>
      <c r="R66" s="46"/>
      <c r="S66" s="46">
        <f t="shared" ca="1" si="8"/>
        <v>724441.3989287219</v>
      </c>
      <c r="U66" s="15" t="str">
        <f t="shared" ca="1" si="6"/>
        <v/>
      </c>
    </row>
    <row r="67" spans="1:21" x14ac:dyDescent="0.3">
      <c r="A67" s="49">
        <f t="shared" ca="1" si="0"/>
        <v>47198</v>
      </c>
      <c r="B67" s="49" t="str">
        <f t="shared" ca="1" si="1"/>
        <v/>
      </c>
      <c r="C67" s="81">
        <f t="shared" ca="1" si="2"/>
        <v>34</v>
      </c>
      <c r="D67" s="34">
        <f t="shared" ca="1" si="3"/>
        <v>34</v>
      </c>
      <c r="E67" s="4" t="str">
        <f t="shared" ca="1" si="4"/>
        <v>Retorno</v>
      </c>
      <c r="G67" s="46">
        <f ca="1">IF(C67="","",IF(E67&lt;&gt;"Retorno",0,IF($G$20=Parâmetros!$D$2,Simulador!$O$10/$G$17,IF($G$20=Parâmetros!$D$3,PMT($O$25,$G$17,($O$10)*-1)-I67,""))))</f>
        <v>927.3480035870125</v>
      </c>
      <c r="H67" s="46"/>
      <c r="I67" s="46">
        <f t="shared" ca="1" si="7"/>
        <v>7948.1808860206511</v>
      </c>
      <c r="J67" s="34"/>
      <c r="K67" s="46">
        <f t="shared" ca="1" si="5"/>
        <v>0</v>
      </c>
      <c r="L67" s="46"/>
      <c r="M67" s="46">
        <f ca="1">IFERROR(IF(C67="","",IF($C$10=Parâmetros!$C$3,0,VLOOKUP(A67,'Base de Dados'!$E$3:$G$422,3,FALSE)*S67)),0)</f>
        <v>161.85009319195268</v>
      </c>
      <c r="N67" s="34"/>
      <c r="O67" s="46">
        <f ca="1">IF(C67="","",IF(C68="",0,IF(E67="Construção",0,IF(E67="Seguro",$C$17*'Base de Dados'!$C$2,IF($C$14=Parâmetros!$B$4,0,Simulador!$C$17*'Base de Dados'!$C$2)))))</f>
        <v>75</v>
      </c>
      <c r="P67" s="46"/>
      <c r="Q67" s="46">
        <f ca="1">IF(C67="","",IF(E67&lt;&gt;"Retorno",(I67+K67+M67),IF($G$20=Parâmetros!$D$2,SUM(G67,I67,K67,M67,O67),PMT($O$25,SUM($G$17),($O$10)*-1)+O67+M67+K67)))</f>
        <v>9112.378982799617</v>
      </c>
      <c r="R67" s="46"/>
      <c r="S67" s="46">
        <f t="shared" ca="1" si="8"/>
        <v>723514.05092513491</v>
      </c>
      <c r="U67" s="15" t="str">
        <f t="shared" ca="1" si="6"/>
        <v/>
      </c>
    </row>
    <row r="68" spans="1:21" x14ac:dyDescent="0.3">
      <c r="A68" s="49">
        <f t="shared" ca="1" si="0"/>
        <v>47229</v>
      </c>
      <c r="B68" s="49" t="str">
        <f t="shared" ca="1" si="1"/>
        <v/>
      </c>
      <c r="C68" s="81">
        <f t="shared" ca="1" si="2"/>
        <v>35</v>
      </c>
      <c r="D68" s="34">
        <f t="shared" ca="1" si="3"/>
        <v>35</v>
      </c>
      <c r="E68" s="4" t="str">
        <f t="shared" ca="1" si="4"/>
        <v>Retorno</v>
      </c>
      <c r="G68" s="46">
        <f ca="1">IF(C68="","",IF(E68&lt;&gt;"Retorno",0,IF($G$20=Parâmetros!$D$2,Simulador!$O$10/$G$17,IF($G$20=Parâmetros!$D$3,PMT($O$25,$G$17,($O$10)*-1)-I68,""))))</f>
        <v>937.52236646532765</v>
      </c>
      <c r="H68" s="46"/>
      <c r="I68" s="46">
        <f t="shared" ca="1" si="7"/>
        <v>7938.0065231423359</v>
      </c>
      <c r="J68" s="34"/>
      <c r="K68" s="46">
        <f t="shared" ca="1" si="5"/>
        <v>0</v>
      </c>
      <c r="L68" s="46"/>
      <c r="M68" s="46">
        <f ca="1">IFERROR(IF(C68="","",IF($C$10=Parâmetros!$C$3,0,VLOOKUP(A68,'Base de Dados'!$E$3:$G$422,3,FALSE)*S68)),0)</f>
        <v>161.6403694385744</v>
      </c>
      <c r="N68" s="34"/>
      <c r="O68" s="46">
        <f ca="1">IF(C68="","",IF(C69="",0,IF(E68="Construção",0,IF(E68="Seguro",$C$17*'Base de Dados'!$C$2,IF($C$14=Parâmetros!$B$4,0,Simulador!$C$17*'Base de Dados'!$C$2)))))</f>
        <v>75</v>
      </c>
      <c r="P68" s="46"/>
      <c r="Q68" s="46">
        <f ca="1">IF(C68="","",IF(E68&lt;&gt;"Retorno",(I68+K68+M68),IF($G$20=Parâmetros!$D$2,SUM(G68,I68,K68,M68,O68),PMT($O$25,SUM($G$17),($O$10)*-1)+O68+M68+K68)))</f>
        <v>9112.1692590462371</v>
      </c>
      <c r="R68" s="46"/>
      <c r="S68" s="46">
        <f t="shared" ca="1" si="8"/>
        <v>722576.52855866961</v>
      </c>
      <c r="U68" s="15" t="str">
        <f t="shared" ca="1" si="6"/>
        <v/>
      </c>
    </row>
    <row r="69" spans="1:21" x14ac:dyDescent="0.3">
      <c r="A69" s="49">
        <f t="shared" ca="1" si="0"/>
        <v>47259</v>
      </c>
      <c r="B69" s="49" t="str">
        <f t="shared" ca="1" si="1"/>
        <v/>
      </c>
      <c r="C69" s="81">
        <f t="shared" ca="1" si="2"/>
        <v>36</v>
      </c>
      <c r="D69" s="34">
        <f t="shared" ca="1" si="3"/>
        <v>36</v>
      </c>
      <c r="E69" s="4" t="str">
        <f t="shared" ca="1" si="4"/>
        <v>Retorno</v>
      </c>
      <c r="G69" s="46">
        <f ca="1">IF(C69="","",IF(E69&lt;&gt;"Retorno",0,IF($G$20=Parâmetros!$D$2,Simulador!$O$10/$G$17,IF($G$20=Parâmetros!$D$3,PMT($O$25,$G$17,($O$10)*-1)-I69,""))))</f>
        <v>947.80835697383372</v>
      </c>
      <c r="H69" s="46"/>
      <c r="I69" s="46">
        <f t="shared" ca="1" si="7"/>
        <v>7927.7205326338299</v>
      </c>
      <c r="J69" s="34"/>
      <c r="K69" s="46">
        <f t="shared" ca="1" si="5"/>
        <v>0</v>
      </c>
      <c r="L69" s="46"/>
      <c r="M69" s="46">
        <f ca="1">IFERROR(IF(C69="","",IF($C$10=Parâmetros!$C$3,0,VLOOKUP(A69,'Base de Dados'!$E$3:$G$422,3,FALSE)*S69)),0)</f>
        <v>161.42834470911933</v>
      </c>
      <c r="N69" s="34"/>
      <c r="O69" s="46">
        <f ca="1">IF(C69="","",IF(C70="",0,IF(E69="Construção",0,IF(E69="Seguro",$C$17*'Base de Dados'!$C$2,IF($C$14=Parâmetros!$B$4,0,Simulador!$C$17*'Base de Dados'!$C$2)))))</f>
        <v>75</v>
      </c>
      <c r="P69" s="46"/>
      <c r="Q69" s="46">
        <f ca="1">IF(C69="","",IF(E69&lt;&gt;"Retorno",(I69+K69+M69),IF($G$20=Parâmetros!$D$2,SUM(G69,I69,K69,M69,O69),PMT($O$25,SUM($G$17),($O$10)*-1)+O69+M69+K69)))</f>
        <v>9111.9572343167838</v>
      </c>
      <c r="R69" s="46"/>
      <c r="S69" s="46">
        <f t="shared" ca="1" si="8"/>
        <v>721628.7202016958</v>
      </c>
      <c r="U69" s="15" t="str">
        <f t="shared" ca="1" si="6"/>
        <v/>
      </c>
    </row>
    <row r="70" spans="1:21" x14ac:dyDescent="0.3">
      <c r="A70" s="49">
        <f t="shared" ca="1" si="0"/>
        <v>47290</v>
      </c>
      <c r="B70" s="49" t="str">
        <f t="shared" ca="1" si="1"/>
        <v/>
      </c>
      <c r="C70" s="81">
        <f t="shared" ca="1" si="2"/>
        <v>37</v>
      </c>
      <c r="D70" s="34">
        <f t="shared" ca="1" si="3"/>
        <v>37</v>
      </c>
      <c r="E70" s="4" t="str">
        <f t="shared" ca="1" si="4"/>
        <v>Retorno</v>
      </c>
      <c r="G70" s="46">
        <f ca="1">IF(C70="","",IF(E70&lt;&gt;"Retorno",0,IF($G$20=Parâmetros!$D$2,Simulador!$O$10/$G$17,IF($G$20=Parâmetros!$D$3,PMT($O$25,$G$17,($O$10)*-1)-I70,""))))</f>
        <v>958.20719983082017</v>
      </c>
      <c r="H70" s="46"/>
      <c r="I70" s="46">
        <f t="shared" ca="1" si="7"/>
        <v>7917.3216897768434</v>
      </c>
      <c r="J70" s="34"/>
      <c r="K70" s="46">
        <f t="shared" ca="1" si="5"/>
        <v>0</v>
      </c>
      <c r="L70" s="46"/>
      <c r="M70" s="46">
        <f ca="1">IFERROR(IF(C70="","",IF($C$10=Parâmetros!$C$3,0,VLOOKUP(A70,'Base de Dados'!$E$3:$G$422,3,FALSE)*S70)),0)</f>
        <v>161.2139937585172</v>
      </c>
      <c r="N70" s="34"/>
      <c r="O70" s="46">
        <f ca="1">IF(C70="","",IF(C71="",0,IF(E70="Construção",0,IF(E70="Seguro",$C$17*'Base de Dados'!$C$2,IF($C$14=Parâmetros!$B$4,0,Simulador!$C$17*'Base de Dados'!$C$2)))))</f>
        <v>75</v>
      </c>
      <c r="P70" s="46"/>
      <c r="Q70" s="46">
        <f ca="1">IF(C70="","",IF(E70&lt;&gt;"Retorno",(I70+K70+M70),IF($G$20=Parâmetros!$D$2,SUM(G70,I70,K70,M70,O70),PMT($O$25,SUM($G$17),($O$10)*-1)+O70+M70+K70)))</f>
        <v>9111.7428833661816</v>
      </c>
      <c r="R70" s="46"/>
      <c r="S70" s="46">
        <f t="shared" ca="1" si="8"/>
        <v>720670.51300186501</v>
      </c>
      <c r="U70" s="15" t="str">
        <f t="shared" ca="1" si="6"/>
        <v/>
      </c>
    </row>
    <row r="71" spans="1:21" x14ac:dyDescent="0.3">
      <c r="A71" s="49">
        <f t="shared" ca="1" si="0"/>
        <v>47320</v>
      </c>
      <c r="B71" s="49" t="str">
        <f t="shared" ca="1" si="1"/>
        <v/>
      </c>
      <c r="C71" s="81">
        <f t="shared" ca="1" si="2"/>
        <v>38</v>
      </c>
      <c r="D71" s="34">
        <f t="shared" ca="1" si="3"/>
        <v>38</v>
      </c>
      <c r="E71" s="4" t="str">
        <f t="shared" ca="1" si="4"/>
        <v>Retorno</v>
      </c>
      <c r="G71" s="46">
        <f ca="1">IF(C71="","",IF(E71&lt;&gt;"Retorno",0,IF($G$20=Parâmetros!$D$2,Simulador!$O$10/$G$17,IF($G$20=Parâmetros!$D$3,PMT($O$25,$G$17,($O$10)*-1)-I71,""))))</f>
        <v>968.7201331913493</v>
      </c>
      <c r="H71" s="46"/>
      <c r="I71" s="46">
        <f t="shared" ca="1" si="7"/>
        <v>7906.8087564163143</v>
      </c>
      <c r="J71" s="34"/>
      <c r="K71" s="46">
        <f t="shared" ca="1" si="5"/>
        <v>0</v>
      </c>
      <c r="L71" s="46"/>
      <c r="M71" s="46">
        <f ca="1">IFERROR(IF(C71="","",IF($C$10=Parâmetros!$C$3,0,VLOOKUP(A71,'Base de Dados'!$E$3:$G$422,3,FALSE)*S71)),0)</f>
        <v>160.9972910647223</v>
      </c>
      <c r="N71" s="34"/>
      <c r="O71" s="46">
        <f ca="1">IF(C71="","",IF(C72="",0,IF(E71="Construção",0,IF(E71="Seguro",$C$17*'Base de Dados'!$C$2,IF($C$14=Parâmetros!$B$4,0,Simulador!$C$17*'Base de Dados'!$C$2)))))</f>
        <v>75</v>
      </c>
      <c r="P71" s="46"/>
      <c r="Q71" s="46">
        <f ca="1">IF(C71="","",IF(E71&lt;&gt;"Retorno",(I71+K71+M71),IF($G$20=Parâmetros!$D$2,SUM(G71,I71,K71,M71,O71),PMT($O$25,SUM($G$17),($O$10)*-1)+O71+M71+K71)))</f>
        <v>9111.5261806723865</v>
      </c>
      <c r="R71" s="46"/>
      <c r="S71" s="46">
        <f t="shared" ca="1" si="8"/>
        <v>719701.79286867369</v>
      </c>
      <c r="U71" s="15" t="str">
        <f t="shared" ca="1" si="6"/>
        <v/>
      </c>
    </row>
    <row r="72" spans="1:21" x14ac:dyDescent="0.3">
      <c r="A72" s="49">
        <f t="shared" ca="1" si="0"/>
        <v>47351</v>
      </c>
      <c r="B72" s="49" t="str">
        <f t="shared" ca="1" si="1"/>
        <v/>
      </c>
      <c r="C72" s="81">
        <f t="shared" ca="1" si="2"/>
        <v>39</v>
      </c>
      <c r="D72" s="34">
        <f t="shared" ca="1" si="3"/>
        <v>39</v>
      </c>
      <c r="E72" s="4" t="str">
        <f t="shared" ca="1" si="4"/>
        <v>Retorno</v>
      </c>
      <c r="G72" s="46">
        <f ca="1">IF(C72="","",IF(E72&lt;&gt;"Retorno",0,IF($G$20=Parâmetros!$D$2,Simulador!$O$10/$G$17,IF($G$20=Parâmetros!$D$3,PMT($O$25,$G$17,($O$10)*-1)-I72,""))))</f>
        <v>979.34840879498734</v>
      </c>
      <c r="H72" s="46"/>
      <c r="I72" s="46">
        <f t="shared" ca="1" si="7"/>
        <v>7896.1804808126763</v>
      </c>
      <c r="J72" s="34"/>
      <c r="K72" s="46">
        <f t="shared" ca="1" si="5"/>
        <v>0</v>
      </c>
      <c r="L72" s="46"/>
      <c r="M72" s="46">
        <f ca="1">IFERROR(IF(C72="","",IF($C$10=Parâmetros!$C$3,0,VLOOKUP(A72,'Base de Dados'!$E$3:$G$422,3,FALSE)*S72)),0)</f>
        <v>160.77821082567488</v>
      </c>
      <c r="N72" s="34"/>
      <c r="O72" s="46">
        <f ca="1">IF(C72="","",IF(C73="",0,IF(E72="Construção",0,IF(E72="Seguro",$C$17*'Base de Dados'!$C$2,IF($C$14=Parâmetros!$B$4,0,Simulador!$C$17*'Base de Dados'!$C$2)))))</f>
        <v>75</v>
      </c>
      <c r="P72" s="46"/>
      <c r="Q72" s="46">
        <f ca="1">IF(C72="","",IF(E72&lt;&gt;"Retorno",(I72+K72+M72),IF($G$20=Parâmetros!$D$2,SUM(G72,I72,K72,M72,O72),PMT($O$25,SUM($G$17),($O$10)*-1)+O72+M72+K72)))</f>
        <v>9111.3071004333378</v>
      </c>
      <c r="R72" s="46"/>
      <c r="S72" s="46">
        <f t="shared" ca="1" si="8"/>
        <v>718722.44445987872</v>
      </c>
      <c r="U72" s="15" t="str">
        <f t="shared" ca="1" si="6"/>
        <v/>
      </c>
    </row>
    <row r="73" spans="1:21" x14ac:dyDescent="0.3">
      <c r="A73" s="49">
        <f t="shared" ca="1" si="0"/>
        <v>47382</v>
      </c>
      <c r="B73" s="49" t="str">
        <f t="shared" ca="1" si="1"/>
        <v/>
      </c>
      <c r="C73" s="81">
        <f t="shared" ca="1" si="2"/>
        <v>40</v>
      </c>
      <c r="D73" s="34">
        <f t="shared" ca="1" si="3"/>
        <v>40</v>
      </c>
      <c r="E73" s="4" t="str">
        <f t="shared" ca="1" si="4"/>
        <v>Retorno</v>
      </c>
      <c r="G73" s="46">
        <f ca="1">IF(C73="","",IF(E73&lt;&gt;"Retorno",0,IF($G$20=Parâmetros!$D$2,Simulador!$O$10/$G$17,IF($G$20=Parâmetros!$D$3,PMT($O$25,$G$17,($O$10)*-1)-I73,""))))</f>
        <v>990.09329211481599</v>
      </c>
      <c r="H73" s="46"/>
      <c r="I73" s="46">
        <f t="shared" ca="1" si="7"/>
        <v>7885.4355974928476</v>
      </c>
      <c r="J73" s="34"/>
      <c r="K73" s="46">
        <f t="shared" ca="1" si="5"/>
        <v>0</v>
      </c>
      <c r="L73" s="46"/>
      <c r="M73" s="46">
        <f ca="1">IFERROR(IF(C73="","",IF($C$10=Parâmetros!$C$3,0,VLOOKUP(A73,'Base de Dados'!$E$3:$G$422,3,FALSE)*S73)),0)</f>
        <v>160.55672695622877</v>
      </c>
      <c r="N73" s="34"/>
      <c r="O73" s="46">
        <f ca="1">IF(C73="","",IF(C74="",0,IF(E73="Construção",0,IF(E73="Seguro",$C$17*'Base de Dados'!$C$2,IF($C$14=Parâmetros!$B$4,0,Simulador!$C$17*'Base de Dados'!$C$2)))))</f>
        <v>75</v>
      </c>
      <c r="P73" s="46"/>
      <c r="Q73" s="46">
        <f ca="1">IF(C73="","",IF(E73&lt;&gt;"Retorno",(I73+K73+M73),IF($G$20=Parâmetros!$D$2,SUM(G73,I73,K73,M73,O73),PMT($O$25,SUM($G$17),($O$10)*-1)+O73+M73+K73)))</f>
        <v>9111.0856165638925</v>
      </c>
      <c r="R73" s="46"/>
      <c r="S73" s="46">
        <f t="shared" ca="1" si="8"/>
        <v>717732.35116776393</v>
      </c>
      <c r="U73" s="15" t="str">
        <f t="shared" ca="1" si="6"/>
        <v/>
      </c>
    </row>
    <row r="74" spans="1:21" x14ac:dyDescent="0.3">
      <c r="A74" s="49">
        <f t="shared" ca="1" si="0"/>
        <v>47412</v>
      </c>
      <c r="B74" s="49" t="str">
        <f t="shared" ca="1" si="1"/>
        <v/>
      </c>
      <c r="C74" s="81">
        <f t="shared" ca="1" si="2"/>
        <v>41</v>
      </c>
      <c r="D74" s="34">
        <f t="shared" ca="1" si="3"/>
        <v>41</v>
      </c>
      <c r="E74" s="4" t="str">
        <f t="shared" ca="1" si="4"/>
        <v>Retorno</v>
      </c>
      <c r="G74" s="46">
        <f ca="1">IF(C74="","",IF(E74&lt;&gt;"Retorno",0,IF($G$20=Parâmetros!$D$2,Simulador!$O$10/$G$17,IF($G$20=Parâmetros!$D$3,PMT($O$25,$G$17,($O$10)*-1)-I74,""))))</f>
        <v>1000.9560625078411</v>
      </c>
      <c r="H74" s="46"/>
      <c r="I74" s="46">
        <f ca="1">IFERROR(IF(C74="","",FV($O$25,1,,-S73,0)-S73),"")</f>
        <v>7874.5728270998225</v>
      </c>
      <c r="J74" s="34"/>
      <c r="K74" s="46">
        <f t="shared" ca="1" si="5"/>
        <v>0</v>
      </c>
      <c r="L74" s="46"/>
      <c r="M74" s="46">
        <f ca="1">IFERROR(IF(C74="","",IF($C$10=Parâmetros!$C$3,0,VLOOKUP(A74,'Base de Dados'!$E$3:$G$422,3,FALSE)*S74)),0)</f>
        <v>160.33281308504579</v>
      </c>
      <c r="N74" s="34"/>
      <c r="O74" s="46">
        <f ca="1">IF(C74="","",IF(C75="",0,IF(E74="Construção",0,IF(E74="Seguro",$C$17*'Base de Dados'!$C$2,IF($C$14=Parâmetros!$B$4,0,Simulador!$C$17*'Base de Dados'!$C$2)))))</f>
        <v>75</v>
      </c>
      <c r="P74" s="46"/>
      <c r="Q74" s="46">
        <f ca="1">IF(C74="","",IF(E74&lt;&gt;"Retorno",(I74+K74+M74),IF($G$20=Parâmetros!$D$2,SUM(G74,I74,K74,M74,O74),PMT($O$25,SUM($G$17),($O$10)*-1)+O74+M74+K74)))</f>
        <v>9110.8617026927095</v>
      </c>
      <c r="R74" s="46"/>
      <c r="S74" s="46">
        <f t="shared" ca="1" si="8"/>
        <v>716731.39510525612</v>
      </c>
      <c r="U74" s="15" t="str">
        <f t="shared" ca="1" si="6"/>
        <v/>
      </c>
    </row>
    <row r="75" spans="1:21" x14ac:dyDescent="0.3">
      <c r="A75" s="49">
        <f t="shared" ca="1" si="0"/>
        <v>47443</v>
      </c>
      <c r="B75" s="49" t="str">
        <f t="shared" ca="1" si="1"/>
        <v/>
      </c>
      <c r="C75" s="81">
        <f t="shared" ca="1" si="2"/>
        <v>42</v>
      </c>
      <c r="D75" s="34">
        <f t="shared" ca="1" si="3"/>
        <v>42</v>
      </c>
      <c r="E75" s="4" t="str">
        <f t="shared" ca="1" si="4"/>
        <v>Retorno</v>
      </c>
      <c r="G75" s="46">
        <f ca="1">IF(C75="","",IF(E75&lt;&gt;"Retorno",0,IF($G$20=Parâmetros!$D$2,Simulador!$O$10/$G$17,IF($G$20=Parâmetros!$D$3,PMT($O$25,$G$17,($O$10)*-1)-I75,""))))</f>
        <v>1011.9380133674968</v>
      </c>
      <c r="H75" s="46"/>
      <c r="I75" s="46">
        <f t="shared" ca="1" si="7"/>
        <v>7863.5908762401668</v>
      </c>
      <c r="J75" s="34"/>
      <c r="K75" s="46">
        <f t="shared" ca="1" si="5"/>
        <v>0</v>
      </c>
      <c r="L75" s="46"/>
      <c r="M75" s="46">
        <f ca="1">IFERROR(IF(C75="","",IF($C$10=Parâmetros!$C$3,0,VLOOKUP(A75,'Base de Dados'!$E$3:$G$422,3,FALSE)*S75)),0)</f>
        <v>160.10644255145547</v>
      </c>
      <c r="N75" s="34"/>
      <c r="O75" s="46">
        <f ca="1">IF(C75="","",IF(C76="",0,IF(E75="Construção",0,IF(E75="Seguro",$C$17*'Base de Dados'!$C$2,IF($C$14=Parâmetros!$B$4,0,Simulador!$C$17*'Base de Dados'!$C$2)))))</f>
        <v>75</v>
      </c>
      <c r="P75" s="46"/>
      <c r="Q75" s="46">
        <f ca="1">IF(C75="","",IF(E75&lt;&gt;"Retorno",(I75+K75+M75),IF($G$20=Parâmetros!$D$2,SUM(G75,I75,K75,M75,O75),PMT($O$25,SUM($G$17),($O$10)*-1)+O75+M75+K75)))</f>
        <v>9110.6353321591196</v>
      </c>
      <c r="R75" s="46"/>
      <c r="S75" s="46">
        <f t="shared" ca="1" si="8"/>
        <v>715719.45709188865</v>
      </c>
      <c r="U75" s="15" t="str">
        <f t="shared" ca="1" si="6"/>
        <v/>
      </c>
    </row>
    <row r="76" spans="1:21" x14ac:dyDescent="0.3">
      <c r="A76" s="49">
        <f t="shared" ca="1" si="0"/>
        <v>47473</v>
      </c>
      <c r="B76" s="49" t="str">
        <f t="shared" ca="1" si="1"/>
        <v/>
      </c>
      <c r="C76" s="81">
        <f t="shared" ca="1" si="2"/>
        <v>43</v>
      </c>
      <c r="D76" s="34">
        <f t="shared" ca="1" si="3"/>
        <v>43</v>
      </c>
      <c r="E76" s="4" t="str">
        <f t="shared" ca="1" si="4"/>
        <v>Retorno</v>
      </c>
      <c r="G76" s="46">
        <f ca="1">IF(C76="","",IF(E76&lt;&gt;"Retorno",0,IF($G$20=Parâmetros!$D$2,Simulador!$O$10/$G$17,IF($G$20=Parâmetros!$D$3,PMT($O$25,$G$17,($O$10)*-1)-I76,""))))</f>
        <v>1023.040452277779</v>
      </c>
      <c r="H76" s="46"/>
      <c r="I76" s="46">
        <f t="shared" ca="1" si="7"/>
        <v>7852.4884373298846</v>
      </c>
      <c r="J76" s="34"/>
      <c r="K76" s="46">
        <f t="shared" ca="1" si="5"/>
        <v>0</v>
      </c>
      <c r="L76" s="46"/>
      <c r="M76" s="46">
        <f ca="1">IFERROR(IF(C76="","",IF($C$10=Parâmetros!$C$3,0,VLOOKUP(A76,'Base de Dados'!$E$3:$G$422,3,FALSE)*S76)),0)</f>
        <v>159.87758840228094</v>
      </c>
      <c r="N76" s="34"/>
      <c r="O76" s="46">
        <f ca="1">IF(C76="","",IF(C77="",0,IF(E76="Construção",0,IF(E76="Seguro",$C$17*'Base de Dados'!$C$2,IF($C$14=Parâmetros!$B$4,0,Simulador!$C$17*'Base de Dados'!$C$2)))))</f>
        <v>75</v>
      </c>
      <c r="P76" s="46"/>
      <c r="Q76" s="46">
        <f ca="1">IF(C76="","",IF(E76&lt;&gt;"Retorno",(I76+K76+M76),IF($G$20=Parâmetros!$D$2,SUM(G76,I76,K76,M76,O76),PMT($O$25,SUM($G$17),($O$10)*-1)+O76+M76+K76)))</f>
        <v>9110.4064780099452</v>
      </c>
      <c r="R76" s="46"/>
      <c r="S76" s="46">
        <f t="shared" ca="1" si="8"/>
        <v>714696.41663961089</v>
      </c>
      <c r="U76" s="15" t="str">
        <f t="shared" ca="1" si="6"/>
        <v/>
      </c>
    </row>
    <row r="77" spans="1:21" x14ac:dyDescent="0.3">
      <c r="A77" s="49">
        <f t="shared" ca="1" si="0"/>
        <v>47504</v>
      </c>
      <c r="B77" s="49" t="str">
        <f t="shared" ca="1" si="1"/>
        <v/>
      </c>
      <c r="C77" s="81">
        <f t="shared" ca="1" si="2"/>
        <v>44</v>
      </c>
      <c r="D77" s="34">
        <f t="shared" ca="1" si="3"/>
        <v>44</v>
      </c>
      <c r="E77" s="4" t="str">
        <f t="shared" ca="1" si="4"/>
        <v>Retorno</v>
      </c>
      <c r="G77" s="46">
        <f ca="1">IF(C77="","",IF(E77&lt;&gt;"Retorno",0,IF($G$20=Parâmetros!$D$2,Simulador!$O$10/$G$17,IF($G$20=Parâmetros!$D$3,PMT($O$25,$G$17,($O$10)*-1)-I77,""))))</f>
        <v>1034.2647011686604</v>
      </c>
      <c r="H77" s="46"/>
      <c r="I77" s="46">
        <f t="shared" ca="1" si="7"/>
        <v>7841.2641884390032</v>
      </c>
      <c r="J77" s="34"/>
      <c r="K77" s="46">
        <f t="shared" ca="1" si="5"/>
        <v>0</v>
      </c>
      <c r="L77" s="46"/>
      <c r="M77" s="46">
        <f ca="1">IFERROR(IF(C77="","",IF($C$10=Parâmetros!$C$3,0,VLOOKUP(A77,'Base de Dados'!$E$3:$G$422,3,FALSE)*S77)),0)</f>
        <v>159.64622338862952</v>
      </c>
      <c r="N77" s="34"/>
      <c r="O77" s="46">
        <f ca="1">IF(C77="","",IF(C78="",0,IF(E77="Construção",0,IF(E77="Seguro",$C$17*'Base de Dados'!$C$2,IF($C$14=Parâmetros!$B$4,0,Simulador!$C$17*'Base de Dados'!$C$2)))))</f>
        <v>75</v>
      </c>
      <c r="P77" s="46"/>
      <c r="Q77" s="46">
        <f ca="1">IF(C77="","",IF(E77&lt;&gt;"Retorno",(I77+K77+M77),IF($G$20=Parâmetros!$D$2,SUM(G77,I77,K77,M77,O77),PMT($O$25,SUM($G$17),($O$10)*-1)+O77+M77+K77)))</f>
        <v>9110.1751129962922</v>
      </c>
      <c r="R77" s="46"/>
      <c r="S77" s="46">
        <f t="shared" ca="1" si="8"/>
        <v>713662.15193844226</v>
      </c>
      <c r="U77" s="15" t="str">
        <f t="shared" ca="1" si="6"/>
        <v/>
      </c>
    </row>
    <row r="78" spans="1:21" x14ac:dyDescent="0.3">
      <c r="A78" s="49">
        <f t="shared" ca="1" si="0"/>
        <v>47535</v>
      </c>
      <c r="B78" s="49" t="str">
        <f t="shared" ca="1" si="1"/>
        <v/>
      </c>
      <c r="C78" s="81">
        <f t="shared" ca="1" si="2"/>
        <v>45</v>
      </c>
      <c r="D78" s="34">
        <f t="shared" ca="1" si="3"/>
        <v>45</v>
      </c>
      <c r="E78" s="4" t="str">
        <f t="shared" ca="1" si="4"/>
        <v>Retorno</v>
      </c>
      <c r="G78" s="46">
        <f ca="1">IF(C78="","",IF(E78&lt;&gt;"Retorno",0,IF($G$20=Parâmetros!$D$2,Simulador!$O$10/$G$17,IF($G$20=Parâmetros!$D$3,PMT($O$25,$G$17,($O$10)*-1)-I78,""))))</f>
        <v>1045.6120964736001</v>
      </c>
      <c r="H78" s="46"/>
      <c r="I78" s="46">
        <f t="shared" ca="1" si="7"/>
        <v>7829.9167931340635</v>
      </c>
      <c r="J78" s="34"/>
      <c r="K78" s="46">
        <f t="shared" ca="1" si="5"/>
        <v>0</v>
      </c>
      <c r="L78" s="46"/>
      <c r="M78" s="46">
        <f ca="1">IFERROR(IF(C78="","",IF($C$10=Parâmetros!$C$3,0,VLOOKUP(A78,'Base de Dados'!$E$3:$G$422,3,FALSE)*S78)),0)</f>
        <v>159.41231996264838</v>
      </c>
      <c r="N78" s="34"/>
      <c r="O78" s="46">
        <f ca="1">IF(C78="","",IF(C79="",0,IF(E78="Construção",0,IF(E78="Seguro",$C$17*'Base de Dados'!$C$2,IF($C$14=Parâmetros!$B$4,0,Simulador!$C$17*'Base de Dados'!$C$2)))))</f>
        <v>75</v>
      </c>
      <c r="P78" s="46"/>
      <c r="Q78" s="46">
        <f ca="1">IF(C78="","",IF(E78&lt;&gt;"Retorno",(I78+K78+M78),IF($G$20=Parâmetros!$D$2,SUM(G78,I78,K78,M78,O78),PMT($O$25,SUM($G$17),($O$10)*-1)+O78+M78+K78)))</f>
        <v>9109.9412095703119</v>
      </c>
      <c r="R78" s="46"/>
      <c r="S78" s="46">
        <f t="shared" ca="1" si="8"/>
        <v>712616.53984196868</v>
      </c>
      <c r="U78" s="15" t="str">
        <f t="shared" ca="1" si="6"/>
        <v/>
      </c>
    </row>
    <row r="79" spans="1:21" x14ac:dyDescent="0.3">
      <c r="A79" s="49">
        <f t="shared" ca="1" si="0"/>
        <v>47563</v>
      </c>
      <c r="B79" s="49" t="str">
        <f t="shared" ca="1" si="1"/>
        <v/>
      </c>
      <c r="C79" s="81">
        <f t="shared" ca="1" si="2"/>
        <v>46</v>
      </c>
      <c r="D79" s="34">
        <f t="shared" ca="1" si="3"/>
        <v>46</v>
      </c>
      <c r="E79" s="4" t="str">
        <f t="shared" ca="1" si="4"/>
        <v>Retorno</v>
      </c>
      <c r="G79" s="46">
        <f ca="1">IF(C79="","",IF(E79&lt;&gt;"Retorno",0,IF($G$20=Parâmetros!$D$2,Simulador!$O$10/$G$17,IF($G$20=Parâmetros!$D$3,PMT($O$25,$G$17,($O$10)*-1)-I79,""))))</f>
        <v>1057.0839892887998</v>
      </c>
      <c r="H79" s="46"/>
      <c r="I79" s="46">
        <f t="shared" ca="1" si="7"/>
        <v>7818.4449003188638</v>
      </c>
      <c r="J79" s="34"/>
      <c r="K79" s="46">
        <f t="shared" ca="1" si="5"/>
        <v>0</v>
      </c>
      <c r="L79" s="46"/>
      <c r="M79" s="46">
        <f ca="1">IFERROR(IF(C79="","",IF($C$10=Parâmetros!$C$3,0,VLOOKUP(A79,'Base de Dados'!$E$3:$G$422,3,FALSE)*S79)),0)</f>
        <v>159.17585027424448</v>
      </c>
      <c r="N79" s="34"/>
      <c r="O79" s="46">
        <f ca="1">IF(C79="","",IF(C80="",0,IF(E79="Construção",0,IF(E79="Seguro",$C$17*'Base de Dados'!$C$2,IF($C$14=Parâmetros!$B$4,0,Simulador!$C$17*'Base de Dados'!$C$2)))))</f>
        <v>75</v>
      </c>
      <c r="P79" s="46"/>
      <c r="Q79" s="46">
        <f ca="1">IF(C79="","",IF(E79&lt;&gt;"Retorno",(I79+K79+M79),IF($G$20=Parâmetros!$D$2,SUM(G79,I79,K79,M79,O79),PMT($O$25,SUM($G$17),($O$10)*-1)+O79+M79+K79)))</f>
        <v>9109.7047398819086</v>
      </c>
      <c r="R79" s="46"/>
      <c r="S79" s="46">
        <f t="shared" ca="1" si="8"/>
        <v>711559.45585267991</v>
      </c>
      <c r="U79" s="15" t="str">
        <f t="shared" ca="1" si="6"/>
        <v/>
      </c>
    </row>
    <row r="80" spans="1:21" x14ac:dyDescent="0.3">
      <c r="A80" s="49">
        <f t="shared" ca="1" si="0"/>
        <v>47594</v>
      </c>
      <c r="B80" s="49" t="str">
        <f t="shared" ca="1" si="1"/>
        <v/>
      </c>
      <c r="C80" s="81">
        <f t="shared" ca="1" si="2"/>
        <v>47</v>
      </c>
      <c r="D80" s="34">
        <f t="shared" ca="1" si="3"/>
        <v>47</v>
      </c>
      <c r="E80" s="4" t="str">
        <f t="shared" ca="1" si="4"/>
        <v>Retorno</v>
      </c>
      <c r="G80" s="46">
        <f ca="1">IF(C80="","",IF(E80&lt;&gt;"Retorno",0,IF($G$20=Parâmetros!$D$2,Simulador!$O$10/$G$17,IF($G$20=Parâmetros!$D$3,PMT($O$25,$G$17,($O$10)*-1)-I80,""))))</f>
        <v>1068.6817455338569</v>
      </c>
      <c r="H80" s="46"/>
      <c r="I80" s="46">
        <f t="shared" ca="1" si="7"/>
        <v>7806.8471440738067</v>
      </c>
      <c r="J80" s="34"/>
      <c r="K80" s="46">
        <f t="shared" ca="1" si="5"/>
        <v>0</v>
      </c>
      <c r="L80" s="46"/>
      <c r="M80" s="46">
        <f ca="1">IFERROR(IF(C80="","",IF($C$10=Parâmetros!$C$3,0,VLOOKUP(A80,'Base de Dados'!$E$3:$G$422,3,FALSE)*S80)),0)</f>
        <v>158.93678616776856</v>
      </c>
      <c r="N80" s="34"/>
      <c r="O80" s="46">
        <f ca="1">IF(C80="","",IF(C81="",0,IF(E80="Construção",0,IF(E80="Seguro",$C$17*'Base de Dados'!$C$2,IF($C$14=Parâmetros!$B$4,0,Simulador!$C$17*'Base de Dados'!$C$2)))))</f>
        <v>75</v>
      </c>
      <c r="P80" s="46"/>
      <c r="Q80" s="46">
        <f ca="1">IF(C80="","",IF(E80&lt;&gt;"Retorno",(I80+K80+M80),IF($G$20=Parâmetros!$D$2,SUM(G80,I80,K80,M80,O80),PMT($O$25,$G$17,($O$10)*-1)+O80+M80+K80)))</f>
        <v>9109.4656757754328</v>
      </c>
      <c r="R80" s="46"/>
      <c r="S80" s="46">
        <f t="shared" ca="1" si="8"/>
        <v>710490.77410714608</v>
      </c>
      <c r="U80" s="15" t="str">
        <f t="shared" ca="1" si="6"/>
        <v/>
      </c>
    </row>
    <row r="81" spans="1:21" x14ac:dyDescent="0.3">
      <c r="A81" s="49">
        <f t="shared" ca="1" si="0"/>
        <v>47624</v>
      </c>
      <c r="B81" s="49" t="str">
        <f t="shared" ca="1" si="1"/>
        <v/>
      </c>
      <c r="C81" s="81">
        <f t="shared" ca="1" si="2"/>
        <v>48</v>
      </c>
      <c r="D81" s="34">
        <f t="shared" ca="1" si="3"/>
        <v>48</v>
      </c>
      <c r="E81" s="4" t="str">
        <f t="shared" ca="1" si="4"/>
        <v>Retorno</v>
      </c>
      <c r="G81" s="46">
        <f ca="1">IF(C81="","",IF(E81&lt;&gt;"Retorno",0,IF($G$20=Parâmetros!$D$2,Simulador!$O$10/$G$17,IF($G$20=Parâmetros!$D$3,PMT($O$25,$G$17,($O$10)*-1)-I81,""))))</f>
        <v>1080.4067461145132</v>
      </c>
      <c r="H81" s="46"/>
      <c r="I81" s="46">
        <f t="shared" ca="1" si="7"/>
        <v>7795.1221434931504</v>
      </c>
      <c r="J81" s="34"/>
      <c r="K81" s="46">
        <f t="shared" ca="1" si="5"/>
        <v>0</v>
      </c>
      <c r="L81" s="46"/>
      <c r="M81" s="46">
        <f ca="1">IFERROR(IF(C81="","",IF($C$10=Parâmetros!$C$3,0,VLOOKUP(A81,'Base de Dados'!$E$3:$G$422,3,FALSE)*S81)),0)</f>
        <v>158.69509917866276</v>
      </c>
      <c r="N81" s="34"/>
      <c r="O81" s="46">
        <f ca="1">IF(C81="","",IF(C82="",0,IF(E81="Construção",0,IF(E81="Seguro",$C$17*'Base de Dados'!$C$2,IF($C$14=Parâmetros!$B$4,0,Simulador!$C$17*'Base de Dados'!$C$2)))))</f>
        <v>75</v>
      </c>
      <c r="P81" s="46"/>
      <c r="Q81" s="46">
        <f ca="1">IF(C81="","",IF(E81&lt;&gt;"Retorno",(I81+K81+M81),IF($G$20=Parâmetros!$D$2,SUM(G81,I81,K81,M81,O81),PMT($O$25,SUM($G$17),($O$10)*-1)+O81+M81+K81)))</f>
        <v>9109.223988786327</v>
      </c>
      <c r="R81" s="46"/>
      <c r="S81" s="46">
        <f t="shared" ca="1" si="8"/>
        <v>709410.36736103159</v>
      </c>
      <c r="U81" s="15" t="str">
        <f t="shared" ca="1" si="6"/>
        <v/>
      </c>
    </row>
    <row r="82" spans="1:21" x14ac:dyDescent="0.3">
      <c r="A82" s="49">
        <f t="shared" ca="1" si="0"/>
        <v>47655</v>
      </c>
      <c r="B82" s="49" t="str">
        <f t="shared" ca="1" si="1"/>
        <v/>
      </c>
      <c r="C82" s="81">
        <f t="shared" ca="1" si="2"/>
        <v>49</v>
      </c>
      <c r="D82" s="34">
        <f t="shared" ca="1" si="3"/>
        <v>49</v>
      </c>
      <c r="E82" s="4" t="str">
        <f t="shared" ca="1" si="4"/>
        <v>Retorno</v>
      </c>
      <c r="G82" s="46">
        <f ca="1">IF(C82="","",IF(E82&lt;&gt;"Retorno",0,IF($G$20=Parâmetros!$D$2,Simulador!$O$10/$G$17,IF($G$20=Parâmetros!$D$3,PMT($O$25,$G$17,($O$10)*-1)-I82,""))))</f>
        <v>1092.2603870871499</v>
      </c>
      <c r="H82" s="46"/>
      <c r="I82" s="46">
        <f t="shared" ca="1" si="7"/>
        <v>7783.2685025205137</v>
      </c>
      <c r="J82" s="34"/>
      <c r="K82" s="46">
        <f t="shared" ca="1" si="5"/>
        <v>0</v>
      </c>
      <c r="L82" s="46"/>
      <c r="M82" s="46">
        <f ca="1">IFERROR(IF(C82="","",IF($C$10=Parâmetros!$C$3,0,VLOOKUP(A82,'Base de Dados'!$E$3:$G$422,3,FALSE)*S82)),0)</f>
        <v>158.45076053007136</v>
      </c>
      <c r="N82" s="34"/>
      <c r="O82" s="46">
        <f ca="1">IF(C82="","",IF(C83="",0,IF(E82="Construção",0,IF(E82="Seguro",$C$17*'Base de Dados'!$C$2,IF($C$14=Parâmetros!$B$4,0,Simulador!$C$17*'Base de Dados'!$C$2)))))</f>
        <v>75</v>
      </c>
      <c r="P82" s="46"/>
      <c r="Q82" s="46">
        <f ca="1">IF(C82="","",IF(E82&lt;&gt;"Retorno",(I82+K82+M82),IF($G$20=Parâmetros!$D$2,SUM(G82,I82,K82,M82,O82),PMT($O$25,SUM($G$17),($O$10)*-1)+O82+M82+K82)))</f>
        <v>9108.979650137735</v>
      </c>
      <c r="R82" s="46"/>
      <c r="S82" s="46">
        <f t="shared" ca="1" si="8"/>
        <v>708318.10697394446</v>
      </c>
      <c r="U82" s="15" t="str">
        <f t="shared" ca="1" si="6"/>
        <v/>
      </c>
    </row>
    <row r="83" spans="1:21" x14ac:dyDescent="0.3">
      <c r="A83" s="49">
        <f t="shared" ca="1" si="0"/>
        <v>47685</v>
      </c>
      <c r="B83" s="49" t="str">
        <f t="shared" ca="1" si="1"/>
        <v/>
      </c>
      <c r="C83" s="81">
        <f t="shared" ca="1" si="2"/>
        <v>50</v>
      </c>
      <c r="D83" s="34">
        <f t="shared" ca="1" si="3"/>
        <v>50</v>
      </c>
      <c r="E83" s="4" t="str">
        <f t="shared" ca="1" si="4"/>
        <v>Retorno</v>
      </c>
      <c r="G83" s="46">
        <f ca="1">IF(C83="","",IF(E83&lt;&gt;"Retorno",0,IF($G$20=Parâmetros!$D$2,Simulador!$O$10/$G$17,IF($G$20=Parâmetros!$D$3,PMT($O$25,$G$17,($O$10)*-1)-I83,""))))</f>
        <v>1104.2440798247953</v>
      </c>
      <c r="H83" s="46"/>
      <c r="I83" s="46">
        <f t="shared" ca="1" si="7"/>
        <v>7771.2848097828683</v>
      </c>
      <c r="J83" s="34"/>
      <c r="K83" s="46">
        <f t="shared" ca="1" si="5"/>
        <v>0</v>
      </c>
      <c r="L83" s="46"/>
      <c r="M83" s="46">
        <f ca="1">IFERROR(IF(C83="","",IF($C$10=Parâmetros!$C$3,0,VLOOKUP(A83,'Base de Dados'!$E$3:$G$422,3,FALSE)*S83)),0)</f>
        <v>158.20374112941457</v>
      </c>
      <c r="N83" s="34"/>
      <c r="O83" s="46">
        <f ca="1">IF(C83="","",IF(C84="",0,IF(E83="Construção",0,IF(E83="Seguro",$C$17*'Base de Dados'!$C$2,IF($C$14=Parâmetros!$B$4,0,Simulador!$C$17*'Base de Dados'!$C$2)))))</f>
        <v>75</v>
      </c>
      <c r="P83" s="46"/>
      <c r="Q83" s="46">
        <f ca="1">IF(C83="","",IF(E83&lt;&gt;"Retorno",(I83+K83+M83),IF($G$20=Parâmetros!$D$2,SUM(G83,I83,K83,M83,O83),PMT($O$25,SUM($G$17),($O$10)*-1)+O83+M83+K83)))</f>
        <v>9108.7326307370786</v>
      </c>
      <c r="R83" s="46"/>
      <c r="S83" s="46">
        <f t="shared" ca="1" si="8"/>
        <v>707213.86289411969</v>
      </c>
      <c r="U83" s="15" t="str">
        <f t="shared" ca="1" si="6"/>
        <v/>
      </c>
    </row>
    <row r="84" spans="1:21" x14ac:dyDescent="0.3">
      <c r="A84" s="49">
        <f t="shared" ca="1" si="0"/>
        <v>47716</v>
      </c>
      <c r="B84" s="49" t="str">
        <f t="shared" ca="1" si="1"/>
        <v/>
      </c>
      <c r="C84" s="81">
        <f t="shared" ca="1" si="2"/>
        <v>51</v>
      </c>
      <c r="D84" s="34">
        <f t="shared" ca="1" si="3"/>
        <v>51</v>
      </c>
      <c r="E84" s="4" t="str">
        <f t="shared" ca="1" si="4"/>
        <v>Retorno</v>
      </c>
      <c r="G84" s="46">
        <f ca="1">IF(C84="","",IF(E84&lt;&gt;"Retorno",0,IF($G$20=Parâmetros!$D$2,Simulador!$O$10/$G$17,IF($G$20=Parâmetros!$D$3,PMT($O$25,$G$17,($O$10)*-1)-I84,""))))</f>
        <v>1116.3592511853458</v>
      </c>
      <c r="H84" s="46"/>
      <c r="I84" s="46">
        <f t="shared" ca="1" si="7"/>
        <v>7759.1696384223178</v>
      </c>
      <c r="J84" s="34"/>
      <c r="K84" s="46">
        <f t="shared" ca="1" si="5"/>
        <v>0</v>
      </c>
      <c r="L84" s="46"/>
      <c r="M84" s="46">
        <f ca="1">IFERROR(IF(C84="","",IF($C$10=Parâmetros!$C$3,0,VLOOKUP(A84,'Base de Dados'!$E$3:$G$422,3,FALSE)*S84)),0)</f>
        <v>157.9540115649244</v>
      </c>
      <c r="N84" s="34"/>
      <c r="O84" s="46">
        <f ca="1">IF(C84="","",IF(C85="",0,IF(E84="Construção",0,IF(E84="Seguro",$C$17*'Base de Dados'!$C$2,IF($C$14=Parâmetros!$B$4,0,Simulador!$C$17*'Base de Dados'!$C$2)))))</f>
        <v>75</v>
      </c>
      <c r="P84" s="46"/>
      <c r="Q84" s="46">
        <f ca="1">IF(C84="","",IF(E84&lt;&gt;"Retorno",(I84+K84+M84),IF($G$20=Parâmetros!$D$2,SUM(G84,I84,K84,M84,O84),PMT($O$25,SUM($G$17),($O$10)*-1)+O84+M84+K84)))</f>
        <v>9108.4829011725888</v>
      </c>
      <c r="R84" s="46"/>
      <c r="S84" s="46">
        <f t="shared" ca="1" si="8"/>
        <v>706097.50364293437</v>
      </c>
      <c r="U84" s="15" t="str">
        <f t="shared" ca="1" si="6"/>
        <v/>
      </c>
    </row>
    <row r="85" spans="1:21" x14ac:dyDescent="0.3">
      <c r="A85" s="49">
        <f t="shared" ca="1" si="0"/>
        <v>47747</v>
      </c>
      <c r="B85" s="49" t="str">
        <f t="shared" ca="1" si="1"/>
        <v/>
      </c>
      <c r="C85" s="81">
        <f t="shared" ca="1" si="2"/>
        <v>52</v>
      </c>
      <c r="D85" s="34">
        <f t="shared" ca="1" si="3"/>
        <v>52</v>
      </c>
      <c r="E85" s="4" t="str">
        <f t="shared" ca="1" si="4"/>
        <v>Retorno</v>
      </c>
      <c r="G85" s="46">
        <f ca="1">IF(C85="","",IF(E85&lt;&gt;"Retorno",0,IF($G$20=Parâmetros!$D$2,Simulador!$O$10/$G$17,IF($G$20=Parâmetros!$D$3,PMT($O$25,$G$17,($O$10)*-1)-I85,""))))</f>
        <v>1128.6073436816478</v>
      </c>
      <c r="H85" s="46"/>
      <c r="I85" s="46">
        <f t="shared" ca="1" si="7"/>
        <v>7746.9215459260158</v>
      </c>
      <c r="J85" s="34"/>
      <c r="K85" s="46">
        <f t="shared" ca="1" si="5"/>
        <v>0</v>
      </c>
      <c r="L85" s="46"/>
      <c r="M85" s="46">
        <f ca="1">IFERROR(IF(C85="","",IF($C$10=Parâmetros!$C$3,0,VLOOKUP(A85,'Base de Dados'!$E$3:$G$422,3,FALSE)*S85)),0)</f>
        <v>157.70154210214284</v>
      </c>
      <c r="N85" s="34"/>
      <c r="O85" s="46">
        <f ca="1">IF(C85="","",IF(C86="",0,IF(E85="Construção",0,IF(E85="Seguro",$C$17*'Base de Dados'!$C$2,IF($C$14=Parâmetros!$B$4,0,Simulador!$C$17*'Base de Dados'!$C$2)))))</f>
        <v>75</v>
      </c>
      <c r="P85" s="46"/>
      <c r="Q85" s="46">
        <f ca="1">IF(C85="","",IF(E85&lt;&gt;"Retorno",(I85+K85+M85),IF($G$20=Parâmetros!$D$2,SUM(G85,I85,K85,M85,O85),PMT($O$25,SUM($G$17),($O$10)*-1)+O85+M85+K85)))</f>
        <v>9108.230431709806</v>
      </c>
      <c r="R85" s="46"/>
      <c r="S85" s="46">
        <f t="shared" ca="1" si="8"/>
        <v>704968.89629925275</v>
      </c>
      <c r="U85" s="15" t="str">
        <f t="shared" ca="1" si="6"/>
        <v/>
      </c>
    </row>
    <row r="86" spans="1:21" x14ac:dyDescent="0.3">
      <c r="A86" s="49">
        <f t="shared" ca="1" si="0"/>
        <v>47777</v>
      </c>
      <c r="B86" s="49" t="str">
        <f t="shared" ca="1" si="1"/>
        <v/>
      </c>
      <c r="C86" s="81">
        <f t="shared" ca="1" si="2"/>
        <v>53</v>
      </c>
      <c r="D86" s="34">
        <f t="shared" ca="1" si="3"/>
        <v>53</v>
      </c>
      <c r="E86" s="4" t="str">
        <f t="shared" ca="1" si="4"/>
        <v>Retorno</v>
      </c>
      <c r="G86" s="46">
        <f ca="1">IF(C86="","",IF(E86&lt;&gt;"Retorno",0,IF($G$20=Parâmetros!$D$2,Simulador!$O$10/$G$17,IF($G$20=Parâmetros!$D$3,PMT($O$25,$G$17,($O$10)*-1)-I86,""))))</f>
        <v>1140.9898156526287</v>
      </c>
      <c r="H86" s="46"/>
      <c r="I86" s="46">
        <f t="shared" ca="1" si="7"/>
        <v>7734.5390739550348</v>
      </c>
      <c r="J86" s="34"/>
      <c r="K86" s="46">
        <f t="shared" ca="1" si="5"/>
        <v>0</v>
      </c>
      <c r="L86" s="46"/>
      <c r="M86" s="46">
        <f ca="1">IFERROR(IF(C86="","",IF($C$10=Parâmetros!$C$3,0,VLOOKUP(A86,'Base de Dados'!$E$3:$G$422,3,FALSE)*S86)),0)</f>
        <v>157.44630268038134</v>
      </c>
      <c r="N86" s="34"/>
      <c r="O86" s="46">
        <f ca="1">IF(C86="","",IF(C87="",0,IF(E86="Construção",0,IF(E86="Seguro",$C$17*'Base de Dados'!$C$2,IF($C$14=Parâmetros!$B$4,0,Simulador!$C$17*'Base de Dados'!$C$2)))))</f>
        <v>75</v>
      </c>
      <c r="P86" s="46"/>
      <c r="Q86" s="46">
        <f ca="1">IF(C86="","",IF(E86&lt;&gt;"Retorno",(I86+K86+M86),IF($G$20=Parâmetros!$D$2,SUM(G86,I86,K86,M86,O86),PMT($O$25,SUM($G$17),($O$10)*-1)+O86+M86+K86)))</f>
        <v>9107.9751922880441</v>
      </c>
      <c r="R86" s="46"/>
      <c r="S86" s="46">
        <f t="shared" ca="1" si="8"/>
        <v>703827.90648360015</v>
      </c>
      <c r="U86" s="15" t="str">
        <f t="shared" ca="1" si="6"/>
        <v/>
      </c>
    </row>
    <row r="87" spans="1:21" x14ac:dyDescent="0.3">
      <c r="A87" s="49">
        <f t="shared" ca="1" si="0"/>
        <v>47808</v>
      </c>
      <c r="B87" s="49" t="str">
        <f t="shared" ca="1" si="1"/>
        <v/>
      </c>
      <c r="C87" s="81">
        <f t="shared" ca="1" si="2"/>
        <v>54</v>
      </c>
      <c r="D87" s="34">
        <f t="shared" ca="1" si="3"/>
        <v>54</v>
      </c>
      <c r="E87" s="4" t="str">
        <f t="shared" ca="1" si="4"/>
        <v>Retorno</v>
      </c>
      <c r="G87" s="46">
        <f ca="1">IF(C87="","",IF(E87&lt;&gt;"Retorno",0,IF($G$20=Parâmetros!$D$2,Simulador!$O$10/$G$17,IF($G$20=Parâmetros!$D$3,PMT($O$25,$G$17,($O$10)*-1)-I87,""))))</f>
        <v>1153.5081414376873</v>
      </c>
      <c r="H87" s="46"/>
      <c r="I87" s="46">
        <f t="shared" ca="1" si="7"/>
        <v>7722.0207481699763</v>
      </c>
      <c r="J87" s="34"/>
      <c r="K87" s="46">
        <f t="shared" ca="1" si="5"/>
        <v>0</v>
      </c>
      <c r="L87" s="46"/>
      <c r="M87" s="46">
        <f ca="1">IFERROR(IF(C87="","",IF($C$10=Parâmetros!$C$3,0,VLOOKUP(A87,'Base de Dados'!$E$3:$G$422,3,FALSE)*S87)),0)</f>
        <v>157.18826290914174</v>
      </c>
      <c r="N87" s="34"/>
      <c r="O87" s="46">
        <f ca="1">IF(C87="","",IF(C88="",0,IF(E87="Construção",0,IF(E87="Seguro",$C$17*'Base de Dados'!$C$2,IF($C$14=Parâmetros!$B$4,0,Simulador!$C$17*'Base de Dados'!$C$2)))))</f>
        <v>75</v>
      </c>
      <c r="P87" s="46"/>
      <c r="Q87" s="46">
        <f ca="1">IF(C87="","",IF(E87&lt;&gt;"Retorno",(I87+K87+M87),IF($G$20=Parâmetros!$D$2,SUM(G87,I87,K87,M87,O87),PMT($O$25,SUM($G$17),($O$10)*-1)+O87+M87+K87)))</f>
        <v>9107.7171525168051</v>
      </c>
      <c r="R87" s="46"/>
      <c r="S87" s="46">
        <f t="shared" ca="1" si="8"/>
        <v>702674.39834216249</v>
      </c>
      <c r="U87" s="15" t="str">
        <f t="shared" ca="1" si="6"/>
        <v/>
      </c>
    </row>
    <row r="88" spans="1:21" x14ac:dyDescent="0.3">
      <c r="A88" s="49">
        <f t="shared" ca="1" si="0"/>
        <v>47838</v>
      </c>
      <c r="B88" s="49" t="str">
        <f t="shared" ca="1" si="1"/>
        <v/>
      </c>
      <c r="C88" s="81">
        <f t="shared" ca="1" si="2"/>
        <v>55</v>
      </c>
      <c r="D88" s="34">
        <f t="shared" ca="1" si="3"/>
        <v>55</v>
      </c>
      <c r="E88" s="4" t="str">
        <f t="shared" ca="1" si="4"/>
        <v>Retorno</v>
      </c>
      <c r="G88" s="46">
        <f ca="1">IF(C88="","",IF(E88&lt;&gt;"Retorno",0,IF($G$20=Parâmetros!$D$2,Simulador!$O$10/$G$17,IF($G$20=Parâmetros!$D$3,PMT($O$25,$G$17,($O$10)*-1)-I88,""))))</f>
        <v>1166.1638115514324</v>
      </c>
      <c r="H88" s="46"/>
      <c r="I88" s="46">
        <f t="shared" ca="1" si="7"/>
        <v>7709.3650780562311</v>
      </c>
      <c r="J88" s="34"/>
      <c r="K88" s="46">
        <f t="shared" ca="1" si="5"/>
        <v>0</v>
      </c>
      <c r="L88" s="46"/>
      <c r="M88" s="46">
        <f ca="1">IFERROR(IF(C88="","",IF($C$10=Parâmetros!$C$3,0,VLOOKUP(A88,'Base de Dados'!$E$3:$G$422,3,FALSE)*S88)),0)</f>
        <v>156.9273920644977</v>
      </c>
      <c r="N88" s="34"/>
      <c r="O88" s="46">
        <f ca="1">IF(C88="","",IF(C89="",0,IF(E88="Construção",0,IF(E88="Seguro",$C$17*'Base de Dados'!$C$2,IF($C$14=Parâmetros!$B$4,0,Simulador!$C$17*'Base de Dados'!$C$2)))))</f>
        <v>75</v>
      </c>
      <c r="P88" s="46"/>
      <c r="Q88" s="46">
        <f ca="1">IF(C88="","",IF(E88&lt;&gt;"Retorno",(I88+K88+M88),IF($G$20=Parâmetros!$D$2,SUM(G88,I88,K88,M88,O88),PMT($O$25,SUM($G$17),($O$10)*-1)+O88+M88+K88)))</f>
        <v>9107.4562816721609</v>
      </c>
      <c r="R88" s="46"/>
      <c r="S88" s="46">
        <f t="shared" ca="1" si="8"/>
        <v>701508.23453061108</v>
      </c>
      <c r="U88" s="15" t="str">
        <f t="shared" ca="1" si="6"/>
        <v/>
      </c>
    </row>
    <row r="89" spans="1:21" x14ac:dyDescent="0.3">
      <c r="A89" s="49">
        <f t="shared" ca="1" si="0"/>
        <v>47869</v>
      </c>
      <c r="B89" s="49" t="str">
        <f t="shared" ca="1" si="1"/>
        <v/>
      </c>
      <c r="C89" s="81">
        <f t="shared" ca="1" si="2"/>
        <v>56</v>
      </c>
      <c r="D89" s="34">
        <f t="shared" ca="1" si="3"/>
        <v>56</v>
      </c>
      <c r="E89" s="4" t="str">
        <f t="shared" ca="1" si="4"/>
        <v>Retorno</v>
      </c>
      <c r="G89" s="46">
        <f ca="1">IF(C89="","",IF(E89&lt;&gt;"Retorno",0,IF($G$20=Parâmetros!$D$2,Simulador!$O$10/$G$17,IF($G$20=Parâmetros!$D$3,PMT($O$25,$G$17,($O$10)*-1)-I89,""))))</f>
        <v>1178.9583328621484</v>
      </c>
      <c r="H89" s="46"/>
      <c r="I89" s="46">
        <f t="shared" ca="1" si="7"/>
        <v>7696.5705567455152</v>
      </c>
      <c r="J89" s="34"/>
      <c r="K89" s="46">
        <f t="shared" ca="1" si="5"/>
        <v>0</v>
      </c>
      <c r="L89" s="46"/>
      <c r="M89" s="46">
        <f ca="1">IFERROR(IF(C89="","",IF($C$10=Parâmetros!$C$3,0,VLOOKUP(A89,'Base de Dados'!$E$3:$G$422,3,FALSE)*S89)),0)</f>
        <v>156.66365908543642</v>
      </c>
      <c r="N89" s="34"/>
      <c r="O89" s="46">
        <f ca="1">IF(C89="","",IF(C90="",0,IF(E89="Construção",0,IF(E89="Seguro",$C$17*'Base de Dados'!$C$2,IF($C$14=Parâmetros!$B$4,0,Simulador!$C$17*'Base de Dados'!$C$2)))))</f>
        <v>75</v>
      </c>
      <c r="P89" s="46"/>
      <c r="Q89" s="46">
        <f ca="1">IF(C89="","",IF(E89&lt;&gt;"Retorno",(I89+K89+M89),IF($G$20=Parâmetros!$D$2,SUM(G89,I89,K89,M89,O89),PMT($O$25,SUM($G$17),($O$10)*-1)+O89+M89+K89)))</f>
        <v>9107.1925486930995</v>
      </c>
      <c r="R89" s="46"/>
      <c r="S89" s="46">
        <f t="shared" ca="1" si="8"/>
        <v>700329.27619774896</v>
      </c>
      <c r="U89" s="15" t="str">
        <f t="shared" ca="1" si="6"/>
        <v/>
      </c>
    </row>
    <row r="90" spans="1:21" x14ac:dyDescent="0.3">
      <c r="A90" s="49">
        <f t="shared" ca="1" si="0"/>
        <v>47900</v>
      </c>
      <c r="B90" s="49" t="str">
        <f t="shared" ca="1" si="1"/>
        <v/>
      </c>
      <c r="C90" s="81">
        <f t="shared" ca="1" si="2"/>
        <v>57</v>
      </c>
      <c r="D90" s="34">
        <f t="shared" ca="1" si="3"/>
        <v>57</v>
      </c>
      <c r="E90" s="4" t="str">
        <f t="shared" ca="1" si="4"/>
        <v>Retorno</v>
      </c>
      <c r="G90" s="46">
        <f ca="1">IF(C90="","",IF(E90&lt;&gt;"Retorno",0,IF($G$20=Parâmetros!$D$2,Simulador!$O$10/$G$17,IF($G$20=Parâmetros!$D$3,PMT($O$25,$G$17,($O$10)*-1)-I90,""))))</f>
        <v>1191.8932287702592</v>
      </c>
      <c r="H90" s="46"/>
      <c r="I90" s="46">
        <f t="shared" ca="1" si="7"/>
        <v>7683.6356608374044</v>
      </c>
      <c r="J90" s="34"/>
      <c r="K90" s="46">
        <f t="shared" ca="1" si="5"/>
        <v>0</v>
      </c>
      <c r="L90" s="46"/>
      <c r="M90" s="46">
        <f ca="1">IFERROR(IF(C90="","",IF($C$10=Parâmetros!$C$3,0,VLOOKUP(A90,'Base de Dados'!$E$3:$G$422,3,FALSE)*S90)),0)</f>
        <v>156.39703257016052</v>
      </c>
      <c r="N90" s="34"/>
      <c r="O90" s="46">
        <f ca="1">IF(C90="","",IF(C91="",0,IF(E90="Construção",0,IF(E90="Seguro",$C$17*'Base de Dados'!$C$2,IF($C$14=Parâmetros!$B$4,0,Simulador!$C$17*'Base de Dados'!$C$2)))))</f>
        <v>75</v>
      </c>
      <c r="P90" s="46"/>
      <c r="Q90" s="46">
        <f ca="1">IF(C90="","",IF(E90&lt;&gt;"Retorno",(I90+K90+M90),IF($G$20=Parâmetros!$D$2,SUM(G90,I90,K90,M90,O90),PMT($O$25,SUM($G$17),($O$10)*-1)+O90+M90+K90)))</f>
        <v>9106.9259221778248</v>
      </c>
      <c r="R90" s="46"/>
      <c r="S90" s="46">
        <f t="shared" ca="1" si="8"/>
        <v>699137.38296897872</v>
      </c>
      <c r="U90" s="15" t="str">
        <f t="shared" ca="1" si="6"/>
        <v/>
      </c>
    </row>
    <row r="91" spans="1:21" x14ac:dyDescent="0.3">
      <c r="A91" s="49">
        <f t="shared" ca="1" si="0"/>
        <v>47928</v>
      </c>
      <c r="B91" s="49" t="str">
        <f t="shared" ca="1" si="1"/>
        <v/>
      </c>
      <c r="C91" s="81">
        <f t="shared" ca="1" si="2"/>
        <v>58</v>
      </c>
      <c r="D91" s="34">
        <f t="shared" ca="1" si="3"/>
        <v>58</v>
      </c>
      <c r="E91" s="4" t="str">
        <f t="shared" ca="1" si="4"/>
        <v>Retorno</v>
      </c>
      <c r="G91" s="46">
        <f ca="1">IF(C91="","",IF(E91&lt;&gt;"Retorno",0,IF($G$20=Parâmetros!$D$2,Simulador!$O$10/$G$17,IF($G$20=Parâmetros!$D$3,PMT($O$25,$G$17,($O$10)*-1)-I91,""))))</f>
        <v>1204.9700393902858</v>
      </c>
      <c r="H91" s="46"/>
      <c r="I91" s="46">
        <f t="shared" ca="1" si="7"/>
        <v>7670.5588502173778</v>
      </c>
      <c r="J91" s="34"/>
      <c r="K91" s="46">
        <f t="shared" ca="1" si="5"/>
        <v>0</v>
      </c>
      <c r="L91" s="46"/>
      <c r="M91" s="46">
        <f ca="1">IFERROR(IF(C91="","",IF($C$10=Parâmetros!$C$3,0,VLOOKUP(A91,'Base de Dados'!$E$3:$G$422,3,FALSE)*S91)),0)</f>
        <v>156.12748077234895</v>
      </c>
      <c r="N91" s="34"/>
      <c r="O91" s="46">
        <f ca="1">IF(C91="","",IF(C92="",0,IF(E91="Construção",0,IF(E91="Seguro",$C$17*'Base de Dados'!$C$2,IF($C$14=Parâmetros!$B$4,0,Simulador!$C$17*'Base de Dados'!$C$2)))))</f>
        <v>75</v>
      </c>
      <c r="P91" s="46"/>
      <c r="Q91" s="46">
        <f ca="1">IF(C91="","",IF(E91&lt;&gt;"Retorno",(I91+K91+M91),IF($G$20=Parâmetros!$D$2,SUM(G91,I91,K91,M91,O91),PMT($O$25,SUM($G$17),($O$10)*-1)+O91+M91+K91)))</f>
        <v>9106.656370380013</v>
      </c>
      <c r="R91" s="46"/>
      <c r="S91" s="46">
        <f t="shared" ca="1" si="8"/>
        <v>697932.41292958846</v>
      </c>
      <c r="U91" s="15" t="str">
        <f t="shared" ca="1" si="6"/>
        <v/>
      </c>
    </row>
    <row r="92" spans="1:21" x14ac:dyDescent="0.3">
      <c r="A92" s="49">
        <f t="shared" ca="1" si="0"/>
        <v>47959</v>
      </c>
      <c r="B92" s="49" t="str">
        <f t="shared" ca="1" si="1"/>
        <v/>
      </c>
      <c r="C92" s="81">
        <f t="shared" ca="1" si="2"/>
        <v>59</v>
      </c>
      <c r="D92" s="34">
        <f t="shared" ca="1" si="3"/>
        <v>59</v>
      </c>
      <c r="E92" s="4" t="str">
        <f t="shared" ca="1" si="4"/>
        <v>Retorno</v>
      </c>
      <c r="G92" s="46">
        <f ca="1">IF(C92="","",IF(E92&lt;&gt;"Retorno",0,IF($G$20=Parâmetros!$D$2,Simulador!$O$10/$G$17,IF($G$20=Parâmetros!$D$3,PMT($O$25,$G$17,($O$10)*-1)-I92,""))))</f>
        <v>1218.1903217339677</v>
      </c>
      <c r="H92" s="46"/>
      <c r="I92" s="46">
        <f t="shared" ca="1" si="7"/>
        <v>7657.3385678736959</v>
      </c>
      <c r="J92" s="34"/>
      <c r="K92" s="46">
        <f t="shared" ca="1" si="5"/>
        <v>0</v>
      </c>
      <c r="L92" s="46"/>
      <c r="M92" s="46">
        <f ca="1">IFERROR(IF(C92="","",IF($C$10=Parâmetros!$C$3,0,VLOOKUP(A92,'Base de Dados'!$E$3:$G$422,3,FALSE)*S92)),0)</f>
        <v>155.85497159737704</v>
      </c>
      <c r="N92" s="34"/>
      <c r="O92" s="46">
        <f ca="1">IF(C92="","",IF(C93="",0,IF(E92="Construção",0,IF(E92="Seguro",$C$17*'Base de Dados'!$C$2,IF($C$14=Parâmetros!$B$4,0,Simulador!$C$17*'Base de Dados'!$C$2)))))</f>
        <v>75</v>
      </c>
      <c r="P92" s="46"/>
      <c r="Q92" s="46">
        <f ca="1">IF(C92="","",IF(E92&lt;&gt;"Retorno",(I92+K92+M92),IF($G$20=Parâmetros!$D$2,SUM(G92,I92,K92,M92,O92),PMT($O$25,SUM($G$17),($O$10)*-1)+O92+M92+K92)))</f>
        <v>9106.3838612050404</v>
      </c>
      <c r="R92" s="46"/>
      <c r="S92" s="46">
        <f t="shared" ca="1" si="8"/>
        <v>696714.22260785452</v>
      </c>
      <c r="U92" s="15" t="str">
        <f t="shared" ca="1" si="6"/>
        <v/>
      </c>
    </row>
    <row r="93" spans="1:21" x14ac:dyDescent="0.3">
      <c r="A93" s="49">
        <f t="shared" ca="1" si="0"/>
        <v>47989</v>
      </c>
      <c r="B93" s="49" t="str">
        <f t="shared" ca="1" si="1"/>
        <v/>
      </c>
      <c r="C93" s="81">
        <f t="shared" ca="1" si="2"/>
        <v>60</v>
      </c>
      <c r="D93" s="34">
        <f t="shared" ca="1" si="3"/>
        <v>60</v>
      </c>
      <c r="E93" s="4" t="str">
        <f t="shared" ca="1" si="4"/>
        <v>Retorno</v>
      </c>
      <c r="G93" s="46">
        <f ca="1">IF(C93="","",IF(E93&lt;&gt;"Retorno",0,IF($G$20=Parâmetros!$D$2,Simulador!$O$10/$G$17,IF($G$20=Parâmetros!$D$3,PMT($O$25,$G$17,($O$10)*-1)-I93,""))))</f>
        <v>1231.555649895945</v>
      </c>
      <c r="H93" s="46"/>
      <c r="I93" s="46">
        <f t="shared" ca="1" si="7"/>
        <v>7643.9732397117186</v>
      </c>
      <c r="J93" s="34"/>
      <c r="K93" s="46">
        <f t="shared" ca="1" si="5"/>
        <v>0</v>
      </c>
      <c r="L93" s="46"/>
      <c r="M93" s="46">
        <f ca="1">IFERROR(IF(C93="","",IF($C$10=Parâmetros!$C$3,0,VLOOKUP(A93,'Base de Dados'!$E$3:$G$422,3,FALSE)*S93)),0)</f>
        <v>155.57947259849533</v>
      </c>
      <c r="N93" s="34"/>
      <c r="O93" s="46">
        <f ca="1">IF(C93="","",IF(C94="",0,IF(E93="Construção",0,IF(E93="Seguro",$C$17*'Base de Dados'!$C$2,IF($C$14=Parâmetros!$B$4,0,Simulador!$C$17*'Base de Dados'!$C$2)))))</f>
        <v>75</v>
      </c>
      <c r="P93" s="46"/>
      <c r="Q93" s="46">
        <f ca="1">IF(C93="","",IF(E93&lt;&gt;"Retorno",(I93+K93+M93),IF($G$20=Parâmetros!$D$2,SUM(G93,I93,K93,M93,O93),PMT($O$25,SUM($G$17),($O$10)*-1)+O93+M93+K93)))</f>
        <v>9106.1083622061597</v>
      </c>
      <c r="R93" s="46"/>
      <c r="S93" s="46">
        <f t="shared" ca="1" si="8"/>
        <v>695482.6669579586</v>
      </c>
      <c r="U93" s="15" t="str">
        <f t="shared" ca="1" si="6"/>
        <v/>
      </c>
    </row>
    <row r="94" spans="1:21" x14ac:dyDescent="0.3">
      <c r="A94" s="49">
        <f t="shared" ca="1" si="0"/>
        <v>48020</v>
      </c>
      <c r="B94" s="49" t="str">
        <f t="shared" ca="1" si="1"/>
        <v/>
      </c>
      <c r="C94" s="81">
        <f t="shared" ca="1" si="2"/>
        <v>61</v>
      </c>
      <c r="D94" s="34">
        <f t="shared" ca="1" si="3"/>
        <v>61</v>
      </c>
      <c r="E94" s="4" t="str">
        <f t="shared" ca="1" si="4"/>
        <v>Retorno</v>
      </c>
      <c r="G94" s="46">
        <f ca="1">IF(C94="","",IF(E94&lt;&gt;"Retorno",0,IF($G$20=Parâmetros!$D$2,Simulador!$O$10/$G$17,IF($G$20=Parâmetros!$D$3,PMT($O$25,$G$17,($O$10)*-1)-I94,""))))</f>
        <v>1245.0676152406049</v>
      </c>
      <c r="H94" s="46"/>
      <c r="I94" s="46">
        <f t="shared" ca="1" si="7"/>
        <v>7630.4612743670586</v>
      </c>
      <c r="J94" s="34"/>
      <c r="K94" s="46">
        <f t="shared" ca="1" si="5"/>
        <v>0</v>
      </c>
      <c r="L94" s="46"/>
      <c r="M94" s="46">
        <f ca="1">IFERROR(IF(C94="","",IF($C$10=Parâmetros!$C$3,0,VLOOKUP(A94,'Base de Dados'!$E$3:$G$422,3,FALSE)*S94)),0)</f>
        <v>155.30095097296601</v>
      </c>
      <c r="N94" s="34"/>
      <c r="O94" s="46">
        <f ca="1">IF(C94="","",IF(C95="",0,IF(E94="Construção",0,IF(E94="Seguro",$C$17*'Base de Dados'!$C$2,IF($C$14=Parâmetros!$B$4,0,Simulador!$C$17*'Base de Dados'!$C$2)))))</f>
        <v>75</v>
      </c>
      <c r="P94" s="46"/>
      <c r="Q94" s="46">
        <f ca="1">IF(C94="","",IF(E94&lt;&gt;"Retorno",(I94+K94+M94),IF($G$20=Parâmetros!$D$2,SUM(G94,I94,K94,M94,O94),PMT($O$25,SUM($G$17),($O$10)*-1)+O94+M94+K94)))</f>
        <v>9105.829840580629</v>
      </c>
      <c r="R94" s="46"/>
      <c r="S94" s="46">
        <f t="shared" ca="1" si="8"/>
        <v>694237.59934271802</v>
      </c>
      <c r="U94" s="15" t="str">
        <f t="shared" ca="1" si="6"/>
        <v/>
      </c>
    </row>
    <row r="95" spans="1:21" x14ac:dyDescent="0.3">
      <c r="A95" s="49">
        <f t="shared" ca="1" si="0"/>
        <v>48050</v>
      </c>
      <c r="B95" s="49" t="str">
        <f t="shared" ca="1" si="1"/>
        <v/>
      </c>
      <c r="C95" s="81">
        <f t="shared" ca="1" si="2"/>
        <v>62</v>
      </c>
      <c r="D95" s="34">
        <f t="shared" ca="1" si="3"/>
        <v>62</v>
      </c>
      <c r="E95" s="4" t="str">
        <f t="shared" ca="1" si="4"/>
        <v>Retorno</v>
      </c>
      <c r="G95" s="46">
        <f ca="1">IF(C95="","",IF(E95&lt;&gt;"Retorno",0,IF($G$20=Parâmetros!$D$2,Simulador!$O$10/$G$17,IF($G$20=Parâmetros!$D$3,PMT($O$25,$G$17,($O$10)*-1)-I95,""))))</f>
        <v>1258.7278265921886</v>
      </c>
      <c r="H95" s="46"/>
      <c r="I95" s="46">
        <f t="shared" ca="1" si="7"/>
        <v>7616.8010630154749</v>
      </c>
      <c r="J95" s="34"/>
      <c r="K95" s="46">
        <f t="shared" ca="1" si="5"/>
        <v>0</v>
      </c>
      <c r="L95" s="46"/>
      <c r="M95" s="46">
        <f ca="1">IFERROR(IF(C95="","",IF($C$10=Parâmetros!$C$3,0,VLOOKUP(A95,'Base de Dados'!$E$3:$G$422,3,FALSE)*S95)),0)</f>
        <v>155.01937355815735</v>
      </c>
      <c r="N95" s="34"/>
      <c r="O95" s="46">
        <f ca="1">IF(C95="","",IF(C96="",0,IF(E95="Construção",0,IF(E95="Seguro",$C$17*'Base de Dados'!$C$2,IF($C$14=Parâmetros!$B$4,0,Simulador!$C$17*'Base de Dados'!$C$2)))))</f>
        <v>75</v>
      </c>
      <c r="P95" s="46"/>
      <c r="Q95" s="46">
        <f ca="1">IF(C95="","",IF(E95&lt;&gt;"Retorno",(I95+K95+M95),IF($G$20=Parâmetros!$D$2,SUM(G95,I95,K95,M95,O95),PMT($O$25,SUM($G$17),($O$10)*-1)+O95+M95+K95)))</f>
        <v>9105.5482631658215</v>
      </c>
      <c r="R95" s="46"/>
      <c r="S95" s="46">
        <f t="shared" ca="1" si="8"/>
        <v>692978.87151612586</v>
      </c>
      <c r="U95" s="15" t="str">
        <f t="shared" ca="1" si="6"/>
        <v/>
      </c>
    </row>
    <row r="96" spans="1:21" x14ac:dyDescent="0.3">
      <c r="A96" s="49">
        <f t="shared" ca="1" si="0"/>
        <v>48081</v>
      </c>
      <c r="B96" s="49" t="str">
        <f t="shared" ca="1" si="1"/>
        <v/>
      </c>
      <c r="C96" s="81">
        <f t="shared" ca="1" si="2"/>
        <v>63</v>
      </c>
      <c r="D96" s="34">
        <f t="shared" ca="1" si="3"/>
        <v>63</v>
      </c>
      <c r="E96" s="4" t="str">
        <f t="shared" ca="1" si="4"/>
        <v>Retorno</v>
      </c>
      <c r="G96" s="46">
        <f ca="1">IF(C96="","",IF(E96&lt;&gt;"Retorno",0,IF($G$20=Parâmetros!$D$2,Simulador!$O$10/$G$17,IF($G$20=Parâmetros!$D$3,PMT($O$25,$G$17,($O$10)*-1)-I96,""))))</f>
        <v>1272.5379104261774</v>
      </c>
      <c r="H96" s="46"/>
      <c r="I96" s="46">
        <f t="shared" ca="1" si="7"/>
        <v>7602.9909791814862</v>
      </c>
      <c r="J96" s="34"/>
      <c r="K96" s="46">
        <f t="shared" ca="1" si="5"/>
        <v>0</v>
      </c>
      <c r="L96" s="46"/>
      <c r="M96" s="46">
        <f ca="1">IFERROR(IF(C96="","",IF($C$10=Parâmetros!$C$3,0,VLOOKUP(A96,'Base de Dados'!$E$3:$G$422,3,FALSE)*S96)),0)</f>
        <v>154.73470682759501</v>
      </c>
      <c r="N96" s="34"/>
      <c r="O96" s="46">
        <f ca="1">IF(C96="","",IF(C97="",0,IF(E96="Construção",0,IF(E96="Seguro",$C$17*'Base de Dados'!$C$2,IF($C$14=Parâmetros!$B$4,0,Simulador!$C$17*'Base de Dados'!$C$2)))))</f>
        <v>75</v>
      </c>
      <c r="P96" s="46"/>
      <c r="Q96" s="46">
        <f ca="1">IF(C96="","",IF(E96&lt;&gt;"Retorno",(I96+K96+M96),IF($G$20=Parâmetros!$D$2,SUM(G96,I96,K96,M96,O96),PMT($O$25,SUM($G$17),($O$10)*-1)+O96+M96+K96)))</f>
        <v>9105.2635964352594</v>
      </c>
      <c r="R96" s="46"/>
      <c r="S96" s="46">
        <f t="shared" ca="1" si="8"/>
        <v>691706.33360569971</v>
      </c>
      <c r="U96" s="15" t="str">
        <f t="shared" ca="1" si="6"/>
        <v/>
      </c>
    </row>
    <row r="97" spans="1:21" x14ac:dyDescent="0.3">
      <c r="A97" s="49">
        <f t="shared" ca="1" si="0"/>
        <v>48112</v>
      </c>
      <c r="B97" s="49" t="str">
        <f t="shared" ca="1" si="1"/>
        <v/>
      </c>
      <c r="C97" s="81">
        <f t="shared" ca="1" si="2"/>
        <v>64</v>
      </c>
      <c r="D97" s="34">
        <f t="shared" ca="1" si="3"/>
        <v>64</v>
      </c>
      <c r="E97" s="4" t="str">
        <f t="shared" ca="1" si="4"/>
        <v>Retorno</v>
      </c>
      <c r="G97" s="46">
        <f ca="1">IF(C97="","",IF(E97&lt;&gt;"Retorno",0,IF($G$20=Parâmetros!$D$2,Simulador!$O$10/$G$17,IF($G$20=Parâmetros!$D$3,PMT($O$25,$G$17,($O$10)*-1)-I97,""))))</f>
        <v>1286.4995110627751</v>
      </c>
      <c r="H97" s="46"/>
      <c r="I97" s="46">
        <f t="shared" ca="1" si="7"/>
        <v>7589.0293785448885</v>
      </c>
      <c r="J97" s="34"/>
      <c r="K97" s="46">
        <f t="shared" ca="1" si="5"/>
        <v>0</v>
      </c>
      <c r="L97" s="46"/>
      <c r="M97" s="46">
        <f ca="1">IFERROR(IF(C97="","",IF($C$10=Parâmetros!$C$3,0,VLOOKUP(A97,'Base de Dados'!$E$3:$G$422,3,FALSE)*S97)),0)</f>
        <v>218.79404542459045</v>
      </c>
      <c r="N97" s="34"/>
      <c r="O97" s="46">
        <f ca="1">IF(C97="","",IF(C98="",0,IF(E97="Construção",0,IF(E97="Seguro",$C$17*'Base de Dados'!$C$2,IF($C$14=Parâmetros!$B$4,0,Simulador!$C$17*'Base de Dados'!$C$2)))))</f>
        <v>75</v>
      </c>
      <c r="P97" s="46"/>
      <c r="Q97" s="46">
        <f ca="1">IF(C97="","",IF(E97&lt;&gt;"Retorno",(I97+K97+M97),IF($G$20=Parâmetros!$D$2,SUM(G97,I97,K97,M97,O97),PMT($O$25,SUM($G$17),($O$10)*-1)+O97+M97+K97)))</f>
        <v>9169.3229350322545</v>
      </c>
      <c r="R97" s="46"/>
      <c r="S97" s="46">
        <f t="shared" ca="1" si="8"/>
        <v>690419.83409463696</v>
      </c>
      <c r="U97" s="15" t="str">
        <f t="shared" ca="1" si="6"/>
        <v/>
      </c>
    </row>
    <row r="98" spans="1:21" x14ac:dyDescent="0.3">
      <c r="A98" s="49">
        <f t="shared" ca="1" si="0"/>
        <v>48142</v>
      </c>
      <c r="B98" s="49" t="str">
        <f t="shared" ca="1" si="1"/>
        <v/>
      </c>
      <c r="C98" s="81">
        <f t="shared" ca="1" si="2"/>
        <v>65</v>
      </c>
      <c r="D98" s="34">
        <f t="shared" ca="1" si="3"/>
        <v>65</v>
      </c>
      <c r="E98" s="4" t="str">
        <f t="shared" ca="1" si="4"/>
        <v>Retorno</v>
      </c>
      <c r="G98" s="46">
        <f ca="1">IF(C98="","",IF(E98&lt;&gt;"Retorno",0,IF($G$20=Parâmetros!$D$2,Simulador!$O$10/$G$17,IF($G$20=Parâmetros!$D$3,PMT($O$25,$G$17,($O$10)*-1)-I98,""))))</f>
        <v>1300.6142908624861</v>
      </c>
      <c r="H98" s="46"/>
      <c r="I98" s="46">
        <f t="shared" ref="I98:I161" ca="1" si="9">IFERROR(IF(C98="","",FV($O$25,1,,-S97,0)-S97),"")</f>
        <v>7574.9145987451775</v>
      </c>
      <c r="J98" s="34"/>
      <c r="K98" s="46">
        <f t="shared" ca="1" si="5"/>
        <v>0</v>
      </c>
      <c r="L98" s="46"/>
      <c r="M98" s="46">
        <f ca="1">IFERROR(IF(C98="","",IF($C$10=Parâmetros!$C$3,0,VLOOKUP(A98,'Base de Dados'!$E$3:$G$422,3,FALSE)*S98)),0)</f>
        <v>218.38188075581616</v>
      </c>
      <c r="N98" s="34"/>
      <c r="O98" s="46">
        <f ca="1">IF(C98="","",IF(C99="",0,IF(E98="Construção",0,IF(E98="Seguro",$C$17*'Base de Dados'!$C$2,IF($C$14=Parâmetros!$B$4,0,Simulador!$C$17*'Base de Dados'!$C$2)))))</f>
        <v>75</v>
      </c>
      <c r="P98" s="46"/>
      <c r="Q98" s="46">
        <f ca="1">IF(C98="","",IF(E98&lt;&gt;"Retorno",(I98+K98+M98),IF($G$20=Parâmetros!$D$2,SUM(G98,I98,K98,M98,O98),PMT($O$25,SUM($G$17),($O$10)*-1)+O98+M98+K98)))</f>
        <v>9168.91077036348</v>
      </c>
      <c r="R98" s="46"/>
      <c r="S98" s="46">
        <f t="shared" ca="1" si="8"/>
        <v>689119.2198037745</v>
      </c>
      <c r="U98" s="15" t="str">
        <f t="shared" ca="1" si="6"/>
        <v/>
      </c>
    </row>
    <row r="99" spans="1:21" x14ac:dyDescent="0.3">
      <c r="A99" s="49">
        <f t="shared" ref="A99:A162" ca="1" si="10">IF(C99="","",IF(C98&gt;$G$17,0,EDATE(A98,1)))</f>
        <v>48173</v>
      </c>
      <c r="B99" s="49" t="str">
        <f t="shared" ref="B99:B162" ca="1" si="11">IF(AND(E99="Retorno",E98&lt;&gt;"Retorno"),"Primeira",IF(AND(E99="Retorno",E98=""),"Primeira",""))</f>
        <v/>
      </c>
      <c r="C99" s="81">
        <f t="shared" ref="C99:C162" ca="1" si="12">IF(OR(C98&gt;=$K$19,C98=""),"",C98+1)</f>
        <v>66</v>
      </c>
      <c r="D99" s="34">
        <f t="shared" ref="D99:D162" ca="1" si="13">C99</f>
        <v>66</v>
      </c>
      <c r="E99" s="4" t="str">
        <f t="shared" ref="E99:E162" ca="1" si="14">IF(C99="","","Retorno")</f>
        <v>Retorno</v>
      </c>
      <c r="G99" s="46">
        <f ca="1">IF(C99="","",IF(E99&lt;&gt;"Retorno",0,IF($G$20=Parâmetros!$D$2,Simulador!$O$10/$G$17,IF($G$20=Parâmetros!$D$3,PMT($O$25,$G$17,($O$10)*-1)-I99,""))))</f>
        <v>1314.8839304247194</v>
      </c>
      <c r="H99" s="46"/>
      <c r="I99" s="46">
        <f t="shared" ca="1" si="9"/>
        <v>7560.6449591829441</v>
      </c>
      <c r="J99" s="34"/>
      <c r="K99" s="46">
        <f t="shared" ref="K99:K162" ca="1" si="15">IF(C99="","",IF(AND($O$23&lt;12.01%,$C$17&lt;2250000.01),25,0))</f>
        <v>0</v>
      </c>
      <c r="L99" s="46"/>
      <c r="M99" s="46">
        <f ca="1">IFERROR(IF(C99="","",IF($C$10=Parâmetros!$C$3,0,VLOOKUP(A99,'Base de Dados'!$E$3:$G$422,3,FALSE)*S99)),0)</f>
        <v>217.96519403826454</v>
      </c>
      <c r="N99" s="34"/>
      <c r="O99" s="46">
        <f ca="1">IF(C99="","",IF(C100="",0,IF(E99="Construção",0,IF(E99="Seguro",$C$17*'Base de Dados'!$C$2,IF($C$14=Parâmetros!$B$4,0,Simulador!$C$17*'Base de Dados'!$C$2)))))</f>
        <v>75</v>
      </c>
      <c r="P99" s="46"/>
      <c r="Q99" s="46">
        <f ca="1">IF(C99="","",IF(E99&lt;&gt;"Retorno",(I99+K99+M99),IF($G$20=Parâmetros!$D$2,SUM(G99,I99,K99,M99,O99),PMT($O$25,SUM($G$17),($O$10)*-1)+O99+M99+K99)))</f>
        <v>9168.4940836459282</v>
      </c>
      <c r="R99" s="46"/>
      <c r="S99" s="46">
        <f t="shared" ref="S99:S162" ca="1" si="16">IF(E99="Construção",S98+(U99*-1),IF(E99="Carência",S98,IF(E99="Retorno",S98-G99,"")))</f>
        <v>687804.3358733498</v>
      </c>
      <c r="U99" s="15" t="str">
        <f t="shared" ref="U99:U162" ca="1" si="17">IF(E99="Construção",(($O$10+$U$33)/$K$10)*-1,"")</f>
        <v/>
      </c>
    </row>
    <row r="100" spans="1:21" x14ac:dyDescent="0.3">
      <c r="A100" s="49">
        <f t="shared" ca="1" si="10"/>
        <v>48203</v>
      </c>
      <c r="B100" s="49" t="str">
        <f t="shared" ca="1" si="11"/>
        <v/>
      </c>
      <c r="C100" s="81">
        <f t="shared" ca="1" si="12"/>
        <v>67</v>
      </c>
      <c r="D100" s="34">
        <f t="shared" ca="1" si="13"/>
        <v>67</v>
      </c>
      <c r="E100" s="4" t="str">
        <f t="shared" ca="1" si="14"/>
        <v>Retorno</v>
      </c>
      <c r="G100" s="46">
        <f ca="1">IF(C100="","",IF(E100&lt;&gt;"Retorno",0,IF($G$20=Parâmetros!$D$2,Simulador!$O$10/$G$17,IF($G$20=Parâmetros!$D$3,PMT($O$25,$G$17,($O$10)*-1)-I100,""))))</f>
        <v>1329.3101287875579</v>
      </c>
      <c r="H100" s="46"/>
      <c r="I100" s="46">
        <f t="shared" ca="1" si="9"/>
        <v>7546.2187608201057</v>
      </c>
      <c r="J100" s="34"/>
      <c r="K100" s="46">
        <f t="shared" ca="1" si="15"/>
        <v>0</v>
      </c>
      <c r="L100" s="46"/>
      <c r="M100" s="46">
        <f ca="1">IFERROR(IF(C100="","",IF($C$10=Parâmetros!$C$3,0,VLOOKUP(A100,'Base de Dados'!$E$3:$G$422,3,FALSE)*S100)),0)</f>
        <v>217.5439356584518</v>
      </c>
      <c r="N100" s="34"/>
      <c r="O100" s="46">
        <f ca="1">IF(C100="","",IF(C101="",0,IF(E100="Construção",0,IF(E100="Seguro",$C$17*'Base de Dados'!$C$2,IF($C$14=Parâmetros!$B$4,0,Simulador!$C$17*'Base de Dados'!$C$2)))))</f>
        <v>75</v>
      </c>
      <c r="P100" s="46"/>
      <c r="Q100" s="46">
        <f ca="1">IF(C100="","",IF(E100&lt;&gt;"Retorno",(I100+K100+M100),IF($G$20=Parâmetros!$D$2,SUM(G100,I100,K100,M100,O100),PMT($O$25,SUM($G$17),($O$10)*-1)+O100+M100+K100)))</f>
        <v>9168.0728252661156</v>
      </c>
      <c r="R100" s="46"/>
      <c r="S100" s="46">
        <f t="shared" ca="1" si="16"/>
        <v>686475.02574456227</v>
      </c>
      <c r="U100" s="15" t="str">
        <f t="shared" ca="1" si="17"/>
        <v/>
      </c>
    </row>
    <row r="101" spans="1:21" x14ac:dyDescent="0.3">
      <c r="A101" s="49">
        <f t="shared" ca="1" si="10"/>
        <v>48234</v>
      </c>
      <c r="B101" s="49" t="str">
        <f t="shared" ca="1" si="11"/>
        <v/>
      </c>
      <c r="C101" s="81">
        <f t="shared" ca="1" si="12"/>
        <v>68</v>
      </c>
      <c r="D101" s="34">
        <f t="shared" ca="1" si="13"/>
        <v>68</v>
      </c>
      <c r="E101" s="4" t="str">
        <f t="shared" ca="1" si="14"/>
        <v>Retorno</v>
      </c>
      <c r="G101" s="46">
        <f ca="1">IF(C101="","",IF(E101&lt;&gt;"Retorno",0,IF($G$20=Parâmetros!$D$2,Simulador!$O$10/$G$17,IF($G$20=Parâmetros!$D$3,PMT($O$25,$G$17,($O$10)*-1)-I101,""))))</f>
        <v>1343.894603629622</v>
      </c>
      <c r="H101" s="46"/>
      <c r="I101" s="46">
        <f t="shared" ca="1" si="9"/>
        <v>7531.6342859780416</v>
      </c>
      <c r="J101" s="34"/>
      <c r="K101" s="46">
        <f t="shared" ca="1" si="15"/>
        <v>0</v>
      </c>
      <c r="L101" s="46"/>
      <c r="M101" s="46">
        <f ca="1">IFERROR(IF(C101="","",IF($C$10=Parâmetros!$C$3,0,VLOOKUP(A101,'Base de Dados'!$E$3:$G$422,3,FALSE)*S101)),0)</f>
        <v>217.11805545856157</v>
      </c>
      <c r="N101" s="34"/>
      <c r="O101" s="46">
        <f ca="1">IF(C101="","",IF(C102="",0,IF(E101="Construção",0,IF(E101="Seguro",$C$17*'Base de Dados'!$C$2,IF($C$14=Parâmetros!$B$4,0,Simulador!$C$17*'Base de Dados'!$C$2)))))</f>
        <v>75</v>
      </c>
      <c r="P101" s="46"/>
      <c r="Q101" s="46">
        <f ca="1">IF(C101="","",IF(E101&lt;&gt;"Retorno",(I101+K101+M101),IF($G$20=Parâmetros!$D$2,SUM(G101,I101,K101,M101,O101),PMT($O$25,SUM($G$17),($O$10)*-1)+O101+M101+K101)))</f>
        <v>9167.6469450662244</v>
      </c>
      <c r="R101" s="46"/>
      <c r="S101" s="46">
        <f t="shared" ca="1" si="16"/>
        <v>685131.13114093267</v>
      </c>
      <c r="U101" s="15" t="str">
        <f t="shared" ca="1" si="17"/>
        <v/>
      </c>
    </row>
    <row r="102" spans="1:21" x14ac:dyDescent="0.3">
      <c r="A102" s="49">
        <f t="shared" ca="1" si="10"/>
        <v>48265</v>
      </c>
      <c r="B102" s="49" t="str">
        <f t="shared" ca="1" si="11"/>
        <v/>
      </c>
      <c r="C102" s="81">
        <f t="shared" ca="1" si="12"/>
        <v>69</v>
      </c>
      <c r="D102" s="34">
        <f t="shared" ca="1" si="13"/>
        <v>69</v>
      </c>
      <c r="E102" s="4" t="str">
        <f t="shared" ca="1" si="14"/>
        <v>Retorno</v>
      </c>
      <c r="G102" s="46">
        <f ca="1">IF(C102="","",IF(E102&lt;&gt;"Retorno",0,IF($G$20=Parâmetros!$D$2,Simulador!$O$10/$G$17,IF($G$20=Parâmetros!$D$3,PMT($O$25,$G$17,($O$10)*-1)-I102,""))))</f>
        <v>1358.6390914751937</v>
      </c>
      <c r="H102" s="46"/>
      <c r="I102" s="46">
        <f t="shared" ca="1" si="9"/>
        <v>7516.8897981324699</v>
      </c>
      <c r="J102" s="34"/>
      <c r="K102" s="46">
        <f t="shared" ca="1" si="15"/>
        <v>0</v>
      </c>
      <c r="L102" s="46"/>
      <c r="M102" s="46">
        <f ca="1">IFERROR(IF(C102="","",IF($C$10=Parâmetros!$C$3,0,VLOOKUP(A102,'Base de Dados'!$E$3:$G$422,3,FALSE)*S102)),0)</f>
        <v>216.68750273047308</v>
      </c>
      <c r="N102" s="34"/>
      <c r="O102" s="46">
        <f ca="1">IF(C102="","",IF(C103="",0,IF(E102="Construção",0,IF(E102="Seguro",$C$17*'Base de Dados'!$C$2,IF($C$14=Parâmetros!$B$4,0,Simulador!$C$17*'Base de Dados'!$C$2)))))</f>
        <v>75</v>
      </c>
      <c r="P102" s="46"/>
      <c r="Q102" s="46">
        <f ca="1">IF(C102="","",IF(E102&lt;&gt;"Retorno",(I102+K102+M102),IF($G$20=Parâmetros!$D$2,SUM(G102,I102,K102,M102,O102),PMT($O$25,SUM($G$17),($O$10)*-1)+O102+M102+K102)))</f>
        <v>9167.2163923381358</v>
      </c>
      <c r="R102" s="46"/>
      <c r="S102" s="46">
        <f t="shared" ca="1" si="16"/>
        <v>683772.49204945751</v>
      </c>
      <c r="U102" s="15" t="str">
        <f t="shared" ca="1" si="17"/>
        <v/>
      </c>
    </row>
    <row r="103" spans="1:21" x14ac:dyDescent="0.3">
      <c r="A103" s="49">
        <f t="shared" ca="1" si="10"/>
        <v>48294</v>
      </c>
      <c r="B103" s="49" t="str">
        <f t="shared" ca="1" si="11"/>
        <v/>
      </c>
      <c r="C103" s="81">
        <f t="shared" ca="1" si="12"/>
        <v>70</v>
      </c>
      <c r="D103" s="34">
        <f t="shared" ca="1" si="13"/>
        <v>70</v>
      </c>
      <c r="E103" s="4" t="str">
        <f t="shared" ca="1" si="14"/>
        <v>Retorno</v>
      </c>
      <c r="G103" s="46">
        <f ca="1">IF(C103="","",IF(E103&lt;&gt;"Retorno",0,IF($G$20=Parâmetros!$D$2,Simulador!$O$10/$G$17,IF($G$20=Parâmetros!$D$3,PMT($O$25,$G$17,($O$10)*-1)-I103,""))))</f>
        <v>1373.5453479009702</v>
      </c>
      <c r="H103" s="46"/>
      <c r="I103" s="46">
        <f t="shared" ca="1" si="9"/>
        <v>7501.9835417066934</v>
      </c>
      <c r="J103" s="34"/>
      <c r="K103" s="46">
        <f t="shared" ca="1" si="15"/>
        <v>0</v>
      </c>
      <c r="L103" s="46"/>
      <c r="M103" s="46">
        <f ca="1">IFERROR(IF(C103="","",IF($C$10=Parâmetros!$C$3,0,VLOOKUP(A103,'Base de Dados'!$E$3:$G$422,3,FALSE)*S103)),0)</f>
        <v>216.25222620972329</v>
      </c>
      <c r="N103" s="34"/>
      <c r="O103" s="46">
        <f ca="1">IF(C103="","",IF(C104="",0,IF(E103="Construção",0,IF(E103="Seguro",$C$17*'Base de Dados'!$C$2,IF($C$14=Parâmetros!$B$4,0,Simulador!$C$17*'Base de Dados'!$C$2)))))</f>
        <v>75</v>
      </c>
      <c r="P103" s="46"/>
      <c r="Q103" s="46">
        <f ca="1">IF(C103="","",IF(E103&lt;&gt;"Retorno",(I103+K103+M103),IF($G$20=Parâmetros!$D$2,SUM(G103,I103,K103,M103,O103),PMT($O$25,SUM($G$17),($O$10)*-1)+O103+M103+K103)))</f>
        <v>9166.7811158173863</v>
      </c>
      <c r="R103" s="46"/>
      <c r="S103" s="46">
        <f t="shared" ca="1" si="16"/>
        <v>682398.94670155656</v>
      </c>
      <c r="U103" s="15" t="str">
        <f t="shared" ca="1" si="17"/>
        <v/>
      </c>
    </row>
    <row r="104" spans="1:21" x14ac:dyDescent="0.3">
      <c r="A104" s="49">
        <f t="shared" ca="1" si="10"/>
        <v>48325</v>
      </c>
      <c r="B104" s="49" t="str">
        <f t="shared" ca="1" si="11"/>
        <v/>
      </c>
      <c r="C104" s="81">
        <f t="shared" ca="1" si="12"/>
        <v>71</v>
      </c>
      <c r="D104" s="34">
        <f t="shared" ca="1" si="13"/>
        <v>71</v>
      </c>
      <c r="E104" s="4" t="str">
        <f t="shared" ca="1" si="14"/>
        <v>Retorno</v>
      </c>
      <c r="G104" s="46">
        <f ca="1">IF(C104="","",IF(E104&lt;&gt;"Retorno",0,IF($G$20=Parâmetros!$D$2,Simulador!$O$10/$G$17,IF($G$20=Parâmetros!$D$3,PMT($O$25,$G$17,($O$10)*-1)-I104,""))))</f>
        <v>1388.6151477445637</v>
      </c>
      <c r="H104" s="46"/>
      <c r="I104" s="46">
        <f t="shared" ca="1" si="9"/>
        <v>7486.9137418630999</v>
      </c>
      <c r="J104" s="34"/>
      <c r="K104" s="46">
        <f t="shared" ca="1" si="15"/>
        <v>0</v>
      </c>
      <c r="L104" s="46"/>
      <c r="M104" s="46">
        <f ca="1">IFERROR(IF(C104="","",IF($C$10=Parâmetros!$C$3,0,VLOOKUP(A104,'Base de Dados'!$E$3:$G$422,3,FALSE)*S104)),0)</f>
        <v>215.81217406940303</v>
      </c>
      <c r="N104" s="34"/>
      <c r="O104" s="46">
        <f ca="1">IF(C104="","",IF(C105="",0,IF(E104="Construção",0,IF(E104="Seguro",$C$17*'Base de Dados'!$C$2,IF($C$14=Parâmetros!$B$4,0,Simulador!$C$17*'Base de Dados'!$C$2)))))</f>
        <v>75</v>
      </c>
      <c r="P104" s="46"/>
      <c r="Q104" s="46">
        <f ca="1">IF(C104="","",IF(E104&lt;&gt;"Retorno",(I104+K104+M104),IF($G$20=Parâmetros!$D$2,SUM(G104,I104,K104,M104,O104),PMT($O$25,SUM($G$17),($O$10)*-1)+O104+M104+K104)))</f>
        <v>9166.3410636770659</v>
      </c>
      <c r="R104" s="46"/>
      <c r="S104" s="46">
        <f t="shared" ca="1" si="16"/>
        <v>681010.33155381202</v>
      </c>
      <c r="U104" s="15" t="str">
        <f t="shared" ca="1" si="17"/>
        <v/>
      </c>
    </row>
    <row r="105" spans="1:21" x14ac:dyDescent="0.3">
      <c r="A105" s="49">
        <f t="shared" ca="1" si="10"/>
        <v>48355</v>
      </c>
      <c r="B105" s="49" t="str">
        <f t="shared" ca="1" si="11"/>
        <v/>
      </c>
      <c r="C105" s="81">
        <f t="shared" ca="1" si="12"/>
        <v>72</v>
      </c>
      <c r="D105" s="34">
        <f t="shared" ca="1" si="13"/>
        <v>72</v>
      </c>
      <c r="E105" s="4" t="str">
        <f t="shared" ca="1" si="14"/>
        <v>Retorno</v>
      </c>
      <c r="G105" s="46">
        <f ca="1">IF(C105="","",IF(E105&lt;&gt;"Retorno",0,IF($G$20=Parâmetros!$D$2,Simulador!$O$10/$G$17,IF($G$20=Parâmetros!$D$3,PMT($O$25,$G$17,($O$10)*-1)-I105,""))))</f>
        <v>1403.8502853163773</v>
      </c>
      <c r="H105" s="46"/>
      <c r="I105" s="46">
        <f t="shared" ca="1" si="9"/>
        <v>7471.6786042912863</v>
      </c>
      <c r="J105" s="34"/>
      <c r="K105" s="46">
        <f t="shared" ca="1" si="15"/>
        <v>0</v>
      </c>
      <c r="L105" s="46"/>
      <c r="M105" s="46">
        <f ca="1">IFERROR(IF(C105="","",IF($C$10=Parâmetros!$C$3,0,VLOOKUP(A105,'Base de Dados'!$E$3:$G$422,3,FALSE)*S105)),0)</f>
        <v>215.36729391398629</v>
      </c>
      <c r="N105" s="34"/>
      <c r="O105" s="46">
        <f ca="1">IF(C105="","",IF(C106="",0,IF(E105="Construção",0,IF(E105="Seguro",$C$17*'Base de Dados'!$C$2,IF($C$14=Parâmetros!$B$4,0,Simulador!$C$17*'Base de Dados'!$C$2)))))</f>
        <v>75</v>
      </c>
      <c r="P105" s="46"/>
      <c r="Q105" s="46">
        <f ca="1">IF(C105="","",IF(E105&lt;&gt;"Retorno",(I105+K105+M105),IF($G$20=Parâmetros!$D$2,SUM(G105,I105,K105,M105,O105),PMT($O$25,SUM($G$17),($O$10)*-1)+O105+M105+K105)))</f>
        <v>9165.8961835216505</v>
      </c>
      <c r="R105" s="46"/>
      <c r="S105" s="46">
        <f t="shared" ca="1" si="16"/>
        <v>679606.48126849567</v>
      </c>
      <c r="U105" s="15" t="str">
        <f t="shared" ca="1" si="17"/>
        <v/>
      </c>
    </row>
    <row r="106" spans="1:21" x14ac:dyDescent="0.3">
      <c r="A106" s="49">
        <f t="shared" ca="1" si="10"/>
        <v>48386</v>
      </c>
      <c r="B106" s="49" t="str">
        <f t="shared" ca="1" si="11"/>
        <v/>
      </c>
      <c r="C106" s="81">
        <f t="shared" ca="1" si="12"/>
        <v>73</v>
      </c>
      <c r="D106" s="34">
        <f t="shared" ca="1" si="13"/>
        <v>73</v>
      </c>
      <c r="E106" s="4" t="str">
        <f t="shared" ca="1" si="14"/>
        <v>Retorno</v>
      </c>
      <c r="G106" s="46">
        <f ca="1">IF(C106="","",IF(E106&lt;&gt;"Retorno",0,IF($G$20=Parâmetros!$D$2,Simulador!$O$10/$G$17,IF($G$20=Parâmetros!$D$3,PMT($O$25,$G$17,($O$10)*-1)-I106,""))))</f>
        <v>1419.2525746127612</v>
      </c>
      <c r="H106" s="46"/>
      <c r="I106" s="46">
        <f t="shared" ca="1" si="9"/>
        <v>7456.2763149949024</v>
      </c>
      <c r="J106" s="34"/>
      <c r="K106" s="46">
        <f t="shared" ca="1" si="15"/>
        <v>0</v>
      </c>
      <c r="L106" s="46"/>
      <c r="M106" s="46">
        <f ca="1">IFERROR(IF(C106="","",IF($C$10=Parâmetros!$C$3,0,VLOOKUP(A106,'Base de Dados'!$E$3:$G$422,3,FALSE)*S106)),0)</f>
        <v>214.91753277309149</v>
      </c>
      <c r="N106" s="34"/>
      <c r="O106" s="46">
        <f ca="1">IF(C106="","",IF(C107="",0,IF(E106="Construção",0,IF(E106="Seguro",$C$17*'Base de Dados'!$C$2,IF($C$14=Parâmetros!$B$4,0,Simulador!$C$17*'Base de Dados'!$C$2)))))</f>
        <v>75</v>
      </c>
      <c r="P106" s="46"/>
      <c r="Q106" s="46">
        <f ca="1">IF(C106="","",IF(E106&lt;&gt;"Retorno",(I106+K106+M106),IF($G$20=Parâmetros!$D$2,SUM(G106,I106,K106,M106,O106),PMT($O$25,SUM($G$17),($O$10)*-1)+O106+M106+K106)))</f>
        <v>9165.4464223807554</v>
      </c>
      <c r="R106" s="46"/>
      <c r="S106" s="46">
        <f t="shared" ca="1" si="16"/>
        <v>678187.22869388293</v>
      </c>
      <c r="U106" s="15" t="str">
        <f t="shared" ca="1" si="17"/>
        <v/>
      </c>
    </row>
    <row r="107" spans="1:21" x14ac:dyDescent="0.3">
      <c r="A107" s="49">
        <f t="shared" ca="1" si="10"/>
        <v>48416</v>
      </c>
      <c r="B107" s="49" t="str">
        <f t="shared" ca="1" si="11"/>
        <v/>
      </c>
      <c r="C107" s="81">
        <f t="shared" ca="1" si="12"/>
        <v>74</v>
      </c>
      <c r="D107" s="34">
        <f t="shared" ca="1" si="13"/>
        <v>74</v>
      </c>
      <c r="E107" s="4" t="str">
        <f t="shared" ca="1" si="14"/>
        <v>Retorno</v>
      </c>
      <c r="G107" s="46">
        <f ca="1">IF(C107="","",IF(E107&lt;&gt;"Retorno",0,IF($G$20=Parâmetros!$D$2,Simulador!$O$10/$G$17,IF($G$20=Parâmetros!$D$3,PMT($O$25,$G$17,($O$10)*-1)-I107,""))))</f>
        <v>1434.8238495325459</v>
      </c>
      <c r="H107" s="46"/>
      <c r="I107" s="46">
        <f t="shared" ca="1" si="9"/>
        <v>7440.7050400751177</v>
      </c>
      <c r="J107" s="34"/>
      <c r="K107" s="46">
        <f t="shared" ca="1" si="15"/>
        <v>0</v>
      </c>
      <c r="L107" s="46"/>
      <c r="M107" s="46">
        <f ca="1">IFERROR(IF(C107="","",IF($C$10=Parâmetros!$C$3,0,VLOOKUP(A107,'Base de Dados'!$E$3:$G$422,3,FALSE)*S107)),0)</f>
        <v>214.46283709517465</v>
      </c>
      <c r="N107" s="34"/>
      <c r="O107" s="46">
        <f ca="1">IF(C107="","",IF(C108="",0,IF(E107="Construção",0,IF(E107="Seguro",$C$17*'Base de Dados'!$C$2,IF($C$14=Parâmetros!$B$4,0,Simulador!$C$17*'Base de Dados'!$C$2)))))</f>
        <v>75</v>
      </c>
      <c r="P107" s="46"/>
      <c r="Q107" s="46">
        <f ca="1">IF(C107="","",IF(E107&lt;&gt;"Retorno",(I107+K107+M107),IF($G$20=Parâmetros!$D$2,SUM(G107,I107,K107,M107,O107),PMT($O$25,SUM($G$17),($O$10)*-1)+O107+M107+K107)))</f>
        <v>9164.9917267028377</v>
      </c>
      <c r="R107" s="46"/>
      <c r="S107" s="46">
        <f t="shared" ca="1" si="16"/>
        <v>676752.40484435041</v>
      </c>
      <c r="U107" s="15" t="str">
        <f t="shared" ca="1" si="17"/>
        <v/>
      </c>
    </row>
    <row r="108" spans="1:21" x14ac:dyDescent="0.3">
      <c r="A108" s="49">
        <f t="shared" ca="1" si="10"/>
        <v>48447</v>
      </c>
      <c r="B108" s="49" t="str">
        <f t="shared" ca="1" si="11"/>
        <v/>
      </c>
      <c r="C108" s="81">
        <f t="shared" ca="1" si="12"/>
        <v>75</v>
      </c>
      <c r="D108" s="34">
        <f t="shared" ca="1" si="13"/>
        <v>75</v>
      </c>
      <c r="E108" s="4" t="str">
        <f t="shared" ca="1" si="14"/>
        <v>Retorno</v>
      </c>
      <c r="G108" s="46">
        <f ca="1">IF(C108="","",IF(E108&lt;&gt;"Retorno",0,IF($G$20=Parâmetros!$D$2,Simulador!$O$10/$G$17,IF($G$20=Parâmetros!$D$3,PMT($O$25,$G$17,($O$10)*-1)-I108,""))))</f>
        <v>1450.5659640948543</v>
      </c>
      <c r="H108" s="46"/>
      <c r="I108" s="46">
        <f t="shared" ca="1" si="9"/>
        <v>7424.9629255128093</v>
      </c>
      <c r="J108" s="34"/>
      <c r="K108" s="46">
        <f t="shared" ca="1" si="15"/>
        <v>0</v>
      </c>
      <c r="L108" s="46"/>
      <c r="M108" s="46">
        <f ca="1">IFERROR(IF(C108="","",IF($C$10=Parâmetros!$C$3,0,VLOOKUP(A108,'Base de Dados'!$E$3:$G$422,3,FALSE)*S108)),0)</f>
        <v>214.003152741153</v>
      </c>
      <c r="N108" s="34"/>
      <c r="O108" s="46">
        <f ca="1">IF(C108="","",IF(C109="",0,IF(E108="Construção",0,IF(E108="Seguro",$C$17*'Base de Dados'!$C$2,IF($C$14=Parâmetros!$B$4,0,Simulador!$C$17*'Base de Dados'!$C$2)))))</f>
        <v>75</v>
      </c>
      <c r="P108" s="46"/>
      <c r="Q108" s="46">
        <f ca="1">IF(C108="","",IF(E108&lt;&gt;"Retorno",(I108+K108+M108),IF($G$20=Parâmetros!$D$2,SUM(G108,I108,K108,M108,O108),PMT($O$25,SUM($G$17),($O$10)*-1)+O108+M108+K108)))</f>
        <v>9164.5320423488174</v>
      </c>
      <c r="R108" s="46"/>
      <c r="S108" s="46">
        <f t="shared" ca="1" si="16"/>
        <v>675301.83888025559</v>
      </c>
      <c r="U108" s="15" t="str">
        <f t="shared" ca="1" si="17"/>
        <v/>
      </c>
    </row>
    <row r="109" spans="1:21" x14ac:dyDescent="0.3">
      <c r="A109" s="49">
        <f t="shared" ca="1" si="10"/>
        <v>48478</v>
      </c>
      <c r="B109" s="49" t="str">
        <f t="shared" ca="1" si="11"/>
        <v/>
      </c>
      <c r="C109" s="81">
        <f t="shared" ca="1" si="12"/>
        <v>76</v>
      </c>
      <c r="D109" s="34">
        <f t="shared" ca="1" si="13"/>
        <v>76</v>
      </c>
      <c r="E109" s="4" t="str">
        <f t="shared" ca="1" si="14"/>
        <v>Retorno</v>
      </c>
      <c r="G109" s="46">
        <f ca="1">IF(C109="","",IF(E109&lt;&gt;"Retorno",0,IF($G$20=Parâmetros!$D$2,Simulador!$O$10/$G$17,IF($G$20=Parâmetros!$D$3,PMT($O$25,$G$17,($O$10)*-1)-I109,""))))</f>
        <v>1466.480792660408</v>
      </c>
      <c r="H109" s="46"/>
      <c r="I109" s="46">
        <f t="shared" ca="1" si="9"/>
        <v>7409.0480969472555</v>
      </c>
      <c r="J109" s="34"/>
      <c r="K109" s="46">
        <f t="shared" ca="1" si="15"/>
        <v>0</v>
      </c>
      <c r="L109" s="46"/>
      <c r="M109" s="46">
        <f ca="1">IFERROR(IF(C109="","",IF($C$10=Parâmetros!$C$3,0,VLOOKUP(A109,'Base de Dados'!$E$3:$G$422,3,FALSE)*S109)),0)</f>
        <v>213.53842497795893</v>
      </c>
      <c r="N109" s="34"/>
      <c r="O109" s="46">
        <f ca="1">IF(C109="","",IF(C110="",0,IF(E109="Construção",0,IF(E109="Seguro",$C$17*'Base de Dados'!$C$2,IF($C$14=Parâmetros!$B$4,0,Simulador!$C$17*'Base de Dados'!$C$2)))))</f>
        <v>75</v>
      </c>
      <c r="P109" s="46"/>
      <c r="Q109" s="46">
        <f ca="1">IF(C109="","",IF(E109&lt;&gt;"Retorno",(I109+K109+M109),IF($G$20=Parâmetros!$D$2,SUM(G109,I109,K109,M109,O109),PMT($O$25,SUM($G$17),($O$10)*-1)+O109+M109+K109)))</f>
        <v>9164.0673145856217</v>
      </c>
      <c r="R109" s="46"/>
      <c r="S109" s="46">
        <f t="shared" ca="1" si="16"/>
        <v>673835.3580875952</v>
      </c>
      <c r="U109" s="15" t="str">
        <f t="shared" ca="1" si="17"/>
        <v/>
      </c>
    </row>
    <row r="110" spans="1:21" x14ac:dyDescent="0.3">
      <c r="A110" s="49">
        <f t="shared" ca="1" si="10"/>
        <v>48508</v>
      </c>
      <c r="B110" s="49" t="str">
        <f t="shared" ca="1" si="11"/>
        <v/>
      </c>
      <c r="C110" s="81">
        <f t="shared" ca="1" si="12"/>
        <v>77</v>
      </c>
      <c r="D110" s="34">
        <f t="shared" ca="1" si="13"/>
        <v>77</v>
      </c>
      <c r="E110" s="4" t="str">
        <f t="shared" ca="1" si="14"/>
        <v>Retorno</v>
      </c>
      <c r="G110" s="46">
        <f ca="1">IF(C110="","",IF(E110&lt;&gt;"Retorno",0,IF($G$20=Parâmetros!$D$2,Simulador!$O$10/$G$17,IF($G$20=Parâmetros!$D$3,PMT($O$25,$G$17,($O$10)*-1)-I110,""))))</f>
        <v>1482.5702301541132</v>
      </c>
      <c r="H110" s="46"/>
      <c r="I110" s="46">
        <f t="shared" ca="1" si="9"/>
        <v>7392.9586594535504</v>
      </c>
      <c r="J110" s="34"/>
      <c r="K110" s="46">
        <f t="shared" ca="1" si="15"/>
        <v>0</v>
      </c>
      <c r="L110" s="46"/>
      <c r="M110" s="46">
        <f ca="1">IFERROR(IF(C110="","",IF($C$10=Parâmetros!$C$3,0,VLOOKUP(A110,'Base de Dados'!$E$3:$G$422,3,FALSE)*S110)),0)</f>
        <v>213.0685984720231</v>
      </c>
      <c r="N110" s="34"/>
      <c r="O110" s="46">
        <f ca="1">IF(C110="","",IF(C111="",0,IF(E110="Construção",0,IF(E110="Seguro",$C$17*'Base de Dados'!$C$2,IF($C$14=Parâmetros!$B$4,0,Simulador!$C$17*'Base de Dados'!$C$2)))))</f>
        <v>75</v>
      </c>
      <c r="P110" s="46"/>
      <c r="Q110" s="46">
        <f ca="1">IF(C110="","",IF(E110&lt;&gt;"Retorno",(I110+K110+M110),IF($G$20=Parâmetros!$D$2,SUM(G110,I110,K110,M110,O110),PMT($O$25,SUM($G$17),($O$10)*-1)+O110+M110+K110)))</f>
        <v>9163.5974880796875</v>
      </c>
      <c r="R110" s="46"/>
      <c r="S110" s="46">
        <f t="shared" ca="1" si="16"/>
        <v>672352.78785744112</v>
      </c>
      <c r="U110" s="15" t="str">
        <f t="shared" ca="1" si="17"/>
        <v/>
      </c>
    </row>
    <row r="111" spans="1:21" x14ac:dyDescent="0.3">
      <c r="A111" s="49">
        <f t="shared" ca="1" si="10"/>
        <v>48539</v>
      </c>
      <c r="B111" s="49" t="str">
        <f t="shared" ca="1" si="11"/>
        <v/>
      </c>
      <c r="C111" s="81">
        <f t="shared" ca="1" si="12"/>
        <v>78</v>
      </c>
      <c r="D111" s="34">
        <f t="shared" ca="1" si="13"/>
        <v>78</v>
      </c>
      <c r="E111" s="4" t="str">
        <f t="shared" ca="1" si="14"/>
        <v>Retorno</v>
      </c>
      <c r="G111" s="46">
        <f ca="1">IF(C111="","",IF(E111&lt;&gt;"Retorno",0,IF($G$20=Parâmetros!$D$2,Simulador!$O$10/$G$17,IF($G$20=Parâmetros!$D$3,PMT($O$25,$G$17,($O$10)*-1)-I111,""))))</f>
        <v>1498.8361922912554</v>
      </c>
      <c r="H111" s="46"/>
      <c r="I111" s="46">
        <f t="shared" ca="1" si="9"/>
        <v>7376.6926973164082</v>
      </c>
      <c r="J111" s="34"/>
      <c r="K111" s="46">
        <f t="shared" ca="1" si="15"/>
        <v>0</v>
      </c>
      <c r="L111" s="46"/>
      <c r="M111" s="46">
        <f ca="1">IFERROR(IF(C111="","",IF($C$10=Parâmetros!$C$3,0,VLOOKUP(A111,'Base de Dados'!$E$3:$G$422,3,FALSE)*S111)),0)</f>
        <v>212.59361728268601</v>
      </c>
      <c r="N111" s="34"/>
      <c r="O111" s="46">
        <f ca="1">IF(C111="","",IF(C112="",0,IF(E111="Construção",0,IF(E111="Seguro",$C$17*'Base de Dados'!$C$2,IF($C$14=Parâmetros!$B$4,0,Simulador!$C$17*'Base de Dados'!$C$2)))))</f>
        <v>75</v>
      </c>
      <c r="P111" s="46"/>
      <c r="Q111" s="46">
        <f ca="1">IF(C111="","",IF(E111&lt;&gt;"Retorno",(I111+K111+M111),IF($G$20=Parâmetros!$D$2,SUM(G111,I111,K111,M111,O111),PMT($O$25,SUM($G$17),($O$10)*-1)+O111+M111+K111)))</f>
        <v>9163.1225068903495</v>
      </c>
      <c r="R111" s="46"/>
      <c r="S111" s="46">
        <f t="shared" ca="1" si="16"/>
        <v>670853.95166514989</v>
      </c>
      <c r="U111" s="15" t="str">
        <f t="shared" ca="1" si="17"/>
        <v/>
      </c>
    </row>
    <row r="112" spans="1:21" x14ac:dyDescent="0.3">
      <c r="A112" s="49">
        <f t="shared" ca="1" si="10"/>
        <v>48569</v>
      </c>
      <c r="B112" s="49" t="str">
        <f t="shared" ca="1" si="11"/>
        <v/>
      </c>
      <c r="C112" s="81">
        <f t="shared" ca="1" si="12"/>
        <v>79</v>
      </c>
      <c r="D112" s="34">
        <f t="shared" ca="1" si="13"/>
        <v>79</v>
      </c>
      <c r="E112" s="4" t="str">
        <f t="shared" ca="1" si="14"/>
        <v>Retorno</v>
      </c>
      <c r="G112" s="46">
        <f ca="1">IF(C112="","",IF(E112&lt;&gt;"Retorno",0,IF($G$20=Parâmetros!$D$2,Simulador!$O$10/$G$17,IF($G$20=Parâmetros!$D$3,PMT($O$25,$G$17,($O$10)*-1)-I112,""))))</f>
        <v>1515.2806158048588</v>
      </c>
      <c r="H112" s="46"/>
      <c r="I112" s="46">
        <f t="shared" ca="1" si="9"/>
        <v>7360.2482738028048</v>
      </c>
      <c r="J112" s="34"/>
      <c r="K112" s="46">
        <f t="shared" ca="1" si="15"/>
        <v>0</v>
      </c>
      <c r="L112" s="46"/>
      <c r="M112" s="46">
        <f ca="1">IFERROR(IF(C112="","",IF($C$10=Parâmetros!$C$3,0,VLOOKUP(A112,'Base de Dados'!$E$3:$G$422,3,FALSE)*S112)),0)</f>
        <v>212.11342485553746</v>
      </c>
      <c r="N112" s="34"/>
      <c r="O112" s="46">
        <f ca="1">IF(C112="","",IF(C113="",0,IF(E112="Construção",0,IF(E112="Seguro",$C$17*'Base de Dados'!$C$2,IF($C$14=Parâmetros!$B$4,0,Simulador!$C$17*'Base de Dados'!$C$2)))))</f>
        <v>75</v>
      </c>
      <c r="P112" s="46"/>
      <c r="Q112" s="46">
        <f ca="1">IF(C112="","",IF(E112&lt;&gt;"Retorno",(I112+K112+M112),IF($G$20=Parâmetros!$D$2,SUM(G112,I112,K112,M112,O112),PMT($O$25,SUM($G$17),($O$10)*-1)+O112+M112+K112)))</f>
        <v>9162.6423144632008</v>
      </c>
      <c r="R112" s="46"/>
      <c r="S112" s="46">
        <f t="shared" ca="1" si="16"/>
        <v>669338.67104934505</v>
      </c>
      <c r="U112" s="15" t="str">
        <f t="shared" ca="1" si="17"/>
        <v/>
      </c>
    </row>
    <row r="113" spans="1:21" x14ac:dyDescent="0.3">
      <c r="A113" s="49">
        <f t="shared" ca="1" si="10"/>
        <v>48600</v>
      </c>
      <c r="B113" s="49" t="str">
        <f t="shared" ca="1" si="11"/>
        <v/>
      </c>
      <c r="C113" s="81">
        <f t="shared" ca="1" si="12"/>
        <v>80</v>
      </c>
      <c r="D113" s="34">
        <f t="shared" ca="1" si="13"/>
        <v>80</v>
      </c>
      <c r="E113" s="4" t="str">
        <f t="shared" ca="1" si="14"/>
        <v>Retorno</v>
      </c>
      <c r="G113" s="46">
        <f ca="1">IF(C113="","",IF(E113&lt;&gt;"Retorno",0,IF($G$20=Parâmetros!$D$2,Simulador!$O$10/$G$17,IF($G$20=Parâmetros!$D$3,PMT($O$25,$G$17,($O$10)*-1)-I113,""))))</f>
        <v>1531.9054586773527</v>
      </c>
      <c r="H113" s="46"/>
      <c r="I113" s="46">
        <f t="shared" ca="1" si="9"/>
        <v>7343.6234309303109</v>
      </c>
      <c r="J113" s="34"/>
      <c r="K113" s="46">
        <f t="shared" ca="1" si="15"/>
        <v>0</v>
      </c>
      <c r="L113" s="46"/>
      <c r="M113" s="46">
        <f ca="1">IFERROR(IF(C113="","",IF($C$10=Parâmetros!$C$3,0,VLOOKUP(A113,'Base de Dados'!$E$3:$G$422,3,FALSE)*S113)),0)</f>
        <v>211.62796401568261</v>
      </c>
      <c r="N113" s="34"/>
      <c r="O113" s="46">
        <f ca="1">IF(C113="","",IF(C114="",0,IF(E113="Construção",0,IF(E113="Seguro",$C$17*'Base de Dados'!$C$2,IF($C$14=Parâmetros!$B$4,0,Simulador!$C$17*'Base de Dados'!$C$2)))))</f>
        <v>75</v>
      </c>
      <c r="P113" s="46"/>
      <c r="Q113" s="46">
        <f ca="1">IF(C113="","",IF(E113&lt;&gt;"Retorno",(I113+K113+M113),IF($G$20=Parâmetros!$D$2,SUM(G113,I113,K113,M113,O113),PMT($O$25,SUM($G$17),($O$10)*-1)+O113+M113+K113)))</f>
        <v>9162.1568536233463</v>
      </c>
      <c r="R113" s="46"/>
      <c r="S113" s="46">
        <f t="shared" ca="1" si="16"/>
        <v>667806.76559066772</v>
      </c>
      <c r="U113" s="15" t="str">
        <f t="shared" ca="1" si="17"/>
        <v/>
      </c>
    </row>
    <row r="114" spans="1:21" x14ac:dyDescent="0.3">
      <c r="A114" s="49">
        <f t="shared" ca="1" si="10"/>
        <v>48631</v>
      </c>
      <c r="B114" s="49" t="str">
        <f t="shared" ca="1" si="11"/>
        <v/>
      </c>
      <c r="C114" s="81">
        <f t="shared" ca="1" si="12"/>
        <v>81</v>
      </c>
      <c r="D114" s="34">
        <f t="shared" ca="1" si="13"/>
        <v>81</v>
      </c>
      <c r="E114" s="4" t="str">
        <f t="shared" ca="1" si="14"/>
        <v>Retorno</v>
      </c>
      <c r="G114" s="46">
        <f ca="1">IF(C114="","",IF(E114&lt;&gt;"Retorno",0,IF($G$20=Parâmetros!$D$2,Simulador!$O$10/$G$17,IF($G$20=Parâmetros!$D$3,PMT($O$25,$G$17,($O$10)*-1)-I114,""))))</f>
        <v>1548.7127003725873</v>
      </c>
      <c r="H114" s="46"/>
      <c r="I114" s="46">
        <f t="shared" ca="1" si="9"/>
        <v>7326.8161892350763</v>
      </c>
      <c r="J114" s="34"/>
      <c r="K114" s="46">
        <f t="shared" ca="1" si="15"/>
        <v>0</v>
      </c>
      <c r="L114" s="46"/>
      <c r="M114" s="46">
        <f ca="1">IFERROR(IF(C114="","",IF($C$10=Parâmetros!$C$3,0,VLOOKUP(A114,'Base de Dados'!$E$3:$G$422,3,FALSE)*S114)),0)</f>
        <v>211.13717696093454</v>
      </c>
      <c r="N114" s="34"/>
      <c r="O114" s="46">
        <f ca="1">IF(C114="","",IF(C115="",0,IF(E114="Construção",0,IF(E114="Seguro",$C$17*'Base de Dados'!$C$2,IF($C$14=Parâmetros!$B$4,0,Simulador!$C$17*'Base de Dados'!$C$2)))))</f>
        <v>75</v>
      </c>
      <c r="P114" s="46"/>
      <c r="Q114" s="46">
        <f ca="1">IF(C114="","",IF(E114&lt;&gt;"Retorno",(I114+K114+M114),IF($G$20=Parâmetros!$D$2,SUM(G114,I114,K114,M114,O114),PMT($O$25,SUM($G$17),($O$10)*-1)+O114+M114+K114)))</f>
        <v>9161.6660665685977</v>
      </c>
      <c r="R114" s="46"/>
      <c r="S114" s="46">
        <f t="shared" ca="1" si="16"/>
        <v>666258.05289029516</v>
      </c>
      <c r="U114" s="15" t="str">
        <f t="shared" ca="1" si="17"/>
        <v/>
      </c>
    </row>
    <row r="115" spans="1:21" x14ac:dyDescent="0.3">
      <c r="A115" s="49">
        <f t="shared" ca="1" si="10"/>
        <v>48659</v>
      </c>
      <c r="B115" s="49" t="str">
        <f t="shared" ca="1" si="11"/>
        <v/>
      </c>
      <c r="C115" s="81">
        <f t="shared" ca="1" si="12"/>
        <v>82</v>
      </c>
      <c r="D115" s="34">
        <f t="shared" ca="1" si="13"/>
        <v>82</v>
      </c>
      <c r="E115" s="4" t="str">
        <f t="shared" ca="1" si="14"/>
        <v>Retorno</v>
      </c>
      <c r="G115" s="46">
        <f ca="1">IF(C115="","",IF(E115&lt;&gt;"Retorno",0,IF($G$20=Parâmetros!$D$2,Simulador!$O$10/$G$17,IF($G$20=Parâmetros!$D$3,PMT($O$25,$G$17,($O$10)*-1)-I115,""))))</f>
        <v>1565.7043420723894</v>
      </c>
      <c r="H115" s="46"/>
      <c r="I115" s="46">
        <f t="shared" ca="1" si="9"/>
        <v>7309.8245475352742</v>
      </c>
      <c r="J115" s="34"/>
      <c r="K115" s="46">
        <f t="shared" ca="1" si="15"/>
        <v>0</v>
      </c>
      <c r="L115" s="46"/>
      <c r="M115" s="46">
        <f ca="1">IFERROR(IF(C115="","",IF($C$10=Parâmetros!$C$3,0,VLOOKUP(A115,'Base de Dados'!$E$3:$G$422,3,FALSE)*S115)),0)</f>
        <v>210.6410052549318</v>
      </c>
      <c r="N115" s="34"/>
      <c r="O115" s="46">
        <f ca="1">IF(C115="","",IF(C116="",0,IF(E115="Construção",0,IF(E115="Seguro",$C$17*'Base de Dados'!$C$2,IF($C$14=Parâmetros!$B$4,0,Simulador!$C$17*'Base de Dados'!$C$2)))))</f>
        <v>75</v>
      </c>
      <c r="P115" s="46"/>
      <c r="Q115" s="46">
        <f ca="1">IF(C115="","",IF(E115&lt;&gt;"Retorno",(I115+K115+M115),IF($G$20=Parâmetros!$D$2,SUM(G115,I115,K115,M115,O115),PMT($O$25,SUM($G$17),($O$10)*-1)+O115+M115+K115)))</f>
        <v>9161.1698948625963</v>
      </c>
      <c r="R115" s="46"/>
      <c r="S115" s="46">
        <f t="shared" ca="1" si="16"/>
        <v>664692.3485482228</v>
      </c>
      <c r="U115" s="15" t="str">
        <f t="shared" ca="1" si="17"/>
        <v/>
      </c>
    </row>
    <row r="116" spans="1:21" x14ac:dyDescent="0.3">
      <c r="A116" s="49">
        <f t="shared" ca="1" si="10"/>
        <v>48690</v>
      </c>
      <c r="B116" s="49" t="str">
        <f t="shared" ca="1" si="11"/>
        <v/>
      </c>
      <c r="C116" s="81">
        <f t="shared" ca="1" si="12"/>
        <v>83</v>
      </c>
      <c r="D116" s="34">
        <f t="shared" ca="1" si="13"/>
        <v>83</v>
      </c>
      <c r="E116" s="4" t="str">
        <f t="shared" ca="1" si="14"/>
        <v>Retorno</v>
      </c>
      <c r="G116" s="46">
        <f ca="1">IF(C116="","",IF(E116&lt;&gt;"Retorno",0,IF($G$20=Parâmetros!$D$2,Simulador!$O$10/$G$17,IF($G$20=Parâmetros!$D$3,PMT($O$25,$G$17,($O$10)*-1)-I116,""))))</f>
        <v>1582.8824069140501</v>
      </c>
      <c r="H116" s="46"/>
      <c r="I116" s="46">
        <f t="shared" ca="1" si="9"/>
        <v>7292.6464826936135</v>
      </c>
      <c r="J116" s="34"/>
      <c r="K116" s="46">
        <f t="shared" ca="1" si="15"/>
        <v>0</v>
      </c>
      <c r="L116" s="46"/>
      <c r="M116" s="46">
        <f ca="1">IFERROR(IF(C116="","",IF($C$10=Parâmetros!$C$3,0,VLOOKUP(A116,'Base de Dados'!$E$3:$G$422,3,FALSE)*S116)),0)</f>
        <v>210.13938982018075</v>
      </c>
      <c r="N116" s="34"/>
      <c r="O116" s="46">
        <f ca="1">IF(C116="","",IF(C117="",0,IF(E116="Construção",0,IF(E116="Seguro",$C$17*'Base de Dados'!$C$2,IF($C$14=Parâmetros!$B$4,0,Simulador!$C$17*'Base de Dados'!$C$2)))))</f>
        <v>75</v>
      </c>
      <c r="P116" s="46"/>
      <c r="Q116" s="46">
        <f ca="1">IF(C116="","",IF(E116&lt;&gt;"Retorno",(I116+K116+M116),IF($G$20=Parâmetros!$D$2,SUM(G116,I116,K116,M116,O116),PMT($O$25,SUM($G$17),($O$10)*-1)+O116+M116+K116)))</f>
        <v>9160.668279427844</v>
      </c>
      <c r="R116" s="46"/>
      <c r="S116" s="46">
        <f t="shared" ca="1" si="16"/>
        <v>663109.46614130877</v>
      </c>
      <c r="U116" s="15" t="str">
        <f t="shared" ca="1" si="17"/>
        <v/>
      </c>
    </row>
    <row r="117" spans="1:21" x14ac:dyDescent="0.3">
      <c r="A117" s="49">
        <f t="shared" ca="1" si="10"/>
        <v>48720</v>
      </c>
      <c r="B117" s="49" t="str">
        <f t="shared" ca="1" si="11"/>
        <v/>
      </c>
      <c r="C117" s="81">
        <f t="shared" ca="1" si="12"/>
        <v>84</v>
      </c>
      <c r="D117" s="34">
        <f t="shared" ca="1" si="13"/>
        <v>84</v>
      </c>
      <c r="E117" s="4" t="str">
        <f t="shared" ca="1" si="14"/>
        <v>Retorno</v>
      </c>
      <c r="G117" s="46">
        <f ca="1">IF(C117="","",IF(E117&lt;&gt;"Retorno",0,IF($G$20=Parâmetros!$D$2,Simulador!$O$10/$G$17,IF($G$20=Parâmetros!$D$3,PMT($O$25,$G$17,($O$10)*-1)-I117,""))))</f>
        <v>1600.2489402321189</v>
      </c>
      <c r="H117" s="46"/>
      <c r="I117" s="46">
        <f t="shared" ca="1" si="9"/>
        <v>7275.2799493755447</v>
      </c>
      <c r="J117" s="34"/>
      <c r="K117" s="46">
        <f t="shared" ca="1" si="15"/>
        <v>0</v>
      </c>
      <c r="L117" s="46"/>
      <c r="M117" s="46">
        <f ca="1">IFERROR(IF(C117="","",IF($C$10=Parâmetros!$C$3,0,VLOOKUP(A117,'Base de Dados'!$E$3:$G$422,3,FALSE)*S117)),0)</f>
        <v>209.6322709310212</v>
      </c>
      <c r="N117" s="34"/>
      <c r="O117" s="46">
        <f ca="1">IF(C117="","",IF(C118="",0,IF(E117="Construção",0,IF(E117="Seguro",$C$17*'Base de Dados'!$C$2,IF($C$14=Parâmetros!$B$4,0,Simulador!$C$17*'Base de Dados'!$C$2)))))</f>
        <v>75</v>
      </c>
      <c r="P117" s="46"/>
      <c r="Q117" s="46">
        <f ca="1">IF(C117="","",IF(E117&lt;&gt;"Retorno",(I117+K117+M117),IF($G$20=Parâmetros!$D$2,SUM(G117,I117,K117,M117,O117),PMT($O$25,SUM($G$17),($O$10)*-1)+O117+M117+K117)))</f>
        <v>9160.1611605386843</v>
      </c>
      <c r="R117" s="46"/>
      <c r="S117" s="46">
        <f t="shared" ca="1" si="16"/>
        <v>661509.21720107668</v>
      </c>
      <c r="U117" s="15" t="str">
        <f t="shared" ca="1" si="17"/>
        <v/>
      </c>
    </row>
    <row r="118" spans="1:21" x14ac:dyDescent="0.3">
      <c r="A118" s="49">
        <f t="shared" ca="1" si="10"/>
        <v>48751</v>
      </c>
      <c r="B118" s="49" t="str">
        <f t="shared" ca="1" si="11"/>
        <v/>
      </c>
      <c r="C118" s="81">
        <f t="shared" ca="1" si="12"/>
        <v>85</v>
      </c>
      <c r="D118" s="34">
        <f t="shared" ca="1" si="13"/>
        <v>85</v>
      </c>
      <c r="E118" s="4" t="str">
        <f t="shared" ca="1" si="14"/>
        <v>Retorno</v>
      </c>
      <c r="G118" s="46">
        <f ca="1">IF(C118="","",IF(E118&lt;&gt;"Retorno",0,IF($G$20=Parâmetros!$D$2,Simulador!$O$10/$G$17,IF($G$20=Parâmetros!$D$3,PMT($O$25,$G$17,($O$10)*-1)-I118,""))))</f>
        <v>1617.8060098010137</v>
      </c>
      <c r="H118" s="46"/>
      <c r="I118" s="46">
        <f t="shared" ca="1" si="9"/>
        <v>7257.7228798066499</v>
      </c>
      <c r="J118" s="34"/>
      <c r="K118" s="46">
        <f t="shared" ca="1" si="15"/>
        <v>0</v>
      </c>
      <c r="L118" s="46"/>
      <c r="M118" s="46">
        <f ca="1">IFERROR(IF(C118="","",IF($C$10=Parâmetros!$C$3,0,VLOOKUP(A118,'Base de Dados'!$E$3:$G$422,3,FALSE)*S118)),0)</f>
        <v>209.11958820651526</v>
      </c>
      <c r="N118" s="34"/>
      <c r="O118" s="46">
        <f ca="1">IF(C118="","",IF(C119="",0,IF(E118="Construção",0,IF(E118="Seguro",$C$17*'Base de Dados'!$C$2,IF($C$14=Parâmetros!$B$4,0,Simulador!$C$17*'Base de Dados'!$C$2)))))</f>
        <v>75</v>
      </c>
      <c r="P118" s="46"/>
      <c r="Q118" s="46">
        <f ca="1">IF(C118="","",IF(E118&lt;&gt;"Retorno",(I118+K118+M118),IF($G$20=Parâmetros!$D$2,SUM(G118,I118,K118,M118,O118),PMT($O$25,SUM($G$17),($O$10)*-1)+O118+M118+K118)))</f>
        <v>9159.6484778141785</v>
      </c>
      <c r="R118" s="46"/>
      <c r="S118" s="46">
        <f t="shared" ca="1" si="16"/>
        <v>659891.41119127569</v>
      </c>
      <c r="U118" s="15" t="str">
        <f t="shared" ca="1" si="17"/>
        <v/>
      </c>
    </row>
    <row r="119" spans="1:21" x14ac:dyDescent="0.3">
      <c r="A119" s="49">
        <f t="shared" ca="1" si="10"/>
        <v>48781</v>
      </c>
      <c r="B119" s="49" t="str">
        <f t="shared" ca="1" si="11"/>
        <v/>
      </c>
      <c r="C119" s="81">
        <f t="shared" ca="1" si="12"/>
        <v>86</v>
      </c>
      <c r="D119" s="34">
        <f t="shared" ca="1" si="13"/>
        <v>86</v>
      </c>
      <c r="E119" s="4" t="str">
        <f t="shared" ca="1" si="14"/>
        <v>Retorno</v>
      </c>
      <c r="G119" s="46">
        <f ca="1">IF(C119="","",IF(E119&lt;&gt;"Retorno",0,IF($G$20=Parâmetros!$D$2,Simulador!$O$10/$G$17,IF($G$20=Parâmetros!$D$3,PMT($O$25,$G$17,($O$10)*-1)-I119,""))))</f>
        <v>1635.5557060820538</v>
      </c>
      <c r="H119" s="46"/>
      <c r="I119" s="46">
        <f t="shared" ca="1" si="9"/>
        <v>7239.9731835256098</v>
      </c>
      <c r="J119" s="34"/>
      <c r="K119" s="46">
        <f t="shared" ca="1" si="15"/>
        <v>0</v>
      </c>
      <c r="L119" s="46"/>
      <c r="M119" s="46">
        <f ca="1">IFERROR(IF(C119="","",IF($C$10=Parâmetros!$C$3,0,VLOOKUP(A119,'Base de Dados'!$E$3:$G$422,3,FALSE)*S119)),0)</f>
        <v>208.60128060325786</v>
      </c>
      <c r="N119" s="34"/>
      <c r="O119" s="46">
        <f ca="1">IF(C119="","",IF(C120="",0,IF(E119="Construção",0,IF(E119="Seguro",$C$17*'Base de Dados'!$C$2,IF($C$14=Parâmetros!$B$4,0,Simulador!$C$17*'Base de Dados'!$C$2)))))</f>
        <v>75</v>
      </c>
      <c r="P119" s="46"/>
      <c r="Q119" s="46">
        <f ca="1">IF(C119="","",IF(E119&lt;&gt;"Retorno",(I119+K119+M119),IF($G$20=Parâmetros!$D$2,SUM(G119,I119,K119,M119,O119),PMT($O$25,SUM($G$17),($O$10)*-1)+O119+M119+K119)))</f>
        <v>9159.1301702109213</v>
      </c>
      <c r="R119" s="46"/>
      <c r="S119" s="46">
        <f t="shared" ca="1" si="16"/>
        <v>658255.85548519366</v>
      </c>
      <c r="U119" s="15" t="str">
        <f t="shared" ca="1" si="17"/>
        <v/>
      </c>
    </row>
    <row r="120" spans="1:21" x14ac:dyDescent="0.3">
      <c r="A120" s="49">
        <f t="shared" ca="1" si="10"/>
        <v>48812</v>
      </c>
      <c r="B120" s="49" t="str">
        <f t="shared" ca="1" si="11"/>
        <v/>
      </c>
      <c r="C120" s="81">
        <f t="shared" ca="1" si="12"/>
        <v>87</v>
      </c>
      <c r="D120" s="34">
        <f t="shared" ca="1" si="13"/>
        <v>87</v>
      </c>
      <c r="E120" s="4" t="str">
        <f t="shared" ca="1" si="14"/>
        <v>Retorno</v>
      </c>
      <c r="G120" s="46">
        <f ca="1">IF(C120="","",IF(E120&lt;&gt;"Retorno",0,IF($G$20=Parâmetros!$D$2,Simulador!$O$10/$G$17,IF($G$20=Parâmetros!$D$3,PMT($O$25,$G$17,($O$10)*-1)-I120,""))))</f>
        <v>1653.5001424717739</v>
      </c>
      <c r="H120" s="46"/>
      <c r="I120" s="46">
        <f t="shared" ca="1" si="9"/>
        <v>7222.0287471358897</v>
      </c>
      <c r="J120" s="34"/>
      <c r="K120" s="46">
        <f t="shared" ca="1" si="15"/>
        <v>0</v>
      </c>
      <c r="L120" s="46"/>
      <c r="M120" s="46">
        <f ca="1">IFERROR(IF(C120="","",IF($C$10=Parâmetros!$C$3,0,VLOOKUP(A120,'Base de Dados'!$E$3:$G$422,3,FALSE)*S120)),0)</f>
        <v>208.07728640810859</v>
      </c>
      <c r="N120" s="34"/>
      <c r="O120" s="46">
        <f ca="1">IF(C120="","",IF(C121="",0,IF(E120="Construção",0,IF(E120="Seguro",$C$17*'Base de Dados'!$C$2,IF($C$14=Parâmetros!$B$4,0,Simulador!$C$17*'Base de Dados'!$C$2)))))</f>
        <v>75</v>
      </c>
      <c r="P120" s="46"/>
      <c r="Q120" s="46">
        <f ca="1">IF(C120="","",IF(E120&lt;&gt;"Retorno",(I120+K120+M120),IF($G$20=Parâmetros!$D$2,SUM(G120,I120,K120,M120,O120),PMT($O$25,SUM($G$17),($O$10)*-1)+O120+M120+K120)))</f>
        <v>9158.6061760157718</v>
      </c>
      <c r="R120" s="46"/>
      <c r="S120" s="46">
        <f t="shared" ca="1" si="16"/>
        <v>656602.35534272192</v>
      </c>
      <c r="U120" s="15" t="str">
        <f t="shared" ca="1" si="17"/>
        <v/>
      </c>
    </row>
    <row r="121" spans="1:21" x14ac:dyDescent="0.3">
      <c r="A121" s="49">
        <f t="shared" ca="1" si="10"/>
        <v>48843</v>
      </c>
      <c r="B121" s="49" t="str">
        <f t="shared" ca="1" si="11"/>
        <v/>
      </c>
      <c r="C121" s="81">
        <f t="shared" ca="1" si="12"/>
        <v>88</v>
      </c>
      <c r="D121" s="34">
        <f t="shared" ca="1" si="13"/>
        <v>88</v>
      </c>
      <c r="E121" s="4" t="str">
        <f t="shared" ca="1" si="14"/>
        <v>Retorno</v>
      </c>
      <c r="G121" s="46">
        <f ca="1">IF(C121="","",IF(E121&lt;&gt;"Retorno",0,IF($G$20=Parâmetros!$D$2,Simulador!$O$10/$G$17,IF($G$20=Parâmetros!$D$3,PMT($O$25,$G$17,($O$10)*-1)-I121,""))))</f>
        <v>1671.6414555536139</v>
      </c>
      <c r="H121" s="46"/>
      <c r="I121" s="46">
        <f t="shared" ca="1" si="9"/>
        <v>7203.8874340540497</v>
      </c>
      <c r="J121" s="34"/>
      <c r="K121" s="46">
        <f t="shared" ca="1" si="15"/>
        <v>0</v>
      </c>
      <c r="L121" s="46"/>
      <c r="M121" s="46">
        <f ca="1">IFERROR(IF(C121="","",IF($C$10=Parâmetros!$C$3,0,VLOOKUP(A121,'Base de Dados'!$E$3:$G$422,3,FALSE)*S121)),0)</f>
        <v>207.54754323084364</v>
      </c>
      <c r="N121" s="34"/>
      <c r="O121" s="46">
        <f ca="1">IF(C121="","",IF(C122="",0,IF(E121="Construção",0,IF(E121="Seguro",$C$17*'Base de Dados'!$C$2,IF($C$14=Parâmetros!$B$4,0,Simulador!$C$17*'Base de Dados'!$C$2)))))</f>
        <v>75</v>
      </c>
      <c r="P121" s="46"/>
      <c r="Q121" s="46">
        <f ca="1">IF(C121="","",IF(E121&lt;&gt;"Retorno",(I121+K121+M121),IF($G$20=Parâmetros!$D$2,SUM(G121,I121,K121,M121,O121),PMT($O$25,SUM($G$17),($O$10)*-1)+O121+M121+K121)))</f>
        <v>9158.0764328385067</v>
      </c>
      <c r="R121" s="46"/>
      <c r="S121" s="46">
        <f t="shared" ca="1" si="16"/>
        <v>654930.71388716833</v>
      </c>
      <c r="U121" s="15" t="str">
        <f t="shared" ca="1" si="17"/>
        <v/>
      </c>
    </row>
    <row r="122" spans="1:21" x14ac:dyDescent="0.3">
      <c r="A122" s="49">
        <f t="shared" ca="1" si="10"/>
        <v>48873</v>
      </c>
      <c r="B122" s="49" t="str">
        <f t="shared" ca="1" si="11"/>
        <v/>
      </c>
      <c r="C122" s="81">
        <f t="shared" ca="1" si="12"/>
        <v>89</v>
      </c>
      <c r="D122" s="34">
        <f t="shared" ca="1" si="13"/>
        <v>89</v>
      </c>
      <c r="E122" s="4" t="str">
        <f t="shared" ca="1" si="14"/>
        <v>Retorno</v>
      </c>
      <c r="G122" s="46">
        <f ca="1">IF(C122="","",IF(E122&lt;&gt;"Retorno",0,IF($G$20=Parâmetros!$D$2,Simulador!$O$10/$G$17,IF($G$20=Parâmetros!$D$3,PMT($O$25,$G$17,($O$10)*-1)-I122,""))))</f>
        <v>1689.9818053527524</v>
      </c>
      <c r="H122" s="46"/>
      <c r="I122" s="46">
        <f t="shared" ca="1" si="9"/>
        <v>7185.5470842549112</v>
      </c>
      <c r="J122" s="34"/>
      <c r="K122" s="46">
        <f t="shared" ca="1" si="15"/>
        <v>0</v>
      </c>
      <c r="L122" s="46"/>
      <c r="M122" s="46">
        <f ca="1">IFERROR(IF(C122="","",IF($C$10=Parâmetros!$C$3,0,VLOOKUP(A122,'Base de Dados'!$E$3:$G$422,3,FALSE)*S122)),0)</f>
        <v>207.01198799672736</v>
      </c>
      <c r="N122" s="34"/>
      <c r="O122" s="46">
        <f ca="1">IF(C122="","",IF(C123="",0,IF(E122="Construção",0,IF(E122="Seguro",$C$17*'Base de Dados'!$C$2,IF($C$14=Parâmetros!$B$4,0,Simulador!$C$17*'Base de Dados'!$C$2)))))</f>
        <v>75</v>
      </c>
      <c r="P122" s="46"/>
      <c r="Q122" s="46">
        <f ca="1">IF(C122="","",IF(E122&lt;&gt;"Retorno",(I122+K122+M122),IF($G$20=Parâmetros!$D$2,SUM(G122,I122,K122,M122,O122),PMT($O$25,SUM($G$17),($O$10)*-1)+O122+M122+K122)))</f>
        <v>9157.5408776043914</v>
      </c>
      <c r="R122" s="46"/>
      <c r="S122" s="46">
        <f t="shared" ca="1" si="16"/>
        <v>653240.7320818156</v>
      </c>
      <c r="U122" s="15" t="str">
        <f t="shared" ca="1" si="17"/>
        <v/>
      </c>
    </row>
    <row r="123" spans="1:21" x14ac:dyDescent="0.3">
      <c r="A123" s="49">
        <f t="shared" ca="1" si="10"/>
        <v>48904</v>
      </c>
      <c r="B123" s="49" t="str">
        <f t="shared" ca="1" si="11"/>
        <v/>
      </c>
      <c r="C123" s="81">
        <f t="shared" ca="1" si="12"/>
        <v>90</v>
      </c>
      <c r="D123" s="34">
        <f t="shared" ca="1" si="13"/>
        <v>90</v>
      </c>
      <c r="E123" s="4" t="str">
        <f t="shared" ca="1" si="14"/>
        <v>Retorno</v>
      </c>
      <c r="G123" s="46">
        <f ca="1">IF(C123="","",IF(E123&lt;&gt;"Retorno",0,IF($G$20=Parâmetros!$D$2,Simulador!$O$10/$G$17,IF($G$20=Parâmetros!$D$3,PMT($O$25,$G$17,($O$10)*-1)-I123,""))))</f>
        <v>1708.5233755926856</v>
      </c>
      <c r="H123" s="46"/>
      <c r="I123" s="46">
        <f t="shared" ca="1" si="9"/>
        <v>7167.005514014978</v>
      </c>
      <c r="J123" s="34"/>
      <c r="K123" s="46">
        <f t="shared" ca="1" si="15"/>
        <v>0</v>
      </c>
      <c r="L123" s="46"/>
      <c r="M123" s="46">
        <f ca="1">IFERROR(IF(C123="","",IF($C$10=Parâmetros!$C$3,0,VLOOKUP(A123,'Base de Dados'!$E$3:$G$422,3,FALSE)*S123)),0)</f>
        <v>206.47055693900205</v>
      </c>
      <c r="N123" s="34"/>
      <c r="O123" s="46">
        <f ca="1">IF(C123="","",IF(C124="",0,IF(E123="Construção",0,IF(E123="Seguro",$C$17*'Base de Dados'!$C$2,IF($C$14=Parâmetros!$B$4,0,Simulador!$C$17*'Base de Dados'!$C$2)))))</f>
        <v>75</v>
      </c>
      <c r="P123" s="46"/>
      <c r="Q123" s="46">
        <f ca="1">IF(C123="","",IF(E123&lt;&gt;"Retorno",(I123+K123+M123),IF($G$20=Parâmetros!$D$2,SUM(G123,I123,K123,M123,O123),PMT($O$25,SUM($G$17),($O$10)*-1)+O123+M123+K123)))</f>
        <v>9156.9994465466661</v>
      </c>
      <c r="R123" s="46"/>
      <c r="S123" s="46">
        <f t="shared" ca="1" si="16"/>
        <v>651532.20870622294</v>
      </c>
      <c r="U123" s="15" t="str">
        <f t="shared" ca="1" si="17"/>
        <v/>
      </c>
    </row>
    <row r="124" spans="1:21" x14ac:dyDescent="0.3">
      <c r="A124" s="49">
        <f t="shared" ca="1" si="10"/>
        <v>48934</v>
      </c>
      <c r="B124" s="49" t="str">
        <f t="shared" ca="1" si="11"/>
        <v/>
      </c>
      <c r="C124" s="81">
        <f t="shared" ca="1" si="12"/>
        <v>91</v>
      </c>
      <c r="D124" s="34">
        <f t="shared" ca="1" si="13"/>
        <v>91</v>
      </c>
      <c r="E124" s="4" t="str">
        <f t="shared" ca="1" si="14"/>
        <v>Retorno</v>
      </c>
      <c r="G124" s="46">
        <f ca="1">IF(C124="","",IF(E124&lt;&gt;"Retorno",0,IF($G$20=Parâmetros!$D$2,Simulador!$O$10/$G$17,IF($G$20=Parâmetros!$D$3,PMT($O$25,$G$17,($O$10)*-1)-I124,""))))</f>
        <v>1727.268373955998</v>
      </c>
      <c r="H124" s="46"/>
      <c r="I124" s="46">
        <f t="shared" ca="1" si="9"/>
        <v>7148.2605156516656</v>
      </c>
      <c r="J124" s="34"/>
      <c r="K124" s="46">
        <f t="shared" ca="1" si="15"/>
        <v>0</v>
      </c>
      <c r="L124" s="46"/>
      <c r="M124" s="46">
        <f ca="1">IFERROR(IF(C124="","",IF($C$10=Parâmetros!$C$3,0,VLOOKUP(A124,'Base de Dados'!$E$3:$G$422,3,FALSE)*S124)),0)</f>
        <v>205.92318559129541</v>
      </c>
      <c r="N124" s="34"/>
      <c r="O124" s="46">
        <f ca="1">IF(C124="","",IF(C125="",0,IF(E124="Construção",0,IF(E124="Seguro",$C$17*'Base de Dados'!$C$2,IF($C$14=Parâmetros!$B$4,0,Simulador!$C$17*'Base de Dados'!$C$2)))))</f>
        <v>75</v>
      </c>
      <c r="P124" s="46"/>
      <c r="Q124" s="46">
        <f ca="1">IF(C124="","",IF(E124&lt;&gt;"Retorno",(I124+K124+M124),IF($G$20=Parâmetros!$D$2,SUM(G124,I124,K124,M124,O124),PMT($O$25,SUM($G$17),($O$10)*-1)+O124+M124+K124)))</f>
        <v>9156.4520751989585</v>
      </c>
      <c r="R124" s="46"/>
      <c r="S124" s="46">
        <f t="shared" ca="1" si="16"/>
        <v>649804.94033226697</v>
      </c>
      <c r="U124" s="15" t="str">
        <f t="shared" ca="1" si="17"/>
        <v/>
      </c>
    </row>
    <row r="125" spans="1:21" x14ac:dyDescent="0.3">
      <c r="A125" s="49">
        <f t="shared" ca="1" si="10"/>
        <v>48965</v>
      </c>
      <c r="B125" s="49" t="str">
        <f t="shared" ca="1" si="11"/>
        <v/>
      </c>
      <c r="C125" s="81">
        <f t="shared" ca="1" si="12"/>
        <v>92</v>
      </c>
      <c r="D125" s="34">
        <f t="shared" ca="1" si="13"/>
        <v>92</v>
      </c>
      <c r="E125" s="4" t="str">
        <f t="shared" ca="1" si="14"/>
        <v>Retorno</v>
      </c>
      <c r="G125" s="46">
        <f ca="1">IF(C125="","",IF(E125&lt;&gt;"Retorno",0,IF($G$20=Parâmetros!$D$2,Simulador!$O$10/$G$17,IF($G$20=Parâmetros!$D$3,PMT($O$25,$G$17,($O$10)*-1)-I125,""))))</f>
        <v>1746.2190323462964</v>
      </c>
      <c r="H125" s="46"/>
      <c r="I125" s="46">
        <f t="shared" ca="1" si="9"/>
        <v>7129.3098572613671</v>
      </c>
      <c r="J125" s="34"/>
      <c r="K125" s="46">
        <f t="shared" ca="1" si="15"/>
        <v>0</v>
      </c>
      <c r="L125" s="46"/>
      <c r="M125" s="46">
        <f ca="1">IFERROR(IF(C125="","",IF($C$10=Parâmetros!$C$3,0,VLOOKUP(A125,'Base de Dados'!$E$3:$G$422,3,FALSE)*S125)),0)</f>
        <v>205.36980877994486</v>
      </c>
      <c r="N125" s="34"/>
      <c r="O125" s="46">
        <f ca="1">IF(C125="","",IF(C126="",0,IF(E125="Construção",0,IF(E125="Seguro",$C$17*'Base de Dados'!$C$2,IF($C$14=Parâmetros!$B$4,0,Simulador!$C$17*'Base de Dados'!$C$2)))))</f>
        <v>75</v>
      </c>
      <c r="P125" s="46"/>
      <c r="Q125" s="46">
        <f ca="1">IF(C125="","",IF(E125&lt;&gt;"Retorno",(I125+K125+M125),IF($G$20=Parâmetros!$D$2,SUM(G125,I125,K125,M125,O125),PMT($O$25,SUM($G$17),($O$10)*-1)+O125+M125+K125)))</f>
        <v>9155.8986983876093</v>
      </c>
      <c r="R125" s="46"/>
      <c r="S125" s="46">
        <f t="shared" ca="1" si="16"/>
        <v>648058.7212999207</v>
      </c>
      <c r="U125" s="15" t="str">
        <f t="shared" ca="1" si="17"/>
        <v/>
      </c>
    </row>
    <row r="126" spans="1:21" x14ac:dyDescent="0.3">
      <c r="A126" s="49">
        <f t="shared" ca="1" si="10"/>
        <v>48996</v>
      </c>
      <c r="B126" s="49" t="str">
        <f t="shared" ca="1" si="11"/>
        <v/>
      </c>
      <c r="C126" s="81">
        <f t="shared" ca="1" si="12"/>
        <v>93</v>
      </c>
      <c r="D126" s="34">
        <f t="shared" ca="1" si="13"/>
        <v>93</v>
      </c>
      <c r="E126" s="4" t="str">
        <f t="shared" ca="1" si="14"/>
        <v>Retorno</v>
      </c>
      <c r="G126" s="46">
        <f ca="1">IF(C126="","",IF(E126&lt;&gt;"Retorno",0,IF($G$20=Parâmetros!$D$2,Simulador!$O$10/$G$17,IF($G$20=Parâmetros!$D$3,PMT($O$25,$G$17,($O$10)*-1)-I126,""))))</f>
        <v>1765.3776071548018</v>
      </c>
      <c r="H126" s="46"/>
      <c r="I126" s="46">
        <f t="shared" ca="1" si="9"/>
        <v>7110.1512824528618</v>
      </c>
      <c r="J126" s="34"/>
      <c r="K126" s="46">
        <f t="shared" ca="1" si="15"/>
        <v>0</v>
      </c>
      <c r="L126" s="46"/>
      <c r="M126" s="46">
        <f ca="1">IFERROR(IF(C126="","",IF($C$10=Parâmetros!$C$3,0,VLOOKUP(A126,'Base de Dados'!$E$3:$G$422,3,FALSE)*S126)),0)</f>
        <v>204.81036061623752</v>
      </c>
      <c r="N126" s="34"/>
      <c r="O126" s="46">
        <f ca="1">IF(C126="","",IF(C127="",0,IF(E126="Construção",0,IF(E126="Seguro",$C$17*'Base de Dados'!$C$2,IF($C$14=Parâmetros!$B$4,0,Simulador!$C$17*'Base de Dados'!$C$2)))))</f>
        <v>75</v>
      </c>
      <c r="P126" s="46"/>
      <c r="Q126" s="46">
        <f ca="1">IF(C126="","",IF(E126&lt;&gt;"Retorno",(I126+K126+M126),IF($G$20=Parâmetros!$D$2,SUM(G126,I126,K126,M126,O126),PMT($O$25,SUM($G$17),($O$10)*-1)+O126+M126+K126)))</f>
        <v>9155.3392502239003</v>
      </c>
      <c r="R126" s="46"/>
      <c r="S126" s="46">
        <f t="shared" ca="1" si="16"/>
        <v>646293.34369276592</v>
      </c>
      <c r="U126" s="15" t="str">
        <f t="shared" ca="1" si="17"/>
        <v/>
      </c>
    </row>
    <row r="127" spans="1:21" x14ac:dyDescent="0.3">
      <c r="A127" s="49">
        <f t="shared" ca="1" si="10"/>
        <v>49024</v>
      </c>
      <c r="B127" s="49" t="str">
        <f t="shared" ca="1" si="11"/>
        <v/>
      </c>
      <c r="C127" s="81">
        <f t="shared" ca="1" si="12"/>
        <v>94</v>
      </c>
      <c r="D127" s="34">
        <f t="shared" ca="1" si="13"/>
        <v>94</v>
      </c>
      <c r="E127" s="4" t="str">
        <f t="shared" ca="1" si="14"/>
        <v>Retorno</v>
      </c>
      <c r="G127" s="46">
        <f ca="1">IF(C127="","",IF(E127&lt;&gt;"Retorno",0,IF($G$20=Parâmetros!$D$2,Simulador!$O$10/$G$17,IF($G$20=Parâmetros!$D$3,PMT($O$25,$G$17,($O$10)*-1)-I127,""))))</f>
        <v>1784.7463795282201</v>
      </c>
      <c r="H127" s="46"/>
      <c r="I127" s="46">
        <f t="shared" ca="1" si="9"/>
        <v>7090.7825100794435</v>
      </c>
      <c r="J127" s="34"/>
      <c r="K127" s="46">
        <f t="shared" ca="1" si="15"/>
        <v>0</v>
      </c>
      <c r="L127" s="46"/>
      <c r="M127" s="46">
        <f ca="1">IFERROR(IF(C127="","",IF($C$10=Parâmetros!$C$3,0,VLOOKUP(A127,'Base de Dados'!$E$3:$G$422,3,FALSE)*S127)),0)</f>
        <v>204.24477448856504</v>
      </c>
      <c r="N127" s="34"/>
      <c r="O127" s="46">
        <f ca="1">IF(C127="","",IF(C128="",0,IF(E127="Construção",0,IF(E127="Seguro",$C$17*'Base de Dados'!$C$2,IF($C$14=Parâmetros!$B$4,0,Simulador!$C$17*'Base de Dados'!$C$2)))))</f>
        <v>75</v>
      </c>
      <c r="P127" s="46"/>
      <c r="Q127" s="46">
        <f ca="1">IF(C127="","",IF(E127&lt;&gt;"Retorno",(I127+K127+M127),IF($G$20=Parâmetros!$D$2,SUM(G127,I127,K127,M127,O127),PMT($O$25,SUM($G$17),($O$10)*-1)+O127+M127+K127)))</f>
        <v>9154.7736640962285</v>
      </c>
      <c r="R127" s="46"/>
      <c r="S127" s="46">
        <f t="shared" ca="1" si="16"/>
        <v>644508.59731323773</v>
      </c>
      <c r="U127" s="15" t="str">
        <f t="shared" ca="1" si="17"/>
        <v/>
      </c>
    </row>
    <row r="128" spans="1:21" x14ac:dyDescent="0.3">
      <c r="A128" s="49">
        <f t="shared" ca="1" si="10"/>
        <v>49055</v>
      </c>
      <c r="B128" s="49" t="str">
        <f t="shared" ca="1" si="11"/>
        <v/>
      </c>
      <c r="C128" s="81">
        <f t="shared" ca="1" si="12"/>
        <v>95</v>
      </c>
      <c r="D128" s="34">
        <f t="shared" ca="1" si="13"/>
        <v>95</v>
      </c>
      <c r="E128" s="4" t="str">
        <f t="shared" ca="1" si="14"/>
        <v>Retorno</v>
      </c>
      <c r="G128" s="46">
        <f ca="1">IF(C128="","",IF(E128&lt;&gt;"Retorno",0,IF($G$20=Parâmetros!$D$2,Simulador!$O$10/$G$17,IF($G$20=Parâmetros!$D$3,PMT($O$25,$G$17,($O$10)*-1)-I128,""))))</f>
        <v>1804.3276556413875</v>
      </c>
      <c r="H128" s="46"/>
      <c r="I128" s="46">
        <f t="shared" ca="1" si="9"/>
        <v>7071.201233966276</v>
      </c>
      <c r="J128" s="34"/>
      <c r="K128" s="46">
        <f t="shared" ca="1" si="15"/>
        <v>0</v>
      </c>
      <c r="L128" s="46"/>
      <c r="M128" s="46">
        <f ca="1">IFERROR(IF(C128="","",IF($C$10=Parâmetros!$C$3,0,VLOOKUP(A128,'Base de Dados'!$E$3:$G$422,3,FALSE)*S128)),0)</f>
        <v>203.67298305449228</v>
      </c>
      <c r="N128" s="34"/>
      <c r="O128" s="46">
        <f ca="1">IF(C128="","",IF(C129="",0,IF(E128="Construção",0,IF(E128="Seguro",$C$17*'Base de Dados'!$C$2,IF($C$14=Parâmetros!$B$4,0,Simulador!$C$17*'Base de Dados'!$C$2)))))</f>
        <v>75</v>
      </c>
      <c r="P128" s="46"/>
      <c r="Q128" s="46">
        <f ca="1">IF(C128="","",IF(E128&lt;&gt;"Retorno",(I128+K128+M128),IF($G$20=Parâmetros!$D$2,SUM(G128,I128,K128,M128,O128),PMT($O$25,SUM($G$17),($O$10)*-1)+O128+M128+K128)))</f>
        <v>9154.2018726621554</v>
      </c>
      <c r="R128" s="46"/>
      <c r="S128" s="46">
        <f t="shared" ca="1" si="16"/>
        <v>642704.26965759636</v>
      </c>
      <c r="U128" s="15" t="str">
        <f t="shared" ca="1" si="17"/>
        <v/>
      </c>
    </row>
    <row r="129" spans="1:21" x14ac:dyDescent="0.3">
      <c r="A129" s="49">
        <f t="shared" ca="1" si="10"/>
        <v>49085</v>
      </c>
      <c r="B129" s="49" t="str">
        <f t="shared" ca="1" si="11"/>
        <v/>
      </c>
      <c r="C129" s="81">
        <f t="shared" ca="1" si="12"/>
        <v>96</v>
      </c>
      <c r="D129" s="34">
        <f t="shared" ca="1" si="13"/>
        <v>96</v>
      </c>
      <c r="E129" s="4" t="str">
        <f t="shared" ca="1" si="14"/>
        <v>Retorno</v>
      </c>
      <c r="G129" s="46">
        <f ca="1">IF(C129="","",IF(E129&lt;&gt;"Retorno",0,IF($G$20=Parâmetros!$D$2,Simulador!$O$10/$G$17,IF($G$20=Parâmetros!$D$3,PMT($O$25,$G$17,($O$10)*-1)-I129,""))))</f>
        <v>1824.1237669704969</v>
      </c>
      <c r="H129" s="46"/>
      <c r="I129" s="46">
        <f t="shared" ca="1" si="9"/>
        <v>7051.4051226371666</v>
      </c>
      <c r="J129" s="34"/>
      <c r="K129" s="46">
        <f t="shared" ca="1" si="15"/>
        <v>0</v>
      </c>
      <c r="L129" s="46"/>
      <c r="M129" s="46">
        <f ca="1">IFERROR(IF(C129="","",IF($C$10=Parâmetros!$C$3,0,VLOOKUP(A129,'Base de Dados'!$E$3:$G$422,3,FALSE)*S129)),0)</f>
        <v>203.09491823273936</v>
      </c>
      <c r="N129" s="34"/>
      <c r="O129" s="46">
        <f ca="1">IF(C129="","",IF(C130="",0,IF(E129="Construção",0,IF(E129="Seguro",$C$17*'Base de Dados'!$C$2,IF($C$14=Parâmetros!$B$4,0,Simulador!$C$17*'Base de Dados'!$C$2)))))</f>
        <v>75</v>
      </c>
      <c r="P129" s="46"/>
      <c r="Q129" s="46">
        <f ca="1">IF(C129="","",IF(E129&lt;&gt;"Retorno",(I129+K129+M129),IF($G$20=Parâmetros!$D$2,SUM(G129,I129,K129,M129,O129),PMT($O$25,SUM($G$17),($O$10)*-1)+O129+M129+K129)))</f>
        <v>9153.6238078404022</v>
      </c>
      <c r="R129" s="46"/>
      <c r="S129" s="46">
        <f t="shared" ca="1" si="16"/>
        <v>640880.14589062589</v>
      </c>
      <c r="U129" s="15" t="str">
        <f t="shared" ca="1" si="17"/>
        <v/>
      </c>
    </row>
    <row r="130" spans="1:21" x14ac:dyDescent="0.3">
      <c r="A130" s="49">
        <f t="shared" ca="1" si="10"/>
        <v>49116</v>
      </c>
      <c r="B130" s="49" t="str">
        <f t="shared" ca="1" si="11"/>
        <v/>
      </c>
      <c r="C130" s="81">
        <f t="shared" ca="1" si="12"/>
        <v>97</v>
      </c>
      <c r="D130" s="34">
        <f t="shared" ca="1" si="13"/>
        <v>97</v>
      </c>
      <c r="E130" s="4" t="str">
        <f t="shared" ca="1" si="14"/>
        <v>Retorno</v>
      </c>
      <c r="G130" s="46">
        <f ca="1">IF(C130="","",IF(E130&lt;&gt;"Retorno",0,IF($G$20=Parâmetros!$D$2,Simulador!$O$10/$G$17,IF($G$20=Parâmetros!$D$3,PMT($O$25,$G$17,($O$10)*-1)-I130,""))))</f>
        <v>1844.137070572262</v>
      </c>
      <c r="H130" s="46"/>
      <c r="I130" s="46">
        <f t="shared" ca="1" si="9"/>
        <v>7031.3918190354016</v>
      </c>
      <c r="J130" s="34"/>
      <c r="K130" s="46">
        <f t="shared" ca="1" si="15"/>
        <v>0</v>
      </c>
      <c r="L130" s="46"/>
      <c r="M130" s="46">
        <f ca="1">IFERROR(IF(C130="","",IF($C$10=Parâmetros!$C$3,0,VLOOKUP(A130,'Base de Dados'!$E$3:$G$422,3,FALSE)*S130)),0)</f>
        <v>202.510511195075</v>
      </c>
      <c r="N130" s="34"/>
      <c r="O130" s="46">
        <f ca="1">IF(C130="","",IF(C131="",0,IF(E130="Construção",0,IF(E130="Seguro",$C$17*'Base de Dados'!$C$2,IF($C$14=Parâmetros!$B$4,0,Simulador!$C$17*'Base de Dados'!$C$2)))))</f>
        <v>75</v>
      </c>
      <c r="P130" s="46"/>
      <c r="Q130" s="46">
        <f ca="1">IF(C130="","",IF(E130&lt;&gt;"Retorno",(I130+K130+M130),IF($G$20=Parâmetros!$D$2,SUM(G130,I130,K130,M130,O130),PMT($O$25,SUM($G$17),($O$10)*-1)+O130+M130+K130)))</f>
        <v>9153.0394008027379</v>
      </c>
      <c r="R130" s="46"/>
      <c r="S130" s="46">
        <f t="shared" ca="1" si="16"/>
        <v>639036.00882005366</v>
      </c>
      <c r="U130" s="15" t="str">
        <f t="shared" ca="1" si="17"/>
        <v/>
      </c>
    </row>
    <row r="131" spans="1:21" x14ac:dyDescent="0.3">
      <c r="A131" s="49">
        <f t="shared" ca="1" si="10"/>
        <v>49146</v>
      </c>
      <c r="B131" s="49" t="str">
        <f t="shared" ca="1" si="11"/>
        <v/>
      </c>
      <c r="C131" s="81">
        <f t="shared" ca="1" si="12"/>
        <v>98</v>
      </c>
      <c r="D131" s="34">
        <f t="shared" ca="1" si="13"/>
        <v>98</v>
      </c>
      <c r="E131" s="4" t="str">
        <f t="shared" ca="1" si="14"/>
        <v>Retorno</v>
      </c>
      <c r="G131" s="46">
        <f ca="1">IF(C131="","",IF(E131&lt;&gt;"Retorno",0,IF($G$20=Parâmetros!$D$2,Simulador!$O$10/$G$17,IF($G$20=Parâmetros!$D$3,PMT($O$25,$G$17,($O$10)*-1)-I131,""))))</f>
        <v>1864.3699493629647</v>
      </c>
      <c r="H131" s="46"/>
      <c r="I131" s="46">
        <f t="shared" ca="1" si="9"/>
        <v>7011.1589402446989</v>
      </c>
      <c r="J131" s="34"/>
      <c r="K131" s="46">
        <f t="shared" ca="1" si="15"/>
        <v>0</v>
      </c>
      <c r="L131" s="46"/>
      <c r="M131" s="46">
        <f ca="1">IFERROR(IF(C131="","",IF($C$10=Parâmetros!$C$3,0,VLOOKUP(A131,'Base de Dados'!$E$3:$G$422,3,FALSE)*S131)),0)</f>
        <v>201.91969235812189</v>
      </c>
      <c r="N131" s="34"/>
      <c r="O131" s="46">
        <f ca="1">IF(C131="","",IF(C132="",0,IF(E131="Construção",0,IF(E131="Seguro",$C$17*'Base de Dados'!$C$2,IF($C$14=Parâmetros!$B$4,0,Simulador!$C$17*'Base de Dados'!$C$2)))))</f>
        <v>75</v>
      </c>
      <c r="P131" s="46"/>
      <c r="Q131" s="46">
        <f ca="1">IF(C131="","",IF(E131&lt;&gt;"Retorno",(I131+K131+M131),IF($G$20=Parâmetros!$D$2,SUM(G131,I131,K131,M131,O131),PMT($O$25,SUM($G$17),($O$10)*-1)+O131+M131+K131)))</f>
        <v>9152.4485819657857</v>
      </c>
      <c r="R131" s="46"/>
      <c r="S131" s="46">
        <f t="shared" ca="1" si="16"/>
        <v>637171.63887069072</v>
      </c>
      <c r="U131" s="15" t="str">
        <f t="shared" ca="1" si="17"/>
        <v/>
      </c>
    </row>
    <row r="132" spans="1:21" x14ac:dyDescent="0.3">
      <c r="A132" s="49">
        <f t="shared" ca="1" si="10"/>
        <v>49177</v>
      </c>
      <c r="B132" s="49" t="str">
        <f t="shared" ca="1" si="11"/>
        <v/>
      </c>
      <c r="C132" s="81">
        <f t="shared" ca="1" si="12"/>
        <v>99</v>
      </c>
      <c r="D132" s="34">
        <f t="shared" ca="1" si="13"/>
        <v>99</v>
      </c>
      <c r="E132" s="4" t="str">
        <f t="shared" ca="1" si="14"/>
        <v>Retorno</v>
      </c>
      <c r="G132" s="46">
        <f ca="1">IF(C132="","",IF(E132&lt;&gt;"Retorno",0,IF($G$20=Parâmetros!$D$2,Simulador!$O$10/$G$17,IF($G$20=Parâmetros!$D$3,PMT($O$25,$G$17,($O$10)*-1)-I132,""))))</f>
        <v>1884.8248124035563</v>
      </c>
      <c r="H132" s="46"/>
      <c r="I132" s="46">
        <f t="shared" ca="1" si="9"/>
        <v>6990.7040772041073</v>
      </c>
      <c r="J132" s="34"/>
      <c r="K132" s="46">
        <f t="shared" ca="1" si="15"/>
        <v>0</v>
      </c>
      <c r="L132" s="46"/>
      <c r="M132" s="46">
        <f ca="1">IFERROR(IF(C132="","",IF($C$10=Parâmetros!$C$3,0,VLOOKUP(A132,'Base de Dados'!$E$3:$G$422,3,FALSE)*S132)),0)</f>
        <v>201.32239137507122</v>
      </c>
      <c r="N132" s="34"/>
      <c r="O132" s="46">
        <f ca="1">IF(C132="","",IF(C133="",0,IF(E132="Construção",0,IF(E132="Seguro",$C$17*'Base de Dados'!$C$2,IF($C$14=Parâmetros!$B$4,0,Simulador!$C$17*'Base de Dados'!$C$2)))))</f>
        <v>75</v>
      </c>
      <c r="P132" s="46"/>
      <c r="Q132" s="46">
        <f ca="1">IF(C132="","",IF(E132&lt;&gt;"Retorno",(I132+K132+M132),IF($G$20=Parâmetros!$D$2,SUM(G132,I132,K132,M132,O132),PMT($O$25,SUM($G$17),($O$10)*-1)+O132+M132+K132)))</f>
        <v>9151.8512809827353</v>
      </c>
      <c r="R132" s="46"/>
      <c r="S132" s="46">
        <f t="shared" ca="1" si="16"/>
        <v>635286.81405828719</v>
      </c>
      <c r="U132" s="15" t="str">
        <f t="shared" ca="1" si="17"/>
        <v/>
      </c>
    </row>
    <row r="133" spans="1:21" x14ac:dyDescent="0.3">
      <c r="A133" s="49">
        <f t="shared" ca="1" si="10"/>
        <v>49208</v>
      </c>
      <c r="B133" s="49" t="str">
        <f t="shared" ca="1" si="11"/>
        <v/>
      </c>
      <c r="C133" s="81">
        <f t="shared" ca="1" si="12"/>
        <v>100</v>
      </c>
      <c r="D133" s="34">
        <f t="shared" ca="1" si="13"/>
        <v>100</v>
      </c>
      <c r="E133" s="4" t="str">
        <f t="shared" ca="1" si="14"/>
        <v>Retorno</v>
      </c>
      <c r="G133" s="46">
        <f ca="1">IF(C133="","",IF(E133&lt;&gt;"Retorno",0,IF($G$20=Parâmetros!$D$2,Simulador!$O$10/$G$17,IF($G$20=Parâmetros!$D$3,PMT($O$25,$G$17,($O$10)*-1)-I133,""))))</f>
        <v>1905.5040951855735</v>
      </c>
      <c r="H133" s="46"/>
      <c r="I133" s="46">
        <f t="shared" ca="1" si="9"/>
        <v>6970.0247944220901</v>
      </c>
      <c r="J133" s="34"/>
      <c r="K133" s="46">
        <f t="shared" ca="1" si="15"/>
        <v>0</v>
      </c>
      <c r="L133" s="46"/>
      <c r="M133" s="46">
        <f ca="1">IFERROR(IF(C133="","",IF($C$10=Parâmetros!$C$3,0,VLOOKUP(A133,'Base de Dados'!$E$3:$G$422,3,FALSE)*S133)),0)</f>
        <v>275.64754609594183</v>
      </c>
      <c r="N133" s="34"/>
      <c r="O133" s="46">
        <f ca="1">IF(C133="","",IF(C134="",0,IF(E133="Construção",0,IF(E133="Seguro",$C$17*'Base de Dados'!$C$2,IF($C$14=Parâmetros!$B$4,0,Simulador!$C$17*'Base de Dados'!$C$2)))))</f>
        <v>75</v>
      </c>
      <c r="P133" s="46"/>
      <c r="Q133" s="46">
        <f ca="1">IF(C133="","",IF(E133&lt;&gt;"Retorno",(I133+K133+M133),IF($G$20=Parâmetros!$D$2,SUM(G133,I133,K133,M133,O133),PMT($O$25,SUM($G$17),($O$10)*-1)+O133+M133+K133)))</f>
        <v>9226.1764357036045</v>
      </c>
      <c r="R133" s="46"/>
      <c r="S133" s="46">
        <f t="shared" ca="1" si="16"/>
        <v>633381.30996310164</v>
      </c>
      <c r="U133" s="15" t="str">
        <f t="shared" ca="1" si="17"/>
        <v/>
      </c>
    </row>
    <row r="134" spans="1:21" x14ac:dyDescent="0.3">
      <c r="A134" s="49">
        <f t="shared" ca="1" si="10"/>
        <v>49238</v>
      </c>
      <c r="B134" s="49" t="str">
        <f t="shared" ca="1" si="11"/>
        <v/>
      </c>
      <c r="C134" s="81">
        <f t="shared" ca="1" si="12"/>
        <v>101</v>
      </c>
      <c r="D134" s="34">
        <f t="shared" ca="1" si="13"/>
        <v>101</v>
      </c>
      <c r="E134" s="4" t="str">
        <f t="shared" ca="1" si="14"/>
        <v>Retorno</v>
      </c>
      <c r="G134" s="46">
        <f ca="1">IF(C134="","",IF(E134&lt;&gt;"Retorno",0,IF($G$20=Parâmetros!$D$2,Simulador!$O$10/$G$17,IF($G$20=Parâmetros!$D$3,PMT($O$25,$G$17,($O$10)*-1)-I134,""))))</f>
        <v>1926.4102599215948</v>
      </c>
      <c r="H134" s="46"/>
      <c r="I134" s="46">
        <f t="shared" ca="1" si="9"/>
        <v>6949.1186296860687</v>
      </c>
      <c r="J134" s="34"/>
      <c r="K134" s="46">
        <f t="shared" ca="1" si="15"/>
        <v>0</v>
      </c>
      <c r="L134" s="46"/>
      <c r="M134" s="46">
        <f ca="1">IFERROR(IF(C134="","",IF($C$10=Parâmetros!$C$3,0,VLOOKUP(A134,'Base de Dados'!$E$3:$G$422,3,FALSE)*S134)),0)</f>
        <v>274.80917235082399</v>
      </c>
      <c r="N134" s="34"/>
      <c r="O134" s="46">
        <f ca="1">IF(C134="","",IF(C135="",0,IF(E134="Construção",0,IF(E134="Seguro",$C$17*'Base de Dados'!$C$2,IF($C$14=Parâmetros!$B$4,0,Simulador!$C$17*'Base de Dados'!$C$2)))))</f>
        <v>75</v>
      </c>
      <c r="P134" s="46"/>
      <c r="Q134" s="46">
        <f ca="1">IF(C134="","",IF(E134&lt;&gt;"Retorno",(I134+K134+M134),IF($G$20=Parâmetros!$D$2,SUM(G134,I134,K134,M134,O134),PMT($O$25,SUM($G$17),($O$10)*-1)+O134+M134+K134)))</f>
        <v>9225.3380619584877</v>
      </c>
      <c r="R134" s="46"/>
      <c r="S134" s="46">
        <f t="shared" ca="1" si="16"/>
        <v>631454.89970318007</v>
      </c>
      <c r="U134" s="15" t="str">
        <f t="shared" ca="1" si="17"/>
        <v/>
      </c>
    </row>
    <row r="135" spans="1:21" x14ac:dyDescent="0.3">
      <c r="A135" s="49">
        <f t="shared" ca="1" si="10"/>
        <v>49269</v>
      </c>
      <c r="B135" s="49" t="str">
        <f t="shared" ca="1" si="11"/>
        <v/>
      </c>
      <c r="C135" s="81">
        <f t="shared" ca="1" si="12"/>
        <v>102</v>
      </c>
      <c r="D135" s="34">
        <f t="shared" ca="1" si="13"/>
        <v>102</v>
      </c>
      <c r="E135" s="4" t="str">
        <f t="shared" ca="1" si="14"/>
        <v>Retorno</v>
      </c>
      <c r="G135" s="46">
        <f ca="1">IF(C135="","",IF(E135&lt;&gt;"Retorno",0,IF($G$20=Parâmetros!$D$2,Simulador!$O$10/$G$17,IF($G$20=Parâmetros!$D$3,PMT($O$25,$G$17,($O$10)*-1)-I135,""))))</f>
        <v>1947.5457958381412</v>
      </c>
      <c r="H135" s="46"/>
      <c r="I135" s="46">
        <f t="shared" ca="1" si="9"/>
        <v>6927.9830937695224</v>
      </c>
      <c r="J135" s="34"/>
      <c r="K135" s="46">
        <f t="shared" ca="1" si="15"/>
        <v>0</v>
      </c>
      <c r="L135" s="46"/>
      <c r="M135" s="46">
        <f ca="1">IFERROR(IF(C135="","",IF($C$10=Parâmetros!$C$3,0,VLOOKUP(A135,'Base de Dados'!$E$3:$G$422,3,FALSE)*S135)),0)</f>
        <v>273.96160042047524</v>
      </c>
      <c r="N135" s="34"/>
      <c r="O135" s="46">
        <f ca="1">IF(C135="","",IF(C136="",0,IF(E135="Construção",0,IF(E135="Seguro",$C$17*'Base de Dados'!$C$2,IF($C$14=Parâmetros!$B$4,0,Simulador!$C$17*'Base de Dados'!$C$2)))))</f>
        <v>75</v>
      </c>
      <c r="P135" s="46"/>
      <c r="Q135" s="46">
        <f ca="1">IF(C135="","",IF(E135&lt;&gt;"Retorno",(I135+K135+M135),IF($G$20=Parâmetros!$D$2,SUM(G135,I135,K135,M135,O135),PMT($O$25,SUM($G$17),($O$10)*-1)+O135+M135+K135)))</f>
        <v>9224.4904900281381</v>
      </c>
      <c r="R135" s="46"/>
      <c r="S135" s="46">
        <f t="shared" ca="1" si="16"/>
        <v>629507.35390734195</v>
      </c>
      <c r="U135" s="15" t="str">
        <f t="shared" ca="1" si="17"/>
        <v/>
      </c>
    </row>
    <row r="136" spans="1:21" x14ac:dyDescent="0.3">
      <c r="A136" s="49">
        <f t="shared" ca="1" si="10"/>
        <v>49299</v>
      </c>
      <c r="B136" s="49" t="str">
        <f t="shared" ca="1" si="11"/>
        <v/>
      </c>
      <c r="C136" s="81">
        <f t="shared" ca="1" si="12"/>
        <v>103</v>
      </c>
      <c r="D136" s="34">
        <f t="shared" ca="1" si="13"/>
        <v>103</v>
      </c>
      <c r="E136" s="4" t="str">
        <f t="shared" ca="1" si="14"/>
        <v>Retorno</v>
      </c>
      <c r="G136" s="46">
        <f ca="1">IF(C136="","",IF(E136&lt;&gt;"Retorno",0,IF($G$20=Parâmetros!$D$2,Simulador!$O$10/$G$17,IF($G$20=Parâmetros!$D$3,PMT($O$25,$G$17,($O$10)*-1)-I136,""))))</f>
        <v>1968.9132194724189</v>
      </c>
      <c r="H136" s="46"/>
      <c r="I136" s="46">
        <f t="shared" ca="1" si="9"/>
        <v>6906.6156701352447</v>
      </c>
      <c r="J136" s="34"/>
      <c r="K136" s="46">
        <f t="shared" ca="1" si="15"/>
        <v>0</v>
      </c>
      <c r="L136" s="46"/>
      <c r="M136" s="46">
        <f ca="1">IFERROR(IF(C136="","",IF($C$10=Parâmetros!$C$3,0,VLOOKUP(A136,'Base de Dados'!$E$3:$G$422,3,FALSE)*S136)),0)</f>
        <v>273.10472938736086</v>
      </c>
      <c r="N136" s="34"/>
      <c r="O136" s="46">
        <f ca="1">IF(C136="","",IF(C137="",0,IF(E136="Construção",0,IF(E136="Seguro",$C$17*'Base de Dados'!$C$2,IF($C$14=Parâmetros!$B$4,0,Simulador!$C$17*'Base de Dados'!$C$2)))))</f>
        <v>75</v>
      </c>
      <c r="P136" s="46"/>
      <c r="Q136" s="46">
        <f ca="1">IF(C136="","",IF(E136&lt;&gt;"Retorno",(I136+K136+M136),IF($G$20=Parâmetros!$D$2,SUM(G136,I136,K136,M136,O136),PMT($O$25,SUM($G$17),($O$10)*-1)+O136+M136+K136)))</f>
        <v>9223.6336189950252</v>
      </c>
      <c r="R136" s="46"/>
      <c r="S136" s="46">
        <f t="shared" ca="1" si="16"/>
        <v>627538.44068786956</v>
      </c>
      <c r="U136" s="15" t="str">
        <f t="shared" ca="1" si="17"/>
        <v/>
      </c>
    </row>
    <row r="137" spans="1:21" x14ac:dyDescent="0.3">
      <c r="A137" s="49">
        <f t="shared" ca="1" si="10"/>
        <v>49330</v>
      </c>
      <c r="B137" s="49" t="str">
        <f t="shared" ca="1" si="11"/>
        <v/>
      </c>
      <c r="C137" s="81">
        <f t="shared" ca="1" si="12"/>
        <v>104</v>
      </c>
      <c r="D137" s="34">
        <f t="shared" ca="1" si="13"/>
        <v>104</v>
      </c>
      <c r="E137" s="4" t="str">
        <f t="shared" ca="1" si="14"/>
        <v>Retorno</v>
      </c>
      <c r="G137" s="46">
        <f ca="1">IF(C137="","",IF(E137&lt;&gt;"Retorno",0,IF($G$20=Parâmetros!$D$2,Simulador!$O$10/$G$17,IF($G$20=Parâmetros!$D$3,PMT($O$25,$G$17,($O$10)*-1)-I137,""))))</f>
        <v>1990.5150749716231</v>
      </c>
      <c r="H137" s="46"/>
      <c r="I137" s="46">
        <f t="shared" ca="1" si="9"/>
        <v>6885.0138146360405</v>
      </c>
      <c r="J137" s="34"/>
      <c r="K137" s="46">
        <f t="shared" ca="1" si="15"/>
        <v>0</v>
      </c>
      <c r="L137" s="46"/>
      <c r="M137" s="46">
        <f ca="1">IFERROR(IF(C137="","",IF($C$10=Parâmetros!$C$3,0,VLOOKUP(A137,'Base de Dados'!$E$3:$G$422,3,FALSE)*S137)),0)</f>
        <v>272.2384572267332</v>
      </c>
      <c r="N137" s="34"/>
      <c r="O137" s="46">
        <f ca="1">IF(C137="","",IF(C138="",0,IF(E137="Construção",0,IF(E137="Seguro",$C$17*'Base de Dados'!$C$2,IF($C$14=Parâmetros!$B$4,0,Simulador!$C$17*'Base de Dados'!$C$2)))))</f>
        <v>75</v>
      </c>
      <c r="P137" s="46"/>
      <c r="Q137" s="46">
        <f ca="1">IF(C137="","",IF(E137&lt;&gt;"Retorno",(I137+K137+M137),IF($G$20=Parâmetros!$D$2,SUM(G137,I137,K137,M137,O137),PMT($O$25,SUM($G$17),($O$10)*-1)+O137+M137+K137)))</f>
        <v>9222.7673468343964</v>
      </c>
      <c r="R137" s="46"/>
      <c r="S137" s="46">
        <f t="shared" ca="1" si="16"/>
        <v>625547.92561289796</v>
      </c>
      <c r="U137" s="15" t="str">
        <f t="shared" ca="1" si="17"/>
        <v/>
      </c>
    </row>
    <row r="138" spans="1:21" x14ac:dyDescent="0.3">
      <c r="A138" s="49">
        <f t="shared" ca="1" si="10"/>
        <v>49361</v>
      </c>
      <c r="B138" s="49" t="str">
        <f t="shared" ca="1" si="11"/>
        <v/>
      </c>
      <c r="C138" s="81">
        <f t="shared" ca="1" si="12"/>
        <v>105</v>
      </c>
      <c r="D138" s="34">
        <f t="shared" ca="1" si="13"/>
        <v>105</v>
      </c>
      <c r="E138" s="4" t="str">
        <f t="shared" ca="1" si="14"/>
        <v>Retorno</v>
      </c>
      <c r="G138" s="46">
        <f ca="1">IF(C138="","",IF(E138&lt;&gt;"Retorno",0,IF($G$20=Parâmetros!$D$2,Simulador!$O$10/$G$17,IF($G$20=Parâmetros!$D$3,PMT($O$25,$G$17,($O$10)*-1)-I138,""))))</f>
        <v>2012.3539343957345</v>
      </c>
      <c r="H138" s="46"/>
      <c r="I138" s="46">
        <f t="shared" ca="1" si="9"/>
        <v>6863.174955211929</v>
      </c>
      <c r="J138" s="34"/>
      <c r="K138" s="46">
        <f t="shared" ca="1" si="15"/>
        <v>0</v>
      </c>
      <c r="L138" s="46"/>
      <c r="M138" s="46">
        <f ca="1">IFERROR(IF(C138="","",IF($C$10=Parâmetros!$C$3,0,VLOOKUP(A138,'Base de Dados'!$E$3:$G$422,3,FALSE)*S138)),0)</f>
        <v>271.36268079448416</v>
      </c>
      <c r="N138" s="34"/>
      <c r="O138" s="46">
        <f ca="1">IF(C138="","",IF(C139="",0,IF(E138="Construção",0,IF(E138="Seguro",$C$17*'Base de Dados'!$C$2,IF($C$14=Parâmetros!$B$4,0,Simulador!$C$17*'Base de Dados'!$C$2)))))</f>
        <v>75</v>
      </c>
      <c r="P138" s="46"/>
      <c r="Q138" s="46">
        <f ca="1">IF(C138="","",IF(E138&lt;&gt;"Retorno",(I138+K138+M138),IF($G$20=Parâmetros!$D$2,SUM(G138,I138,K138,M138,O138),PMT($O$25,SUM($G$17),($O$10)*-1)+O138+M138+K138)))</f>
        <v>9221.8915704021474</v>
      </c>
      <c r="R138" s="46"/>
      <c r="S138" s="46">
        <f t="shared" ca="1" si="16"/>
        <v>623535.57167850225</v>
      </c>
      <c r="U138" s="15" t="str">
        <f t="shared" ca="1" si="17"/>
        <v/>
      </c>
    </row>
    <row r="139" spans="1:21" x14ac:dyDescent="0.3">
      <c r="A139" s="49">
        <f t="shared" ca="1" si="10"/>
        <v>49389</v>
      </c>
      <c r="B139" s="49" t="str">
        <f t="shared" ca="1" si="11"/>
        <v/>
      </c>
      <c r="C139" s="81">
        <f t="shared" ca="1" si="12"/>
        <v>106</v>
      </c>
      <c r="D139" s="34">
        <f t="shared" ca="1" si="13"/>
        <v>106</v>
      </c>
      <c r="E139" s="4" t="str">
        <f t="shared" ca="1" si="14"/>
        <v>Retorno</v>
      </c>
      <c r="G139" s="46">
        <f ca="1">IF(C139="","",IF(E139&lt;&gt;"Retorno",0,IF($G$20=Parâmetros!$D$2,Simulador!$O$10/$G$17,IF($G$20=Parâmetros!$D$3,PMT($O$25,$G$17,($O$10)*-1)-I139,""))))</f>
        <v>2034.4323980242734</v>
      </c>
      <c r="H139" s="46"/>
      <c r="I139" s="46">
        <f t="shared" ca="1" si="9"/>
        <v>6841.0964915833902</v>
      </c>
      <c r="J139" s="34"/>
      <c r="K139" s="46">
        <f t="shared" ca="1" si="15"/>
        <v>0</v>
      </c>
      <c r="L139" s="46"/>
      <c r="M139" s="46">
        <f ca="1">IFERROR(IF(C139="","",IF($C$10=Parâmetros!$C$3,0,VLOOKUP(A139,'Base de Dados'!$E$3:$G$422,3,FALSE)*S139)),0)</f>
        <v>270.47729581486402</v>
      </c>
      <c r="N139" s="34"/>
      <c r="O139" s="46">
        <f ca="1">IF(C139="","",IF(C140="",0,IF(E139="Construção",0,IF(E139="Seguro",$C$17*'Base de Dados'!$C$2,IF($C$14=Parâmetros!$B$4,0,Simulador!$C$17*'Base de Dados'!$C$2)))))</f>
        <v>75</v>
      </c>
      <c r="P139" s="46"/>
      <c r="Q139" s="46">
        <f ca="1">IF(C139="","",IF(E139&lt;&gt;"Retorno",(I139+K139+M139),IF($G$20=Parâmetros!$D$2,SUM(G139,I139,K139,M139,O139),PMT($O$25,SUM($G$17),($O$10)*-1)+O139+M139+K139)))</f>
        <v>9221.0061854225278</v>
      </c>
      <c r="R139" s="46"/>
      <c r="S139" s="46">
        <f t="shared" ca="1" si="16"/>
        <v>621501.139280478</v>
      </c>
      <c r="U139" s="15" t="str">
        <f t="shared" ca="1" si="17"/>
        <v/>
      </c>
    </row>
    <row r="140" spans="1:21" x14ac:dyDescent="0.3">
      <c r="A140" s="49">
        <f t="shared" ca="1" si="10"/>
        <v>49420</v>
      </c>
      <c r="B140" s="49" t="str">
        <f t="shared" ca="1" si="11"/>
        <v/>
      </c>
      <c r="C140" s="81">
        <f t="shared" ca="1" si="12"/>
        <v>107</v>
      </c>
      <c r="D140" s="34">
        <f t="shared" ca="1" si="13"/>
        <v>107</v>
      </c>
      <c r="E140" s="4" t="str">
        <f t="shared" ca="1" si="14"/>
        <v>Retorno</v>
      </c>
      <c r="G140" s="46">
        <f ca="1">IF(C140="","",IF(E140&lt;&gt;"Retorno",0,IF($G$20=Parâmetros!$D$2,Simulador!$O$10/$G$17,IF($G$20=Parâmetros!$D$3,PMT($O$25,$G$17,($O$10)*-1)-I140,""))))</f>
        <v>2056.7530946654988</v>
      </c>
      <c r="H140" s="46"/>
      <c r="I140" s="46">
        <f t="shared" ca="1" si="9"/>
        <v>6818.7757949421648</v>
      </c>
      <c r="J140" s="34"/>
      <c r="K140" s="46">
        <f t="shared" ca="1" si="15"/>
        <v>0</v>
      </c>
      <c r="L140" s="46"/>
      <c r="M140" s="46">
        <f ca="1">IFERROR(IF(C140="","",IF($C$10=Parâmetros!$C$3,0,VLOOKUP(A140,'Base de Dados'!$E$3:$G$422,3,FALSE)*S140)),0)</f>
        <v>269.58219686806564</v>
      </c>
      <c r="N140" s="34"/>
      <c r="O140" s="46">
        <f ca="1">IF(C140="","",IF(C141="",0,IF(E140="Construção",0,IF(E140="Seguro",$C$17*'Base de Dados'!$C$2,IF($C$14=Parâmetros!$B$4,0,Simulador!$C$17*'Base de Dados'!$C$2)))))</f>
        <v>75</v>
      </c>
      <c r="P140" s="46"/>
      <c r="Q140" s="46">
        <f ca="1">IF(C140="","",IF(E140&lt;&gt;"Retorno",(I140+K140+M140),IF($G$20=Parâmetros!$D$2,SUM(G140,I140,K140,M140,O140),PMT($O$25,SUM($G$17),($O$10)*-1)+O140+M140+K140)))</f>
        <v>9220.1110864757284</v>
      </c>
      <c r="R140" s="46"/>
      <c r="S140" s="46">
        <f t="shared" ca="1" si="16"/>
        <v>619444.38618581253</v>
      </c>
      <c r="U140" s="15" t="str">
        <f t="shared" ca="1" si="17"/>
        <v/>
      </c>
    </row>
    <row r="141" spans="1:21" x14ac:dyDescent="0.3">
      <c r="A141" s="49">
        <f t="shared" ca="1" si="10"/>
        <v>49450</v>
      </c>
      <c r="B141" s="49" t="str">
        <f t="shared" ca="1" si="11"/>
        <v/>
      </c>
      <c r="C141" s="81">
        <f t="shared" ca="1" si="12"/>
        <v>108</v>
      </c>
      <c r="D141" s="34">
        <f t="shared" ca="1" si="13"/>
        <v>108</v>
      </c>
      <c r="E141" s="4" t="str">
        <f t="shared" ca="1" si="14"/>
        <v>Retorno</v>
      </c>
      <c r="G141" s="46">
        <f ca="1">IF(C141="","",IF(E141&lt;&gt;"Retorno",0,IF($G$20=Parâmetros!$D$2,Simulador!$O$10/$G$17,IF($G$20=Parâmetros!$D$3,PMT($O$25,$G$17,($O$10)*-1)-I141,""))))</f>
        <v>2079.3186819696821</v>
      </c>
      <c r="H141" s="46"/>
      <c r="I141" s="46">
        <f t="shared" ca="1" si="9"/>
        <v>6796.2102076379815</v>
      </c>
      <c r="J141" s="34"/>
      <c r="K141" s="46">
        <f t="shared" ca="1" si="15"/>
        <v>0</v>
      </c>
      <c r="L141" s="46"/>
      <c r="M141" s="46">
        <f ca="1">IFERROR(IF(C141="","",IF($C$10=Parâmetros!$C$3,0,VLOOKUP(A141,'Base de Dados'!$E$3:$G$422,3,FALSE)*S141)),0)</f>
        <v>268.6772773776724</v>
      </c>
      <c r="N141" s="34"/>
      <c r="O141" s="46">
        <f ca="1">IF(C141="","",IF(C142="",0,IF(E141="Construção",0,IF(E141="Seguro",$C$17*'Base de Dados'!$C$2,IF($C$14=Parâmetros!$B$4,0,Simulador!$C$17*'Base de Dados'!$C$2)))))</f>
        <v>75</v>
      </c>
      <c r="P141" s="46"/>
      <c r="Q141" s="46">
        <f ca="1">IF(C141="","",IF(E141&lt;&gt;"Retorno",(I141+K141+M141),IF($G$20=Parâmetros!$D$2,SUM(G141,I141,K141,M141,O141),PMT($O$25,SUM($G$17),($O$10)*-1)+O141+M141+K141)))</f>
        <v>9219.2061669853356</v>
      </c>
      <c r="R141" s="46"/>
      <c r="S141" s="46">
        <f t="shared" ca="1" si="16"/>
        <v>617365.06750384287</v>
      </c>
      <c r="U141" s="15" t="str">
        <f t="shared" ca="1" si="17"/>
        <v/>
      </c>
    </row>
    <row r="142" spans="1:21" x14ac:dyDescent="0.3">
      <c r="A142" s="49">
        <f t="shared" ca="1" si="10"/>
        <v>49481</v>
      </c>
      <c r="B142" s="49" t="str">
        <f t="shared" ca="1" si="11"/>
        <v/>
      </c>
      <c r="C142" s="81">
        <f t="shared" ca="1" si="12"/>
        <v>109</v>
      </c>
      <c r="D142" s="34">
        <f t="shared" ca="1" si="13"/>
        <v>109</v>
      </c>
      <c r="E142" s="4" t="str">
        <f t="shared" ca="1" si="14"/>
        <v>Retorno</v>
      </c>
      <c r="G142" s="46">
        <f ca="1">IF(C142="","",IF(E142&lt;&gt;"Retorno",0,IF($G$20=Parâmetros!$D$2,Simulador!$O$10/$G$17,IF($G$20=Parâmetros!$D$3,PMT($O$25,$G$17,($O$10)*-1)-I142,""))))</f>
        <v>2102.1318467452911</v>
      </c>
      <c r="H142" s="46"/>
      <c r="I142" s="46">
        <f t="shared" ca="1" si="9"/>
        <v>6773.3970428623725</v>
      </c>
      <c r="J142" s="34"/>
      <c r="K142" s="46">
        <f t="shared" ca="1" si="15"/>
        <v>0</v>
      </c>
      <c r="L142" s="46"/>
      <c r="M142" s="46">
        <f ca="1">IFERROR(IF(C142="","",IF($C$10=Parâmetros!$C$3,0,VLOOKUP(A142,'Base de Dados'!$E$3:$G$422,3,FALSE)*S142)),0)</f>
        <v>267.76242959796889</v>
      </c>
      <c r="N142" s="34"/>
      <c r="O142" s="46">
        <f ca="1">IF(C142="","",IF(C143="",0,IF(E142="Construção",0,IF(E142="Seguro",$C$17*'Base de Dados'!$C$2,IF($C$14=Parâmetros!$B$4,0,Simulador!$C$17*'Base de Dados'!$C$2)))))</f>
        <v>75</v>
      </c>
      <c r="P142" s="46"/>
      <c r="Q142" s="46">
        <f ca="1">IF(C142="","",IF(E142&lt;&gt;"Retorno",(I142+K142+M142),IF($G$20=Parâmetros!$D$2,SUM(G142,I142,K142,M142,O142),PMT($O$25,SUM($G$17),($O$10)*-1)+O142+M142+K142)))</f>
        <v>9218.291319205633</v>
      </c>
      <c r="R142" s="46"/>
      <c r="S142" s="46">
        <f t="shared" ca="1" si="16"/>
        <v>615262.93565709761</v>
      </c>
      <c r="U142" s="15" t="str">
        <f t="shared" ca="1" si="17"/>
        <v/>
      </c>
    </row>
    <row r="143" spans="1:21" x14ac:dyDescent="0.3">
      <c r="A143" s="49">
        <f t="shared" ca="1" si="10"/>
        <v>49511</v>
      </c>
      <c r="B143" s="49" t="str">
        <f t="shared" ca="1" si="11"/>
        <v/>
      </c>
      <c r="C143" s="81">
        <f t="shared" ca="1" si="12"/>
        <v>110</v>
      </c>
      <c r="D143" s="34">
        <f t="shared" ca="1" si="13"/>
        <v>110</v>
      </c>
      <c r="E143" s="4" t="str">
        <f t="shared" ca="1" si="14"/>
        <v>Retorno</v>
      </c>
      <c r="G143" s="46">
        <f ca="1">IF(C143="","",IF(E143&lt;&gt;"Retorno",0,IF($G$20=Parâmetros!$D$2,Simulador!$O$10/$G$17,IF($G$20=Parâmetros!$D$3,PMT($O$25,$G$17,($O$10)*-1)-I143,""))))</f>
        <v>2125.1953052787831</v>
      </c>
      <c r="H143" s="46"/>
      <c r="I143" s="46">
        <f t="shared" ca="1" si="9"/>
        <v>6750.3335843288805</v>
      </c>
      <c r="J143" s="34"/>
      <c r="K143" s="46">
        <f t="shared" ca="1" si="15"/>
        <v>0</v>
      </c>
      <c r="L143" s="46"/>
      <c r="M143" s="46">
        <f ca="1">IFERROR(IF(C143="","",IF($C$10=Parâmetros!$C$3,0,VLOOKUP(A143,'Base de Dados'!$E$3:$G$422,3,FALSE)*S143)),0)</f>
        <v>266.83754460111157</v>
      </c>
      <c r="N143" s="34"/>
      <c r="O143" s="46">
        <f ca="1">IF(C143="","",IF(C144="",0,IF(E143="Construção",0,IF(E143="Seguro",$C$17*'Base de Dados'!$C$2,IF($C$14=Parâmetros!$B$4,0,Simulador!$C$17*'Base de Dados'!$C$2)))))</f>
        <v>75</v>
      </c>
      <c r="P143" s="46"/>
      <c r="Q143" s="46">
        <f ca="1">IF(C143="","",IF(E143&lt;&gt;"Retorno",(I143+K143+M143),IF($G$20=Parâmetros!$D$2,SUM(G143,I143,K143,M143,O143),PMT($O$25,SUM($G$17),($O$10)*-1)+O143+M143+K143)))</f>
        <v>9217.3664342087759</v>
      </c>
      <c r="R143" s="46"/>
      <c r="S143" s="46">
        <f t="shared" ca="1" si="16"/>
        <v>613137.74035181885</v>
      </c>
      <c r="U143" s="15" t="str">
        <f t="shared" ca="1" si="17"/>
        <v/>
      </c>
    </row>
    <row r="144" spans="1:21" x14ac:dyDescent="0.3">
      <c r="A144" s="49">
        <f t="shared" ca="1" si="10"/>
        <v>49542</v>
      </c>
      <c r="B144" s="49" t="str">
        <f t="shared" ca="1" si="11"/>
        <v/>
      </c>
      <c r="C144" s="81">
        <f t="shared" ca="1" si="12"/>
        <v>111</v>
      </c>
      <c r="D144" s="34">
        <f t="shared" ca="1" si="13"/>
        <v>111</v>
      </c>
      <c r="E144" s="4" t="str">
        <f t="shared" ca="1" si="14"/>
        <v>Retorno</v>
      </c>
      <c r="G144" s="46">
        <f ca="1">IF(C144="","",IF(E144&lt;&gt;"Retorno",0,IF($G$20=Parâmetros!$D$2,Simulador!$O$10/$G$17,IF($G$20=Parâmetros!$D$3,PMT($O$25,$G$17,($O$10)*-1)-I144,""))))</f>
        <v>2148.511803658821</v>
      </c>
      <c r="H144" s="46"/>
      <c r="I144" s="46">
        <f t="shared" ca="1" si="9"/>
        <v>6727.0170859488426</v>
      </c>
      <c r="J144" s="34"/>
      <c r="K144" s="46">
        <f t="shared" ca="1" si="15"/>
        <v>0</v>
      </c>
      <c r="L144" s="46"/>
      <c r="M144" s="46">
        <f ca="1">IFERROR(IF(C144="","",IF($C$10=Parâmetros!$C$3,0,VLOOKUP(A144,'Base de Dados'!$E$3:$G$422,3,FALSE)*S144)),0)</f>
        <v>265.90251226415927</v>
      </c>
      <c r="N144" s="34"/>
      <c r="O144" s="46">
        <f ca="1">IF(C144="","",IF(C145="",0,IF(E144="Construção",0,IF(E144="Seguro",$C$17*'Base de Dados'!$C$2,IF($C$14=Parâmetros!$B$4,0,Simulador!$C$17*'Base de Dados'!$C$2)))))</f>
        <v>75</v>
      </c>
      <c r="P144" s="46"/>
      <c r="Q144" s="46">
        <f ca="1">IF(C144="","",IF(E144&lt;&gt;"Retorno",(I144+K144+M144),IF($G$20=Parâmetros!$D$2,SUM(G144,I144,K144,M144,O144),PMT($O$25,SUM($G$17),($O$10)*-1)+O144+M144+K144)))</f>
        <v>9216.4314018718233</v>
      </c>
      <c r="R144" s="46"/>
      <c r="S144" s="46">
        <f t="shared" ca="1" si="16"/>
        <v>610989.22854816006</v>
      </c>
      <c r="U144" s="15" t="str">
        <f t="shared" ca="1" si="17"/>
        <v/>
      </c>
    </row>
    <row r="145" spans="1:21" x14ac:dyDescent="0.3">
      <c r="A145" s="49">
        <f t="shared" ca="1" si="10"/>
        <v>49573</v>
      </c>
      <c r="B145" s="49" t="str">
        <f t="shared" ca="1" si="11"/>
        <v/>
      </c>
      <c r="C145" s="81">
        <f t="shared" ca="1" si="12"/>
        <v>112</v>
      </c>
      <c r="D145" s="34">
        <f t="shared" ca="1" si="13"/>
        <v>112</v>
      </c>
      <c r="E145" s="4" t="str">
        <f t="shared" ca="1" si="14"/>
        <v>Retorno</v>
      </c>
      <c r="G145" s="46">
        <f ca="1">IF(C145="","",IF(E145&lt;&gt;"Retorno",0,IF($G$20=Parâmetros!$D$2,Simulador!$O$10/$G$17,IF($G$20=Parâmetros!$D$3,PMT($O$25,$G$17,($O$10)*-1)-I145,""))))</f>
        <v>2172.0841181020041</v>
      </c>
      <c r="H145" s="46"/>
      <c r="I145" s="46">
        <f t="shared" ca="1" si="9"/>
        <v>6703.4447715056594</v>
      </c>
      <c r="J145" s="34"/>
      <c r="K145" s="46">
        <f t="shared" ca="1" si="15"/>
        <v>0</v>
      </c>
      <c r="L145" s="46"/>
      <c r="M145" s="46">
        <f ca="1">IFERROR(IF(C145="","",IF($C$10=Parâmetros!$C$3,0,VLOOKUP(A145,'Base de Dados'!$E$3:$G$422,3,FALSE)*S145)),0)</f>
        <v>264.95722125596126</v>
      </c>
      <c r="N145" s="34"/>
      <c r="O145" s="46">
        <f ca="1">IF(C145="","",IF(C146="",0,IF(E145="Construção",0,IF(E145="Seguro",$C$17*'Base de Dados'!$C$2,IF($C$14=Parâmetros!$B$4,0,Simulador!$C$17*'Base de Dados'!$C$2)))))</f>
        <v>75</v>
      </c>
      <c r="P145" s="46"/>
      <c r="Q145" s="46">
        <f ca="1">IF(C145="","",IF(E145&lt;&gt;"Retorno",(I145+K145+M145),IF($G$20=Parâmetros!$D$2,SUM(G145,I145,K145,M145,O145),PMT($O$25,SUM($G$17),($O$10)*-1)+O145+M145+K145)))</f>
        <v>9215.4861108636251</v>
      </c>
      <c r="R145" s="46"/>
      <c r="S145" s="46">
        <f t="shared" ca="1" si="16"/>
        <v>608817.14443005808</v>
      </c>
      <c r="U145" s="15" t="str">
        <f t="shared" ca="1" si="17"/>
        <v/>
      </c>
    </row>
    <row r="146" spans="1:21" x14ac:dyDescent="0.3">
      <c r="A146" s="49">
        <f t="shared" ca="1" si="10"/>
        <v>49603</v>
      </c>
      <c r="B146" s="49" t="str">
        <f t="shared" ca="1" si="11"/>
        <v/>
      </c>
      <c r="C146" s="81">
        <f t="shared" ca="1" si="12"/>
        <v>113</v>
      </c>
      <c r="D146" s="34">
        <f t="shared" ca="1" si="13"/>
        <v>113</v>
      </c>
      <c r="E146" s="4" t="str">
        <f t="shared" ca="1" si="14"/>
        <v>Retorno</v>
      </c>
      <c r="G146" s="46">
        <f ca="1">IF(C146="","",IF(E146&lt;&gt;"Retorno",0,IF($G$20=Parâmetros!$D$2,Simulador!$O$10/$G$17,IF($G$20=Parâmetros!$D$3,PMT($O$25,$G$17,($O$10)*-1)-I146,""))))</f>
        <v>2195.9150552845349</v>
      </c>
      <c r="H146" s="46"/>
      <c r="I146" s="46">
        <f t="shared" ca="1" si="9"/>
        <v>6679.6138343231287</v>
      </c>
      <c r="J146" s="34"/>
      <c r="K146" s="46">
        <f t="shared" ca="1" si="15"/>
        <v>0</v>
      </c>
      <c r="L146" s="46"/>
      <c r="M146" s="46">
        <f ca="1">IFERROR(IF(C146="","",IF($C$10=Parâmetros!$C$3,0,VLOOKUP(A146,'Base de Dados'!$E$3:$G$422,3,FALSE)*S146)),0)</f>
        <v>264.00155902390145</v>
      </c>
      <c r="N146" s="34"/>
      <c r="O146" s="46">
        <f ca="1">IF(C146="","",IF(C147="",0,IF(E146="Construção",0,IF(E146="Seguro",$C$17*'Base de Dados'!$C$2,IF($C$14=Parâmetros!$B$4,0,Simulador!$C$17*'Base de Dados'!$C$2)))))</f>
        <v>75</v>
      </c>
      <c r="P146" s="46"/>
      <c r="Q146" s="46">
        <f ca="1">IF(C146="","",IF(E146&lt;&gt;"Retorno",(I146+K146+M146),IF($G$20=Parâmetros!$D$2,SUM(G146,I146,K146,M146,O146),PMT($O$25,SUM($G$17),($O$10)*-1)+O146+M146+K146)))</f>
        <v>9214.5304486315654</v>
      </c>
      <c r="R146" s="46"/>
      <c r="S146" s="46">
        <f t="shared" ca="1" si="16"/>
        <v>606621.22937477357</v>
      </c>
      <c r="U146" s="15" t="str">
        <f t="shared" ca="1" si="17"/>
        <v/>
      </c>
    </row>
    <row r="147" spans="1:21" x14ac:dyDescent="0.3">
      <c r="A147" s="49">
        <f t="shared" ca="1" si="10"/>
        <v>49634</v>
      </c>
      <c r="B147" s="49" t="str">
        <f t="shared" ca="1" si="11"/>
        <v/>
      </c>
      <c r="C147" s="81">
        <f t="shared" ca="1" si="12"/>
        <v>114</v>
      </c>
      <c r="D147" s="34">
        <f t="shared" ca="1" si="13"/>
        <v>114</v>
      </c>
      <c r="E147" s="4" t="str">
        <f t="shared" ca="1" si="14"/>
        <v>Retorno</v>
      </c>
      <c r="G147" s="46">
        <f ca="1">IF(C147="","",IF(E147&lt;&gt;"Retorno",0,IF($G$20=Parâmetros!$D$2,Simulador!$O$10/$G$17,IF($G$20=Parâmetros!$D$3,PMT($O$25,$G$17,($O$10)*-1)-I147,""))))</f>
        <v>2220.0074526758654</v>
      </c>
      <c r="H147" s="46"/>
      <c r="I147" s="46">
        <f t="shared" ca="1" si="9"/>
        <v>6655.5214369317982</v>
      </c>
      <c r="J147" s="34"/>
      <c r="K147" s="46">
        <f t="shared" ca="1" si="15"/>
        <v>0</v>
      </c>
      <c r="L147" s="46"/>
      <c r="M147" s="46">
        <f ca="1">IFERROR(IF(C147="","",IF($C$10=Parâmetros!$C$3,0,VLOOKUP(A147,'Base de Dados'!$E$3:$G$422,3,FALSE)*S147)),0)</f>
        <v>263.03541178049693</v>
      </c>
      <c r="N147" s="34"/>
      <c r="O147" s="46">
        <f ca="1">IF(C147="","",IF(C148="",0,IF(E147="Construção",0,IF(E147="Seguro",$C$17*'Base de Dados'!$C$2,IF($C$14=Parâmetros!$B$4,0,Simulador!$C$17*'Base de Dados'!$C$2)))))</f>
        <v>75</v>
      </c>
      <c r="P147" s="46"/>
      <c r="Q147" s="46">
        <f ca="1">IF(C147="","",IF(E147&lt;&gt;"Retorno",(I147+K147+M147),IF($G$20=Parâmetros!$D$2,SUM(G147,I147,K147,M147,O147),PMT($O$25,SUM($G$17),($O$10)*-1)+O147+M147+K147)))</f>
        <v>9213.5643013881599</v>
      </c>
      <c r="R147" s="46"/>
      <c r="S147" s="46">
        <f t="shared" ca="1" si="16"/>
        <v>604401.22192209773</v>
      </c>
      <c r="U147" s="15" t="str">
        <f t="shared" ca="1" si="17"/>
        <v/>
      </c>
    </row>
    <row r="148" spans="1:21" x14ac:dyDescent="0.3">
      <c r="A148" s="49">
        <f t="shared" ca="1" si="10"/>
        <v>49664</v>
      </c>
      <c r="B148" s="49" t="str">
        <f t="shared" ca="1" si="11"/>
        <v/>
      </c>
      <c r="C148" s="81">
        <f t="shared" ca="1" si="12"/>
        <v>115</v>
      </c>
      <c r="D148" s="34">
        <f t="shared" ca="1" si="13"/>
        <v>115</v>
      </c>
      <c r="E148" s="4" t="str">
        <f t="shared" ca="1" si="14"/>
        <v>Retorno</v>
      </c>
      <c r="G148" s="46">
        <f ca="1">IF(C148="","",IF(E148&lt;&gt;"Retorno",0,IF($G$20=Parâmetros!$D$2,Simulador!$O$10/$G$17,IF($G$20=Parâmetros!$D$3,PMT($O$25,$G$17,($O$10)*-1)-I148,""))))</f>
        <v>2244.3641788766508</v>
      </c>
      <c r="H148" s="46"/>
      <c r="I148" s="46">
        <f t="shared" ca="1" si="9"/>
        <v>6631.1647107310127</v>
      </c>
      <c r="J148" s="34"/>
      <c r="K148" s="46">
        <f t="shared" ca="1" si="15"/>
        <v>0</v>
      </c>
      <c r="L148" s="46"/>
      <c r="M148" s="46">
        <f ca="1">IFERROR(IF(C148="","",IF($C$10=Parâmetros!$C$3,0,VLOOKUP(A148,'Base de Dados'!$E$3:$G$422,3,FALSE)*S148)),0)</f>
        <v>262.05866448984983</v>
      </c>
      <c r="N148" s="34"/>
      <c r="O148" s="46">
        <f ca="1">IF(C148="","",IF(C149="",0,IF(E148="Construção",0,IF(E148="Seguro",$C$17*'Base de Dados'!$C$2,IF($C$14=Parâmetros!$B$4,0,Simulador!$C$17*'Base de Dados'!$C$2)))))</f>
        <v>75</v>
      </c>
      <c r="P148" s="46"/>
      <c r="Q148" s="46">
        <f ca="1">IF(C148="","",IF(E148&lt;&gt;"Retorno",(I148+K148+M148),IF($G$20=Parâmetros!$D$2,SUM(G148,I148,K148,M148,O148),PMT($O$25,SUM($G$17),($O$10)*-1)+O148+M148+K148)))</f>
        <v>9212.5875540975139</v>
      </c>
      <c r="R148" s="46"/>
      <c r="S148" s="46">
        <f t="shared" ca="1" si="16"/>
        <v>602156.8577432211</v>
      </c>
      <c r="U148" s="15" t="str">
        <f t="shared" ca="1" si="17"/>
        <v/>
      </c>
    </row>
    <row r="149" spans="1:21" x14ac:dyDescent="0.3">
      <c r="A149" s="49">
        <f t="shared" ca="1" si="10"/>
        <v>49695</v>
      </c>
      <c r="B149" s="49" t="str">
        <f t="shared" ca="1" si="11"/>
        <v/>
      </c>
      <c r="C149" s="81">
        <f t="shared" ca="1" si="12"/>
        <v>116</v>
      </c>
      <c r="D149" s="34">
        <f t="shared" ca="1" si="13"/>
        <v>116</v>
      </c>
      <c r="E149" s="4" t="str">
        <f t="shared" ca="1" si="14"/>
        <v>Retorno</v>
      </c>
      <c r="G149" s="46">
        <f ca="1">IF(C149="","",IF(E149&lt;&gt;"Retorno",0,IF($G$20=Parâmetros!$D$2,Simulador!$O$10/$G$17,IF($G$20=Parâmetros!$D$3,PMT($O$25,$G$17,($O$10)*-1)-I149,""))))</f>
        <v>2268.9881339600797</v>
      </c>
      <c r="H149" s="46"/>
      <c r="I149" s="46">
        <f t="shared" ca="1" si="9"/>
        <v>6606.5407556475839</v>
      </c>
      <c r="J149" s="34"/>
      <c r="K149" s="46">
        <f t="shared" ca="1" si="15"/>
        <v>0</v>
      </c>
      <c r="L149" s="46"/>
      <c r="M149" s="46">
        <f ca="1">IFERROR(IF(C149="","",IF($C$10=Parâmetros!$C$3,0,VLOOKUP(A149,'Base de Dados'!$E$3:$G$422,3,FALSE)*S149)),0)</f>
        <v>261.07120085395042</v>
      </c>
      <c r="N149" s="34"/>
      <c r="O149" s="46">
        <f ca="1">IF(C149="","",IF(C150="",0,IF(E149="Construção",0,IF(E149="Seguro",$C$17*'Base de Dados'!$C$2,IF($C$14=Parâmetros!$B$4,0,Simulador!$C$17*'Base de Dados'!$C$2)))))</f>
        <v>75</v>
      </c>
      <c r="P149" s="46"/>
      <c r="Q149" s="46">
        <f ca="1">IF(C149="","",IF(E149&lt;&gt;"Retorno",(I149+K149+M149),IF($G$20=Parâmetros!$D$2,SUM(G149,I149,K149,M149,O149),PMT($O$25,SUM($G$17),($O$10)*-1)+O149+M149+K149)))</f>
        <v>9211.6000904616139</v>
      </c>
      <c r="R149" s="46"/>
      <c r="S149" s="46">
        <f t="shared" ca="1" si="16"/>
        <v>599887.86960926105</v>
      </c>
      <c r="U149" s="15" t="str">
        <f t="shared" ca="1" si="17"/>
        <v/>
      </c>
    </row>
    <row r="150" spans="1:21" x14ac:dyDescent="0.3">
      <c r="A150" s="49">
        <f t="shared" ca="1" si="10"/>
        <v>49726</v>
      </c>
      <c r="B150" s="49" t="str">
        <f t="shared" ca="1" si="11"/>
        <v/>
      </c>
      <c r="C150" s="81">
        <f t="shared" ca="1" si="12"/>
        <v>117</v>
      </c>
      <c r="D150" s="34">
        <f t="shared" ca="1" si="13"/>
        <v>117</v>
      </c>
      <c r="E150" s="4" t="str">
        <f t="shared" ca="1" si="14"/>
        <v>Retorno</v>
      </c>
      <c r="G150" s="46">
        <f ca="1">IF(C150="","",IF(E150&lt;&gt;"Retorno",0,IF($G$20=Parâmetros!$D$2,Simulador!$O$10/$G$17,IF($G$20=Parâmetros!$D$3,PMT($O$25,$G$17,($O$10)*-1)-I150,""))))</f>
        <v>2293.8822498176269</v>
      </c>
      <c r="H150" s="46"/>
      <c r="I150" s="46">
        <f t="shared" ca="1" si="9"/>
        <v>6581.6466397900367</v>
      </c>
      <c r="J150" s="34"/>
      <c r="K150" s="46">
        <f t="shared" ca="1" si="15"/>
        <v>0</v>
      </c>
      <c r="L150" s="46"/>
      <c r="M150" s="46">
        <f ca="1">IFERROR(IF(C150="","",IF($C$10=Parâmetros!$C$3,0,VLOOKUP(A150,'Base de Dados'!$E$3:$G$422,3,FALSE)*S150)),0)</f>
        <v>260.07290329882977</v>
      </c>
      <c r="N150" s="34"/>
      <c r="O150" s="46">
        <f ca="1">IF(C150="","",IF(C151="",0,IF(E150="Construção",0,IF(E150="Seguro",$C$17*'Base de Dados'!$C$2,IF($C$14=Parâmetros!$B$4,0,Simulador!$C$17*'Base de Dados'!$C$2)))))</f>
        <v>75</v>
      </c>
      <c r="P150" s="46"/>
      <c r="Q150" s="46">
        <f ca="1">IF(C150="","",IF(E150&lt;&gt;"Retorno",(I150+K150+M150),IF($G$20=Parâmetros!$D$2,SUM(G150,I150,K150,M150,O150),PMT($O$25,SUM($G$17),($O$10)*-1)+O150+M150+K150)))</f>
        <v>9210.6017929064928</v>
      </c>
      <c r="R150" s="46"/>
      <c r="S150" s="46">
        <f t="shared" ca="1" si="16"/>
        <v>597593.98735944345</v>
      </c>
      <c r="U150" s="15" t="str">
        <f t="shared" ca="1" si="17"/>
        <v/>
      </c>
    </row>
    <row r="151" spans="1:21" x14ac:dyDescent="0.3">
      <c r="A151" s="49">
        <f t="shared" ca="1" si="10"/>
        <v>49755</v>
      </c>
      <c r="B151" s="49" t="str">
        <f t="shared" ca="1" si="11"/>
        <v/>
      </c>
      <c r="C151" s="81">
        <f t="shared" ca="1" si="12"/>
        <v>118</v>
      </c>
      <c r="D151" s="34">
        <f t="shared" ca="1" si="13"/>
        <v>118</v>
      </c>
      <c r="E151" s="4" t="str">
        <f t="shared" ca="1" si="14"/>
        <v>Retorno</v>
      </c>
      <c r="G151" s="46">
        <f ca="1">IF(C151="","",IF(E151&lt;&gt;"Retorno",0,IF($G$20=Parâmetros!$D$2,Simulador!$O$10/$G$17,IF($G$20=Parâmetros!$D$3,PMT($O$25,$G$17,($O$10)*-1)-I151,""))))</f>
        <v>2319.049490507834</v>
      </c>
      <c r="H151" s="46"/>
      <c r="I151" s="46">
        <f t="shared" ca="1" si="9"/>
        <v>6556.4793990998296</v>
      </c>
      <c r="J151" s="34"/>
      <c r="K151" s="46">
        <f t="shared" ca="1" si="15"/>
        <v>0</v>
      </c>
      <c r="L151" s="46"/>
      <c r="M151" s="46">
        <f ca="1">IFERROR(IF(C151="","",IF($C$10=Parâmetros!$C$3,0,VLOOKUP(A151,'Base de Dados'!$E$3:$G$422,3,FALSE)*S151)),0)</f>
        <v>259.06365296056077</v>
      </c>
      <c r="N151" s="34"/>
      <c r="O151" s="46">
        <f ca="1">IF(C151="","",IF(C152="",0,IF(E151="Construção",0,IF(E151="Seguro",$C$17*'Base de Dados'!$C$2,IF($C$14=Parâmetros!$B$4,0,Simulador!$C$17*'Base de Dados'!$C$2)))))</f>
        <v>75</v>
      </c>
      <c r="P151" s="46"/>
      <c r="Q151" s="46">
        <f ca="1">IF(C151="","",IF(E151&lt;&gt;"Retorno",(I151+K151+M151),IF($G$20=Parâmetros!$D$2,SUM(G151,I151,K151,M151,O151),PMT($O$25,SUM($G$17),($O$10)*-1)+O151+M151+K151)))</f>
        <v>9209.5925425682235</v>
      </c>
      <c r="R151" s="46"/>
      <c r="S151" s="46">
        <f t="shared" ca="1" si="16"/>
        <v>595274.93786893564</v>
      </c>
      <c r="U151" s="15" t="str">
        <f t="shared" ca="1" si="17"/>
        <v/>
      </c>
    </row>
    <row r="152" spans="1:21" x14ac:dyDescent="0.3">
      <c r="A152" s="49">
        <f t="shared" ca="1" si="10"/>
        <v>49786</v>
      </c>
      <c r="B152" s="49" t="str">
        <f t="shared" ca="1" si="11"/>
        <v/>
      </c>
      <c r="C152" s="81">
        <f t="shared" ca="1" si="12"/>
        <v>119</v>
      </c>
      <c r="D152" s="34">
        <f t="shared" ca="1" si="13"/>
        <v>119</v>
      </c>
      <c r="E152" s="4" t="str">
        <f t="shared" ca="1" si="14"/>
        <v>Retorno</v>
      </c>
      <c r="G152" s="46">
        <f ca="1">IF(C152="","",IF(E152&lt;&gt;"Retorno",0,IF($G$20=Parâmetros!$D$2,Simulador!$O$10/$G$17,IF($G$20=Parâmetros!$D$3,PMT($O$25,$G$17,($O$10)*-1)-I152,""))))</f>
        <v>2344.4928526092808</v>
      </c>
      <c r="H152" s="46"/>
      <c r="I152" s="46">
        <f t="shared" ca="1" si="9"/>
        <v>6531.0360369983828</v>
      </c>
      <c r="J152" s="34"/>
      <c r="K152" s="46">
        <f t="shared" ca="1" si="15"/>
        <v>0</v>
      </c>
      <c r="L152" s="46"/>
      <c r="M152" s="46">
        <f ca="1">IFERROR(IF(C152="","",IF($C$10=Parâmetros!$C$3,0,VLOOKUP(A152,'Base de Dados'!$E$3:$G$422,3,FALSE)*S152)),0)</f>
        <v>258.04332967110525</v>
      </c>
      <c r="N152" s="34"/>
      <c r="O152" s="46">
        <f ca="1">IF(C152="","",IF(C153="",0,IF(E152="Construção",0,IF(E152="Seguro",$C$17*'Base de Dados'!$C$2,IF($C$14=Parâmetros!$B$4,0,Simulador!$C$17*'Base de Dados'!$C$2)))))</f>
        <v>75</v>
      </c>
      <c r="P152" s="46"/>
      <c r="Q152" s="46">
        <f ca="1">IF(C152="","",IF(E152&lt;&gt;"Retorno",(I152+K152+M152),IF($G$20=Parâmetros!$D$2,SUM(G152,I152,K152,M152,O152),PMT($O$25,SUM($G$17),($O$10)*-1)+O152+M152+K152)))</f>
        <v>9208.5722192787689</v>
      </c>
      <c r="R152" s="46"/>
      <c r="S152" s="46">
        <f t="shared" ca="1" si="16"/>
        <v>592930.44501632638</v>
      </c>
      <c r="U152" s="15" t="str">
        <f t="shared" ca="1" si="17"/>
        <v/>
      </c>
    </row>
    <row r="153" spans="1:21" x14ac:dyDescent="0.3">
      <c r="A153" s="49">
        <f t="shared" ca="1" si="10"/>
        <v>49816</v>
      </c>
      <c r="B153" s="49" t="str">
        <f t="shared" ca="1" si="11"/>
        <v/>
      </c>
      <c r="C153" s="81">
        <f t="shared" ca="1" si="12"/>
        <v>120</v>
      </c>
      <c r="D153" s="34">
        <f t="shared" ca="1" si="13"/>
        <v>120</v>
      </c>
      <c r="E153" s="4" t="str">
        <f t="shared" ca="1" si="14"/>
        <v>Retorno</v>
      </c>
      <c r="G153" s="46">
        <f ca="1">IF(C153="","",IF(E153&lt;&gt;"Retorno",0,IF($G$20=Parâmetros!$D$2,Simulador!$O$10/$G$17,IF($G$20=Parâmetros!$D$3,PMT($O$25,$G$17,($O$10)*-1)-I153,""))))</f>
        <v>2370.2153655772818</v>
      </c>
      <c r="H153" s="46"/>
      <c r="I153" s="46">
        <f t="shared" ca="1" si="9"/>
        <v>6505.3135240303818</v>
      </c>
      <c r="J153" s="34"/>
      <c r="K153" s="46">
        <f t="shared" ca="1" si="15"/>
        <v>0</v>
      </c>
      <c r="L153" s="46"/>
      <c r="M153" s="46">
        <f ca="1">IFERROR(IF(C153="","",IF($C$10=Parâmetros!$C$3,0,VLOOKUP(A153,'Base de Dados'!$E$3:$G$422,3,FALSE)*S153)),0)</f>
        <v>257.01181194400601</v>
      </c>
      <c r="N153" s="34"/>
      <c r="O153" s="46">
        <f ca="1">IF(C153="","",IF(C154="",0,IF(E153="Construção",0,IF(E153="Seguro",$C$17*'Base de Dados'!$C$2,IF($C$14=Parâmetros!$B$4,0,Simulador!$C$17*'Base de Dados'!$C$2)))))</f>
        <v>75</v>
      </c>
      <c r="P153" s="46"/>
      <c r="Q153" s="46">
        <f ca="1">IF(C153="","",IF(E153&lt;&gt;"Retorno",(I153+K153+M153),IF($G$20=Parâmetros!$D$2,SUM(G153,I153,K153,M153,O153),PMT($O$25,SUM($G$17),($O$10)*-1)+O153+M153+K153)))</f>
        <v>9207.5407015516703</v>
      </c>
      <c r="R153" s="46"/>
      <c r="S153" s="46">
        <f t="shared" ca="1" si="16"/>
        <v>590560.22965074913</v>
      </c>
      <c r="U153" s="15" t="str">
        <f t="shared" ca="1" si="17"/>
        <v/>
      </c>
    </row>
    <row r="154" spans="1:21" x14ac:dyDescent="0.3">
      <c r="A154" s="49">
        <f t="shared" ca="1" si="10"/>
        <v>49847</v>
      </c>
      <c r="B154" s="49" t="str">
        <f t="shared" ca="1" si="11"/>
        <v/>
      </c>
      <c r="C154" s="81">
        <f t="shared" ca="1" si="12"/>
        <v>121</v>
      </c>
      <c r="D154" s="34">
        <f t="shared" ca="1" si="13"/>
        <v>121</v>
      </c>
      <c r="E154" s="4" t="str">
        <f t="shared" ca="1" si="14"/>
        <v>Retorno</v>
      </c>
      <c r="G154" s="46">
        <f ca="1">IF(C154="","",IF(E154&lt;&gt;"Retorno",0,IF($G$20=Parâmetros!$D$2,Simulador!$O$10/$G$17,IF($G$20=Parâmetros!$D$3,PMT($O$25,$G$17,($O$10)*-1)-I154,""))))</f>
        <v>2396.2200921048898</v>
      </c>
      <c r="H154" s="46"/>
      <c r="I154" s="46">
        <f t="shared" ca="1" si="9"/>
        <v>6479.3087975027738</v>
      </c>
      <c r="J154" s="34"/>
      <c r="K154" s="46">
        <f t="shared" ca="1" si="15"/>
        <v>0</v>
      </c>
      <c r="L154" s="46"/>
      <c r="M154" s="46">
        <f ca="1">IFERROR(IF(C154="","",IF($C$10=Parâmetros!$C$3,0,VLOOKUP(A154,'Base de Dados'!$E$3:$G$422,3,FALSE)*S154)),0)</f>
        <v>255.96897695992197</v>
      </c>
      <c r="N154" s="34"/>
      <c r="O154" s="46">
        <f ca="1">IF(C154="","",IF(C155="",0,IF(E154="Construção",0,IF(E154="Seguro",$C$17*'Base de Dados'!$C$2,IF($C$14=Parâmetros!$B$4,0,Simulador!$C$17*'Base de Dados'!$C$2)))))</f>
        <v>75</v>
      </c>
      <c r="P154" s="46"/>
      <c r="Q154" s="46">
        <f ca="1">IF(C154="","",IF(E154&lt;&gt;"Retorno",(I154+K154+M154),IF($G$20=Parâmetros!$D$2,SUM(G154,I154,K154,M154,O154),PMT($O$25,SUM($G$17),($O$10)*-1)+O154+M154+K154)))</f>
        <v>9206.4978665675862</v>
      </c>
      <c r="R154" s="46"/>
      <c r="S154" s="46">
        <f t="shared" ca="1" si="16"/>
        <v>588164.00955864426</v>
      </c>
      <c r="U154" s="15" t="str">
        <f t="shared" ca="1" si="17"/>
        <v/>
      </c>
    </row>
    <row r="155" spans="1:21" x14ac:dyDescent="0.3">
      <c r="A155" s="49">
        <f t="shared" ca="1" si="10"/>
        <v>49877</v>
      </c>
      <c r="B155" s="49" t="str">
        <f t="shared" ca="1" si="11"/>
        <v/>
      </c>
      <c r="C155" s="81">
        <f t="shared" ca="1" si="12"/>
        <v>122</v>
      </c>
      <c r="D155" s="34">
        <f t="shared" ca="1" si="13"/>
        <v>122</v>
      </c>
      <c r="E155" s="4" t="str">
        <f t="shared" ca="1" si="14"/>
        <v>Retorno</v>
      </c>
      <c r="G155" s="46">
        <f ca="1">IF(C155="","",IF(E155&lt;&gt;"Retorno",0,IF($G$20=Parâmetros!$D$2,Simulador!$O$10/$G$17,IF($G$20=Parâmetros!$D$3,PMT($O$25,$G$17,($O$10)*-1)-I155,""))))</f>
        <v>2422.5101284873926</v>
      </c>
      <c r="H155" s="46"/>
      <c r="I155" s="46">
        <f t="shared" ca="1" si="9"/>
        <v>6453.0187611202709</v>
      </c>
      <c r="J155" s="34"/>
      <c r="K155" s="46">
        <f t="shared" ca="1" si="15"/>
        <v>0</v>
      </c>
      <c r="L155" s="46"/>
      <c r="M155" s="46">
        <f ca="1">IFERROR(IF(C155="","",IF($C$10=Parâmetros!$C$3,0,VLOOKUP(A155,'Base de Dados'!$E$3:$G$422,3,FALSE)*S155)),0)</f>
        <v>254.91470055200429</v>
      </c>
      <c r="N155" s="34"/>
      <c r="O155" s="46">
        <f ca="1">IF(C155="","",IF(C156="",0,IF(E155="Construção",0,IF(E155="Seguro",$C$17*'Base de Dados'!$C$2,IF($C$14=Parâmetros!$B$4,0,Simulador!$C$17*'Base de Dados'!$C$2)))))</f>
        <v>75</v>
      </c>
      <c r="P155" s="46"/>
      <c r="Q155" s="46">
        <f ca="1">IF(C155="","",IF(E155&lt;&gt;"Retorno",(I155+K155+M155),IF($G$20=Parâmetros!$D$2,SUM(G155,I155,K155,M155,O155),PMT($O$25,SUM($G$17),($O$10)*-1)+O155+M155+K155)))</f>
        <v>9205.443590159668</v>
      </c>
      <c r="R155" s="46"/>
      <c r="S155" s="46">
        <f t="shared" ca="1" si="16"/>
        <v>585741.49943015689</v>
      </c>
      <c r="U155" s="15" t="str">
        <f t="shared" ca="1" si="17"/>
        <v/>
      </c>
    </row>
    <row r="156" spans="1:21" x14ac:dyDescent="0.3">
      <c r="A156" s="49">
        <f t="shared" ca="1" si="10"/>
        <v>49908</v>
      </c>
      <c r="B156" s="49" t="str">
        <f t="shared" ca="1" si="11"/>
        <v/>
      </c>
      <c r="C156" s="81">
        <f t="shared" ca="1" si="12"/>
        <v>123</v>
      </c>
      <c r="D156" s="34">
        <f t="shared" ca="1" si="13"/>
        <v>123</v>
      </c>
      <c r="E156" s="4" t="str">
        <f t="shared" ca="1" si="14"/>
        <v>Retorno</v>
      </c>
      <c r="G156" s="46">
        <f ca="1">IF(C156="","",IF(E156&lt;&gt;"Retorno",0,IF($G$20=Parâmetros!$D$2,Simulador!$O$10/$G$17,IF($G$20=Parâmetros!$D$3,PMT($O$25,$G$17,($O$10)*-1)-I156,""))))</f>
        <v>2449.0886049906512</v>
      </c>
      <c r="H156" s="46"/>
      <c r="I156" s="46">
        <f t="shared" ca="1" si="9"/>
        <v>6426.4402846170124</v>
      </c>
      <c r="J156" s="34"/>
      <c r="K156" s="46">
        <f t="shared" ca="1" si="15"/>
        <v>0</v>
      </c>
      <c r="L156" s="46"/>
      <c r="M156" s="46">
        <f ca="1">IFERROR(IF(C156="","",IF($C$10=Parâmetros!$C$3,0,VLOOKUP(A156,'Base de Dados'!$E$3:$G$422,3,FALSE)*S156)),0)</f>
        <v>253.84885719111236</v>
      </c>
      <c r="N156" s="34"/>
      <c r="O156" s="46">
        <f ca="1">IF(C156="","",IF(C157="",0,IF(E156="Construção",0,IF(E156="Seguro",$C$17*'Base de Dados'!$C$2,IF($C$14=Parâmetros!$B$4,0,Simulador!$C$17*'Base de Dados'!$C$2)))))</f>
        <v>75</v>
      </c>
      <c r="P156" s="46"/>
      <c r="Q156" s="46">
        <f ca="1">IF(C156="","",IF(E156&lt;&gt;"Retorno",(I156+K156+M156),IF($G$20=Parâmetros!$D$2,SUM(G156,I156,K156,M156,O156),PMT($O$25,SUM($G$17),($O$10)*-1)+O156+M156+K156)))</f>
        <v>9204.3777467987766</v>
      </c>
      <c r="R156" s="46"/>
      <c r="S156" s="46">
        <f t="shared" ca="1" si="16"/>
        <v>583292.41082516627</v>
      </c>
      <c r="U156" s="15" t="str">
        <f t="shared" ca="1" si="17"/>
        <v/>
      </c>
    </row>
    <row r="157" spans="1:21" x14ac:dyDescent="0.3">
      <c r="A157" s="49">
        <f t="shared" ca="1" si="10"/>
        <v>49939</v>
      </c>
      <c r="B157" s="49" t="str">
        <f t="shared" ca="1" si="11"/>
        <v/>
      </c>
      <c r="C157" s="81">
        <f t="shared" ca="1" si="12"/>
        <v>124</v>
      </c>
      <c r="D157" s="34">
        <f t="shared" ca="1" si="13"/>
        <v>124</v>
      </c>
      <c r="E157" s="4" t="str">
        <f t="shared" ca="1" si="14"/>
        <v>Retorno</v>
      </c>
      <c r="G157" s="46">
        <f ca="1">IF(C157="","",IF(E157&lt;&gt;"Retorno",0,IF($G$20=Parâmetros!$D$2,Simulador!$O$10/$G$17,IF($G$20=Parâmetros!$D$3,PMT($O$25,$G$17,($O$10)*-1)-I157,""))))</f>
        <v>2475.9586862244432</v>
      </c>
      <c r="H157" s="46"/>
      <c r="I157" s="46">
        <f t="shared" ca="1" si="9"/>
        <v>6399.5702033832204</v>
      </c>
      <c r="J157" s="34"/>
      <c r="K157" s="46">
        <f t="shared" ca="1" si="15"/>
        <v>0</v>
      </c>
      <c r="L157" s="46"/>
      <c r="M157" s="46">
        <f ca="1">IFERROR(IF(C157="","",IF($C$10=Parâmetros!$C$3,0,VLOOKUP(A157,'Base de Dados'!$E$3:$G$422,3,FALSE)*S157)),0)</f>
        <v>252.77131997086749</v>
      </c>
      <c r="N157" s="34"/>
      <c r="O157" s="46">
        <f ca="1">IF(C157="","",IF(C158="",0,IF(E157="Construção",0,IF(E157="Seguro",$C$17*'Base de Dados'!$C$2,IF($C$14=Parâmetros!$B$4,0,Simulador!$C$17*'Base de Dados'!$C$2)))))</f>
        <v>75</v>
      </c>
      <c r="P157" s="46"/>
      <c r="Q157" s="46">
        <f ca="1">IF(C157="","",IF(E157&lt;&gt;"Retorno",(I157+K157+M157),IF($G$20=Parâmetros!$D$2,SUM(G157,I157,K157,M157,O157),PMT($O$25,SUM($G$17),($O$10)*-1)+O157+M157+K157)))</f>
        <v>9203.3002095785305</v>
      </c>
      <c r="R157" s="46"/>
      <c r="S157" s="46">
        <f t="shared" ca="1" si="16"/>
        <v>580816.45213894185</v>
      </c>
      <c r="U157" s="15" t="str">
        <f t="shared" ca="1" si="17"/>
        <v/>
      </c>
    </row>
    <row r="158" spans="1:21" x14ac:dyDescent="0.3">
      <c r="A158" s="49">
        <f t="shared" ca="1" si="10"/>
        <v>49969</v>
      </c>
      <c r="B158" s="49" t="str">
        <f t="shared" ca="1" si="11"/>
        <v/>
      </c>
      <c r="C158" s="81">
        <f t="shared" ca="1" si="12"/>
        <v>125</v>
      </c>
      <c r="D158" s="34">
        <f t="shared" ca="1" si="13"/>
        <v>125</v>
      </c>
      <c r="E158" s="4" t="str">
        <f t="shared" ca="1" si="14"/>
        <v>Retorno</v>
      </c>
      <c r="G158" s="46">
        <f ca="1">IF(C158="","",IF(E158&lt;&gt;"Retorno",0,IF($G$20=Parâmetros!$D$2,Simulador!$O$10/$G$17,IF($G$20=Parâmetros!$D$3,PMT($O$25,$G$17,($O$10)*-1)-I158,""))))</f>
        <v>2503.1235715188341</v>
      </c>
      <c r="H158" s="46"/>
      <c r="I158" s="46">
        <f t="shared" ca="1" si="9"/>
        <v>6372.4053180888295</v>
      </c>
      <c r="J158" s="34"/>
      <c r="K158" s="46">
        <f t="shared" ca="1" si="15"/>
        <v>0</v>
      </c>
      <c r="L158" s="46"/>
      <c r="M158" s="46">
        <f ca="1">IFERROR(IF(C158="","",IF($C$10=Parâmetros!$C$3,0,VLOOKUP(A158,'Base de Dados'!$E$3:$G$422,3,FALSE)*S158)),0)</f>
        <v>251.68196059254251</v>
      </c>
      <c r="N158" s="34"/>
      <c r="O158" s="46">
        <f ca="1">IF(C158="","",IF(C159="",0,IF(E158="Construção",0,IF(E158="Seguro",$C$17*'Base de Dados'!$C$2,IF($C$14=Parâmetros!$B$4,0,Simulador!$C$17*'Base de Dados'!$C$2)))))</f>
        <v>75</v>
      </c>
      <c r="P158" s="46"/>
      <c r="Q158" s="46">
        <f ca="1">IF(C158="","",IF(E158&lt;&gt;"Retorno",(I158+K158+M158),IF($G$20=Parâmetros!$D$2,SUM(G158,I158,K158,M158,O158),PMT($O$25,SUM($G$17),($O$10)*-1)+O158+M158+K158)))</f>
        <v>9202.2108502002066</v>
      </c>
      <c r="R158" s="46"/>
      <c r="S158" s="46">
        <f t="shared" ca="1" si="16"/>
        <v>578313.32856742304</v>
      </c>
      <c r="U158" s="15" t="str">
        <f t="shared" ca="1" si="17"/>
        <v/>
      </c>
    </row>
    <row r="159" spans="1:21" x14ac:dyDescent="0.3">
      <c r="A159" s="49">
        <f t="shared" ca="1" si="10"/>
        <v>50000</v>
      </c>
      <c r="B159" s="49" t="str">
        <f t="shared" ca="1" si="11"/>
        <v/>
      </c>
      <c r="C159" s="81">
        <f t="shared" ca="1" si="12"/>
        <v>126</v>
      </c>
      <c r="D159" s="34">
        <f t="shared" ca="1" si="13"/>
        <v>126</v>
      </c>
      <c r="E159" s="4" t="str">
        <f t="shared" ca="1" si="14"/>
        <v>Retorno</v>
      </c>
      <c r="G159" s="46">
        <f ca="1">IF(C159="","",IF(E159&lt;&gt;"Retorno",0,IF($G$20=Parâmetros!$D$2,Simulador!$O$10/$G$17,IF($G$20=Parâmetros!$D$3,PMT($O$25,$G$17,($O$10)*-1)-I159,""))))</f>
        <v>2530.5864953052042</v>
      </c>
      <c r="H159" s="46"/>
      <c r="I159" s="46">
        <f t="shared" ca="1" si="9"/>
        <v>6344.9423943024594</v>
      </c>
      <c r="J159" s="34"/>
      <c r="K159" s="46">
        <f t="shared" ca="1" si="15"/>
        <v>0</v>
      </c>
      <c r="L159" s="46"/>
      <c r="M159" s="46">
        <f ca="1">IFERROR(IF(C159="","",IF($C$10=Parâmetros!$C$3,0,VLOOKUP(A159,'Base de Dados'!$E$3:$G$422,3,FALSE)*S159)),0)</f>
        <v>250.58064934978569</v>
      </c>
      <c r="N159" s="34"/>
      <c r="O159" s="46">
        <f ca="1">IF(C159="","",IF(C160="",0,IF(E159="Construção",0,IF(E159="Seguro",$C$17*'Base de Dados'!$C$2,IF($C$14=Parâmetros!$B$4,0,Simulador!$C$17*'Base de Dados'!$C$2)))))</f>
        <v>75</v>
      </c>
      <c r="P159" s="46"/>
      <c r="Q159" s="46">
        <f ca="1">IF(C159="","",IF(E159&lt;&gt;"Retorno",(I159+K159+M159),IF($G$20=Parâmetros!$D$2,SUM(G159,I159,K159,M159,O159),PMT($O$25,SUM($G$17),($O$10)*-1)+O159+M159+K159)))</f>
        <v>9201.1095389574493</v>
      </c>
      <c r="R159" s="46"/>
      <c r="S159" s="46">
        <f t="shared" ca="1" si="16"/>
        <v>575782.74207211786</v>
      </c>
      <c r="U159" s="15" t="str">
        <f t="shared" ca="1" si="17"/>
        <v/>
      </c>
    </row>
    <row r="160" spans="1:21" x14ac:dyDescent="0.3">
      <c r="A160" s="49">
        <f t="shared" ca="1" si="10"/>
        <v>50030</v>
      </c>
      <c r="B160" s="49" t="str">
        <f t="shared" ca="1" si="11"/>
        <v/>
      </c>
      <c r="C160" s="81">
        <f t="shared" ca="1" si="12"/>
        <v>127</v>
      </c>
      <c r="D160" s="34">
        <f t="shared" ca="1" si="13"/>
        <v>127</v>
      </c>
      <c r="E160" s="4" t="str">
        <f t="shared" ca="1" si="14"/>
        <v>Retorno</v>
      </c>
      <c r="G160" s="46">
        <f ca="1">IF(C160="","",IF(E160&lt;&gt;"Retorno",0,IF($G$20=Parâmetros!$D$2,Simulador!$O$10/$G$17,IF($G$20=Parâmetros!$D$3,PMT($O$25,$G$17,($O$10)*-1)-I160,""))))</f>
        <v>2558.3507275014672</v>
      </c>
      <c r="H160" s="46"/>
      <c r="I160" s="46">
        <f t="shared" ca="1" si="9"/>
        <v>6317.1781621061964</v>
      </c>
      <c r="J160" s="34"/>
      <c r="K160" s="46">
        <f t="shared" ca="1" si="15"/>
        <v>0</v>
      </c>
      <c r="L160" s="46"/>
      <c r="M160" s="46">
        <f ca="1">IFERROR(IF(C160="","",IF($C$10=Parâmetros!$C$3,0,VLOOKUP(A160,'Base de Dados'!$E$3:$G$422,3,FALSE)*S160)),0)</f>
        <v>249.46725511317706</v>
      </c>
      <c r="N160" s="34"/>
      <c r="O160" s="46">
        <f ca="1">IF(C160="","",IF(C161="",0,IF(E160="Construção",0,IF(E160="Seguro",$C$17*'Base de Dados'!$C$2,IF($C$14=Parâmetros!$B$4,0,Simulador!$C$17*'Base de Dados'!$C$2)))))</f>
        <v>75</v>
      </c>
      <c r="P160" s="46"/>
      <c r="Q160" s="46">
        <f ca="1">IF(C160="","",IF(E160&lt;&gt;"Retorno",(I160+K160+M160),IF($G$20=Parâmetros!$D$2,SUM(G160,I160,K160,M160,O160),PMT($O$25,SUM($G$17),($O$10)*-1)+O160+M160+K160)))</f>
        <v>9199.9961447208407</v>
      </c>
      <c r="R160" s="46"/>
      <c r="S160" s="46">
        <f t="shared" ca="1" si="16"/>
        <v>573224.39134461642</v>
      </c>
      <c r="U160" s="15" t="str">
        <f t="shared" ca="1" si="17"/>
        <v/>
      </c>
    </row>
    <row r="161" spans="1:21" x14ac:dyDescent="0.3">
      <c r="A161" s="49">
        <f t="shared" ca="1" si="10"/>
        <v>50061</v>
      </c>
      <c r="B161" s="49" t="str">
        <f t="shared" ca="1" si="11"/>
        <v/>
      </c>
      <c r="C161" s="81">
        <f t="shared" ca="1" si="12"/>
        <v>128</v>
      </c>
      <c r="D161" s="34">
        <f t="shared" ca="1" si="13"/>
        <v>128</v>
      </c>
      <c r="E161" s="4" t="str">
        <f t="shared" ca="1" si="14"/>
        <v>Retorno</v>
      </c>
      <c r="G161" s="46">
        <f ca="1">IF(C161="","",IF(E161&lt;&gt;"Retorno",0,IF($G$20=Parâmetros!$D$2,Simulador!$O$10/$G$17,IF($G$20=Parâmetros!$D$3,PMT($O$25,$G$17,($O$10)*-1)-I161,""))))</f>
        <v>2586.4195739011302</v>
      </c>
      <c r="H161" s="46"/>
      <c r="I161" s="46">
        <f t="shared" ca="1" si="9"/>
        <v>6289.1093157065334</v>
      </c>
      <c r="J161" s="34"/>
      <c r="K161" s="46">
        <f t="shared" ca="1" si="15"/>
        <v>0</v>
      </c>
      <c r="L161" s="46"/>
      <c r="M161" s="46">
        <f ca="1">IFERROR(IF(C161="","",IF($C$10=Parâmetros!$C$3,0,VLOOKUP(A161,'Base de Dados'!$E$3:$G$422,3,FALSE)*S161)),0)</f>
        <v>248.34164531461531</v>
      </c>
      <c r="N161" s="34"/>
      <c r="O161" s="46">
        <f ca="1">IF(C161="","",IF(C162="",0,IF(E161="Construção",0,IF(E161="Seguro",$C$17*'Base de Dados'!$C$2,IF($C$14=Parâmetros!$B$4,0,Simulador!$C$17*'Base de Dados'!$C$2)))))</f>
        <v>75</v>
      </c>
      <c r="P161" s="46"/>
      <c r="Q161" s="46">
        <f ca="1">IF(C161="","",IF(E161&lt;&gt;"Retorno",(I161+K161+M161),IF($G$20=Parâmetros!$D$2,SUM(G161,I161,K161,M161,O161),PMT($O$25,SUM($G$17),($O$10)*-1)+O161+M161+K161)))</f>
        <v>9198.8705349222782</v>
      </c>
      <c r="R161" s="46"/>
      <c r="S161" s="46">
        <f t="shared" ca="1" si="16"/>
        <v>570637.97177071532</v>
      </c>
      <c r="U161" s="15" t="str">
        <f t="shared" ca="1" si="17"/>
        <v/>
      </c>
    </row>
    <row r="162" spans="1:21" x14ac:dyDescent="0.3">
      <c r="A162" s="49">
        <f t="shared" ca="1" si="10"/>
        <v>50092</v>
      </c>
      <c r="B162" s="49" t="str">
        <f t="shared" ca="1" si="11"/>
        <v/>
      </c>
      <c r="C162" s="81">
        <f t="shared" ca="1" si="12"/>
        <v>129</v>
      </c>
      <c r="D162" s="34">
        <f t="shared" ca="1" si="13"/>
        <v>129</v>
      </c>
      <c r="E162" s="4" t="str">
        <f t="shared" ca="1" si="14"/>
        <v>Retorno</v>
      </c>
      <c r="G162" s="46">
        <f ca="1">IF(C162="","",IF(E162&lt;&gt;"Retorno",0,IF($G$20=Parâmetros!$D$2,Simulador!$O$10/$G$17,IF($G$20=Parâmetros!$D$3,PMT($O$25,$G$17,($O$10)*-1)-I162,""))))</f>
        <v>2614.7963765671266</v>
      </c>
      <c r="H162" s="46"/>
      <c r="I162" s="46">
        <f t="shared" ref="I162:I225" ca="1" si="18">IFERROR(IF(C162="","",FV($O$25,1,,-S161,0)-S161),"")</f>
        <v>6260.732513040537</v>
      </c>
      <c r="J162" s="34"/>
      <c r="K162" s="46">
        <f t="shared" ca="1" si="15"/>
        <v>0</v>
      </c>
      <c r="L162" s="46"/>
      <c r="M162" s="46">
        <f ca="1">IFERROR(IF(C162="","",IF($C$10=Parâmetros!$C$3,0,VLOOKUP(A162,'Base de Dados'!$E$3:$G$422,3,FALSE)*S162)),0)</f>
        <v>247.2036859315333</v>
      </c>
      <c r="N162" s="34"/>
      <c r="O162" s="46">
        <f ca="1">IF(C162="","",IF(C163="",0,IF(E162="Construção",0,IF(E162="Seguro",$C$17*'Base de Dados'!$C$2,IF($C$14=Parâmetros!$B$4,0,Simulador!$C$17*'Base de Dados'!$C$2)))))</f>
        <v>75</v>
      </c>
      <c r="P162" s="46"/>
      <c r="Q162" s="46">
        <f ca="1">IF(C162="","",IF(E162&lt;&gt;"Retorno",(I162+K162+M162),IF($G$20=Parâmetros!$D$2,SUM(G162,I162,K162,M162,O162),PMT($O$25,SUM($G$17),($O$10)*-1)+O162+M162+K162)))</f>
        <v>9197.7325755391976</v>
      </c>
      <c r="R162" s="46"/>
      <c r="S162" s="46">
        <f t="shared" ca="1" si="16"/>
        <v>568023.17539414822</v>
      </c>
      <c r="U162" s="15" t="str">
        <f t="shared" ca="1" si="17"/>
        <v/>
      </c>
    </row>
    <row r="163" spans="1:21" x14ac:dyDescent="0.3">
      <c r="A163" s="49">
        <f t="shared" ref="A163:A226" ca="1" si="19">IF(C163="","",IF(C162&gt;$G$17,0,EDATE(A162,1)))</f>
        <v>50120</v>
      </c>
      <c r="B163" s="49" t="str">
        <f t="shared" ref="B163:B226" ca="1" si="20">IF(AND(E163="Retorno",E162&lt;&gt;"Retorno"),"Primeira",IF(AND(E163="Retorno",E162=""),"Primeira",""))</f>
        <v/>
      </c>
      <c r="C163" s="81">
        <f t="shared" ref="C163:C226" ca="1" si="21">IF(OR(C162&gt;=$K$19,C162=""),"",C162+1)</f>
        <v>130</v>
      </c>
      <c r="D163" s="34">
        <f t="shared" ref="D163:D226" ca="1" si="22">C163</f>
        <v>130</v>
      </c>
      <c r="E163" s="4" t="str">
        <f t="shared" ref="E163:E226" ca="1" si="23">IF(C163="","","Retorno")</f>
        <v>Retorno</v>
      </c>
      <c r="G163" s="46">
        <f ca="1">IF(C163="","",IF(E163&lt;&gt;"Retorno",0,IF($G$20=Parâmetros!$D$2,Simulador!$O$10/$G$17,IF($G$20=Parâmetros!$D$3,PMT($O$25,$G$17,($O$10)*-1)-I163,""))))</f>
        <v>2643.4845142299564</v>
      </c>
      <c r="H163" s="46"/>
      <c r="I163" s="46">
        <f t="shared" ca="1" si="18"/>
        <v>6232.0443753777072</v>
      </c>
      <c r="J163" s="34"/>
      <c r="K163" s="46">
        <f t="shared" ref="K163:K226" ca="1" si="24">IF(C163="","",IF(AND($O$23&lt;12.01%,$C$17&lt;2250000.01),25,0))</f>
        <v>0</v>
      </c>
      <c r="L163" s="46"/>
      <c r="M163" s="46">
        <f ca="1">IFERROR(IF(C163="","",IF($C$10=Parâmetros!$C$3,0,VLOOKUP(A163,'Base de Dados'!$E$3:$G$422,3,FALSE)*S163)),0)</f>
        <v>246.05324147094043</v>
      </c>
      <c r="N163" s="34"/>
      <c r="O163" s="46">
        <f ca="1">IF(C163="","",IF(C164="",0,IF(E163="Construção",0,IF(E163="Seguro",$C$17*'Base de Dados'!$C$2,IF($C$14=Parâmetros!$B$4,0,Simulador!$C$17*'Base de Dados'!$C$2)))))</f>
        <v>75</v>
      </c>
      <c r="P163" s="46"/>
      <c r="Q163" s="46">
        <f ca="1">IF(C163="","",IF(E163&lt;&gt;"Retorno",(I163+K163+M163),IF($G$20=Parâmetros!$D$2,SUM(G163,I163,K163,M163,O163),PMT($O$25,SUM($G$17),($O$10)*-1)+O163+M163+K163)))</f>
        <v>9196.5821310786032</v>
      </c>
      <c r="R163" s="46"/>
      <c r="S163" s="46">
        <f t="shared" ref="S163:S226" ca="1" si="25">IF(E163="Construção",S162+(U163*-1),IF(E163="Carência",S162,IF(E163="Retorno",S162-G163,"")))</f>
        <v>565379.69087991829</v>
      </c>
      <c r="U163" s="15" t="str">
        <f t="shared" ref="U163:U226" ca="1" si="26">IF(E163="Construção",(($O$10+$U$33)/$K$10)*-1,"")</f>
        <v/>
      </c>
    </row>
    <row r="164" spans="1:21" x14ac:dyDescent="0.3">
      <c r="A164" s="49">
        <f t="shared" ca="1" si="19"/>
        <v>50151</v>
      </c>
      <c r="B164" s="49" t="str">
        <f t="shared" ca="1" si="20"/>
        <v/>
      </c>
      <c r="C164" s="81">
        <f t="shared" ca="1" si="21"/>
        <v>131</v>
      </c>
      <c r="D164" s="34">
        <f t="shared" ca="1" si="22"/>
        <v>131</v>
      </c>
      <c r="E164" s="4" t="str">
        <f t="shared" ca="1" si="23"/>
        <v>Retorno</v>
      </c>
      <c r="G164" s="46">
        <f ca="1">IF(C164="","",IF(E164&lt;&gt;"Retorno",0,IF($G$20=Parâmetros!$D$2,Simulador!$O$10/$G$17,IF($G$20=Parâmetros!$D$3,PMT($O$25,$G$17,($O$10)*-1)-I164,""))))</f>
        <v>2672.4874026893194</v>
      </c>
      <c r="H164" s="46"/>
      <c r="I164" s="46">
        <f t="shared" ca="1" si="18"/>
        <v>6203.0414869183442</v>
      </c>
      <c r="J164" s="34"/>
      <c r="K164" s="46">
        <f t="shared" ca="1" si="24"/>
        <v>0</v>
      </c>
      <c r="L164" s="46"/>
      <c r="M164" s="46">
        <f ca="1">IFERROR(IF(C164="","",IF($C$10=Parâmetros!$C$3,0,VLOOKUP(A164,'Base de Dados'!$E$3:$G$422,3,FALSE)*S164)),0)</f>
        <v>244.89017495329006</v>
      </c>
      <c r="N164" s="34"/>
      <c r="O164" s="46">
        <f ca="1">IF(C164="","",IF(C165="",0,IF(E164="Construção",0,IF(E164="Seguro",$C$17*'Base de Dados'!$C$2,IF($C$14=Parâmetros!$B$4,0,Simulador!$C$17*'Base de Dados'!$C$2)))))</f>
        <v>75</v>
      </c>
      <c r="P164" s="46"/>
      <c r="Q164" s="46">
        <f ca="1">IF(C164="","",IF(E164&lt;&gt;"Retorno",(I164+K164+M164),IF($G$20=Parâmetros!$D$2,SUM(G164,I164,K164,M164,O164),PMT($O$25,SUM($G$17),($O$10)*-1)+O164+M164+K164)))</f>
        <v>9195.4190645609542</v>
      </c>
      <c r="R164" s="46"/>
      <c r="S164" s="46">
        <f t="shared" ca="1" si="25"/>
        <v>562707.20347722899</v>
      </c>
      <c r="U164" s="15" t="str">
        <f t="shared" ca="1" si="26"/>
        <v/>
      </c>
    </row>
    <row r="165" spans="1:21" x14ac:dyDescent="0.3">
      <c r="A165" s="49">
        <f t="shared" ca="1" si="19"/>
        <v>50181</v>
      </c>
      <c r="B165" s="49" t="str">
        <f t="shared" ca="1" si="20"/>
        <v/>
      </c>
      <c r="C165" s="81">
        <f t="shared" ca="1" si="21"/>
        <v>132</v>
      </c>
      <c r="D165" s="34">
        <f t="shared" ca="1" si="22"/>
        <v>132</v>
      </c>
      <c r="E165" s="4" t="str">
        <f t="shared" ca="1" si="23"/>
        <v>Retorno</v>
      </c>
      <c r="G165" s="46">
        <f ca="1">IF(C165="","",IF(E165&lt;&gt;"Retorno",0,IF($G$20=Parâmetros!$D$2,Simulador!$O$10/$G$17,IF($G$20=Parâmetros!$D$3,PMT($O$25,$G$17,($O$10)*-1)-I165,""))))</f>
        <v>2701.8084952215686</v>
      </c>
      <c r="H165" s="46"/>
      <c r="I165" s="46">
        <f t="shared" ca="1" si="18"/>
        <v>6173.720394386095</v>
      </c>
      <c r="J165" s="34"/>
      <c r="K165" s="46">
        <f t="shared" ca="1" si="24"/>
        <v>0</v>
      </c>
      <c r="L165" s="46"/>
      <c r="M165" s="46">
        <f ca="1">IFERROR(IF(C165="","",IF($C$10=Parâmetros!$C$3,0,VLOOKUP(A165,'Base de Dados'!$E$3:$G$422,3,FALSE)*S165)),0)</f>
        <v>243.71434789616964</v>
      </c>
      <c r="N165" s="34"/>
      <c r="O165" s="46">
        <f ca="1">IF(C165="","",IF(C166="",0,IF(E165="Construção",0,IF(E165="Seguro",$C$17*'Base de Dados'!$C$2,IF($C$14=Parâmetros!$B$4,0,Simulador!$C$17*'Base de Dados'!$C$2)))))</f>
        <v>75</v>
      </c>
      <c r="P165" s="46"/>
      <c r="Q165" s="46">
        <f ca="1">IF(C165="","",IF(E165&lt;&gt;"Retorno",(I165+K165+M165),IF($G$20=Parâmetros!$D$2,SUM(G165,I165,K165,M165,O165),PMT($O$25,SUM($G$17),($O$10)*-1)+O165+M165+K165)))</f>
        <v>9194.2432375038334</v>
      </c>
      <c r="R165" s="46"/>
      <c r="S165" s="46">
        <f t="shared" ca="1" si="25"/>
        <v>560005.39498200745</v>
      </c>
      <c r="U165" s="15" t="str">
        <f t="shared" ca="1" si="26"/>
        <v/>
      </c>
    </row>
    <row r="166" spans="1:21" x14ac:dyDescent="0.3">
      <c r="A166" s="49">
        <f t="shared" ca="1" si="19"/>
        <v>50212</v>
      </c>
      <c r="B166" s="49" t="str">
        <f t="shared" ca="1" si="20"/>
        <v/>
      </c>
      <c r="C166" s="81">
        <f t="shared" ca="1" si="21"/>
        <v>133</v>
      </c>
      <c r="D166" s="34">
        <f t="shared" ca="1" si="22"/>
        <v>133</v>
      </c>
      <c r="E166" s="4" t="str">
        <f t="shared" ca="1" si="23"/>
        <v>Retorno</v>
      </c>
      <c r="G166" s="46">
        <f ca="1">IF(C166="","",IF(E166&lt;&gt;"Retorno",0,IF($G$20=Parâmetros!$D$2,Simulador!$O$10/$G$17,IF($G$20=Parâmetros!$D$3,PMT($O$25,$G$17,($O$10)*-1)-I166,""))))</f>
        <v>2731.4512829904234</v>
      </c>
      <c r="H166" s="46"/>
      <c r="I166" s="46">
        <f t="shared" ca="1" si="18"/>
        <v>6144.0776066172402</v>
      </c>
      <c r="J166" s="34"/>
      <c r="K166" s="46">
        <f t="shared" ca="1" si="24"/>
        <v>0</v>
      </c>
      <c r="L166" s="46"/>
      <c r="M166" s="46">
        <f ca="1">IFERROR(IF(C166="","",IF($C$10=Parâmetros!$C$3,0,VLOOKUP(A166,'Base de Dados'!$E$3:$G$422,3,FALSE)*S166)),0)</f>
        <v>242.52562029781222</v>
      </c>
      <c r="N166" s="34"/>
      <c r="O166" s="46">
        <f ca="1">IF(C166="","",IF(C167="",0,IF(E166="Construção",0,IF(E166="Seguro",$C$17*'Base de Dados'!$C$2,IF($C$14=Parâmetros!$B$4,0,Simulador!$C$17*'Base de Dados'!$C$2)))))</f>
        <v>75</v>
      </c>
      <c r="P166" s="46"/>
      <c r="Q166" s="46">
        <f ca="1">IF(C166="","",IF(E166&lt;&gt;"Retorno",(I166+K166+M166),IF($G$20=Parâmetros!$D$2,SUM(G166,I166,K166,M166,O166),PMT($O$25,SUM($G$17),($O$10)*-1)+O166+M166+K166)))</f>
        <v>9193.0545099054762</v>
      </c>
      <c r="R166" s="46"/>
      <c r="S166" s="46">
        <f t="shared" ca="1" si="25"/>
        <v>557273.94369901705</v>
      </c>
      <c r="U166" s="15" t="str">
        <f t="shared" ca="1" si="26"/>
        <v/>
      </c>
    </row>
    <row r="167" spans="1:21" x14ac:dyDescent="0.3">
      <c r="A167" s="49">
        <f t="shared" ca="1" si="19"/>
        <v>50242</v>
      </c>
      <c r="B167" s="49" t="str">
        <f t="shared" ca="1" si="20"/>
        <v/>
      </c>
      <c r="C167" s="81">
        <f t="shared" ca="1" si="21"/>
        <v>134</v>
      </c>
      <c r="D167" s="34">
        <f t="shared" ca="1" si="22"/>
        <v>134</v>
      </c>
      <c r="E167" s="4" t="str">
        <f t="shared" ca="1" si="23"/>
        <v>Retorno</v>
      </c>
      <c r="G167" s="46">
        <f ca="1">IF(C167="","",IF(E167&lt;&gt;"Retorno",0,IF($G$20=Parâmetros!$D$2,Simulador!$O$10/$G$17,IF($G$20=Parâmetros!$D$3,PMT($O$25,$G$17,($O$10)*-1)-I167,""))))</f>
        <v>2761.4192954626888</v>
      </c>
      <c r="H167" s="46"/>
      <c r="I167" s="46">
        <f t="shared" ca="1" si="18"/>
        <v>6114.1095941449748</v>
      </c>
      <c r="J167" s="34"/>
      <c r="K167" s="46">
        <f t="shared" ca="1" si="24"/>
        <v>0</v>
      </c>
      <c r="L167" s="46"/>
      <c r="M167" s="46">
        <f ca="1">IFERROR(IF(C167="","",IF($C$10=Parâmetros!$C$3,0,VLOOKUP(A167,'Base de Dados'!$E$3:$G$422,3,FALSE)*S167)),0)</f>
        <v>241.32385062042687</v>
      </c>
      <c r="N167" s="34"/>
      <c r="O167" s="46">
        <f ca="1">IF(C167="","",IF(C168="",0,IF(E167="Construção",0,IF(E167="Seguro",$C$17*'Base de Dados'!$C$2,IF($C$14=Parâmetros!$B$4,0,Simulador!$C$17*'Base de Dados'!$C$2)))))</f>
        <v>75</v>
      </c>
      <c r="P167" s="46"/>
      <c r="Q167" s="46">
        <f ca="1">IF(C167="","",IF(E167&lt;&gt;"Retorno",(I167+K167+M167),IF($G$20=Parâmetros!$D$2,SUM(G167,I167,K167,M167,O167),PMT($O$25,SUM($G$17),($O$10)*-1)+O167+M167+K167)))</f>
        <v>9191.8527402280906</v>
      </c>
      <c r="R167" s="46"/>
      <c r="S167" s="46">
        <f t="shared" ca="1" si="25"/>
        <v>554512.52440355439</v>
      </c>
      <c r="U167" s="15" t="str">
        <f t="shared" ca="1" si="26"/>
        <v/>
      </c>
    </row>
    <row r="168" spans="1:21" x14ac:dyDescent="0.3">
      <c r="A168" s="49">
        <f t="shared" ca="1" si="19"/>
        <v>50273</v>
      </c>
      <c r="B168" s="49" t="str">
        <f t="shared" ca="1" si="20"/>
        <v/>
      </c>
      <c r="C168" s="81">
        <f t="shared" ca="1" si="21"/>
        <v>135</v>
      </c>
      <c r="D168" s="34">
        <f t="shared" ca="1" si="22"/>
        <v>135</v>
      </c>
      <c r="E168" s="4" t="str">
        <f t="shared" ca="1" si="23"/>
        <v>Retorno</v>
      </c>
      <c r="G168" s="46">
        <f ca="1">IF(C168="","",IF(E168&lt;&gt;"Retorno",0,IF($G$20=Parâmetros!$D$2,Simulador!$O$10/$G$17,IF($G$20=Parâmetros!$D$3,PMT($O$25,$G$17,($O$10)*-1)-I168,""))))</f>
        <v>2791.716100828864</v>
      </c>
      <c r="H168" s="46"/>
      <c r="I168" s="46">
        <f t="shared" ca="1" si="18"/>
        <v>6083.8127887787996</v>
      </c>
      <c r="J168" s="34"/>
      <c r="K168" s="46">
        <f t="shared" ca="1" si="24"/>
        <v>0</v>
      </c>
      <c r="L168" s="46"/>
      <c r="M168" s="46">
        <f ca="1">IFERROR(IF(C168="","",IF($C$10=Parâmetros!$C$3,0,VLOOKUP(A168,'Base de Dados'!$E$3:$G$422,3,FALSE)*S168)),0)</f>
        <v>240.10889577334618</v>
      </c>
      <c r="N168" s="34"/>
      <c r="O168" s="46">
        <f ca="1">IF(C168="","",IF(C169="",0,IF(E168="Construção",0,IF(E168="Seguro",$C$17*'Base de Dados'!$C$2,IF($C$14=Parâmetros!$B$4,0,Simulador!$C$17*'Base de Dados'!$C$2)))))</f>
        <v>75</v>
      </c>
      <c r="P168" s="46"/>
      <c r="Q168" s="46">
        <f ca="1">IF(C168="","",IF(E168&lt;&gt;"Retorno",(I168+K168+M168),IF($G$20=Parâmetros!$D$2,SUM(G168,I168,K168,M168,O168),PMT($O$25,SUM($G$17),($O$10)*-1)+O168+M168+K168)))</f>
        <v>9190.63778538101</v>
      </c>
      <c r="R168" s="46"/>
      <c r="S168" s="46">
        <f t="shared" ca="1" si="25"/>
        <v>551720.80830272555</v>
      </c>
      <c r="U168" s="15" t="str">
        <f t="shared" ca="1" si="26"/>
        <v/>
      </c>
    </row>
    <row r="169" spans="1:21" x14ac:dyDescent="0.3">
      <c r="A169" s="49">
        <f t="shared" ca="1" si="19"/>
        <v>50304</v>
      </c>
      <c r="B169" s="49" t="str">
        <f t="shared" ca="1" si="20"/>
        <v/>
      </c>
      <c r="C169" s="81">
        <f t="shared" ca="1" si="21"/>
        <v>136</v>
      </c>
      <c r="D169" s="34">
        <f t="shared" ca="1" si="22"/>
        <v>136</v>
      </c>
      <c r="E169" s="4" t="str">
        <f t="shared" ca="1" si="23"/>
        <v>Retorno</v>
      </c>
      <c r="G169" s="46">
        <f ca="1">IF(C169="","",IF(E169&lt;&gt;"Retorno",0,IF($G$20=Parâmetros!$D$2,Simulador!$O$10/$G$17,IF($G$20=Parâmetros!$D$3,PMT($O$25,$G$17,($O$10)*-1)-I169,""))))</f>
        <v>2822.3453064272435</v>
      </c>
      <c r="H169" s="46"/>
      <c r="I169" s="46">
        <f t="shared" ca="1" si="18"/>
        <v>6053.1835831804201</v>
      </c>
      <c r="J169" s="34"/>
      <c r="K169" s="46">
        <f t="shared" ca="1" si="24"/>
        <v>0</v>
      </c>
      <c r="L169" s="46"/>
      <c r="M169" s="46">
        <f ca="1">IFERROR(IF(C169="","",IF($C$10=Parâmetros!$C$3,0,VLOOKUP(A169,'Base de Dados'!$E$3:$G$422,3,FALSE)*S169)),0)</f>
        <v>322.31317747142634</v>
      </c>
      <c r="N169" s="34"/>
      <c r="O169" s="46">
        <f ca="1">IF(C169="","",IF(C170="",0,IF(E169="Construção",0,IF(E169="Seguro",$C$17*'Base de Dados'!$C$2,IF($C$14=Parâmetros!$B$4,0,Simulador!$C$17*'Base de Dados'!$C$2)))))</f>
        <v>75</v>
      </c>
      <c r="P169" s="46"/>
      <c r="Q169" s="46">
        <f ca="1">IF(C169="","",IF(E169&lt;&gt;"Retorno",(I169+K169+M169),IF($G$20=Parâmetros!$D$2,SUM(G169,I169,K169,M169,O169),PMT($O$25,SUM($G$17),($O$10)*-1)+O169+M169+K169)))</f>
        <v>9272.8420670790892</v>
      </c>
      <c r="R169" s="46"/>
      <c r="S169" s="46">
        <f t="shared" ca="1" si="25"/>
        <v>548898.46299629833</v>
      </c>
      <c r="U169" s="15" t="str">
        <f t="shared" ca="1" si="26"/>
        <v/>
      </c>
    </row>
    <row r="170" spans="1:21" x14ac:dyDescent="0.3">
      <c r="A170" s="49">
        <f t="shared" ca="1" si="19"/>
        <v>50334</v>
      </c>
      <c r="B170" s="49" t="str">
        <f t="shared" ca="1" si="20"/>
        <v/>
      </c>
      <c r="C170" s="81">
        <f t="shared" ca="1" si="21"/>
        <v>137</v>
      </c>
      <c r="D170" s="34">
        <f t="shared" ca="1" si="22"/>
        <v>137</v>
      </c>
      <c r="E170" s="4" t="str">
        <f t="shared" ca="1" si="23"/>
        <v>Retorno</v>
      </c>
      <c r="G170" s="46">
        <f ca="1">IF(C170="","",IF(E170&lt;&gt;"Retorno",0,IF($G$20=Parâmetros!$D$2,Simulador!$O$10/$G$17,IF($G$20=Parâmetros!$D$3,PMT($O$25,$G$17,($O$10)*-1)-I170,""))))</f>
        <v>2853.3105591743042</v>
      </c>
      <c r="H170" s="46"/>
      <c r="I170" s="46">
        <f t="shared" ca="1" si="18"/>
        <v>6022.2183304333594</v>
      </c>
      <c r="J170" s="34"/>
      <c r="K170" s="46">
        <f t="shared" ca="1" si="24"/>
        <v>0</v>
      </c>
      <c r="L170" s="46"/>
      <c r="M170" s="46">
        <f ca="1">IFERROR(IF(C170="","",IF($C$10=Parâmetros!$C$3,0,VLOOKUP(A170,'Base de Dados'!$E$3:$G$422,3,FALSE)*S170)),0)</f>
        <v>320.6377135110792</v>
      </c>
      <c r="N170" s="34"/>
      <c r="O170" s="46">
        <f ca="1">IF(C170="","",IF(C171="",0,IF(E170="Construção",0,IF(E170="Seguro",$C$17*'Base de Dados'!$C$2,IF($C$14=Parâmetros!$B$4,0,Simulador!$C$17*'Base de Dados'!$C$2)))))</f>
        <v>75</v>
      </c>
      <c r="P170" s="46"/>
      <c r="Q170" s="46">
        <f ca="1">IF(C170="","",IF(E170&lt;&gt;"Retorno",(I170+K170+M170),IF($G$20=Parâmetros!$D$2,SUM(G170,I170,K170,M170,O170),PMT($O$25,SUM($G$17),($O$10)*-1)+O170+M170+K170)))</f>
        <v>9271.1666031187433</v>
      </c>
      <c r="R170" s="46"/>
      <c r="S170" s="46">
        <f t="shared" ca="1" si="25"/>
        <v>546045.15243712405</v>
      </c>
      <c r="U170" s="15" t="str">
        <f t="shared" ca="1" si="26"/>
        <v/>
      </c>
    </row>
    <row r="171" spans="1:21" x14ac:dyDescent="0.3">
      <c r="A171" s="49">
        <f t="shared" ca="1" si="19"/>
        <v>50365</v>
      </c>
      <c r="B171" s="49" t="str">
        <f t="shared" ca="1" si="20"/>
        <v/>
      </c>
      <c r="C171" s="81">
        <f t="shared" ca="1" si="21"/>
        <v>138</v>
      </c>
      <c r="D171" s="34">
        <f t="shared" ca="1" si="22"/>
        <v>138</v>
      </c>
      <c r="E171" s="4" t="str">
        <f t="shared" ca="1" si="23"/>
        <v>Retorno</v>
      </c>
      <c r="G171" s="46">
        <f ca="1">IF(C171="","",IF(E171&lt;&gt;"Retorno",0,IF($G$20=Parâmetros!$D$2,Simulador!$O$10/$G$17,IF($G$20=Parâmetros!$D$3,PMT($O$25,$G$17,($O$10)*-1)-I171,""))))</f>
        <v>2884.6155459984693</v>
      </c>
      <c r="H171" s="46"/>
      <c r="I171" s="46">
        <f t="shared" ca="1" si="18"/>
        <v>5990.9133436091943</v>
      </c>
      <c r="J171" s="34"/>
      <c r="K171" s="46">
        <f t="shared" ca="1" si="24"/>
        <v>0</v>
      </c>
      <c r="L171" s="46"/>
      <c r="M171" s="46">
        <f ca="1">IFERROR(IF(C171="","",IF($C$10=Parâmetros!$C$3,0,VLOOKUP(A171,'Base de Dados'!$E$3:$G$422,3,FALSE)*S171)),0)</f>
        <v>318.94386726246893</v>
      </c>
      <c r="N171" s="34"/>
      <c r="O171" s="46">
        <f ca="1">IF(C171="","",IF(C172="",0,IF(E171="Construção",0,IF(E171="Seguro",$C$17*'Base de Dados'!$C$2,IF($C$14=Parâmetros!$B$4,0,Simulador!$C$17*'Base de Dados'!$C$2)))))</f>
        <v>75</v>
      </c>
      <c r="P171" s="46"/>
      <c r="Q171" s="46">
        <f ca="1">IF(C171="","",IF(E171&lt;&gt;"Retorno",(I171+K171+M171),IF($G$20=Parâmetros!$D$2,SUM(G171,I171,K171,M171,O171),PMT($O$25,SUM($G$17),($O$10)*-1)+O171+M171+K171)))</f>
        <v>9269.4727568701328</v>
      </c>
      <c r="R171" s="46"/>
      <c r="S171" s="46">
        <f t="shared" ca="1" si="25"/>
        <v>543160.53689112561</v>
      </c>
      <c r="U171" s="15" t="str">
        <f t="shared" ca="1" si="26"/>
        <v/>
      </c>
    </row>
    <row r="172" spans="1:21" x14ac:dyDescent="0.3">
      <c r="A172" s="49">
        <f t="shared" ca="1" si="19"/>
        <v>50395</v>
      </c>
      <c r="B172" s="49" t="str">
        <f t="shared" ca="1" si="20"/>
        <v/>
      </c>
      <c r="C172" s="81">
        <f t="shared" ca="1" si="21"/>
        <v>139</v>
      </c>
      <c r="D172" s="34">
        <f t="shared" ca="1" si="22"/>
        <v>139</v>
      </c>
      <c r="E172" s="4" t="str">
        <f t="shared" ca="1" si="23"/>
        <v>Retorno</v>
      </c>
      <c r="G172" s="46">
        <f ca="1">IF(C172="","",IF(E172&lt;&gt;"Retorno",0,IF($G$20=Parâmetros!$D$2,Simulador!$O$10/$G$17,IF($G$20=Parâmetros!$D$3,PMT($O$25,$G$17,($O$10)*-1)-I172,""))))</f>
        <v>2916.2639942788774</v>
      </c>
      <c r="H172" s="46"/>
      <c r="I172" s="46">
        <f t="shared" ca="1" si="18"/>
        <v>5959.2648953287862</v>
      </c>
      <c r="J172" s="34"/>
      <c r="K172" s="46">
        <f t="shared" ca="1" si="24"/>
        <v>0</v>
      </c>
      <c r="L172" s="46"/>
      <c r="M172" s="46">
        <f ca="1">IFERROR(IF(C172="","",IF($C$10=Parâmetros!$C$3,0,VLOOKUP(A172,'Base de Dados'!$E$3:$G$422,3,FALSE)*S172)),0)</f>
        <v>317.23143704502837</v>
      </c>
      <c r="N172" s="34"/>
      <c r="O172" s="46">
        <f ca="1">IF(C172="","",IF(C173="",0,IF(E172="Construção",0,IF(E172="Seguro",$C$17*'Base de Dados'!$C$2,IF($C$14=Parâmetros!$B$4,0,Simulador!$C$17*'Base de Dados'!$C$2)))))</f>
        <v>75</v>
      </c>
      <c r="P172" s="46"/>
      <c r="Q172" s="46">
        <f ca="1">IF(C172="","",IF(E172&lt;&gt;"Retorno",(I172+K172+M172),IF($G$20=Parâmetros!$D$2,SUM(G172,I172,K172,M172,O172),PMT($O$25,SUM($G$17),($O$10)*-1)+O172+M172+K172)))</f>
        <v>9267.7603266526912</v>
      </c>
      <c r="R172" s="46"/>
      <c r="S172" s="46">
        <f t="shared" ca="1" si="25"/>
        <v>540244.27289684676</v>
      </c>
      <c r="U172" s="15" t="str">
        <f t="shared" ca="1" si="26"/>
        <v/>
      </c>
    </row>
    <row r="173" spans="1:21" x14ac:dyDescent="0.3">
      <c r="A173" s="49">
        <f t="shared" ca="1" si="19"/>
        <v>50426</v>
      </c>
      <c r="B173" s="49" t="str">
        <f t="shared" ca="1" si="20"/>
        <v/>
      </c>
      <c r="C173" s="81">
        <f t="shared" ca="1" si="21"/>
        <v>140</v>
      </c>
      <c r="D173" s="34">
        <f t="shared" ca="1" si="22"/>
        <v>140</v>
      </c>
      <c r="E173" s="4" t="str">
        <f t="shared" ca="1" si="23"/>
        <v>Retorno</v>
      </c>
      <c r="G173" s="46">
        <f ca="1">IF(C173="","",IF(E173&lt;&gt;"Retorno",0,IF($G$20=Parâmetros!$D$2,Simulador!$O$10/$G$17,IF($G$20=Parâmetros!$D$3,PMT($O$25,$G$17,($O$10)*-1)-I173,""))))</f>
        <v>2948.2596722898561</v>
      </c>
      <c r="H173" s="46"/>
      <c r="I173" s="46">
        <f t="shared" ca="1" si="18"/>
        <v>5927.2692173178075</v>
      </c>
      <c r="J173" s="34"/>
      <c r="K173" s="46">
        <f t="shared" ca="1" si="24"/>
        <v>0</v>
      </c>
      <c r="L173" s="46"/>
      <c r="M173" s="46">
        <f ca="1">IFERROR(IF(C173="","",IF($C$10=Parâmetros!$C$3,0,VLOOKUP(A173,'Base de Dados'!$E$3:$G$422,3,FALSE)*S173)),0)</f>
        <v>315.50021896545979</v>
      </c>
      <c r="N173" s="34"/>
      <c r="O173" s="46">
        <f ca="1">IF(C173="","",IF(C174="",0,IF(E173="Construção",0,IF(E173="Seguro",$C$17*'Base de Dados'!$C$2,IF($C$14=Parâmetros!$B$4,0,Simulador!$C$17*'Base de Dados'!$C$2)))))</f>
        <v>75</v>
      </c>
      <c r="P173" s="46"/>
      <c r="Q173" s="46">
        <f ca="1">IF(C173="","",IF(E173&lt;&gt;"Retorno",(I173+K173+M173),IF($G$20=Parâmetros!$D$2,SUM(G173,I173,K173,M173,O173),PMT($O$25,SUM($G$17),($O$10)*-1)+O173+M173+K173)))</f>
        <v>9266.0291085731242</v>
      </c>
      <c r="R173" s="46"/>
      <c r="S173" s="46">
        <f t="shared" ca="1" si="25"/>
        <v>537296.01322455693</v>
      </c>
      <c r="U173" s="15" t="str">
        <f t="shared" ca="1" si="26"/>
        <v/>
      </c>
    </row>
    <row r="174" spans="1:21" x14ac:dyDescent="0.3">
      <c r="A174" s="49">
        <f t="shared" ca="1" si="19"/>
        <v>50457</v>
      </c>
      <c r="B174" s="49" t="str">
        <f t="shared" ca="1" si="20"/>
        <v/>
      </c>
      <c r="C174" s="81">
        <f t="shared" ca="1" si="21"/>
        <v>141</v>
      </c>
      <c r="D174" s="34">
        <f t="shared" ca="1" si="22"/>
        <v>141</v>
      </c>
      <c r="E174" s="4" t="str">
        <f t="shared" ca="1" si="23"/>
        <v>Retorno</v>
      </c>
      <c r="G174" s="46">
        <f ca="1">IF(C174="","",IF(E174&lt;&gt;"Retorno",0,IF($G$20=Parâmetros!$D$2,Simulador!$O$10/$G$17,IF($G$20=Parâmetros!$D$3,PMT($O$25,$G$17,($O$10)*-1)-I174,""))))</f>
        <v>2980.6063896488886</v>
      </c>
      <c r="H174" s="46"/>
      <c r="I174" s="46">
        <f t="shared" ca="1" si="18"/>
        <v>5894.922499958775</v>
      </c>
      <c r="J174" s="34"/>
      <c r="K174" s="46">
        <f t="shared" ca="1" si="24"/>
        <v>0</v>
      </c>
      <c r="L174" s="46"/>
      <c r="M174" s="46">
        <f ca="1">IFERROR(IF(C174="","",IF($C$10=Parâmetros!$C$3,0,VLOOKUP(A174,'Base de Dados'!$E$3:$G$422,3,FALSE)*S174)),0)</f>
        <v>313.75000689345802</v>
      </c>
      <c r="N174" s="34"/>
      <c r="O174" s="46">
        <f ca="1">IF(C174="","",IF(C175="",0,IF(E174="Construção",0,IF(E174="Seguro",$C$17*'Base de Dados'!$C$2,IF($C$14=Parâmetros!$B$4,0,Simulador!$C$17*'Base de Dados'!$C$2)))))</f>
        <v>75</v>
      </c>
      <c r="P174" s="46"/>
      <c r="Q174" s="46">
        <f ca="1">IF(C174="","",IF(E174&lt;&gt;"Retorno",(I174+K174+M174),IF($G$20=Parâmetros!$D$2,SUM(G174,I174,K174,M174,O174),PMT($O$25,SUM($G$17),($O$10)*-1)+O174+M174+K174)))</f>
        <v>9264.2788965011223</v>
      </c>
      <c r="R174" s="46"/>
      <c r="S174" s="46">
        <f t="shared" ca="1" si="25"/>
        <v>534315.40683490806</v>
      </c>
      <c r="U174" s="15" t="str">
        <f t="shared" ca="1" si="26"/>
        <v/>
      </c>
    </row>
    <row r="175" spans="1:21" x14ac:dyDescent="0.3">
      <c r="A175" s="49">
        <f t="shared" ca="1" si="19"/>
        <v>50485</v>
      </c>
      <c r="B175" s="49" t="str">
        <f t="shared" ca="1" si="20"/>
        <v/>
      </c>
      <c r="C175" s="81">
        <f t="shared" ca="1" si="21"/>
        <v>142</v>
      </c>
      <c r="D175" s="34">
        <f t="shared" ca="1" si="22"/>
        <v>142</v>
      </c>
      <c r="E175" s="4" t="str">
        <f t="shared" ca="1" si="23"/>
        <v>Retorno</v>
      </c>
      <c r="G175" s="46">
        <f ca="1">IF(C175="","",IF(E175&lt;&gt;"Retorno",0,IF($G$20=Parâmetros!$D$2,Simulador!$O$10/$G$17,IF($G$20=Parâmetros!$D$3,PMT($O$25,$G$17,($O$10)*-1)-I175,""))))</f>
        <v>3013.3079977706329</v>
      </c>
      <c r="H175" s="46"/>
      <c r="I175" s="46">
        <f t="shared" ca="1" si="18"/>
        <v>5862.2208918370306</v>
      </c>
      <c r="J175" s="34"/>
      <c r="K175" s="46">
        <f t="shared" ca="1" si="24"/>
        <v>0</v>
      </c>
      <c r="L175" s="46"/>
      <c r="M175" s="46">
        <f ca="1">IFERROR(IF(C175="","",IF($C$10=Parâmetros!$C$3,0,VLOOKUP(A175,'Base de Dados'!$E$3:$G$422,3,FALSE)*S175)),0)</f>
        <v>311.9805924371671</v>
      </c>
      <c r="N175" s="34"/>
      <c r="O175" s="46">
        <f ca="1">IF(C175="","",IF(C176="",0,IF(E175="Construção",0,IF(E175="Seguro",$C$17*'Base de Dados'!$C$2,IF($C$14=Parâmetros!$B$4,0,Simulador!$C$17*'Base de Dados'!$C$2)))))</f>
        <v>75</v>
      </c>
      <c r="P175" s="46"/>
      <c r="Q175" s="46">
        <f ca="1">IF(C175="","",IF(E175&lt;&gt;"Retorno",(I175+K175+M175),IF($G$20=Parâmetros!$D$2,SUM(G175,I175,K175,M175,O175),PMT($O$25,SUM($G$17),($O$10)*-1)+O175+M175+K175)))</f>
        <v>9262.5094820448303</v>
      </c>
      <c r="R175" s="46"/>
      <c r="S175" s="46">
        <f t="shared" ca="1" si="25"/>
        <v>531302.09883713746</v>
      </c>
      <c r="U175" s="15" t="str">
        <f t="shared" ca="1" si="26"/>
        <v/>
      </c>
    </row>
    <row r="176" spans="1:21" x14ac:dyDescent="0.3">
      <c r="A176" s="49">
        <f t="shared" ca="1" si="19"/>
        <v>50516</v>
      </c>
      <c r="B176" s="49" t="str">
        <f t="shared" ca="1" si="20"/>
        <v/>
      </c>
      <c r="C176" s="81">
        <f t="shared" ca="1" si="21"/>
        <v>143</v>
      </c>
      <c r="D176" s="34">
        <f t="shared" ca="1" si="22"/>
        <v>143</v>
      </c>
      <c r="E176" s="4" t="str">
        <f t="shared" ca="1" si="23"/>
        <v>Retorno</v>
      </c>
      <c r="G176" s="46">
        <f ca="1">IF(C176="","",IF(E176&lt;&gt;"Retorno",0,IF($G$20=Parâmetros!$D$2,Simulador!$O$10/$G$17,IF($G$20=Parâmetros!$D$3,PMT($O$25,$G$17,($O$10)*-1)-I176,""))))</f>
        <v>3046.3683903254823</v>
      </c>
      <c r="H176" s="46"/>
      <c r="I176" s="46">
        <f t="shared" ca="1" si="18"/>
        <v>5829.1604992821813</v>
      </c>
      <c r="J176" s="34"/>
      <c r="K176" s="46">
        <f t="shared" ca="1" si="24"/>
        <v>0</v>
      </c>
      <c r="L176" s="46"/>
      <c r="M176" s="46">
        <f ca="1">IFERROR(IF(C176="","",IF($C$10=Parâmetros!$C$3,0,VLOOKUP(A176,'Base de Dados'!$E$3:$G$422,3,FALSE)*S176)),0)</f>
        <v>310.19176491836799</v>
      </c>
      <c r="N176" s="34"/>
      <c r="O176" s="46">
        <f ca="1">IF(C176="","",IF(C177="",0,IF(E176="Construção",0,IF(E176="Seguro",$C$17*'Base de Dados'!$C$2,IF($C$14=Parâmetros!$B$4,0,Simulador!$C$17*'Base de Dados'!$C$2)))))</f>
        <v>75</v>
      </c>
      <c r="P176" s="46"/>
      <c r="Q176" s="46">
        <f ca="1">IF(C176="","",IF(E176&lt;&gt;"Retorno",(I176+K176+M176),IF($G$20=Parâmetros!$D$2,SUM(G176,I176,K176,M176,O176),PMT($O$25,SUM($G$17),($O$10)*-1)+O176+M176+K176)))</f>
        <v>9260.7206545260324</v>
      </c>
      <c r="R176" s="46"/>
      <c r="S176" s="46">
        <f t="shared" ca="1" si="25"/>
        <v>528255.730446812</v>
      </c>
      <c r="U176" s="15" t="str">
        <f t="shared" ca="1" si="26"/>
        <v/>
      </c>
    </row>
    <row r="177" spans="1:21" x14ac:dyDescent="0.3">
      <c r="A177" s="49">
        <f t="shared" ca="1" si="19"/>
        <v>50546</v>
      </c>
      <c r="B177" s="49" t="str">
        <f t="shared" ca="1" si="20"/>
        <v/>
      </c>
      <c r="C177" s="81">
        <f t="shared" ca="1" si="21"/>
        <v>144</v>
      </c>
      <c r="D177" s="34">
        <f t="shared" ca="1" si="22"/>
        <v>144</v>
      </c>
      <c r="E177" s="4" t="str">
        <f t="shared" ca="1" si="23"/>
        <v>Retorno</v>
      </c>
      <c r="G177" s="46">
        <f ca="1">IF(C177="","",IF(E177&lt;&gt;"Retorno",0,IF($G$20=Parâmetros!$D$2,Simulador!$O$10/$G$17,IF($G$20=Parâmetros!$D$3,PMT($O$25,$G$17,($O$10)*-1)-I177,""))))</f>
        <v>3079.7915037030143</v>
      </c>
      <c r="H177" s="46"/>
      <c r="I177" s="46">
        <f t="shared" ca="1" si="18"/>
        <v>5795.7373859046493</v>
      </c>
      <c r="J177" s="34"/>
      <c r="K177" s="46">
        <f t="shared" ca="1" si="24"/>
        <v>0</v>
      </c>
      <c r="L177" s="46"/>
      <c r="M177" s="46">
        <f ca="1">IFERROR(IF(C177="","",IF($C$10=Parâmetros!$C$3,0,VLOOKUP(A177,'Base de Dados'!$E$3:$G$422,3,FALSE)*S177)),0)</f>
        <v>308.3833113473936</v>
      </c>
      <c r="N177" s="34"/>
      <c r="O177" s="46">
        <f ca="1">IF(C177="","",IF(C178="",0,IF(E177="Construção",0,IF(E177="Seguro",$C$17*'Base de Dados'!$C$2,IF($C$14=Parâmetros!$B$4,0,Simulador!$C$17*'Base de Dados'!$C$2)))))</f>
        <v>75</v>
      </c>
      <c r="P177" s="46"/>
      <c r="Q177" s="46">
        <f ca="1">IF(C177="","",IF(E177&lt;&gt;"Retorno",(I177+K177+M177),IF($G$20=Parâmetros!$D$2,SUM(G177,I177,K177,M177,O177),PMT($O$25,SUM($G$17),($O$10)*-1)+O177+M177+K177)))</f>
        <v>9258.9122009550574</v>
      </c>
      <c r="R177" s="46"/>
      <c r="S177" s="46">
        <f t="shared" ca="1" si="25"/>
        <v>525175.93894310901</v>
      </c>
      <c r="U177" s="15" t="str">
        <f t="shared" ca="1" si="26"/>
        <v/>
      </c>
    </row>
    <row r="178" spans="1:21" x14ac:dyDescent="0.3">
      <c r="A178" s="49">
        <f t="shared" ca="1" si="19"/>
        <v>50577</v>
      </c>
      <c r="B178" s="49" t="str">
        <f t="shared" ca="1" si="20"/>
        <v/>
      </c>
      <c r="C178" s="81">
        <f t="shared" ca="1" si="21"/>
        <v>145</v>
      </c>
      <c r="D178" s="34">
        <f t="shared" ca="1" si="22"/>
        <v>145</v>
      </c>
      <c r="E178" s="4" t="str">
        <f t="shared" ca="1" si="23"/>
        <v>Retorno</v>
      </c>
      <c r="G178" s="46">
        <f ca="1">IF(C178="","",IF(E178&lt;&gt;"Retorno",0,IF($G$20=Parâmetros!$D$2,Simulador!$O$10/$G$17,IF($G$20=Parâmetros!$D$3,PMT($O$25,$G$17,($O$10)*-1)-I178,""))))</f>
        <v>3113.5813174807954</v>
      </c>
      <c r="H178" s="46"/>
      <c r="I178" s="46">
        <f t="shared" ca="1" si="18"/>
        <v>5761.9475721268682</v>
      </c>
      <c r="J178" s="34"/>
      <c r="K178" s="46">
        <f t="shared" ca="1" si="24"/>
        <v>0</v>
      </c>
      <c r="L178" s="46"/>
      <c r="M178" s="46">
        <f ca="1">IFERROR(IF(C178="","",IF($C$10=Parâmetros!$C$3,0,VLOOKUP(A178,'Base de Dados'!$E$3:$G$422,3,FALSE)*S178)),0)</f>
        <v>306.5550163977689</v>
      </c>
      <c r="N178" s="34"/>
      <c r="O178" s="46">
        <f ca="1">IF(C178="","",IF(C179="",0,IF(E178="Construção",0,IF(E178="Seguro",$C$17*'Base de Dados'!$C$2,IF($C$14=Parâmetros!$B$4,0,Simulador!$C$17*'Base de Dados'!$C$2)))))</f>
        <v>75</v>
      </c>
      <c r="P178" s="46"/>
      <c r="Q178" s="46">
        <f ca="1">IF(C178="","",IF(E178&lt;&gt;"Retorno",(I178+K178+M178),IF($G$20=Parâmetros!$D$2,SUM(G178,I178,K178,M178,O178),PMT($O$25,SUM($G$17),($O$10)*-1)+O178+M178+K178)))</f>
        <v>9257.0839060054332</v>
      </c>
      <c r="R178" s="46"/>
      <c r="S178" s="46">
        <f t="shared" ca="1" si="25"/>
        <v>522062.35762562824</v>
      </c>
      <c r="U178" s="15" t="str">
        <f t="shared" ca="1" si="26"/>
        <v/>
      </c>
    </row>
    <row r="179" spans="1:21" x14ac:dyDescent="0.3">
      <c r="A179" s="49">
        <f t="shared" ca="1" si="19"/>
        <v>50607</v>
      </c>
      <c r="B179" s="49" t="str">
        <f t="shared" ca="1" si="20"/>
        <v/>
      </c>
      <c r="C179" s="81">
        <f t="shared" ca="1" si="21"/>
        <v>146</v>
      </c>
      <c r="D179" s="34">
        <f t="shared" ca="1" si="22"/>
        <v>146</v>
      </c>
      <c r="E179" s="4" t="str">
        <f t="shared" ca="1" si="23"/>
        <v>Retorno</v>
      </c>
      <c r="G179" s="46">
        <f ca="1">IF(C179="","",IF(E179&lt;&gt;"Retorno",0,IF($G$20=Parâmetros!$D$2,Simulador!$O$10/$G$17,IF($G$20=Parâmetros!$D$3,PMT($O$25,$G$17,($O$10)*-1)-I179,""))))</f>
        <v>3147.7418548979585</v>
      </c>
      <c r="H179" s="46"/>
      <c r="I179" s="46">
        <f t="shared" ca="1" si="18"/>
        <v>5727.787034709705</v>
      </c>
      <c r="J179" s="34"/>
      <c r="K179" s="46">
        <f t="shared" ca="1" si="24"/>
        <v>0</v>
      </c>
      <c r="L179" s="46"/>
      <c r="M179" s="46">
        <f ca="1">IFERROR(IF(C179="","",IF($C$10=Parâmetros!$C$3,0,VLOOKUP(A179,'Base de Dados'!$E$3:$G$422,3,FALSE)*S179)),0)</f>
        <v>304.70666238057282</v>
      </c>
      <c r="N179" s="34"/>
      <c r="O179" s="46">
        <f ca="1">IF(C179="","",IF(C180="",0,IF(E179="Construção",0,IF(E179="Seguro",$C$17*'Base de Dados'!$C$2,IF($C$14=Parâmetros!$B$4,0,Simulador!$C$17*'Base de Dados'!$C$2)))))</f>
        <v>75</v>
      </c>
      <c r="P179" s="46"/>
      <c r="Q179" s="46">
        <f ca="1">IF(C179="","",IF(E179&lt;&gt;"Retorno",(I179+K179+M179),IF($G$20=Parâmetros!$D$2,SUM(G179,I179,K179,M179,O179),PMT($O$25,SUM($G$17),($O$10)*-1)+O179+M179+K179)))</f>
        <v>9255.2355519882367</v>
      </c>
      <c r="R179" s="46"/>
      <c r="S179" s="46">
        <f t="shared" ca="1" si="25"/>
        <v>518914.61577073031</v>
      </c>
      <c r="U179" s="15" t="str">
        <f t="shared" ca="1" si="26"/>
        <v/>
      </c>
    </row>
    <row r="180" spans="1:21" x14ac:dyDescent="0.3">
      <c r="A180" s="49">
        <f t="shared" ca="1" si="19"/>
        <v>50638</v>
      </c>
      <c r="B180" s="49" t="str">
        <f t="shared" ca="1" si="20"/>
        <v/>
      </c>
      <c r="C180" s="81">
        <f t="shared" ca="1" si="21"/>
        <v>147</v>
      </c>
      <c r="D180" s="34">
        <f t="shared" ca="1" si="22"/>
        <v>147</v>
      </c>
      <c r="E180" s="4" t="str">
        <f t="shared" ca="1" si="23"/>
        <v>Retorno</v>
      </c>
      <c r="G180" s="46">
        <f ca="1">IF(C180="","",IF(E180&lt;&gt;"Retorno",0,IF($G$20=Parâmetros!$D$2,Simulador!$O$10/$G$17,IF($G$20=Parâmetros!$D$3,PMT($O$25,$G$17,($O$10)*-1)-I180,""))))</f>
        <v>3182.2771833347178</v>
      </c>
      <c r="H180" s="46"/>
      <c r="I180" s="46">
        <f t="shared" ca="1" si="18"/>
        <v>5693.2517062729457</v>
      </c>
      <c r="J180" s="34"/>
      <c r="K180" s="46">
        <f t="shared" ca="1" si="24"/>
        <v>0</v>
      </c>
      <c r="L180" s="46"/>
      <c r="M180" s="46">
        <f ca="1">IFERROR(IF(C180="","",IF($C$10=Parâmetros!$C$3,0,VLOOKUP(A180,'Base de Dados'!$E$3:$G$422,3,FALSE)*S180)),0)</f>
        <v>302.83802921851867</v>
      </c>
      <c r="N180" s="34"/>
      <c r="O180" s="46">
        <f ca="1">IF(C180="","",IF(C181="",0,IF(E180="Construção",0,IF(E180="Seguro",$C$17*'Base de Dados'!$C$2,IF($C$14=Parâmetros!$B$4,0,Simulador!$C$17*'Base de Dados'!$C$2)))))</f>
        <v>75</v>
      </c>
      <c r="P180" s="46"/>
      <c r="Q180" s="46">
        <f ca="1">IF(C180="","",IF(E180&lt;&gt;"Retorno",(I180+K180+M180),IF($G$20=Parâmetros!$D$2,SUM(G180,I180,K180,M180,O180),PMT($O$25,SUM($G$17),($O$10)*-1)+O180+M180+K180)))</f>
        <v>9253.3669188261829</v>
      </c>
      <c r="R180" s="46"/>
      <c r="S180" s="46">
        <f t="shared" ca="1" si="25"/>
        <v>515732.33858739561</v>
      </c>
      <c r="U180" s="15" t="str">
        <f t="shared" ca="1" si="26"/>
        <v/>
      </c>
    </row>
    <row r="181" spans="1:21" x14ac:dyDescent="0.3">
      <c r="A181" s="49">
        <f t="shared" ca="1" si="19"/>
        <v>50669</v>
      </c>
      <c r="B181" s="49" t="str">
        <f t="shared" ca="1" si="20"/>
        <v/>
      </c>
      <c r="C181" s="81">
        <f t="shared" ca="1" si="21"/>
        <v>148</v>
      </c>
      <c r="D181" s="34">
        <f t="shared" ca="1" si="22"/>
        <v>148</v>
      </c>
      <c r="E181" s="4" t="str">
        <f t="shared" ca="1" si="23"/>
        <v>Retorno</v>
      </c>
      <c r="G181" s="46">
        <f ca="1">IF(C181="","",IF(E181&lt;&gt;"Retorno",0,IF($G$20=Parâmetros!$D$2,Simulador!$O$10/$G$17,IF($G$20=Parâmetros!$D$3,PMT($O$25,$G$17,($O$10)*-1)-I181,""))))</f>
        <v>3217.1914147964235</v>
      </c>
      <c r="H181" s="46"/>
      <c r="I181" s="46">
        <f t="shared" ca="1" si="18"/>
        <v>5658.3374748112401</v>
      </c>
      <c r="J181" s="34"/>
      <c r="K181" s="46">
        <f t="shared" ca="1" si="24"/>
        <v>0</v>
      </c>
      <c r="L181" s="46"/>
      <c r="M181" s="46">
        <f ca="1">IFERROR(IF(C181="","",IF($C$10=Parâmetros!$C$3,0,VLOOKUP(A181,'Base de Dados'!$E$3:$G$422,3,FALSE)*S181)),0)</f>
        <v>300.94889441975022</v>
      </c>
      <c r="N181" s="34"/>
      <c r="O181" s="46">
        <f ca="1">IF(C181="","",IF(C182="",0,IF(E181="Construção",0,IF(E181="Seguro",$C$17*'Base de Dados'!$C$2,IF($C$14=Parâmetros!$B$4,0,Simulador!$C$17*'Base de Dados'!$C$2)))))</f>
        <v>75</v>
      </c>
      <c r="P181" s="46"/>
      <c r="Q181" s="46">
        <f ca="1">IF(C181="","",IF(E181&lt;&gt;"Retorno",(I181+K181+M181),IF($G$20=Parâmetros!$D$2,SUM(G181,I181,K181,M181,O181),PMT($O$25,SUM($G$17),($O$10)*-1)+O181+M181+K181)))</f>
        <v>9251.4777840274146</v>
      </c>
      <c r="R181" s="46"/>
      <c r="S181" s="46">
        <f t="shared" ca="1" si="25"/>
        <v>512515.14717259922</v>
      </c>
      <c r="U181" s="15" t="str">
        <f t="shared" ca="1" si="26"/>
        <v/>
      </c>
    </row>
    <row r="182" spans="1:21" x14ac:dyDescent="0.3">
      <c r="A182" s="49">
        <f t="shared" ca="1" si="19"/>
        <v>50699</v>
      </c>
      <c r="B182" s="49" t="str">
        <f t="shared" ca="1" si="20"/>
        <v/>
      </c>
      <c r="C182" s="81">
        <f t="shared" ca="1" si="21"/>
        <v>149</v>
      </c>
      <c r="D182" s="34">
        <f t="shared" ca="1" si="22"/>
        <v>149</v>
      </c>
      <c r="E182" s="4" t="str">
        <f t="shared" ca="1" si="23"/>
        <v>Retorno</v>
      </c>
      <c r="G182" s="46">
        <f ca="1">IF(C182="","",IF(E182&lt;&gt;"Retorno",0,IF($G$20=Parâmetros!$D$2,Simulador!$O$10/$G$17,IF($G$20=Parâmetros!$D$3,PMT($O$25,$G$17,($O$10)*-1)-I182,""))))</f>
        <v>3252.4887064028553</v>
      </c>
      <c r="H182" s="46"/>
      <c r="I182" s="46">
        <f t="shared" ca="1" si="18"/>
        <v>5623.0401832048083</v>
      </c>
      <c r="J182" s="34"/>
      <c r="K182" s="46">
        <f t="shared" ca="1" si="24"/>
        <v>0</v>
      </c>
      <c r="L182" s="46"/>
      <c r="M182" s="46">
        <f ca="1">IFERROR(IF(C182="","",IF($C$10=Parâmetros!$C$3,0,VLOOKUP(A182,'Base de Dados'!$E$3:$G$422,3,FALSE)*S182)),0)</f>
        <v>299.03903305135049</v>
      </c>
      <c r="N182" s="34"/>
      <c r="O182" s="46">
        <f ca="1">IF(C182="","",IF(C183="",0,IF(E182="Construção",0,IF(E182="Seguro",$C$17*'Base de Dados'!$C$2,IF($C$14=Parâmetros!$B$4,0,Simulador!$C$17*'Base de Dados'!$C$2)))))</f>
        <v>75</v>
      </c>
      <c r="P182" s="46"/>
      <c r="Q182" s="46">
        <f ca="1">IF(C182="","",IF(E182&lt;&gt;"Retorno",(I182+K182+M182),IF($G$20=Parâmetros!$D$2,SUM(G182,I182,K182,M182,O182),PMT($O$25,SUM($G$17),($O$10)*-1)+O182+M182+K182)))</f>
        <v>9249.5679226590146</v>
      </c>
      <c r="R182" s="46"/>
      <c r="S182" s="46">
        <f t="shared" ca="1" si="25"/>
        <v>509262.65846619639</v>
      </c>
      <c r="U182" s="15" t="str">
        <f t="shared" ca="1" si="26"/>
        <v/>
      </c>
    </row>
    <row r="183" spans="1:21" x14ac:dyDescent="0.3">
      <c r="A183" s="49">
        <f t="shared" ca="1" si="19"/>
        <v>50730</v>
      </c>
      <c r="B183" s="49" t="str">
        <f t="shared" ca="1" si="20"/>
        <v/>
      </c>
      <c r="C183" s="81">
        <f t="shared" ca="1" si="21"/>
        <v>150</v>
      </c>
      <c r="D183" s="34">
        <f t="shared" ca="1" si="22"/>
        <v>150</v>
      </c>
      <c r="E183" s="4" t="str">
        <f t="shared" ca="1" si="23"/>
        <v>Retorno</v>
      </c>
      <c r="G183" s="46">
        <f ca="1">IF(C183="","",IF(E183&lt;&gt;"Retorno",0,IF($G$20=Parâmetros!$D$2,Simulador!$O$10/$G$17,IF($G$20=Parâmetros!$D$3,PMT($O$25,$G$17,($O$10)*-1)-I183,""))))</f>
        <v>3288.1732608836282</v>
      </c>
      <c r="H183" s="46"/>
      <c r="I183" s="46">
        <f t="shared" ca="1" si="18"/>
        <v>5587.3556287240353</v>
      </c>
      <c r="J183" s="34"/>
      <c r="K183" s="46">
        <f t="shared" ca="1" si="24"/>
        <v>0</v>
      </c>
      <c r="L183" s="46"/>
      <c r="M183" s="46">
        <f ca="1">IFERROR(IF(C183="","",IF($C$10=Parâmetros!$C$3,0,VLOOKUP(A183,'Base de Dados'!$E$3:$G$422,3,FALSE)*S183)),0)</f>
        <v>297.10821771255962</v>
      </c>
      <c r="N183" s="34"/>
      <c r="O183" s="46">
        <f ca="1">IF(C183="","",IF(C184="",0,IF(E183="Construção",0,IF(E183="Seguro",$C$17*'Base de Dados'!$C$2,IF($C$14=Parâmetros!$B$4,0,Simulador!$C$17*'Base de Dados'!$C$2)))))</f>
        <v>75</v>
      </c>
      <c r="P183" s="46"/>
      <c r="Q183" s="46">
        <f ca="1">IF(C183="","",IF(E183&lt;&gt;"Retorno",(I183+K183+M183),IF($G$20=Parâmetros!$D$2,SUM(G183,I183,K183,M183,O183),PMT($O$25,SUM($G$17),($O$10)*-1)+O183+M183+K183)))</f>
        <v>9247.6371073202226</v>
      </c>
      <c r="R183" s="46"/>
      <c r="S183" s="46">
        <f t="shared" ca="1" si="25"/>
        <v>505974.48520531278</v>
      </c>
      <c r="U183" s="15" t="str">
        <f t="shared" ca="1" si="26"/>
        <v/>
      </c>
    </row>
    <row r="184" spans="1:21" x14ac:dyDescent="0.3">
      <c r="A184" s="49">
        <f t="shared" ca="1" si="19"/>
        <v>50760</v>
      </c>
      <c r="B184" s="49" t="str">
        <f t="shared" ca="1" si="20"/>
        <v/>
      </c>
      <c r="C184" s="81">
        <f t="shared" ca="1" si="21"/>
        <v>151</v>
      </c>
      <c r="D184" s="34">
        <f t="shared" ca="1" si="22"/>
        <v>151</v>
      </c>
      <c r="E184" s="4" t="str">
        <f t="shared" ca="1" si="23"/>
        <v>Retorno</v>
      </c>
      <c r="G184" s="46">
        <f ca="1">IF(C184="","",IF(E184&lt;&gt;"Retorno",0,IF($G$20=Parâmetros!$D$2,Simulador!$O$10/$G$17,IF($G$20=Parâmetros!$D$3,PMT($O$25,$G$17,($O$10)*-1)-I184,""))))</f>
        <v>3324.2493270785453</v>
      </c>
      <c r="H184" s="46"/>
      <c r="I184" s="46">
        <f t="shared" ca="1" si="18"/>
        <v>5551.2795625291183</v>
      </c>
      <c r="J184" s="34"/>
      <c r="K184" s="46">
        <f t="shared" ca="1" si="24"/>
        <v>0</v>
      </c>
      <c r="L184" s="46"/>
      <c r="M184" s="46">
        <f ca="1">IFERROR(IF(C184="","",IF($C$10=Parâmetros!$C$3,0,VLOOKUP(A184,'Base de Dados'!$E$3:$G$422,3,FALSE)*S184)),0)</f>
        <v>295.15621850769912</v>
      </c>
      <c r="N184" s="34"/>
      <c r="O184" s="46">
        <f ca="1">IF(C184="","",IF(C185="",0,IF(E184="Construção",0,IF(E184="Seguro",$C$17*'Base de Dados'!$C$2,IF($C$14=Parâmetros!$B$4,0,Simulador!$C$17*'Base de Dados'!$C$2)))))</f>
        <v>75</v>
      </c>
      <c r="P184" s="46"/>
      <c r="Q184" s="46">
        <f ca="1">IF(C184="","",IF(E184&lt;&gt;"Retorno",(I184+K184+M184),IF($G$20=Parâmetros!$D$2,SUM(G184,I184,K184,M184,O184),PMT($O$25,SUM($G$17),($O$10)*-1)+O184+M184+K184)))</f>
        <v>9245.6851081153618</v>
      </c>
      <c r="R184" s="46"/>
      <c r="S184" s="46">
        <f t="shared" ca="1" si="25"/>
        <v>502650.23587823426</v>
      </c>
      <c r="U184" s="15" t="str">
        <f t="shared" ca="1" si="26"/>
        <v/>
      </c>
    </row>
    <row r="185" spans="1:21" x14ac:dyDescent="0.3">
      <c r="A185" s="49">
        <f t="shared" ca="1" si="19"/>
        <v>50791</v>
      </c>
      <c r="B185" s="49" t="str">
        <f t="shared" ca="1" si="20"/>
        <v/>
      </c>
      <c r="C185" s="81">
        <f t="shared" ca="1" si="21"/>
        <v>152</v>
      </c>
      <c r="D185" s="34">
        <f t="shared" ca="1" si="22"/>
        <v>152</v>
      </c>
      <c r="E185" s="4" t="str">
        <f t="shared" ca="1" si="23"/>
        <v>Retorno</v>
      </c>
      <c r="G185" s="46">
        <f ca="1">IF(C185="","",IF(E185&lt;&gt;"Retorno",0,IF($G$20=Parâmetros!$D$2,Simulador!$O$10/$G$17,IF($G$20=Parâmetros!$D$3,PMT($O$25,$G$17,($O$10)*-1)-I185,""))))</f>
        <v>3360.7212004431894</v>
      </c>
      <c r="H185" s="46"/>
      <c r="I185" s="46">
        <f t="shared" ca="1" si="18"/>
        <v>5514.8076891644741</v>
      </c>
      <c r="J185" s="34"/>
      <c r="K185" s="46">
        <f t="shared" ca="1" si="24"/>
        <v>0</v>
      </c>
      <c r="L185" s="46"/>
      <c r="M185" s="46">
        <f ca="1">IFERROR(IF(C185="","",IF($C$10=Parâmetros!$C$3,0,VLOOKUP(A185,'Base de Dados'!$E$3:$G$422,3,FALSE)*S185)),0)</f>
        <v>293.18280301879889</v>
      </c>
      <c r="N185" s="34"/>
      <c r="O185" s="46">
        <f ca="1">IF(C185="","",IF(C186="",0,IF(E185="Construção",0,IF(E185="Seguro",$C$17*'Base de Dados'!$C$2,IF($C$14=Parâmetros!$B$4,0,Simulador!$C$17*'Base de Dados'!$C$2)))))</f>
        <v>75</v>
      </c>
      <c r="P185" s="46"/>
      <c r="Q185" s="46">
        <f ca="1">IF(C185="","",IF(E185&lt;&gt;"Retorno",(I185+K185+M185),IF($G$20=Parâmetros!$D$2,SUM(G185,I185,K185,M185,O185),PMT($O$25,SUM($G$17),($O$10)*-1)+O185+M185+K185)))</f>
        <v>9243.7116926264625</v>
      </c>
      <c r="R185" s="46"/>
      <c r="S185" s="46">
        <f t="shared" ca="1" si="25"/>
        <v>499289.5146777911</v>
      </c>
      <c r="U185" s="15" t="str">
        <f t="shared" ca="1" si="26"/>
        <v/>
      </c>
    </row>
    <row r="186" spans="1:21" x14ac:dyDescent="0.3">
      <c r="A186" s="49">
        <f t="shared" ca="1" si="19"/>
        <v>50822</v>
      </c>
      <c r="B186" s="49" t="str">
        <f t="shared" ca="1" si="20"/>
        <v/>
      </c>
      <c r="C186" s="81">
        <f t="shared" ca="1" si="21"/>
        <v>153</v>
      </c>
      <c r="D186" s="34">
        <f t="shared" ca="1" si="22"/>
        <v>153</v>
      </c>
      <c r="E186" s="4" t="str">
        <f t="shared" ca="1" si="23"/>
        <v>Retorno</v>
      </c>
      <c r="G186" s="46">
        <f ca="1">IF(C186="","",IF(E186&lt;&gt;"Retorno",0,IF($G$20=Parâmetros!$D$2,Simulador!$O$10/$G$17,IF($G$20=Parâmetros!$D$3,PMT($O$25,$G$17,($O$10)*-1)-I186,""))))</f>
        <v>3397.5932235607434</v>
      </c>
      <c r="H186" s="46"/>
      <c r="I186" s="46">
        <f t="shared" ca="1" si="18"/>
        <v>5477.9356660469202</v>
      </c>
      <c r="J186" s="34"/>
      <c r="K186" s="46">
        <f t="shared" ca="1" si="24"/>
        <v>0</v>
      </c>
      <c r="L186" s="46"/>
      <c r="M186" s="46">
        <f ca="1">IFERROR(IF(C186="","",IF($C$10=Parâmetros!$C$3,0,VLOOKUP(A186,'Base de Dados'!$E$3:$G$422,3,FALSE)*S186)),0)</f>
        <v>291.18773627792405</v>
      </c>
      <c r="N186" s="34"/>
      <c r="O186" s="46">
        <f ca="1">IF(C186="","",IF(C187="",0,IF(E186="Construção",0,IF(E186="Seguro",$C$17*'Base de Dados'!$C$2,IF($C$14=Parâmetros!$B$4,0,Simulador!$C$17*'Base de Dados'!$C$2)))))</f>
        <v>75</v>
      </c>
      <c r="P186" s="46"/>
      <c r="Q186" s="46">
        <f ca="1">IF(C186="","",IF(E186&lt;&gt;"Retorno",(I186+K186+M186),IF($G$20=Parâmetros!$D$2,SUM(G186,I186,K186,M186,O186),PMT($O$25,SUM($G$17),($O$10)*-1)+O186+M186+K186)))</f>
        <v>9241.7166258855868</v>
      </c>
      <c r="R186" s="46"/>
      <c r="S186" s="46">
        <f t="shared" ca="1" si="25"/>
        <v>495891.92145423038</v>
      </c>
      <c r="U186" s="15" t="str">
        <f t="shared" ca="1" si="26"/>
        <v/>
      </c>
    </row>
    <row r="187" spans="1:21" x14ac:dyDescent="0.3">
      <c r="A187" s="49">
        <f t="shared" ca="1" si="19"/>
        <v>50850</v>
      </c>
      <c r="B187" s="49" t="str">
        <f t="shared" ca="1" si="20"/>
        <v/>
      </c>
      <c r="C187" s="81">
        <f t="shared" ca="1" si="21"/>
        <v>154</v>
      </c>
      <c r="D187" s="34">
        <f t="shared" ca="1" si="22"/>
        <v>154</v>
      </c>
      <c r="E187" s="4" t="str">
        <f t="shared" ca="1" si="23"/>
        <v>Retorno</v>
      </c>
      <c r="G187" s="46">
        <f ca="1">IF(C187="","",IF(E187&lt;&gt;"Retorno",0,IF($G$20=Parâmetros!$D$2,Simulador!$O$10/$G$17,IF($G$20=Parâmetros!$D$3,PMT($O$25,$G$17,($O$10)*-1)-I187,""))))</f>
        <v>3434.8697866587572</v>
      </c>
      <c r="H187" s="46"/>
      <c r="I187" s="46">
        <f t="shared" ca="1" si="18"/>
        <v>5440.6591029489064</v>
      </c>
      <c r="J187" s="34"/>
      <c r="K187" s="46">
        <f t="shared" ca="1" si="24"/>
        <v>0</v>
      </c>
      <c r="L187" s="46"/>
      <c r="M187" s="46">
        <f ca="1">IFERROR(IF(C187="","",IF($C$10=Parâmetros!$C$3,0,VLOOKUP(A187,'Base de Dados'!$E$3:$G$422,3,FALSE)*S187)),0)</f>
        <v>289.17078073919805</v>
      </c>
      <c r="N187" s="34"/>
      <c r="O187" s="46">
        <f ca="1">IF(C187="","",IF(C188="",0,IF(E187="Construção",0,IF(E187="Seguro",$C$17*'Base de Dados'!$C$2,IF($C$14=Parâmetros!$B$4,0,Simulador!$C$17*'Base de Dados'!$C$2)))))</f>
        <v>75</v>
      </c>
      <c r="P187" s="46"/>
      <c r="Q187" s="46">
        <f ca="1">IF(C187="","",IF(E187&lt;&gt;"Retorno",(I187+K187+M187),IF($G$20=Parâmetros!$D$2,SUM(G187,I187,K187,M187,O187),PMT($O$25,SUM($G$17),($O$10)*-1)+O187+M187+K187)))</f>
        <v>9239.6996703468612</v>
      </c>
      <c r="R187" s="46"/>
      <c r="S187" s="46">
        <f t="shared" ca="1" si="25"/>
        <v>492457.05166757165</v>
      </c>
      <c r="U187" s="15" t="str">
        <f t="shared" ca="1" si="26"/>
        <v/>
      </c>
    </row>
    <row r="188" spans="1:21" x14ac:dyDescent="0.3">
      <c r="A188" s="49">
        <f t="shared" ca="1" si="19"/>
        <v>50881</v>
      </c>
      <c r="B188" s="49" t="str">
        <f t="shared" ca="1" si="20"/>
        <v/>
      </c>
      <c r="C188" s="81">
        <f t="shared" ca="1" si="21"/>
        <v>155</v>
      </c>
      <c r="D188" s="34">
        <f t="shared" ca="1" si="22"/>
        <v>155</v>
      </c>
      <c r="E188" s="4" t="str">
        <f t="shared" ca="1" si="23"/>
        <v>Retorno</v>
      </c>
      <c r="G188" s="46">
        <f ca="1">IF(C188="","",IF(E188&lt;&gt;"Retorno",0,IF($G$20=Parâmetros!$D$2,Simulador!$O$10/$G$17,IF($G$20=Parâmetros!$D$3,PMT($O$25,$G$17,($O$10)*-1)-I188,""))))</f>
        <v>3472.5553281320281</v>
      </c>
      <c r="H188" s="46"/>
      <c r="I188" s="46">
        <f t="shared" ca="1" si="18"/>
        <v>5402.9735614756355</v>
      </c>
      <c r="J188" s="34"/>
      <c r="K188" s="46">
        <f t="shared" ca="1" si="24"/>
        <v>0</v>
      </c>
      <c r="L188" s="46"/>
      <c r="M188" s="46">
        <f ca="1">IFERROR(IF(C188="","",IF($C$10=Parâmetros!$C$3,0,VLOOKUP(A188,'Base de Dados'!$E$3:$G$422,3,FALSE)*S188)),0)</f>
        <v>287.13169625051893</v>
      </c>
      <c r="N188" s="34"/>
      <c r="O188" s="46">
        <f ca="1">IF(C188="","",IF(C189="",0,IF(E188="Construção",0,IF(E188="Seguro",$C$17*'Base de Dados'!$C$2,IF($C$14=Parâmetros!$B$4,0,Simulador!$C$17*'Base de Dados'!$C$2)))))</f>
        <v>75</v>
      </c>
      <c r="P188" s="46"/>
      <c r="Q188" s="46">
        <f ca="1">IF(C188="","",IF(E188&lt;&gt;"Retorno",(I188+K188+M188),IF($G$20=Parâmetros!$D$2,SUM(G188,I188,K188,M188,O188),PMT($O$25,SUM($G$17),($O$10)*-1)+O188+M188+K188)))</f>
        <v>9237.6605858581825</v>
      </c>
      <c r="R188" s="46"/>
      <c r="S188" s="46">
        <f t="shared" ca="1" si="25"/>
        <v>488984.49633943965</v>
      </c>
      <c r="U188" s="15" t="str">
        <f t="shared" ca="1" si="26"/>
        <v/>
      </c>
    </row>
    <row r="189" spans="1:21" x14ac:dyDescent="0.3">
      <c r="A189" s="49">
        <f t="shared" ca="1" si="19"/>
        <v>50911</v>
      </c>
      <c r="B189" s="49" t="str">
        <f t="shared" ca="1" si="20"/>
        <v/>
      </c>
      <c r="C189" s="81">
        <f t="shared" ca="1" si="21"/>
        <v>156</v>
      </c>
      <c r="D189" s="34">
        <f t="shared" ca="1" si="22"/>
        <v>156</v>
      </c>
      <c r="E189" s="4" t="str">
        <f t="shared" ca="1" si="23"/>
        <v>Retorno</v>
      </c>
      <c r="G189" s="46">
        <f ca="1">IF(C189="","",IF(E189&lt;&gt;"Retorno",0,IF($G$20=Parâmetros!$D$2,Simulador!$O$10/$G$17,IF($G$20=Parâmetros!$D$3,PMT($O$25,$G$17,($O$10)*-1)-I189,""))))</f>
        <v>3510.6543350710672</v>
      </c>
      <c r="H189" s="46"/>
      <c r="I189" s="46">
        <f t="shared" ca="1" si="18"/>
        <v>5364.8745545365964</v>
      </c>
      <c r="J189" s="34"/>
      <c r="K189" s="46">
        <f t="shared" ca="1" si="24"/>
        <v>0</v>
      </c>
      <c r="L189" s="46"/>
      <c r="M189" s="46">
        <f ca="1">IFERROR(IF(C189="","",IF($C$10=Parâmetros!$C$3,0,VLOOKUP(A189,'Base de Dados'!$E$3:$G$422,3,FALSE)*S189)),0)</f>
        <v>285.07024002496524</v>
      </c>
      <c r="N189" s="34"/>
      <c r="O189" s="46">
        <f ca="1">IF(C189="","",IF(C190="",0,IF(E189="Construção",0,IF(E189="Seguro",$C$17*'Base de Dados'!$C$2,IF($C$14=Parâmetros!$B$4,0,Simulador!$C$17*'Base de Dados'!$C$2)))))</f>
        <v>75</v>
      </c>
      <c r="P189" s="46"/>
      <c r="Q189" s="46">
        <f ca="1">IF(C189="","",IF(E189&lt;&gt;"Retorno",(I189+K189+M189),IF($G$20=Parâmetros!$D$2,SUM(G189,I189,K189,M189,O189),PMT($O$25,SUM($G$17),($O$10)*-1)+O189+M189+K189)))</f>
        <v>9235.5991296326283</v>
      </c>
      <c r="R189" s="46"/>
      <c r="S189" s="46">
        <f t="shared" ca="1" si="25"/>
        <v>485473.84200436861</v>
      </c>
      <c r="U189" s="15" t="str">
        <f t="shared" ca="1" si="26"/>
        <v/>
      </c>
    </row>
    <row r="190" spans="1:21" x14ac:dyDescent="0.3">
      <c r="A190" s="49">
        <f t="shared" ca="1" si="19"/>
        <v>50942</v>
      </c>
      <c r="B190" s="49" t="str">
        <f t="shared" ca="1" si="20"/>
        <v/>
      </c>
      <c r="C190" s="81">
        <f t="shared" ca="1" si="21"/>
        <v>157</v>
      </c>
      <c r="D190" s="34">
        <f t="shared" ca="1" si="22"/>
        <v>157</v>
      </c>
      <c r="E190" s="4" t="str">
        <f t="shared" ca="1" si="23"/>
        <v>Retorno</v>
      </c>
      <c r="G190" s="46">
        <f ca="1">IF(C190="","",IF(E190&lt;&gt;"Retorno",0,IF($G$20=Parâmetros!$D$2,Simulador!$O$10/$G$17,IF($G$20=Parâmetros!$D$3,PMT($O$25,$G$17,($O$10)*-1)-I190,""))))</f>
        <v>3549.1713437962717</v>
      </c>
      <c r="H190" s="46"/>
      <c r="I190" s="46">
        <f t="shared" ca="1" si="18"/>
        <v>5326.3575458113919</v>
      </c>
      <c r="J190" s="34"/>
      <c r="K190" s="46">
        <f t="shared" ca="1" si="24"/>
        <v>0</v>
      </c>
      <c r="L190" s="46"/>
      <c r="M190" s="46">
        <f ca="1">IFERROR(IF(C190="","",IF($C$10=Parâmetros!$C$3,0,VLOOKUP(A190,'Base de Dados'!$E$3:$G$422,3,FALSE)*S190)),0)</f>
        <v>282.98616661188805</v>
      </c>
      <c r="N190" s="34"/>
      <c r="O190" s="46">
        <f ca="1">IF(C190="","",IF(C191="",0,IF(E190="Construção",0,IF(E190="Seguro",$C$17*'Base de Dados'!$C$2,IF($C$14=Parâmetros!$B$4,0,Simulador!$C$17*'Base de Dados'!$C$2)))))</f>
        <v>75</v>
      </c>
      <c r="P190" s="46"/>
      <c r="Q190" s="46">
        <f ca="1">IF(C190="","",IF(E190&lt;&gt;"Retorno",(I190+K190+M190),IF($G$20=Parâmetros!$D$2,SUM(G190,I190,K190,M190,O190),PMT($O$25,SUM($G$17),($O$10)*-1)+O190+M190+K190)))</f>
        <v>9233.5150562195522</v>
      </c>
      <c r="R190" s="46"/>
      <c r="S190" s="46">
        <f t="shared" ca="1" si="25"/>
        <v>481924.67066057236</v>
      </c>
      <c r="U190" s="15" t="str">
        <f t="shared" ca="1" si="26"/>
        <v/>
      </c>
    </row>
    <row r="191" spans="1:21" x14ac:dyDescent="0.3">
      <c r="A191" s="49">
        <f t="shared" ca="1" si="19"/>
        <v>50972</v>
      </c>
      <c r="B191" s="49" t="str">
        <f t="shared" ca="1" si="20"/>
        <v/>
      </c>
      <c r="C191" s="81">
        <f t="shared" ca="1" si="21"/>
        <v>158</v>
      </c>
      <c r="D191" s="34">
        <f t="shared" ca="1" si="22"/>
        <v>158</v>
      </c>
      <c r="E191" s="4" t="str">
        <f t="shared" ca="1" si="23"/>
        <v>Retorno</v>
      </c>
      <c r="G191" s="46">
        <f ca="1">IF(C191="","",IF(E191&lt;&gt;"Retorno",0,IF($G$20=Parâmetros!$D$2,Simulador!$O$10/$G$17,IF($G$20=Parâmetros!$D$3,PMT($O$25,$G$17,($O$10)*-1)-I191,""))))</f>
        <v>3588.11094039815</v>
      </c>
      <c r="H191" s="46"/>
      <c r="I191" s="46">
        <f t="shared" ca="1" si="18"/>
        <v>5287.4179492095136</v>
      </c>
      <c r="J191" s="34"/>
      <c r="K191" s="46">
        <f t="shared" ca="1" si="24"/>
        <v>0</v>
      </c>
      <c r="L191" s="46"/>
      <c r="M191" s="46">
        <f ca="1">IFERROR(IF(C191="","",IF($C$10=Parâmetros!$C$3,0,VLOOKUP(A191,'Base de Dados'!$E$3:$G$422,3,FALSE)*S191)),0)</f>
        <v>280.87922786768627</v>
      </c>
      <c r="N191" s="34"/>
      <c r="O191" s="46">
        <f ca="1">IF(C191="","",IF(C192="",0,IF(E191="Construção",0,IF(E191="Seguro",$C$17*'Base de Dados'!$C$2,IF($C$14=Parâmetros!$B$4,0,Simulador!$C$17*'Base de Dados'!$C$2)))))</f>
        <v>75</v>
      </c>
      <c r="P191" s="46"/>
      <c r="Q191" s="46">
        <f ca="1">IF(C191="","",IF(E191&lt;&gt;"Retorno",(I191+K191+M191),IF($G$20=Parâmetros!$D$2,SUM(G191,I191,K191,M191,O191),PMT($O$25,SUM($G$17),($O$10)*-1)+O191+M191+K191)))</f>
        <v>9231.4081174753501</v>
      </c>
      <c r="R191" s="46"/>
      <c r="S191" s="46">
        <f t="shared" ca="1" si="25"/>
        <v>478336.55972017423</v>
      </c>
      <c r="U191" s="15" t="str">
        <f t="shared" ca="1" si="26"/>
        <v/>
      </c>
    </row>
    <row r="192" spans="1:21" x14ac:dyDescent="0.3">
      <c r="A192" s="49">
        <f t="shared" ca="1" si="19"/>
        <v>51003</v>
      </c>
      <c r="B192" s="49" t="str">
        <f t="shared" ca="1" si="20"/>
        <v/>
      </c>
      <c r="C192" s="81">
        <f t="shared" ca="1" si="21"/>
        <v>159</v>
      </c>
      <c r="D192" s="34">
        <f t="shared" ca="1" si="22"/>
        <v>159</v>
      </c>
      <c r="E192" s="4" t="str">
        <f t="shared" ca="1" si="23"/>
        <v>Retorno</v>
      </c>
      <c r="G192" s="46">
        <f ca="1">IF(C192="","",IF(E192&lt;&gt;"Retorno",0,IF($G$20=Parâmetros!$D$2,Simulador!$O$10/$G$17,IF($G$20=Parâmetros!$D$3,PMT($O$25,$G$17,($O$10)*-1)-I192,""))))</f>
        <v>3627.4777612832513</v>
      </c>
      <c r="H192" s="46"/>
      <c r="I192" s="46">
        <f t="shared" ca="1" si="18"/>
        <v>5248.0511283244123</v>
      </c>
      <c r="J192" s="34"/>
      <c r="K192" s="46">
        <f t="shared" ca="1" si="24"/>
        <v>0</v>
      </c>
      <c r="L192" s="46"/>
      <c r="M192" s="46">
        <f ca="1">IFERROR(IF(C192="","",IF($C$10=Parâmetros!$C$3,0,VLOOKUP(A192,'Base de Dados'!$E$3:$G$422,3,FALSE)*S192)),0)</f>
        <v>278.74917292626077</v>
      </c>
      <c r="N192" s="34"/>
      <c r="O192" s="46">
        <f ca="1">IF(C192="","",IF(C193="",0,IF(E192="Construção",0,IF(E192="Seguro",$C$17*'Base de Dados'!$C$2,IF($C$14=Parâmetros!$B$4,0,Simulador!$C$17*'Base de Dados'!$C$2)))))</f>
        <v>75</v>
      </c>
      <c r="P192" s="46"/>
      <c r="Q192" s="46">
        <f ca="1">IF(C192="","",IF(E192&lt;&gt;"Retorno",(I192+K192+M192),IF($G$20=Parâmetros!$D$2,SUM(G192,I192,K192,M192,O192),PMT($O$25,SUM($G$17),($O$10)*-1)+O192+M192+K192)))</f>
        <v>9229.2780625339237</v>
      </c>
      <c r="R192" s="46"/>
      <c r="S192" s="46">
        <f t="shared" ca="1" si="25"/>
        <v>474709.08195889101</v>
      </c>
      <c r="U192" s="15" t="str">
        <f t="shared" ca="1" si="26"/>
        <v/>
      </c>
    </row>
    <row r="193" spans="1:21" x14ac:dyDescent="0.3">
      <c r="A193" s="49">
        <f t="shared" ca="1" si="19"/>
        <v>51034</v>
      </c>
      <c r="B193" s="49" t="str">
        <f t="shared" ca="1" si="20"/>
        <v/>
      </c>
      <c r="C193" s="81">
        <f t="shared" ca="1" si="21"/>
        <v>160</v>
      </c>
      <c r="D193" s="34">
        <f t="shared" ca="1" si="22"/>
        <v>160</v>
      </c>
      <c r="E193" s="4" t="str">
        <f t="shared" ca="1" si="23"/>
        <v>Retorno</v>
      </c>
      <c r="G193" s="46">
        <f ca="1">IF(C193="","",IF(E193&lt;&gt;"Retorno",0,IF($G$20=Parâmetros!$D$2,Simulador!$O$10/$G$17,IF($G$20=Parâmetros!$D$3,PMT($O$25,$G$17,($O$10)*-1)-I193,""))))</f>
        <v>3667.2764937264401</v>
      </c>
      <c r="H193" s="46"/>
      <c r="I193" s="46">
        <f t="shared" ca="1" si="18"/>
        <v>5208.2523958812235</v>
      </c>
      <c r="J193" s="34"/>
      <c r="K193" s="46">
        <f t="shared" ca="1" si="24"/>
        <v>0</v>
      </c>
      <c r="L193" s="46"/>
      <c r="M193" s="46">
        <f ca="1">IFERROR(IF(C193="","",IF($C$10=Parâmetros!$C$3,0,VLOOKUP(A193,'Base de Dados'!$E$3:$G$422,3,FALSE)*S193)),0)</f>
        <v>276.59574816914466</v>
      </c>
      <c r="N193" s="34"/>
      <c r="O193" s="46">
        <f ca="1">IF(C193="","",IF(C194="",0,IF(E193="Construção",0,IF(E193="Seguro",$C$17*'Base de Dados'!$C$2,IF($C$14=Parâmetros!$B$4,0,Simulador!$C$17*'Base de Dados'!$C$2)))))</f>
        <v>75</v>
      </c>
      <c r="P193" s="46"/>
      <c r="Q193" s="46">
        <f ca="1">IF(C193="","",IF(E193&lt;&gt;"Retorno",(I193+K193+M193),IF($G$20=Parâmetros!$D$2,SUM(G193,I193,K193,M193,O193),PMT($O$25,SUM($G$17),($O$10)*-1)+O193+M193+K193)))</f>
        <v>9227.1246377768075</v>
      </c>
      <c r="R193" s="46"/>
      <c r="S193" s="46">
        <f t="shared" ca="1" si="25"/>
        <v>471041.80546516459</v>
      </c>
      <c r="U193" s="15" t="str">
        <f t="shared" ca="1" si="26"/>
        <v/>
      </c>
    </row>
    <row r="194" spans="1:21" x14ac:dyDescent="0.3">
      <c r="A194" s="49">
        <f t="shared" ca="1" si="19"/>
        <v>51064</v>
      </c>
      <c r="B194" s="49" t="str">
        <f t="shared" ca="1" si="20"/>
        <v/>
      </c>
      <c r="C194" s="81">
        <f t="shared" ca="1" si="21"/>
        <v>161</v>
      </c>
      <c r="D194" s="34">
        <f t="shared" ca="1" si="22"/>
        <v>161</v>
      </c>
      <c r="E194" s="4" t="str">
        <f t="shared" ca="1" si="23"/>
        <v>Retorno</v>
      </c>
      <c r="G194" s="46">
        <f ca="1">IF(C194="","",IF(E194&lt;&gt;"Retorno",0,IF($G$20=Parâmetros!$D$2,Simulador!$O$10/$G$17,IF($G$20=Parâmetros!$D$3,PMT($O$25,$G$17,($O$10)*-1)-I194,""))))</f>
        <v>3707.5118764285835</v>
      </c>
      <c r="H194" s="46"/>
      <c r="I194" s="46">
        <f t="shared" ca="1" si="18"/>
        <v>5168.0170131790801</v>
      </c>
      <c r="J194" s="34"/>
      <c r="K194" s="46">
        <f t="shared" ca="1" si="24"/>
        <v>0</v>
      </c>
      <c r="L194" s="46"/>
      <c r="M194" s="46">
        <f ca="1">IFERROR(IF(C194="","",IF($C$10=Parâmetros!$C$3,0,VLOOKUP(A194,'Base de Dados'!$E$3:$G$422,3,FALSE)*S194)),0)</f>
        <v>274.41869719530581</v>
      </c>
      <c r="N194" s="34"/>
      <c r="O194" s="46">
        <f ca="1">IF(C194="","",IF(C195="",0,IF(E194="Construção",0,IF(E194="Seguro",$C$17*'Base de Dados'!$C$2,IF($C$14=Parâmetros!$B$4,0,Simulador!$C$17*'Base de Dados'!$C$2)))))</f>
        <v>75</v>
      </c>
      <c r="P194" s="46"/>
      <c r="Q194" s="46">
        <f ca="1">IF(C194="","",IF(E194&lt;&gt;"Retorno",(I194+K194+M194),IF($G$20=Parâmetros!$D$2,SUM(G194,I194,K194,M194,O194),PMT($O$25,SUM($G$17),($O$10)*-1)+O194+M194+K194)))</f>
        <v>9224.9475868029695</v>
      </c>
      <c r="R194" s="46"/>
      <c r="S194" s="46">
        <f t="shared" ca="1" si="25"/>
        <v>467334.29358873604</v>
      </c>
      <c r="U194" s="15" t="str">
        <f t="shared" ca="1" si="26"/>
        <v/>
      </c>
    </row>
    <row r="195" spans="1:21" x14ac:dyDescent="0.3">
      <c r="A195" s="49">
        <f t="shared" ca="1" si="19"/>
        <v>51095</v>
      </c>
      <c r="B195" s="49" t="str">
        <f t="shared" ca="1" si="20"/>
        <v/>
      </c>
      <c r="C195" s="81">
        <f t="shared" ca="1" si="21"/>
        <v>162</v>
      </c>
      <c r="D195" s="34">
        <f t="shared" ca="1" si="22"/>
        <v>162</v>
      </c>
      <c r="E195" s="4" t="str">
        <f t="shared" ca="1" si="23"/>
        <v>Retorno</v>
      </c>
      <c r="G195" s="46">
        <f ca="1">IF(C195="","",IF(E195&lt;&gt;"Retorno",0,IF($G$20=Parâmetros!$D$2,Simulador!$O$10/$G$17,IF($G$20=Parâmetros!$D$3,PMT($O$25,$G$17,($O$10)*-1)-I195,""))))</f>
        <v>3748.1887000812821</v>
      </c>
      <c r="H195" s="46"/>
      <c r="I195" s="46">
        <f t="shared" ca="1" si="18"/>
        <v>5127.3401895263814</v>
      </c>
      <c r="J195" s="34"/>
      <c r="K195" s="46">
        <f t="shared" ca="1" si="24"/>
        <v>0</v>
      </c>
      <c r="L195" s="46"/>
      <c r="M195" s="46">
        <f ca="1">IFERROR(IF(C195="","",IF($C$10=Parâmetros!$C$3,0,VLOOKUP(A195,'Base de Dados'!$E$3:$G$422,3,FALSE)*S195)),0)</f>
        <v>272.21776079061806</v>
      </c>
      <c r="N195" s="34"/>
      <c r="O195" s="46">
        <f ca="1">IF(C195="","",IF(C196="",0,IF(E195="Construção",0,IF(E195="Seguro",$C$17*'Base de Dados'!$C$2,IF($C$14=Parâmetros!$B$4,0,Simulador!$C$17*'Base de Dados'!$C$2)))))</f>
        <v>75</v>
      </c>
      <c r="P195" s="46"/>
      <c r="Q195" s="46">
        <f ca="1">IF(C195="","",IF(E195&lt;&gt;"Retorno",(I195+K195+M195),IF($G$20=Parâmetros!$D$2,SUM(G195,I195,K195,M195,O195),PMT($O$25,SUM($G$17),($O$10)*-1)+O195+M195+K195)))</f>
        <v>9222.7466503982814</v>
      </c>
      <c r="R195" s="46"/>
      <c r="S195" s="46">
        <f t="shared" ca="1" si="25"/>
        <v>463586.10488865478</v>
      </c>
      <c r="U195" s="15" t="str">
        <f t="shared" ca="1" si="26"/>
        <v/>
      </c>
    </row>
    <row r="196" spans="1:21" x14ac:dyDescent="0.3">
      <c r="A196" s="49">
        <f t="shared" ca="1" si="19"/>
        <v>51125</v>
      </c>
      <c r="B196" s="49" t="str">
        <f t="shared" ca="1" si="20"/>
        <v/>
      </c>
      <c r="C196" s="81">
        <f t="shared" ca="1" si="21"/>
        <v>163</v>
      </c>
      <c r="D196" s="34">
        <f t="shared" ca="1" si="22"/>
        <v>163</v>
      </c>
      <c r="E196" s="4" t="str">
        <f t="shared" ca="1" si="23"/>
        <v>Retorno</v>
      </c>
      <c r="G196" s="46">
        <f ca="1">IF(C196="","",IF(E196&lt;&gt;"Retorno",0,IF($G$20=Parâmetros!$D$2,Simulador!$O$10/$G$17,IF($G$20=Parâmetros!$D$3,PMT($O$25,$G$17,($O$10)*-1)-I196,""))))</f>
        <v>3789.3118079368396</v>
      </c>
      <c r="H196" s="46"/>
      <c r="I196" s="46">
        <f t="shared" ca="1" si="18"/>
        <v>5086.217081670824</v>
      </c>
      <c r="J196" s="34"/>
      <c r="K196" s="46">
        <f t="shared" ca="1" si="24"/>
        <v>0</v>
      </c>
      <c r="L196" s="46"/>
      <c r="M196" s="46">
        <f ca="1">IFERROR(IF(C196="","",IF($C$10=Parâmetros!$C$3,0,VLOOKUP(A196,'Base de Dados'!$E$3:$G$422,3,FALSE)*S196)),0)</f>
        <v>269.99267689699758</v>
      </c>
      <c r="N196" s="34"/>
      <c r="O196" s="46">
        <f ca="1">IF(C196="","",IF(C197="",0,IF(E196="Construção",0,IF(E196="Seguro",$C$17*'Base de Dados'!$C$2,IF($C$14=Parâmetros!$B$4,0,Simulador!$C$17*'Base de Dados'!$C$2)))))</f>
        <v>75</v>
      </c>
      <c r="P196" s="46"/>
      <c r="Q196" s="46">
        <f ca="1">IF(C196="","",IF(E196&lt;&gt;"Retorno",(I196+K196+M196),IF($G$20=Parâmetros!$D$2,SUM(G196,I196,K196,M196,O196),PMT($O$25,SUM($G$17),($O$10)*-1)+O196+M196+K196)))</f>
        <v>9220.5215665046617</v>
      </c>
      <c r="R196" s="46"/>
      <c r="S196" s="46">
        <f t="shared" ca="1" si="25"/>
        <v>459796.79308071797</v>
      </c>
      <c r="U196" s="15" t="str">
        <f t="shared" ca="1" si="26"/>
        <v/>
      </c>
    </row>
    <row r="197" spans="1:21" x14ac:dyDescent="0.3">
      <c r="A197" s="49">
        <f t="shared" ca="1" si="19"/>
        <v>51156</v>
      </c>
      <c r="B197" s="49" t="str">
        <f t="shared" ca="1" si="20"/>
        <v/>
      </c>
      <c r="C197" s="81">
        <f t="shared" ca="1" si="21"/>
        <v>164</v>
      </c>
      <c r="D197" s="34">
        <f t="shared" ca="1" si="22"/>
        <v>164</v>
      </c>
      <c r="E197" s="4" t="str">
        <f t="shared" ca="1" si="23"/>
        <v>Retorno</v>
      </c>
      <c r="G197" s="46">
        <f ca="1">IF(C197="","",IF(E197&lt;&gt;"Retorno",0,IF($G$20=Parâmetros!$D$2,Simulador!$O$10/$G$17,IF($G$20=Parâmetros!$D$3,PMT($O$25,$G$17,($O$10)*-1)-I197,""))))</f>
        <v>3830.8860963852167</v>
      </c>
      <c r="H197" s="46"/>
      <c r="I197" s="46">
        <f t="shared" ca="1" si="18"/>
        <v>5044.6427932224469</v>
      </c>
      <c r="J197" s="34"/>
      <c r="K197" s="46">
        <f t="shared" ca="1" si="24"/>
        <v>0</v>
      </c>
      <c r="L197" s="46"/>
      <c r="M197" s="46">
        <f ca="1">IFERROR(IF(C197="","",IF($C$10=Parâmetros!$C$3,0,VLOOKUP(A197,'Base de Dados'!$E$3:$G$422,3,FALSE)*S197)),0)</f>
        <v>267.74318058120019</v>
      </c>
      <c r="N197" s="34"/>
      <c r="O197" s="46">
        <f ca="1">IF(C197="","",IF(C198="",0,IF(E197="Construção",0,IF(E197="Seguro",$C$17*'Base de Dados'!$C$2,IF($C$14=Parâmetros!$B$4,0,Simulador!$C$17*'Base de Dados'!$C$2)))))</f>
        <v>75</v>
      </c>
      <c r="P197" s="46"/>
      <c r="Q197" s="46">
        <f ca="1">IF(C197="","",IF(E197&lt;&gt;"Retorno",(I197+K197+M197),IF($G$20=Parâmetros!$D$2,SUM(G197,I197,K197,M197,O197),PMT($O$25,SUM($G$17),($O$10)*-1)+O197+M197+K197)))</f>
        <v>9218.2720701888629</v>
      </c>
      <c r="R197" s="46"/>
      <c r="S197" s="46">
        <f t="shared" ca="1" si="25"/>
        <v>455965.90698433277</v>
      </c>
      <c r="U197" s="15" t="str">
        <f t="shared" ca="1" si="26"/>
        <v/>
      </c>
    </row>
    <row r="198" spans="1:21" x14ac:dyDescent="0.3">
      <c r="A198" s="49">
        <f t="shared" ca="1" si="19"/>
        <v>51187</v>
      </c>
      <c r="B198" s="49" t="str">
        <f t="shared" ca="1" si="20"/>
        <v/>
      </c>
      <c r="C198" s="81">
        <f t="shared" ca="1" si="21"/>
        <v>165</v>
      </c>
      <c r="D198" s="34">
        <f t="shared" ca="1" si="22"/>
        <v>165</v>
      </c>
      <c r="E198" s="4" t="str">
        <f t="shared" ca="1" si="23"/>
        <v>Retorno</v>
      </c>
      <c r="G198" s="46">
        <f ca="1">IF(C198="","",IF(E198&lt;&gt;"Retorno",0,IF($G$20=Parâmetros!$D$2,Simulador!$O$10/$G$17,IF($G$20=Parâmetros!$D$3,PMT($O$25,$G$17,($O$10)*-1)-I198,""))))</f>
        <v>3872.9165155369228</v>
      </c>
      <c r="H198" s="46"/>
      <c r="I198" s="46">
        <f t="shared" ca="1" si="18"/>
        <v>5002.6123740707408</v>
      </c>
      <c r="J198" s="34"/>
      <c r="K198" s="46">
        <f t="shared" ca="1" si="24"/>
        <v>0</v>
      </c>
      <c r="L198" s="46"/>
      <c r="M198" s="46">
        <f ca="1">IFERROR(IF(C198="","",IF($C$10=Parâmetros!$C$3,0,VLOOKUP(A198,'Base de Dados'!$E$3:$G$422,3,FALSE)*S198)),0)</f>
        <v>265.46900400327689</v>
      </c>
      <c r="N198" s="34"/>
      <c r="O198" s="46">
        <f ca="1">IF(C198="","",IF(C199="",0,IF(E198="Construção",0,IF(E198="Seguro",$C$17*'Base de Dados'!$C$2,IF($C$14=Parâmetros!$B$4,0,Simulador!$C$17*'Base de Dados'!$C$2)))))</f>
        <v>75</v>
      </c>
      <c r="P198" s="46"/>
      <c r="Q198" s="46">
        <f ca="1">IF(C198="","",IF(E198&lt;&gt;"Retorno",(I198+K198+M198),IF($G$20=Parâmetros!$D$2,SUM(G198,I198,K198,M198,O198),PMT($O$25,SUM($G$17),($O$10)*-1)+O198+M198+K198)))</f>
        <v>9215.9978936109401</v>
      </c>
      <c r="R198" s="46"/>
      <c r="S198" s="46">
        <f t="shared" ca="1" si="25"/>
        <v>452092.99046879588</v>
      </c>
      <c r="U198" s="15" t="str">
        <f t="shared" ca="1" si="26"/>
        <v/>
      </c>
    </row>
    <row r="199" spans="1:21" x14ac:dyDescent="0.3">
      <c r="A199" s="49">
        <f t="shared" ca="1" si="19"/>
        <v>51216</v>
      </c>
      <c r="B199" s="49" t="str">
        <f t="shared" ca="1" si="20"/>
        <v/>
      </c>
      <c r="C199" s="81">
        <f t="shared" ca="1" si="21"/>
        <v>166</v>
      </c>
      <c r="D199" s="34">
        <f t="shared" ca="1" si="22"/>
        <v>166</v>
      </c>
      <c r="E199" s="4" t="str">
        <f t="shared" ca="1" si="23"/>
        <v>Retorno</v>
      </c>
      <c r="G199" s="46">
        <f ca="1">IF(C199="","",IF(E199&lt;&gt;"Retorno",0,IF($G$20=Parâmetros!$D$2,Simulador!$O$10/$G$17,IF($G$20=Parâmetros!$D$3,PMT($O$25,$G$17,($O$10)*-1)-I199,""))))</f>
        <v>3915.4080698123107</v>
      </c>
      <c r="H199" s="46"/>
      <c r="I199" s="46">
        <f t="shared" ca="1" si="18"/>
        <v>4960.1208197953529</v>
      </c>
      <c r="J199" s="34"/>
      <c r="K199" s="46">
        <f t="shared" ca="1" si="24"/>
        <v>0</v>
      </c>
      <c r="L199" s="46"/>
      <c r="M199" s="46">
        <f ca="1">IFERROR(IF(C199="","",IF($C$10=Parâmetros!$C$3,0,VLOOKUP(A199,'Base de Dados'!$E$3:$G$422,3,FALSE)*S199)),0)</f>
        <v>263.16987638468316</v>
      </c>
      <c r="N199" s="34"/>
      <c r="O199" s="46">
        <f ca="1">IF(C199="","",IF(C200="",0,IF(E199="Construção",0,IF(E199="Seguro",$C$17*'Base de Dados'!$C$2,IF($C$14=Parâmetros!$B$4,0,Simulador!$C$17*'Base de Dados'!$C$2)))))</f>
        <v>75</v>
      </c>
      <c r="P199" s="46"/>
      <c r="Q199" s="46">
        <f ca="1">IF(C199="","",IF(E199&lt;&gt;"Retorno",(I199+K199+M199),IF($G$20=Parâmetros!$D$2,SUM(G199,I199,K199,M199,O199),PMT($O$25,SUM($G$17),($O$10)*-1)+O199+M199+K199)))</f>
        <v>9213.698765992347</v>
      </c>
      <c r="R199" s="46"/>
      <c r="S199" s="46">
        <f t="shared" ca="1" si="25"/>
        <v>448177.58239898359</v>
      </c>
      <c r="U199" s="15" t="str">
        <f t="shared" ca="1" si="26"/>
        <v/>
      </c>
    </row>
    <row r="200" spans="1:21" x14ac:dyDescent="0.3">
      <c r="A200" s="49">
        <f t="shared" ca="1" si="19"/>
        <v>51247</v>
      </c>
      <c r="B200" s="49" t="str">
        <f t="shared" ca="1" si="20"/>
        <v/>
      </c>
      <c r="C200" s="81">
        <f t="shared" ca="1" si="21"/>
        <v>167</v>
      </c>
      <c r="D200" s="34">
        <f t="shared" ca="1" si="22"/>
        <v>167</v>
      </c>
      <c r="E200" s="4" t="str">
        <f t="shared" ca="1" si="23"/>
        <v>Retorno</v>
      </c>
      <c r="G200" s="46">
        <f ca="1">IF(C200="","",IF(E200&lt;&gt;"Retorno",0,IF($G$20=Parâmetros!$D$2,Simulador!$O$10/$G$17,IF($G$20=Parâmetros!$D$3,PMT($O$25,$G$17,($O$10)*-1)-I200,""))))</f>
        <v>3958.365818537739</v>
      </c>
      <c r="H200" s="46"/>
      <c r="I200" s="46">
        <f t="shared" ca="1" si="18"/>
        <v>4917.1630710699246</v>
      </c>
      <c r="J200" s="34"/>
      <c r="K200" s="46">
        <f t="shared" ca="1" si="24"/>
        <v>0</v>
      </c>
      <c r="L200" s="46"/>
      <c r="M200" s="46">
        <f ca="1">IFERROR(IF(C200="","",IF($C$10=Parâmetros!$C$3,0,VLOOKUP(A200,'Base de Dados'!$E$3:$G$422,3,FALSE)*S200)),0)</f>
        <v>260.84552397603778</v>
      </c>
      <c r="N200" s="34"/>
      <c r="O200" s="46">
        <f ca="1">IF(C200="","",IF(C201="",0,IF(E200="Construção",0,IF(E200="Seguro",$C$17*'Base de Dados'!$C$2,IF($C$14=Parâmetros!$B$4,0,Simulador!$C$17*'Base de Dados'!$C$2)))))</f>
        <v>75</v>
      </c>
      <c r="P200" s="46"/>
      <c r="Q200" s="46">
        <f ca="1">IF(C200="","",IF(E200&lt;&gt;"Retorno",(I200+K200+M200),IF($G$20=Parâmetros!$D$2,SUM(G200,I200,K200,M200,O200),PMT($O$25,SUM($G$17),($O$10)*-1)+O200+M200+K200)))</f>
        <v>9211.3744135837005</v>
      </c>
      <c r="R200" s="46"/>
      <c r="S200" s="46">
        <f t="shared" ca="1" si="25"/>
        <v>444219.21658044588</v>
      </c>
      <c r="U200" s="15" t="str">
        <f t="shared" ca="1" si="26"/>
        <v/>
      </c>
    </row>
    <row r="201" spans="1:21" x14ac:dyDescent="0.3">
      <c r="A201" s="49">
        <f t="shared" ca="1" si="19"/>
        <v>51277</v>
      </c>
      <c r="B201" s="49" t="str">
        <f t="shared" ca="1" si="20"/>
        <v/>
      </c>
      <c r="C201" s="81">
        <f t="shared" ca="1" si="21"/>
        <v>168</v>
      </c>
      <c r="D201" s="34">
        <f t="shared" ca="1" si="22"/>
        <v>168</v>
      </c>
      <c r="E201" s="4" t="str">
        <f t="shared" ca="1" si="23"/>
        <v>Retorno</v>
      </c>
      <c r="G201" s="46">
        <f ca="1">IF(C201="","",IF(E201&lt;&gt;"Retorno",0,IF($G$20=Parâmetros!$D$2,Simulador!$O$10/$G$17,IF($G$20=Parâmetros!$D$3,PMT($O$25,$G$17,($O$10)*-1)-I201,""))))</f>
        <v>4001.7948765475558</v>
      </c>
      <c r="H201" s="46"/>
      <c r="I201" s="46">
        <f t="shared" ca="1" si="18"/>
        <v>4873.7340130601078</v>
      </c>
      <c r="J201" s="34"/>
      <c r="K201" s="46">
        <f t="shared" ca="1" si="24"/>
        <v>0</v>
      </c>
      <c r="L201" s="46"/>
      <c r="M201" s="46">
        <f ca="1">IFERROR(IF(C201="","",IF($C$10=Parâmetros!$C$3,0,VLOOKUP(A201,'Base de Dados'!$E$3:$G$422,3,FALSE)*S201)),0)</f>
        <v>258.49567002452909</v>
      </c>
      <c r="N201" s="34"/>
      <c r="O201" s="46">
        <f ca="1">IF(C201="","",IF(C202="",0,IF(E201="Construção",0,IF(E201="Seguro",$C$17*'Base de Dados'!$C$2,IF($C$14=Parâmetros!$B$4,0,Simulador!$C$17*'Base de Dados'!$C$2)))))</f>
        <v>75</v>
      </c>
      <c r="P201" s="46"/>
      <c r="Q201" s="46">
        <f ca="1">IF(C201="","",IF(E201&lt;&gt;"Retorno",(I201+K201+M201),IF($G$20=Parâmetros!$D$2,SUM(G201,I201,K201,M201,O201),PMT($O$25,SUM($G$17),($O$10)*-1)+O201+M201+K201)))</f>
        <v>9209.0245596321929</v>
      </c>
      <c r="R201" s="46"/>
      <c r="S201" s="46">
        <f t="shared" ca="1" si="25"/>
        <v>440217.42170389835</v>
      </c>
      <c r="U201" s="15" t="str">
        <f t="shared" ca="1" si="26"/>
        <v/>
      </c>
    </row>
    <row r="202" spans="1:21" x14ac:dyDescent="0.3">
      <c r="A202" s="49">
        <f t="shared" ca="1" si="19"/>
        <v>51308</v>
      </c>
      <c r="B202" s="49" t="str">
        <f t="shared" ca="1" si="20"/>
        <v/>
      </c>
      <c r="C202" s="81">
        <f t="shared" ca="1" si="21"/>
        <v>169</v>
      </c>
      <c r="D202" s="34">
        <f t="shared" ca="1" si="22"/>
        <v>169</v>
      </c>
      <c r="E202" s="4" t="str">
        <f t="shared" ca="1" si="23"/>
        <v>Retorno</v>
      </c>
      <c r="G202" s="46">
        <f ca="1">IF(C202="","",IF(E202&lt;&gt;"Retorno",0,IF($G$20=Parâmetros!$D$2,Simulador!$O$10/$G$17,IF($G$20=Parâmetros!$D$3,PMT($O$25,$G$17,($O$10)*-1)-I202,""))))</f>
        <v>4045.7004147934167</v>
      </c>
      <c r="H202" s="46"/>
      <c r="I202" s="46">
        <f t="shared" ca="1" si="18"/>
        <v>4829.8284748142469</v>
      </c>
      <c r="J202" s="34"/>
      <c r="K202" s="46">
        <f t="shared" ca="1" si="24"/>
        <v>0</v>
      </c>
      <c r="L202" s="46"/>
      <c r="M202" s="46">
        <f ca="1">IFERROR(IF(C202="","",IF($C$10=Parâmetros!$C$3,0,VLOOKUP(A202,'Base de Dados'!$E$3:$G$422,3,FALSE)*S202)),0)</f>
        <v>256.12003474096241</v>
      </c>
      <c r="N202" s="34"/>
      <c r="O202" s="46">
        <f ca="1">IF(C202="","",IF(C203="",0,IF(E202="Construção",0,IF(E202="Seguro",$C$17*'Base de Dados'!$C$2,IF($C$14=Parâmetros!$B$4,0,Simulador!$C$17*'Base de Dados'!$C$2)))))</f>
        <v>75</v>
      </c>
      <c r="P202" s="46"/>
      <c r="Q202" s="46">
        <f ca="1">IF(C202="","",IF(E202&lt;&gt;"Retorno",(I202+K202+M202),IF($G$20=Parâmetros!$D$2,SUM(G202,I202,K202,M202,O202),PMT($O$25,SUM($G$17),($O$10)*-1)+O202+M202+K202)))</f>
        <v>9206.6489243486267</v>
      </c>
      <c r="R202" s="46"/>
      <c r="S202" s="46">
        <f t="shared" ca="1" si="25"/>
        <v>436171.72128910496</v>
      </c>
      <c r="U202" s="15" t="str">
        <f t="shared" ca="1" si="26"/>
        <v/>
      </c>
    </row>
    <row r="203" spans="1:21" x14ac:dyDescent="0.3">
      <c r="A203" s="49">
        <f t="shared" ca="1" si="19"/>
        <v>51338</v>
      </c>
      <c r="B203" s="49" t="str">
        <f t="shared" ca="1" si="20"/>
        <v/>
      </c>
      <c r="C203" s="81">
        <f t="shared" ca="1" si="21"/>
        <v>170</v>
      </c>
      <c r="D203" s="34">
        <f t="shared" ca="1" si="22"/>
        <v>170</v>
      </c>
      <c r="E203" s="4" t="str">
        <f t="shared" ca="1" si="23"/>
        <v>Retorno</v>
      </c>
      <c r="G203" s="46">
        <f ca="1">IF(C203="","",IF(E203&lt;&gt;"Retorno",0,IF($G$20=Parâmetros!$D$2,Simulador!$O$10/$G$17,IF($G$20=Parâmetros!$D$3,PMT($O$25,$G$17,($O$10)*-1)-I203,""))))</f>
        <v>4090.0876609598308</v>
      </c>
      <c r="H203" s="46"/>
      <c r="I203" s="46">
        <f t="shared" ca="1" si="18"/>
        <v>4785.4412286478328</v>
      </c>
      <c r="J203" s="34"/>
      <c r="K203" s="46">
        <f t="shared" ca="1" si="24"/>
        <v>0</v>
      </c>
      <c r="L203" s="46"/>
      <c r="M203" s="46">
        <f ca="1">IFERROR(IF(C203="","",IF($C$10=Parâmetros!$C$3,0,VLOOKUP(A203,'Base de Dados'!$E$3:$G$422,3,FALSE)*S203)),0)</f>
        <v>253.71833526644681</v>
      </c>
      <c r="N203" s="34"/>
      <c r="O203" s="46">
        <f ca="1">IF(C203="","",IF(C204="",0,IF(E203="Construção",0,IF(E203="Seguro",$C$17*'Base de Dados'!$C$2,IF($C$14=Parâmetros!$B$4,0,Simulador!$C$17*'Base de Dados'!$C$2)))))</f>
        <v>75</v>
      </c>
      <c r="P203" s="46"/>
      <c r="Q203" s="46">
        <f ca="1">IF(C203="","",IF(E203&lt;&gt;"Retorno",(I203+K203+M203),IF($G$20=Parâmetros!$D$2,SUM(G203,I203,K203,M203,O203),PMT($O$25,SUM($G$17),($O$10)*-1)+O203+M203+K203)))</f>
        <v>9204.2472248741105</v>
      </c>
      <c r="R203" s="46"/>
      <c r="S203" s="46">
        <f t="shared" ca="1" si="25"/>
        <v>432081.63362814515</v>
      </c>
      <c r="U203" s="15" t="str">
        <f t="shared" ca="1" si="26"/>
        <v/>
      </c>
    </row>
    <row r="204" spans="1:21" x14ac:dyDescent="0.3">
      <c r="A204" s="49">
        <f t="shared" ca="1" si="19"/>
        <v>51369</v>
      </c>
      <c r="B204" s="49" t="str">
        <f t="shared" ca="1" si="20"/>
        <v/>
      </c>
      <c r="C204" s="81">
        <f t="shared" ca="1" si="21"/>
        <v>171</v>
      </c>
      <c r="D204" s="34">
        <f t="shared" ca="1" si="22"/>
        <v>171</v>
      </c>
      <c r="E204" s="4" t="str">
        <f t="shared" ca="1" si="23"/>
        <v>Retorno</v>
      </c>
      <c r="G204" s="46">
        <f ca="1">IF(C204="","",IF(E204&lt;&gt;"Retorno",0,IF($G$20=Parâmetros!$D$2,Simulador!$O$10/$G$17,IF($G$20=Parâmetros!$D$3,PMT($O$25,$G$17,($O$10)*-1)-I204,""))))</f>
        <v>4134.9619000868079</v>
      </c>
      <c r="H204" s="46"/>
      <c r="I204" s="46">
        <f t="shared" ca="1" si="18"/>
        <v>4740.5669895208557</v>
      </c>
      <c r="J204" s="34"/>
      <c r="K204" s="46">
        <f t="shared" ca="1" si="24"/>
        <v>0</v>
      </c>
      <c r="L204" s="46"/>
      <c r="M204" s="46">
        <f ca="1">IFERROR(IF(C204="","",IF($C$10=Parâmetros!$C$3,0,VLOOKUP(A204,'Base de Dados'!$E$3:$G$422,3,FALSE)*S204)),0)</f>
        <v>251.29028563871586</v>
      </c>
      <c r="N204" s="34"/>
      <c r="O204" s="46">
        <f ca="1">IF(C204="","",IF(C205="",0,IF(E204="Construção",0,IF(E204="Seguro",$C$17*'Base de Dados'!$C$2,IF($C$14=Parâmetros!$B$4,0,Simulador!$C$17*'Base de Dados'!$C$2)))))</f>
        <v>75</v>
      </c>
      <c r="P204" s="46"/>
      <c r="Q204" s="46">
        <f ca="1">IF(C204="","",IF(E204&lt;&gt;"Retorno",(I204+K204+M204),IF($G$20=Parâmetros!$D$2,SUM(G204,I204,K204,M204,O204),PMT($O$25,SUM($G$17),($O$10)*-1)+O204+M204+K204)))</f>
        <v>9201.819175246379</v>
      </c>
      <c r="R204" s="46"/>
      <c r="S204" s="46">
        <f t="shared" ca="1" si="25"/>
        <v>427946.67172805837</v>
      </c>
      <c r="U204" s="15" t="str">
        <f t="shared" ca="1" si="26"/>
        <v/>
      </c>
    </row>
    <row r="205" spans="1:21" x14ac:dyDescent="0.3">
      <c r="A205" s="49">
        <f t="shared" ca="1" si="19"/>
        <v>51400</v>
      </c>
      <c r="B205" s="49" t="str">
        <f t="shared" ca="1" si="20"/>
        <v/>
      </c>
      <c r="C205" s="81">
        <f t="shared" ca="1" si="21"/>
        <v>172</v>
      </c>
      <c r="D205" s="34">
        <f t="shared" ca="1" si="22"/>
        <v>172</v>
      </c>
      <c r="E205" s="4" t="str">
        <f t="shared" ca="1" si="23"/>
        <v>Retorno</v>
      </c>
      <c r="G205" s="46">
        <f ca="1">IF(C205="","",IF(E205&lt;&gt;"Retorno",0,IF($G$20=Parâmetros!$D$2,Simulador!$O$10/$G$17,IF($G$20=Parâmetros!$D$3,PMT($O$25,$G$17,($O$10)*-1)-I205,""))))</f>
        <v>4180.3284751987339</v>
      </c>
      <c r="H205" s="46"/>
      <c r="I205" s="46">
        <f t="shared" ca="1" si="18"/>
        <v>4695.2004144089296</v>
      </c>
      <c r="J205" s="34"/>
      <c r="K205" s="46">
        <f t="shared" ca="1" si="24"/>
        <v>0</v>
      </c>
      <c r="L205" s="46"/>
      <c r="M205" s="46">
        <f ca="1">IFERROR(IF(C205="","",IF($C$10=Parâmetros!$C$3,0,VLOOKUP(A205,'Base de Dados'!$E$3:$G$422,3,FALSE)*S205)),0)</f>
        <v>322.06242087217333</v>
      </c>
      <c r="N205" s="34"/>
      <c r="O205" s="46">
        <f ca="1">IF(C205="","",IF(C206="",0,IF(E205="Construção",0,IF(E205="Seguro",$C$17*'Base de Dados'!$C$2,IF($C$14=Parâmetros!$B$4,0,Simulador!$C$17*'Base de Dados'!$C$2)))))</f>
        <v>75</v>
      </c>
      <c r="P205" s="46"/>
      <c r="Q205" s="46">
        <f ca="1">IF(C205="","",IF(E205&lt;&gt;"Retorno",(I205+K205+M205),IF($G$20=Parâmetros!$D$2,SUM(G205,I205,K205,M205,O205),PMT($O$25,SUM($G$17),($O$10)*-1)+O205+M205+K205)))</f>
        <v>9272.5913104798365</v>
      </c>
      <c r="R205" s="46"/>
      <c r="S205" s="46">
        <f t="shared" ca="1" si="25"/>
        <v>423766.34325285966</v>
      </c>
      <c r="U205" s="15" t="str">
        <f t="shared" ca="1" si="26"/>
        <v/>
      </c>
    </row>
    <row r="206" spans="1:21" x14ac:dyDescent="0.3">
      <c r="A206" s="49">
        <f t="shared" ca="1" si="19"/>
        <v>51430</v>
      </c>
      <c r="B206" s="49" t="str">
        <f t="shared" ca="1" si="20"/>
        <v/>
      </c>
      <c r="C206" s="81">
        <f t="shared" ca="1" si="21"/>
        <v>173</v>
      </c>
      <c r="D206" s="34">
        <f t="shared" ca="1" si="22"/>
        <v>173</v>
      </c>
      <c r="E206" s="4" t="str">
        <f t="shared" ca="1" si="23"/>
        <v>Retorno</v>
      </c>
      <c r="G206" s="46">
        <f ca="1">IF(C206="","",IF(E206&lt;&gt;"Retorno",0,IF($G$20=Parâmetros!$D$2,Simulador!$O$10/$G$17,IF($G$20=Parâmetros!$D$3,PMT($O$25,$G$17,($O$10)*-1)-I206,""))))</f>
        <v>4226.1927879409304</v>
      </c>
      <c r="H206" s="46"/>
      <c r="I206" s="46">
        <f t="shared" ca="1" si="18"/>
        <v>4649.3361016667332</v>
      </c>
      <c r="J206" s="34"/>
      <c r="K206" s="46">
        <f t="shared" ca="1" si="24"/>
        <v>0</v>
      </c>
      <c r="L206" s="46"/>
      <c r="M206" s="46">
        <f ca="1">IFERROR(IF(C206="","",IF($C$10=Parâmetros!$C$3,0,VLOOKUP(A206,'Base de Dados'!$E$3:$G$422,3,FALSE)*S206)),0)</f>
        <v>318.85051435333827</v>
      </c>
      <c r="N206" s="34"/>
      <c r="O206" s="46">
        <f ca="1">IF(C206="","",IF(C207="",0,IF(E206="Construção",0,IF(E206="Seguro",$C$17*'Base de Dados'!$C$2,IF($C$14=Parâmetros!$B$4,0,Simulador!$C$17*'Base de Dados'!$C$2)))))</f>
        <v>75</v>
      </c>
      <c r="P206" s="46"/>
      <c r="Q206" s="46">
        <f ca="1">IF(C206="","",IF(E206&lt;&gt;"Retorno",(I206+K206+M206),IF($G$20=Parâmetros!$D$2,SUM(G206,I206,K206,M206,O206),PMT($O$25,SUM($G$17),($O$10)*-1)+O206+M206+K206)))</f>
        <v>9269.379403961002</v>
      </c>
      <c r="R206" s="46"/>
      <c r="S206" s="46">
        <f t="shared" ca="1" si="25"/>
        <v>419540.15046491876</v>
      </c>
      <c r="U206" s="15" t="str">
        <f t="shared" ca="1" si="26"/>
        <v/>
      </c>
    </row>
    <row r="207" spans="1:21" x14ac:dyDescent="0.3">
      <c r="A207" s="49">
        <f t="shared" ca="1" si="19"/>
        <v>51461</v>
      </c>
      <c r="B207" s="49" t="str">
        <f t="shared" ca="1" si="20"/>
        <v/>
      </c>
      <c r="C207" s="81">
        <f t="shared" ca="1" si="21"/>
        <v>174</v>
      </c>
      <c r="D207" s="34">
        <f t="shared" ca="1" si="22"/>
        <v>174</v>
      </c>
      <c r="E207" s="4" t="str">
        <f t="shared" ca="1" si="23"/>
        <v>Retorno</v>
      </c>
      <c r="G207" s="46">
        <f ca="1">IF(C207="","",IF(E207&lt;&gt;"Retorno",0,IF($G$20=Parâmetros!$D$2,Simulador!$O$10/$G$17,IF($G$20=Parâmetros!$D$3,PMT($O$25,$G$17,($O$10)*-1)-I207,""))))</f>
        <v>4272.5602992226159</v>
      </c>
      <c r="H207" s="46"/>
      <c r="I207" s="46">
        <f t="shared" ca="1" si="18"/>
        <v>4602.9685903850477</v>
      </c>
      <c r="J207" s="34"/>
      <c r="K207" s="46">
        <f t="shared" ca="1" si="24"/>
        <v>0</v>
      </c>
      <c r="L207" s="46"/>
      <c r="M207" s="46">
        <f ca="1">IFERROR(IF(C207="","",IF($C$10=Parâmetros!$C$3,0,VLOOKUP(A207,'Base de Dados'!$E$3:$G$422,3,FALSE)*S207)),0)</f>
        <v>315.60336852592911</v>
      </c>
      <c r="N207" s="34"/>
      <c r="O207" s="46">
        <f ca="1">IF(C207="","",IF(C208="",0,IF(E207="Construção",0,IF(E207="Seguro",$C$17*'Base de Dados'!$C$2,IF($C$14=Parâmetros!$B$4,0,Simulador!$C$17*'Base de Dados'!$C$2)))))</f>
        <v>75</v>
      </c>
      <c r="P207" s="46"/>
      <c r="Q207" s="46">
        <f ca="1">IF(C207="","",IF(E207&lt;&gt;"Retorno",(I207+K207+M207),IF($G$20=Parâmetros!$D$2,SUM(G207,I207,K207,M207,O207),PMT($O$25,SUM($G$17),($O$10)*-1)+O207+M207+K207)))</f>
        <v>9266.1322581335935</v>
      </c>
      <c r="R207" s="46"/>
      <c r="S207" s="46">
        <f t="shared" ca="1" si="25"/>
        <v>415267.59016569617</v>
      </c>
      <c r="U207" s="15" t="str">
        <f t="shared" ca="1" si="26"/>
        <v/>
      </c>
    </row>
    <row r="208" spans="1:21" x14ac:dyDescent="0.3">
      <c r="A208" s="49">
        <f t="shared" ca="1" si="19"/>
        <v>51491</v>
      </c>
      <c r="B208" s="49" t="str">
        <f t="shared" ca="1" si="20"/>
        <v/>
      </c>
      <c r="C208" s="81">
        <f t="shared" ca="1" si="21"/>
        <v>175</v>
      </c>
      <c r="D208" s="34">
        <f t="shared" ca="1" si="22"/>
        <v>175</v>
      </c>
      <c r="E208" s="4" t="str">
        <f t="shared" ca="1" si="23"/>
        <v>Retorno</v>
      </c>
      <c r="G208" s="46">
        <f ca="1">IF(C208="","",IF(E208&lt;&gt;"Retorno",0,IF($G$20=Parâmetros!$D$2,Simulador!$O$10/$G$17,IF($G$20=Parâmetros!$D$3,PMT($O$25,$G$17,($O$10)*-1)-I208,""))))</f>
        <v>4319.4365298672019</v>
      </c>
      <c r="H208" s="46"/>
      <c r="I208" s="46">
        <f t="shared" ca="1" si="18"/>
        <v>4556.0923597404617</v>
      </c>
      <c r="J208" s="34"/>
      <c r="K208" s="46">
        <f t="shared" ca="1" si="24"/>
        <v>0</v>
      </c>
      <c r="L208" s="46"/>
      <c r="M208" s="46">
        <f ca="1">IFERROR(IF(C208="","",IF($C$10=Parâmetros!$C$3,0,VLOOKUP(A208,'Base de Dados'!$E$3:$G$422,3,FALSE)*S208)),0)</f>
        <v>312.32059676323007</v>
      </c>
      <c r="N208" s="34"/>
      <c r="O208" s="46">
        <f ca="1">IF(C208="","",IF(C209="",0,IF(E208="Construção",0,IF(E208="Seguro",$C$17*'Base de Dados'!$C$2,IF($C$14=Parâmetros!$B$4,0,Simulador!$C$17*'Base de Dados'!$C$2)))))</f>
        <v>75</v>
      </c>
      <c r="P208" s="46"/>
      <c r="Q208" s="46">
        <f ca="1">IF(C208="","",IF(E208&lt;&gt;"Retorno",(I208+K208+M208),IF($G$20=Parâmetros!$D$2,SUM(G208,I208,K208,M208,O208),PMT($O$25,SUM($G$17),($O$10)*-1)+O208+M208+K208)))</f>
        <v>9262.8494863708929</v>
      </c>
      <c r="R208" s="46"/>
      <c r="S208" s="46">
        <f t="shared" ca="1" si="25"/>
        <v>410948.15363582899</v>
      </c>
      <c r="U208" s="15" t="str">
        <f t="shared" ca="1" si="26"/>
        <v/>
      </c>
    </row>
    <row r="209" spans="1:21" x14ac:dyDescent="0.3">
      <c r="A209" s="49">
        <f t="shared" ca="1" si="19"/>
        <v>51522</v>
      </c>
      <c r="B209" s="49" t="str">
        <f t="shared" ca="1" si="20"/>
        <v/>
      </c>
      <c r="C209" s="81">
        <f t="shared" ca="1" si="21"/>
        <v>176</v>
      </c>
      <c r="D209" s="34">
        <f t="shared" ca="1" si="22"/>
        <v>176</v>
      </c>
      <c r="E209" s="4" t="str">
        <f t="shared" ca="1" si="23"/>
        <v>Retorno</v>
      </c>
      <c r="G209" s="46">
        <f ca="1">IF(C209="","",IF(E209&lt;&gt;"Retorno",0,IF($G$20=Parâmetros!$D$2,Simulador!$O$10/$G$17,IF($G$20=Parâmetros!$D$3,PMT($O$25,$G$17,($O$10)*-1)-I209,""))))</f>
        <v>4366.827061269516</v>
      </c>
      <c r="H209" s="46"/>
      <c r="I209" s="46">
        <f t="shared" ca="1" si="18"/>
        <v>4508.7018283381476</v>
      </c>
      <c r="J209" s="34"/>
      <c r="K209" s="46">
        <f t="shared" ca="1" si="24"/>
        <v>0</v>
      </c>
      <c r="L209" s="46"/>
      <c r="M209" s="46">
        <f ca="1">IFERROR(IF(C209="","",IF($C$10=Parâmetros!$C$3,0,VLOOKUP(A209,'Base de Dados'!$E$3:$G$422,3,FALSE)*S209)),0)</f>
        <v>309.00180819666525</v>
      </c>
      <c r="N209" s="34"/>
      <c r="O209" s="46">
        <f ca="1">IF(C209="","",IF(C210="",0,IF(E209="Construção",0,IF(E209="Seguro",$C$17*'Base de Dados'!$C$2,IF($C$14=Parâmetros!$B$4,0,Simulador!$C$17*'Base de Dados'!$C$2)))))</f>
        <v>75</v>
      </c>
      <c r="P209" s="46"/>
      <c r="Q209" s="46">
        <f ca="1">IF(C209="","",IF(E209&lt;&gt;"Retorno",(I209+K209+M209),IF($G$20=Parâmetros!$D$2,SUM(G209,I209,K209,M209,O209),PMT($O$25,SUM($G$17),($O$10)*-1)+O209+M209+K209)))</f>
        <v>9259.5306978043282</v>
      </c>
      <c r="R209" s="46"/>
      <c r="S209" s="46">
        <f t="shared" ca="1" si="25"/>
        <v>406581.3265745595</v>
      </c>
      <c r="U209" s="15" t="str">
        <f t="shared" ca="1" si="26"/>
        <v/>
      </c>
    </row>
    <row r="210" spans="1:21" x14ac:dyDescent="0.3">
      <c r="A210" s="49">
        <f t="shared" ca="1" si="19"/>
        <v>51553</v>
      </c>
      <c r="B210" s="49" t="str">
        <f t="shared" ca="1" si="20"/>
        <v/>
      </c>
      <c r="C210" s="81">
        <f t="shared" ca="1" si="21"/>
        <v>177</v>
      </c>
      <c r="D210" s="34">
        <f t="shared" ca="1" si="22"/>
        <v>177</v>
      </c>
      <c r="E210" s="4" t="str">
        <f t="shared" ca="1" si="23"/>
        <v>Retorno</v>
      </c>
      <c r="G210" s="46">
        <f ca="1">IF(C210="","",IF(E210&lt;&gt;"Retorno",0,IF($G$20=Parâmetros!$D$2,Simulador!$O$10/$G$17,IF($G$20=Parâmetros!$D$3,PMT($O$25,$G$17,($O$10)*-1)-I210,""))))</f>
        <v>4414.7375360605329</v>
      </c>
      <c r="H210" s="46"/>
      <c r="I210" s="46">
        <f t="shared" ca="1" si="18"/>
        <v>4460.7913535471307</v>
      </c>
      <c r="J210" s="34"/>
      <c r="K210" s="46">
        <f t="shared" ca="1" si="24"/>
        <v>0</v>
      </c>
      <c r="L210" s="46"/>
      <c r="M210" s="46">
        <f ca="1">IFERROR(IF(C210="","",IF($C$10=Parâmetros!$C$3,0,VLOOKUP(A210,'Base de Dados'!$E$3:$G$422,3,FALSE)*S210)),0)</f>
        <v>305.64660766925925</v>
      </c>
      <c r="N210" s="34"/>
      <c r="O210" s="46">
        <f ca="1">IF(C210="","",IF(C211="",0,IF(E210="Construção",0,IF(E210="Seguro",$C$17*'Base de Dados'!$C$2,IF($C$14=Parâmetros!$B$4,0,Simulador!$C$17*'Base de Dados'!$C$2)))))</f>
        <v>75</v>
      </c>
      <c r="P210" s="46"/>
      <c r="Q210" s="46">
        <f ca="1">IF(C210="","",IF(E210&lt;&gt;"Retorno",(I210+K210+M210),IF($G$20=Parâmetros!$D$2,SUM(G210,I210,K210,M210,O210),PMT($O$25,SUM($G$17),($O$10)*-1)+O210+M210+K210)))</f>
        <v>9256.1754972769231</v>
      </c>
      <c r="R210" s="46"/>
      <c r="S210" s="46">
        <f t="shared" ca="1" si="25"/>
        <v>402166.58903849899</v>
      </c>
      <c r="U210" s="15" t="str">
        <f t="shared" ca="1" si="26"/>
        <v/>
      </c>
    </row>
    <row r="211" spans="1:21" x14ac:dyDescent="0.3">
      <c r="A211" s="49">
        <f t="shared" ca="1" si="19"/>
        <v>51581</v>
      </c>
      <c r="B211" s="49" t="str">
        <f t="shared" ca="1" si="20"/>
        <v/>
      </c>
      <c r="C211" s="81">
        <f t="shared" ca="1" si="21"/>
        <v>178</v>
      </c>
      <c r="D211" s="34">
        <f t="shared" ca="1" si="22"/>
        <v>178</v>
      </c>
      <c r="E211" s="4" t="str">
        <f t="shared" ca="1" si="23"/>
        <v>Retorno</v>
      </c>
      <c r="G211" s="46">
        <f ca="1">IF(C211="","",IF(E211&lt;&gt;"Retorno",0,IF($G$20=Parâmetros!$D$2,Simulador!$O$10/$G$17,IF($G$20=Parâmetros!$D$3,PMT($O$25,$G$17,($O$10)*-1)-I211,""))))</f>
        <v>4463.1736587790911</v>
      </c>
      <c r="H211" s="46"/>
      <c r="I211" s="46">
        <f t="shared" ca="1" si="18"/>
        <v>4412.3552308285725</v>
      </c>
      <c r="J211" s="34"/>
      <c r="K211" s="46">
        <f t="shared" ca="1" si="24"/>
        <v>0</v>
      </c>
      <c r="L211" s="46"/>
      <c r="M211" s="46">
        <f ca="1">IFERROR(IF(C211="","",IF($C$10=Parâmetros!$C$3,0,VLOOKUP(A211,'Base de Dados'!$E$3:$G$422,3,FALSE)*S211)),0)</f>
        <v>302.25459568858719</v>
      </c>
      <c r="N211" s="34"/>
      <c r="O211" s="46">
        <f ca="1">IF(C211="","",IF(C212="",0,IF(E211="Construção",0,IF(E211="Seguro",$C$17*'Base de Dados'!$C$2,IF($C$14=Parâmetros!$B$4,0,Simulador!$C$17*'Base de Dados'!$C$2)))))</f>
        <v>75</v>
      </c>
      <c r="P211" s="46"/>
      <c r="Q211" s="46">
        <f ca="1">IF(C211="","",IF(E211&lt;&gt;"Retorno",(I211+K211+M211),IF($G$20=Parâmetros!$D$2,SUM(G211,I211,K211,M211,O211),PMT($O$25,SUM($G$17),($O$10)*-1)+O211+M211+K211)))</f>
        <v>9252.7834852962515</v>
      </c>
      <c r="R211" s="46"/>
      <c r="S211" s="46">
        <f t="shared" ca="1" si="25"/>
        <v>397703.41537971993</v>
      </c>
      <c r="U211" s="15" t="str">
        <f t="shared" ca="1" si="26"/>
        <v/>
      </c>
    </row>
    <row r="212" spans="1:21" x14ac:dyDescent="0.3">
      <c r="A212" s="49">
        <f t="shared" ca="1" si="19"/>
        <v>51612</v>
      </c>
      <c r="B212" s="49" t="str">
        <f t="shared" ca="1" si="20"/>
        <v/>
      </c>
      <c r="C212" s="81">
        <f t="shared" ca="1" si="21"/>
        <v>179</v>
      </c>
      <c r="D212" s="34">
        <f t="shared" ca="1" si="22"/>
        <v>179</v>
      </c>
      <c r="E212" s="4" t="str">
        <f t="shared" ca="1" si="23"/>
        <v>Retorno</v>
      </c>
      <c r="G212" s="46">
        <f ca="1">IF(C212="","",IF(E212&lt;&gt;"Retorno",0,IF($G$20=Parâmetros!$D$2,Simulador!$O$10/$G$17,IF($G$20=Parâmetros!$D$3,PMT($O$25,$G$17,($O$10)*-1)-I212,""))))</f>
        <v>4512.1411965511761</v>
      </c>
      <c r="H212" s="46"/>
      <c r="I212" s="46">
        <f t="shared" ca="1" si="18"/>
        <v>4363.3876930564875</v>
      </c>
      <c r="J212" s="34"/>
      <c r="K212" s="46">
        <f t="shared" ca="1" si="24"/>
        <v>0</v>
      </c>
      <c r="L212" s="46"/>
      <c r="M212" s="46">
        <f ca="1">IFERROR(IF(C212="","",IF($C$10=Parâmetros!$C$3,0,VLOOKUP(A212,'Base de Dados'!$E$3:$G$422,3,FALSE)*S212)),0)</f>
        <v>298.82536837920827</v>
      </c>
      <c r="N212" s="34"/>
      <c r="O212" s="46">
        <f ca="1">IF(C212="","",IF(C213="",0,IF(E212="Construção",0,IF(E212="Seguro",$C$17*'Base de Dados'!$C$2,IF($C$14=Parâmetros!$B$4,0,Simulador!$C$17*'Base de Dados'!$C$2)))))</f>
        <v>75</v>
      </c>
      <c r="P212" s="46"/>
      <c r="Q212" s="46">
        <f ca="1">IF(C212="","",IF(E212&lt;&gt;"Retorno",(I212+K212+M212),IF($G$20=Parâmetros!$D$2,SUM(G212,I212,K212,M212,O212),PMT($O$25,SUM($G$17),($O$10)*-1)+O212+M212+K212)))</f>
        <v>9249.3542579868717</v>
      </c>
      <c r="R212" s="46"/>
      <c r="S212" s="46">
        <f t="shared" ca="1" si="25"/>
        <v>393191.27418316877</v>
      </c>
      <c r="U212" s="15" t="str">
        <f t="shared" ca="1" si="26"/>
        <v/>
      </c>
    </row>
    <row r="213" spans="1:21" x14ac:dyDescent="0.3">
      <c r="A213" s="49">
        <f t="shared" ca="1" si="19"/>
        <v>51642</v>
      </c>
      <c r="B213" s="49" t="str">
        <f t="shared" ca="1" si="20"/>
        <v/>
      </c>
      <c r="C213" s="81">
        <f t="shared" ca="1" si="21"/>
        <v>180</v>
      </c>
      <c r="D213" s="34">
        <f t="shared" ca="1" si="22"/>
        <v>180</v>
      </c>
      <c r="E213" s="4" t="str">
        <f t="shared" ca="1" si="23"/>
        <v>Retorno</v>
      </c>
      <c r="G213" s="46">
        <f ca="1">IF(C213="","",IF(E213&lt;&gt;"Retorno",0,IF($G$20=Parâmetros!$D$2,Simulador!$O$10/$G$17,IF($G$20=Parâmetros!$D$3,PMT($O$25,$G$17,($O$10)*-1)-I213,""))))</f>
        <v>4561.6459797765383</v>
      </c>
      <c r="H213" s="46"/>
      <c r="I213" s="46">
        <f t="shared" ca="1" si="18"/>
        <v>4313.8829098311253</v>
      </c>
      <c r="J213" s="34"/>
      <c r="K213" s="46">
        <f t="shared" ca="1" si="24"/>
        <v>0</v>
      </c>
      <c r="L213" s="46"/>
      <c r="M213" s="46">
        <f ca="1">IFERROR(IF(C213="","",IF($C$10=Parâmetros!$C$3,0,VLOOKUP(A213,'Base de Dados'!$E$3:$G$422,3,FALSE)*S213)),0)</f>
        <v>295.35851743457812</v>
      </c>
      <c r="N213" s="34"/>
      <c r="O213" s="46">
        <f ca="1">IF(C213="","",IF(C214="",0,IF(E213="Construção",0,IF(E213="Seguro",$C$17*'Base de Dados'!$C$2,IF($C$14=Parâmetros!$B$4,0,Simulador!$C$17*'Base de Dados'!$C$2)))))</f>
        <v>75</v>
      </c>
      <c r="P213" s="46"/>
      <c r="Q213" s="46">
        <f ca="1">IF(C213="","",IF(E213&lt;&gt;"Retorno",(I213+K213+M213),IF($G$20=Parâmetros!$D$2,SUM(G213,I213,K213,M213,O213),PMT($O$25,SUM($G$17),($O$10)*-1)+O213+M213+K213)))</f>
        <v>9245.8874070422426</v>
      </c>
      <c r="R213" s="46"/>
      <c r="S213" s="46">
        <f t="shared" ca="1" si="25"/>
        <v>388629.62820339226</v>
      </c>
      <c r="U213" s="15" t="str">
        <f t="shared" ca="1" si="26"/>
        <v/>
      </c>
    </row>
    <row r="214" spans="1:21" x14ac:dyDescent="0.3">
      <c r="A214" s="49">
        <f t="shared" ca="1" si="19"/>
        <v>51673</v>
      </c>
      <c r="B214" s="49" t="str">
        <f t="shared" ca="1" si="20"/>
        <v/>
      </c>
      <c r="C214" s="81">
        <f t="shared" ca="1" si="21"/>
        <v>181</v>
      </c>
      <c r="D214" s="34">
        <f t="shared" ca="1" si="22"/>
        <v>181</v>
      </c>
      <c r="E214" s="4" t="str">
        <f t="shared" ca="1" si="23"/>
        <v>Retorno</v>
      </c>
      <c r="G214" s="46">
        <f ca="1">IF(C214="","",IF(E214&lt;&gt;"Retorno",0,IF($G$20=Parâmetros!$D$2,Simulador!$O$10/$G$17,IF($G$20=Parâmetros!$D$3,PMT($O$25,$G$17,($O$10)*-1)-I214,""))))</f>
        <v>4611.6939028229936</v>
      </c>
      <c r="H214" s="46"/>
      <c r="I214" s="46">
        <f t="shared" ca="1" si="18"/>
        <v>4263.83498678467</v>
      </c>
      <c r="J214" s="34"/>
      <c r="K214" s="46">
        <f t="shared" ca="1" si="24"/>
        <v>0</v>
      </c>
      <c r="L214" s="46"/>
      <c r="M214" s="46">
        <f ca="1">IFERROR(IF(C214="","",IF($C$10=Parâmetros!$C$3,0,VLOOKUP(A214,'Base de Dados'!$E$3:$G$422,3,FALSE)*S214)),0)</f>
        <v>291.85363006843266</v>
      </c>
      <c r="N214" s="34"/>
      <c r="O214" s="46">
        <f ca="1">IF(C214="","",IF(C215="",0,IF(E214="Construção",0,IF(E214="Seguro",$C$17*'Base de Dados'!$C$2,IF($C$14=Parâmetros!$B$4,0,Simulador!$C$17*'Base de Dados'!$C$2)))))</f>
        <v>75</v>
      </c>
      <c r="P214" s="46"/>
      <c r="Q214" s="46">
        <f ca="1">IF(C214="","",IF(E214&lt;&gt;"Retorno",(I214+K214+M214),IF($G$20=Parâmetros!$D$2,SUM(G214,I214,K214,M214,O214),PMT($O$25,SUM($G$17),($O$10)*-1)+O214+M214+K214)))</f>
        <v>9242.3825196760954</v>
      </c>
      <c r="R214" s="46"/>
      <c r="S214" s="46">
        <f t="shared" ca="1" si="25"/>
        <v>384017.93430056929</v>
      </c>
      <c r="U214" s="15" t="str">
        <f t="shared" ca="1" si="26"/>
        <v/>
      </c>
    </row>
    <row r="215" spans="1:21" x14ac:dyDescent="0.3">
      <c r="A215" s="49">
        <f t="shared" ca="1" si="19"/>
        <v>51703</v>
      </c>
      <c r="B215" s="49" t="str">
        <f t="shared" ca="1" si="20"/>
        <v/>
      </c>
      <c r="C215" s="81">
        <f t="shared" ca="1" si="21"/>
        <v>182</v>
      </c>
      <c r="D215" s="34">
        <f t="shared" ca="1" si="22"/>
        <v>182</v>
      </c>
      <c r="E215" s="4" t="str">
        <f t="shared" ca="1" si="23"/>
        <v>Retorno</v>
      </c>
      <c r="G215" s="46">
        <f ca="1">IF(C215="","",IF(E215&lt;&gt;"Retorno",0,IF($G$20=Parâmetros!$D$2,Simulador!$O$10/$G$17,IF($G$20=Parâmetros!$D$3,PMT($O$25,$G$17,($O$10)*-1)-I215,""))))</f>
        <v>4662.2909247281168</v>
      </c>
      <c r="H215" s="46"/>
      <c r="I215" s="46">
        <f t="shared" ca="1" si="18"/>
        <v>4213.2379648795468</v>
      </c>
      <c r="J215" s="34"/>
      <c r="K215" s="46">
        <f t="shared" ca="1" si="24"/>
        <v>0</v>
      </c>
      <c r="L215" s="46"/>
      <c r="M215" s="46">
        <f ca="1">IFERROR(IF(C215="","",IF($C$10=Parâmetros!$C$3,0,VLOOKUP(A215,'Base de Dados'!$E$3:$G$422,3,FALSE)*S215)),0)</f>
        <v>288.3102889656393</v>
      </c>
      <c r="N215" s="34"/>
      <c r="O215" s="46">
        <f ca="1">IF(C215="","",IF(C216="",0,IF(E215="Construção",0,IF(E215="Seguro",$C$17*'Base de Dados'!$C$2,IF($C$14=Parâmetros!$B$4,0,Simulador!$C$17*'Base de Dados'!$C$2)))))</f>
        <v>75</v>
      </c>
      <c r="P215" s="46"/>
      <c r="Q215" s="46">
        <f ca="1">IF(C215="","",IF(E215&lt;&gt;"Retorno",(I215+K215+M215),IF($G$20=Parâmetros!$D$2,SUM(G215,I215,K215,M215,O215),PMT($O$25,SUM($G$17),($O$10)*-1)+O215+M215+K215)))</f>
        <v>9238.8391785733038</v>
      </c>
      <c r="R215" s="46"/>
      <c r="S215" s="46">
        <f t="shared" ca="1" si="25"/>
        <v>379355.6433758412</v>
      </c>
      <c r="U215" s="15" t="str">
        <f t="shared" ca="1" si="26"/>
        <v/>
      </c>
    </row>
    <row r="216" spans="1:21" x14ac:dyDescent="0.3">
      <c r="A216" s="49">
        <f t="shared" ca="1" si="19"/>
        <v>51734</v>
      </c>
      <c r="B216" s="49" t="str">
        <f t="shared" ca="1" si="20"/>
        <v/>
      </c>
      <c r="C216" s="81">
        <f t="shared" ca="1" si="21"/>
        <v>183</v>
      </c>
      <c r="D216" s="34">
        <f t="shared" ca="1" si="22"/>
        <v>183</v>
      </c>
      <c r="E216" s="4" t="str">
        <f t="shared" ca="1" si="23"/>
        <v>Retorno</v>
      </c>
      <c r="G216" s="46">
        <f ca="1">IF(C216="","",IF(E216&lt;&gt;"Retorno",0,IF($G$20=Parâmetros!$D$2,Simulador!$O$10/$G$17,IF($G$20=Parâmetros!$D$3,PMT($O$25,$G$17,($O$10)*-1)-I216,""))))</f>
        <v>4713.443069908968</v>
      </c>
      <c r="H216" s="46"/>
      <c r="I216" s="46">
        <f t="shared" ca="1" si="18"/>
        <v>4162.0858196986956</v>
      </c>
      <c r="J216" s="34"/>
      <c r="K216" s="46">
        <f t="shared" ca="1" si="24"/>
        <v>0</v>
      </c>
      <c r="L216" s="46"/>
      <c r="M216" s="46">
        <f ca="1">IFERROR(IF(C216="","",IF($C$10=Parâmetros!$C$3,0,VLOOKUP(A216,'Base de Dados'!$E$3:$G$422,3,FALSE)*S216)),0)</f>
        <v>284.72807223250851</v>
      </c>
      <c r="N216" s="34"/>
      <c r="O216" s="46">
        <f ca="1">IF(C216="","",IF(C217="",0,IF(E216="Construção",0,IF(E216="Seguro",$C$17*'Base de Dados'!$C$2,IF($C$14=Parâmetros!$B$4,0,Simulador!$C$17*'Base de Dados'!$C$2)))))</f>
        <v>75</v>
      </c>
      <c r="P216" s="46"/>
      <c r="Q216" s="46">
        <f ca="1">IF(C216="","",IF(E216&lt;&gt;"Retorno",(I216+K216+M216),IF($G$20=Parâmetros!$D$2,SUM(G216,I216,K216,M216,O216),PMT($O$25,SUM($G$17),($O$10)*-1)+O216+M216+K216)))</f>
        <v>9235.2569618401722</v>
      </c>
      <c r="R216" s="46"/>
      <c r="S216" s="46">
        <f t="shared" ca="1" si="25"/>
        <v>374642.20030593226</v>
      </c>
      <c r="U216" s="15" t="str">
        <f t="shared" ca="1" si="26"/>
        <v/>
      </c>
    </row>
    <row r="217" spans="1:21" x14ac:dyDescent="0.3">
      <c r="A217" s="49">
        <f t="shared" ca="1" si="19"/>
        <v>51765</v>
      </c>
      <c r="B217" s="49" t="str">
        <f t="shared" ca="1" si="20"/>
        <v/>
      </c>
      <c r="C217" s="81">
        <f t="shared" ca="1" si="21"/>
        <v>184</v>
      </c>
      <c r="D217" s="34">
        <f t="shared" ca="1" si="22"/>
        <v>184</v>
      </c>
      <c r="E217" s="4" t="str">
        <f t="shared" ca="1" si="23"/>
        <v>Retorno</v>
      </c>
      <c r="G217" s="46">
        <f ca="1">IF(C217="","",IF(E217&lt;&gt;"Retorno",0,IF($G$20=Parâmetros!$D$2,Simulador!$O$10/$G$17,IF($G$20=Parâmetros!$D$3,PMT($O$25,$G$17,($O$10)*-1)-I217,""))))</f>
        <v>4765.156428879036</v>
      </c>
      <c r="H217" s="46"/>
      <c r="I217" s="46">
        <f t="shared" ca="1" si="18"/>
        <v>4110.3724607286276</v>
      </c>
      <c r="J217" s="34"/>
      <c r="K217" s="46">
        <f t="shared" ca="1" si="24"/>
        <v>0</v>
      </c>
      <c r="L217" s="46"/>
      <c r="M217" s="46">
        <f ca="1">IFERROR(IF(C217="","",IF($C$10=Parâmetros!$C$3,0,VLOOKUP(A217,'Base de Dados'!$E$3:$G$422,3,FALSE)*S217)),0)</f>
        <v>281.10655334656047</v>
      </c>
      <c r="N217" s="34"/>
      <c r="O217" s="46">
        <f ca="1">IF(C217="","",IF(C218="",0,IF(E217="Construção",0,IF(E217="Seguro",$C$17*'Base de Dados'!$C$2,IF($C$14=Parâmetros!$B$4,0,Simulador!$C$17*'Base de Dados'!$C$2)))))</f>
        <v>75</v>
      </c>
      <c r="P217" s="46"/>
      <c r="Q217" s="46">
        <f ca="1">IF(C217="","",IF(E217&lt;&gt;"Retorno",(I217+K217+M217),IF($G$20=Parâmetros!$D$2,SUM(G217,I217,K217,M217,O217),PMT($O$25,SUM($G$17),($O$10)*-1)+O217+M217+K217)))</f>
        <v>9231.6354429542243</v>
      </c>
      <c r="R217" s="46"/>
      <c r="S217" s="46">
        <f t="shared" ca="1" si="25"/>
        <v>369877.04387705325</v>
      </c>
      <c r="U217" s="15" t="str">
        <f t="shared" ca="1" si="26"/>
        <v/>
      </c>
    </row>
    <row r="218" spans="1:21" x14ac:dyDescent="0.3">
      <c r="A218" s="49">
        <f t="shared" ca="1" si="19"/>
        <v>51795</v>
      </c>
      <c r="B218" s="49" t="str">
        <f t="shared" ca="1" si="20"/>
        <v/>
      </c>
      <c r="C218" s="81">
        <f t="shared" ca="1" si="21"/>
        <v>185</v>
      </c>
      <c r="D218" s="34">
        <f t="shared" ca="1" si="22"/>
        <v>185</v>
      </c>
      <c r="E218" s="4" t="str">
        <f t="shared" ca="1" si="23"/>
        <v>Retorno</v>
      </c>
      <c r="G218" s="46">
        <f ca="1">IF(C218="","",IF(E218&lt;&gt;"Retorno",0,IF($G$20=Parâmetros!$D$2,Simulador!$O$10/$G$17,IF($G$20=Parâmetros!$D$3,PMT($O$25,$G$17,($O$10)*-1)-I218,""))))</f>
        <v>4817.4371589738548</v>
      </c>
      <c r="H218" s="46"/>
      <c r="I218" s="46">
        <f t="shared" ca="1" si="18"/>
        <v>4058.0917306338088</v>
      </c>
      <c r="J218" s="34"/>
      <c r="K218" s="46">
        <f t="shared" ca="1" si="24"/>
        <v>0</v>
      </c>
      <c r="L218" s="46"/>
      <c r="M218" s="46">
        <f ca="1">IFERROR(IF(C218="","",IF($C$10=Parâmetros!$C$3,0,VLOOKUP(A218,'Base de Dados'!$E$3:$G$422,3,FALSE)*S218)),0)</f>
        <v>277.44530110574038</v>
      </c>
      <c r="N218" s="34"/>
      <c r="O218" s="46">
        <f ca="1">IF(C218="","",IF(C219="",0,IF(E218="Construção",0,IF(E218="Seguro",$C$17*'Base de Dados'!$C$2,IF($C$14=Parâmetros!$B$4,0,Simulador!$C$17*'Base de Dados'!$C$2)))))</f>
        <v>75</v>
      </c>
      <c r="P218" s="46"/>
      <c r="Q218" s="46">
        <f ca="1">IF(C218="","",IF(E218&lt;&gt;"Retorno",(I218+K218+M218),IF($G$20=Parâmetros!$D$2,SUM(G218,I218,K218,M218,O218),PMT($O$25,SUM($G$17),($O$10)*-1)+O218+M218+K218)))</f>
        <v>9227.9741907134048</v>
      </c>
      <c r="R218" s="46"/>
      <c r="S218" s="46">
        <f t="shared" ca="1" si="25"/>
        <v>365059.60671807942</v>
      </c>
      <c r="U218" s="15" t="str">
        <f t="shared" ca="1" si="26"/>
        <v/>
      </c>
    </row>
    <row r="219" spans="1:21" x14ac:dyDescent="0.3">
      <c r="A219" s="49">
        <f t="shared" ca="1" si="19"/>
        <v>51826</v>
      </c>
      <c r="B219" s="49" t="str">
        <f t="shared" ca="1" si="20"/>
        <v/>
      </c>
      <c r="C219" s="81">
        <f t="shared" ca="1" si="21"/>
        <v>186</v>
      </c>
      <c r="D219" s="34">
        <f t="shared" ca="1" si="22"/>
        <v>186</v>
      </c>
      <c r="E219" s="4" t="str">
        <f t="shared" ca="1" si="23"/>
        <v>Retorno</v>
      </c>
      <c r="G219" s="46">
        <f ca="1">IF(C219="","",IF(E219&lt;&gt;"Retorno",0,IF($G$20=Parâmetros!$D$2,Simulador!$O$10/$G$17,IF($G$20=Parâmetros!$D$3,PMT($O$25,$G$17,($O$10)*-1)-I219,""))))</f>
        <v>4870.2914850838388</v>
      </c>
      <c r="H219" s="46"/>
      <c r="I219" s="46">
        <f t="shared" ca="1" si="18"/>
        <v>4005.2374045238248</v>
      </c>
      <c r="J219" s="34"/>
      <c r="K219" s="46">
        <f t="shared" ca="1" si="24"/>
        <v>0</v>
      </c>
      <c r="L219" s="46"/>
      <c r="M219" s="46">
        <f ca="1">IFERROR(IF(C219="","",IF($C$10=Parâmetros!$C$3,0,VLOOKUP(A219,'Base de Dados'!$E$3:$G$422,3,FALSE)*S219)),0)</f>
        <v>273.74387957707665</v>
      </c>
      <c r="N219" s="34"/>
      <c r="O219" s="46">
        <f ca="1">IF(C219="","",IF(C220="",0,IF(E219="Construção",0,IF(E219="Seguro",$C$17*'Base de Dados'!$C$2,IF($C$14=Parâmetros!$B$4,0,Simulador!$C$17*'Base de Dados'!$C$2)))))</f>
        <v>75</v>
      </c>
      <c r="P219" s="46"/>
      <c r="Q219" s="46">
        <f ca="1">IF(C219="","",IF(E219&lt;&gt;"Retorno",(I219+K219+M219),IF($G$20=Parâmetros!$D$2,SUM(G219,I219,K219,M219,O219),PMT($O$25,SUM($G$17),($O$10)*-1)+O219+M219+K219)))</f>
        <v>9224.2727691847394</v>
      </c>
      <c r="R219" s="46"/>
      <c r="S219" s="46">
        <f t="shared" ca="1" si="25"/>
        <v>360189.31523299561</v>
      </c>
      <c r="U219" s="15" t="str">
        <f t="shared" ca="1" si="26"/>
        <v/>
      </c>
    </row>
    <row r="220" spans="1:21" x14ac:dyDescent="0.3">
      <c r="A220" s="49">
        <f t="shared" ca="1" si="19"/>
        <v>51856</v>
      </c>
      <c r="B220" s="49" t="str">
        <f t="shared" ca="1" si="20"/>
        <v/>
      </c>
      <c r="C220" s="81">
        <f t="shared" ca="1" si="21"/>
        <v>187</v>
      </c>
      <c r="D220" s="34">
        <f t="shared" ca="1" si="22"/>
        <v>187</v>
      </c>
      <c r="E220" s="4" t="str">
        <f t="shared" ca="1" si="23"/>
        <v>Retorno</v>
      </c>
      <c r="G220" s="46">
        <f ca="1">IF(C220="","",IF(E220&lt;&gt;"Retorno",0,IF($G$20=Parâmetros!$D$2,Simulador!$O$10/$G$17,IF($G$20=Parâmetros!$D$3,PMT($O$25,$G$17,($O$10)*-1)-I220,""))))</f>
        <v>4923.7257003956147</v>
      </c>
      <c r="H220" s="46"/>
      <c r="I220" s="46">
        <f t="shared" ca="1" si="18"/>
        <v>3951.8031892120489</v>
      </c>
      <c r="J220" s="34"/>
      <c r="K220" s="46">
        <f t="shared" ca="1" si="24"/>
        <v>0</v>
      </c>
      <c r="L220" s="46"/>
      <c r="M220" s="46">
        <f ca="1">IFERROR(IF(C220="","",IF($C$10=Parâmetros!$C$3,0,VLOOKUP(A220,'Base de Dados'!$E$3:$G$422,3,FALSE)*S220)),0)</f>
        <v>270.00184804477601</v>
      </c>
      <c r="N220" s="34"/>
      <c r="O220" s="46">
        <f ca="1">IF(C220="","",IF(C221="",0,IF(E220="Construção",0,IF(E220="Seguro",$C$17*'Base de Dados'!$C$2,IF($C$14=Parâmetros!$B$4,0,Simulador!$C$17*'Base de Dados'!$C$2)))))</f>
        <v>75</v>
      </c>
      <c r="P220" s="46"/>
      <c r="Q220" s="46">
        <f ca="1">IF(C220="","",IF(E220&lt;&gt;"Retorno",(I220+K220+M220),IF($G$20=Parâmetros!$D$2,SUM(G220,I220,K220,M220,O220),PMT($O$25,SUM($G$17),($O$10)*-1)+O220+M220+K220)))</f>
        <v>9220.5307376524397</v>
      </c>
      <c r="R220" s="46"/>
      <c r="S220" s="46">
        <f t="shared" ca="1" si="25"/>
        <v>355265.58953260002</v>
      </c>
      <c r="U220" s="15" t="str">
        <f t="shared" ca="1" si="26"/>
        <v/>
      </c>
    </row>
    <row r="221" spans="1:21" x14ac:dyDescent="0.3">
      <c r="A221" s="49">
        <f t="shared" ca="1" si="19"/>
        <v>51887</v>
      </c>
      <c r="B221" s="49" t="str">
        <f t="shared" ca="1" si="20"/>
        <v/>
      </c>
      <c r="C221" s="81">
        <f t="shared" ca="1" si="21"/>
        <v>188</v>
      </c>
      <c r="D221" s="34">
        <f t="shared" ca="1" si="22"/>
        <v>188</v>
      </c>
      <c r="E221" s="4" t="str">
        <f t="shared" ca="1" si="23"/>
        <v>Retorno</v>
      </c>
      <c r="G221" s="46">
        <f ca="1">IF(C221="","",IF(E221&lt;&gt;"Retorno",0,IF($G$20=Parâmetros!$D$2,Simulador!$O$10/$G$17,IF($G$20=Parâmetros!$D$3,PMT($O$25,$G$17,($O$10)*-1)-I221,""))))</f>
        <v>4977.7461671410965</v>
      </c>
      <c r="H221" s="46"/>
      <c r="I221" s="46">
        <f t="shared" ca="1" si="18"/>
        <v>3897.7827224665671</v>
      </c>
      <c r="J221" s="34"/>
      <c r="K221" s="46">
        <f t="shared" ca="1" si="24"/>
        <v>0</v>
      </c>
      <c r="L221" s="46"/>
      <c r="M221" s="46">
        <f ca="1">IFERROR(IF(C221="","",IF($C$10=Parâmetros!$C$3,0,VLOOKUP(A221,'Base de Dados'!$E$3:$G$422,3,FALSE)*S221)),0)</f>
        <v>266.21876095774883</v>
      </c>
      <c r="N221" s="34"/>
      <c r="O221" s="46">
        <f ca="1">IF(C221="","",IF(C222="",0,IF(E221="Construção",0,IF(E221="Seguro",$C$17*'Base de Dados'!$C$2,IF($C$14=Parâmetros!$B$4,0,Simulador!$C$17*'Base de Dados'!$C$2)))))</f>
        <v>75</v>
      </c>
      <c r="P221" s="46"/>
      <c r="Q221" s="46">
        <f ca="1">IF(C221="","",IF(E221&lt;&gt;"Retorno",(I221+K221+M221),IF($G$20=Parâmetros!$D$2,SUM(G221,I221,K221,M221,O221),PMT($O$25,SUM($G$17),($O$10)*-1)+O221+M221+K221)))</f>
        <v>9216.7476505654122</v>
      </c>
      <c r="R221" s="46"/>
      <c r="S221" s="46">
        <f t="shared" ca="1" si="25"/>
        <v>350287.84336545895</v>
      </c>
      <c r="U221" s="15" t="str">
        <f t="shared" ca="1" si="26"/>
        <v/>
      </c>
    </row>
    <row r="222" spans="1:21" x14ac:dyDescent="0.3">
      <c r="A222" s="49">
        <f t="shared" ca="1" si="19"/>
        <v>51918</v>
      </c>
      <c r="B222" s="49" t="str">
        <f t="shared" ca="1" si="20"/>
        <v/>
      </c>
      <c r="C222" s="81">
        <f t="shared" ca="1" si="21"/>
        <v>189</v>
      </c>
      <c r="D222" s="34">
        <f t="shared" ca="1" si="22"/>
        <v>189</v>
      </c>
      <c r="E222" s="4" t="str">
        <f t="shared" ca="1" si="23"/>
        <v>Retorno</v>
      </c>
      <c r="G222" s="46">
        <f ca="1">IF(C222="","",IF(E222&lt;&gt;"Retorno",0,IF($G$20=Parâmetros!$D$2,Simulador!$O$10/$G$17,IF($G$20=Parâmetros!$D$3,PMT($O$25,$G$17,($O$10)*-1)-I222,""))))</f>
        <v>5032.359317355349</v>
      </c>
      <c r="H222" s="46"/>
      <c r="I222" s="46">
        <f t="shared" ca="1" si="18"/>
        <v>3843.1695722523145</v>
      </c>
      <c r="J222" s="34"/>
      <c r="K222" s="46">
        <f t="shared" ca="1" si="24"/>
        <v>0</v>
      </c>
      <c r="L222" s="46"/>
      <c r="M222" s="46">
        <f ca="1">IFERROR(IF(C222="","",IF($C$10=Parâmetros!$C$3,0,VLOOKUP(A222,'Base de Dados'!$E$3:$G$422,3,FALSE)*S222)),0)</f>
        <v>262.39416787655875</v>
      </c>
      <c r="N222" s="34"/>
      <c r="O222" s="46">
        <f ca="1">IF(C222="","",IF(C223="",0,IF(E222="Construção",0,IF(E222="Seguro",$C$17*'Base de Dados'!$C$2,IF($C$14=Parâmetros!$B$4,0,Simulador!$C$17*'Base de Dados'!$C$2)))))</f>
        <v>75</v>
      </c>
      <c r="P222" s="46"/>
      <c r="Q222" s="46">
        <f ca="1">IF(C222="","",IF(E222&lt;&gt;"Retorno",(I222+K222+M222),IF($G$20=Parâmetros!$D$2,SUM(G222,I222,K222,M222,O222),PMT($O$25,SUM($G$17),($O$10)*-1)+O222+M222+K222)))</f>
        <v>9212.9230574842222</v>
      </c>
      <c r="R222" s="46"/>
      <c r="S222" s="46">
        <f t="shared" ca="1" si="25"/>
        <v>345255.48404810362</v>
      </c>
      <c r="U222" s="15" t="str">
        <f t="shared" ca="1" si="26"/>
        <v/>
      </c>
    </row>
    <row r="223" spans="1:21" x14ac:dyDescent="0.3">
      <c r="A223" s="49">
        <f t="shared" ca="1" si="19"/>
        <v>51946</v>
      </c>
      <c r="B223" s="49" t="str">
        <f t="shared" ca="1" si="20"/>
        <v/>
      </c>
      <c r="C223" s="81">
        <f t="shared" ca="1" si="21"/>
        <v>190</v>
      </c>
      <c r="D223" s="34">
        <f t="shared" ca="1" si="22"/>
        <v>190</v>
      </c>
      <c r="E223" s="4" t="str">
        <f t="shared" ca="1" si="23"/>
        <v>Retorno</v>
      </c>
      <c r="G223" s="46">
        <f ca="1">IF(C223="","",IF(E223&lt;&gt;"Retorno",0,IF($G$20=Parâmetros!$D$2,Simulador!$O$10/$G$17,IF($G$20=Parâmetros!$D$3,PMT($O$25,$G$17,($O$10)*-1)-I223,""))))</f>
        <v>5087.5716536422515</v>
      </c>
      <c r="H223" s="46"/>
      <c r="I223" s="46">
        <f t="shared" ca="1" si="18"/>
        <v>3787.9572359654121</v>
      </c>
      <c r="J223" s="34"/>
      <c r="K223" s="46">
        <f t="shared" ca="1" si="24"/>
        <v>0</v>
      </c>
      <c r="L223" s="46"/>
      <c r="M223" s="46">
        <f ca="1">IFERROR(IF(C223="","",IF($C$10=Parâmetros!$C$3,0,VLOOKUP(A223,'Base de Dados'!$E$3:$G$422,3,FALSE)*S223)),0)</f>
        <v>258.52761341979067</v>
      </c>
      <c r="N223" s="34"/>
      <c r="O223" s="46">
        <f ca="1">IF(C223="","",IF(C224="",0,IF(E223="Construção",0,IF(E223="Seguro",$C$17*'Base de Dados'!$C$2,IF($C$14=Parâmetros!$B$4,0,Simulador!$C$17*'Base de Dados'!$C$2)))))</f>
        <v>75</v>
      </c>
      <c r="P223" s="46"/>
      <c r="Q223" s="46">
        <f ca="1">IF(C223="","",IF(E223&lt;&gt;"Retorno",(I223+K223+M223),IF($G$20=Parâmetros!$D$2,SUM(G223,I223,K223,M223,O223),PMT($O$25,SUM($G$17),($O$10)*-1)+O223+M223+K223)))</f>
        <v>9209.0565030274538</v>
      </c>
      <c r="R223" s="46"/>
      <c r="S223" s="46">
        <f t="shared" ca="1" si="25"/>
        <v>340167.9123944614</v>
      </c>
      <c r="U223" s="15" t="str">
        <f t="shared" ca="1" si="26"/>
        <v/>
      </c>
    </row>
    <row r="224" spans="1:21" x14ac:dyDescent="0.3">
      <c r="A224" s="49">
        <f t="shared" ca="1" si="19"/>
        <v>51977</v>
      </c>
      <c r="B224" s="49" t="str">
        <f t="shared" ca="1" si="20"/>
        <v/>
      </c>
      <c r="C224" s="81">
        <f t="shared" ca="1" si="21"/>
        <v>191</v>
      </c>
      <c r="D224" s="34">
        <f t="shared" ca="1" si="22"/>
        <v>191</v>
      </c>
      <c r="E224" s="4" t="str">
        <f t="shared" ca="1" si="23"/>
        <v>Retorno</v>
      </c>
      <c r="G224" s="46">
        <f ca="1">IF(C224="","",IF(E224&lt;&gt;"Retorno",0,IF($G$20=Parâmetros!$D$2,Simulador!$O$10/$G$17,IF($G$20=Parâmetros!$D$3,PMT($O$25,$G$17,($O$10)*-1)-I224,""))))</f>
        <v>5143.3897499486593</v>
      </c>
      <c r="H224" s="46"/>
      <c r="I224" s="46">
        <f t="shared" ca="1" si="18"/>
        <v>3732.1391396590043</v>
      </c>
      <c r="J224" s="34"/>
      <c r="K224" s="46">
        <f t="shared" ca="1" si="24"/>
        <v>0</v>
      </c>
      <c r="L224" s="46"/>
      <c r="M224" s="46">
        <f ca="1">IFERROR(IF(C224="","",IF($C$10=Parâmetros!$C$3,0,VLOOKUP(A224,'Base de Dados'!$E$3:$G$422,3,FALSE)*S224)),0)</f>
        <v>254.6186372098297</v>
      </c>
      <c r="N224" s="34"/>
      <c r="O224" s="46">
        <f ca="1">IF(C224="","",IF(C225="",0,IF(E224="Construção",0,IF(E224="Seguro",$C$17*'Base de Dados'!$C$2,IF($C$14=Parâmetros!$B$4,0,Simulador!$C$17*'Base de Dados'!$C$2)))))</f>
        <v>75</v>
      </c>
      <c r="P224" s="46"/>
      <c r="Q224" s="46">
        <f ca="1">IF(C224="","",IF(E224&lt;&gt;"Retorno",(I224+K224+M224),IF($G$20=Parâmetros!$D$2,SUM(G224,I224,K224,M224,O224),PMT($O$25,SUM($G$17),($O$10)*-1)+O224+M224+K224)))</f>
        <v>9205.1475268174927</v>
      </c>
      <c r="R224" s="46"/>
      <c r="S224" s="46">
        <f t="shared" ca="1" si="25"/>
        <v>335024.52264451276</v>
      </c>
      <c r="U224" s="15" t="str">
        <f t="shared" ca="1" si="26"/>
        <v/>
      </c>
    </row>
    <row r="225" spans="1:21" x14ac:dyDescent="0.3">
      <c r="A225" s="49">
        <f t="shared" ca="1" si="19"/>
        <v>52007</v>
      </c>
      <c r="B225" s="49" t="str">
        <f t="shared" ca="1" si="20"/>
        <v/>
      </c>
      <c r="C225" s="81">
        <f t="shared" ca="1" si="21"/>
        <v>192</v>
      </c>
      <c r="D225" s="34">
        <f t="shared" ca="1" si="22"/>
        <v>192</v>
      </c>
      <c r="E225" s="4" t="str">
        <f t="shared" ca="1" si="23"/>
        <v>Retorno</v>
      </c>
      <c r="G225" s="46">
        <f ca="1">IF(C225="","",IF(E225&lt;&gt;"Retorno",0,IF($G$20=Parâmetros!$D$2,Simulador!$O$10/$G$17,IF($G$20=Parâmetros!$D$3,PMT($O$25,$G$17,($O$10)*-1)-I225,""))))</f>
        <v>5199.8202523472391</v>
      </c>
      <c r="H225" s="46"/>
      <c r="I225" s="46">
        <f t="shared" ca="1" si="18"/>
        <v>3675.7086372604244</v>
      </c>
      <c r="J225" s="34"/>
      <c r="K225" s="46">
        <f t="shared" ca="1" si="24"/>
        <v>0</v>
      </c>
      <c r="L225" s="46"/>
      <c r="M225" s="46">
        <f ca="1">IFERROR(IF(C225="","",IF($C$10=Parâmetros!$C$3,0,VLOOKUP(A225,'Base de Dados'!$E$3:$G$422,3,FALSE)*S225)),0)</f>
        <v>250.66677381804584</v>
      </c>
      <c r="N225" s="34"/>
      <c r="O225" s="46">
        <f ca="1">IF(C225="","",IF(C226="",0,IF(E225="Construção",0,IF(E225="Seguro",$C$17*'Base de Dados'!$C$2,IF($C$14=Parâmetros!$B$4,0,Simulador!$C$17*'Base de Dados'!$C$2)))))</f>
        <v>75</v>
      </c>
      <c r="P225" s="46"/>
      <c r="Q225" s="46">
        <f ca="1">IF(C225="","",IF(E225&lt;&gt;"Retorno",(I225+K225+M225),IF($G$20=Parâmetros!$D$2,SUM(G225,I225,K225,M225,O225),PMT($O$25,SUM($G$17),($O$10)*-1)+O225+M225+K225)))</f>
        <v>9201.1956634257094</v>
      </c>
      <c r="R225" s="46"/>
      <c r="S225" s="46">
        <f t="shared" ca="1" si="25"/>
        <v>329824.70239216555</v>
      </c>
      <c r="U225" s="15" t="str">
        <f t="shared" ca="1" si="26"/>
        <v/>
      </c>
    </row>
    <row r="226" spans="1:21" x14ac:dyDescent="0.3">
      <c r="A226" s="49">
        <f t="shared" ca="1" si="19"/>
        <v>52038</v>
      </c>
      <c r="B226" s="49" t="str">
        <f t="shared" ca="1" si="20"/>
        <v/>
      </c>
      <c r="C226" s="81">
        <f t="shared" ca="1" si="21"/>
        <v>193</v>
      </c>
      <c r="D226" s="34">
        <f t="shared" ca="1" si="22"/>
        <v>193</v>
      </c>
      <c r="E226" s="4" t="str">
        <f t="shared" ca="1" si="23"/>
        <v>Retorno</v>
      </c>
      <c r="G226" s="46">
        <f ca="1">IF(C226="","",IF(E226&lt;&gt;"Retorno",0,IF($G$20=Parâmetros!$D$2,Simulador!$O$10/$G$17,IF($G$20=Parâmetros!$D$3,PMT($O$25,$G$17,($O$10)*-1)-I226,""))))</f>
        <v>5256.8698798279183</v>
      </c>
      <c r="H226" s="46"/>
      <c r="I226" s="46">
        <f t="shared" ref="I226:I289" ca="1" si="27">IFERROR(IF(C226="","",FV($O$25,1,,-S225,0)-S225),"")</f>
        <v>3618.6590097797452</v>
      </c>
      <c r="J226" s="34"/>
      <c r="K226" s="46">
        <f t="shared" ca="1" si="24"/>
        <v>0</v>
      </c>
      <c r="L226" s="46"/>
      <c r="M226" s="46">
        <f ca="1">IFERROR(IF(C226="","",IF($C$10=Parâmetros!$C$3,0,VLOOKUP(A226,'Base de Dados'!$E$3:$G$422,3,FALSE)*S226)),0)</f>
        <v>246.67155270937664</v>
      </c>
      <c r="N226" s="34"/>
      <c r="O226" s="46">
        <f ca="1">IF(C226="","",IF(C227="",0,IF(E226="Construção",0,IF(E226="Seguro",$C$17*'Base de Dados'!$C$2,IF($C$14=Parâmetros!$B$4,0,Simulador!$C$17*'Base de Dados'!$C$2)))))</f>
        <v>75</v>
      </c>
      <c r="P226" s="46"/>
      <c r="Q226" s="46">
        <f ca="1">IF(C226="","",IF(E226&lt;&gt;"Retorno",(I226+K226+M226),IF($G$20=Parâmetros!$D$2,SUM(G226,I226,K226,M226,O226),PMT($O$25,SUM($G$17),($O$10)*-1)+O226+M226+K226)))</f>
        <v>9197.2004423170401</v>
      </c>
      <c r="R226" s="46"/>
      <c r="S226" s="46">
        <f t="shared" ca="1" si="25"/>
        <v>324567.83251233766</v>
      </c>
      <c r="U226" s="15" t="str">
        <f t="shared" ca="1" si="26"/>
        <v/>
      </c>
    </row>
    <row r="227" spans="1:21" x14ac:dyDescent="0.3">
      <c r="A227" s="49">
        <f t="shared" ref="A227:A290" ca="1" si="28">IF(C227="","",IF(C226&gt;$G$17,0,EDATE(A226,1)))</f>
        <v>52068</v>
      </c>
      <c r="B227" s="49" t="str">
        <f t="shared" ref="B227:B290" ca="1" si="29">IF(AND(E227="Retorno",E226&lt;&gt;"Retorno"),"Primeira",IF(AND(E227="Retorno",E226=""),"Primeira",""))</f>
        <v/>
      </c>
      <c r="C227" s="81">
        <f t="shared" ref="C227:C290" ca="1" si="30">IF(OR(C226&gt;=$K$19,C226=""),"",C226+1)</f>
        <v>194</v>
      </c>
      <c r="D227" s="34">
        <f t="shared" ref="D227:D290" ca="1" si="31">C227</f>
        <v>194</v>
      </c>
      <c r="E227" s="4" t="str">
        <f t="shared" ref="E227:E290" ca="1" si="32">IF(C227="","","Retorno")</f>
        <v>Retorno</v>
      </c>
      <c r="G227" s="46">
        <f ca="1">IF(C227="","",IF(E227&lt;&gt;"Retorno",0,IF($G$20=Parâmetros!$D$2,Simulador!$O$10/$G$17,IF($G$20=Parâmetros!$D$3,PMT($O$25,$G$17,($O$10)*-1)-I227,""))))</f>
        <v>5314.5454250975999</v>
      </c>
      <c r="H227" s="46"/>
      <c r="I227" s="46">
        <f t="shared" ca="1" si="27"/>
        <v>3560.9834645100636</v>
      </c>
      <c r="J227" s="34"/>
      <c r="K227" s="46">
        <f t="shared" ref="K227:K290" ca="1" si="33">IF(C227="","",IF(AND($O$23&lt;12.01%,$C$17&lt;2250000.01),25,0))</f>
        <v>0</v>
      </c>
      <c r="L227" s="46"/>
      <c r="M227" s="46">
        <f ca="1">IFERROR(IF(C227="","",IF($C$10=Parâmetros!$C$3,0,VLOOKUP(A227,'Base de Dados'!$E$3:$G$422,3,FALSE)*S227)),0)</f>
        <v>242.63249818630248</v>
      </c>
      <c r="N227" s="34"/>
      <c r="O227" s="46">
        <f ca="1">IF(C227="","",IF(C228="",0,IF(E227="Construção",0,IF(E227="Seguro",$C$17*'Base de Dados'!$C$2,IF($C$14=Parâmetros!$B$4,0,Simulador!$C$17*'Base de Dados'!$C$2)))))</f>
        <v>75</v>
      </c>
      <c r="P227" s="46"/>
      <c r="Q227" s="46">
        <f ca="1">IF(C227="","",IF(E227&lt;&gt;"Retorno",(I227+K227+M227),IF($G$20=Parâmetros!$D$2,SUM(G227,I227,K227,M227,O227),PMT($O$25,SUM($G$17),($O$10)*-1)+O227+M227+K227)))</f>
        <v>9193.1613877939653</v>
      </c>
      <c r="R227" s="46"/>
      <c r="S227" s="46">
        <f t="shared" ref="S227:S290" ca="1" si="34">IF(E227="Construção",S226+(U227*-1),IF(E227="Carência",S226,IF(E227="Retorno",S226-G227,"")))</f>
        <v>319253.28708724008</v>
      </c>
      <c r="U227" s="15" t="str">
        <f t="shared" ref="U227:U290" ca="1" si="35">IF(E227="Construção",(($O$10+$U$33)/$K$10)*-1,"")</f>
        <v/>
      </c>
    </row>
    <row r="228" spans="1:21" x14ac:dyDescent="0.3">
      <c r="A228" s="49">
        <f t="shared" ca="1" si="28"/>
        <v>52099</v>
      </c>
      <c r="B228" s="49" t="str">
        <f t="shared" ca="1" si="29"/>
        <v/>
      </c>
      <c r="C228" s="81">
        <f t="shared" ca="1" si="30"/>
        <v>195</v>
      </c>
      <c r="D228" s="34">
        <f t="shared" ca="1" si="31"/>
        <v>195</v>
      </c>
      <c r="E228" s="4" t="str">
        <f t="shared" ca="1" si="32"/>
        <v>Retorno</v>
      </c>
      <c r="G228" s="46">
        <f ca="1">IF(C228="","",IF(E228&lt;&gt;"Retorno",0,IF($G$20=Parâmetros!$D$2,Simulador!$O$10/$G$17,IF($G$20=Parâmetros!$D$3,PMT($O$25,$G$17,($O$10)*-1)-I228,""))))</f>
        <v>5372.8537553891911</v>
      </c>
      <c r="H228" s="46"/>
      <c r="I228" s="46">
        <f t="shared" ca="1" si="27"/>
        <v>3502.6751342184725</v>
      </c>
      <c r="J228" s="34"/>
      <c r="K228" s="46">
        <f t="shared" ca="1" si="33"/>
        <v>0</v>
      </c>
      <c r="L228" s="46"/>
      <c r="M228" s="46">
        <f ca="1">IFERROR(IF(C228="","",IF($C$10=Parâmetros!$C$3,0,VLOOKUP(A228,'Base de Dados'!$E$3:$G$422,3,FALSE)*S228)),0)</f>
        <v>238.54912933220672</v>
      </c>
      <c r="N228" s="34"/>
      <c r="O228" s="46">
        <f ca="1">IF(C228="","",IF(C229="",0,IF(E228="Construção",0,IF(E228="Seguro",$C$17*'Base de Dados'!$C$2,IF($C$14=Parâmetros!$B$4,0,Simulador!$C$17*'Base de Dados'!$C$2)))))</f>
        <v>75</v>
      </c>
      <c r="P228" s="46"/>
      <c r="Q228" s="46">
        <f ca="1">IF(C228="","",IF(E228&lt;&gt;"Retorno",(I228+K228+M228),IF($G$20=Parâmetros!$D$2,SUM(G228,I228,K228,M228,O228),PMT($O$25,SUM($G$17),($O$10)*-1)+O228+M228+K228)))</f>
        <v>9189.0780189398702</v>
      </c>
      <c r="R228" s="46"/>
      <c r="S228" s="46">
        <f t="shared" ca="1" si="34"/>
        <v>313880.43333185092</v>
      </c>
      <c r="U228" s="15" t="str">
        <f t="shared" ca="1" si="35"/>
        <v/>
      </c>
    </row>
    <row r="229" spans="1:21" x14ac:dyDescent="0.3">
      <c r="A229" s="49">
        <f t="shared" ca="1" si="28"/>
        <v>52130</v>
      </c>
      <c r="B229" s="49" t="str">
        <f t="shared" ca="1" si="29"/>
        <v/>
      </c>
      <c r="C229" s="81">
        <f t="shared" ca="1" si="30"/>
        <v>196</v>
      </c>
      <c r="D229" s="34">
        <f t="shared" ca="1" si="31"/>
        <v>196</v>
      </c>
      <c r="E229" s="4" t="str">
        <f t="shared" ca="1" si="32"/>
        <v>Retorno</v>
      </c>
      <c r="G229" s="46">
        <f ca="1">IF(C229="","",IF(E229&lt;&gt;"Retorno",0,IF($G$20=Parâmetros!$D$2,Simulador!$O$10/$G$17,IF($G$20=Parâmetros!$D$3,PMT($O$25,$G$17,($O$10)*-1)-I229,""))))</f>
        <v>5431.8018132791876</v>
      </c>
      <c r="H229" s="46"/>
      <c r="I229" s="46">
        <f t="shared" ca="1" si="27"/>
        <v>3443.727076328476</v>
      </c>
      <c r="J229" s="34"/>
      <c r="K229" s="46">
        <f t="shared" ca="1" si="33"/>
        <v>0</v>
      </c>
      <c r="L229" s="46"/>
      <c r="M229" s="46">
        <f ca="1">IFERROR(IF(C229="","",IF($C$10=Parâmetros!$C$3,0,VLOOKUP(A229,'Base de Dados'!$E$3:$G$422,3,FALSE)*S229)),0)</f>
        <v>234.42095995411455</v>
      </c>
      <c r="N229" s="34"/>
      <c r="O229" s="46">
        <f ca="1">IF(C229="","",IF(C230="",0,IF(E229="Construção",0,IF(E229="Seguro",$C$17*'Base de Dados'!$C$2,IF($C$14=Parâmetros!$B$4,0,Simulador!$C$17*'Base de Dados'!$C$2)))))</f>
        <v>75</v>
      </c>
      <c r="P229" s="46"/>
      <c r="Q229" s="46">
        <f ca="1">IF(C229="","",IF(E229&lt;&gt;"Retorno",(I229+K229+M229),IF($G$20=Parâmetros!$D$2,SUM(G229,I229,K229,M229,O229),PMT($O$25,SUM($G$17),($O$10)*-1)+O229+M229+K229)))</f>
        <v>9184.9498495617772</v>
      </c>
      <c r="R229" s="46"/>
      <c r="S229" s="46">
        <f t="shared" ca="1" si="34"/>
        <v>308448.63151857175</v>
      </c>
      <c r="U229" s="15" t="str">
        <f t="shared" ca="1" si="35"/>
        <v/>
      </c>
    </row>
    <row r="230" spans="1:21" x14ac:dyDescent="0.3">
      <c r="A230" s="49">
        <f t="shared" ca="1" si="28"/>
        <v>52160</v>
      </c>
      <c r="B230" s="49" t="str">
        <f t="shared" ca="1" si="29"/>
        <v/>
      </c>
      <c r="C230" s="81">
        <f t="shared" ca="1" si="30"/>
        <v>197</v>
      </c>
      <c r="D230" s="34">
        <f t="shared" ca="1" si="31"/>
        <v>197</v>
      </c>
      <c r="E230" s="4" t="str">
        <f t="shared" ca="1" si="32"/>
        <v>Retorno</v>
      </c>
      <c r="G230" s="46">
        <f ca="1">IF(C230="","",IF(E230&lt;&gt;"Retorno",0,IF($G$20=Parâmetros!$D$2,Simulador!$O$10/$G$17,IF($G$20=Parâmetros!$D$3,PMT($O$25,$G$17,($O$10)*-1)-I230,""))))</f>
        <v>5491.3966175142814</v>
      </c>
      <c r="H230" s="46"/>
      <c r="I230" s="46">
        <f t="shared" ca="1" si="27"/>
        <v>3384.1322720933822</v>
      </c>
      <c r="J230" s="34"/>
      <c r="K230" s="46">
        <f t="shared" ca="1" si="33"/>
        <v>0</v>
      </c>
      <c r="L230" s="46"/>
      <c r="M230" s="46">
        <f ca="1">IFERROR(IF(C230="","",IF($C$10=Parâmetros!$C$3,0,VLOOKUP(A230,'Base de Dados'!$E$3:$G$422,3,FALSE)*S230)),0)</f>
        <v>230.24749852480372</v>
      </c>
      <c r="N230" s="34"/>
      <c r="O230" s="46">
        <f ca="1">IF(C230="","",IF(C231="",0,IF(E230="Construção",0,IF(E230="Seguro",$C$17*'Base de Dados'!$C$2,IF($C$14=Parâmetros!$B$4,0,Simulador!$C$17*'Base de Dados'!$C$2)))))</f>
        <v>75</v>
      </c>
      <c r="P230" s="46"/>
      <c r="Q230" s="46">
        <f ca="1">IF(C230="","",IF(E230&lt;&gt;"Retorno",(I230+K230+M230),IF($G$20=Parâmetros!$D$2,SUM(G230,I230,K230,M230,O230),PMT($O$25,SUM($G$17),($O$10)*-1)+O230+M230+K230)))</f>
        <v>9180.7763881324681</v>
      </c>
      <c r="R230" s="46"/>
      <c r="S230" s="46">
        <f t="shared" ca="1" si="34"/>
        <v>302957.2349010575</v>
      </c>
      <c r="U230" s="15" t="str">
        <f t="shared" ca="1" si="35"/>
        <v/>
      </c>
    </row>
    <row r="231" spans="1:21" x14ac:dyDescent="0.3">
      <c r="A231" s="49">
        <f t="shared" ca="1" si="28"/>
        <v>52191</v>
      </c>
      <c r="B231" s="49" t="str">
        <f t="shared" ca="1" si="29"/>
        <v/>
      </c>
      <c r="C231" s="81">
        <f t="shared" ca="1" si="30"/>
        <v>198</v>
      </c>
      <c r="D231" s="34">
        <f t="shared" ca="1" si="31"/>
        <v>198</v>
      </c>
      <c r="E231" s="4" t="str">
        <f t="shared" ca="1" si="32"/>
        <v>Retorno</v>
      </c>
      <c r="G231" s="46">
        <f ca="1">IF(C231="","",IF(E231&lt;&gt;"Retorno",0,IF($G$20=Parâmetros!$D$2,Simulador!$O$10/$G$17,IF($G$20=Parâmetros!$D$3,PMT($O$25,$G$17,($O$10)*-1)-I231,""))))</f>
        <v>5551.6452638471055</v>
      </c>
      <c r="H231" s="46"/>
      <c r="I231" s="46">
        <f t="shared" ca="1" si="27"/>
        <v>3323.8836257605581</v>
      </c>
      <c r="J231" s="34"/>
      <c r="K231" s="46">
        <f t="shared" ca="1" si="33"/>
        <v>0</v>
      </c>
      <c r="L231" s="46"/>
      <c r="M231" s="46">
        <f ca="1">IFERROR(IF(C231="","",IF($C$10=Parâmetros!$C$3,0,VLOOKUP(A231,'Base de Dados'!$E$3:$G$422,3,FALSE)*S231)),0)</f>
        <v>226.02824812427994</v>
      </c>
      <c r="N231" s="34"/>
      <c r="O231" s="46">
        <f ca="1">IF(C231="","",IF(C232="",0,IF(E231="Construção",0,IF(E231="Seguro",$C$17*'Base de Dados'!$C$2,IF($C$14=Parâmetros!$B$4,0,Simulador!$C$17*'Base de Dados'!$C$2)))))</f>
        <v>75</v>
      </c>
      <c r="P231" s="46"/>
      <c r="Q231" s="46">
        <f ca="1">IF(C231="","",IF(E231&lt;&gt;"Retorno",(I231+K231+M231),IF($G$20=Parâmetros!$D$2,SUM(G231,I231,K231,M231,O231),PMT($O$25,SUM($G$17),($O$10)*-1)+O231+M231+K231)))</f>
        <v>9176.5571377319429</v>
      </c>
      <c r="R231" s="46"/>
      <c r="S231" s="46">
        <f t="shared" ca="1" si="34"/>
        <v>297405.58963721042</v>
      </c>
      <c r="U231" s="15" t="str">
        <f t="shared" ca="1" si="35"/>
        <v/>
      </c>
    </row>
    <row r="232" spans="1:21" x14ac:dyDescent="0.3">
      <c r="A232" s="49">
        <f t="shared" ca="1" si="28"/>
        <v>52221</v>
      </c>
      <c r="B232" s="49" t="str">
        <f t="shared" ca="1" si="29"/>
        <v/>
      </c>
      <c r="C232" s="81">
        <f t="shared" ca="1" si="30"/>
        <v>199</v>
      </c>
      <c r="D232" s="34">
        <f t="shared" ca="1" si="31"/>
        <v>199</v>
      </c>
      <c r="E232" s="4" t="str">
        <f t="shared" ca="1" si="32"/>
        <v>Retorno</v>
      </c>
      <c r="G232" s="46">
        <f ca="1">IF(C232="","",IF(E232&lt;&gt;"Retorno",0,IF($G$20=Parâmetros!$D$2,Simulador!$O$10/$G$17,IF($G$20=Parâmetros!$D$3,PMT($O$25,$G$17,($O$10)*-1)-I232,""))))</f>
        <v>5612.5549258809442</v>
      </c>
      <c r="H232" s="46"/>
      <c r="I232" s="46">
        <f t="shared" ca="1" si="27"/>
        <v>3262.9739637267194</v>
      </c>
      <c r="J232" s="34"/>
      <c r="K232" s="46">
        <f t="shared" ca="1" si="33"/>
        <v>0</v>
      </c>
      <c r="L232" s="46"/>
      <c r="M232" s="46">
        <f ca="1">IFERROR(IF(C232="","",IF($C$10=Parâmetros!$C$3,0,VLOOKUP(A232,'Base de Dados'!$E$3:$G$422,3,FALSE)*S232)),0)</f>
        <v>221.76270638061044</v>
      </c>
      <c r="N232" s="34"/>
      <c r="O232" s="46">
        <f ca="1">IF(C232="","",IF(C233="",0,IF(E232="Construção",0,IF(E232="Seguro",$C$17*'Base de Dados'!$C$2,IF($C$14=Parâmetros!$B$4,0,Simulador!$C$17*'Base de Dados'!$C$2)))))</f>
        <v>75</v>
      </c>
      <c r="P232" s="46"/>
      <c r="Q232" s="46">
        <f ca="1">IF(C232="","",IF(E232&lt;&gt;"Retorno",(I232+K232+M232),IF($G$20=Parâmetros!$D$2,SUM(G232,I232,K232,M232,O232),PMT($O$25,SUM($G$17),($O$10)*-1)+O232+M232+K232)))</f>
        <v>9172.2915959882739</v>
      </c>
      <c r="R232" s="46"/>
      <c r="S232" s="46">
        <f t="shared" ca="1" si="34"/>
        <v>291793.0347113295</v>
      </c>
      <c r="U232" s="15" t="str">
        <f t="shared" ca="1" si="35"/>
        <v/>
      </c>
    </row>
    <row r="233" spans="1:21" x14ac:dyDescent="0.3">
      <c r="A233" s="49">
        <f t="shared" ca="1" si="28"/>
        <v>52252</v>
      </c>
      <c r="B233" s="49" t="str">
        <f t="shared" ca="1" si="29"/>
        <v/>
      </c>
      <c r="C233" s="81">
        <f t="shared" ca="1" si="30"/>
        <v>200</v>
      </c>
      <c r="D233" s="34">
        <f t="shared" ca="1" si="31"/>
        <v>200</v>
      </c>
      <c r="E233" s="4" t="str">
        <f t="shared" ca="1" si="32"/>
        <v>Retorno</v>
      </c>
      <c r="G233" s="46">
        <f ca="1">IF(C233="","",IF(E233&lt;&gt;"Retorno",0,IF($G$20=Parâmetros!$D$2,Simulador!$O$10/$G$17,IF($G$20=Parâmetros!$D$3,PMT($O$25,$G$17,($O$10)*-1)-I233,""))))</f>
        <v>5674.1328559241629</v>
      </c>
      <c r="H233" s="46"/>
      <c r="I233" s="46">
        <f t="shared" ca="1" si="27"/>
        <v>3201.3960336835007</v>
      </c>
      <c r="J233" s="34"/>
      <c r="K233" s="46">
        <f t="shared" ca="1" si="33"/>
        <v>0</v>
      </c>
      <c r="L233" s="46"/>
      <c r="M233" s="46">
        <f ca="1">IFERROR(IF(C233="","",IF($C$10=Parâmetros!$C$3,0,VLOOKUP(A233,'Base de Dados'!$E$3:$G$422,3,FALSE)*S233)),0)</f>
        <v>217.45036541010808</v>
      </c>
      <c r="N233" s="34"/>
      <c r="O233" s="46">
        <f ca="1">IF(C233="","",IF(C234="",0,IF(E233="Construção",0,IF(E233="Seguro",$C$17*'Base de Dados'!$C$2,IF($C$14=Parâmetros!$B$4,0,Simulador!$C$17*'Base de Dados'!$C$2)))))</f>
        <v>75</v>
      </c>
      <c r="P233" s="46"/>
      <c r="Q233" s="46">
        <f ca="1">IF(C233="","",IF(E233&lt;&gt;"Retorno",(I233+K233+M233),IF($G$20=Parâmetros!$D$2,SUM(G233,I233,K233,M233,O233),PMT($O$25,SUM($G$17),($O$10)*-1)+O233+M233+K233)))</f>
        <v>9167.9792550177717</v>
      </c>
      <c r="R233" s="46"/>
      <c r="S233" s="46">
        <f t="shared" ca="1" si="34"/>
        <v>286118.90185540536</v>
      </c>
      <c r="U233" s="15" t="str">
        <f t="shared" ca="1" si="35"/>
        <v/>
      </c>
    </row>
    <row r="234" spans="1:21" x14ac:dyDescent="0.3">
      <c r="A234" s="49">
        <f t="shared" ca="1" si="28"/>
        <v>52283</v>
      </c>
      <c r="B234" s="49" t="str">
        <f t="shared" ca="1" si="29"/>
        <v/>
      </c>
      <c r="C234" s="81">
        <f t="shared" ca="1" si="30"/>
        <v>201</v>
      </c>
      <c r="D234" s="34">
        <f t="shared" ca="1" si="31"/>
        <v>201</v>
      </c>
      <c r="E234" s="4" t="str">
        <f t="shared" ca="1" si="32"/>
        <v>Retorno</v>
      </c>
      <c r="G234" s="46">
        <f ca="1">IF(C234="","",IF(E234&lt;&gt;"Retorno",0,IF($G$20=Parâmetros!$D$2,Simulador!$O$10/$G$17,IF($G$20=Parâmetros!$D$3,PMT($O$25,$G$17,($O$10)*-1)-I234,""))))</f>
        <v>5736.3863858533696</v>
      </c>
      <c r="H234" s="46"/>
      <c r="I234" s="46">
        <f t="shared" ca="1" si="27"/>
        <v>3139.142503754294</v>
      </c>
      <c r="J234" s="34"/>
      <c r="K234" s="46">
        <f t="shared" ca="1" si="33"/>
        <v>0</v>
      </c>
      <c r="L234" s="46"/>
      <c r="M234" s="46">
        <f ca="1">IFERROR(IF(C234="","",IF($C$10=Parâmetros!$C$3,0,VLOOKUP(A234,'Base de Dados'!$E$3:$G$422,3,FALSE)*S234)),0)</f>
        <v>213.09071175685955</v>
      </c>
      <c r="N234" s="34"/>
      <c r="O234" s="46">
        <f ca="1">IF(C234="","",IF(C235="",0,IF(E234="Construção",0,IF(E234="Seguro",$C$17*'Base de Dados'!$C$2,IF($C$14=Parâmetros!$B$4,0,Simulador!$C$17*'Base de Dados'!$C$2)))))</f>
        <v>75</v>
      </c>
      <c r="P234" s="46"/>
      <c r="Q234" s="46">
        <f ca="1">IF(C234="","",IF(E234&lt;&gt;"Retorno",(I234+K234+M234),IF($G$20=Parâmetros!$D$2,SUM(G234,I234,K234,M234,O234),PMT($O$25,SUM($G$17),($O$10)*-1)+O234+M234+K234)))</f>
        <v>9163.619601364524</v>
      </c>
      <c r="R234" s="46"/>
      <c r="S234" s="46">
        <f t="shared" ca="1" si="34"/>
        <v>280382.51546955202</v>
      </c>
      <c r="U234" s="15" t="str">
        <f t="shared" ca="1" si="35"/>
        <v/>
      </c>
    </row>
    <row r="235" spans="1:21" x14ac:dyDescent="0.3">
      <c r="A235" s="49">
        <f t="shared" ca="1" si="28"/>
        <v>52311</v>
      </c>
      <c r="B235" s="49" t="str">
        <f t="shared" ca="1" si="29"/>
        <v/>
      </c>
      <c r="C235" s="81">
        <f t="shared" ca="1" si="30"/>
        <v>202</v>
      </c>
      <c r="D235" s="34">
        <f t="shared" ca="1" si="31"/>
        <v>202</v>
      </c>
      <c r="E235" s="4" t="str">
        <f t="shared" ca="1" si="32"/>
        <v>Retorno</v>
      </c>
      <c r="G235" s="46">
        <f ca="1">IF(C235="","",IF(E235&lt;&gt;"Retorno",0,IF($G$20=Parâmetros!$D$2,Simulador!$O$10/$G$17,IF($G$20=Parâmetros!$D$3,PMT($O$25,$G$17,($O$10)*-1)-I235,""))))</f>
        <v>5799.322927986821</v>
      </c>
      <c r="H235" s="46"/>
      <c r="I235" s="46">
        <f t="shared" ca="1" si="27"/>
        <v>3076.2059616208426</v>
      </c>
      <c r="J235" s="34"/>
      <c r="K235" s="46">
        <f t="shared" ca="1" si="33"/>
        <v>0</v>
      </c>
      <c r="L235" s="46"/>
      <c r="M235" s="46">
        <f ca="1">IFERROR(IF(C235="","",IF($C$10=Parâmetros!$C$3,0,VLOOKUP(A235,'Base de Dados'!$E$3:$G$422,3,FALSE)*S235)),0)</f>
        <v>208.68322633158959</v>
      </c>
      <c r="N235" s="34"/>
      <c r="O235" s="46">
        <f ca="1">IF(C235="","",IF(C236="",0,IF(E235="Construção",0,IF(E235="Seguro",$C$17*'Base de Dados'!$C$2,IF($C$14=Parâmetros!$B$4,0,Simulador!$C$17*'Base de Dados'!$C$2)))))</f>
        <v>75</v>
      </c>
      <c r="P235" s="46"/>
      <c r="Q235" s="46">
        <f ca="1">IF(C235="","",IF(E235&lt;&gt;"Retorno",(I235+K235+M235),IF($G$20=Parâmetros!$D$2,SUM(G235,I235,K235,M235,O235),PMT($O$25,SUM($G$17),($O$10)*-1)+O235+M235+K235)))</f>
        <v>9159.2121159392536</v>
      </c>
      <c r="R235" s="46"/>
      <c r="S235" s="46">
        <f t="shared" ca="1" si="34"/>
        <v>274583.19254156522</v>
      </c>
      <c r="U235" s="15" t="str">
        <f t="shared" ca="1" si="35"/>
        <v/>
      </c>
    </row>
    <row r="236" spans="1:21" x14ac:dyDescent="0.3">
      <c r="A236" s="49">
        <f t="shared" ca="1" si="28"/>
        <v>52342</v>
      </c>
      <c r="B236" s="49" t="str">
        <f t="shared" ca="1" si="29"/>
        <v/>
      </c>
      <c r="C236" s="81">
        <f t="shared" ca="1" si="30"/>
        <v>203</v>
      </c>
      <c r="D236" s="34">
        <f t="shared" ca="1" si="31"/>
        <v>203</v>
      </c>
      <c r="E236" s="4" t="str">
        <f t="shared" ca="1" si="32"/>
        <v>Retorno</v>
      </c>
      <c r="G236" s="46">
        <f ca="1">IF(C236="","",IF(E236&lt;&gt;"Retorno",0,IF($G$20=Parâmetros!$D$2,Simulador!$O$10/$G$17,IF($G$20=Parâmetros!$D$3,PMT($O$25,$G$17,($O$10)*-1)-I236,""))))</f>
        <v>5862.9499759664432</v>
      </c>
      <c r="H236" s="46"/>
      <c r="I236" s="46">
        <f t="shared" ca="1" si="27"/>
        <v>3012.5789136412204</v>
      </c>
      <c r="J236" s="34"/>
      <c r="K236" s="46">
        <f t="shared" ca="1" si="33"/>
        <v>0</v>
      </c>
      <c r="L236" s="46"/>
      <c r="M236" s="46">
        <f ca="1">IFERROR(IF(C236="","",IF($C$10=Parâmetros!$C$3,0,VLOOKUP(A236,'Base de Dados'!$E$3:$G$422,3,FALSE)*S236)),0)</f>
        <v>204.2273843498551</v>
      </c>
      <c r="N236" s="34"/>
      <c r="O236" s="46">
        <f ca="1">IF(C236="","",IF(C237="",0,IF(E236="Construção",0,IF(E236="Seguro",$C$17*'Base de Dados'!$C$2,IF($C$14=Parâmetros!$B$4,0,Simulador!$C$17*'Base de Dados'!$C$2)))))</f>
        <v>75</v>
      </c>
      <c r="P236" s="46"/>
      <c r="Q236" s="46">
        <f ca="1">IF(C236="","",IF(E236&lt;&gt;"Retorno",(I236+K236+M236),IF($G$20=Parâmetros!$D$2,SUM(G236,I236,K236,M236,O236),PMT($O$25,SUM($G$17),($O$10)*-1)+O236+M236+K236)))</f>
        <v>9154.7562739575187</v>
      </c>
      <c r="R236" s="46"/>
      <c r="S236" s="46">
        <f t="shared" ca="1" si="34"/>
        <v>268720.2425655988</v>
      </c>
      <c r="U236" s="15" t="str">
        <f t="shared" ca="1" si="35"/>
        <v/>
      </c>
    </row>
    <row r="237" spans="1:21" x14ac:dyDescent="0.3">
      <c r="A237" s="49">
        <f t="shared" ca="1" si="28"/>
        <v>52372</v>
      </c>
      <c r="B237" s="49" t="str">
        <f t="shared" ca="1" si="29"/>
        <v/>
      </c>
      <c r="C237" s="81">
        <f t="shared" ca="1" si="30"/>
        <v>204</v>
      </c>
      <c r="D237" s="34">
        <f t="shared" ca="1" si="31"/>
        <v>204</v>
      </c>
      <c r="E237" s="4" t="str">
        <f t="shared" ca="1" si="32"/>
        <v>Retorno</v>
      </c>
      <c r="G237" s="46">
        <f ca="1">IF(C237="","",IF(E237&lt;&gt;"Retorno",0,IF($G$20=Parâmetros!$D$2,Simulador!$O$10/$G$17,IF($G$20=Parâmetros!$D$3,PMT($O$25,$G$17,($O$10)*-1)-I237,""))))</f>
        <v>5927.2751056506204</v>
      </c>
      <c r="H237" s="46"/>
      <c r="I237" s="46">
        <f t="shared" ca="1" si="27"/>
        <v>2948.2537839570432</v>
      </c>
      <c r="J237" s="34"/>
      <c r="K237" s="46">
        <f t="shared" ca="1" si="33"/>
        <v>0</v>
      </c>
      <c r="L237" s="46"/>
      <c r="M237" s="46">
        <f ca="1">IFERROR(IF(C237="","",IF($C$10=Parâmetros!$C$3,0,VLOOKUP(A237,'Base de Dados'!$E$3:$G$422,3,FALSE)*S237)),0)</f>
        <v>199.72265526956065</v>
      </c>
      <c r="N237" s="34"/>
      <c r="O237" s="46">
        <f ca="1">IF(C237="","",IF(C238="",0,IF(E237="Construção",0,IF(E237="Seguro",$C$17*'Base de Dados'!$C$2,IF($C$14=Parâmetros!$B$4,0,Simulador!$C$17*'Base de Dados'!$C$2)))))</f>
        <v>75</v>
      </c>
      <c r="P237" s="46"/>
      <c r="Q237" s="46">
        <f ca="1">IF(C237="","",IF(E237&lt;&gt;"Retorno",(I237+K237+M237),IF($G$20=Parâmetros!$D$2,SUM(G237,I237,K237,M237,O237),PMT($O$25,SUM($G$17),($O$10)*-1)+O237+M237+K237)))</f>
        <v>9150.2515448772247</v>
      </c>
      <c r="R237" s="46"/>
      <c r="S237" s="46">
        <f t="shared" ca="1" si="34"/>
        <v>262792.96745994821</v>
      </c>
      <c r="U237" s="15" t="str">
        <f t="shared" ca="1" si="35"/>
        <v/>
      </c>
    </row>
    <row r="238" spans="1:21" x14ac:dyDescent="0.3">
      <c r="A238" s="49">
        <f t="shared" ca="1" si="28"/>
        <v>52403</v>
      </c>
      <c r="B238" s="49" t="str">
        <f t="shared" ca="1" si="29"/>
        <v/>
      </c>
      <c r="C238" s="81">
        <f t="shared" ca="1" si="30"/>
        <v>205</v>
      </c>
      <c r="D238" s="34">
        <f t="shared" ca="1" si="31"/>
        <v>205</v>
      </c>
      <c r="E238" s="4" t="str">
        <f t="shared" ca="1" si="32"/>
        <v>Retorno</v>
      </c>
      <c r="G238" s="46">
        <f ca="1">IF(C238="","",IF(E238&lt;&gt;"Retorno",0,IF($G$20=Parâmetros!$D$2,Simulador!$O$10/$G$17,IF($G$20=Parâmetros!$D$3,PMT($O$25,$G$17,($O$10)*-1)-I238,""))))</f>
        <v>5992.3059760158321</v>
      </c>
      <c r="H238" s="46"/>
      <c r="I238" s="46">
        <f t="shared" ca="1" si="27"/>
        <v>2883.2229135918315</v>
      </c>
      <c r="J238" s="34"/>
      <c r="K238" s="46">
        <f t="shared" ca="1" si="33"/>
        <v>0</v>
      </c>
      <c r="L238" s="46"/>
      <c r="M238" s="46">
        <f ca="1">IFERROR(IF(C238="","",IF($C$10=Parâmetros!$C$3,0,VLOOKUP(A238,'Base de Dados'!$E$3:$G$422,3,FALSE)*S238)),0)</f>
        <v>195.16850272778862</v>
      </c>
      <c r="N238" s="34"/>
      <c r="O238" s="46">
        <f ca="1">IF(C238="","",IF(C239="",0,IF(E238="Construção",0,IF(E238="Seguro",$C$17*'Base de Dados'!$C$2,IF($C$14=Parâmetros!$B$4,0,Simulador!$C$17*'Base de Dados'!$C$2)))))</f>
        <v>75</v>
      </c>
      <c r="P238" s="46"/>
      <c r="Q238" s="46">
        <f ca="1">IF(C238="","",IF(E238&lt;&gt;"Retorno",(I238+K238+M238),IF($G$20=Parâmetros!$D$2,SUM(G238,I238,K238,M238,O238),PMT($O$25,SUM($G$17),($O$10)*-1)+O238+M238+K238)))</f>
        <v>9145.6973923354526</v>
      </c>
      <c r="R238" s="46"/>
      <c r="S238" s="46">
        <f t="shared" ca="1" si="34"/>
        <v>256800.66148393237</v>
      </c>
      <c r="U238" s="15" t="str">
        <f t="shared" ca="1" si="35"/>
        <v/>
      </c>
    </row>
    <row r="239" spans="1:21" x14ac:dyDescent="0.3">
      <c r="A239" s="49">
        <f t="shared" ca="1" si="28"/>
        <v>52433</v>
      </c>
      <c r="B239" s="49" t="str">
        <f t="shared" ca="1" si="29"/>
        <v/>
      </c>
      <c r="C239" s="81">
        <f t="shared" ca="1" si="30"/>
        <v>206</v>
      </c>
      <c r="D239" s="34">
        <f t="shared" ca="1" si="31"/>
        <v>206</v>
      </c>
      <c r="E239" s="4" t="str">
        <f t="shared" ca="1" si="32"/>
        <v>Retorno</v>
      </c>
      <c r="G239" s="46">
        <f ca="1">IF(C239="","",IF(E239&lt;&gt;"Retorno",0,IF($G$20=Parâmetros!$D$2,Simulador!$O$10/$G$17,IF($G$20=Parâmetros!$D$3,PMT($O$25,$G$17,($O$10)*-1)-I239,""))))</f>
        <v>6058.0503300687378</v>
      </c>
      <c r="H239" s="46"/>
      <c r="I239" s="46">
        <f t="shared" ca="1" si="27"/>
        <v>2817.4785595389258</v>
      </c>
      <c r="J239" s="34"/>
      <c r="K239" s="46">
        <f t="shared" ca="1" si="33"/>
        <v>0</v>
      </c>
      <c r="L239" s="46"/>
      <c r="M239" s="46">
        <f ca="1">IFERROR(IF(C239="","",IF($C$10=Parâmetros!$C$3,0,VLOOKUP(A239,'Base de Dados'!$E$3:$G$422,3,FALSE)*S239)),0)</f>
        <v>190.56438447693637</v>
      </c>
      <c r="N239" s="34"/>
      <c r="O239" s="46">
        <f ca="1">IF(C239="","",IF(C240="",0,IF(E239="Construção",0,IF(E239="Seguro",$C$17*'Base de Dados'!$C$2,IF($C$14=Parâmetros!$B$4,0,Simulador!$C$17*'Base de Dados'!$C$2)))))</f>
        <v>75</v>
      </c>
      <c r="P239" s="46"/>
      <c r="Q239" s="46">
        <f ca="1">IF(C239="","",IF(E239&lt;&gt;"Retorno",(I239+K239+M239),IF($G$20=Parâmetros!$D$2,SUM(G239,I239,K239,M239,O239),PMT($O$25,SUM($G$17),($O$10)*-1)+O239+M239+K239)))</f>
        <v>9141.0932740846001</v>
      </c>
      <c r="R239" s="46"/>
      <c r="S239" s="46">
        <f t="shared" ca="1" si="34"/>
        <v>250742.61115386363</v>
      </c>
      <c r="U239" s="15" t="str">
        <f t="shared" ca="1" si="35"/>
        <v/>
      </c>
    </row>
    <row r="240" spans="1:21" x14ac:dyDescent="0.3">
      <c r="A240" s="49">
        <f t="shared" ca="1" si="28"/>
        <v>52464</v>
      </c>
      <c r="B240" s="49" t="str">
        <f t="shared" ca="1" si="29"/>
        <v/>
      </c>
      <c r="C240" s="81">
        <f t="shared" ca="1" si="30"/>
        <v>207</v>
      </c>
      <c r="D240" s="34">
        <f t="shared" ca="1" si="31"/>
        <v>207</v>
      </c>
      <c r="E240" s="4" t="str">
        <f t="shared" ca="1" si="32"/>
        <v>Retorno</v>
      </c>
      <c r="G240" s="46">
        <f ca="1">IF(C240="","",IF(E240&lt;&gt;"Retorno",0,IF($G$20=Parâmetros!$D$2,Simulador!$O$10/$G$17,IF($G$20=Parâmetros!$D$3,PMT($O$25,$G$17,($O$10)*-1)-I240,""))))</f>
        <v>6124.5159957681572</v>
      </c>
      <c r="H240" s="46"/>
      <c r="I240" s="46">
        <f t="shared" ca="1" si="27"/>
        <v>2751.0128938395064</v>
      </c>
      <c r="J240" s="34"/>
      <c r="K240" s="46">
        <f t="shared" ca="1" si="33"/>
        <v>0</v>
      </c>
      <c r="L240" s="46"/>
      <c r="M240" s="46">
        <f ca="1">IFERROR(IF(C240="","",IF($C$10=Parâmetros!$C$3,0,VLOOKUP(A240,'Base de Dados'!$E$3:$G$422,3,FALSE)*S240)),0)</f>
        <v>185.90975232015256</v>
      </c>
      <c r="N240" s="34"/>
      <c r="O240" s="46">
        <f ca="1">IF(C240="","",IF(C241="",0,IF(E240="Construção",0,IF(E240="Seguro",$C$17*'Base de Dados'!$C$2,IF($C$14=Parâmetros!$B$4,0,Simulador!$C$17*'Base de Dados'!$C$2)))))</f>
        <v>75</v>
      </c>
      <c r="P240" s="46"/>
      <c r="Q240" s="46">
        <f ca="1">IF(C240="","",IF(E240&lt;&gt;"Retorno",(I240+K240+M240),IF($G$20=Parâmetros!$D$2,SUM(G240,I240,K240,M240,O240),PMT($O$25,SUM($G$17),($O$10)*-1)+O240+M240+K240)))</f>
        <v>9136.4386419278162</v>
      </c>
      <c r="R240" s="46"/>
      <c r="S240" s="46">
        <f t="shared" ca="1" si="34"/>
        <v>244618.09515809547</v>
      </c>
      <c r="U240" s="15" t="str">
        <f t="shared" ca="1" si="35"/>
        <v/>
      </c>
    </row>
    <row r="241" spans="1:21" x14ac:dyDescent="0.3">
      <c r="A241" s="49">
        <f t="shared" ca="1" si="28"/>
        <v>52495</v>
      </c>
      <c r="B241" s="49" t="str">
        <f t="shared" ca="1" si="29"/>
        <v/>
      </c>
      <c r="C241" s="81">
        <f t="shared" ca="1" si="30"/>
        <v>208</v>
      </c>
      <c r="D241" s="34">
        <f t="shared" ca="1" si="31"/>
        <v>208</v>
      </c>
      <c r="E241" s="4" t="str">
        <f t="shared" ca="1" si="32"/>
        <v>Retorno</v>
      </c>
      <c r="G241" s="46">
        <f ca="1">IF(C241="","",IF(E241&lt;&gt;"Retorno",0,IF($G$20=Parâmetros!$D$2,Simulador!$O$10/$G$17,IF($G$20=Parâmetros!$D$3,PMT($O$25,$G$17,($O$10)*-1)-I241,""))))</f>
        <v>6191.7108869569747</v>
      </c>
      <c r="H241" s="46"/>
      <c r="I241" s="46">
        <f t="shared" ca="1" si="27"/>
        <v>2683.8180026506889</v>
      </c>
      <c r="J241" s="34"/>
      <c r="K241" s="46">
        <f t="shared" ca="1" si="33"/>
        <v>0</v>
      </c>
      <c r="L241" s="46"/>
      <c r="M241" s="46">
        <f ca="1">IFERROR(IF(C241="","",IF($C$10=Parâmetros!$C$3,0,VLOOKUP(A241,'Base de Dados'!$E$3:$G$422,3,FALSE)*S241)),0)</f>
        <v>223.14325303935851</v>
      </c>
      <c r="N241" s="34"/>
      <c r="O241" s="46">
        <f ca="1">IF(C241="","",IF(C242="",0,IF(E241="Construção",0,IF(E241="Seguro",$C$17*'Base de Dados'!$C$2,IF($C$14=Parâmetros!$B$4,0,Simulador!$C$17*'Base de Dados'!$C$2)))))</f>
        <v>75</v>
      </c>
      <c r="P241" s="46"/>
      <c r="Q241" s="46">
        <f ca="1">IF(C241="","",IF(E241&lt;&gt;"Retorno",(I241+K241+M241),IF($G$20=Parâmetros!$D$2,SUM(G241,I241,K241,M241,O241),PMT($O$25,SUM($G$17),($O$10)*-1)+O241+M241+K241)))</f>
        <v>9173.6721426470212</v>
      </c>
      <c r="R241" s="46"/>
      <c r="S241" s="46">
        <f t="shared" ca="1" si="34"/>
        <v>238426.38427113849</v>
      </c>
      <c r="U241" s="15" t="str">
        <f t="shared" ca="1" si="35"/>
        <v/>
      </c>
    </row>
    <row r="242" spans="1:21" x14ac:dyDescent="0.3">
      <c r="A242" s="49">
        <f t="shared" ca="1" si="28"/>
        <v>52525</v>
      </c>
      <c r="B242" s="49" t="str">
        <f t="shared" ca="1" si="29"/>
        <v/>
      </c>
      <c r="C242" s="81">
        <f t="shared" ca="1" si="30"/>
        <v>209</v>
      </c>
      <c r="D242" s="34">
        <f t="shared" ca="1" si="31"/>
        <v>209</v>
      </c>
      <c r="E242" s="4" t="str">
        <f t="shared" ca="1" si="32"/>
        <v>Retorno</v>
      </c>
      <c r="G242" s="46">
        <f ca="1">IF(C242="","",IF(E242&lt;&gt;"Retorno",0,IF($G$20=Parâmetros!$D$2,Simulador!$O$10/$G$17,IF($G$20=Parâmetros!$D$3,PMT($O$25,$G$17,($O$10)*-1)-I242,""))))</f>
        <v>6259.6430043045511</v>
      </c>
      <c r="H242" s="46"/>
      <c r="I242" s="46">
        <f t="shared" ca="1" si="27"/>
        <v>2615.8858853031124</v>
      </c>
      <c r="J242" s="34"/>
      <c r="K242" s="46">
        <f t="shared" ca="1" si="33"/>
        <v>0</v>
      </c>
      <c r="L242" s="46"/>
      <c r="M242" s="46">
        <f ca="1">IFERROR(IF(C242="","",IF($C$10=Parâmetros!$C$3,0,VLOOKUP(A242,'Base de Dados'!$E$3:$G$422,3,FALSE)*S242)),0)</f>
        <v>217.2848531516299</v>
      </c>
      <c r="N242" s="34"/>
      <c r="O242" s="46">
        <f ca="1">IF(C242="","",IF(C243="",0,IF(E242="Construção",0,IF(E242="Seguro",$C$17*'Base de Dados'!$C$2,IF($C$14=Parâmetros!$B$4,0,Simulador!$C$17*'Base de Dados'!$C$2)))))</f>
        <v>75</v>
      </c>
      <c r="P242" s="46"/>
      <c r="Q242" s="46">
        <f ca="1">IF(C242="","",IF(E242&lt;&gt;"Retorno",(I242+K242+M242),IF($G$20=Parâmetros!$D$2,SUM(G242,I242,K242,M242,O242),PMT($O$25,SUM($G$17),($O$10)*-1)+O242+M242+K242)))</f>
        <v>9167.8137427592937</v>
      </c>
      <c r="R242" s="46"/>
      <c r="S242" s="46">
        <f t="shared" ca="1" si="34"/>
        <v>232166.74126683394</v>
      </c>
      <c r="U242" s="15" t="str">
        <f t="shared" ca="1" si="35"/>
        <v/>
      </c>
    </row>
    <row r="243" spans="1:21" x14ac:dyDescent="0.3">
      <c r="A243" s="49">
        <f t="shared" ca="1" si="28"/>
        <v>52556</v>
      </c>
      <c r="B243" s="49" t="str">
        <f t="shared" ca="1" si="29"/>
        <v/>
      </c>
      <c r="C243" s="81">
        <f t="shared" ca="1" si="30"/>
        <v>210</v>
      </c>
      <c r="D243" s="34">
        <f t="shared" ca="1" si="31"/>
        <v>210</v>
      </c>
      <c r="E243" s="4" t="str">
        <f t="shared" ca="1" si="32"/>
        <v>Retorno</v>
      </c>
      <c r="G243" s="46">
        <f ca="1">IF(C243="","",IF(E243&lt;&gt;"Retorno",0,IF($G$20=Parâmetros!$D$2,Simulador!$O$10/$G$17,IF($G$20=Parâmetros!$D$3,PMT($O$25,$G$17,($O$10)*-1)-I243,""))))</f>
        <v>6328.3204362592915</v>
      </c>
      <c r="H243" s="46"/>
      <c r="I243" s="46">
        <f t="shared" ca="1" si="27"/>
        <v>2547.2084533483721</v>
      </c>
      <c r="J243" s="34"/>
      <c r="K243" s="46">
        <f t="shared" ca="1" si="33"/>
        <v>0</v>
      </c>
      <c r="L243" s="46"/>
      <c r="M243" s="46">
        <f ca="1">IFERROR(IF(C243="","",IF($C$10=Parâmetros!$C$3,0,VLOOKUP(A243,'Base de Dados'!$E$3:$G$422,3,FALSE)*S243)),0)</f>
        <v>211.36217805533482</v>
      </c>
      <c r="N243" s="34"/>
      <c r="O243" s="46">
        <f ca="1">IF(C243="","",IF(C244="",0,IF(E243="Construção",0,IF(E243="Seguro",$C$17*'Base de Dados'!$C$2,IF($C$14=Parâmetros!$B$4,0,Simulador!$C$17*'Base de Dados'!$C$2)))))</f>
        <v>75</v>
      </c>
      <c r="P243" s="46"/>
      <c r="Q243" s="46">
        <f ca="1">IF(C243="","",IF(E243&lt;&gt;"Retorno",(I243+K243+M243),IF($G$20=Parâmetros!$D$2,SUM(G243,I243,K243,M243,O243),PMT($O$25,SUM($G$17),($O$10)*-1)+O243+M243+K243)))</f>
        <v>9161.8910676629985</v>
      </c>
      <c r="R243" s="46"/>
      <c r="S243" s="46">
        <f t="shared" ca="1" si="34"/>
        <v>225838.42083057464</v>
      </c>
      <c r="U243" s="15" t="str">
        <f t="shared" ca="1" si="35"/>
        <v/>
      </c>
    </row>
    <row r="244" spans="1:21" x14ac:dyDescent="0.3">
      <c r="A244" s="49">
        <f t="shared" ca="1" si="28"/>
        <v>52586</v>
      </c>
      <c r="B244" s="49" t="str">
        <f t="shared" ca="1" si="29"/>
        <v/>
      </c>
      <c r="C244" s="81">
        <f t="shared" ca="1" si="30"/>
        <v>211</v>
      </c>
      <c r="D244" s="34">
        <f t="shared" ca="1" si="31"/>
        <v>211</v>
      </c>
      <c r="E244" s="4" t="str">
        <f t="shared" ca="1" si="32"/>
        <v>Retorno</v>
      </c>
      <c r="G244" s="46">
        <f ca="1">IF(C244="","",IF(E244&lt;&gt;"Retorno",0,IF($G$20=Parâmetros!$D$2,Simulador!$O$10/$G$17,IF($G$20=Parâmetros!$D$3,PMT($O$25,$G$17,($O$10)*-1)-I244,""))))</f>
        <v>6397.7513600116908</v>
      </c>
      <c r="H244" s="46"/>
      <c r="I244" s="46">
        <f t="shared" ca="1" si="27"/>
        <v>2477.7775295959727</v>
      </c>
      <c r="J244" s="34"/>
      <c r="K244" s="46">
        <f t="shared" ca="1" si="33"/>
        <v>0</v>
      </c>
      <c r="L244" s="46"/>
      <c r="M244" s="46">
        <f ca="1">IFERROR(IF(C244="","",IF($C$10=Parâmetros!$C$3,0,VLOOKUP(A244,'Base de Dados'!$E$3:$G$422,3,FALSE)*S244)),0)</f>
        <v>205.37452255749986</v>
      </c>
      <c r="N244" s="34"/>
      <c r="O244" s="46">
        <f ca="1">IF(C244="","",IF(C245="",0,IF(E244="Construção",0,IF(E244="Seguro",$C$17*'Base de Dados'!$C$2,IF($C$14=Parâmetros!$B$4,0,Simulador!$C$17*'Base de Dados'!$C$2)))))</f>
        <v>75</v>
      </c>
      <c r="P244" s="46"/>
      <c r="Q244" s="46">
        <f ca="1">IF(C244="","",IF(E244&lt;&gt;"Retorno",(I244+K244+M244),IF($G$20=Parâmetros!$D$2,SUM(G244,I244,K244,M244,O244),PMT($O$25,SUM($G$17),($O$10)*-1)+O244+M244+K244)))</f>
        <v>9155.9034121651639</v>
      </c>
      <c r="R244" s="46"/>
      <c r="S244" s="46">
        <f t="shared" ca="1" si="34"/>
        <v>219440.66947056295</v>
      </c>
      <c r="U244" s="15" t="str">
        <f t="shared" ca="1" si="35"/>
        <v/>
      </c>
    </row>
    <row r="245" spans="1:21" x14ac:dyDescent="0.3">
      <c r="A245" s="49">
        <f t="shared" ca="1" si="28"/>
        <v>52617</v>
      </c>
      <c r="B245" s="49" t="str">
        <f t="shared" ca="1" si="29"/>
        <v/>
      </c>
      <c r="C245" s="81">
        <f t="shared" ca="1" si="30"/>
        <v>212</v>
      </c>
      <c r="D245" s="34">
        <f t="shared" ca="1" si="31"/>
        <v>212</v>
      </c>
      <c r="E245" s="4" t="str">
        <f t="shared" ca="1" si="32"/>
        <v>Retorno</v>
      </c>
      <c r="G245" s="46">
        <f ca="1">IF(C245="","",IF(E245&lt;&gt;"Retorno",0,IF($G$20=Parâmetros!$D$2,Simulador!$O$10/$G$17,IF($G$20=Parâmetros!$D$3,PMT($O$25,$G$17,($O$10)*-1)-I245,""))))</f>
        <v>6467.944042467916</v>
      </c>
      <c r="H245" s="46"/>
      <c r="I245" s="46">
        <f t="shared" ca="1" si="27"/>
        <v>2407.5848471397476</v>
      </c>
      <c r="J245" s="34"/>
      <c r="K245" s="46">
        <f t="shared" ca="1" si="33"/>
        <v>0</v>
      </c>
      <c r="L245" s="46"/>
      <c r="M245" s="46">
        <f ca="1">IFERROR(IF(C245="","",IF($C$10=Parâmetros!$C$3,0,VLOOKUP(A245,'Base de Dados'!$E$3:$G$422,3,FALSE)*S245)),0)</f>
        <v>199.32117372815415</v>
      </c>
      <c r="N245" s="34"/>
      <c r="O245" s="46">
        <f ca="1">IF(C245="","",IF(C246="",0,IF(E245="Construção",0,IF(E245="Seguro",$C$17*'Base de Dados'!$C$2,IF($C$14=Parâmetros!$B$4,0,Simulador!$C$17*'Base de Dados'!$C$2)))))</f>
        <v>75</v>
      </c>
      <c r="P245" s="46"/>
      <c r="Q245" s="46">
        <f ca="1">IF(C245="","",IF(E245&lt;&gt;"Retorno",(I245+K245+M245),IF($G$20=Parâmetros!$D$2,SUM(G245,I245,K245,M245,O245),PMT($O$25,SUM($G$17),($O$10)*-1)+O245+M245+K245)))</f>
        <v>9149.850063335818</v>
      </c>
      <c r="R245" s="46"/>
      <c r="S245" s="46">
        <f t="shared" ca="1" si="34"/>
        <v>212972.72542809503</v>
      </c>
      <c r="U245" s="15" t="str">
        <f t="shared" ca="1" si="35"/>
        <v/>
      </c>
    </row>
    <row r="246" spans="1:21" x14ac:dyDescent="0.3">
      <c r="A246" s="49">
        <f t="shared" ca="1" si="28"/>
        <v>52648</v>
      </c>
      <c r="B246" s="49" t="str">
        <f t="shared" ca="1" si="29"/>
        <v/>
      </c>
      <c r="C246" s="81">
        <f t="shared" ca="1" si="30"/>
        <v>213</v>
      </c>
      <c r="D246" s="34">
        <f t="shared" ca="1" si="31"/>
        <v>213</v>
      </c>
      <c r="E246" s="4" t="str">
        <f t="shared" ca="1" si="32"/>
        <v>Retorno</v>
      </c>
      <c r="G246" s="46">
        <f ca="1">IF(C246="","",IF(E246&lt;&gt;"Retorno",0,IF($G$20=Parâmetros!$D$2,Simulador!$O$10/$G$17,IF($G$20=Parâmetros!$D$3,PMT($O$25,$G$17,($O$10)*-1)-I246,""))))</f>
        <v>6538.9068412342713</v>
      </c>
      <c r="H246" s="46"/>
      <c r="I246" s="46">
        <f t="shared" ca="1" si="27"/>
        <v>2336.6220483733923</v>
      </c>
      <c r="J246" s="34"/>
      <c r="K246" s="46">
        <f t="shared" ca="1" si="33"/>
        <v>0</v>
      </c>
      <c r="L246" s="46"/>
      <c r="M246" s="46">
        <f ca="1">IFERROR(IF(C246="","",IF($C$10=Parâmetros!$C$3,0,VLOOKUP(A246,'Base de Dados'!$E$3:$G$422,3,FALSE)*S246)),0)</f>
        <v>193.20141081544298</v>
      </c>
      <c r="N246" s="34"/>
      <c r="O246" s="46">
        <f ca="1">IF(C246="","",IF(C247="",0,IF(E246="Construção",0,IF(E246="Seguro",$C$17*'Base de Dados'!$C$2,IF($C$14=Parâmetros!$B$4,0,Simulador!$C$17*'Base de Dados'!$C$2)))))</f>
        <v>75</v>
      </c>
      <c r="P246" s="46"/>
      <c r="Q246" s="46">
        <f ca="1">IF(C246="","",IF(E246&lt;&gt;"Retorno",(I246+K246+M246),IF($G$20=Parâmetros!$D$2,SUM(G246,I246,K246,M246,O246),PMT($O$25,SUM($G$17),($O$10)*-1)+O246+M246+K246)))</f>
        <v>9143.7303004231071</v>
      </c>
      <c r="R246" s="46"/>
      <c r="S246" s="46">
        <f t="shared" ca="1" si="34"/>
        <v>206433.81858686075</v>
      </c>
      <c r="U246" s="15" t="str">
        <f t="shared" ca="1" si="35"/>
        <v/>
      </c>
    </row>
    <row r="247" spans="1:21" x14ac:dyDescent="0.3">
      <c r="A247" s="49">
        <f t="shared" ca="1" si="28"/>
        <v>52677</v>
      </c>
      <c r="B247" s="49" t="str">
        <f t="shared" ca="1" si="29"/>
        <v/>
      </c>
      <c r="C247" s="81">
        <f t="shared" ca="1" si="30"/>
        <v>214</v>
      </c>
      <c r="D247" s="34">
        <f t="shared" ca="1" si="31"/>
        <v>214</v>
      </c>
      <c r="E247" s="4" t="str">
        <f t="shared" ca="1" si="32"/>
        <v>Retorno</v>
      </c>
      <c r="G247" s="46">
        <f ca="1">IF(C247="","",IF(E247&lt;&gt;"Retorno",0,IF($G$20=Parâmetros!$D$2,Simulador!$O$10/$G$17,IF($G$20=Parâmetros!$D$3,PMT($O$25,$G$17,($O$10)*-1)-I247,""))))</f>
        <v>6610.6482056121422</v>
      </c>
      <c r="H247" s="46"/>
      <c r="I247" s="46">
        <f t="shared" ca="1" si="27"/>
        <v>2264.8806839955214</v>
      </c>
      <c r="J247" s="34"/>
      <c r="K247" s="46">
        <f t="shared" ca="1" si="33"/>
        <v>0</v>
      </c>
      <c r="L247" s="46"/>
      <c r="M247" s="46">
        <f ca="1">IFERROR(IF(C247="","",IF($C$10=Parâmetros!$C$3,0,VLOOKUP(A247,'Base de Dados'!$E$3:$G$422,3,FALSE)*S247)),0)</f>
        <v>187.01450515981057</v>
      </c>
      <c r="N247" s="34"/>
      <c r="O247" s="46">
        <f ca="1">IF(C247="","",IF(C248="",0,IF(E247="Construção",0,IF(E247="Seguro",$C$17*'Base de Dados'!$C$2,IF($C$14=Parâmetros!$B$4,0,Simulador!$C$17*'Base de Dados'!$C$2)))))</f>
        <v>75</v>
      </c>
      <c r="P247" s="46"/>
      <c r="Q247" s="46">
        <f ca="1">IF(C247="","",IF(E247&lt;&gt;"Retorno",(I247+K247+M247),IF($G$20=Parâmetros!$D$2,SUM(G247,I247,K247,M247,O247),PMT($O$25,SUM($G$17),($O$10)*-1)+O247+M247+K247)))</f>
        <v>9137.5433947674737</v>
      </c>
      <c r="R247" s="46"/>
      <c r="S247" s="46">
        <f t="shared" ca="1" si="34"/>
        <v>199823.17038124861</v>
      </c>
      <c r="U247" s="15" t="str">
        <f t="shared" ca="1" si="35"/>
        <v/>
      </c>
    </row>
    <row r="248" spans="1:21" x14ac:dyDescent="0.3">
      <c r="A248" s="49">
        <f t="shared" ca="1" si="28"/>
        <v>52708</v>
      </c>
      <c r="B248" s="49" t="str">
        <f t="shared" ca="1" si="29"/>
        <v/>
      </c>
      <c r="C248" s="81">
        <f t="shared" ca="1" si="30"/>
        <v>215</v>
      </c>
      <c r="D248" s="34">
        <f t="shared" ca="1" si="31"/>
        <v>215</v>
      </c>
      <c r="E248" s="4" t="str">
        <f t="shared" ca="1" si="32"/>
        <v>Retorno</v>
      </c>
      <c r="G248" s="46">
        <f ca="1">IF(C248="","",IF(E248&lt;&gt;"Retorno",0,IF($G$20=Parâmetros!$D$2,Simulador!$O$10/$G$17,IF($G$20=Parâmetros!$D$3,PMT($O$25,$G$17,($O$10)*-1)-I248,""))))</f>
        <v>6683.1766776041732</v>
      </c>
      <c r="H248" s="46"/>
      <c r="I248" s="46">
        <f t="shared" ca="1" si="27"/>
        <v>2192.3522120034904</v>
      </c>
      <c r="J248" s="34"/>
      <c r="K248" s="46">
        <f t="shared" ca="1" si="33"/>
        <v>0</v>
      </c>
      <c r="L248" s="46"/>
      <c r="M248" s="46">
        <f ca="1">IFERROR(IF(C248="","",IF($C$10=Parâmetros!$C$3,0,VLOOKUP(A248,'Base de Dados'!$E$3:$G$422,3,FALSE)*S248)),0)</f>
        <v>180.75972010724084</v>
      </c>
      <c r="N248" s="34"/>
      <c r="O248" s="46">
        <f ca="1">IF(C248="","",IF(C249="",0,IF(E248="Construção",0,IF(E248="Seguro",$C$17*'Base de Dados'!$C$2,IF($C$14=Parâmetros!$B$4,0,Simulador!$C$17*'Base de Dados'!$C$2)))))</f>
        <v>75</v>
      </c>
      <c r="P248" s="46"/>
      <c r="Q248" s="46">
        <f ca="1">IF(C248="","",IF(E248&lt;&gt;"Retorno",(I248+K248+M248),IF($G$20=Parâmetros!$D$2,SUM(G248,I248,K248,M248,O248),PMT($O$25,SUM($G$17),($O$10)*-1)+O248+M248+K248)))</f>
        <v>9131.2886097149039</v>
      </c>
      <c r="R248" s="46"/>
      <c r="S248" s="46">
        <f t="shared" ca="1" si="34"/>
        <v>193139.99370364443</v>
      </c>
      <c r="U248" s="15" t="str">
        <f t="shared" ca="1" si="35"/>
        <v/>
      </c>
    </row>
    <row r="249" spans="1:21" x14ac:dyDescent="0.3">
      <c r="A249" s="49">
        <f t="shared" ca="1" si="28"/>
        <v>52738</v>
      </c>
      <c r="B249" s="49" t="str">
        <f t="shared" ca="1" si="29"/>
        <v/>
      </c>
      <c r="C249" s="81">
        <f t="shared" ca="1" si="30"/>
        <v>216</v>
      </c>
      <c r="D249" s="34">
        <f t="shared" ca="1" si="31"/>
        <v>216</v>
      </c>
      <c r="E249" s="4" t="str">
        <f t="shared" ca="1" si="32"/>
        <v>Retorno</v>
      </c>
      <c r="G249" s="46">
        <f ca="1">IF(C249="","",IF(E249&lt;&gt;"Retorno",0,IF($G$20=Parâmetros!$D$2,Simulador!$O$10/$G$17,IF($G$20=Parâmetros!$D$3,PMT($O$25,$G$17,($O$10)*-1)-I249,""))))</f>
        <v>6756.5008929311552</v>
      </c>
      <c r="H249" s="46"/>
      <c r="I249" s="46">
        <f t="shared" ca="1" si="27"/>
        <v>2119.0279966765083</v>
      </c>
      <c r="J249" s="34"/>
      <c r="K249" s="46">
        <f t="shared" ca="1" si="33"/>
        <v>0</v>
      </c>
      <c r="L249" s="46"/>
      <c r="M249" s="46">
        <f ca="1">IFERROR(IF(C249="","",IF($C$10=Parâmetros!$C$3,0,VLOOKUP(A249,'Base de Dados'!$E$3:$G$422,3,FALSE)*S249)),0)</f>
        <v>174.43631092154655</v>
      </c>
      <c r="N249" s="34"/>
      <c r="O249" s="46">
        <f ca="1">IF(C249="","",IF(C250="",0,IF(E249="Construção",0,IF(E249="Seguro",$C$17*'Base de Dados'!$C$2,IF($C$14=Parâmetros!$B$4,0,Simulador!$C$17*'Base de Dados'!$C$2)))))</f>
        <v>75</v>
      </c>
      <c r="P249" s="46"/>
      <c r="Q249" s="46">
        <f ca="1">IF(C249="","",IF(E249&lt;&gt;"Retorno",(I249+K249+M249),IF($G$20=Parâmetros!$D$2,SUM(G249,I249,K249,M249,O249),PMT($O$25,SUM($G$17),($O$10)*-1)+O249+M249+K249)))</f>
        <v>9124.9652005292101</v>
      </c>
      <c r="R249" s="46"/>
      <c r="S249" s="46">
        <f t="shared" ca="1" si="34"/>
        <v>186383.49281071327</v>
      </c>
      <c r="U249" s="15" t="str">
        <f t="shared" ca="1" si="35"/>
        <v/>
      </c>
    </row>
    <row r="250" spans="1:21" x14ac:dyDescent="0.3">
      <c r="A250" s="49">
        <f t="shared" ca="1" si="28"/>
        <v>52769</v>
      </c>
      <c r="B250" s="49" t="str">
        <f t="shared" ca="1" si="29"/>
        <v/>
      </c>
      <c r="C250" s="81">
        <f t="shared" ca="1" si="30"/>
        <v>217</v>
      </c>
      <c r="D250" s="34">
        <f t="shared" ca="1" si="31"/>
        <v>217</v>
      </c>
      <c r="E250" s="4" t="str">
        <f t="shared" ca="1" si="32"/>
        <v>Retorno</v>
      </c>
      <c r="G250" s="46">
        <f ca="1">IF(C250="","",IF(E250&lt;&gt;"Retorno",0,IF($G$20=Parâmetros!$D$2,Simulador!$O$10/$G$17,IF($G$20=Parâmetros!$D$3,PMT($O$25,$G$17,($O$10)*-1)-I250,""))))</f>
        <v>6830.6295820604391</v>
      </c>
      <c r="H250" s="46"/>
      <c r="I250" s="46">
        <f t="shared" ca="1" si="27"/>
        <v>2044.8993075472245</v>
      </c>
      <c r="J250" s="34"/>
      <c r="K250" s="46">
        <f t="shared" ca="1" si="33"/>
        <v>0</v>
      </c>
      <c r="L250" s="46"/>
      <c r="M250" s="46">
        <f ca="1">IFERROR(IF(C250="","",IF($C$10=Parâmetros!$C$3,0,VLOOKUP(A250,'Base de Dados'!$E$3:$G$422,3,FALSE)*S250)),0)</f>
        <v>168.04352469569619</v>
      </c>
      <c r="N250" s="34"/>
      <c r="O250" s="46">
        <f ca="1">IF(C250="","",IF(C251="",0,IF(E250="Construção",0,IF(E250="Seguro",$C$17*'Base de Dados'!$C$2,IF($C$14=Parâmetros!$B$4,0,Simulador!$C$17*'Base de Dados'!$C$2)))))</f>
        <v>75</v>
      </c>
      <c r="P250" s="46"/>
      <c r="Q250" s="46">
        <f ca="1">IF(C250="","",IF(E250&lt;&gt;"Retorno",(I250+K250+M250),IF($G$20=Parâmetros!$D$2,SUM(G250,I250,K250,M250,O250),PMT($O$25,SUM($G$17),($O$10)*-1)+O250+M250+K250)))</f>
        <v>9118.5724143033603</v>
      </c>
      <c r="R250" s="46"/>
      <c r="S250" s="46">
        <f t="shared" ca="1" si="34"/>
        <v>179552.86322865283</v>
      </c>
      <c r="U250" s="15" t="str">
        <f t="shared" ca="1" si="35"/>
        <v/>
      </c>
    </row>
    <row r="251" spans="1:21" x14ac:dyDescent="0.3">
      <c r="A251" s="49">
        <f t="shared" ca="1" si="28"/>
        <v>52799</v>
      </c>
      <c r="B251" s="49" t="str">
        <f t="shared" ca="1" si="29"/>
        <v/>
      </c>
      <c r="C251" s="81">
        <f t="shared" ca="1" si="30"/>
        <v>218</v>
      </c>
      <c r="D251" s="34">
        <f t="shared" ca="1" si="31"/>
        <v>218</v>
      </c>
      <c r="E251" s="4" t="str">
        <f t="shared" ca="1" si="32"/>
        <v>Retorno</v>
      </c>
      <c r="G251" s="46">
        <f ca="1">IF(C251="","",IF(E251&lt;&gt;"Retorno",0,IF($G$20=Parâmetros!$D$2,Simulador!$O$10/$G$17,IF($G$20=Parâmetros!$D$3,PMT($O$25,$G$17,($O$10)*-1)-I251,""))))</f>
        <v>6905.5715712453493</v>
      </c>
      <c r="H251" s="46"/>
      <c r="I251" s="46">
        <f t="shared" ca="1" si="27"/>
        <v>1969.9573183623143</v>
      </c>
      <c r="J251" s="34"/>
      <c r="K251" s="46">
        <f t="shared" ca="1" si="33"/>
        <v>0</v>
      </c>
      <c r="L251" s="46"/>
      <c r="M251" s="46">
        <f ca="1">IFERROR(IF(C251="","",IF($C$10=Parâmetros!$C$3,0,VLOOKUP(A251,'Base de Dados'!$E$3:$G$422,3,FALSE)*S251)),0)</f>
        <v>161.58060026216765</v>
      </c>
      <c r="N251" s="34"/>
      <c r="O251" s="46">
        <f ca="1">IF(C251="","",IF(C252="",0,IF(E251="Construção",0,IF(E251="Seguro",$C$17*'Base de Dados'!$C$2,IF($C$14=Parâmetros!$B$4,0,Simulador!$C$17*'Base de Dados'!$C$2)))))</f>
        <v>75</v>
      </c>
      <c r="P251" s="46"/>
      <c r="Q251" s="46">
        <f ca="1">IF(C251="","",IF(E251&lt;&gt;"Retorno",(I251+K251+M251),IF($G$20=Parâmetros!$D$2,SUM(G251,I251,K251,M251,O251),PMT($O$25,SUM($G$17),($O$10)*-1)+O251+M251+K251)))</f>
        <v>9112.109489869832</v>
      </c>
      <c r="R251" s="46"/>
      <c r="S251" s="46">
        <f t="shared" ca="1" si="34"/>
        <v>172647.29165740748</v>
      </c>
      <c r="U251" s="15" t="str">
        <f t="shared" ca="1" si="35"/>
        <v/>
      </c>
    </row>
    <row r="252" spans="1:21" x14ac:dyDescent="0.3">
      <c r="A252" s="49">
        <f t="shared" ca="1" si="28"/>
        <v>52830</v>
      </c>
      <c r="B252" s="49" t="str">
        <f t="shared" ca="1" si="29"/>
        <v/>
      </c>
      <c r="C252" s="81">
        <f t="shared" ca="1" si="30"/>
        <v>219</v>
      </c>
      <c r="D252" s="34">
        <f t="shared" ca="1" si="31"/>
        <v>219</v>
      </c>
      <c r="E252" s="4" t="str">
        <f t="shared" ca="1" si="32"/>
        <v>Retorno</v>
      </c>
      <c r="G252" s="46">
        <f ca="1">IF(C252="","",IF(E252&lt;&gt;"Retorno",0,IF($G$20=Parâmetros!$D$2,Simulador!$O$10/$G$17,IF($G$20=Parâmetros!$D$3,PMT($O$25,$G$17,($O$10)*-1)-I252,""))))</f>
        <v>6981.3357835760944</v>
      </c>
      <c r="H252" s="46"/>
      <c r="I252" s="46">
        <f t="shared" ca="1" si="27"/>
        <v>1894.1931060315692</v>
      </c>
      <c r="J252" s="34"/>
      <c r="K252" s="46">
        <f t="shared" ca="1" si="33"/>
        <v>0</v>
      </c>
      <c r="L252" s="46"/>
      <c r="M252" s="46">
        <f ca="1">IFERROR(IF(C252="","",IF($C$10=Parâmetros!$C$3,0,VLOOKUP(A252,'Base de Dados'!$E$3:$G$422,3,FALSE)*S252)),0)</f>
        <v>155.04676810231879</v>
      </c>
      <c r="N252" s="34"/>
      <c r="O252" s="46">
        <f ca="1">IF(C252="","",IF(C253="",0,IF(E252="Construção",0,IF(E252="Seguro",$C$17*'Base de Dados'!$C$2,IF($C$14=Parâmetros!$B$4,0,Simulador!$C$17*'Base de Dados'!$C$2)))))</f>
        <v>75</v>
      </c>
      <c r="P252" s="46"/>
      <c r="Q252" s="46">
        <f ca="1">IF(C252="","",IF(E252&lt;&gt;"Retorno",(I252+K252+M252),IF($G$20=Parâmetros!$D$2,SUM(G252,I252,K252,M252,O252),PMT($O$25,SUM($G$17),($O$10)*-1)+O252+M252+K252)))</f>
        <v>9105.5756577099819</v>
      </c>
      <c r="R252" s="46"/>
      <c r="S252" s="46">
        <f t="shared" ca="1" si="34"/>
        <v>165665.95587383138</v>
      </c>
      <c r="U252" s="15" t="str">
        <f t="shared" ca="1" si="35"/>
        <v/>
      </c>
    </row>
    <row r="253" spans="1:21" x14ac:dyDescent="0.3">
      <c r="A253" s="49">
        <f t="shared" ca="1" si="28"/>
        <v>52861</v>
      </c>
      <c r="B253" s="49" t="str">
        <f t="shared" ca="1" si="29"/>
        <v/>
      </c>
      <c r="C253" s="81">
        <f t="shared" ca="1" si="30"/>
        <v>220</v>
      </c>
      <c r="D253" s="34">
        <f t="shared" ca="1" si="31"/>
        <v>220</v>
      </c>
      <c r="E253" s="4" t="str">
        <f t="shared" ca="1" si="32"/>
        <v>Retorno</v>
      </c>
      <c r="G253" s="46">
        <f ca="1">IF(C253="","",IF(E253&lt;&gt;"Retorno",0,IF($G$20=Parâmetros!$D$2,Simulador!$O$10/$G$17,IF($G$20=Parâmetros!$D$3,PMT($O$25,$G$17,($O$10)*-1)-I253,""))))</f>
        <v>7057.9312400422314</v>
      </c>
      <c r="H253" s="46"/>
      <c r="I253" s="46">
        <f t="shared" ca="1" si="27"/>
        <v>1817.5976495654322</v>
      </c>
      <c r="J253" s="34"/>
      <c r="K253" s="46">
        <f t="shared" ca="1" si="33"/>
        <v>0</v>
      </c>
      <c r="L253" s="46"/>
      <c r="M253" s="46">
        <f ca="1">IFERROR(IF(C253="","",IF($C$10=Parâmetros!$C$3,0,VLOOKUP(A253,'Base de Dados'!$E$3:$G$422,3,FALSE)*S253)),0)</f>
        <v>148.44125025476328</v>
      </c>
      <c r="N253" s="34"/>
      <c r="O253" s="46">
        <f ca="1">IF(C253="","",IF(C254="",0,IF(E253="Construção",0,IF(E253="Seguro",$C$17*'Base de Dados'!$C$2,IF($C$14=Parâmetros!$B$4,0,Simulador!$C$17*'Base de Dados'!$C$2)))))</f>
        <v>75</v>
      </c>
      <c r="P253" s="46"/>
      <c r="Q253" s="46">
        <f ca="1">IF(C253="","",IF(E253&lt;&gt;"Retorno",(I253+K253+M253),IF($G$20=Parâmetros!$D$2,SUM(G253,I253,K253,M253,O253),PMT($O$25,SUM($G$17),($O$10)*-1)+O253+M253+K253)))</f>
        <v>9098.9701398624275</v>
      </c>
      <c r="R253" s="46"/>
      <c r="S253" s="46">
        <f t="shared" ca="1" si="34"/>
        <v>158608.02463378914</v>
      </c>
      <c r="U253" s="15" t="str">
        <f t="shared" ca="1" si="35"/>
        <v/>
      </c>
    </row>
    <row r="254" spans="1:21" x14ac:dyDescent="0.3">
      <c r="A254" s="49">
        <f t="shared" ca="1" si="28"/>
        <v>52891</v>
      </c>
      <c r="B254" s="49" t="str">
        <f t="shared" ca="1" si="29"/>
        <v/>
      </c>
      <c r="C254" s="81">
        <f t="shared" ca="1" si="30"/>
        <v>221</v>
      </c>
      <c r="D254" s="34">
        <f t="shared" ca="1" si="31"/>
        <v>221</v>
      </c>
      <c r="E254" s="4" t="str">
        <f t="shared" ca="1" si="32"/>
        <v>Retorno</v>
      </c>
      <c r="G254" s="46">
        <f ca="1">IF(C254="","",IF(E254&lt;&gt;"Retorno",0,IF($G$20=Parâmetros!$D$2,Simulador!$O$10/$G$17,IF($G$20=Parâmetros!$D$3,PMT($O$25,$G$17,($O$10)*-1)-I254,""))))</f>
        <v>7135.3670606067717</v>
      </c>
      <c r="H254" s="46"/>
      <c r="I254" s="46">
        <f t="shared" ca="1" si="27"/>
        <v>1740.1618290008919</v>
      </c>
      <c r="J254" s="34"/>
      <c r="K254" s="46">
        <f t="shared" ca="1" si="33"/>
        <v>0</v>
      </c>
      <c r="L254" s="46"/>
      <c r="M254" s="46">
        <f ca="1">IFERROR(IF(C254="","",IF($C$10=Parâmetros!$C$3,0,VLOOKUP(A254,'Base de Dados'!$E$3:$G$422,3,FALSE)*S254)),0)</f>
        <v>141.76326022274139</v>
      </c>
      <c r="N254" s="34"/>
      <c r="O254" s="46">
        <f ca="1">IF(C254="","",IF(C255="",0,IF(E254="Construção",0,IF(E254="Seguro",$C$17*'Base de Dados'!$C$2,IF($C$14=Parâmetros!$B$4,0,Simulador!$C$17*'Base de Dados'!$C$2)))))</f>
        <v>75</v>
      </c>
      <c r="P254" s="46"/>
      <c r="Q254" s="46">
        <f ca="1">IF(C254="","",IF(E254&lt;&gt;"Retorno",(I254+K254+M254),IF($G$20=Parâmetros!$D$2,SUM(G254,I254,K254,M254,O254),PMT($O$25,SUM($G$17),($O$10)*-1)+O254+M254+K254)))</f>
        <v>9092.2921498304058</v>
      </c>
      <c r="R254" s="46"/>
      <c r="S254" s="46">
        <f t="shared" ca="1" si="34"/>
        <v>151472.65757318237</v>
      </c>
      <c r="U254" s="15" t="str">
        <f t="shared" ca="1" si="35"/>
        <v/>
      </c>
    </row>
    <row r="255" spans="1:21" x14ac:dyDescent="0.3">
      <c r="A255" s="49">
        <f t="shared" ca="1" si="28"/>
        <v>52922</v>
      </c>
      <c r="B255" s="49" t="str">
        <f t="shared" ca="1" si="29"/>
        <v/>
      </c>
      <c r="C255" s="81">
        <f t="shared" ca="1" si="30"/>
        <v>222</v>
      </c>
      <c r="D255" s="34">
        <f t="shared" ca="1" si="31"/>
        <v>222</v>
      </c>
      <c r="E255" s="4" t="str">
        <f t="shared" ca="1" si="32"/>
        <v>Retorno</v>
      </c>
      <c r="G255" s="46">
        <f ca="1">IF(C255="","",IF(E255&lt;&gt;"Retorno",0,IF($G$20=Parâmetros!$D$2,Simulador!$O$10/$G$17,IF($G$20=Parâmetros!$D$3,PMT($O$25,$G$17,($O$10)*-1)-I255,""))))</f>
        <v>7213.6524652919579</v>
      </c>
      <c r="H255" s="46"/>
      <c r="I255" s="46">
        <f t="shared" ca="1" si="27"/>
        <v>1661.8764243157057</v>
      </c>
      <c r="J255" s="34"/>
      <c r="K255" s="46">
        <f t="shared" ca="1" si="33"/>
        <v>0</v>
      </c>
      <c r="L255" s="46"/>
      <c r="M255" s="46">
        <f ca="1">IFERROR(IF(C255="","",IF($C$10=Parâmetros!$C$3,0,VLOOKUP(A255,'Base de Dados'!$E$3:$G$422,3,FALSE)*S255)),0)</f>
        <v>135.01200288047463</v>
      </c>
      <c r="N255" s="34"/>
      <c r="O255" s="46">
        <f ca="1">IF(C255="","",IF(C256="",0,IF(E255="Construção",0,IF(E255="Seguro",$C$17*'Base de Dados'!$C$2,IF($C$14=Parâmetros!$B$4,0,Simulador!$C$17*'Base de Dados'!$C$2)))))</f>
        <v>75</v>
      </c>
      <c r="P255" s="46"/>
      <c r="Q255" s="46">
        <f ca="1">IF(C255="","",IF(E255&lt;&gt;"Retorno",(I255+K255+M255),IF($G$20=Parâmetros!$D$2,SUM(G255,I255,K255,M255,O255),PMT($O$25,SUM($G$17),($O$10)*-1)+O255+M255+K255)))</f>
        <v>9085.5408924881376</v>
      </c>
      <c r="R255" s="46"/>
      <c r="S255" s="46">
        <f t="shared" ca="1" si="34"/>
        <v>144259.00510789041</v>
      </c>
      <c r="U255" s="15" t="str">
        <f t="shared" ca="1" si="35"/>
        <v/>
      </c>
    </row>
    <row r="256" spans="1:21" x14ac:dyDescent="0.3">
      <c r="A256" s="49">
        <f t="shared" ca="1" si="28"/>
        <v>52952</v>
      </c>
      <c r="B256" s="49" t="str">
        <f t="shared" ca="1" si="29"/>
        <v/>
      </c>
      <c r="C256" s="81">
        <f t="shared" ca="1" si="30"/>
        <v>223</v>
      </c>
      <c r="D256" s="34">
        <f t="shared" ca="1" si="31"/>
        <v>223</v>
      </c>
      <c r="E256" s="4" t="str">
        <f t="shared" ca="1" si="32"/>
        <v>Retorno</v>
      </c>
      <c r="G256" s="46">
        <f ca="1">IF(C256="","",IF(E256&lt;&gt;"Retorno",0,IF($G$20=Parâmetros!$D$2,Simulador!$O$10/$G$17,IF($G$20=Parâmetros!$D$3,PMT($O$25,$G$17,($O$10)*-1)-I256,""))))</f>
        <v>7292.796775277322</v>
      </c>
      <c r="H256" s="46"/>
      <c r="I256" s="46">
        <f t="shared" ca="1" si="27"/>
        <v>1582.7321143303416</v>
      </c>
      <c r="J256" s="34"/>
      <c r="K256" s="46">
        <f t="shared" ca="1" si="33"/>
        <v>0</v>
      </c>
      <c r="L256" s="46"/>
      <c r="M256" s="46">
        <f ca="1">IFERROR(IF(C256="","",IF($C$10=Parâmetros!$C$3,0,VLOOKUP(A256,'Base de Dados'!$E$3:$G$422,3,FALSE)*S256)),0)</f>
        <v>128.1866743784926</v>
      </c>
      <c r="N256" s="34"/>
      <c r="O256" s="46">
        <f ca="1">IF(C256="","",IF(C257="",0,IF(E256="Construção",0,IF(E256="Seguro",$C$17*'Base de Dados'!$C$2,IF($C$14=Parâmetros!$B$4,0,Simulador!$C$17*'Base de Dados'!$C$2)))))</f>
        <v>75</v>
      </c>
      <c r="P256" s="46"/>
      <c r="Q256" s="46">
        <f ca="1">IF(C256="","",IF(E256&lt;&gt;"Retorno",(I256+K256+M256),IF($G$20=Parâmetros!$D$2,SUM(G256,I256,K256,M256,O256),PMT($O$25,SUM($G$17),($O$10)*-1)+O256+M256+K256)))</f>
        <v>9078.7155639861558</v>
      </c>
      <c r="R256" s="46"/>
      <c r="S256" s="46">
        <f t="shared" ca="1" si="34"/>
        <v>136966.20833261308</v>
      </c>
      <c r="U256" s="15" t="str">
        <f t="shared" ca="1" si="35"/>
        <v/>
      </c>
    </row>
    <row r="257" spans="1:21" x14ac:dyDescent="0.3">
      <c r="A257" s="49">
        <f t="shared" ca="1" si="28"/>
        <v>52983</v>
      </c>
      <c r="B257" s="49" t="str">
        <f t="shared" ca="1" si="29"/>
        <v/>
      </c>
      <c r="C257" s="81">
        <f t="shared" ca="1" si="30"/>
        <v>224</v>
      </c>
      <c r="D257" s="34">
        <f t="shared" ca="1" si="31"/>
        <v>224</v>
      </c>
      <c r="E257" s="4" t="str">
        <f t="shared" ca="1" si="32"/>
        <v>Retorno</v>
      </c>
      <c r="G257" s="46">
        <f ca="1">IF(C257="","",IF(E257&lt;&gt;"Retorno",0,IF($G$20=Parâmetros!$D$2,Simulador!$O$10/$G$17,IF($G$20=Parâmetros!$D$3,PMT($O$25,$G$17,($O$10)*-1)-I257,""))))</f>
        <v>7372.8094140091816</v>
      </c>
      <c r="H257" s="46"/>
      <c r="I257" s="46">
        <f t="shared" ca="1" si="27"/>
        <v>1502.7194755984819</v>
      </c>
      <c r="J257" s="34"/>
      <c r="K257" s="46">
        <f t="shared" ca="1" si="33"/>
        <v>0</v>
      </c>
      <c r="L257" s="46"/>
      <c r="M257" s="46">
        <f ca="1">IFERROR(IF(C257="","",IF($C$10=Parâmetros!$C$3,0,VLOOKUP(A257,'Base de Dados'!$E$3:$G$422,3,FALSE)*S257)),0)</f>
        <v>121.28646204792139</v>
      </c>
      <c r="N257" s="34"/>
      <c r="O257" s="46">
        <f ca="1">IF(C257="","",IF(C258="",0,IF(E257="Construção",0,IF(E257="Seguro",$C$17*'Base de Dados'!$C$2,IF($C$14=Parâmetros!$B$4,0,Simulador!$C$17*'Base de Dados'!$C$2)))))</f>
        <v>75</v>
      </c>
      <c r="P257" s="46"/>
      <c r="Q257" s="46">
        <f ca="1">IF(C257="","",IF(E257&lt;&gt;"Retorno",(I257+K257+M257),IF($G$20=Parâmetros!$D$2,SUM(G257,I257,K257,M257,O257),PMT($O$25,SUM($G$17),($O$10)*-1)+O257+M257+K257)))</f>
        <v>9071.8153516555849</v>
      </c>
      <c r="R257" s="46"/>
      <c r="S257" s="46">
        <f t="shared" ca="1" si="34"/>
        <v>129593.3989186039</v>
      </c>
      <c r="U257" s="15" t="str">
        <f t="shared" ca="1" si="35"/>
        <v/>
      </c>
    </row>
    <row r="258" spans="1:21" x14ac:dyDescent="0.3">
      <c r="A258" s="49">
        <f t="shared" ca="1" si="28"/>
        <v>53014</v>
      </c>
      <c r="B258" s="49" t="str">
        <f t="shared" ca="1" si="29"/>
        <v/>
      </c>
      <c r="C258" s="81">
        <f t="shared" ca="1" si="30"/>
        <v>225</v>
      </c>
      <c r="D258" s="34">
        <f t="shared" ca="1" si="31"/>
        <v>225</v>
      </c>
      <c r="E258" s="4" t="str">
        <f t="shared" ca="1" si="32"/>
        <v>Retorno</v>
      </c>
      <c r="G258" s="46">
        <f ca="1">IF(C258="","",IF(E258&lt;&gt;"Retorno",0,IF($G$20=Parâmetros!$D$2,Simulador!$O$10/$G$17,IF($G$20=Parâmetros!$D$3,PMT($O$25,$G$17,($O$10)*-1)-I258,""))))</f>
        <v>7453.6999083229421</v>
      </c>
      <c r="H258" s="46"/>
      <c r="I258" s="46">
        <f t="shared" ca="1" si="27"/>
        <v>1421.8289812847215</v>
      </c>
      <c r="J258" s="34"/>
      <c r="K258" s="46">
        <f t="shared" ca="1" si="33"/>
        <v>0</v>
      </c>
      <c r="L258" s="46"/>
      <c r="M258" s="46">
        <f ca="1">IFERROR(IF(C258="","",IF($C$10=Parâmetros!$C$3,0,VLOOKUP(A258,'Base de Dados'!$E$3:$G$422,3,FALSE)*S258)),0)</f>
        <v>114.31054430372194</v>
      </c>
      <c r="N258" s="34"/>
      <c r="O258" s="46">
        <f ca="1">IF(C258="","",IF(C259="",0,IF(E258="Construção",0,IF(E258="Seguro",$C$17*'Base de Dados'!$C$2,IF($C$14=Parâmetros!$B$4,0,Simulador!$C$17*'Base de Dados'!$C$2)))))</f>
        <v>75</v>
      </c>
      <c r="P258" s="46"/>
      <c r="Q258" s="46">
        <f ca="1">IF(C258="","",IF(E258&lt;&gt;"Retorno",(I258+K258+M258),IF($G$20=Parâmetros!$D$2,SUM(G258,I258,K258,M258,O258),PMT($O$25,SUM($G$17),($O$10)*-1)+O258+M258+K258)))</f>
        <v>9064.8394339113856</v>
      </c>
      <c r="R258" s="46"/>
      <c r="S258" s="46">
        <f t="shared" ca="1" si="34"/>
        <v>122139.69901028095</v>
      </c>
      <c r="U258" s="15" t="str">
        <f t="shared" ca="1" si="35"/>
        <v/>
      </c>
    </row>
    <row r="259" spans="1:21" x14ac:dyDescent="0.3">
      <c r="A259" s="49">
        <f t="shared" ca="1" si="28"/>
        <v>53042</v>
      </c>
      <c r="B259" s="49" t="str">
        <f t="shared" ca="1" si="29"/>
        <v/>
      </c>
      <c r="C259" s="81">
        <f t="shared" ca="1" si="30"/>
        <v>226</v>
      </c>
      <c r="D259" s="34">
        <f t="shared" ca="1" si="31"/>
        <v>226</v>
      </c>
      <c r="E259" s="4" t="str">
        <f t="shared" ca="1" si="32"/>
        <v>Retorno</v>
      </c>
      <c r="G259" s="46">
        <f ca="1">IF(C259="","",IF(E259&lt;&gt;"Retorno",0,IF($G$20=Parâmetros!$D$2,Simulador!$O$10/$G$17,IF($G$20=Parâmetros!$D$3,PMT($O$25,$G$17,($O$10)*-1)-I259,""))))</f>
        <v>7535.4778895773015</v>
      </c>
      <c r="H259" s="46"/>
      <c r="I259" s="46">
        <f t="shared" ca="1" si="27"/>
        <v>1340.051000030362</v>
      </c>
      <c r="J259" s="34"/>
      <c r="K259" s="46">
        <f t="shared" ca="1" si="33"/>
        <v>0</v>
      </c>
      <c r="L259" s="46"/>
      <c r="M259" s="46">
        <f ca="1">IFERROR(IF(C259="","",IF($C$10=Parâmetros!$C$3,0,VLOOKUP(A259,'Base de Dados'!$E$3:$G$422,3,FALSE)*S259)),0)</f>
        <v>107.25809054686654</v>
      </c>
      <c r="N259" s="34"/>
      <c r="O259" s="46">
        <f ca="1">IF(C259="","",IF(C260="",0,IF(E259="Construção",0,IF(E259="Seguro",$C$17*'Base de Dados'!$C$2,IF($C$14=Parâmetros!$B$4,0,Simulador!$C$17*'Base de Dados'!$C$2)))))</f>
        <v>75</v>
      </c>
      <c r="P259" s="46"/>
      <c r="Q259" s="46">
        <f ca="1">IF(C259="","",IF(E259&lt;&gt;"Retorno",(I259+K259+M259),IF($G$20=Parâmetros!$D$2,SUM(G259,I259,K259,M259,O259),PMT($O$25,SUM($G$17),($O$10)*-1)+O259+M259+K259)))</f>
        <v>9057.7869801545294</v>
      </c>
      <c r="R259" s="46"/>
      <c r="S259" s="46">
        <f t="shared" ca="1" si="34"/>
        <v>114604.22112070365</v>
      </c>
      <c r="U259" s="15" t="str">
        <f t="shared" ca="1" si="35"/>
        <v/>
      </c>
    </row>
    <row r="260" spans="1:21" x14ac:dyDescent="0.3">
      <c r="A260" s="49">
        <f t="shared" ca="1" si="28"/>
        <v>53073</v>
      </c>
      <c r="B260" s="49" t="str">
        <f t="shared" ca="1" si="29"/>
        <v/>
      </c>
      <c r="C260" s="81">
        <f t="shared" ca="1" si="30"/>
        <v>227</v>
      </c>
      <c r="D260" s="34">
        <f t="shared" ca="1" si="31"/>
        <v>227</v>
      </c>
      <c r="E260" s="4" t="str">
        <f t="shared" ca="1" si="32"/>
        <v>Retorno</v>
      </c>
      <c r="G260" s="46">
        <f ca="1">IF(C260="","",IF(E260&lt;&gt;"Retorno",0,IF($G$20=Parâmetros!$D$2,Simulador!$O$10/$G$17,IF($G$20=Parâmetros!$D$3,PMT($O$25,$G$17,($O$10)*-1)-I260,""))))</f>
        <v>7618.1530948009859</v>
      </c>
      <c r="H260" s="46"/>
      <c r="I260" s="46">
        <f t="shared" ca="1" si="27"/>
        <v>1257.3757948066777</v>
      </c>
      <c r="J260" s="34"/>
      <c r="K260" s="46">
        <f t="shared" ca="1" si="33"/>
        <v>0</v>
      </c>
      <c r="L260" s="46"/>
      <c r="M260" s="46">
        <f ca="1">IFERROR(IF(C260="","",IF($C$10=Parâmetros!$C$3,0,VLOOKUP(A260,'Base de Dados'!$E$3:$G$422,3,FALSE)*S260)),0)</f>
        <v>100.1282610654423</v>
      </c>
      <c r="N260" s="34"/>
      <c r="O260" s="46">
        <f ca="1">IF(C260="","",IF(C261="",0,IF(E260="Construção",0,IF(E260="Seguro",$C$17*'Base de Dados'!$C$2,IF($C$14=Parâmetros!$B$4,0,Simulador!$C$17*'Base de Dados'!$C$2)))))</f>
        <v>75</v>
      </c>
      <c r="P260" s="46"/>
      <c r="Q260" s="46">
        <f ca="1">IF(C260="","",IF(E260&lt;&gt;"Retorno",(I260+K260+M260),IF($G$20=Parâmetros!$D$2,SUM(G260,I260,K260,M260,O260),PMT($O$25,SUM($G$17),($O$10)*-1)+O260+M260+K260)))</f>
        <v>9050.6571506731052</v>
      </c>
      <c r="R260" s="46"/>
      <c r="S260" s="46">
        <f t="shared" ca="1" si="34"/>
        <v>106986.06802590266</v>
      </c>
      <c r="U260" s="15" t="str">
        <f t="shared" ca="1" si="35"/>
        <v/>
      </c>
    </row>
    <row r="261" spans="1:21" x14ac:dyDescent="0.3">
      <c r="A261" s="49">
        <f t="shared" ca="1" si="28"/>
        <v>53103</v>
      </c>
      <c r="B261" s="49" t="str">
        <f t="shared" ca="1" si="29"/>
        <v/>
      </c>
      <c r="C261" s="81">
        <f t="shared" ca="1" si="30"/>
        <v>228</v>
      </c>
      <c r="D261" s="34">
        <f t="shared" ca="1" si="31"/>
        <v>228</v>
      </c>
      <c r="E261" s="4" t="str">
        <f t="shared" ca="1" si="32"/>
        <v>Retorno</v>
      </c>
      <c r="G261" s="46">
        <f ca="1">IF(C261="","",IF(E261&lt;&gt;"Retorno",0,IF($G$20=Parâmetros!$D$2,Simulador!$O$10/$G$17,IF($G$20=Parâmetros!$D$3,PMT($O$25,$G$17,($O$10)*-1)-I261,""))))</f>
        <v>7701.7353678522159</v>
      </c>
      <c r="H261" s="46"/>
      <c r="I261" s="46">
        <f t="shared" ca="1" si="27"/>
        <v>1173.7935217554477</v>
      </c>
      <c r="J261" s="34"/>
      <c r="K261" s="46">
        <f t="shared" ca="1" si="33"/>
        <v>0</v>
      </c>
      <c r="L261" s="46"/>
      <c r="M261" s="46">
        <f ca="1">IFERROR(IF(C261="","",IF($C$10=Parâmetros!$C$3,0,VLOOKUP(A261,'Base de Dados'!$E$3:$G$422,3,FALSE)*S261)),0)</f>
        <v>92.920206934669409</v>
      </c>
      <c r="N261" s="34"/>
      <c r="O261" s="46">
        <f ca="1">IF(C261="","",IF(C262="",0,IF(E261="Construção",0,IF(E261="Seguro",$C$17*'Base de Dados'!$C$2,IF($C$14=Parâmetros!$B$4,0,Simulador!$C$17*'Base de Dados'!$C$2)))))</f>
        <v>75</v>
      </c>
      <c r="P261" s="46"/>
      <c r="Q261" s="46">
        <f ca="1">IF(C261="","",IF(E261&lt;&gt;"Retorno",(I261+K261+M261),IF($G$20=Parâmetros!$D$2,SUM(G261,I261,K261,M261,O261),PMT($O$25,SUM($G$17),($O$10)*-1)+O261+M261+K261)))</f>
        <v>9043.4490965423338</v>
      </c>
      <c r="R261" s="46"/>
      <c r="S261" s="46">
        <f t="shared" ca="1" si="34"/>
        <v>99284.332658050436</v>
      </c>
      <c r="U261" s="15" t="str">
        <f t="shared" ca="1" si="35"/>
        <v/>
      </c>
    </row>
    <row r="262" spans="1:21" x14ac:dyDescent="0.3">
      <c r="A262" s="49">
        <f t="shared" ca="1" si="28"/>
        <v>53134</v>
      </c>
      <c r="B262" s="49" t="str">
        <f t="shared" ca="1" si="29"/>
        <v/>
      </c>
      <c r="C262" s="81">
        <f t="shared" ca="1" si="30"/>
        <v>229</v>
      </c>
      <c r="D262" s="34">
        <f t="shared" ca="1" si="31"/>
        <v>229</v>
      </c>
      <c r="E262" s="4" t="str">
        <f t="shared" ca="1" si="32"/>
        <v>Retorno</v>
      </c>
      <c r="G262" s="46">
        <f ca="1">IF(C262="","",IF(E262&lt;&gt;"Retorno",0,IF($G$20=Parâmetros!$D$2,Simulador!$O$10/$G$17,IF($G$20=Parâmetros!$D$3,PMT($O$25,$G$17,($O$10)*-1)-I262,""))))</f>
        <v>7786.2346605907042</v>
      </c>
      <c r="H262" s="46"/>
      <c r="I262" s="46">
        <f t="shared" ca="1" si="27"/>
        <v>1089.2942290169594</v>
      </c>
      <c r="J262" s="34"/>
      <c r="K262" s="46">
        <f t="shared" ca="1" si="33"/>
        <v>0</v>
      </c>
      <c r="L262" s="46"/>
      <c r="M262" s="46">
        <f ca="1">IFERROR(IF(C262="","",IF($C$10=Parâmetros!$C$3,0,VLOOKUP(A262,'Base de Dados'!$E$3:$G$422,3,FALSE)*S262)),0)</f>
        <v>85.63306991582256</v>
      </c>
      <c r="N262" s="34"/>
      <c r="O262" s="46">
        <f ca="1">IF(C262="","",IF(C263="",0,IF(E262="Construção",0,IF(E262="Seguro",$C$17*'Base de Dados'!$C$2,IF($C$14=Parâmetros!$B$4,0,Simulador!$C$17*'Base de Dados'!$C$2)))))</f>
        <v>75</v>
      </c>
      <c r="P262" s="46"/>
      <c r="Q262" s="46">
        <f ca="1">IF(C262="","",IF(E262&lt;&gt;"Retorno",(I262+K262+M262),IF($G$20=Parâmetros!$D$2,SUM(G262,I262,K262,M262,O262),PMT($O$25,SUM($G$17),($O$10)*-1)+O262+M262+K262)))</f>
        <v>9036.1619595234861</v>
      </c>
      <c r="R262" s="46"/>
      <c r="S262" s="46">
        <f t="shared" ca="1" si="34"/>
        <v>91498.097997459729</v>
      </c>
      <c r="U262" s="15" t="str">
        <f t="shared" ca="1" si="35"/>
        <v/>
      </c>
    </row>
    <row r="263" spans="1:21" x14ac:dyDescent="0.3">
      <c r="A263" s="49">
        <f t="shared" ca="1" si="28"/>
        <v>53164</v>
      </c>
      <c r="B263" s="49" t="str">
        <f t="shared" ca="1" si="29"/>
        <v/>
      </c>
      <c r="C263" s="81">
        <f t="shared" ca="1" si="30"/>
        <v>230</v>
      </c>
      <c r="D263" s="34">
        <f t="shared" ca="1" si="31"/>
        <v>230</v>
      </c>
      <c r="E263" s="4" t="str">
        <f t="shared" ca="1" si="32"/>
        <v>Retorno</v>
      </c>
      <c r="G263" s="46">
        <f ca="1">IF(C263="","",IF(E263&lt;&gt;"Retorno",0,IF($G$20=Parâmetros!$D$2,Simulador!$O$10/$G$17,IF($G$20=Parâmetros!$D$3,PMT($O$25,$G$17,($O$10)*-1)-I263,""))))</f>
        <v>7871.6610340625739</v>
      </c>
      <c r="H263" s="46"/>
      <c r="I263" s="46">
        <f t="shared" ca="1" si="27"/>
        <v>1003.8678555450897</v>
      </c>
      <c r="J263" s="34"/>
      <c r="K263" s="46">
        <f t="shared" ca="1" si="33"/>
        <v>0</v>
      </c>
      <c r="L263" s="46"/>
      <c r="M263" s="46">
        <f ca="1">IFERROR(IF(C263="","",IF($C$10=Parâmetros!$C$3,0,VLOOKUP(A263,'Base de Dados'!$E$3:$G$422,3,FALSE)*S263)),0)</f>
        <v>78.265982354043402</v>
      </c>
      <c r="N263" s="34"/>
      <c r="O263" s="46">
        <f ca="1">IF(C263="","",IF(C264="",0,IF(E263="Construção",0,IF(E263="Seguro",$C$17*'Base de Dados'!$C$2,IF($C$14=Parâmetros!$B$4,0,Simulador!$C$17*'Base de Dados'!$C$2)))))</f>
        <v>75</v>
      </c>
      <c r="P263" s="46"/>
      <c r="Q263" s="46">
        <f ca="1">IF(C263="","",IF(E263&lt;&gt;"Retorno",(I263+K263+M263),IF($G$20=Parâmetros!$D$2,SUM(G263,I263,K263,M263,O263),PMT($O$25,SUM($G$17),($O$10)*-1)+O263+M263+K263)))</f>
        <v>9028.794871961707</v>
      </c>
      <c r="R263" s="46"/>
      <c r="S263" s="46">
        <f t="shared" ca="1" si="34"/>
        <v>83626.436963397151</v>
      </c>
      <c r="U263" s="15" t="str">
        <f t="shared" ca="1" si="35"/>
        <v/>
      </c>
    </row>
    <row r="264" spans="1:21" x14ac:dyDescent="0.3">
      <c r="A264" s="49">
        <f t="shared" ca="1" si="28"/>
        <v>53195</v>
      </c>
      <c r="B264" s="49" t="str">
        <f t="shared" ca="1" si="29"/>
        <v/>
      </c>
      <c r="C264" s="81">
        <f t="shared" ca="1" si="30"/>
        <v>231</v>
      </c>
      <c r="D264" s="34">
        <f t="shared" ca="1" si="31"/>
        <v>231</v>
      </c>
      <c r="E264" s="4" t="str">
        <f t="shared" ca="1" si="32"/>
        <v>Retorno</v>
      </c>
      <c r="G264" s="46">
        <f ca="1">IF(C264="","",IF(E264&lt;&gt;"Retorno",0,IF($G$20=Parâmetros!$D$2,Simulador!$O$10/$G$17,IF($G$20=Parâmetros!$D$3,PMT($O$25,$G$17,($O$10)*-1)-I264,""))))</f>
        <v>7958.0246596984034</v>
      </c>
      <c r="H264" s="46"/>
      <c r="I264" s="46">
        <f t="shared" ca="1" si="27"/>
        <v>917.50422990926018</v>
      </c>
      <c r="J264" s="34"/>
      <c r="K264" s="46">
        <f t="shared" ca="1" si="33"/>
        <v>0</v>
      </c>
      <c r="L264" s="46"/>
      <c r="M264" s="46">
        <f ca="1">IFERROR(IF(C264="","",IF($C$10=Parâmetros!$C$3,0,VLOOKUP(A264,'Base de Dados'!$E$3:$G$422,3,FALSE)*S264)),0)</f>
        <v>70.818067075031664</v>
      </c>
      <c r="N264" s="34"/>
      <c r="O264" s="46">
        <f ca="1">IF(C264="","",IF(C265="",0,IF(E264="Construção",0,IF(E264="Seguro",$C$17*'Base de Dados'!$C$2,IF($C$14=Parâmetros!$B$4,0,Simulador!$C$17*'Base de Dados'!$C$2)))))</f>
        <v>75</v>
      </c>
      <c r="P264" s="46"/>
      <c r="Q264" s="46">
        <f ca="1">IF(C264="","",IF(E264&lt;&gt;"Retorno",(I264+K264+M264),IF($G$20=Parâmetros!$D$2,SUM(G264,I264,K264,M264,O264),PMT($O$25,SUM($G$17),($O$10)*-1)+O264+M264+K264)))</f>
        <v>9021.3469566826952</v>
      </c>
      <c r="R264" s="46"/>
      <c r="S264" s="46">
        <f t="shared" ca="1" si="34"/>
        <v>75668.412303698744</v>
      </c>
      <c r="U264" s="15" t="str">
        <f t="shared" ca="1" si="35"/>
        <v/>
      </c>
    </row>
    <row r="265" spans="1:21" x14ac:dyDescent="0.3">
      <c r="A265" s="49">
        <f t="shared" ca="1" si="28"/>
        <v>53226</v>
      </c>
      <c r="B265" s="49" t="str">
        <f t="shared" ca="1" si="29"/>
        <v/>
      </c>
      <c r="C265" s="81">
        <f t="shared" ca="1" si="30"/>
        <v>232</v>
      </c>
      <c r="D265" s="34">
        <f t="shared" ca="1" si="31"/>
        <v>232</v>
      </c>
      <c r="E265" s="4" t="str">
        <f t="shared" ca="1" si="32"/>
        <v>Retorno</v>
      </c>
      <c r="G265" s="46">
        <f ca="1">IF(C265="","",IF(E265&lt;&gt;"Retorno",0,IF($G$20=Parâmetros!$D$2,Simulador!$O$10/$G$17,IF($G$20=Parâmetros!$D$3,PMT($O$25,$G$17,($O$10)*-1)-I265,""))))</f>
        <v>8045.3358205241493</v>
      </c>
      <c r="H265" s="46"/>
      <c r="I265" s="46">
        <f t="shared" ca="1" si="27"/>
        <v>830.19306908351427</v>
      </c>
      <c r="J265" s="34"/>
      <c r="K265" s="46">
        <f t="shared" ca="1" si="33"/>
        <v>0</v>
      </c>
      <c r="L265" s="46"/>
      <c r="M265" s="46">
        <f ca="1">IFERROR(IF(C265="","",IF($C$10=Parâmetros!$C$3,0,VLOOKUP(A265,'Base de Dados'!$E$3:$G$422,3,FALSE)*S265)),0)</f>
        <v>63.288437280603105</v>
      </c>
      <c r="N265" s="34"/>
      <c r="O265" s="46">
        <f ca="1">IF(C265="","",IF(C266="",0,IF(E265="Construção",0,IF(E265="Seguro",$C$17*'Base de Dados'!$C$2,IF($C$14=Parâmetros!$B$4,0,Simulador!$C$17*'Base de Dados'!$C$2)))))</f>
        <v>75</v>
      </c>
      <c r="P265" s="46"/>
      <c r="Q265" s="46">
        <f ca="1">IF(C265="","",IF(E265&lt;&gt;"Retorno",(I265+K265+M265),IF($G$20=Parâmetros!$D$2,SUM(G265,I265,K265,M265,O265),PMT($O$25,SUM($G$17),($O$10)*-1)+O265+M265+K265)))</f>
        <v>9013.8173268882674</v>
      </c>
      <c r="R265" s="46"/>
      <c r="S265" s="46">
        <f t="shared" ca="1" si="34"/>
        <v>67623.076483174591</v>
      </c>
      <c r="U265" s="15" t="str">
        <f t="shared" ca="1" si="35"/>
        <v/>
      </c>
    </row>
    <row r="266" spans="1:21" x14ac:dyDescent="0.3">
      <c r="A266" s="49">
        <f t="shared" ca="1" si="28"/>
        <v>53256</v>
      </c>
      <c r="B266" s="49" t="str">
        <f t="shared" ca="1" si="29"/>
        <v/>
      </c>
      <c r="C266" s="81">
        <f t="shared" ca="1" si="30"/>
        <v>233</v>
      </c>
      <c r="D266" s="34">
        <f t="shared" ca="1" si="31"/>
        <v>233</v>
      </c>
      <c r="E266" s="4" t="str">
        <f t="shared" ca="1" si="32"/>
        <v>Retorno</v>
      </c>
      <c r="G266" s="46">
        <f ca="1">IF(C266="","",IF(E266&lt;&gt;"Retorno",0,IF($G$20=Parâmetros!$D$2,Simulador!$O$10/$G$17,IF($G$20=Parâmetros!$D$3,PMT($O$25,$G$17,($O$10)*-1)-I266,""))))</f>
        <v>8133.6049123856465</v>
      </c>
      <c r="H266" s="46"/>
      <c r="I266" s="46">
        <f t="shared" ca="1" si="27"/>
        <v>741.92397722201713</v>
      </c>
      <c r="J266" s="34"/>
      <c r="K266" s="46">
        <f t="shared" ca="1" si="33"/>
        <v>0</v>
      </c>
      <c r="L266" s="46"/>
      <c r="M266" s="46">
        <f ca="1">IFERROR(IF(C266="","",IF($C$10=Parâmetros!$C$3,0,VLOOKUP(A266,'Base de Dados'!$E$3:$G$422,3,FALSE)*S266)),0)</f>
        <v>55.676196443101375</v>
      </c>
      <c r="N266" s="34"/>
      <c r="O266" s="46">
        <f ca="1">IF(C266="","",IF(C267="",0,IF(E266="Construção",0,IF(E266="Seguro",$C$17*'Base de Dados'!$C$2,IF($C$14=Parâmetros!$B$4,0,Simulador!$C$17*'Base de Dados'!$C$2)))))</f>
        <v>75</v>
      </c>
      <c r="P266" s="46"/>
      <c r="Q266" s="46">
        <f ca="1">IF(C266="","",IF(E266&lt;&gt;"Retorno",(I266+K266+M266),IF($G$20=Parâmetros!$D$2,SUM(G266,I266,K266,M266,O266),PMT($O$25,SUM($G$17),($O$10)*-1)+O266+M266+K266)))</f>
        <v>9006.2050860507643</v>
      </c>
      <c r="R266" s="46"/>
      <c r="S266" s="46">
        <f t="shared" ca="1" si="34"/>
        <v>59489.471570788941</v>
      </c>
      <c r="U266" s="15" t="str">
        <f t="shared" ca="1" si="35"/>
        <v/>
      </c>
    </row>
    <row r="267" spans="1:21" x14ac:dyDescent="0.3">
      <c r="A267" s="49">
        <f t="shared" ca="1" si="28"/>
        <v>53287</v>
      </c>
      <c r="B267" s="49" t="str">
        <f t="shared" ca="1" si="29"/>
        <v/>
      </c>
      <c r="C267" s="81">
        <f t="shared" ca="1" si="30"/>
        <v>234</v>
      </c>
      <c r="D267" s="34">
        <f t="shared" ca="1" si="31"/>
        <v>234</v>
      </c>
      <c r="E267" s="4" t="str">
        <f t="shared" ca="1" si="32"/>
        <v>Retorno</v>
      </c>
      <c r="G267" s="46">
        <f ca="1">IF(C267="","",IF(E267&lt;&gt;"Retorno",0,IF($G$20=Parâmetros!$D$2,Simulador!$O$10/$G$17,IF($G$20=Parâmetros!$D$3,PMT($O$25,$G$17,($O$10)*-1)-I267,""))))</f>
        <v>8222.8424451863139</v>
      </c>
      <c r="H267" s="46"/>
      <c r="I267" s="46">
        <f t="shared" ca="1" si="27"/>
        <v>652.68644442134973</v>
      </c>
      <c r="J267" s="34"/>
      <c r="K267" s="46">
        <f t="shared" ca="1" si="33"/>
        <v>0</v>
      </c>
      <c r="L267" s="46"/>
      <c r="M267" s="46">
        <f ca="1">IFERROR(IF(C267="","",IF($C$10=Parâmetros!$C$3,0,VLOOKUP(A267,'Base de Dados'!$E$3:$G$422,3,FALSE)*S267)),0)</f>
        <v>47.980438198651505</v>
      </c>
      <c r="N267" s="34"/>
      <c r="O267" s="46">
        <f ca="1">IF(C267="","",IF(C268="",0,IF(E267="Construção",0,IF(E267="Seguro",$C$17*'Base de Dados'!$C$2,IF($C$14=Parâmetros!$B$4,0,Simulador!$C$17*'Base de Dados'!$C$2)))))</f>
        <v>75</v>
      </c>
      <c r="P267" s="46"/>
      <c r="Q267" s="46">
        <f ca="1">IF(C267="","",IF(E267&lt;&gt;"Retorno",(I267+K267+M267),IF($G$20=Parâmetros!$D$2,SUM(G267,I267,K267,M267,O267),PMT($O$25,SUM($G$17),($O$10)*-1)+O267+M267+K267)))</f>
        <v>8998.5093278063159</v>
      </c>
      <c r="R267" s="46"/>
      <c r="S267" s="46">
        <f t="shared" ca="1" si="34"/>
        <v>51266.629125602631</v>
      </c>
      <c r="U267" s="15" t="str">
        <f t="shared" ca="1" si="35"/>
        <v/>
      </c>
    </row>
    <row r="268" spans="1:21" x14ac:dyDescent="0.3">
      <c r="A268" s="49">
        <f t="shared" ca="1" si="28"/>
        <v>53317</v>
      </c>
      <c r="B268" s="49" t="str">
        <f t="shared" ca="1" si="29"/>
        <v/>
      </c>
      <c r="C268" s="81">
        <f t="shared" ca="1" si="30"/>
        <v>235</v>
      </c>
      <c r="D268" s="34">
        <f t="shared" ca="1" si="31"/>
        <v>235</v>
      </c>
      <c r="E268" s="4" t="str">
        <f t="shared" ca="1" si="32"/>
        <v>Retorno</v>
      </c>
      <c r="G268" s="46">
        <f ca="1">IF(C268="","",IF(E268&lt;&gt;"Retorno",0,IF($G$20=Parâmetros!$D$2,Simulador!$O$10/$G$17,IF($G$20=Parâmetros!$D$3,PMT($O$25,$G$17,($O$10)*-1)-I268,""))))</f>
        <v>8313.0590441386048</v>
      </c>
      <c r="H268" s="46"/>
      <c r="I268" s="46">
        <f t="shared" ca="1" si="27"/>
        <v>562.46984546905878</v>
      </c>
      <c r="J268" s="34"/>
      <c r="K268" s="46">
        <f t="shared" ca="1" si="33"/>
        <v>0</v>
      </c>
      <c r="L268" s="46"/>
      <c r="M268" s="46">
        <f ca="1">IFERROR(IF(C268="","",IF($C$10=Parâmetros!$C$3,0,VLOOKUP(A268,'Base de Dados'!$E$3:$G$422,3,FALSE)*S268)),0)</f>
        <v>40.200246239242183</v>
      </c>
      <c r="N268" s="34"/>
      <c r="O268" s="46">
        <f ca="1">IF(C268="","",IF(C269="",0,IF(E268="Construção",0,IF(E268="Seguro",$C$17*'Base de Dados'!$C$2,IF($C$14=Parâmetros!$B$4,0,Simulador!$C$17*'Base de Dados'!$C$2)))))</f>
        <v>75</v>
      </c>
      <c r="P268" s="46"/>
      <c r="Q268" s="46">
        <f ca="1">IF(C268="","",IF(E268&lt;&gt;"Retorno",(I268+K268+M268),IF($G$20=Parâmetros!$D$2,SUM(G268,I268,K268,M268,O268),PMT($O$25,SUM($G$17),($O$10)*-1)+O268+M268+K268)))</f>
        <v>8990.7291358469065</v>
      </c>
      <c r="R268" s="46"/>
      <c r="S268" s="46">
        <f t="shared" ca="1" si="34"/>
        <v>42953.570081464029</v>
      </c>
      <c r="U268" s="15" t="str">
        <f t="shared" ca="1" si="35"/>
        <v/>
      </c>
    </row>
    <row r="269" spans="1:21" x14ac:dyDescent="0.3">
      <c r="A269" s="49">
        <f t="shared" ca="1" si="28"/>
        <v>53348</v>
      </c>
      <c r="B269" s="49" t="str">
        <f t="shared" ca="1" si="29"/>
        <v/>
      </c>
      <c r="C269" s="81">
        <f t="shared" ca="1" si="30"/>
        <v>236</v>
      </c>
      <c r="D269" s="34">
        <f t="shared" ca="1" si="31"/>
        <v>236</v>
      </c>
      <c r="E269" s="4" t="str">
        <f t="shared" ca="1" si="32"/>
        <v>Retorno</v>
      </c>
      <c r="G269" s="46">
        <f ca="1">IF(C269="","",IF(E269&lt;&gt;"Retorno",0,IF($G$20=Parâmetros!$D$2,Simulador!$O$10/$G$17,IF($G$20=Parâmetros!$D$3,PMT($O$25,$G$17,($O$10)*-1)-I269,""))))</f>
        <v>8404.2654510290631</v>
      </c>
      <c r="H269" s="46"/>
      <c r="I269" s="46">
        <f t="shared" ca="1" si="27"/>
        <v>471.26343857860047</v>
      </c>
      <c r="J269" s="34"/>
      <c r="K269" s="46">
        <f t="shared" ca="1" si="33"/>
        <v>0</v>
      </c>
      <c r="L269" s="46"/>
      <c r="M269" s="46">
        <f ca="1">IFERROR(IF(C269="","",IF($C$10=Parâmetros!$C$3,0,VLOOKUP(A269,'Base de Dados'!$E$3:$G$422,3,FALSE)*S269)),0)</f>
        <v>32.334694203624089</v>
      </c>
      <c r="N269" s="34"/>
      <c r="O269" s="46">
        <f ca="1">IF(C269="","",IF(C270="",0,IF(E269="Construção",0,IF(E269="Seguro",$C$17*'Base de Dados'!$C$2,IF($C$14=Parâmetros!$B$4,0,Simulador!$C$17*'Base de Dados'!$C$2)))))</f>
        <v>75</v>
      </c>
      <c r="P269" s="46"/>
      <c r="Q269" s="46">
        <f ca="1">IF(C269="","",IF(E269&lt;&gt;"Retorno",(I269+K269+M269),IF($G$20=Parâmetros!$D$2,SUM(G269,I269,K269,M269,O269),PMT($O$25,SUM($G$17),($O$10)*-1)+O269+M269+K269)))</f>
        <v>8982.8635838112878</v>
      </c>
      <c r="R269" s="46"/>
      <c r="S269" s="46">
        <f t="shared" ca="1" si="34"/>
        <v>34549.30463043497</v>
      </c>
      <c r="U269" s="15" t="str">
        <f t="shared" ca="1" si="35"/>
        <v/>
      </c>
    </row>
    <row r="270" spans="1:21" x14ac:dyDescent="0.3">
      <c r="A270" s="49">
        <f t="shared" ca="1" si="28"/>
        <v>53379</v>
      </c>
      <c r="B270" s="49" t="str">
        <f t="shared" ca="1" si="29"/>
        <v/>
      </c>
      <c r="C270" s="81">
        <f t="shared" ca="1" si="30"/>
        <v>237</v>
      </c>
      <c r="D270" s="34">
        <f t="shared" ca="1" si="31"/>
        <v>237</v>
      </c>
      <c r="E270" s="4" t="str">
        <f t="shared" ca="1" si="32"/>
        <v>Retorno</v>
      </c>
      <c r="G270" s="46">
        <f ca="1">IF(C270="","",IF(E270&lt;&gt;"Retorno",0,IF($G$20=Parâmetros!$D$2,Simulador!$O$10/$G$17,IF($G$20=Parâmetros!$D$3,PMT($O$25,$G$17,($O$10)*-1)-I270,""))))</f>
        <v>8496.4725254973273</v>
      </c>
      <c r="H270" s="46"/>
      <c r="I270" s="46">
        <f t="shared" ca="1" si="27"/>
        <v>379.05636411033629</v>
      </c>
      <c r="J270" s="34"/>
      <c r="K270" s="46">
        <f t="shared" ca="1" si="33"/>
        <v>0</v>
      </c>
      <c r="L270" s="46"/>
      <c r="M270" s="46">
        <f ca="1">IFERROR(IF(C270="","",IF($C$10=Parâmetros!$C$3,0,VLOOKUP(A270,'Base de Dados'!$E$3:$G$422,3,FALSE)*S270)),0)</f>
        <v>24.382845567011142</v>
      </c>
      <c r="N270" s="34"/>
      <c r="O270" s="46">
        <f ca="1">IF(C270="","",IF(C271="",0,IF(E270="Construção",0,IF(E270="Seguro",$C$17*'Base de Dados'!$C$2,IF($C$14=Parâmetros!$B$4,0,Simulador!$C$17*'Base de Dados'!$C$2)))))</f>
        <v>75</v>
      </c>
      <c r="P270" s="46"/>
      <c r="Q270" s="46">
        <f ca="1">IF(C270="","",IF(E270&lt;&gt;"Retorno",(I270+K270+M270),IF($G$20=Parâmetros!$D$2,SUM(G270,I270,K270,M270,O270),PMT($O$25,SUM($G$17),($O$10)*-1)+O270+M270+K270)))</f>
        <v>8974.9117351746754</v>
      </c>
      <c r="R270" s="46"/>
      <c r="S270" s="46">
        <f t="shared" ca="1" si="34"/>
        <v>26052.832104937643</v>
      </c>
      <c r="U270" s="15" t="str">
        <f t="shared" ca="1" si="35"/>
        <v/>
      </c>
    </row>
    <row r="271" spans="1:21" x14ac:dyDescent="0.3">
      <c r="A271" s="49">
        <f t="shared" ca="1" si="28"/>
        <v>53407</v>
      </c>
      <c r="B271" s="49" t="str">
        <f t="shared" ca="1" si="29"/>
        <v/>
      </c>
      <c r="C271" s="81">
        <f t="shared" ca="1" si="30"/>
        <v>238</v>
      </c>
      <c r="D271" s="34">
        <f t="shared" ca="1" si="31"/>
        <v>238</v>
      </c>
      <c r="E271" s="4" t="str">
        <f t="shared" ca="1" si="32"/>
        <v>Retorno</v>
      </c>
      <c r="G271" s="46">
        <f ca="1">IF(C271="","",IF(E271&lt;&gt;"Retorno",0,IF($G$20=Parâmetros!$D$2,Simulador!$O$10/$G$17,IF($G$20=Parâmetros!$D$3,PMT($O$25,$G$17,($O$10)*-1)-I271,""))))</f>
        <v>8589.6912463291555</v>
      </c>
      <c r="H271" s="46"/>
      <c r="I271" s="46">
        <f t="shared" ca="1" si="27"/>
        <v>285.83764327850804</v>
      </c>
      <c r="J271" s="34"/>
      <c r="K271" s="46">
        <f t="shared" ca="1" si="33"/>
        <v>0</v>
      </c>
      <c r="L271" s="46"/>
      <c r="M271" s="46">
        <f ca="1">IFERROR(IF(C271="","",IF($C$10=Parâmetros!$C$3,0,VLOOKUP(A271,'Base de Dados'!$E$3:$G$422,3,FALSE)*S271)),0)</f>
        <v>16.343753529571682</v>
      </c>
      <c r="N271" s="34"/>
      <c r="O271" s="46">
        <f ca="1">IF(C271="","",IF(C272="",0,IF(E271="Construção",0,IF(E271="Seguro",$C$17*'Base de Dados'!$C$2,IF($C$14=Parâmetros!$B$4,0,Simulador!$C$17*'Base de Dados'!$C$2)))))</f>
        <v>75</v>
      </c>
      <c r="P271" s="46"/>
      <c r="Q271" s="46">
        <f ca="1">IF(C271="","",IF(E271&lt;&gt;"Retorno",(I271+K271+M271),IF($G$20=Parâmetros!$D$2,SUM(G271,I271,K271,M271,O271),PMT($O$25,SUM($G$17),($O$10)*-1)+O271+M271+K271)))</f>
        <v>8966.8726431372361</v>
      </c>
      <c r="R271" s="46"/>
      <c r="S271" s="46">
        <f t="shared" ca="1" si="34"/>
        <v>17463.140858608487</v>
      </c>
      <c r="U271" s="15" t="str">
        <f t="shared" ca="1" si="35"/>
        <v/>
      </c>
    </row>
    <row r="272" spans="1:21" x14ac:dyDescent="0.3">
      <c r="A272" s="49">
        <f t="shared" ca="1" si="28"/>
        <v>53438</v>
      </c>
      <c r="B272" s="49" t="str">
        <f t="shared" ca="1" si="29"/>
        <v/>
      </c>
      <c r="C272" s="81">
        <f t="shared" ca="1" si="30"/>
        <v>239</v>
      </c>
      <c r="D272" s="34">
        <f t="shared" ca="1" si="31"/>
        <v>239</v>
      </c>
      <c r="E272" s="4" t="str">
        <f t="shared" ca="1" si="32"/>
        <v>Retorno</v>
      </c>
      <c r="G272" s="46">
        <f ca="1">IF(C272="","",IF(E272&lt;&gt;"Retorno",0,IF($G$20=Parâmetros!$D$2,Simulador!$O$10/$G$17,IF($G$20=Parâmetros!$D$3,PMT($O$25,$G$17,($O$10)*-1)-I272,""))))</f>
        <v>8683.9327127636425</v>
      </c>
      <c r="H272" s="46"/>
      <c r="I272" s="46">
        <f t="shared" ca="1" si="27"/>
        <v>191.5961768440211</v>
      </c>
      <c r="J272" s="34"/>
      <c r="K272" s="46">
        <f t="shared" ca="1" si="33"/>
        <v>0</v>
      </c>
      <c r="L272" s="46"/>
      <c r="M272" s="46">
        <f ca="1">IFERROR(IF(C272="","",IF($C$10=Parâmetros!$C$3,0,VLOOKUP(A272,'Base de Dados'!$E$3:$G$422,3,FALSE)*S272)),0)</f>
        <v>8.2164609036961913</v>
      </c>
      <c r="N272" s="34"/>
      <c r="O272" s="46">
        <f ca="1">IF(C272="","",IF(C273="",0,IF(E272="Construção",0,IF(E272="Seguro",$C$17*'Base de Dados'!$C$2,IF($C$14=Parâmetros!$B$4,0,Simulador!$C$17*'Base de Dados'!$C$2)))))</f>
        <v>75</v>
      </c>
      <c r="P272" s="46"/>
      <c r="Q272" s="46">
        <f ca="1">IF(C272="","",IF(E272&lt;&gt;"Retorno",(I272+K272+M272),IF($G$20=Parâmetros!$D$2,SUM(G272,I272,K272,M272,O272),PMT($O$25,SUM($G$17),($O$10)*-1)+O272+M272+K272)))</f>
        <v>8958.745350511359</v>
      </c>
      <c r="R272" s="46"/>
      <c r="S272" s="46">
        <f t="shared" ca="1" si="34"/>
        <v>8779.2081458448447</v>
      </c>
      <c r="U272" s="15" t="str">
        <f t="shared" ca="1" si="35"/>
        <v/>
      </c>
    </row>
    <row r="273" spans="1:21" x14ac:dyDescent="0.3">
      <c r="A273" s="49">
        <f t="shared" ca="1" si="28"/>
        <v>53468</v>
      </c>
      <c r="B273" s="49" t="str">
        <f t="shared" ca="1" si="29"/>
        <v/>
      </c>
      <c r="C273" s="81">
        <f t="shared" ca="1" si="30"/>
        <v>240</v>
      </c>
      <c r="D273" s="34">
        <f t="shared" ca="1" si="31"/>
        <v>240</v>
      </c>
      <c r="E273" s="4" t="str">
        <f t="shared" ca="1" si="32"/>
        <v>Retorno</v>
      </c>
      <c r="G273" s="46">
        <f ca="1">IF(C273="","",IF(E273&lt;&gt;"Retorno",0,IF($G$20=Parâmetros!$D$2,Simulador!$O$10/$G$17,IF($G$20=Parâmetros!$D$3,PMT($O$25,$G$17,($O$10)*-1)-I273,""))))</f>
        <v>8779.2081458147386</v>
      </c>
      <c r="H273" s="46"/>
      <c r="I273" s="46">
        <f t="shared" ca="1" si="27"/>
        <v>96.320743792924986</v>
      </c>
      <c r="J273" s="34"/>
      <c r="K273" s="46">
        <f t="shared" ca="1" si="33"/>
        <v>0</v>
      </c>
      <c r="L273" s="46"/>
      <c r="M273" s="46">
        <f ca="1">IFERROR(IF(C273="","",IF($C$10=Parâmetros!$C$3,0,VLOOKUP(A273,'Base de Dados'!$E$3:$G$422,3,FALSE)*S273)),0)</f>
        <v>2.8176293017168065E-11</v>
      </c>
      <c r="N273" s="34"/>
      <c r="O273" s="46">
        <f ca="1">IF(C273="","",IF(C274="",0,IF(E273="Construção",0,IF(E273="Seguro",$C$17*'Base de Dados'!$C$2,IF($C$14=Parâmetros!$B$4,0,Simulador!$C$17*'Base de Dados'!$C$2)))))</f>
        <v>0</v>
      </c>
      <c r="P273" s="46"/>
      <c r="Q273" s="46">
        <f ca="1">IF(C273="","",IF(E273&lt;&gt;"Retorno",(I273+K273+M273),IF($G$20=Parâmetros!$D$2,SUM(G273,I273,K273,M273,O273),PMT($O$25,SUM($G$17),($O$10)*-1)+O273+M273+K273)))</f>
        <v>8875.5288896076909</v>
      </c>
      <c r="R273" s="46"/>
      <c r="S273" s="46">
        <f t="shared" ca="1" si="34"/>
        <v>3.0106093618087471E-8</v>
      </c>
      <c r="U273" s="15" t="str">
        <f t="shared" ca="1" si="35"/>
        <v/>
      </c>
    </row>
    <row r="274" spans="1:21" x14ac:dyDescent="0.3">
      <c r="A274" s="49" t="str">
        <f t="shared" ca="1" si="28"/>
        <v/>
      </c>
      <c r="B274" s="49" t="str">
        <f t="shared" ca="1" si="29"/>
        <v/>
      </c>
      <c r="C274" s="81" t="str">
        <f t="shared" ca="1" si="30"/>
        <v/>
      </c>
      <c r="D274" s="34" t="str">
        <f t="shared" ca="1" si="31"/>
        <v/>
      </c>
      <c r="E274" s="4" t="str">
        <f t="shared" ca="1" si="32"/>
        <v/>
      </c>
      <c r="G274" s="46" t="str">
        <f ca="1">IF(C274="","",IF(E274&lt;&gt;"Retorno",0,IF($G$20=Parâmetros!$D$2,Simulador!$O$10/$G$17,IF($G$20=Parâmetros!$D$3,PMT($O$25,$G$17,($O$10)*-1)-I274,""))))</f>
        <v/>
      </c>
      <c r="H274" s="46"/>
      <c r="I274" s="46" t="str">
        <f t="shared" ca="1" si="27"/>
        <v/>
      </c>
      <c r="J274" s="34"/>
      <c r="K274" s="46" t="str">
        <f t="shared" ca="1" si="33"/>
        <v/>
      </c>
      <c r="L274" s="46"/>
      <c r="M274" s="46" t="str">
        <f ca="1">IFERROR(IF(C274="","",IF($C$10=Parâmetros!$C$3,0,VLOOKUP(A274,'Base de Dados'!$E$3:$G$422,3,FALSE)*S274)),0)</f>
        <v/>
      </c>
      <c r="N274" s="34"/>
      <c r="O274" s="46" t="str">
        <f ca="1">IF(C274="","",IF(C275="",0,IF(E274="Construção",0,IF(E274="Seguro",$C$17*'Base de Dados'!$C$2,IF($C$14=Parâmetros!$B$4,0,Simulador!$C$17*'Base de Dados'!$C$2)))))</f>
        <v/>
      </c>
      <c r="P274" s="46"/>
      <c r="Q274" s="46" t="str">
        <f ca="1">IF(C274="","",IF(E274&lt;&gt;"Retorno",(I274+K274+M274),IF($G$20=Parâmetros!$D$2,SUM(G274,I274,K274,M274,O274),PMT($O$25,SUM($G$17),($O$10)*-1)+O274+M274+K274)))</f>
        <v/>
      </c>
      <c r="R274" s="46"/>
      <c r="S274" s="46" t="str">
        <f t="shared" ca="1" si="34"/>
        <v/>
      </c>
      <c r="U274" s="15" t="str">
        <f t="shared" ca="1" si="35"/>
        <v/>
      </c>
    </row>
    <row r="275" spans="1:21" x14ac:dyDescent="0.3">
      <c r="A275" s="49" t="str">
        <f t="shared" ca="1" si="28"/>
        <v/>
      </c>
      <c r="B275" s="49" t="str">
        <f t="shared" ca="1" si="29"/>
        <v/>
      </c>
      <c r="C275" s="81" t="str">
        <f t="shared" ca="1" si="30"/>
        <v/>
      </c>
      <c r="D275" s="34" t="str">
        <f t="shared" ca="1" si="31"/>
        <v/>
      </c>
      <c r="E275" s="4" t="str">
        <f t="shared" ca="1" si="32"/>
        <v/>
      </c>
      <c r="G275" s="46" t="str">
        <f ca="1">IF(C275="","",IF(E275&lt;&gt;"Retorno",0,IF($G$20=Parâmetros!$D$2,Simulador!$O$10/$G$17,IF($G$20=Parâmetros!$D$3,PMT($O$25,$G$17,($O$10)*-1)-I275,""))))</f>
        <v/>
      </c>
      <c r="H275" s="46"/>
      <c r="I275" s="46" t="str">
        <f t="shared" ca="1" si="27"/>
        <v/>
      </c>
      <c r="J275" s="34"/>
      <c r="K275" s="46" t="str">
        <f t="shared" ca="1" si="33"/>
        <v/>
      </c>
      <c r="L275" s="46"/>
      <c r="M275" s="46" t="str">
        <f ca="1">IFERROR(IF(C275="","",IF($C$10=Parâmetros!$C$3,0,VLOOKUP(A275,'Base de Dados'!$E$3:$G$422,3,FALSE)*S275)),0)</f>
        <v/>
      </c>
      <c r="N275" s="34"/>
      <c r="O275" s="46" t="str">
        <f ca="1">IF(C275="","",IF(C276="",0,IF(E275="Construção",0,IF(E275="Seguro",$C$17*'Base de Dados'!$C$2,IF($C$14=Parâmetros!$B$4,0,Simulador!$C$17*'Base de Dados'!$C$2)))))</f>
        <v/>
      </c>
      <c r="P275" s="46"/>
      <c r="Q275" s="46" t="str">
        <f ca="1">IF(C275="","",IF(E275&lt;&gt;"Retorno",(I275+K275+M275),IF($G$20=Parâmetros!$D$2,SUM(G275,I275,K275,M275,O275),PMT($O$25,SUM($G$17),($O$10)*-1)+O275+M275+K275)))</f>
        <v/>
      </c>
      <c r="R275" s="46"/>
      <c r="S275" s="46" t="str">
        <f t="shared" ca="1" si="34"/>
        <v/>
      </c>
      <c r="U275" s="15" t="str">
        <f t="shared" ca="1" si="35"/>
        <v/>
      </c>
    </row>
    <row r="276" spans="1:21" x14ac:dyDescent="0.3">
      <c r="A276" s="49" t="str">
        <f t="shared" ca="1" si="28"/>
        <v/>
      </c>
      <c r="B276" s="49" t="str">
        <f t="shared" ca="1" si="29"/>
        <v/>
      </c>
      <c r="C276" s="81" t="str">
        <f t="shared" ca="1" si="30"/>
        <v/>
      </c>
      <c r="D276" s="34" t="str">
        <f t="shared" ca="1" si="31"/>
        <v/>
      </c>
      <c r="E276" s="4" t="str">
        <f t="shared" ca="1" si="32"/>
        <v/>
      </c>
      <c r="G276" s="46" t="str">
        <f ca="1">IF(C276="","",IF(E276&lt;&gt;"Retorno",0,IF($G$20=Parâmetros!$D$2,Simulador!$O$10/$G$17,IF($G$20=Parâmetros!$D$3,PMT($O$25,$G$17,($O$10)*-1)-I276,""))))</f>
        <v/>
      </c>
      <c r="H276" s="46"/>
      <c r="I276" s="46" t="str">
        <f t="shared" ca="1" si="27"/>
        <v/>
      </c>
      <c r="J276" s="34"/>
      <c r="K276" s="46" t="str">
        <f t="shared" ca="1" si="33"/>
        <v/>
      </c>
      <c r="L276" s="46"/>
      <c r="M276" s="46" t="str">
        <f ca="1">IFERROR(IF(C276="","",IF($C$10=Parâmetros!$C$3,0,VLOOKUP(A276,'Base de Dados'!$E$3:$G$422,3,FALSE)*S276)),0)</f>
        <v/>
      </c>
      <c r="N276" s="34"/>
      <c r="O276" s="46" t="str">
        <f ca="1">IF(C276="","",IF(C277="",0,IF(E276="Construção",0,IF(E276="Seguro",$C$17*'Base de Dados'!$C$2,IF($C$14=Parâmetros!$B$4,0,Simulador!$C$17*'Base de Dados'!$C$2)))))</f>
        <v/>
      </c>
      <c r="P276" s="46"/>
      <c r="Q276" s="46" t="str">
        <f ca="1">IF(C276="","",IF(E276&lt;&gt;"Retorno",(I276+K276+M276),IF($G$20=Parâmetros!$D$2,SUM(G276,I276,K276,M276,O276),PMT($O$25,SUM($G$17),($O$10)*-1)+O276+M276+K276)))</f>
        <v/>
      </c>
      <c r="R276" s="46"/>
      <c r="S276" s="46" t="str">
        <f t="shared" ca="1" si="34"/>
        <v/>
      </c>
      <c r="U276" s="15" t="str">
        <f t="shared" ca="1" si="35"/>
        <v/>
      </c>
    </row>
    <row r="277" spans="1:21" x14ac:dyDescent="0.3">
      <c r="A277" s="49" t="str">
        <f t="shared" ca="1" si="28"/>
        <v/>
      </c>
      <c r="B277" s="49" t="str">
        <f t="shared" ca="1" si="29"/>
        <v/>
      </c>
      <c r="C277" s="81" t="str">
        <f t="shared" ca="1" si="30"/>
        <v/>
      </c>
      <c r="D277" s="34" t="str">
        <f t="shared" ca="1" si="31"/>
        <v/>
      </c>
      <c r="E277" s="4" t="str">
        <f t="shared" ca="1" si="32"/>
        <v/>
      </c>
      <c r="G277" s="46" t="str">
        <f ca="1">IF(C277="","",IF(E277&lt;&gt;"Retorno",0,IF($G$20=Parâmetros!$D$2,Simulador!$O$10/$G$17,IF($G$20=Parâmetros!$D$3,PMT($O$25,$G$17,($O$10)*-1)-I277,""))))</f>
        <v/>
      </c>
      <c r="H277" s="46"/>
      <c r="I277" s="46" t="str">
        <f t="shared" ca="1" si="27"/>
        <v/>
      </c>
      <c r="J277" s="34"/>
      <c r="K277" s="46" t="str">
        <f t="shared" ca="1" si="33"/>
        <v/>
      </c>
      <c r="L277" s="46"/>
      <c r="M277" s="46" t="str">
        <f ca="1">IFERROR(IF(C277="","",IF($C$10=Parâmetros!$C$3,0,VLOOKUP(A277,'Base de Dados'!$E$3:$G$422,3,FALSE)*S277)),0)</f>
        <v/>
      </c>
      <c r="N277" s="34"/>
      <c r="O277" s="46" t="str">
        <f ca="1">IF(C277="","",IF(C278="",0,IF(E277="Construção",0,IF(E277="Seguro",$C$17*'Base de Dados'!$C$2,IF($C$14=Parâmetros!$B$4,0,Simulador!$C$17*'Base de Dados'!$C$2)))))</f>
        <v/>
      </c>
      <c r="P277" s="46"/>
      <c r="Q277" s="46" t="str">
        <f ca="1">IF(C277="","",IF(E277&lt;&gt;"Retorno",(I277+K277+M277),IF($G$20=Parâmetros!$D$2,SUM(G277,I277,K277,M277,O277),PMT($O$25,SUM($G$17),($O$10)*-1)+O277+M277+K277)))</f>
        <v/>
      </c>
      <c r="R277" s="46"/>
      <c r="S277" s="46" t="str">
        <f t="shared" ca="1" si="34"/>
        <v/>
      </c>
      <c r="U277" s="15" t="str">
        <f t="shared" ca="1" si="35"/>
        <v/>
      </c>
    </row>
    <row r="278" spans="1:21" x14ac:dyDescent="0.3">
      <c r="A278" s="49" t="str">
        <f t="shared" ca="1" si="28"/>
        <v/>
      </c>
      <c r="B278" s="49" t="str">
        <f t="shared" ca="1" si="29"/>
        <v/>
      </c>
      <c r="C278" s="81" t="str">
        <f t="shared" ca="1" si="30"/>
        <v/>
      </c>
      <c r="D278" s="34" t="str">
        <f t="shared" ca="1" si="31"/>
        <v/>
      </c>
      <c r="E278" s="4" t="str">
        <f t="shared" ca="1" si="32"/>
        <v/>
      </c>
      <c r="G278" s="46" t="str">
        <f ca="1">IF(C278="","",IF(E278&lt;&gt;"Retorno",0,IF($G$20=Parâmetros!$D$2,Simulador!$O$10/$G$17,IF($G$20=Parâmetros!$D$3,PMT($O$25,$G$17,($O$10)*-1)-I278,""))))</f>
        <v/>
      </c>
      <c r="H278" s="46"/>
      <c r="I278" s="46" t="str">
        <f t="shared" ca="1" si="27"/>
        <v/>
      </c>
      <c r="J278" s="34"/>
      <c r="K278" s="46" t="str">
        <f t="shared" ca="1" si="33"/>
        <v/>
      </c>
      <c r="L278" s="46"/>
      <c r="M278" s="46" t="str">
        <f ca="1">IFERROR(IF(C278="","",IF($C$10=Parâmetros!$C$3,0,VLOOKUP(A278,'Base de Dados'!$E$3:$G$422,3,FALSE)*S278)),0)</f>
        <v/>
      </c>
      <c r="N278" s="34"/>
      <c r="O278" s="46" t="str">
        <f ca="1">IF(C278="","",IF(C279="",0,IF(E278="Construção",0,IF(E278="Seguro",$C$17*'Base de Dados'!$C$2,IF($C$14=Parâmetros!$B$4,0,Simulador!$C$17*'Base de Dados'!$C$2)))))</f>
        <v/>
      </c>
      <c r="P278" s="46"/>
      <c r="Q278" s="46" t="str">
        <f ca="1">IF(C278="","",IF(E278&lt;&gt;"Retorno",(I278+K278+M278),IF($G$20=Parâmetros!$D$2,SUM(G278,I278,K278,M278,O278),PMT($O$25,SUM($G$17),($O$10)*-1)+O278+M278+K278)))</f>
        <v/>
      </c>
      <c r="R278" s="46"/>
      <c r="S278" s="46" t="str">
        <f t="shared" ca="1" si="34"/>
        <v/>
      </c>
      <c r="U278" s="15" t="str">
        <f t="shared" ca="1" si="35"/>
        <v/>
      </c>
    </row>
    <row r="279" spans="1:21" x14ac:dyDescent="0.3">
      <c r="A279" s="49" t="str">
        <f t="shared" ca="1" si="28"/>
        <v/>
      </c>
      <c r="B279" s="49" t="str">
        <f t="shared" ca="1" si="29"/>
        <v/>
      </c>
      <c r="C279" s="81" t="str">
        <f t="shared" ca="1" si="30"/>
        <v/>
      </c>
      <c r="D279" s="34" t="str">
        <f t="shared" ca="1" si="31"/>
        <v/>
      </c>
      <c r="E279" s="4" t="str">
        <f t="shared" ca="1" si="32"/>
        <v/>
      </c>
      <c r="G279" s="46" t="str">
        <f ca="1">IF(C279="","",IF(E279&lt;&gt;"Retorno",0,IF($G$20=Parâmetros!$D$2,Simulador!$O$10/$G$17,IF($G$20=Parâmetros!$D$3,PMT($O$25,$G$17,($O$10)*-1)-I279,""))))</f>
        <v/>
      </c>
      <c r="H279" s="46"/>
      <c r="I279" s="46" t="str">
        <f t="shared" ca="1" si="27"/>
        <v/>
      </c>
      <c r="J279" s="34"/>
      <c r="K279" s="46" t="str">
        <f t="shared" ca="1" si="33"/>
        <v/>
      </c>
      <c r="L279" s="46"/>
      <c r="M279" s="46" t="str">
        <f ca="1">IFERROR(IF(C279="","",IF($C$10=Parâmetros!$C$3,0,VLOOKUP(A279,'Base de Dados'!$E$3:$G$422,3,FALSE)*S279)),0)</f>
        <v/>
      </c>
      <c r="N279" s="34"/>
      <c r="O279" s="46" t="str">
        <f ca="1">IF(C279="","",IF(C280="",0,IF(E279="Construção",0,IF(E279="Seguro",$C$17*'Base de Dados'!$C$2,IF($C$14=Parâmetros!$B$4,0,Simulador!$C$17*'Base de Dados'!$C$2)))))</f>
        <v/>
      </c>
      <c r="P279" s="46"/>
      <c r="Q279" s="46" t="str">
        <f ca="1">IF(C279="","",IF(E279&lt;&gt;"Retorno",(I279+K279+M279),IF($G$20=Parâmetros!$D$2,SUM(G279,I279,K279,M279,O279),PMT($O$25,SUM($G$17),($O$10)*-1)+O279+M279+K279)))</f>
        <v/>
      </c>
      <c r="R279" s="46"/>
      <c r="S279" s="46" t="str">
        <f t="shared" ca="1" si="34"/>
        <v/>
      </c>
      <c r="U279" s="15" t="str">
        <f t="shared" ca="1" si="35"/>
        <v/>
      </c>
    </row>
    <row r="280" spans="1:21" x14ac:dyDescent="0.3">
      <c r="A280" s="49" t="str">
        <f t="shared" ca="1" si="28"/>
        <v/>
      </c>
      <c r="B280" s="49" t="str">
        <f t="shared" ca="1" si="29"/>
        <v/>
      </c>
      <c r="C280" s="81" t="str">
        <f t="shared" ca="1" si="30"/>
        <v/>
      </c>
      <c r="D280" s="34" t="str">
        <f t="shared" ca="1" si="31"/>
        <v/>
      </c>
      <c r="E280" s="4" t="str">
        <f t="shared" ca="1" si="32"/>
        <v/>
      </c>
      <c r="G280" s="46" t="str">
        <f ca="1">IF(C280="","",IF(E280&lt;&gt;"Retorno",0,IF($G$20=Parâmetros!$D$2,Simulador!$O$10/$G$17,IF($G$20=Parâmetros!$D$3,PMT($O$25,$G$17,($O$10)*-1)-I280,""))))</f>
        <v/>
      </c>
      <c r="H280" s="46"/>
      <c r="I280" s="46" t="str">
        <f t="shared" ca="1" si="27"/>
        <v/>
      </c>
      <c r="J280" s="34"/>
      <c r="K280" s="46" t="str">
        <f t="shared" ca="1" si="33"/>
        <v/>
      </c>
      <c r="L280" s="46"/>
      <c r="M280" s="46" t="str">
        <f ca="1">IFERROR(IF(C280="","",IF($C$10=Parâmetros!$C$3,0,VLOOKUP(A280,'Base de Dados'!$E$3:$G$422,3,FALSE)*S280)),0)</f>
        <v/>
      </c>
      <c r="N280" s="34"/>
      <c r="O280" s="46" t="str">
        <f ca="1">IF(C280="","",IF(C281="",0,IF(E280="Construção",0,IF(E280="Seguro",$C$17*'Base de Dados'!$C$2,IF($C$14=Parâmetros!$B$4,0,Simulador!$C$17*'Base de Dados'!$C$2)))))</f>
        <v/>
      </c>
      <c r="P280" s="46"/>
      <c r="Q280" s="46" t="str">
        <f ca="1">IF(C280="","",IF(E280&lt;&gt;"Retorno",(I280+K280+M280),IF($G$20=Parâmetros!$D$2,SUM(G280,I280,K280,M280,O280),PMT($O$25,SUM($G$17),($O$10)*-1)+O280+M280+K280)))</f>
        <v/>
      </c>
      <c r="R280" s="46"/>
      <c r="S280" s="46" t="str">
        <f t="shared" ca="1" si="34"/>
        <v/>
      </c>
      <c r="U280" s="15" t="str">
        <f t="shared" ca="1" si="35"/>
        <v/>
      </c>
    </row>
    <row r="281" spans="1:21" x14ac:dyDescent="0.3">
      <c r="A281" s="49" t="str">
        <f t="shared" ca="1" si="28"/>
        <v/>
      </c>
      <c r="B281" s="49" t="str">
        <f t="shared" ca="1" si="29"/>
        <v/>
      </c>
      <c r="C281" s="81" t="str">
        <f t="shared" ca="1" si="30"/>
        <v/>
      </c>
      <c r="D281" s="34" t="str">
        <f t="shared" ca="1" si="31"/>
        <v/>
      </c>
      <c r="E281" s="4" t="str">
        <f t="shared" ca="1" si="32"/>
        <v/>
      </c>
      <c r="G281" s="46" t="str">
        <f ca="1">IF(C281="","",IF(E281&lt;&gt;"Retorno",0,IF($G$20=Parâmetros!$D$2,Simulador!$O$10/$G$17,IF($G$20=Parâmetros!$D$3,PMT($O$25,$G$17,($O$10)*-1)-I281,""))))</f>
        <v/>
      </c>
      <c r="H281" s="46"/>
      <c r="I281" s="46" t="str">
        <f t="shared" ca="1" si="27"/>
        <v/>
      </c>
      <c r="J281" s="34"/>
      <c r="K281" s="46" t="str">
        <f t="shared" ca="1" si="33"/>
        <v/>
      </c>
      <c r="L281" s="46"/>
      <c r="M281" s="46" t="str">
        <f ca="1">IFERROR(IF(C281="","",IF($C$10=Parâmetros!$C$3,0,VLOOKUP(A281,'Base de Dados'!$E$3:$G$422,3,FALSE)*S281)),0)</f>
        <v/>
      </c>
      <c r="N281" s="34"/>
      <c r="O281" s="46" t="str">
        <f ca="1">IF(C281="","",IF(C282="",0,IF(E281="Construção",0,IF(E281="Seguro",$C$17*'Base de Dados'!$C$2,IF($C$14=Parâmetros!$B$4,0,Simulador!$C$17*'Base de Dados'!$C$2)))))</f>
        <v/>
      </c>
      <c r="P281" s="46"/>
      <c r="Q281" s="46" t="str">
        <f ca="1">IF(C281="","",IF(E281&lt;&gt;"Retorno",(I281+K281+M281),IF($G$20=Parâmetros!$D$2,SUM(G281,I281,K281,M281,O281),PMT($O$25,SUM($G$17),($O$10)*-1)+O281+M281+K281)))</f>
        <v/>
      </c>
      <c r="R281" s="46"/>
      <c r="S281" s="46" t="str">
        <f t="shared" ca="1" si="34"/>
        <v/>
      </c>
      <c r="U281" s="15" t="str">
        <f t="shared" ca="1" si="35"/>
        <v/>
      </c>
    </row>
    <row r="282" spans="1:21" x14ac:dyDescent="0.3">
      <c r="A282" s="49" t="str">
        <f t="shared" ca="1" si="28"/>
        <v/>
      </c>
      <c r="B282" s="49" t="str">
        <f t="shared" ca="1" si="29"/>
        <v/>
      </c>
      <c r="C282" s="81" t="str">
        <f t="shared" ca="1" si="30"/>
        <v/>
      </c>
      <c r="D282" s="34" t="str">
        <f t="shared" ca="1" si="31"/>
        <v/>
      </c>
      <c r="E282" s="4" t="str">
        <f t="shared" ca="1" si="32"/>
        <v/>
      </c>
      <c r="G282" s="46" t="str">
        <f ca="1">IF(C282="","",IF(E282&lt;&gt;"Retorno",0,IF($G$20=Parâmetros!$D$2,Simulador!$O$10/$G$17,IF($G$20=Parâmetros!$D$3,PMT($O$25,$G$17,($O$10)*-1)-I282,""))))</f>
        <v/>
      </c>
      <c r="H282" s="46"/>
      <c r="I282" s="46" t="str">
        <f t="shared" ca="1" si="27"/>
        <v/>
      </c>
      <c r="J282" s="34"/>
      <c r="K282" s="46" t="str">
        <f t="shared" ca="1" si="33"/>
        <v/>
      </c>
      <c r="L282" s="46"/>
      <c r="M282" s="46" t="str">
        <f ca="1">IFERROR(IF(C282="","",IF($C$10=Parâmetros!$C$3,0,VLOOKUP(A282,'Base de Dados'!$E$3:$G$422,3,FALSE)*S282)),0)</f>
        <v/>
      </c>
      <c r="N282" s="34"/>
      <c r="O282" s="46" t="str">
        <f ca="1">IF(C282="","",IF(C283="",0,IF(E282="Construção",0,IF(E282="Seguro",$C$17*'Base de Dados'!$C$2,IF($C$14=Parâmetros!$B$4,0,Simulador!$C$17*'Base de Dados'!$C$2)))))</f>
        <v/>
      </c>
      <c r="P282" s="46"/>
      <c r="Q282" s="46" t="str">
        <f ca="1">IF(C282="","",IF(E282&lt;&gt;"Retorno",(I282+K282+M282),IF($G$20=Parâmetros!$D$2,SUM(G282,I282,K282,M282,O282),PMT($O$25,SUM($G$17),($O$10)*-1)+O282+M282+K282)))</f>
        <v/>
      </c>
      <c r="R282" s="46"/>
      <c r="S282" s="46" t="str">
        <f t="shared" ca="1" si="34"/>
        <v/>
      </c>
      <c r="U282" s="15" t="str">
        <f t="shared" ca="1" si="35"/>
        <v/>
      </c>
    </row>
    <row r="283" spans="1:21" x14ac:dyDescent="0.3">
      <c r="A283" s="49" t="str">
        <f t="shared" ca="1" si="28"/>
        <v/>
      </c>
      <c r="B283" s="49" t="str">
        <f t="shared" ca="1" si="29"/>
        <v/>
      </c>
      <c r="C283" s="81" t="str">
        <f t="shared" ca="1" si="30"/>
        <v/>
      </c>
      <c r="D283" s="34" t="str">
        <f t="shared" ca="1" si="31"/>
        <v/>
      </c>
      <c r="E283" s="4" t="str">
        <f t="shared" ca="1" si="32"/>
        <v/>
      </c>
      <c r="G283" s="46" t="str">
        <f ca="1">IF(C283="","",IF(E283&lt;&gt;"Retorno",0,IF($G$20=Parâmetros!$D$2,Simulador!$O$10/$G$17,IF($G$20=Parâmetros!$D$3,PMT($O$25,$G$17,($O$10)*-1)-I283,""))))</f>
        <v/>
      </c>
      <c r="H283" s="46"/>
      <c r="I283" s="46" t="str">
        <f t="shared" ca="1" si="27"/>
        <v/>
      </c>
      <c r="J283" s="34"/>
      <c r="K283" s="46" t="str">
        <f t="shared" ca="1" si="33"/>
        <v/>
      </c>
      <c r="L283" s="46"/>
      <c r="M283" s="46" t="str">
        <f ca="1">IFERROR(IF(C283="","",IF($C$10=Parâmetros!$C$3,0,VLOOKUP(A283,'Base de Dados'!$E$3:$G$422,3,FALSE)*S283)),0)</f>
        <v/>
      </c>
      <c r="N283" s="34"/>
      <c r="O283" s="46" t="str">
        <f ca="1">IF(C283="","",IF(C284="",0,IF(E283="Construção",0,IF(E283="Seguro",$C$17*'Base de Dados'!$C$2,IF($C$14=Parâmetros!$B$4,0,Simulador!$C$17*'Base de Dados'!$C$2)))))</f>
        <v/>
      </c>
      <c r="P283" s="46"/>
      <c r="Q283" s="46" t="str">
        <f ca="1">IF(C283="","",IF(E283&lt;&gt;"Retorno",(I283+K283+M283),IF($G$20=Parâmetros!$D$2,SUM(G283,I283,K283,M283,O283),PMT($O$25,SUM($G$17),($O$10)*-1)+O283+M283+K283)))</f>
        <v/>
      </c>
      <c r="R283" s="46"/>
      <c r="S283" s="46" t="str">
        <f t="shared" ca="1" si="34"/>
        <v/>
      </c>
      <c r="U283" s="15" t="str">
        <f t="shared" ca="1" si="35"/>
        <v/>
      </c>
    </row>
    <row r="284" spans="1:21" x14ac:dyDescent="0.3">
      <c r="A284" s="49" t="str">
        <f t="shared" ca="1" si="28"/>
        <v/>
      </c>
      <c r="B284" s="49" t="str">
        <f t="shared" ca="1" si="29"/>
        <v/>
      </c>
      <c r="C284" s="81" t="str">
        <f t="shared" ca="1" si="30"/>
        <v/>
      </c>
      <c r="D284" s="34" t="str">
        <f t="shared" ca="1" si="31"/>
        <v/>
      </c>
      <c r="E284" s="4" t="str">
        <f t="shared" ca="1" si="32"/>
        <v/>
      </c>
      <c r="G284" s="46" t="str">
        <f ca="1">IF(C284="","",IF(E284&lt;&gt;"Retorno",0,IF($G$20=Parâmetros!$D$2,Simulador!$O$10/$G$17,IF($G$20=Parâmetros!$D$3,PMT($O$25,$G$17,($O$10)*-1)-I284,""))))</f>
        <v/>
      </c>
      <c r="H284" s="46"/>
      <c r="I284" s="46" t="str">
        <f t="shared" ca="1" si="27"/>
        <v/>
      </c>
      <c r="J284" s="34"/>
      <c r="K284" s="46" t="str">
        <f t="shared" ca="1" si="33"/>
        <v/>
      </c>
      <c r="L284" s="46"/>
      <c r="M284" s="46" t="str">
        <f ca="1">IFERROR(IF(C284="","",IF($C$10=Parâmetros!$C$3,0,VLOOKUP(A284,'Base de Dados'!$E$3:$G$422,3,FALSE)*S284)),0)</f>
        <v/>
      </c>
      <c r="N284" s="34"/>
      <c r="O284" s="46" t="str">
        <f ca="1">IF(C284="","",IF(C285="",0,IF(E284="Construção",0,IF(E284="Seguro",$C$17*'Base de Dados'!$C$2,IF($C$14=Parâmetros!$B$4,0,Simulador!$C$17*'Base de Dados'!$C$2)))))</f>
        <v/>
      </c>
      <c r="P284" s="46"/>
      <c r="Q284" s="46" t="str">
        <f ca="1">IF(C284="","",IF(E284&lt;&gt;"Retorno",(I284+K284+M284),IF($G$20=Parâmetros!$D$2,SUM(G284,I284,K284,M284,O284),PMT($O$25,SUM($G$17),($O$10)*-1)+O284+M284+K284)))</f>
        <v/>
      </c>
      <c r="R284" s="46"/>
      <c r="S284" s="46" t="str">
        <f t="shared" ca="1" si="34"/>
        <v/>
      </c>
      <c r="U284" s="15" t="str">
        <f t="shared" ca="1" si="35"/>
        <v/>
      </c>
    </row>
    <row r="285" spans="1:21" x14ac:dyDescent="0.3">
      <c r="A285" s="49" t="str">
        <f t="shared" ca="1" si="28"/>
        <v/>
      </c>
      <c r="B285" s="49" t="str">
        <f t="shared" ca="1" si="29"/>
        <v/>
      </c>
      <c r="C285" s="81" t="str">
        <f t="shared" ca="1" si="30"/>
        <v/>
      </c>
      <c r="D285" s="34" t="str">
        <f t="shared" ca="1" si="31"/>
        <v/>
      </c>
      <c r="E285" s="4" t="str">
        <f t="shared" ca="1" si="32"/>
        <v/>
      </c>
      <c r="G285" s="46" t="str">
        <f ca="1">IF(C285="","",IF(E285&lt;&gt;"Retorno",0,IF($G$20=Parâmetros!$D$2,Simulador!$O$10/$G$17,IF($G$20=Parâmetros!$D$3,PMT($O$25,$G$17,($O$10)*-1)-I285,""))))</f>
        <v/>
      </c>
      <c r="H285" s="46"/>
      <c r="I285" s="46" t="str">
        <f t="shared" ca="1" si="27"/>
        <v/>
      </c>
      <c r="J285" s="34"/>
      <c r="K285" s="46" t="str">
        <f t="shared" ca="1" si="33"/>
        <v/>
      </c>
      <c r="L285" s="46"/>
      <c r="M285" s="46" t="str">
        <f ca="1">IFERROR(IF(C285="","",IF($C$10=Parâmetros!$C$3,0,VLOOKUP(A285,'Base de Dados'!$E$3:$G$422,3,FALSE)*S285)),0)</f>
        <v/>
      </c>
      <c r="N285" s="34"/>
      <c r="O285" s="46" t="str">
        <f ca="1">IF(C285="","",IF(C286="",0,IF(E285="Construção",0,IF(E285="Seguro",$C$17*'Base de Dados'!$C$2,IF($C$14=Parâmetros!$B$4,0,Simulador!$C$17*'Base de Dados'!$C$2)))))</f>
        <v/>
      </c>
      <c r="P285" s="46"/>
      <c r="Q285" s="46" t="str">
        <f ca="1">IF(C285="","",IF(E285&lt;&gt;"Retorno",(I285+K285+M285),IF($G$20=Parâmetros!$D$2,SUM(G285,I285,K285,M285,O285),PMT($O$25,SUM($G$17),($O$10)*-1)+O285+M285+K285)))</f>
        <v/>
      </c>
      <c r="R285" s="46"/>
      <c r="S285" s="46" t="str">
        <f t="shared" ca="1" si="34"/>
        <v/>
      </c>
      <c r="U285" s="15" t="str">
        <f t="shared" ca="1" si="35"/>
        <v/>
      </c>
    </row>
    <row r="286" spans="1:21" x14ac:dyDescent="0.3">
      <c r="A286" s="49" t="str">
        <f t="shared" ca="1" si="28"/>
        <v/>
      </c>
      <c r="B286" s="49" t="str">
        <f t="shared" ca="1" si="29"/>
        <v/>
      </c>
      <c r="C286" s="81" t="str">
        <f t="shared" ca="1" si="30"/>
        <v/>
      </c>
      <c r="D286" s="34" t="str">
        <f t="shared" ca="1" si="31"/>
        <v/>
      </c>
      <c r="E286" s="4" t="str">
        <f t="shared" ca="1" si="32"/>
        <v/>
      </c>
      <c r="G286" s="46" t="str">
        <f ca="1">IF(C286="","",IF(E286&lt;&gt;"Retorno",0,IF($G$20=Parâmetros!$D$2,Simulador!$O$10/$G$17,IF($G$20=Parâmetros!$D$3,PMT($O$25,$G$17,($O$10)*-1)-I286,""))))</f>
        <v/>
      </c>
      <c r="H286" s="46"/>
      <c r="I286" s="46" t="str">
        <f t="shared" ca="1" si="27"/>
        <v/>
      </c>
      <c r="J286" s="34"/>
      <c r="K286" s="46" t="str">
        <f t="shared" ca="1" si="33"/>
        <v/>
      </c>
      <c r="L286" s="46"/>
      <c r="M286" s="46" t="str">
        <f ca="1">IFERROR(IF(C286="","",IF($C$10=Parâmetros!$C$3,0,VLOOKUP(A286,'Base de Dados'!$E$3:$G$422,3,FALSE)*S286)),0)</f>
        <v/>
      </c>
      <c r="N286" s="34"/>
      <c r="O286" s="46" t="str">
        <f ca="1">IF(C286="","",IF(C287="",0,IF(E286="Construção",0,IF(E286="Seguro",$C$17*'Base de Dados'!$C$2,IF($C$14=Parâmetros!$B$4,0,Simulador!$C$17*'Base de Dados'!$C$2)))))</f>
        <v/>
      </c>
      <c r="P286" s="46"/>
      <c r="Q286" s="46" t="str">
        <f ca="1">IF(C286="","",IF(E286&lt;&gt;"Retorno",(I286+K286+M286),IF($G$20=Parâmetros!$D$2,SUM(G286,I286,K286,M286,O286),PMT($O$25,SUM($G$17),($O$10)*-1)+O286+M286+K286)))</f>
        <v/>
      </c>
      <c r="R286" s="46"/>
      <c r="S286" s="46" t="str">
        <f t="shared" ca="1" si="34"/>
        <v/>
      </c>
      <c r="U286" s="15" t="str">
        <f t="shared" ca="1" si="35"/>
        <v/>
      </c>
    </row>
    <row r="287" spans="1:21" x14ac:dyDescent="0.3">
      <c r="A287" s="49" t="str">
        <f t="shared" ca="1" si="28"/>
        <v/>
      </c>
      <c r="B287" s="49" t="str">
        <f t="shared" ca="1" si="29"/>
        <v/>
      </c>
      <c r="C287" s="81" t="str">
        <f t="shared" ca="1" si="30"/>
        <v/>
      </c>
      <c r="D287" s="34" t="str">
        <f t="shared" ca="1" si="31"/>
        <v/>
      </c>
      <c r="E287" s="4" t="str">
        <f t="shared" ca="1" si="32"/>
        <v/>
      </c>
      <c r="G287" s="46" t="str">
        <f ca="1">IF(C287="","",IF(E287&lt;&gt;"Retorno",0,IF($G$20=Parâmetros!$D$2,Simulador!$O$10/$G$17,IF($G$20=Parâmetros!$D$3,PMT($O$25,$G$17,($O$10)*-1)-I287,""))))</f>
        <v/>
      </c>
      <c r="H287" s="46"/>
      <c r="I287" s="46" t="str">
        <f t="shared" ca="1" si="27"/>
        <v/>
      </c>
      <c r="J287" s="34"/>
      <c r="K287" s="46" t="str">
        <f t="shared" ca="1" si="33"/>
        <v/>
      </c>
      <c r="L287" s="46"/>
      <c r="M287" s="46" t="str">
        <f ca="1">IFERROR(IF(C287="","",IF($C$10=Parâmetros!$C$3,0,VLOOKUP(A287,'Base de Dados'!$E$3:$G$422,3,FALSE)*S287)),0)</f>
        <v/>
      </c>
      <c r="N287" s="34"/>
      <c r="O287" s="46" t="str">
        <f ca="1">IF(C287="","",IF(C288="",0,IF(E287="Construção",0,IF(E287="Seguro",$C$17*'Base de Dados'!$C$2,IF($C$14=Parâmetros!$B$4,0,Simulador!$C$17*'Base de Dados'!$C$2)))))</f>
        <v/>
      </c>
      <c r="P287" s="46"/>
      <c r="Q287" s="46" t="str">
        <f ca="1">IF(C287="","",IF(E287&lt;&gt;"Retorno",(I287+K287+M287),IF($G$20=Parâmetros!$D$2,SUM(G287,I287,K287,M287,O287),PMT($O$25,SUM($G$17),($O$10)*-1)+O287+M287+K287)))</f>
        <v/>
      </c>
      <c r="R287" s="46"/>
      <c r="S287" s="46" t="str">
        <f t="shared" ca="1" si="34"/>
        <v/>
      </c>
      <c r="U287" s="15" t="str">
        <f t="shared" ca="1" si="35"/>
        <v/>
      </c>
    </row>
    <row r="288" spans="1:21" x14ac:dyDescent="0.3">
      <c r="A288" s="49" t="str">
        <f t="shared" ca="1" si="28"/>
        <v/>
      </c>
      <c r="B288" s="49" t="str">
        <f t="shared" ca="1" si="29"/>
        <v/>
      </c>
      <c r="C288" s="81" t="str">
        <f t="shared" ca="1" si="30"/>
        <v/>
      </c>
      <c r="D288" s="34" t="str">
        <f t="shared" ca="1" si="31"/>
        <v/>
      </c>
      <c r="E288" s="4" t="str">
        <f t="shared" ca="1" si="32"/>
        <v/>
      </c>
      <c r="G288" s="46" t="str">
        <f ca="1">IF(C288="","",IF(E288&lt;&gt;"Retorno",0,IF($G$20=Parâmetros!$D$2,Simulador!$O$10/$G$17,IF($G$20=Parâmetros!$D$3,PMT($O$25,$G$17,($O$10)*-1)-I288,""))))</f>
        <v/>
      </c>
      <c r="H288" s="46"/>
      <c r="I288" s="46" t="str">
        <f t="shared" ca="1" si="27"/>
        <v/>
      </c>
      <c r="J288" s="34"/>
      <c r="K288" s="46" t="str">
        <f t="shared" ca="1" si="33"/>
        <v/>
      </c>
      <c r="L288" s="46"/>
      <c r="M288" s="46" t="str">
        <f ca="1">IFERROR(IF(C288="","",IF($C$10=Parâmetros!$C$3,0,VLOOKUP(A288,'Base de Dados'!$E$3:$G$422,3,FALSE)*S288)),0)</f>
        <v/>
      </c>
      <c r="N288" s="34"/>
      <c r="O288" s="46" t="str">
        <f ca="1">IF(C288="","",IF(C289="",0,IF(E288="Construção",0,IF(E288="Seguro",$C$17*'Base de Dados'!$C$2,IF($C$14=Parâmetros!$B$4,0,Simulador!$C$17*'Base de Dados'!$C$2)))))</f>
        <v/>
      </c>
      <c r="P288" s="46"/>
      <c r="Q288" s="46" t="str">
        <f ca="1">IF(C288="","",IF(E288&lt;&gt;"Retorno",(I288+K288+M288),IF($G$20=Parâmetros!$D$2,SUM(G288,I288,K288,M288,O288),PMT($O$25,SUM($G$17),($O$10)*-1)+O288+M288+K288)))</f>
        <v/>
      </c>
      <c r="R288" s="46"/>
      <c r="S288" s="46" t="str">
        <f t="shared" ca="1" si="34"/>
        <v/>
      </c>
      <c r="U288" s="15" t="str">
        <f t="shared" ca="1" si="35"/>
        <v/>
      </c>
    </row>
    <row r="289" spans="1:21" x14ac:dyDescent="0.3">
      <c r="A289" s="49" t="str">
        <f t="shared" ca="1" si="28"/>
        <v/>
      </c>
      <c r="B289" s="49" t="str">
        <f t="shared" ca="1" si="29"/>
        <v/>
      </c>
      <c r="C289" s="81" t="str">
        <f t="shared" ca="1" si="30"/>
        <v/>
      </c>
      <c r="D289" s="34" t="str">
        <f t="shared" ca="1" si="31"/>
        <v/>
      </c>
      <c r="E289" s="4" t="str">
        <f t="shared" ca="1" si="32"/>
        <v/>
      </c>
      <c r="G289" s="46" t="str">
        <f ca="1">IF(C289="","",IF(E289&lt;&gt;"Retorno",0,IF($G$20=Parâmetros!$D$2,Simulador!$O$10/$G$17,IF($G$20=Parâmetros!$D$3,PMT($O$25,$G$17,($O$10)*-1)-I289,""))))</f>
        <v/>
      </c>
      <c r="H289" s="46"/>
      <c r="I289" s="46" t="str">
        <f t="shared" ca="1" si="27"/>
        <v/>
      </c>
      <c r="J289" s="34"/>
      <c r="K289" s="46" t="str">
        <f t="shared" ca="1" si="33"/>
        <v/>
      </c>
      <c r="L289" s="46"/>
      <c r="M289" s="46" t="str">
        <f ca="1">IFERROR(IF(C289="","",IF($C$10=Parâmetros!$C$3,0,VLOOKUP(A289,'Base de Dados'!$E$3:$G$422,3,FALSE)*S289)),0)</f>
        <v/>
      </c>
      <c r="N289" s="34"/>
      <c r="O289" s="46" t="str">
        <f ca="1">IF(C289="","",IF(C290="",0,IF(E289="Construção",0,IF(E289="Seguro",$C$17*'Base de Dados'!$C$2,IF($C$14=Parâmetros!$B$4,0,Simulador!$C$17*'Base de Dados'!$C$2)))))</f>
        <v/>
      </c>
      <c r="P289" s="46"/>
      <c r="Q289" s="46" t="str">
        <f ca="1">IF(C289="","",IF(E289&lt;&gt;"Retorno",(I289+K289+M289),IF($G$20=Parâmetros!$D$2,SUM(G289,I289,K289,M289,O289),PMT($O$25,SUM($G$17),($O$10)*-1)+O289+M289+K289)))</f>
        <v/>
      </c>
      <c r="R289" s="46"/>
      <c r="S289" s="46" t="str">
        <f t="shared" ca="1" si="34"/>
        <v/>
      </c>
      <c r="U289" s="15" t="str">
        <f t="shared" ca="1" si="35"/>
        <v/>
      </c>
    </row>
    <row r="290" spans="1:21" x14ac:dyDescent="0.3">
      <c r="A290" s="49" t="str">
        <f t="shared" ca="1" si="28"/>
        <v/>
      </c>
      <c r="B290" s="49" t="str">
        <f t="shared" ca="1" si="29"/>
        <v/>
      </c>
      <c r="C290" s="81" t="str">
        <f t="shared" ca="1" si="30"/>
        <v/>
      </c>
      <c r="D290" s="34" t="str">
        <f t="shared" ca="1" si="31"/>
        <v/>
      </c>
      <c r="E290" s="4" t="str">
        <f t="shared" ca="1" si="32"/>
        <v/>
      </c>
      <c r="G290" s="46" t="str">
        <f ca="1">IF(C290="","",IF(E290&lt;&gt;"Retorno",0,IF($G$20=Parâmetros!$D$2,Simulador!$O$10/$G$17,IF($G$20=Parâmetros!$D$3,PMT($O$25,$G$17,($O$10)*-1)-I290,""))))</f>
        <v/>
      </c>
      <c r="H290" s="46"/>
      <c r="I290" s="46" t="str">
        <f t="shared" ref="I290:I353" ca="1" si="36">IFERROR(IF(C290="","",FV($O$25,1,,-S289,0)-S289),"")</f>
        <v/>
      </c>
      <c r="J290" s="34"/>
      <c r="K290" s="46" t="str">
        <f t="shared" ca="1" si="33"/>
        <v/>
      </c>
      <c r="L290" s="46"/>
      <c r="M290" s="46" t="str">
        <f ca="1">IFERROR(IF(C290="","",IF($C$10=Parâmetros!$C$3,0,VLOOKUP(A290,'Base de Dados'!$E$3:$G$422,3,FALSE)*S290)),0)</f>
        <v/>
      </c>
      <c r="N290" s="34"/>
      <c r="O290" s="46" t="str">
        <f ca="1">IF(C290="","",IF(C291="",0,IF(E290="Construção",0,IF(E290="Seguro",$C$17*'Base de Dados'!$C$2,IF($C$14=Parâmetros!$B$4,0,Simulador!$C$17*'Base de Dados'!$C$2)))))</f>
        <v/>
      </c>
      <c r="P290" s="46"/>
      <c r="Q290" s="46" t="str">
        <f ca="1">IF(C290="","",IF(E290&lt;&gt;"Retorno",(I290+K290+M290),IF($G$20=Parâmetros!$D$2,SUM(G290,I290,K290,M290,O290),PMT($O$25,SUM($G$17),($O$10)*-1)+O290+M290+K290)))</f>
        <v/>
      </c>
      <c r="R290" s="46"/>
      <c r="S290" s="46" t="str">
        <f t="shared" ca="1" si="34"/>
        <v/>
      </c>
      <c r="U290" s="15" t="str">
        <f t="shared" ca="1" si="35"/>
        <v/>
      </c>
    </row>
    <row r="291" spans="1:21" x14ac:dyDescent="0.3">
      <c r="A291" s="49" t="str">
        <f t="shared" ref="A291:A354" ca="1" si="37">IF(C291="","",IF(C290&gt;$G$17,0,EDATE(A290,1)))</f>
        <v/>
      </c>
      <c r="B291" s="49" t="str">
        <f t="shared" ref="B291:B354" ca="1" si="38">IF(AND(E291="Retorno",E290&lt;&gt;"Retorno"),"Primeira",IF(AND(E291="Retorno",E290=""),"Primeira",""))</f>
        <v/>
      </c>
      <c r="C291" s="81" t="str">
        <f t="shared" ref="C291:C354" ca="1" si="39">IF(OR(C290&gt;=$K$19,C290=""),"",C290+1)</f>
        <v/>
      </c>
      <c r="D291" s="34" t="str">
        <f t="shared" ref="D291:D354" ca="1" si="40">C291</f>
        <v/>
      </c>
      <c r="E291" s="4" t="str">
        <f t="shared" ref="E291:E354" ca="1" si="41">IF(C291="","","Retorno")</f>
        <v/>
      </c>
      <c r="G291" s="46" t="str">
        <f ca="1">IF(C291="","",IF(E291&lt;&gt;"Retorno",0,IF($G$20=Parâmetros!$D$2,Simulador!$O$10/$G$17,IF($G$20=Parâmetros!$D$3,PMT($O$25,$G$17,($O$10)*-1)-I291,""))))</f>
        <v/>
      </c>
      <c r="H291" s="46"/>
      <c r="I291" s="46" t="str">
        <f t="shared" ca="1" si="36"/>
        <v/>
      </c>
      <c r="J291" s="34"/>
      <c r="K291" s="46" t="str">
        <f t="shared" ref="K291:K354" ca="1" si="42">IF(C291="","",IF(AND($O$23&lt;12.01%,$C$17&lt;2250000.01),25,0))</f>
        <v/>
      </c>
      <c r="L291" s="46"/>
      <c r="M291" s="46" t="str">
        <f ca="1">IFERROR(IF(C291="","",IF($C$10=Parâmetros!$C$3,0,VLOOKUP(A291,'Base de Dados'!$E$3:$G$422,3,FALSE)*S291)),0)</f>
        <v/>
      </c>
      <c r="N291" s="34"/>
      <c r="O291" s="46" t="str">
        <f ca="1">IF(C291="","",IF(C292="",0,IF(E291="Construção",0,IF(E291="Seguro",$C$17*'Base de Dados'!$C$2,IF($C$14=Parâmetros!$B$4,0,Simulador!$C$17*'Base de Dados'!$C$2)))))</f>
        <v/>
      </c>
      <c r="P291" s="46"/>
      <c r="Q291" s="46" t="str">
        <f ca="1">IF(C291="","",IF(E291&lt;&gt;"Retorno",(I291+K291+M291),IF($G$20=Parâmetros!$D$2,SUM(G291,I291,K291,M291,O291),PMT($O$25,SUM($G$17),($O$10)*-1)+O291+M291+K291)))</f>
        <v/>
      </c>
      <c r="R291" s="46"/>
      <c r="S291" s="46" t="str">
        <f t="shared" ref="S291:S354" ca="1" si="43">IF(E291="Construção",S290+(U291*-1),IF(E291="Carência",S290,IF(E291="Retorno",S290-G291,"")))</f>
        <v/>
      </c>
      <c r="U291" s="15" t="str">
        <f t="shared" ref="U291:U354" ca="1" si="44">IF(E291="Construção",(($O$10+$U$33)/$K$10)*-1,"")</f>
        <v/>
      </c>
    </row>
    <row r="292" spans="1:21" x14ac:dyDescent="0.3">
      <c r="A292" s="49" t="str">
        <f t="shared" ca="1" si="37"/>
        <v/>
      </c>
      <c r="B292" s="49" t="str">
        <f t="shared" ca="1" si="38"/>
        <v/>
      </c>
      <c r="C292" s="81" t="str">
        <f t="shared" ca="1" si="39"/>
        <v/>
      </c>
      <c r="D292" s="34" t="str">
        <f t="shared" ca="1" si="40"/>
        <v/>
      </c>
      <c r="E292" s="4" t="str">
        <f t="shared" ca="1" si="41"/>
        <v/>
      </c>
      <c r="G292" s="46" t="str">
        <f ca="1">IF(C292="","",IF(E292&lt;&gt;"Retorno",0,IF($G$20=Parâmetros!$D$2,Simulador!$O$10/$G$17,IF($G$20=Parâmetros!$D$3,PMT($O$25,$G$17,($O$10)*-1)-I292,""))))</f>
        <v/>
      </c>
      <c r="H292" s="46"/>
      <c r="I292" s="46" t="str">
        <f t="shared" ca="1" si="36"/>
        <v/>
      </c>
      <c r="J292" s="34"/>
      <c r="K292" s="46" t="str">
        <f t="shared" ca="1" si="42"/>
        <v/>
      </c>
      <c r="L292" s="46"/>
      <c r="M292" s="46" t="str">
        <f ca="1">IFERROR(IF(C292="","",IF($C$10=Parâmetros!$C$3,0,VLOOKUP(A292,'Base de Dados'!$E$3:$G$422,3,FALSE)*S292)),0)</f>
        <v/>
      </c>
      <c r="N292" s="34"/>
      <c r="O292" s="46" t="str">
        <f ca="1">IF(C292="","",IF(C293="",0,IF(E292="Construção",0,IF(E292="Seguro",$C$17*'Base de Dados'!$C$2,IF($C$14=Parâmetros!$B$4,0,Simulador!$C$17*'Base de Dados'!$C$2)))))</f>
        <v/>
      </c>
      <c r="P292" s="46"/>
      <c r="Q292" s="46" t="str">
        <f ca="1">IF(C292="","",IF(E292&lt;&gt;"Retorno",(I292+K292+M292),IF($G$20=Parâmetros!$D$2,SUM(G292,I292,K292,M292,O292),PMT($O$25,SUM($G$17),($O$10)*-1)+O292+M292+K292)))</f>
        <v/>
      </c>
      <c r="R292" s="46"/>
      <c r="S292" s="46" t="str">
        <f t="shared" ca="1" si="43"/>
        <v/>
      </c>
      <c r="U292" s="15" t="str">
        <f t="shared" ca="1" si="44"/>
        <v/>
      </c>
    </row>
    <row r="293" spans="1:21" x14ac:dyDescent="0.3">
      <c r="A293" s="49" t="str">
        <f t="shared" ca="1" si="37"/>
        <v/>
      </c>
      <c r="B293" s="49" t="str">
        <f t="shared" ca="1" si="38"/>
        <v/>
      </c>
      <c r="C293" s="81" t="str">
        <f t="shared" ca="1" si="39"/>
        <v/>
      </c>
      <c r="D293" s="34" t="str">
        <f t="shared" ca="1" si="40"/>
        <v/>
      </c>
      <c r="E293" s="4" t="str">
        <f t="shared" ca="1" si="41"/>
        <v/>
      </c>
      <c r="G293" s="46" t="str">
        <f ca="1">IF(C293="","",IF(E293&lt;&gt;"Retorno",0,IF($G$20=Parâmetros!$D$2,Simulador!$O$10/$G$17,IF($G$20=Parâmetros!$D$3,PMT($O$25,$G$17,($O$10)*-1)-I293,""))))</f>
        <v/>
      </c>
      <c r="H293" s="46"/>
      <c r="I293" s="46" t="str">
        <f t="shared" ca="1" si="36"/>
        <v/>
      </c>
      <c r="J293" s="34"/>
      <c r="K293" s="46" t="str">
        <f t="shared" ca="1" si="42"/>
        <v/>
      </c>
      <c r="L293" s="46"/>
      <c r="M293" s="46" t="str">
        <f ca="1">IFERROR(IF(C293="","",IF($C$10=Parâmetros!$C$3,0,VLOOKUP(A293,'Base de Dados'!$E$3:$G$422,3,FALSE)*S293)),0)</f>
        <v/>
      </c>
      <c r="N293" s="34"/>
      <c r="O293" s="46" t="str">
        <f ca="1">IF(C293="","",IF(C294="",0,IF(E293="Construção",0,IF(E293="Seguro",$C$17*'Base de Dados'!$C$2,IF($C$14=Parâmetros!$B$4,0,Simulador!$C$17*'Base de Dados'!$C$2)))))</f>
        <v/>
      </c>
      <c r="P293" s="46"/>
      <c r="Q293" s="46" t="str">
        <f ca="1">IF(C293="","",IF(E293&lt;&gt;"Retorno",(I293+K293+M293),IF($G$20=Parâmetros!$D$2,SUM(G293,I293,K293,M293,O293),PMT($O$25,SUM($G$17),($O$10)*-1)+O293+M293+K293)))</f>
        <v/>
      </c>
      <c r="R293" s="46"/>
      <c r="S293" s="46" t="str">
        <f t="shared" ca="1" si="43"/>
        <v/>
      </c>
      <c r="U293" s="15" t="str">
        <f t="shared" ca="1" si="44"/>
        <v/>
      </c>
    </row>
    <row r="294" spans="1:21" x14ac:dyDescent="0.3">
      <c r="A294" s="49" t="str">
        <f t="shared" ca="1" si="37"/>
        <v/>
      </c>
      <c r="B294" s="49" t="str">
        <f t="shared" ca="1" si="38"/>
        <v/>
      </c>
      <c r="C294" s="81" t="str">
        <f t="shared" ca="1" si="39"/>
        <v/>
      </c>
      <c r="D294" s="34" t="str">
        <f t="shared" ca="1" si="40"/>
        <v/>
      </c>
      <c r="E294" s="4" t="str">
        <f t="shared" ca="1" si="41"/>
        <v/>
      </c>
      <c r="G294" s="46" t="str">
        <f ca="1">IF(C294="","",IF(E294&lt;&gt;"Retorno",0,IF($G$20=Parâmetros!$D$2,Simulador!$O$10/$G$17,IF($G$20=Parâmetros!$D$3,PMT($O$25,$G$17,($O$10)*-1)-I294,""))))</f>
        <v/>
      </c>
      <c r="H294" s="46"/>
      <c r="I294" s="46" t="str">
        <f t="shared" ca="1" si="36"/>
        <v/>
      </c>
      <c r="J294" s="34"/>
      <c r="K294" s="46" t="str">
        <f t="shared" ca="1" si="42"/>
        <v/>
      </c>
      <c r="L294" s="46"/>
      <c r="M294" s="46" t="str">
        <f ca="1">IFERROR(IF(C294="","",IF($C$10=Parâmetros!$C$3,0,VLOOKUP(A294,'Base de Dados'!$E$3:$G$422,3,FALSE)*S294)),0)</f>
        <v/>
      </c>
      <c r="N294" s="34"/>
      <c r="O294" s="46" t="str">
        <f ca="1">IF(C294="","",IF(C295="",0,IF(E294="Construção",0,IF(E294="Seguro",$C$17*'Base de Dados'!$C$2,IF($C$14=Parâmetros!$B$4,0,Simulador!$C$17*'Base de Dados'!$C$2)))))</f>
        <v/>
      </c>
      <c r="P294" s="46"/>
      <c r="Q294" s="46" t="str">
        <f ca="1">IF(C294="","",IF(E294&lt;&gt;"Retorno",(I294+K294+M294),IF($G$20=Parâmetros!$D$2,SUM(G294,I294,K294,M294,O294),PMT($O$25,SUM($G$17),($O$10)*-1)+O294+M294+K294)))</f>
        <v/>
      </c>
      <c r="R294" s="46"/>
      <c r="S294" s="46" t="str">
        <f t="shared" ca="1" si="43"/>
        <v/>
      </c>
      <c r="U294" s="15" t="str">
        <f t="shared" ca="1" si="44"/>
        <v/>
      </c>
    </row>
    <row r="295" spans="1:21" x14ac:dyDescent="0.3">
      <c r="A295" s="49" t="str">
        <f t="shared" ca="1" si="37"/>
        <v/>
      </c>
      <c r="B295" s="49" t="str">
        <f t="shared" ca="1" si="38"/>
        <v/>
      </c>
      <c r="C295" s="81" t="str">
        <f t="shared" ca="1" si="39"/>
        <v/>
      </c>
      <c r="D295" s="34" t="str">
        <f t="shared" ca="1" si="40"/>
        <v/>
      </c>
      <c r="E295" s="4" t="str">
        <f t="shared" ca="1" si="41"/>
        <v/>
      </c>
      <c r="G295" s="46" t="str">
        <f ca="1">IF(C295="","",IF(E295&lt;&gt;"Retorno",0,IF($G$20=Parâmetros!$D$2,Simulador!$O$10/$G$17,IF($G$20=Parâmetros!$D$3,PMT($O$25,$G$17,($O$10)*-1)-I295,""))))</f>
        <v/>
      </c>
      <c r="H295" s="46"/>
      <c r="I295" s="46" t="str">
        <f t="shared" ca="1" si="36"/>
        <v/>
      </c>
      <c r="J295" s="34"/>
      <c r="K295" s="46" t="str">
        <f t="shared" ca="1" si="42"/>
        <v/>
      </c>
      <c r="L295" s="46"/>
      <c r="M295" s="46" t="str">
        <f ca="1">IFERROR(IF(C295="","",IF($C$10=Parâmetros!$C$3,0,VLOOKUP(A295,'Base de Dados'!$E$3:$G$422,3,FALSE)*S295)),0)</f>
        <v/>
      </c>
      <c r="N295" s="34"/>
      <c r="O295" s="46" t="str">
        <f ca="1">IF(C295="","",IF(C296="",0,IF(E295="Construção",0,IF(E295="Seguro",$C$17*'Base de Dados'!$C$2,IF($C$14=Parâmetros!$B$4,0,Simulador!$C$17*'Base de Dados'!$C$2)))))</f>
        <v/>
      </c>
      <c r="P295" s="46"/>
      <c r="Q295" s="46" t="str">
        <f ca="1">IF(C295="","",IF(E295&lt;&gt;"Retorno",(I295+K295+M295),IF($G$20=Parâmetros!$D$2,SUM(G295,I295,K295,M295,O295),PMT($O$25,SUM($G$17),($O$10)*-1)+O295+M295+K295)))</f>
        <v/>
      </c>
      <c r="R295" s="46"/>
      <c r="S295" s="46" t="str">
        <f t="shared" ca="1" si="43"/>
        <v/>
      </c>
      <c r="U295" s="15" t="str">
        <f t="shared" ca="1" si="44"/>
        <v/>
      </c>
    </row>
    <row r="296" spans="1:21" x14ac:dyDescent="0.3">
      <c r="A296" s="49" t="str">
        <f t="shared" ca="1" si="37"/>
        <v/>
      </c>
      <c r="B296" s="49" t="str">
        <f t="shared" ca="1" si="38"/>
        <v/>
      </c>
      <c r="C296" s="81" t="str">
        <f t="shared" ca="1" si="39"/>
        <v/>
      </c>
      <c r="D296" s="34" t="str">
        <f t="shared" ca="1" si="40"/>
        <v/>
      </c>
      <c r="E296" s="4" t="str">
        <f t="shared" ca="1" si="41"/>
        <v/>
      </c>
      <c r="G296" s="46" t="str">
        <f ca="1">IF(C296="","",IF(E296&lt;&gt;"Retorno",0,IF($G$20=Parâmetros!$D$2,Simulador!$O$10/$G$17,IF($G$20=Parâmetros!$D$3,PMT($O$25,$G$17,($O$10)*-1)-I296,""))))</f>
        <v/>
      </c>
      <c r="H296" s="46"/>
      <c r="I296" s="46" t="str">
        <f t="shared" ca="1" si="36"/>
        <v/>
      </c>
      <c r="J296" s="34"/>
      <c r="K296" s="46" t="str">
        <f t="shared" ca="1" si="42"/>
        <v/>
      </c>
      <c r="L296" s="46"/>
      <c r="M296" s="46" t="str">
        <f ca="1">IFERROR(IF(C296="","",IF($C$10=Parâmetros!$C$3,0,VLOOKUP(A296,'Base de Dados'!$E$3:$G$422,3,FALSE)*S296)),0)</f>
        <v/>
      </c>
      <c r="N296" s="34"/>
      <c r="O296" s="46" t="str">
        <f ca="1">IF(C296="","",IF(C297="",0,IF(E296="Construção",0,IF(E296="Seguro",$C$17*'Base de Dados'!$C$2,IF($C$14=Parâmetros!$B$4,0,Simulador!$C$17*'Base de Dados'!$C$2)))))</f>
        <v/>
      </c>
      <c r="P296" s="46"/>
      <c r="Q296" s="46" t="str">
        <f ca="1">IF(C296="","",IF(E296&lt;&gt;"Retorno",(I296+K296+M296),IF($G$20=Parâmetros!$D$2,SUM(G296,I296,K296,M296,O296),PMT($O$25,SUM($G$17),($O$10)*-1)+O296+M296+K296)))</f>
        <v/>
      </c>
      <c r="R296" s="46"/>
      <c r="S296" s="46" t="str">
        <f t="shared" ca="1" si="43"/>
        <v/>
      </c>
      <c r="U296" s="15" t="str">
        <f t="shared" ca="1" si="44"/>
        <v/>
      </c>
    </row>
    <row r="297" spans="1:21" x14ac:dyDescent="0.3">
      <c r="A297" s="49" t="str">
        <f t="shared" ca="1" si="37"/>
        <v/>
      </c>
      <c r="B297" s="49" t="str">
        <f t="shared" ca="1" si="38"/>
        <v/>
      </c>
      <c r="C297" s="81" t="str">
        <f t="shared" ca="1" si="39"/>
        <v/>
      </c>
      <c r="D297" s="34" t="str">
        <f t="shared" ca="1" si="40"/>
        <v/>
      </c>
      <c r="E297" s="4" t="str">
        <f t="shared" ca="1" si="41"/>
        <v/>
      </c>
      <c r="G297" s="46" t="str">
        <f ca="1">IF(C297="","",IF(E297&lt;&gt;"Retorno",0,IF($G$20=Parâmetros!$D$2,Simulador!$O$10/$G$17,IF($G$20=Parâmetros!$D$3,PMT($O$25,$G$17,($O$10)*-1)-I297,""))))</f>
        <v/>
      </c>
      <c r="H297" s="46"/>
      <c r="I297" s="46" t="str">
        <f t="shared" ca="1" si="36"/>
        <v/>
      </c>
      <c r="J297" s="34"/>
      <c r="K297" s="46" t="str">
        <f t="shared" ca="1" si="42"/>
        <v/>
      </c>
      <c r="L297" s="46"/>
      <c r="M297" s="46" t="str">
        <f ca="1">IFERROR(IF(C297="","",IF($C$10=Parâmetros!$C$3,0,VLOOKUP(A297,'Base de Dados'!$E$3:$G$422,3,FALSE)*S297)),0)</f>
        <v/>
      </c>
      <c r="N297" s="34"/>
      <c r="O297" s="46" t="str">
        <f ca="1">IF(C297="","",IF(C298="",0,IF(E297="Construção",0,IF(E297="Seguro",$C$17*'Base de Dados'!$C$2,IF($C$14=Parâmetros!$B$4,0,Simulador!$C$17*'Base de Dados'!$C$2)))))</f>
        <v/>
      </c>
      <c r="P297" s="46"/>
      <c r="Q297" s="46" t="str">
        <f ca="1">IF(C297="","",IF(E297&lt;&gt;"Retorno",(I297+K297+M297),IF($G$20=Parâmetros!$D$2,SUM(G297,I297,K297,M297,O297),PMT($O$25,SUM($G$17),($O$10)*-1)+O297+M297+K297)))</f>
        <v/>
      </c>
      <c r="R297" s="46"/>
      <c r="S297" s="46" t="str">
        <f t="shared" ca="1" si="43"/>
        <v/>
      </c>
      <c r="U297" s="15" t="str">
        <f t="shared" ca="1" si="44"/>
        <v/>
      </c>
    </row>
    <row r="298" spans="1:21" x14ac:dyDescent="0.3">
      <c r="A298" s="49" t="str">
        <f t="shared" ca="1" si="37"/>
        <v/>
      </c>
      <c r="B298" s="49" t="str">
        <f t="shared" ca="1" si="38"/>
        <v/>
      </c>
      <c r="C298" s="81" t="str">
        <f t="shared" ca="1" si="39"/>
        <v/>
      </c>
      <c r="D298" s="34" t="str">
        <f t="shared" ca="1" si="40"/>
        <v/>
      </c>
      <c r="E298" s="4" t="str">
        <f t="shared" ca="1" si="41"/>
        <v/>
      </c>
      <c r="G298" s="46" t="str">
        <f ca="1">IF(C298="","",IF(E298&lt;&gt;"Retorno",0,IF($G$20=Parâmetros!$D$2,Simulador!$O$10/$G$17,IF($G$20=Parâmetros!$D$3,PMT($O$25,$G$17,($O$10)*-1)-I298,""))))</f>
        <v/>
      </c>
      <c r="H298" s="46"/>
      <c r="I298" s="46" t="str">
        <f t="shared" ca="1" si="36"/>
        <v/>
      </c>
      <c r="J298" s="34"/>
      <c r="K298" s="46" t="str">
        <f t="shared" ca="1" si="42"/>
        <v/>
      </c>
      <c r="L298" s="46"/>
      <c r="M298" s="46" t="str">
        <f ca="1">IFERROR(IF(C298="","",IF($C$10=Parâmetros!$C$3,0,VLOOKUP(A298,'Base de Dados'!$E$3:$G$422,3,FALSE)*S298)),0)</f>
        <v/>
      </c>
      <c r="N298" s="34"/>
      <c r="O298" s="46" t="str">
        <f ca="1">IF(C298="","",IF(C299="",0,IF(E298="Construção",0,IF(E298="Seguro",$C$17*'Base de Dados'!$C$2,IF($C$14=Parâmetros!$B$4,0,Simulador!$C$17*'Base de Dados'!$C$2)))))</f>
        <v/>
      </c>
      <c r="P298" s="46"/>
      <c r="Q298" s="46" t="str">
        <f ca="1">IF(C298="","",IF(E298&lt;&gt;"Retorno",(I298+K298+M298),IF($G$20=Parâmetros!$D$2,SUM(G298,I298,K298,M298,O298),PMT($O$25,SUM($G$17),($O$10)*-1)+O298+M298+K298)))</f>
        <v/>
      </c>
      <c r="R298" s="46"/>
      <c r="S298" s="46" t="str">
        <f t="shared" ca="1" si="43"/>
        <v/>
      </c>
      <c r="U298" s="15" t="str">
        <f t="shared" ca="1" si="44"/>
        <v/>
      </c>
    </row>
    <row r="299" spans="1:21" x14ac:dyDescent="0.3">
      <c r="A299" s="49" t="str">
        <f t="shared" ca="1" si="37"/>
        <v/>
      </c>
      <c r="B299" s="49" t="str">
        <f t="shared" ca="1" si="38"/>
        <v/>
      </c>
      <c r="C299" s="81" t="str">
        <f t="shared" ca="1" si="39"/>
        <v/>
      </c>
      <c r="D299" s="34" t="str">
        <f t="shared" ca="1" si="40"/>
        <v/>
      </c>
      <c r="E299" s="4" t="str">
        <f t="shared" ca="1" si="41"/>
        <v/>
      </c>
      <c r="G299" s="46" t="str">
        <f ca="1">IF(C299="","",IF(E299&lt;&gt;"Retorno",0,IF($G$20=Parâmetros!$D$2,Simulador!$O$10/$G$17,IF($G$20=Parâmetros!$D$3,PMT($O$25,$G$17,($O$10)*-1)-I299,""))))</f>
        <v/>
      </c>
      <c r="H299" s="46"/>
      <c r="I299" s="46" t="str">
        <f t="shared" ca="1" si="36"/>
        <v/>
      </c>
      <c r="J299" s="34"/>
      <c r="K299" s="46" t="str">
        <f t="shared" ca="1" si="42"/>
        <v/>
      </c>
      <c r="L299" s="46"/>
      <c r="M299" s="46" t="str">
        <f ca="1">IFERROR(IF(C299="","",IF($C$10=Parâmetros!$C$3,0,VLOOKUP(A299,'Base de Dados'!$E$3:$G$422,3,FALSE)*S299)),0)</f>
        <v/>
      </c>
      <c r="N299" s="34"/>
      <c r="O299" s="46" t="str">
        <f ca="1">IF(C299="","",IF(C300="",0,IF(E299="Construção",0,IF(E299="Seguro",$C$17*'Base de Dados'!$C$2,IF($C$14=Parâmetros!$B$4,0,Simulador!$C$17*'Base de Dados'!$C$2)))))</f>
        <v/>
      </c>
      <c r="P299" s="46"/>
      <c r="Q299" s="46" t="str">
        <f ca="1">IF(C299="","",IF(E299&lt;&gt;"Retorno",(I299+K299+M299),IF($G$20=Parâmetros!$D$2,SUM(G299,I299,K299,M299,O299),PMT($O$25,SUM($G$17),($O$10)*-1)+O299+M299+K299)))</f>
        <v/>
      </c>
      <c r="R299" s="46"/>
      <c r="S299" s="46" t="str">
        <f t="shared" ca="1" si="43"/>
        <v/>
      </c>
      <c r="U299" s="15" t="str">
        <f t="shared" ca="1" si="44"/>
        <v/>
      </c>
    </row>
    <row r="300" spans="1:21" x14ac:dyDescent="0.3">
      <c r="A300" s="49" t="str">
        <f t="shared" ca="1" si="37"/>
        <v/>
      </c>
      <c r="B300" s="49" t="str">
        <f t="shared" ca="1" si="38"/>
        <v/>
      </c>
      <c r="C300" s="81" t="str">
        <f t="shared" ca="1" si="39"/>
        <v/>
      </c>
      <c r="D300" s="34" t="str">
        <f t="shared" ca="1" si="40"/>
        <v/>
      </c>
      <c r="E300" s="4" t="str">
        <f t="shared" ca="1" si="41"/>
        <v/>
      </c>
      <c r="G300" s="46" t="str">
        <f ca="1">IF(C300="","",IF(E300&lt;&gt;"Retorno",0,IF($G$20=Parâmetros!$D$2,Simulador!$O$10/$G$17,IF($G$20=Parâmetros!$D$3,PMT($O$25,$G$17,($O$10)*-1)-I300,""))))</f>
        <v/>
      </c>
      <c r="H300" s="46"/>
      <c r="I300" s="46" t="str">
        <f t="shared" ca="1" si="36"/>
        <v/>
      </c>
      <c r="J300" s="34"/>
      <c r="K300" s="46" t="str">
        <f t="shared" ca="1" si="42"/>
        <v/>
      </c>
      <c r="L300" s="46"/>
      <c r="M300" s="46" t="str">
        <f ca="1">IFERROR(IF(C300="","",IF($C$10=Parâmetros!$C$3,0,VLOOKUP(A300,'Base de Dados'!$E$3:$G$422,3,FALSE)*S300)),0)</f>
        <v/>
      </c>
      <c r="N300" s="34"/>
      <c r="O300" s="46" t="str">
        <f ca="1">IF(C300="","",IF(C301="",0,IF(E300="Construção",0,IF(E300="Seguro",$C$17*'Base de Dados'!$C$2,IF($C$14=Parâmetros!$B$4,0,Simulador!$C$17*'Base de Dados'!$C$2)))))</f>
        <v/>
      </c>
      <c r="P300" s="46"/>
      <c r="Q300" s="46" t="str">
        <f ca="1">IF(C300="","",IF(E300&lt;&gt;"Retorno",(I300+K300+M300),IF($G$20=Parâmetros!$D$2,SUM(G300,I300,K300,M300,O300),PMT($O$25,SUM($G$17),($O$10)*-1)+O300+M300+K300)))</f>
        <v/>
      </c>
      <c r="R300" s="46"/>
      <c r="S300" s="46" t="str">
        <f t="shared" ca="1" si="43"/>
        <v/>
      </c>
      <c r="U300" s="15" t="str">
        <f t="shared" ca="1" si="44"/>
        <v/>
      </c>
    </row>
    <row r="301" spans="1:21" x14ac:dyDescent="0.3">
      <c r="A301" s="49" t="str">
        <f t="shared" ca="1" si="37"/>
        <v/>
      </c>
      <c r="B301" s="49" t="str">
        <f t="shared" ca="1" si="38"/>
        <v/>
      </c>
      <c r="C301" s="81" t="str">
        <f t="shared" ca="1" si="39"/>
        <v/>
      </c>
      <c r="D301" s="34" t="str">
        <f t="shared" ca="1" si="40"/>
        <v/>
      </c>
      <c r="E301" s="4" t="str">
        <f t="shared" ca="1" si="41"/>
        <v/>
      </c>
      <c r="G301" s="46" t="str">
        <f ca="1">IF(C301="","",IF(E301&lt;&gt;"Retorno",0,IF($G$20=Parâmetros!$D$2,Simulador!$O$10/$G$17,IF($G$20=Parâmetros!$D$3,PMT($O$25,$G$17,($O$10)*-1)-I301,""))))</f>
        <v/>
      </c>
      <c r="H301" s="46"/>
      <c r="I301" s="46" t="str">
        <f t="shared" ca="1" si="36"/>
        <v/>
      </c>
      <c r="J301" s="34"/>
      <c r="K301" s="46" t="str">
        <f t="shared" ca="1" si="42"/>
        <v/>
      </c>
      <c r="L301" s="46"/>
      <c r="M301" s="46" t="str">
        <f ca="1">IFERROR(IF(C301="","",IF($C$10=Parâmetros!$C$3,0,VLOOKUP(A301,'Base de Dados'!$E$3:$G$422,3,FALSE)*S301)),0)</f>
        <v/>
      </c>
      <c r="N301" s="34"/>
      <c r="O301" s="46" t="str">
        <f ca="1">IF(C301="","",IF(C302="",0,IF(E301="Construção",0,IF(E301="Seguro",$C$17*'Base de Dados'!$C$2,IF($C$14=Parâmetros!$B$4,0,Simulador!$C$17*'Base de Dados'!$C$2)))))</f>
        <v/>
      </c>
      <c r="P301" s="46"/>
      <c r="Q301" s="46" t="str">
        <f ca="1">IF(C301="","",IF(E301&lt;&gt;"Retorno",(I301+K301+M301),IF($G$20=Parâmetros!$D$2,SUM(G301,I301,K301,M301,O301),PMT($O$25,SUM($G$17),($O$10)*-1)+O301+M301+K301)))</f>
        <v/>
      </c>
      <c r="R301" s="46"/>
      <c r="S301" s="46" t="str">
        <f t="shared" ca="1" si="43"/>
        <v/>
      </c>
      <c r="U301" s="15" t="str">
        <f t="shared" ca="1" si="44"/>
        <v/>
      </c>
    </row>
    <row r="302" spans="1:21" x14ac:dyDescent="0.3">
      <c r="A302" s="49" t="str">
        <f t="shared" ca="1" si="37"/>
        <v/>
      </c>
      <c r="B302" s="49" t="str">
        <f t="shared" ca="1" si="38"/>
        <v/>
      </c>
      <c r="C302" s="81" t="str">
        <f t="shared" ca="1" si="39"/>
        <v/>
      </c>
      <c r="D302" s="34" t="str">
        <f t="shared" ca="1" si="40"/>
        <v/>
      </c>
      <c r="E302" s="4" t="str">
        <f t="shared" ca="1" si="41"/>
        <v/>
      </c>
      <c r="G302" s="46" t="str">
        <f ca="1">IF(C302="","",IF(E302&lt;&gt;"Retorno",0,IF($G$20=Parâmetros!$D$2,Simulador!$O$10/$G$17,IF($G$20=Parâmetros!$D$3,PMT($O$25,$G$17,($O$10)*-1)-I302,""))))</f>
        <v/>
      </c>
      <c r="H302" s="46"/>
      <c r="I302" s="46" t="str">
        <f t="shared" ca="1" si="36"/>
        <v/>
      </c>
      <c r="J302" s="34"/>
      <c r="K302" s="46" t="str">
        <f t="shared" ca="1" si="42"/>
        <v/>
      </c>
      <c r="L302" s="46"/>
      <c r="M302" s="46" t="str">
        <f ca="1">IFERROR(IF(C302="","",IF($C$10=Parâmetros!$C$3,0,VLOOKUP(A302,'Base de Dados'!$E$3:$G$422,3,FALSE)*S302)),0)</f>
        <v/>
      </c>
      <c r="N302" s="34"/>
      <c r="O302" s="46" t="str">
        <f ca="1">IF(C302="","",IF(C303="",0,IF(E302="Construção",0,IF(E302="Seguro",$C$17*'Base de Dados'!$C$2,IF($C$14=Parâmetros!$B$4,0,Simulador!$C$17*'Base de Dados'!$C$2)))))</f>
        <v/>
      </c>
      <c r="P302" s="46"/>
      <c r="Q302" s="46" t="str">
        <f ca="1">IF(C302="","",IF(E302&lt;&gt;"Retorno",(I302+K302+M302),IF($G$20=Parâmetros!$D$2,SUM(G302,I302,K302,M302,O302),PMT($O$25,SUM($G$17),($O$10)*-1)+O302+M302+K302)))</f>
        <v/>
      </c>
      <c r="R302" s="46"/>
      <c r="S302" s="46" t="str">
        <f t="shared" ca="1" si="43"/>
        <v/>
      </c>
      <c r="U302" s="15" t="str">
        <f t="shared" ca="1" si="44"/>
        <v/>
      </c>
    </row>
    <row r="303" spans="1:21" x14ac:dyDescent="0.3">
      <c r="A303" s="49" t="str">
        <f t="shared" ca="1" si="37"/>
        <v/>
      </c>
      <c r="B303" s="49" t="str">
        <f t="shared" ca="1" si="38"/>
        <v/>
      </c>
      <c r="C303" s="81" t="str">
        <f t="shared" ca="1" si="39"/>
        <v/>
      </c>
      <c r="D303" s="34" t="str">
        <f t="shared" ca="1" si="40"/>
        <v/>
      </c>
      <c r="E303" s="4" t="str">
        <f t="shared" ca="1" si="41"/>
        <v/>
      </c>
      <c r="G303" s="46" t="str">
        <f ca="1">IF(C303="","",IF(E303&lt;&gt;"Retorno",0,IF($G$20=Parâmetros!$D$2,Simulador!$O$10/$G$17,IF($G$20=Parâmetros!$D$3,PMT($O$25,$G$17,($O$10)*-1)-I303,""))))</f>
        <v/>
      </c>
      <c r="H303" s="46"/>
      <c r="I303" s="46" t="str">
        <f t="shared" ca="1" si="36"/>
        <v/>
      </c>
      <c r="J303" s="34"/>
      <c r="K303" s="46" t="str">
        <f t="shared" ca="1" si="42"/>
        <v/>
      </c>
      <c r="L303" s="46"/>
      <c r="M303" s="46" t="str">
        <f ca="1">IFERROR(IF(C303="","",IF($C$10=Parâmetros!$C$3,0,VLOOKUP(A303,'Base de Dados'!$E$3:$G$422,3,FALSE)*S303)),0)</f>
        <v/>
      </c>
      <c r="N303" s="34"/>
      <c r="O303" s="46" t="str">
        <f ca="1">IF(C303="","",IF(C304="",0,IF(E303="Construção",0,IF(E303="Seguro",$C$17*'Base de Dados'!$C$2,IF($C$14=Parâmetros!$B$4,0,Simulador!$C$17*'Base de Dados'!$C$2)))))</f>
        <v/>
      </c>
      <c r="P303" s="46"/>
      <c r="Q303" s="46" t="str">
        <f ca="1">IF(C303="","",IF(E303&lt;&gt;"Retorno",(I303+K303+M303),IF($G$20=Parâmetros!$D$2,SUM(G303,I303,K303,M303,O303),PMT($O$25,SUM($G$17),($O$10)*-1)+O303+M303+K303)))</f>
        <v/>
      </c>
      <c r="R303" s="46"/>
      <c r="S303" s="46" t="str">
        <f t="shared" ca="1" si="43"/>
        <v/>
      </c>
      <c r="U303" s="15" t="str">
        <f t="shared" ca="1" si="44"/>
        <v/>
      </c>
    </row>
    <row r="304" spans="1:21" x14ac:dyDescent="0.3">
      <c r="A304" s="49" t="str">
        <f t="shared" ca="1" si="37"/>
        <v/>
      </c>
      <c r="B304" s="49" t="str">
        <f t="shared" ca="1" si="38"/>
        <v/>
      </c>
      <c r="C304" s="81" t="str">
        <f t="shared" ca="1" si="39"/>
        <v/>
      </c>
      <c r="D304" s="34" t="str">
        <f t="shared" ca="1" si="40"/>
        <v/>
      </c>
      <c r="E304" s="4" t="str">
        <f t="shared" ca="1" si="41"/>
        <v/>
      </c>
      <c r="G304" s="46" t="str">
        <f ca="1">IF(C304="","",IF(E304&lt;&gt;"Retorno",0,IF($G$20=Parâmetros!$D$2,Simulador!$O$10/$G$17,IF($G$20=Parâmetros!$D$3,PMT($O$25,$G$17,($O$10)*-1)-I304,""))))</f>
        <v/>
      </c>
      <c r="H304" s="46"/>
      <c r="I304" s="46" t="str">
        <f t="shared" ca="1" si="36"/>
        <v/>
      </c>
      <c r="J304" s="34"/>
      <c r="K304" s="46" t="str">
        <f t="shared" ca="1" si="42"/>
        <v/>
      </c>
      <c r="L304" s="46"/>
      <c r="M304" s="46" t="str">
        <f ca="1">IFERROR(IF(C304="","",IF($C$10=Parâmetros!$C$3,0,VLOOKUP(A304,'Base de Dados'!$E$3:$G$422,3,FALSE)*S304)),0)</f>
        <v/>
      </c>
      <c r="N304" s="34"/>
      <c r="O304" s="46" t="str">
        <f ca="1">IF(C304="","",IF(C305="",0,IF(E304="Construção",0,IF(E304="Seguro",$C$17*'Base de Dados'!$C$2,IF($C$14=Parâmetros!$B$4,0,Simulador!$C$17*'Base de Dados'!$C$2)))))</f>
        <v/>
      </c>
      <c r="P304" s="46"/>
      <c r="Q304" s="46" t="str">
        <f ca="1">IF(C304="","",IF(E304&lt;&gt;"Retorno",(I304+K304+M304),IF($G$20=Parâmetros!$D$2,SUM(G304,I304,K304,M304,O304),PMT($O$25,SUM($G$17),($O$10)*-1)+O304+M304+K304)))</f>
        <v/>
      </c>
      <c r="R304" s="46"/>
      <c r="S304" s="46" t="str">
        <f t="shared" ca="1" si="43"/>
        <v/>
      </c>
      <c r="U304" s="15" t="str">
        <f t="shared" ca="1" si="44"/>
        <v/>
      </c>
    </row>
    <row r="305" spans="1:21" x14ac:dyDescent="0.3">
      <c r="A305" s="49" t="str">
        <f t="shared" ca="1" si="37"/>
        <v/>
      </c>
      <c r="B305" s="49" t="str">
        <f t="shared" ca="1" si="38"/>
        <v/>
      </c>
      <c r="C305" s="81" t="str">
        <f t="shared" ca="1" si="39"/>
        <v/>
      </c>
      <c r="D305" s="34" t="str">
        <f t="shared" ca="1" si="40"/>
        <v/>
      </c>
      <c r="E305" s="4" t="str">
        <f t="shared" ca="1" si="41"/>
        <v/>
      </c>
      <c r="G305" s="46" t="str">
        <f ca="1">IF(C305="","",IF(E305&lt;&gt;"Retorno",0,IF($G$20=Parâmetros!$D$2,Simulador!$O$10/$G$17,IF($G$20=Parâmetros!$D$3,PMT($O$25,$G$17,($O$10)*-1)-I305,""))))</f>
        <v/>
      </c>
      <c r="H305" s="46"/>
      <c r="I305" s="46" t="str">
        <f t="shared" ca="1" si="36"/>
        <v/>
      </c>
      <c r="J305" s="34"/>
      <c r="K305" s="46" t="str">
        <f t="shared" ca="1" si="42"/>
        <v/>
      </c>
      <c r="L305" s="46"/>
      <c r="M305" s="46" t="str">
        <f ca="1">IFERROR(IF(C305="","",IF($C$10=Parâmetros!$C$3,0,VLOOKUP(A305,'Base de Dados'!$E$3:$G$422,3,FALSE)*S305)),0)</f>
        <v/>
      </c>
      <c r="N305" s="34"/>
      <c r="O305" s="46" t="str">
        <f ca="1">IF(C305="","",IF(C306="",0,IF(E305="Construção",0,IF(E305="Seguro",$C$17*'Base de Dados'!$C$2,IF($C$14=Parâmetros!$B$4,0,Simulador!$C$17*'Base de Dados'!$C$2)))))</f>
        <v/>
      </c>
      <c r="P305" s="46"/>
      <c r="Q305" s="46" t="str">
        <f ca="1">IF(C305="","",IF(E305&lt;&gt;"Retorno",(I305+K305+M305),IF($G$20=Parâmetros!$D$2,SUM(G305,I305,K305,M305,O305),PMT($O$25,SUM($G$17),($O$10)*-1)+O305+M305+K305)))</f>
        <v/>
      </c>
      <c r="R305" s="46"/>
      <c r="S305" s="46" t="str">
        <f t="shared" ca="1" si="43"/>
        <v/>
      </c>
      <c r="U305" s="15" t="str">
        <f t="shared" ca="1" si="44"/>
        <v/>
      </c>
    </row>
    <row r="306" spans="1:21" x14ac:dyDescent="0.3">
      <c r="A306" s="49" t="str">
        <f t="shared" ca="1" si="37"/>
        <v/>
      </c>
      <c r="B306" s="49" t="str">
        <f t="shared" ca="1" si="38"/>
        <v/>
      </c>
      <c r="C306" s="81" t="str">
        <f t="shared" ca="1" si="39"/>
        <v/>
      </c>
      <c r="D306" s="34" t="str">
        <f t="shared" ca="1" si="40"/>
        <v/>
      </c>
      <c r="E306" s="4" t="str">
        <f t="shared" ca="1" si="41"/>
        <v/>
      </c>
      <c r="G306" s="46" t="str">
        <f ca="1">IF(C306="","",IF(E306&lt;&gt;"Retorno",0,IF($G$20=Parâmetros!$D$2,Simulador!$O$10/$G$17,IF($G$20=Parâmetros!$D$3,PMT($O$25,$G$17,($O$10)*-1)-I306,""))))</f>
        <v/>
      </c>
      <c r="H306" s="46"/>
      <c r="I306" s="46" t="str">
        <f t="shared" ca="1" si="36"/>
        <v/>
      </c>
      <c r="J306" s="34"/>
      <c r="K306" s="46" t="str">
        <f t="shared" ca="1" si="42"/>
        <v/>
      </c>
      <c r="L306" s="46"/>
      <c r="M306" s="46" t="str">
        <f ca="1">IFERROR(IF(C306="","",IF($C$10=Parâmetros!$C$3,0,VLOOKUP(A306,'Base de Dados'!$E$3:$G$422,3,FALSE)*S306)),0)</f>
        <v/>
      </c>
      <c r="N306" s="34"/>
      <c r="O306" s="46" t="str">
        <f ca="1">IF(C306="","",IF(C307="",0,IF(E306="Construção",0,IF(E306="Seguro",$C$17*'Base de Dados'!$C$2,IF($C$14=Parâmetros!$B$4,0,Simulador!$C$17*'Base de Dados'!$C$2)))))</f>
        <v/>
      </c>
      <c r="P306" s="46"/>
      <c r="Q306" s="46" t="str">
        <f ca="1">IF(C306="","",IF(E306&lt;&gt;"Retorno",(I306+K306+M306),IF($G$20=Parâmetros!$D$2,SUM(G306,I306,K306,M306,O306),PMT($O$25,SUM($G$17),($O$10)*-1)+O306+M306+K306)))</f>
        <v/>
      </c>
      <c r="R306" s="46"/>
      <c r="S306" s="46" t="str">
        <f t="shared" ca="1" si="43"/>
        <v/>
      </c>
      <c r="U306" s="15" t="str">
        <f t="shared" ca="1" si="44"/>
        <v/>
      </c>
    </row>
    <row r="307" spans="1:21" x14ac:dyDescent="0.3">
      <c r="A307" s="49" t="str">
        <f t="shared" ca="1" si="37"/>
        <v/>
      </c>
      <c r="B307" s="49" t="str">
        <f t="shared" ca="1" si="38"/>
        <v/>
      </c>
      <c r="C307" s="81" t="str">
        <f t="shared" ca="1" si="39"/>
        <v/>
      </c>
      <c r="D307" s="34" t="str">
        <f t="shared" ca="1" si="40"/>
        <v/>
      </c>
      <c r="E307" s="4" t="str">
        <f t="shared" ca="1" si="41"/>
        <v/>
      </c>
      <c r="G307" s="46" t="str">
        <f ca="1">IF(C307="","",IF(E307&lt;&gt;"Retorno",0,IF($G$20=Parâmetros!$D$2,Simulador!$O$10/$G$17,IF($G$20=Parâmetros!$D$3,PMT($O$25,$G$17,($O$10)*-1)-I307,""))))</f>
        <v/>
      </c>
      <c r="H307" s="46"/>
      <c r="I307" s="46" t="str">
        <f t="shared" ca="1" si="36"/>
        <v/>
      </c>
      <c r="J307" s="34"/>
      <c r="K307" s="46" t="str">
        <f t="shared" ca="1" si="42"/>
        <v/>
      </c>
      <c r="L307" s="46"/>
      <c r="M307" s="46" t="str">
        <f ca="1">IFERROR(IF(C307="","",IF($C$10=Parâmetros!$C$3,0,VLOOKUP(A307,'Base de Dados'!$E$3:$G$422,3,FALSE)*S307)),0)</f>
        <v/>
      </c>
      <c r="N307" s="34"/>
      <c r="O307" s="46" t="str">
        <f ca="1">IF(C307="","",IF(C308="",0,IF(E307="Construção",0,IF(E307="Seguro",$C$17*'Base de Dados'!$C$2,IF($C$14=Parâmetros!$B$4,0,Simulador!$C$17*'Base de Dados'!$C$2)))))</f>
        <v/>
      </c>
      <c r="P307" s="46"/>
      <c r="Q307" s="46" t="str">
        <f ca="1">IF(C307="","",IF(E307&lt;&gt;"Retorno",(I307+K307+M307),IF($G$20=Parâmetros!$D$2,SUM(G307,I307,K307,M307,O307),PMT($O$25,SUM($G$17),($O$10)*-1)+O307+M307+K307)))</f>
        <v/>
      </c>
      <c r="R307" s="46"/>
      <c r="S307" s="46" t="str">
        <f t="shared" ca="1" si="43"/>
        <v/>
      </c>
      <c r="U307" s="15" t="str">
        <f t="shared" ca="1" si="44"/>
        <v/>
      </c>
    </row>
    <row r="308" spans="1:21" x14ac:dyDescent="0.3">
      <c r="A308" s="49" t="str">
        <f t="shared" ca="1" si="37"/>
        <v/>
      </c>
      <c r="B308" s="49" t="str">
        <f t="shared" ca="1" si="38"/>
        <v/>
      </c>
      <c r="C308" s="81" t="str">
        <f t="shared" ca="1" si="39"/>
        <v/>
      </c>
      <c r="D308" s="34" t="str">
        <f t="shared" ca="1" si="40"/>
        <v/>
      </c>
      <c r="E308" s="4" t="str">
        <f t="shared" ca="1" si="41"/>
        <v/>
      </c>
      <c r="G308" s="46" t="str">
        <f ca="1">IF(C308="","",IF(E308&lt;&gt;"Retorno",0,IF($G$20=Parâmetros!$D$2,Simulador!$O$10/$G$17,IF($G$20=Parâmetros!$D$3,PMT($O$25,$G$17,($O$10)*-1)-I308,""))))</f>
        <v/>
      </c>
      <c r="H308" s="46"/>
      <c r="I308" s="46" t="str">
        <f t="shared" ca="1" si="36"/>
        <v/>
      </c>
      <c r="J308" s="34"/>
      <c r="K308" s="46" t="str">
        <f t="shared" ca="1" si="42"/>
        <v/>
      </c>
      <c r="L308" s="46"/>
      <c r="M308" s="46" t="str">
        <f ca="1">IFERROR(IF(C308="","",IF($C$10=Parâmetros!$C$3,0,VLOOKUP(A308,'Base de Dados'!$E$3:$G$422,3,FALSE)*S308)),0)</f>
        <v/>
      </c>
      <c r="N308" s="34"/>
      <c r="O308" s="46" t="str">
        <f ca="1">IF(C308="","",IF(C309="",0,IF(E308="Construção",0,IF(E308="Seguro",$C$17*'Base de Dados'!$C$2,IF($C$14=Parâmetros!$B$4,0,Simulador!$C$17*'Base de Dados'!$C$2)))))</f>
        <v/>
      </c>
      <c r="P308" s="46"/>
      <c r="Q308" s="46" t="str">
        <f ca="1">IF(C308="","",IF(E308&lt;&gt;"Retorno",(I308+K308+M308),IF($G$20=Parâmetros!$D$2,SUM(G308,I308,K308,M308,O308),PMT($O$25,SUM($G$17),($O$10)*-1)+O308+M308+K308)))</f>
        <v/>
      </c>
      <c r="R308" s="46"/>
      <c r="S308" s="46" t="str">
        <f t="shared" ca="1" si="43"/>
        <v/>
      </c>
      <c r="U308" s="15" t="str">
        <f t="shared" ca="1" si="44"/>
        <v/>
      </c>
    </row>
    <row r="309" spans="1:21" x14ac:dyDescent="0.3">
      <c r="A309" s="49" t="str">
        <f t="shared" ca="1" si="37"/>
        <v/>
      </c>
      <c r="B309" s="49" t="str">
        <f t="shared" ca="1" si="38"/>
        <v/>
      </c>
      <c r="C309" s="81" t="str">
        <f t="shared" ca="1" si="39"/>
        <v/>
      </c>
      <c r="D309" s="34" t="str">
        <f t="shared" ca="1" si="40"/>
        <v/>
      </c>
      <c r="E309" s="4" t="str">
        <f t="shared" ca="1" si="41"/>
        <v/>
      </c>
      <c r="G309" s="46" t="str">
        <f ca="1">IF(C309="","",IF(E309&lt;&gt;"Retorno",0,IF($G$20=Parâmetros!$D$2,Simulador!$O$10/$G$17,IF($G$20=Parâmetros!$D$3,PMT($O$25,$G$17,($O$10)*-1)-I309,""))))</f>
        <v/>
      </c>
      <c r="H309" s="46"/>
      <c r="I309" s="46" t="str">
        <f t="shared" ca="1" si="36"/>
        <v/>
      </c>
      <c r="J309" s="34"/>
      <c r="K309" s="46" t="str">
        <f t="shared" ca="1" si="42"/>
        <v/>
      </c>
      <c r="L309" s="46"/>
      <c r="M309" s="46" t="str">
        <f ca="1">IFERROR(IF(C309="","",IF($C$10=Parâmetros!$C$3,0,VLOOKUP(A309,'Base de Dados'!$E$3:$G$422,3,FALSE)*S309)),0)</f>
        <v/>
      </c>
      <c r="N309" s="34"/>
      <c r="O309" s="46" t="str">
        <f ca="1">IF(C309="","",IF(C310="",0,IF(E309="Construção",0,IF(E309="Seguro",$C$17*'Base de Dados'!$C$2,IF($C$14=Parâmetros!$B$4,0,Simulador!$C$17*'Base de Dados'!$C$2)))))</f>
        <v/>
      </c>
      <c r="P309" s="46"/>
      <c r="Q309" s="46" t="str">
        <f ca="1">IF(C309="","",IF(E309&lt;&gt;"Retorno",(I309+K309+M309),IF($G$20=Parâmetros!$D$2,SUM(G309,I309,K309,M309,O309),PMT($O$25,SUM($G$17),($O$10)*-1)+O309+M309+K309)))</f>
        <v/>
      </c>
      <c r="R309" s="46"/>
      <c r="S309" s="46" t="str">
        <f t="shared" ca="1" si="43"/>
        <v/>
      </c>
      <c r="U309" s="15" t="str">
        <f t="shared" ca="1" si="44"/>
        <v/>
      </c>
    </row>
    <row r="310" spans="1:21" x14ac:dyDescent="0.3">
      <c r="A310" s="49" t="str">
        <f t="shared" ca="1" si="37"/>
        <v/>
      </c>
      <c r="B310" s="49" t="str">
        <f t="shared" ca="1" si="38"/>
        <v/>
      </c>
      <c r="C310" s="81" t="str">
        <f t="shared" ca="1" si="39"/>
        <v/>
      </c>
      <c r="D310" s="34" t="str">
        <f t="shared" ca="1" si="40"/>
        <v/>
      </c>
      <c r="E310" s="4" t="str">
        <f t="shared" ca="1" si="41"/>
        <v/>
      </c>
      <c r="G310" s="46" t="str">
        <f ca="1">IF(C310="","",IF(E310&lt;&gt;"Retorno",0,IF($G$20=Parâmetros!$D$2,Simulador!$O$10/$G$17,IF($G$20=Parâmetros!$D$3,PMT($O$25,$G$17,($O$10)*-1)-I310,""))))</f>
        <v/>
      </c>
      <c r="H310" s="46"/>
      <c r="I310" s="46" t="str">
        <f t="shared" ca="1" si="36"/>
        <v/>
      </c>
      <c r="J310" s="34"/>
      <c r="K310" s="46" t="str">
        <f t="shared" ca="1" si="42"/>
        <v/>
      </c>
      <c r="L310" s="46"/>
      <c r="M310" s="46" t="str">
        <f ca="1">IFERROR(IF(C310="","",IF($C$10=Parâmetros!$C$3,0,VLOOKUP(A310,'Base de Dados'!$E$3:$G$422,3,FALSE)*S310)),0)</f>
        <v/>
      </c>
      <c r="N310" s="34"/>
      <c r="O310" s="46" t="str">
        <f ca="1">IF(C310="","",IF(C311="",0,IF(E310="Construção",0,IF(E310="Seguro",$C$17*'Base de Dados'!$C$2,IF($C$14=Parâmetros!$B$4,0,Simulador!$C$17*'Base de Dados'!$C$2)))))</f>
        <v/>
      </c>
      <c r="P310" s="46"/>
      <c r="Q310" s="46" t="str">
        <f ca="1">IF(C310="","",IF(E310&lt;&gt;"Retorno",(I310+K310+M310),IF($G$20=Parâmetros!$D$2,SUM(G310,I310,K310,M310,O310),PMT($O$25,SUM($G$17),($O$10)*-1)+O310+M310+K310)))</f>
        <v/>
      </c>
      <c r="R310" s="46"/>
      <c r="S310" s="46" t="str">
        <f t="shared" ca="1" si="43"/>
        <v/>
      </c>
      <c r="U310" s="15" t="str">
        <f t="shared" ca="1" si="44"/>
        <v/>
      </c>
    </row>
    <row r="311" spans="1:21" x14ac:dyDescent="0.3">
      <c r="A311" s="49" t="str">
        <f t="shared" ca="1" si="37"/>
        <v/>
      </c>
      <c r="B311" s="49" t="str">
        <f t="shared" ca="1" si="38"/>
        <v/>
      </c>
      <c r="C311" s="81" t="str">
        <f t="shared" ca="1" si="39"/>
        <v/>
      </c>
      <c r="D311" s="34" t="str">
        <f t="shared" ca="1" si="40"/>
        <v/>
      </c>
      <c r="E311" s="4" t="str">
        <f t="shared" ca="1" si="41"/>
        <v/>
      </c>
      <c r="G311" s="46" t="str">
        <f ca="1">IF(C311="","",IF(E311&lt;&gt;"Retorno",0,IF($G$20=Parâmetros!$D$2,Simulador!$O$10/$G$17,IF($G$20=Parâmetros!$D$3,PMT($O$25,$G$17,($O$10)*-1)-I311,""))))</f>
        <v/>
      </c>
      <c r="H311" s="46"/>
      <c r="I311" s="46" t="str">
        <f t="shared" ca="1" si="36"/>
        <v/>
      </c>
      <c r="J311" s="34"/>
      <c r="K311" s="46" t="str">
        <f t="shared" ca="1" si="42"/>
        <v/>
      </c>
      <c r="L311" s="46"/>
      <c r="M311" s="46" t="str">
        <f ca="1">IFERROR(IF(C311="","",IF($C$10=Parâmetros!$C$3,0,VLOOKUP(A311,'Base de Dados'!$E$3:$G$422,3,FALSE)*S311)),0)</f>
        <v/>
      </c>
      <c r="N311" s="34"/>
      <c r="O311" s="46" t="str">
        <f ca="1">IF(C311="","",IF(C312="",0,IF(E311="Construção",0,IF(E311="Seguro",$C$17*'Base de Dados'!$C$2,IF($C$14=Parâmetros!$B$4,0,Simulador!$C$17*'Base de Dados'!$C$2)))))</f>
        <v/>
      </c>
      <c r="P311" s="46"/>
      <c r="Q311" s="46" t="str">
        <f ca="1">IF(C311="","",IF(E311&lt;&gt;"Retorno",(I311+K311+M311),IF($G$20=Parâmetros!$D$2,SUM(G311,I311,K311,M311,O311),PMT($O$25,SUM($G$17),($O$10)*-1)+O311+M311+K311)))</f>
        <v/>
      </c>
      <c r="R311" s="46"/>
      <c r="S311" s="46" t="str">
        <f t="shared" ca="1" si="43"/>
        <v/>
      </c>
      <c r="U311" s="15" t="str">
        <f t="shared" ca="1" si="44"/>
        <v/>
      </c>
    </row>
    <row r="312" spans="1:21" x14ac:dyDescent="0.3">
      <c r="A312" s="49" t="str">
        <f t="shared" ca="1" si="37"/>
        <v/>
      </c>
      <c r="B312" s="49" t="str">
        <f t="shared" ca="1" si="38"/>
        <v/>
      </c>
      <c r="C312" s="81" t="str">
        <f t="shared" ca="1" si="39"/>
        <v/>
      </c>
      <c r="D312" s="34" t="str">
        <f t="shared" ca="1" si="40"/>
        <v/>
      </c>
      <c r="E312" s="4" t="str">
        <f t="shared" ca="1" si="41"/>
        <v/>
      </c>
      <c r="G312" s="46" t="str">
        <f ca="1">IF(C312="","",IF(E312&lt;&gt;"Retorno",0,IF($G$20=Parâmetros!$D$2,Simulador!$O$10/$G$17,IF($G$20=Parâmetros!$D$3,PMT($O$25,$G$17,($O$10)*-1)-I312,""))))</f>
        <v/>
      </c>
      <c r="H312" s="46"/>
      <c r="I312" s="46" t="str">
        <f t="shared" ca="1" si="36"/>
        <v/>
      </c>
      <c r="J312" s="34"/>
      <c r="K312" s="46" t="str">
        <f t="shared" ca="1" si="42"/>
        <v/>
      </c>
      <c r="L312" s="46"/>
      <c r="M312" s="46" t="str">
        <f ca="1">IFERROR(IF(C312="","",IF($C$10=Parâmetros!$C$3,0,VLOOKUP(A312,'Base de Dados'!$E$3:$G$422,3,FALSE)*S312)),0)</f>
        <v/>
      </c>
      <c r="N312" s="34"/>
      <c r="O312" s="46" t="str">
        <f ca="1">IF(C312="","",IF(C313="",0,IF(E312="Construção",0,IF(E312="Seguro",$C$17*'Base de Dados'!$C$2,IF($C$14=Parâmetros!$B$4,0,Simulador!$C$17*'Base de Dados'!$C$2)))))</f>
        <v/>
      </c>
      <c r="P312" s="46"/>
      <c r="Q312" s="46" t="str">
        <f ca="1">IF(C312="","",IF(E312&lt;&gt;"Retorno",(I312+K312+M312),IF($G$20=Parâmetros!$D$2,SUM(G312,I312,K312,M312,O312),PMT($O$25,SUM($G$17),($O$10)*-1)+O312+M312+K312)))</f>
        <v/>
      </c>
      <c r="R312" s="46"/>
      <c r="S312" s="46" t="str">
        <f t="shared" ca="1" si="43"/>
        <v/>
      </c>
      <c r="U312" s="15" t="str">
        <f t="shared" ca="1" si="44"/>
        <v/>
      </c>
    </row>
    <row r="313" spans="1:21" x14ac:dyDescent="0.3">
      <c r="A313" s="49" t="str">
        <f t="shared" ca="1" si="37"/>
        <v/>
      </c>
      <c r="B313" s="49" t="str">
        <f t="shared" ca="1" si="38"/>
        <v/>
      </c>
      <c r="C313" s="81" t="str">
        <f t="shared" ca="1" si="39"/>
        <v/>
      </c>
      <c r="D313" s="34" t="str">
        <f t="shared" ca="1" si="40"/>
        <v/>
      </c>
      <c r="E313" s="4" t="str">
        <f t="shared" ca="1" si="41"/>
        <v/>
      </c>
      <c r="G313" s="46" t="str">
        <f ca="1">IF(C313="","",IF(E313&lt;&gt;"Retorno",0,IF($G$20=Parâmetros!$D$2,Simulador!$O$10/$G$17,IF($G$20=Parâmetros!$D$3,PMT($O$25,$G$17,($O$10)*-1)-I313,""))))</f>
        <v/>
      </c>
      <c r="H313" s="46"/>
      <c r="I313" s="46" t="str">
        <f t="shared" ca="1" si="36"/>
        <v/>
      </c>
      <c r="J313" s="34"/>
      <c r="K313" s="46" t="str">
        <f t="shared" ca="1" si="42"/>
        <v/>
      </c>
      <c r="L313" s="46"/>
      <c r="M313" s="46" t="str">
        <f ca="1">IFERROR(IF(C313="","",IF($C$10=Parâmetros!$C$3,0,VLOOKUP(A313,'Base de Dados'!$E$3:$G$422,3,FALSE)*S313)),0)</f>
        <v/>
      </c>
      <c r="N313" s="34"/>
      <c r="O313" s="46" t="str">
        <f ca="1">IF(C313="","",IF(C314="",0,IF(E313="Construção",0,IF(E313="Seguro",$C$17*'Base de Dados'!$C$2,IF($C$14=Parâmetros!$B$4,0,Simulador!$C$17*'Base de Dados'!$C$2)))))</f>
        <v/>
      </c>
      <c r="P313" s="46"/>
      <c r="Q313" s="46" t="str">
        <f ca="1">IF(C313="","",IF(E313&lt;&gt;"Retorno",(I313+K313+M313),IF($G$20=Parâmetros!$D$2,SUM(G313,I313,K313,M313,O313),PMT($O$25,SUM($G$17),($O$10)*-1)+O313+M313+K313)))</f>
        <v/>
      </c>
      <c r="R313" s="46"/>
      <c r="S313" s="46" t="str">
        <f t="shared" ca="1" si="43"/>
        <v/>
      </c>
      <c r="U313" s="15" t="str">
        <f t="shared" ca="1" si="44"/>
        <v/>
      </c>
    </row>
    <row r="314" spans="1:21" x14ac:dyDescent="0.3">
      <c r="A314" s="49" t="str">
        <f t="shared" ca="1" si="37"/>
        <v/>
      </c>
      <c r="B314" s="49" t="str">
        <f t="shared" ca="1" si="38"/>
        <v/>
      </c>
      <c r="C314" s="81" t="str">
        <f t="shared" ca="1" si="39"/>
        <v/>
      </c>
      <c r="D314" s="34" t="str">
        <f t="shared" ca="1" si="40"/>
        <v/>
      </c>
      <c r="E314" s="4" t="str">
        <f t="shared" ca="1" si="41"/>
        <v/>
      </c>
      <c r="G314" s="46" t="str">
        <f ca="1">IF(C314="","",IF(E314&lt;&gt;"Retorno",0,IF($G$20=Parâmetros!$D$2,Simulador!$O$10/$G$17,IF($G$20=Parâmetros!$D$3,PMT($O$25,$G$17,($O$10)*-1)-I314,""))))</f>
        <v/>
      </c>
      <c r="H314" s="46"/>
      <c r="I314" s="46" t="str">
        <f t="shared" ca="1" si="36"/>
        <v/>
      </c>
      <c r="J314" s="34"/>
      <c r="K314" s="46" t="str">
        <f t="shared" ca="1" si="42"/>
        <v/>
      </c>
      <c r="L314" s="46"/>
      <c r="M314" s="46" t="str">
        <f ca="1">IFERROR(IF(C314="","",IF($C$10=Parâmetros!$C$3,0,VLOOKUP(A314,'Base de Dados'!$E$3:$G$422,3,FALSE)*S314)),0)</f>
        <v/>
      </c>
      <c r="N314" s="34"/>
      <c r="O314" s="46" t="str">
        <f ca="1">IF(C314="","",IF(C315="",0,IF(E314="Construção",0,IF(E314="Seguro",$C$17*'Base de Dados'!$C$2,IF($C$14=Parâmetros!$B$4,0,Simulador!$C$17*'Base de Dados'!$C$2)))))</f>
        <v/>
      </c>
      <c r="P314" s="46"/>
      <c r="Q314" s="46" t="str">
        <f ca="1">IF(C314="","",IF(E314&lt;&gt;"Retorno",(I314+K314+M314),IF($G$20=Parâmetros!$D$2,SUM(G314,I314,K314,M314,O314),PMT($O$25,SUM($G$17),($O$10)*-1)+O314+M314+K314)))</f>
        <v/>
      </c>
      <c r="R314" s="46"/>
      <c r="S314" s="46" t="str">
        <f t="shared" ca="1" si="43"/>
        <v/>
      </c>
      <c r="U314" s="15" t="str">
        <f t="shared" ca="1" si="44"/>
        <v/>
      </c>
    </row>
    <row r="315" spans="1:21" x14ac:dyDescent="0.3">
      <c r="A315" s="49" t="str">
        <f t="shared" ca="1" si="37"/>
        <v/>
      </c>
      <c r="B315" s="49" t="str">
        <f t="shared" ca="1" si="38"/>
        <v/>
      </c>
      <c r="C315" s="81" t="str">
        <f t="shared" ca="1" si="39"/>
        <v/>
      </c>
      <c r="D315" s="34" t="str">
        <f t="shared" ca="1" si="40"/>
        <v/>
      </c>
      <c r="E315" s="4" t="str">
        <f t="shared" ca="1" si="41"/>
        <v/>
      </c>
      <c r="G315" s="46" t="str">
        <f ca="1">IF(C315="","",IF(E315&lt;&gt;"Retorno",0,IF($G$20=Parâmetros!$D$2,Simulador!$O$10/$G$17,IF($G$20=Parâmetros!$D$3,PMT($O$25,$G$17,($O$10)*-1)-I315,""))))</f>
        <v/>
      </c>
      <c r="H315" s="46"/>
      <c r="I315" s="46" t="str">
        <f t="shared" ca="1" si="36"/>
        <v/>
      </c>
      <c r="J315" s="34"/>
      <c r="K315" s="46" t="str">
        <f t="shared" ca="1" si="42"/>
        <v/>
      </c>
      <c r="L315" s="46"/>
      <c r="M315" s="46" t="str">
        <f ca="1">IFERROR(IF(C315="","",IF($C$10=Parâmetros!$C$3,0,VLOOKUP(A315,'Base de Dados'!$E$3:$G$422,3,FALSE)*S315)),0)</f>
        <v/>
      </c>
      <c r="N315" s="34"/>
      <c r="O315" s="46" t="str">
        <f ca="1">IF(C315="","",IF(C316="",0,IF(E315="Construção",0,IF(E315="Seguro",$C$17*'Base de Dados'!$C$2,IF($C$14=Parâmetros!$B$4,0,Simulador!$C$17*'Base de Dados'!$C$2)))))</f>
        <v/>
      </c>
      <c r="P315" s="46"/>
      <c r="Q315" s="46" t="str">
        <f ca="1">IF(C315="","",IF(E315&lt;&gt;"Retorno",(I315+K315+M315),IF($G$20=Parâmetros!$D$2,SUM(G315,I315,K315,M315,O315),PMT($O$25,SUM($G$17),($O$10)*-1)+O315+M315+K315)))</f>
        <v/>
      </c>
      <c r="R315" s="46"/>
      <c r="S315" s="46" t="str">
        <f t="shared" ca="1" si="43"/>
        <v/>
      </c>
      <c r="U315" s="15" t="str">
        <f t="shared" ca="1" si="44"/>
        <v/>
      </c>
    </row>
    <row r="316" spans="1:21" x14ac:dyDescent="0.3">
      <c r="A316" s="49" t="str">
        <f t="shared" ca="1" si="37"/>
        <v/>
      </c>
      <c r="B316" s="49" t="str">
        <f t="shared" ca="1" si="38"/>
        <v/>
      </c>
      <c r="C316" s="81" t="str">
        <f t="shared" ca="1" si="39"/>
        <v/>
      </c>
      <c r="D316" s="34" t="str">
        <f t="shared" ca="1" si="40"/>
        <v/>
      </c>
      <c r="E316" s="4" t="str">
        <f t="shared" ca="1" si="41"/>
        <v/>
      </c>
      <c r="G316" s="46" t="str">
        <f ca="1">IF(C316="","",IF(E316&lt;&gt;"Retorno",0,IF($G$20=Parâmetros!$D$2,Simulador!$O$10/$G$17,IF($G$20=Parâmetros!$D$3,PMT($O$25,$G$17,($O$10)*-1)-I316,""))))</f>
        <v/>
      </c>
      <c r="H316" s="46"/>
      <c r="I316" s="46" t="str">
        <f t="shared" ca="1" si="36"/>
        <v/>
      </c>
      <c r="J316" s="34"/>
      <c r="K316" s="46" t="str">
        <f t="shared" ca="1" si="42"/>
        <v/>
      </c>
      <c r="L316" s="46"/>
      <c r="M316" s="46" t="str">
        <f ca="1">IFERROR(IF(C316="","",IF($C$10=Parâmetros!$C$3,0,VLOOKUP(A316,'Base de Dados'!$E$3:$G$422,3,FALSE)*S316)),0)</f>
        <v/>
      </c>
      <c r="N316" s="34"/>
      <c r="O316" s="46" t="str">
        <f ca="1">IF(C316="","",IF(C317="",0,IF(E316="Construção",0,IF(E316="Seguro",$C$17*'Base de Dados'!$C$2,IF($C$14=Parâmetros!$B$4,0,Simulador!$C$17*'Base de Dados'!$C$2)))))</f>
        <v/>
      </c>
      <c r="P316" s="46"/>
      <c r="Q316" s="46" t="str">
        <f ca="1">IF(C316="","",IF(E316&lt;&gt;"Retorno",(I316+K316+M316),IF($G$20=Parâmetros!$D$2,SUM(G316,I316,K316,M316,O316),PMT($O$25,SUM($G$17),($O$10)*-1)+O316+M316+K316)))</f>
        <v/>
      </c>
      <c r="R316" s="46"/>
      <c r="S316" s="46" t="str">
        <f t="shared" ca="1" si="43"/>
        <v/>
      </c>
      <c r="U316" s="15" t="str">
        <f t="shared" ca="1" si="44"/>
        <v/>
      </c>
    </row>
    <row r="317" spans="1:21" x14ac:dyDescent="0.3">
      <c r="A317" s="49" t="str">
        <f t="shared" ca="1" si="37"/>
        <v/>
      </c>
      <c r="B317" s="49" t="str">
        <f t="shared" ca="1" si="38"/>
        <v/>
      </c>
      <c r="C317" s="81" t="str">
        <f t="shared" ca="1" si="39"/>
        <v/>
      </c>
      <c r="D317" s="34" t="str">
        <f t="shared" ca="1" si="40"/>
        <v/>
      </c>
      <c r="E317" s="4" t="str">
        <f t="shared" ca="1" si="41"/>
        <v/>
      </c>
      <c r="G317" s="46" t="str">
        <f ca="1">IF(C317="","",IF(E317&lt;&gt;"Retorno",0,IF($G$20=Parâmetros!$D$2,Simulador!$O$10/$G$17,IF($G$20=Parâmetros!$D$3,PMT($O$25,$G$17,($O$10)*-1)-I317,""))))</f>
        <v/>
      </c>
      <c r="H317" s="46"/>
      <c r="I317" s="46" t="str">
        <f t="shared" ca="1" si="36"/>
        <v/>
      </c>
      <c r="J317" s="34"/>
      <c r="K317" s="46" t="str">
        <f t="shared" ca="1" si="42"/>
        <v/>
      </c>
      <c r="L317" s="46"/>
      <c r="M317" s="46" t="str">
        <f ca="1">IFERROR(IF(C317="","",IF($C$10=Parâmetros!$C$3,0,VLOOKUP(A317,'Base de Dados'!$E$3:$G$422,3,FALSE)*S317)),0)</f>
        <v/>
      </c>
      <c r="N317" s="34"/>
      <c r="O317" s="46" t="str">
        <f ca="1">IF(C317="","",IF(C318="",0,IF(E317="Construção",0,IF(E317="Seguro",$C$17*'Base de Dados'!$C$2,IF($C$14=Parâmetros!$B$4,0,Simulador!$C$17*'Base de Dados'!$C$2)))))</f>
        <v/>
      </c>
      <c r="P317" s="46"/>
      <c r="Q317" s="46" t="str">
        <f ca="1">IF(C317="","",IF(E317&lt;&gt;"Retorno",(I317+K317+M317),IF($G$20=Parâmetros!$D$2,SUM(G317,I317,K317,M317,O317),PMT($O$25,SUM($G$17),($O$10)*-1)+O317+M317+K317)))</f>
        <v/>
      </c>
      <c r="R317" s="46"/>
      <c r="S317" s="46" t="str">
        <f t="shared" ca="1" si="43"/>
        <v/>
      </c>
      <c r="U317" s="15" t="str">
        <f t="shared" ca="1" si="44"/>
        <v/>
      </c>
    </row>
    <row r="318" spans="1:21" x14ac:dyDescent="0.3">
      <c r="A318" s="49" t="str">
        <f t="shared" ca="1" si="37"/>
        <v/>
      </c>
      <c r="B318" s="49" t="str">
        <f t="shared" ca="1" si="38"/>
        <v/>
      </c>
      <c r="C318" s="81" t="str">
        <f t="shared" ca="1" si="39"/>
        <v/>
      </c>
      <c r="D318" s="34" t="str">
        <f t="shared" ca="1" si="40"/>
        <v/>
      </c>
      <c r="E318" s="4" t="str">
        <f t="shared" ca="1" si="41"/>
        <v/>
      </c>
      <c r="G318" s="46" t="str">
        <f ca="1">IF(C318="","",IF(E318&lt;&gt;"Retorno",0,IF($G$20=Parâmetros!$D$2,Simulador!$O$10/$G$17,IF($G$20=Parâmetros!$D$3,PMT($O$25,$G$17,($O$10)*-1)-I318,""))))</f>
        <v/>
      </c>
      <c r="H318" s="46"/>
      <c r="I318" s="46" t="str">
        <f t="shared" ca="1" si="36"/>
        <v/>
      </c>
      <c r="J318" s="34"/>
      <c r="K318" s="46" t="str">
        <f t="shared" ca="1" si="42"/>
        <v/>
      </c>
      <c r="L318" s="46"/>
      <c r="M318" s="46" t="str">
        <f ca="1">IFERROR(IF(C318="","",IF($C$10=Parâmetros!$C$3,0,VLOOKUP(A318,'Base de Dados'!$E$3:$G$422,3,FALSE)*S318)),0)</f>
        <v/>
      </c>
      <c r="N318" s="34"/>
      <c r="O318" s="46" t="str">
        <f ca="1">IF(C318="","",IF(C319="",0,IF(E318="Construção",0,IF(E318="Seguro",$C$17*'Base de Dados'!$C$2,IF($C$14=Parâmetros!$B$4,0,Simulador!$C$17*'Base de Dados'!$C$2)))))</f>
        <v/>
      </c>
      <c r="P318" s="46"/>
      <c r="Q318" s="46" t="str">
        <f ca="1">IF(C318="","",IF(E318&lt;&gt;"Retorno",(I318+K318+M318),IF($G$20=Parâmetros!$D$2,SUM(G318,I318,K318,M318,O318),PMT($O$25,SUM($G$17),($O$10)*-1)+O318+M318+K318)))</f>
        <v/>
      </c>
      <c r="R318" s="46"/>
      <c r="S318" s="46" t="str">
        <f t="shared" ca="1" si="43"/>
        <v/>
      </c>
      <c r="U318" s="15" t="str">
        <f t="shared" ca="1" si="44"/>
        <v/>
      </c>
    </row>
    <row r="319" spans="1:21" x14ac:dyDescent="0.3">
      <c r="A319" s="49" t="str">
        <f t="shared" ca="1" si="37"/>
        <v/>
      </c>
      <c r="B319" s="49" t="str">
        <f t="shared" ca="1" si="38"/>
        <v/>
      </c>
      <c r="C319" s="81" t="str">
        <f t="shared" ca="1" si="39"/>
        <v/>
      </c>
      <c r="D319" s="34" t="str">
        <f t="shared" ca="1" si="40"/>
        <v/>
      </c>
      <c r="E319" s="4" t="str">
        <f t="shared" ca="1" si="41"/>
        <v/>
      </c>
      <c r="G319" s="46" t="str">
        <f ca="1">IF(C319="","",IF(E319&lt;&gt;"Retorno",0,IF($G$20=Parâmetros!$D$2,Simulador!$O$10/$G$17,IF($G$20=Parâmetros!$D$3,PMT($O$25,$G$17,($O$10)*-1)-I319,""))))</f>
        <v/>
      </c>
      <c r="H319" s="46"/>
      <c r="I319" s="46" t="str">
        <f t="shared" ca="1" si="36"/>
        <v/>
      </c>
      <c r="J319" s="34"/>
      <c r="K319" s="46" t="str">
        <f t="shared" ca="1" si="42"/>
        <v/>
      </c>
      <c r="L319" s="46"/>
      <c r="M319" s="46" t="str">
        <f ca="1">IFERROR(IF(C319="","",IF($C$10=Parâmetros!$C$3,0,VLOOKUP(A319,'Base de Dados'!$E$3:$G$422,3,FALSE)*S319)),0)</f>
        <v/>
      </c>
      <c r="N319" s="34"/>
      <c r="O319" s="46" t="str">
        <f ca="1">IF(C319="","",IF(C320="",0,IF(E319="Construção",0,IF(E319="Seguro",$C$17*'Base de Dados'!$C$2,IF($C$14=Parâmetros!$B$4,0,Simulador!$C$17*'Base de Dados'!$C$2)))))</f>
        <v/>
      </c>
      <c r="P319" s="46"/>
      <c r="Q319" s="46" t="str">
        <f ca="1">IF(C319="","",IF(E319&lt;&gt;"Retorno",(I319+K319+M319),IF($G$20=Parâmetros!$D$2,SUM(G319,I319,K319,M319,O319),PMT($O$25,SUM($G$17),($O$10)*-1)+O319+M319+K319)))</f>
        <v/>
      </c>
      <c r="R319" s="46"/>
      <c r="S319" s="46" t="str">
        <f t="shared" ca="1" si="43"/>
        <v/>
      </c>
      <c r="U319" s="15" t="str">
        <f t="shared" ca="1" si="44"/>
        <v/>
      </c>
    </row>
    <row r="320" spans="1:21" x14ac:dyDescent="0.3">
      <c r="A320" s="49" t="str">
        <f t="shared" ca="1" si="37"/>
        <v/>
      </c>
      <c r="B320" s="49" t="str">
        <f t="shared" ca="1" si="38"/>
        <v/>
      </c>
      <c r="C320" s="81" t="str">
        <f t="shared" ca="1" si="39"/>
        <v/>
      </c>
      <c r="D320" s="34" t="str">
        <f t="shared" ca="1" si="40"/>
        <v/>
      </c>
      <c r="E320" s="4" t="str">
        <f t="shared" ca="1" si="41"/>
        <v/>
      </c>
      <c r="G320" s="46" t="str">
        <f ca="1">IF(C320="","",IF(E320&lt;&gt;"Retorno",0,IF($G$20=Parâmetros!$D$2,Simulador!$O$10/$G$17,IF($G$20=Parâmetros!$D$3,PMT($O$25,$G$17,($O$10)*-1)-I320,""))))</f>
        <v/>
      </c>
      <c r="H320" s="46"/>
      <c r="I320" s="46" t="str">
        <f t="shared" ca="1" si="36"/>
        <v/>
      </c>
      <c r="J320" s="34"/>
      <c r="K320" s="46" t="str">
        <f t="shared" ca="1" si="42"/>
        <v/>
      </c>
      <c r="L320" s="46"/>
      <c r="M320" s="46" t="str">
        <f ca="1">IFERROR(IF(C320="","",IF($C$10=Parâmetros!$C$3,0,VLOOKUP(A320,'Base de Dados'!$E$3:$G$422,3,FALSE)*S320)),0)</f>
        <v/>
      </c>
      <c r="N320" s="34"/>
      <c r="O320" s="46" t="str">
        <f ca="1">IF(C320="","",IF(C321="",0,IF(E320="Construção",0,IF(E320="Seguro",$C$17*'Base de Dados'!$C$2,IF($C$14=Parâmetros!$B$4,0,Simulador!$C$17*'Base de Dados'!$C$2)))))</f>
        <v/>
      </c>
      <c r="P320" s="46"/>
      <c r="Q320" s="46" t="str">
        <f ca="1">IF(C320="","",IF(E320&lt;&gt;"Retorno",(I320+K320+M320),IF($G$20=Parâmetros!$D$2,SUM(G320,I320,K320,M320,O320),PMT($O$25,SUM($G$17),($O$10)*-1)+O320+M320+K320)))</f>
        <v/>
      </c>
      <c r="R320" s="46"/>
      <c r="S320" s="46" t="str">
        <f t="shared" ca="1" si="43"/>
        <v/>
      </c>
      <c r="U320" s="15" t="str">
        <f t="shared" ca="1" si="44"/>
        <v/>
      </c>
    </row>
    <row r="321" spans="1:21" x14ac:dyDescent="0.3">
      <c r="A321" s="49" t="str">
        <f t="shared" ca="1" si="37"/>
        <v/>
      </c>
      <c r="B321" s="49" t="str">
        <f t="shared" ca="1" si="38"/>
        <v/>
      </c>
      <c r="C321" s="81" t="str">
        <f t="shared" ca="1" si="39"/>
        <v/>
      </c>
      <c r="D321" s="34" t="str">
        <f t="shared" ca="1" si="40"/>
        <v/>
      </c>
      <c r="E321" s="4" t="str">
        <f t="shared" ca="1" si="41"/>
        <v/>
      </c>
      <c r="G321" s="46" t="str">
        <f ca="1">IF(C321="","",IF(E321&lt;&gt;"Retorno",0,IF($G$20=Parâmetros!$D$2,Simulador!$O$10/$G$17,IF($G$20=Parâmetros!$D$3,PMT($O$25,$G$17,($O$10)*-1)-I321,""))))</f>
        <v/>
      </c>
      <c r="H321" s="46"/>
      <c r="I321" s="46" t="str">
        <f t="shared" ca="1" si="36"/>
        <v/>
      </c>
      <c r="J321" s="34"/>
      <c r="K321" s="46" t="str">
        <f t="shared" ca="1" si="42"/>
        <v/>
      </c>
      <c r="L321" s="46"/>
      <c r="M321" s="46" t="str">
        <f ca="1">IFERROR(IF(C321="","",IF($C$10=Parâmetros!$C$3,0,VLOOKUP(A321,'Base de Dados'!$E$3:$G$422,3,FALSE)*S321)),0)</f>
        <v/>
      </c>
      <c r="N321" s="34"/>
      <c r="O321" s="46" t="str">
        <f ca="1">IF(C321="","",IF(C322="",0,IF(E321="Construção",0,IF(E321="Seguro",$C$17*'Base de Dados'!$C$2,IF($C$14=Parâmetros!$B$4,0,Simulador!$C$17*'Base de Dados'!$C$2)))))</f>
        <v/>
      </c>
      <c r="P321" s="46"/>
      <c r="Q321" s="46" t="str">
        <f ca="1">IF(C321="","",IF(E321&lt;&gt;"Retorno",(I321+K321+M321),IF($G$20=Parâmetros!$D$2,SUM(G321,I321,K321,M321,O321),PMT($O$25,SUM($G$17),($O$10)*-1)+O321+M321+K321)))</f>
        <v/>
      </c>
      <c r="R321" s="46"/>
      <c r="S321" s="46" t="str">
        <f t="shared" ca="1" si="43"/>
        <v/>
      </c>
      <c r="U321" s="15" t="str">
        <f t="shared" ca="1" si="44"/>
        <v/>
      </c>
    </row>
    <row r="322" spans="1:21" x14ac:dyDescent="0.3">
      <c r="A322" s="49" t="str">
        <f t="shared" ca="1" si="37"/>
        <v/>
      </c>
      <c r="B322" s="49" t="str">
        <f t="shared" ca="1" si="38"/>
        <v/>
      </c>
      <c r="C322" s="81" t="str">
        <f t="shared" ca="1" si="39"/>
        <v/>
      </c>
      <c r="D322" s="34" t="str">
        <f t="shared" ca="1" si="40"/>
        <v/>
      </c>
      <c r="E322" s="4" t="str">
        <f t="shared" ca="1" si="41"/>
        <v/>
      </c>
      <c r="G322" s="46" t="str">
        <f ca="1">IF(C322="","",IF(E322&lt;&gt;"Retorno",0,IF($G$20=Parâmetros!$D$2,Simulador!$O$10/$G$17,IF($G$20=Parâmetros!$D$3,PMT($O$25,$G$17,($O$10)*-1)-I322,""))))</f>
        <v/>
      </c>
      <c r="H322" s="46"/>
      <c r="I322" s="46" t="str">
        <f t="shared" ca="1" si="36"/>
        <v/>
      </c>
      <c r="J322" s="34"/>
      <c r="K322" s="46" t="str">
        <f t="shared" ca="1" si="42"/>
        <v/>
      </c>
      <c r="L322" s="46"/>
      <c r="M322" s="46" t="str">
        <f ca="1">IFERROR(IF(C322="","",IF($C$10=Parâmetros!$C$3,0,VLOOKUP(A322,'Base de Dados'!$E$3:$G$422,3,FALSE)*S322)),0)</f>
        <v/>
      </c>
      <c r="N322" s="34"/>
      <c r="O322" s="46" t="str">
        <f ca="1">IF(C322="","",IF(C323="",0,IF(E322="Construção",0,IF(E322="Seguro",$C$17*'Base de Dados'!$C$2,IF($C$14=Parâmetros!$B$4,0,Simulador!$C$17*'Base de Dados'!$C$2)))))</f>
        <v/>
      </c>
      <c r="P322" s="46"/>
      <c r="Q322" s="46" t="str">
        <f ca="1">IF(C322="","",IF(E322&lt;&gt;"Retorno",(I322+K322+M322),IF($G$20=Parâmetros!$D$2,SUM(G322,I322,K322,M322,O322),PMT($O$25,SUM($G$17),($O$10)*-1)+O322+M322+K322)))</f>
        <v/>
      </c>
      <c r="R322" s="46"/>
      <c r="S322" s="46" t="str">
        <f t="shared" ca="1" si="43"/>
        <v/>
      </c>
      <c r="U322" s="15" t="str">
        <f t="shared" ca="1" si="44"/>
        <v/>
      </c>
    </row>
    <row r="323" spans="1:21" x14ac:dyDescent="0.3">
      <c r="A323" s="49" t="str">
        <f t="shared" ca="1" si="37"/>
        <v/>
      </c>
      <c r="B323" s="49" t="str">
        <f t="shared" ca="1" si="38"/>
        <v/>
      </c>
      <c r="C323" s="81" t="str">
        <f t="shared" ca="1" si="39"/>
        <v/>
      </c>
      <c r="D323" s="34" t="str">
        <f t="shared" ca="1" si="40"/>
        <v/>
      </c>
      <c r="E323" s="4" t="str">
        <f t="shared" ca="1" si="41"/>
        <v/>
      </c>
      <c r="G323" s="46" t="str">
        <f ca="1">IF(C323="","",IF(E323&lt;&gt;"Retorno",0,IF($G$20=Parâmetros!$D$2,Simulador!$O$10/$G$17,IF($G$20=Parâmetros!$D$3,PMT($O$25,$G$17,($O$10)*-1)-I323,""))))</f>
        <v/>
      </c>
      <c r="H323" s="46"/>
      <c r="I323" s="46" t="str">
        <f t="shared" ca="1" si="36"/>
        <v/>
      </c>
      <c r="J323" s="34"/>
      <c r="K323" s="46" t="str">
        <f t="shared" ca="1" si="42"/>
        <v/>
      </c>
      <c r="L323" s="46"/>
      <c r="M323" s="46" t="str">
        <f ca="1">IFERROR(IF(C323="","",IF($C$10=Parâmetros!$C$3,0,VLOOKUP(A323,'Base de Dados'!$E$3:$G$422,3,FALSE)*S323)),0)</f>
        <v/>
      </c>
      <c r="N323" s="34"/>
      <c r="O323" s="46" t="str">
        <f ca="1">IF(C323="","",IF(C324="",0,IF(E323="Construção",0,IF(E323="Seguro",$C$17*'Base de Dados'!$C$2,IF($C$14=Parâmetros!$B$4,0,Simulador!$C$17*'Base de Dados'!$C$2)))))</f>
        <v/>
      </c>
      <c r="P323" s="46"/>
      <c r="Q323" s="46" t="str">
        <f ca="1">IF(C323="","",IF(E323&lt;&gt;"Retorno",(I323+K323+M323),IF($G$20=Parâmetros!$D$2,SUM(G323,I323,K323,M323,O323),PMT($O$25,SUM($G$17),($O$10)*-1)+O323+M323+K323)))</f>
        <v/>
      </c>
      <c r="R323" s="46"/>
      <c r="S323" s="46" t="str">
        <f t="shared" ca="1" si="43"/>
        <v/>
      </c>
      <c r="U323" s="15" t="str">
        <f t="shared" ca="1" si="44"/>
        <v/>
      </c>
    </row>
    <row r="324" spans="1:21" x14ac:dyDescent="0.3">
      <c r="A324" s="49" t="str">
        <f t="shared" ca="1" si="37"/>
        <v/>
      </c>
      <c r="B324" s="49" t="str">
        <f t="shared" ca="1" si="38"/>
        <v/>
      </c>
      <c r="C324" s="81" t="str">
        <f t="shared" ca="1" si="39"/>
        <v/>
      </c>
      <c r="D324" s="34" t="str">
        <f t="shared" ca="1" si="40"/>
        <v/>
      </c>
      <c r="E324" s="4" t="str">
        <f t="shared" ca="1" si="41"/>
        <v/>
      </c>
      <c r="G324" s="46" t="str">
        <f ca="1">IF(C324="","",IF(E324&lt;&gt;"Retorno",0,IF($G$20=Parâmetros!$D$2,Simulador!$O$10/$G$17,IF($G$20=Parâmetros!$D$3,PMT($O$25,$G$17,($O$10)*-1)-I324,""))))</f>
        <v/>
      </c>
      <c r="H324" s="46"/>
      <c r="I324" s="46" t="str">
        <f t="shared" ca="1" si="36"/>
        <v/>
      </c>
      <c r="J324" s="34"/>
      <c r="K324" s="46" t="str">
        <f t="shared" ca="1" si="42"/>
        <v/>
      </c>
      <c r="L324" s="46"/>
      <c r="M324" s="46" t="str">
        <f ca="1">IFERROR(IF(C324="","",IF($C$10=Parâmetros!$C$3,0,VLOOKUP(A324,'Base de Dados'!$E$3:$G$422,3,FALSE)*S324)),0)</f>
        <v/>
      </c>
      <c r="N324" s="34"/>
      <c r="O324" s="46" t="str">
        <f ca="1">IF(C324="","",IF(C325="",0,IF(E324="Construção",0,IF(E324="Seguro",$C$17*'Base de Dados'!$C$2,IF($C$14=Parâmetros!$B$4,0,Simulador!$C$17*'Base de Dados'!$C$2)))))</f>
        <v/>
      </c>
      <c r="P324" s="46"/>
      <c r="Q324" s="46" t="str">
        <f ca="1">IF(C324="","",IF(E324&lt;&gt;"Retorno",(I324+K324+M324),IF($G$20=Parâmetros!$D$2,SUM(G324,I324,K324,M324,O324),PMT($O$25,SUM($G$17),($O$10)*-1)+O324+M324+K324)))</f>
        <v/>
      </c>
      <c r="R324" s="46"/>
      <c r="S324" s="46" t="str">
        <f t="shared" ca="1" si="43"/>
        <v/>
      </c>
      <c r="U324" s="15" t="str">
        <f t="shared" ca="1" si="44"/>
        <v/>
      </c>
    </row>
    <row r="325" spans="1:21" x14ac:dyDescent="0.3">
      <c r="A325" s="49" t="str">
        <f t="shared" ca="1" si="37"/>
        <v/>
      </c>
      <c r="B325" s="49" t="str">
        <f t="shared" ca="1" si="38"/>
        <v/>
      </c>
      <c r="C325" s="81" t="str">
        <f t="shared" ca="1" si="39"/>
        <v/>
      </c>
      <c r="D325" s="34" t="str">
        <f t="shared" ca="1" si="40"/>
        <v/>
      </c>
      <c r="E325" s="4" t="str">
        <f t="shared" ca="1" si="41"/>
        <v/>
      </c>
      <c r="G325" s="46" t="str">
        <f ca="1">IF(C325="","",IF(E325&lt;&gt;"Retorno",0,IF($G$20=Parâmetros!$D$2,Simulador!$O$10/$G$17,IF($G$20=Parâmetros!$D$3,PMT($O$25,$G$17,($O$10)*-1)-I325,""))))</f>
        <v/>
      </c>
      <c r="H325" s="46"/>
      <c r="I325" s="46" t="str">
        <f t="shared" ca="1" si="36"/>
        <v/>
      </c>
      <c r="J325" s="34"/>
      <c r="K325" s="46" t="str">
        <f t="shared" ca="1" si="42"/>
        <v/>
      </c>
      <c r="L325" s="46"/>
      <c r="M325" s="46" t="str">
        <f ca="1">IFERROR(IF(C325="","",IF($C$10=Parâmetros!$C$3,0,VLOOKUP(A325,'Base de Dados'!$E$3:$G$422,3,FALSE)*S325)),0)</f>
        <v/>
      </c>
      <c r="N325" s="34"/>
      <c r="O325" s="46" t="str">
        <f ca="1">IF(C325="","",IF(C326="",0,IF(E325="Construção",0,IF(E325="Seguro",$C$17*'Base de Dados'!$C$2,IF($C$14=Parâmetros!$B$4,0,Simulador!$C$17*'Base de Dados'!$C$2)))))</f>
        <v/>
      </c>
      <c r="P325" s="46"/>
      <c r="Q325" s="46" t="str">
        <f ca="1">IF(C325="","",IF(E325&lt;&gt;"Retorno",(I325+K325+M325),IF($G$20=Parâmetros!$D$2,SUM(G325,I325,K325,M325,O325),PMT($O$25,SUM($G$17),($O$10)*-1)+O325+M325+K325)))</f>
        <v/>
      </c>
      <c r="R325" s="46"/>
      <c r="S325" s="46" t="str">
        <f t="shared" ca="1" si="43"/>
        <v/>
      </c>
      <c r="U325" s="15" t="str">
        <f t="shared" ca="1" si="44"/>
        <v/>
      </c>
    </row>
    <row r="326" spans="1:21" x14ac:dyDescent="0.3">
      <c r="A326" s="49" t="str">
        <f t="shared" ca="1" si="37"/>
        <v/>
      </c>
      <c r="B326" s="49" t="str">
        <f t="shared" ca="1" si="38"/>
        <v/>
      </c>
      <c r="C326" s="81" t="str">
        <f t="shared" ca="1" si="39"/>
        <v/>
      </c>
      <c r="D326" s="34" t="str">
        <f t="shared" ca="1" si="40"/>
        <v/>
      </c>
      <c r="E326" s="4" t="str">
        <f t="shared" ca="1" si="41"/>
        <v/>
      </c>
      <c r="G326" s="46" t="str">
        <f ca="1">IF(C326="","",IF(E326&lt;&gt;"Retorno",0,IF($G$20=Parâmetros!$D$2,Simulador!$O$10/$G$17,IF($G$20=Parâmetros!$D$3,PMT($O$25,$G$17,($O$10)*-1)-I326,""))))</f>
        <v/>
      </c>
      <c r="H326" s="46"/>
      <c r="I326" s="46" t="str">
        <f t="shared" ca="1" si="36"/>
        <v/>
      </c>
      <c r="J326" s="34"/>
      <c r="K326" s="46" t="str">
        <f t="shared" ca="1" si="42"/>
        <v/>
      </c>
      <c r="L326" s="46"/>
      <c r="M326" s="46" t="str">
        <f ca="1">IFERROR(IF(C326="","",IF($C$10=Parâmetros!$C$3,0,VLOOKUP(A326,'Base de Dados'!$E$3:$G$422,3,FALSE)*S326)),0)</f>
        <v/>
      </c>
      <c r="N326" s="34"/>
      <c r="O326" s="46" t="str">
        <f ca="1">IF(C326="","",IF(C327="",0,IF(E326="Construção",0,IF(E326="Seguro",$C$17*'Base de Dados'!$C$2,IF($C$14=Parâmetros!$B$4,0,Simulador!$C$17*'Base de Dados'!$C$2)))))</f>
        <v/>
      </c>
      <c r="P326" s="46"/>
      <c r="Q326" s="46" t="str">
        <f ca="1">IF(C326="","",IF(E326&lt;&gt;"Retorno",(I326+K326+M326),IF($G$20=Parâmetros!$D$2,SUM(G326,I326,K326,M326,O326),PMT($O$25,SUM($G$17),($O$10)*-1)+O326+M326+K326)))</f>
        <v/>
      </c>
      <c r="R326" s="46"/>
      <c r="S326" s="46" t="str">
        <f t="shared" ca="1" si="43"/>
        <v/>
      </c>
      <c r="U326" s="15" t="str">
        <f t="shared" ca="1" si="44"/>
        <v/>
      </c>
    </row>
    <row r="327" spans="1:21" x14ac:dyDescent="0.3">
      <c r="A327" s="49" t="str">
        <f t="shared" ca="1" si="37"/>
        <v/>
      </c>
      <c r="B327" s="49" t="str">
        <f t="shared" ca="1" si="38"/>
        <v/>
      </c>
      <c r="C327" s="81" t="str">
        <f t="shared" ca="1" si="39"/>
        <v/>
      </c>
      <c r="D327" s="34" t="str">
        <f t="shared" ca="1" si="40"/>
        <v/>
      </c>
      <c r="E327" s="4" t="str">
        <f t="shared" ca="1" si="41"/>
        <v/>
      </c>
      <c r="G327" s="46" t="str">
        <f ca="1">IF(C327="","",IF(E327&lt;&gt;"Retorno",0,IF($G$20=Parâmetros!$D$2,Simulador!$O$10/$G$17,IF($G$20=Parâmetros!$D$3,PMT($O$25,$G$17,($O$10)*-1)-I327,""))))</f>
        <v/>
      </c>
      <c r="H327" s="46"/>
      <c r="I327" s="46" t="str">
        <f t="shared" ca="1" si="36"/>
        <v/>
      </c>
      <c r="J327" s="34"/>
      <c r="K327" s="46" t="str">
        <f t="shared" ca="1" si="42"/>
        <v/>
      </c>
      <c r="L327" s="46"/>
      <c r="M327" s="46" t="str">
        <f ca="1">IFERROR(IF(C327="","",IF($C$10=Parâmetros!$C$3,0,VLOOKUP(A327,'Base de Dados'!$E$3:$G$422,3,FALSE)*S327)),0)</f>
        <v/>
      </c>
      <c r="N327" s="34"/>
      <c r="O327" s="46" t="str">
        <f ca="1">IF(C327="","",IF(C328="",0,IF(E327="Construção",0,IF(E327="Seguro",$C$17*'Base de Dados'!$C$2,IF($C$14=Parâmetros!$B$4,0,Simulador!$C$17*'Base de Dados'!$C$2)))))</f>
        <v/>
      </c>
      <c r="P327" s="46"/>
      <c r="Q327" s="46" t="str">
        <f ca="1">IF(C327="","",IF(E327&lt;&gt;"Retorno",(I327+K327+M327),IF($G$20=Parâmetros!$D$2,SUM(G327,I327,K327,M327,O327),PMT($O$25,SUM($G$17),($O$10)*-1)+O327+M327+K327)))</f>
        <v/>
      </c>
      <c r="R327" s="46"/>
      <c r="S327" s="46" t="str">
        <f t="shared" ca="1" si="43"/>
        <v/>
      </c>
      <c r="U327" s="15" t="str">
        <f t="shared" ca="1" si="44"/>
        <v/>
      </c>
    </row>
    <row r="328" spans="1:21" x14ac:dyDescent="0.3">
      <c r="A328" s="49" t="str">
        <f t="shared" ca="1" si="37"/>
        <v/>
      </c>
      <c r="B328" s="49" t="str">
        <f t="shared" ca="1" si="38"/>
        <v/>
      </c>
      <c r="C328" s="81" t="str">
        <f t="shared" ca="1" si="39"/>
        <v/>
      </c>
      <c r="D328" s="34" t="str">
        <f t="shared" ca="1" si="40"/>
        <v/>
      </c>
      <c r="E328" s="4" t="str">
        <f t="shared" ca="1" si="41"/>
        <v/>
      </c>
      <c r="G328" s="46" t="str">
        <f ca="1">IF(C328="","",IF(E328&lt;&gt;"Retorno",0,IF($G$20=Parâmetros!$D$2,Simulador!$O$10/$G$17,IF($G$20=Parâmetros!$D$3,PMT($O$25,$G$17,($O$10)*-1)-I328,""))))</f>
        <v/>
      </c>
      <c r="H328" s="46"/>
      <c r="I328" s="46" t="str">
        <f t="shared" ca="1" si="36"/>
        <v/>
      </c>
      <c r="J328" s="34"/>
      <c r="K328" s="46" t="str">
        <f t="shared" ca="1" si="42"/>
        <v/>
      </c>
      <c r="L328" s="46"/>
      <c r="M328" s="46" t="str">
        <f ca="1">IFERROR(IF(C328="","",IF($C$10=Parâmetros!$C$3,0,VLOOKUP(A328,'Base de Dados'!$E$3:$G$422,3,FALSE)*S328)),0)</f>
        <v/>
      </c>
      <c r="N328" s="34"/>
      <c r="O328" s="46" t="str">
        <f ca="1">IF(C328="","",IF(C329="",0,IF(E328="Construção",0,IF(E328="Seguro",$C$17*'Base de Dados'!$C$2,IF($C$14=Parâmetros!$B$4,0,Simulador!$C$17*'Base de Dados'!$C$2)))))</f>
        <v/>
      </c>
      <c r="P328" s="46"/>
      <c r="Q328" s="46" t="str">
        <f ca="1">IF(C328="","",IF(E328&lt;&gt;"Retorno",(I328+K328+M328),IF($G$20=Parâmetros!$D$2,SUM(G328,I328,K328,M328,O328),PMT($O$25,SUM($G$17),($O$10)*-1)+O328+M328+K328)))</f>
        <v/>
      </c>
      <c r="R328" s="46"/>
      <c r="S328" s="46" t="str">
        <f t="shared" ca="1" si="43"/>
        <v/>
      </c>
      <c r="U328" s="15" t="str">
        <f t="shared" ca="1" si="44"/>
        <v/>
      </c>
    </row>
    <row r="329" spans="1:21" x14ac:dyDescent="0.3">
      <c r="A329" s="49" t="str">
        <f t="shared" ca="1" si="37"/>
        <v/>
      </c>
      <c r="B329" s="49" t="str">
        <f t="shared" ca="1" si="38"/>
        <v/>
      </c>
      <c r="C329" s="81" t="str">
        <f t="shared" ca="1" si="39"/>
        <v/>
      </c>
      <c r="D329" s="34" t="str">
        <f t="shared" ca="1" si="40"/>
        <v/>
      </c>
      <c r="E329" s="4" t="str">
        <f t="shared" ca="1" si="41"/>
        <v/>
      </c>
      <c r="G329" s="46" t="str">
        <f ca="1">IF(C329="","",IF(E329&lt;&gt;"Retorno",0,IF($G$20=Parâmetros!$D$2,Simulador!$O$10/$G$17,IF($G$20=Parâmetros!$D$3,PMT($O$25,$G$17,($O$10)*-1)-I329,""))))</f>
        <v/>
      </c>
      <c r="H329" s="46"/>
      <c r="I329" s="46" t="str">
        <f t="shared" ca="1" si="36"/>
        <v/>
      </c>
      <c r="J329" s="34"/>
      <c r="K329" s="46" t="str">
        <f t="shared" ca="1" si="42"/>
        <v/>
      </c>
      <c r="L329" s="46"/>
      <c r="M329" s="46" t="str">
        <f ca="1">IFERROR(IF(C329="","",IF($C$10=Parâmetros!$C$3,0,VLOOKUP(A329,'Base de Dados'!$E$3:$G$422,3,FALSE)*S329)),0)</f>
        <v/>
      </c>
      <c r="N329" s="34"/>
      <c r="O329" s="46" t="str">
        <f ca="1">IF(C329="","",IF(C330="",0,IF(E329="Construção",0,IF(E329="Seguro",$C$17*'Base de Dados'!$C$2,IF($C$14=Parâmetros!$B$4,0,Simulador!$C$17*'Base de Dados'!$C$2)))))</f>
        <v/>
      </c>
      <c r="P329" s="46"/>
      <c r="Q329" s="46" t="str">
        <f ca="1">IF(C329="","",IF(E329&lt;&gt;"Retorno",(I329+K329+M329),IF($G$20=Parâmetros!$D$2,SUM(G329,I329,K329,M329,O329),PMT($O$25,SUM($G$17),($O$10)*-1)+O329+M329+K329)))</f>
        <v/>
      </c>
      <c r="R329" s="46"/>
      <c r="S329" s="46" t="str">
        <f t="shared" ca="1" si="43"/>
        <v/>
      </c>
      <c r="U329" s="15" t="str">
        <f t="shared" ca="1" si="44"/>
        <v/>
      </c>
    </row>
    <row r="330" spans="1:21" x14ac:dyDescent="0.3">
      <c r="A330" s="49" t="str">
        <f t="shared" ca="1" si="37"/>
        <v/>
      </c>
      <c r="B330" s="49" t="str">
        <f t="shared" ca="1" si="38"/>
        <v/>
      </c>
      <c r="C330" s="81" t="str">
        <f t="shared" ca="1" si="39"/>
        <v/>
      </c>
      <c r="D330" s="34" t="str">
        <f t="shared" ca="1" si="40"/>
        <v/>
      </c>
      <c r="E330" s="4" t="str">
        <f t="shared" ca="1" si="41"/>
        <v/>
      </c>
      <c r="G330" s="46" t="str">
        <f ca="1">IF(C330="","",IF(E330&lt;&gt;"Retorno",0,IF($G$20=Parâmetros!$D$2,Simulador!$O$10/$G$17,IF($G$20=Parâmetros!$D$3,PMT($O$25,$G$17,($O$10)*-1)-I330,""))))</f>
        <v/>
      </c>
      <c r="H330" s="46"/>
      <c r="I330" s="46" t="str">
        <f t="shared" ca="1" si="36"/>
        <v/>
      </c>
      <c r="J330" s="34"/>
      <c r="K330" s="46" t="str">
        <f t="shared" ca="1" si="42"/>
        <v/>
      </c>
      <c r="L330" s="46"/>
      <c r="M330" s="46" t="str">
        <f ca="1">IFERROR(IF(C330="","",IF($C$10=Parâmetros!$C$3,0,VLOOKUP(A330,'Base de Dados'!$E$3:$G$422,3,FALSE)*S330)),0)</f>
        <v/>
      </c>
      <c r="N330" s="34"/>
      <c r="O330" s="46" t="str">
        <f ca="1">IF(C330="","",IF(C331="",0,IF(E330="Construção",0,IF(E330="Seguro",$C$17*'Base de Dados'!$C$2,IF($C$14=Parâmetros!$B$4,0,Simulador!$C$17*'Base de Dados'!$C$2)))))</f>
        <v/>
      </c>
      <c r="P330" s="46"/>
      <c r="Q330" s="46" t="str">
        <f ca="1">IF(C330="","",IF(E330&lt;&gt;"Retorno",(I330+K330+M330),IF($G$20=Parâmetros!$D$2,SUM(G330,I330,K330,M330,O330),PMT($O$25,SUM($G$17),($O$10)*-1)+O330+M330+K330)))</f>
        <v/>
      </c>
      <c r="R330" s="46"/>
      <c r="S330" s="46" t="str">
        <f t="shared" ca="1" si="43"/>
        <v/>
      </c>
      <c r="U330" s="15" t="str">
        <f t="shared" ca="1" si="44"/>
        <v/>
      </c>
    </row>
    <row r="331" spans="1:21" x14ac:dyDescent="0.3">
      <c r="A331" s="49" t="str">
        <f t="shared" ca="1" si="37"/>
        <v/>
      </c>
      <c r="B331" s="49" t="str">
        <f t="shared" ca="1" si="38"/>
        <v/>
      </c>
      <c r="C331" s="81" t="str">
        <f t="shared" ca="1" si="39"/>
        <v/>
      </c>
      <c r="D331" s="34" t="str">
        <f t="shared" ca="1" si="40"/>
        <v/>
      </c>
      <c r="E331" s="4" t="str">
        <f t="shared" ca="1" si="41"/>
        <v/>
      </c>
      <c r="G331" s="46" t="str">
        <f ca="1">IF(C331="","",IF(E331&lt;&gt;"Retorno",0,IF($G$20=Parâmetros!$D$2,Simulador!$O$10/$G$17,IF($G$20=Parâmetros!$D$3,PMT($O$25,$G$17,($O$10)*-1)-I331,""))))</f>
        <v/>
      </c>
      <c r="H331" s="46"/>
      <c r="I331" s="46" t="str">
        <f t="shared" ca="1" si="36"/>
        <v/>
      </c>
      <c r="J331" s="34"/>
      <c r="K331" s="46" t="str">
        <f t="shared" ca="1" si="42"/>
        <v/>
      </c>
      <c r="L331" s="46"/>
      <c r="M331" s="46" t="str">
        <f ca="1">IFERROR(IF(C331="","",IF($C$10=Parâmetros!$C$3,0,VLOOKUP(A331,'Base de Dados'!$E$3:$G$422,3,FALSE)*S331)),0)</f>
        <v/>
      </c>
      <c r="N331" s="34"/>
      <c r="O331" s="46" t="str">
        <f ca="1">IF(C331="","",IF(C332="",0,IF(E331="Construção",0,IF(E331="Seguro",$C$17*'Base de Dados'!$C$2,IF($C$14=Parâmetros!$B$4,0,Simulador!$C$17*'Base de Dados'!$C$2)))))</f>
        <v/>
      </c>
      <c r="P331" s="46"/>
      <c r="Q331" s="46" t="str">
        <f ca="1">IF(C331="","",IF(E331&lt;&gt;"Retorno",(I331+K331+M331),IF($G$20=Parâmetros!$D$2,SUM(G331,I331,K331,M331,O331),PMT($O$25,SUM($G$17),($O$10)*-1)+O331+M331+K331)))</f>
        <v/>
      </c>
      <c r="R331" s="46"/>
      <c r="S331" s="46" t="str">
        <f t="shared" ca="1" si="43"/>
        <v/>
      </c>
      <c r="U331" s="15" t="str">
        <f t="shared" ca="1" si="44"/>
        <v/>
      </c>
    </row>
    <row r="332" spans="1:21" x14ac:dyDescent="0.3">
      <c r="A332" s="49" t="str">
        <f t="shared" ca="1" si="37"/>
        <v/>
      </c>
      <c r="B332" s="49" t="str">
        <f t="shared" ca="1" si="38"/>
        <v/>
      </c>
      <c r="C332" s="81" t="str">
        <f t="shared" ca="1" si="39"/>
        <v/>
      </c>
      <c r="D332" s="34" t="str">
        <f t="shared" ca="1" si="40"/>
        <v/>
      </c>
      <c r="E332" s="4" t="str">
        <f t="shared" ca="1" si="41"/>
        <v/>
      </c>
      <c r="G332" s="46" t="str">
        <f ca="1">IF(C332="","",IF(E332&lt;&gt;"Retorno",0,IF($G$20=Parâmetros!$D$2,Simulador!$O$10/$G$17,IF($G$20=Parâmetros!$D$3,PMT($O$25,$G$17,($O$10)*-1)-I332,""))))</f>
        <v/>
      </c>
      <c r="H332" s="46"/>
      <c r="I332" s="46" t="str">
        <f t="shared" ca="1" si="36"/>
        <v/>
      </c>
      <c r="J332" s="34"/>
      <c r="K332" s="46" t="str">
        <f t="shared" ca="1" si="42"/>
        <v/>
      </c>
      <c r="L332" s="46"/>
      <c r="M332" s="46" t="str">
        <f ca="1">IFERROR(IF(C332="","",IF($C$10=Parâmetros!$C$3,0,VLOOKUP(A332,'Base de Dados'!$E$3:$G$422,3,FALSE)*S332)),0)</f>
        <v/>
      </c>
      <c r="N332" s="34"/>
      <c r="O332" s="46" t="str">
        <f ca="1">IF(C332="","",IF(C333="",0,IF(E332="Construção",0,IF(E332="Seguro",$C$17*'Base de Dados'!$C$2,IF($C$14=Parâmetros!$B$4,0,Simulador!$C$17*'Base de Dados'!$C$2)))))</f>
        <v/>
      </c>
      <c r="P332" s="46"/>
      <c r="Q332" s="46" t="str">
        <f ca="1">IF(C332="","",IF(E332&lt;&gt;"Retorno",(I332+K332+M332),IF($G$20=Parâmetros!$D$2,SUM(G332,I332,K332,M332,O332),PMT($O$25,SUM($G$17),($O$10)*-1)+O332+M332+K332)))</f>
        <v/>
      </c>
      <c r="R332" s="46"/>
      <c r="S332" s="46" t="str">
        <f t="shared" ca="1" si="43"/>
        <v/>
      </c>
      <c r="U332" s="15" t="str">
        <f t="shared" ca="1" si="44"/>
        <v/>
      </c>
    </row>
    <row r="333" spans="1:21" x14ac:dyDescent="0.3">
      <c r="A333" s="49" t="str">
        <f t="shared" ca="1" si="37"/>
        <v/>
      </c>
      <c r="B333" s="49" t="str">
        <f t="shared" ca="1" si="38"/>
        <v/>
      </c>
      <c r="C333" s="81" t="str">
        <f t="shared" ca="1" si="39"/>
        <v/>
      </c>
      <c r="D333" s="34" t="str">
        <f t="shared" ca="1" si="40"/>
        <v/>
      </c>
      <c r="E333" s="4" t="str">
        <f t="shared" ca="1" si="41"/>
        <v/>
      </c>
      <c r="G333" s="46" t="str">
        <f ca="1">IF(C333="","",IF(E333&lt;&gt;"Retorno",0,IF($G$20=Parâmetros!$D$2,Simulador!$O$10/$G$17,IF($G$20=Parâmetros!$D$3,PMT($O$25,$G$17,($O$10)*-1)-I333,""))))</f>
        <v/>
      </c>
      <c r="H333" s="46"/>
      <c r="I333" s="46" t="str">
        <f t="shared" ca="1" si="36"/>
        <v/>
      </c>
      <c r="J333" s="34"/>
      <c r="K333" s="46" t="str">
        <f t="shared" ca="1" si="42"/>
        <v/>
      </c>
      <c r="L333" s="46"/>
      <c r="M333" s="46" t="str">
        <f ca="1">IFERROR(IF(C333="","",IF($C$10=Parâmetros!$C$3,0,VLOOKUP(A333,'Base de Dados'!$E$3:$G$422,3,FALSE)*S333)),0)</f>
        <v/>
      </c>
      <c r="N333" s="34"/>
      <c r="O333" s="46" t="str">
        <f ca="1">IF(C333="","",IF(C334="",0,IF(E333="Construção",0,IF(E333="Seguro",$C$17*'Base de Dados'!$C$2,IF($C$14=Parâmetros!$B$4,0,Simulador!$C$17*'Base de Dados'!$C$2)))))</f>
        <v/>
      </c>
      <c r="P333" s="46"/>
      <c r="Q333" s="46" t="str">
        <f ca="1">IF(C333="","",IF(E333&lt;&gt;"Retorno",(I333+K333+M333),IF($G$20=Parâmetros!$D$2,SUM(G333,I333,K333,M333,O333),PMT($O$25,SUM($G$17),($O$10)*-1)+O333+M333+K333)))</f>
        <v/>
      </c>
      <c r="R333" s="46"/>
      <c r="S333" s="46" t="str">
        <f t="shared" ca="1" si="43"/>
        <v/>
      </c>
      <c r="U333" s="15" t="str">
        <f t="shared" ca="1" si="44"/>
        <v/>
      </c>
    </row>
    <row r="334" spans="1:21" x14ac:dyDescent="0.3">
      <c r="A334" s="49" t="str">
        <f t="shared" ca="1" si="37"/>
        <v/>
      </c>
      <c r="B334" s="49" t="str">
        <f t="shared" ca="1" si="38"/>
        <v/>
      </c>
      <c r="C334" s="81" t="str">
        <f t="shared" ca="1" si="39"/>
        <v/>
      </c>
      <c r="D334" s="34" t="str">
        <f t="shared" ca="1" si="40"/>
        <v/>
      </c>
      <c r="E334" s="4" t="str">
        <f t="shared" ca="1" si="41"/>
        <v/>
      </c>
      <c r="G334" s="46" t="str">
        <f ca="1">IF(C334="","",IF(E334&lt;&gt;"Retorno",0,IF($G$20=Parâmetros!$D$2,Simulador!$O$10/$G$17,IF($G$20=Parâmetros!$D$3,PMT($O$25,$G$17,($O$10)*-1)-I334,""))))</f>
        <v/>
      </c>
      <c r="H334" s="46"/>
      <c r="I334" s="46" t="str">
        <f t="shared" ca="1" si="36"/>
        <v/>
      </c>
      <c r="J334" s="34"/>
      <c r="K334" s="46" t="str">
        <f t="shared" ca="1" si="42"/>
        <v/>
      </c>
      <c r="L334" s="46"/>
      <c r="M334" s="46" t="str">
        <f ca="1">IFERROR(IF(C334="","",IF($C$10=Parâmetros!$C$3,0,VLOOKUP(A334,'Base de Dados'!$E$3:$G$422,3,FALSE)*S334)),0)</f>
        <v/>
      </c>
      <c r="N334" s="34"/>
      <c r="O334" s="46" t="str">
        <f ca="1">IF(C334="","",IF(C335="",0,IF(E334="Construção",0,IF(E334="Seguro",$C$17*'Base de Dados'!$C$2,IF($C$14=Parâmetros!$B$4,0,Simulador!$C$17*'Base de Dados'!$C$2)))))</f>
        <v/>
      </c>
      <c r="P334" s="46"/>
      <c r="Q334" s="46" t="str">
        <f ca="1">IF(C334="","",IF(E334&lt;&gt;"Retorno",(I334+K334+M334),IF($G$20=Parâmetros!$D$2,SUM(G334,I334,K334,M334,O334),PMT($O$25,SUM($G$17),($O$10)*-1)+O334+M334+K334)))</f>
        <v/>
      </c>
      <c r="R334" s="46"/>
      <c r="S334" s="46" t="str">
        <f t="shared" ca="1" si="43"/>
        <v/>
      </c>
      <c r="U334" s="15" t="str">
        <f t="shared" ca="1" si="44"/>
        <v/>
      </c>
    </row>
    <row r="335" spans="1:21" x14ac:dyDescent="0.3">
      <c r="A335" s="49" t="str">
        <f t="shared" ca="1" si="37"/>
        <v/>
      </c>
      <c r="B335" s="49" t="str">
        <f t="shared" ca="1" si="38"/>
        <v/>
      </c>
      <c r="C335" s="81" t="str">
        <f t="shared" ca="1" si="39"/>
        <v/>
      </c>
      <c r="D335" s="34" t="str">
        <f t="shared" ca="1" si="40"/>
        <v/>
      </c>
      <c r="E335" s="4" t="str">
        <f t="shared" ca="1" si="41"/>
        <v/>
      </c>
      <c r="G335" s="46" t="str">
        <f ca="1">IF(C335="","",IF(E335&lt;&gt;"Retorno",0,IF($G$20=Parâmetros!$D$2,Simulador!$O$10/$G$17,IF($G$20=Parâmetros!$D$3,PMT($O$25,$G$17,($O$10)*-1)-I335,""))))</f>
        <v/>
      </c>
      <c r="H335" s="46"/>
      <c r="I335" s="46" t="str">
        <f t="shared" ca="1" si="36"/>
        <v/>
      </c>
      <c r="J335" s="34"/>
      <c r="K335" s="46" t="str">
        <f t="shared" ca="1" si="42"/>
        <v/>
      </c>
      <c r="L335" s="46"/>
      <c r="M335" s="46" t="str">
        <f ca="1">IFERROR(IF(C335="","",IF($C$10=Parâmetros!$C$3,0,VLOOKUP(A335,'Base de Dados'!$E$3:$G$422,3,FALSE)*S335)),0)</f>
        <v/>
      </c>
      <c r="N335" s="34"/>
      <c r="O335" s="46" t="str">
        <f ca="1">IF(C335="","",IF(C336="",0,IF(E335="Construção",0,IF(E335="Seguro",$C$17*'Base de Dados'!$C$2,IF($C$14=Parâmetros!$B$4,0,Simulador!$C$17*'Base de Dados'!$C$2)))))</f>
        <v/>
      </c>
      <c r="P335" s="46"/>
      <c r="Q335" s="46" t="str">
        <f ca="1">IF(C335="","",IF(E335&lt;&gt;"Retorno",(I335+K335+M335),IF($G$20=Parâmetros!$D$2,SUM(G335,I335,K335,M335,O335),PMT($O$25,SUM($G$17),($O$10)*-1)+O335+M335+K335)))</f>
        <v/>
      </c>
      <c r="R335" s="46"/>
      <c r="S335" s="46" t="str">
        <f t="shared" ca="1" si="43"/>
        <v/>
      </c>
      <c r="U335" s="15" t="str">
        <f t="shared" ca="1" si="44"/>
        <v/>
      </c>
    </row>
    <row r="336" spans="1:21" x14ac:dyDescent="0.3">
      <c r="A336" s="49" t="str">
        <f t="shared" ca="1" si="37"/>
        <v/>
      </c>
      <c r="B336" s="49" t="str">
        <f t="shared" ca="1" si="38"/>
        <v/>
      </c>
      <c r="C336" s="81" t="str">
        <f t="shared" ca="1" si="39"/>
        <v/>
      </c>
      <c r="D336" s="34" t="str">
        <f t="shared" ca="1" si="40"/>
        <v/>
      </c>
      <c r="E336" s="4" t="str">
        <f t="shared" ca="1" si="41"/>
        <v/>
      </c>
      <c r="G336" s="46" t="str">
        <f ca="1">IF(C336="","",IF(E336&lt;&gt;"Retorno",0,IF($G$20=Parâmetros!$D$2,Simulador!$O$10/$G$17,IF($G$20=Parâmetros!$D$3,PMT($O$25,$G$17,($O$10)*-1)-I336,""))))</f>
        <v/>
      </c>
      <c r="H336" s="46"/>
      <c r="I336" s="46" t="str">
        <f t="shared" ca="1" si="36"/>
        <v/>
      </c>
      <c r="J336" s="34"/>
      <c r="K336" s="46" t="str">
        <f t="shared" ca="1" si="42"/>
        <v/>
      </c>
      <c r="L336" s="46"/>
      <c r="M336" s="46" t="str">
        <f ca="1">IFERROR(IF(C336="","",IF($C$10=Parâmetros!$C$3,0,VLOOKUP(A336,'Base de Dados'!$E$3:$G$422,3,FALSE)*S336)),0)</f>
        <v/>
      </c>
      <c r="N336" s="34"/>
      <c r="O336" s="46" t="str">
        <f ca="1">IF(C336="","",IF(C337="",0,IF(E336="Construção",0,IF(E336="Seguro",$C$17*'Base de Dados'!$C$2,IF($C$14=Parâmetros!$B$4,0,Simulador!$C$17*'Base de Dados'!$C$2)))))</f>
        <v/>
      </c>
      <c r="P336" s="46"/>
      <c r="Q336" s="46" t="str">
        <f ca="1">IF(C336="","",IF(E336&lt;&gt;"Retorno",(I336+K336+M336),IF($G$20=Parâmetros!$D$2,SUM(G336,I336,K336,M336,O336),PMT($O$25,SUM($G$17),($O$10)*-1)+O336+M336+K336)))</f>
        <v/>
      </c>
      <c r="R336" s="46"/>
      <c r="S336" s="46" t="str">
        <f t="shared" ca="1" si="43"/>
        <v/>
      </c>
      <c r="U336" s="15" t="str">
        <f t="shared" ca="1" si="44"/>
        <v/>
      </c>
    </row>
    <row r="337" spans="1:21" x14ac:dyDescent="0.3">
      <c r="A337" s="49" t="str">
        <f t="shared" ca="1" si="37"/>
        <v/>
      </c>
      <c r="B337" s="49" t="str">
        <f t="shared" ca="1" si="38"/>
        <v/>
      </c>
      <c r="C337" s="81" t="str">
        <f t="shared" ca="1" si="39"/>
        <v/>
      </c>
      <c r="D337" s="34" t="str">
        <f t="shared" ca="1" si="40"/>
        <v/>
      </c>
      <c r="E337" s="4" t="str">
        <f t="shared" ca="1" si="41"/>
        <v/>
      </c>
      <c r="G337" s="46" t="str">
        <f ca="1">IF(C337="","",IF(E337&lt;&gt;"Retorno",0,IF($G$20=Parâmetros!$D$2,Simulador!$O$10/$G$17,IF($G$20=Parâmetros!$D$3,PMT($O$25,$G$17,($O$10)*-1)-I337,""))))</f>
        <v/>
      </c>
      <c r="H337" s="46"/>
      <c r="I337" s="46" t="str">
        <f t="shared" ca="1" si="36"/>
        <v/>
      </c>
      <c r="J337" s="34"/>
      <c r="K337" s="46" t="str">
        <f t="shared" ca="1" si="42"/>
        <v/>
      </c>
      <c r="L337" s="46"/>
      <c r="M337" s="46" t="str">
        <f ca="1">IFERROR(IF(C337="","",IF($C$10=Parâmetros!$C$3,0,VLOOKUP(A337,'Base de Dados'!$E$3:$G$422,3,FALSE)*S337)),0)</f>
        <v/>
      </c>
      <c r="N337" s="34"/>
      <c r="O337" s="46" t="str">
        <f ca="1">IF(C337="","",IF(C338="",0,IF(E337="Construção",0,IF(E337="Seguro",$C$17*'Base de Dados'!$C$2,IF($C$14=Parâmetros!$B$4,0,Simulador!$C$17*'Base de Dados'!$C$2)))))</f>
        <v/>
      </c>
      <c r="P337" s="46"/>
      <c r="Q337" s="46" t="str">
        <f ca="1">IF(C337="","",IF(E337&lt;&gt;"Retorno",(I337+K337+M337),IF($G$20=Parâmetros!$D$2,SUM(G337,I337,K337,M337,O337),PMT($O$25,SUM($G$17),($O$10)*-1)+O337+M337+K337)))</f>
        <v/>
      </c>
      <c r="R337" s="46"/>
      <c r="S337" s="46" t="str">
        <f t="shared" ca="1" si="43"/>
        <v/>
      </c>
      <c r="U337" s="15" t="str">
        <f t="shared" ca="1" si="44"/>
        <v/>
      </c>
    </row>
    <row r="338" spans="1:21" x14ac:dyDescent="0.3">
      <c r="A338" s="49" t="str">
        <f t="shared" ca="1" si="37"/>
        <v/>
      </c>
      <c r="B338" s="49" t="str">
        <f t="shared" ca="1" si="38"/>
        <v/>
      </c>
      <c r="C338" s="81" t="str">
        <f t="shared" ca="1" si="39"/>
        <v/>
      </c>
      <c r="D338" s="34" t="str">
        <f t="shared" ca="1" si="40"/>
        <v/>
      </c>
      <c r="E338" s="4" t="str">
        <f t="shared" ca="1" si="41"/>
        <v/>
      </c>
      <c r="G338" s="46" t="str">
        <f ca="1">IF(C338="","",IF(E338&lt;&gt;"Retorno",0,IF($G$20=Parâmetros!$D$2,Simulador!$O$10/$G$17,IF($G$20=Parâmetros!$D$3,PMT($O$25,$G$17,($O$10)*-1)-I338,""))))</f>
        <v/>
      </c>
      <c r="H338" s="46"/>
      <c r="I338" s="46" t="str">
        <f t="shared" ca="1" si="36"/>
        <v/>
      </c>
      <c r="J338" s="34"/>
      <c r="K338" s="46" t="str">
        <f t="shared" ca="1" si="42"/>
        <v/>
      </c>
      <c r="L338" s="46"/>
      <c r="M338" s="46" t="str">
        <f ca="1">IFERROR(IF(C338="","",IF($C$10=Parâmetros!$C$3,0,VLOOKUP(A338,'Base de Dados'!$E$3:$G$422,3,FALSE)*S338)),0)</f>
        <v/>
      </c>
      <c r="N338" s="34"/>
      <c r="O338" s="46" t="str">
        <f ca="1">IF(C338="","",IF(C339="",0,IF(E338="Construção",0,IF(E338="Seguro",$C$17*'Base de Dados'!$C$2,IF($C$14=Parâmetros!$B$4,0,Simulador!$C$17*'Base de Dados'!$C$2)))))</f>
        <v/>
      </c>
      <c r="P338" s="46"/>
      <c r="Q338" s="46" t="str">
        <f ca="1">IF(C338="","",IF(E338&lt;&gt;"Retorno",(I338+K338+M338),IF($G$20=Parâmetros!$D$2,SUM(G338,I338,K338,M338,O338),PMT($O$25,SUM($G$17),($O$10)*-1)+O338+M338+K338)))</f>
        <v/>
      </c>
      <c r="R338" s="46"/>
      <c r="S338" s="46" t="str">
        <f t="shared" ca="1" si="43"/>
        <v/>
      </c>
      <c r="U338" s="15" t="str">
        <f t="shared" ca="1" si="44"/>
        <v/>
      </c>
    </row>
    <row r="339" spans="1:21" x14ac:dyDescent="0.3">
      <c r="A339" s="49" t="str">
        <f t="shared" ca="1" si="37"/>
        <v/>
      </c>
      <c r="B339" s="49" t="str">
        <f t="shared" ca="1" si="38"/>
        <v/>
      </c>
      <c r="C339" s="81" t="str">
        <f t="shared" ca="1" si="39"/>
        <v/>
      </c>
      <c r="D339" s="34" t="str">
        <f t="shared" ca="1" si="40"/>
        <v/>
      </c>
      <c r="E339" s="4" t="str">
        <f t="shared" ca="1" si="41"/>
        <v/>
      </c>
      <c r="G339" s="46" t="str">
        <f ca="1">IF(C339="","",IF(E339&lt;&gt;"Retorno",0,IF($G$20=Parâmetros!$D$2,Simulador!$O$10/$G$17,IF($G$20=Parâmetros!$D$3,PMT($O$25,$G$17,($O$10)*-1)-I339,""))))</f>
        <v/>
      </c>
      <c r="H339" s="46"/>
      <c r="I339" s="46" t="str">
        <f t="shared" ca="1" si="36"/>
        <v/>
      </c>
      <c r="J339" s="34"/>
      <c r="K339" s="46" t="str">
        <f t="shared" ca="1" si="42"/>
        <v/>
      </c>
      <c r="L339" s="46"/>
      <c r="M339" s="46" t="str">
        <f ca="1">IFERROR(IF(C339="","",IF($C$10=Parâmetros!$C$3,0,VLOOKUP(A339,'Base de Dados'!$E$3:$G$422,3,FALSE)*S339)),0)</f>
        <v/>
      </c>
      <c r="N339" s="34"/>
      <c r="O339" s="46" t="str">
        <f ca="1">IF(C339="","",IF(C340="",0,IF(E339="Construção",0,IF(E339="Seguro",$C$17*'Base de Dados'!$C$2,IF($C$14=Parâmetros!$B$4,0,Simulador!$C$17*'Base de Dados'!$C$2)))))</f>
        <v/>
      </c>
      <c r="P339" s="46"/>
      <c r="Q339" s="46" t="str">
        <f ca="1">IF(C339="","",IF(E339&lt;&gt;"Retorno",(I339+K339+M339),IF($G$20=Parâmetros!$D$2,SUM(G339,I339,K339,M339,O339),PMT($O$25,SUM($G$17),($O$10)*-1)+O339+M339+K339)))</f>
        <v/>
      </c>
      <c r="R339" s="46"/>
      <c r="S339" s="46" t="str">
        <f t="shared" ca="1" si="43"/>
        <v/>
      </c>
      <c r="U339" s="15" t="str">
        <f t="shared" ca="1" si="44"/>
        <v/>
      </c>
    </row>
    <row r="340" spans="1:21" x14ac:dyDescent="0.3">
      <c r="A340" s="49" t="str">
        <f t="shared" ca="1" si="37"/>
        <v/>
      </c>
      <c r="B340" s="49" t="str">
        <f t="shared" ca="1" si="38"/>
        <v/>
      </c>
      <c r="C340" s="81" t="str">
        <f t="shared" ca="1" si="39"/>
        <v/>
      </c>
      <c r="D340" s="34" t="str">
        <f t="shared" ca="1" si="40"/>
        <v/>
      </c>
      <c r="E340" s="4" t="str">
        <f t="shared" ca="1" si="41"/>
        <v/>
      </c>
      <c r="G340" s="46" t="str">
        <f ca="1">IF(C340="","",IF(E340&lt;&gt;"Retorno",0,IF($G$20=Parâmetros!$D$2,Simulador!$O$10/$G$17,IF($G$20=Parâmetros!$D$3,PMT($O$25,$G$17,($O$10)*-1)-I340,""))))</f>
        <v/>
      </c>
      <c r="H340" s="46"/>
      <c r="I340" s="46" t="str">
        <f t="shared" ca="1" si="36"/>
        <v/>
      </c>
      <c r="J340" s="34"/>
      <c r="K340" s="46" t="str">
        <f t="shared" ca="1" si="42"/>
        <v/>
      </c>
      <c r="L340" s="46"/>
      <c r="M340" s="46" t="str">
        <f ca="1">IFERROR(IF(C340="","",IF($C$10=Parâmetros!$C$3,0,VLOOKUP(A340,'Base de Dados'!$E$3:$G$422,3,FALSE)*S340)),0)</f>
        <v/>
      </c>
      <c r="N340" s="34"/>
      <c r="O340" s="46" t="str">
        <f ca="1">IF(C340="","",IF(C341="",0,IF(E340="Construção",0,IF(E340="Seguro",$C$17*'Base de Dados'!$C$2,IF($C$14=Parâmetros!$B$4,0,Simulador!$C$17*'Base de Dados'!$C$2)))))</f>
        <v/>
      </c>
      <c r="P340" s="46"/>
      <c r="Q340" s="46" t="str">
        <f ca="1">IF(C340="","",IF(E340&lt;&gt;"Retorno",(I340+K340+M340),IF($G$20=Parâmetros!$D$2,SUM(G340,I340,K340,M340,O340),PMT($O$25,SUM($G$17),($O$10)*-1)+O340+M340+K340)))</f>
        <v/>
      </c>
      <c r="R340" s="46"/>
      <c r="S340" s="46" t="str">
        <f t="shared" ca="1" si="43"/>
        <v/>
      </c>
      <c r="U340" s="15" t="str">
        <f t="shared" ca="1" si="44"/>
        <v/>
      </c>
    </row>
    <row r="341" spans="1:21" x14ac:dyDescent="0.3">
      <c r="A341" s="49" t="str">
        <f t="shared" ca="1" si="37"/>
        <v/>
      </c>
      <c r="B341" s="49" t="str">
        <f t="shared" ca="1" si="38"/>
        <v/>
      </c>
      <c r="C341" s="81" t="str">
        <f t="shared" ca="1" si="39"/>
        <v/>
      </c>
      <c r="D341" s="34" t="str">
        <f t="shared" ca="1" si="40"/>
        <v/>
      </c>
      <c r="E341" s="4" t="str">
        <f t="shared" ca="1" si="41"/>
        <v/>
      </c>
      <c r="G341" s="46" t="str">
        <f ca="1">IF(C341="","",IF(E341&lt;&gt;"Retorno",0,IF($G$20=Parâmetros!$D$2,Simulador!$O$10/$G$17,IF($G$20=Parâmetros!$D$3,PMT($O$25,$G$17,($O$10)*-1)-I341,""))))</f>
        <v/>
      </c>
      <c r="H341" s="46"/>
      <c r="I341" s="46" t="str">
        <f t="shared" ca="1" si="36"/>
        <v/>
      </c>
      <c r="J341" s="34"/>
      <c r="K341" s="46" t="str">
        <f t="shared" ca="1" si="42"/>
        <v/>
      </c>
      <c r="L341" s="46"/>
      <c r="M341" s="46" t="str">
        <f ca="1">IFERROR(IF(C341="","",IF($C$10=Parâmetros!$C$3,0,VLOOKUP(A341,'Base de Dados'!$E$3:$G$422,3,FALSE)*S341)),0)</f>
        <v/>
      </c>
      <c r="N341" s="34"/>
      <c r="O341" s="46" t="str">
        <f ca="1">IF(C341="","",IF(C342="",0,IF(E341="Construção",0,IF(E341="Seguro",$C$17*'Base de Dados'!$C$2,IF($C$14=Parâmetros!$B$4,0,Simulador!$C$17*'Base de Dados'!$C$2)))))</f>
        <v/>
      </c>
      <c r="P341" s="46"/>
      <c r="Q341" s="46" t="str">
        <f ca="1">IF(C341="","",IF(E341&lt;&gt;"Retorno",(I341+K341+M341),IF($G$20=Parâmetros!$D$2,SUM(G341,I341,K341,M341,O341),PMT($O$25,SUM($G$17),($O$10)*-1)+O341+M341+K341)))</f>
        <v/>
      </c>
      <c r="R341" s="46"/>
      <c r="S341" s="46" t="str">
        <f t="shared" ca="1" si="43"/>
        <v/>
      </c>
      <c r="U341" s="15" t="str">
        <f t="shared" ca="1" si="44"/>
        <v/>
      </c>
    </row>
    <row r="342" spans="1:21" x14ac:dyDescent="0.3">
      <c r="A342" s="49" t="str">
        <f t="shared" ca="1" si="37"/>
        <v/>
      </c>
      <c r="B342" s="49" t="str">
        <f t="shared" ca="1" si="38"/>
        <v/>
      </c>
      <c r="C342" s="81" t="str">
        <f t="shared" ca="1" si="39"/>
        <v/>
      </c>
      <c r="D342" s="34" t="str">
        <f t="shared" ca="1" si="40"/>
        <v/>
      </c>
      <c r="E342" s="4" t="str">
        <f t="shared" ca="1" si="41"/>
        <v/>
      </c>
      <c r="G342" s="46" t="str">
        <f ca="1">IF(C342="","",IF(E342&lt;&gt;"Retorno",0,IF($G$20=Parâmetros!$D$2,Simulador!$O$10/$G$17,IF($G$20=Parâmetros!$D$3,PMT($O$25,$G$17,($O$10)*-1)-I342,""))))</f>
        <v/>
      </c>
      <c r="H342" s="46"/>
      <c r="I342" s="46" t="str">
        <f t="shared" ca="1" si="36"/>
        <v/>
      </c>
      <c r="J342" s="34"/>
      <c r="K342" s="46" t="str">
        <f t="shared" ca="1" si="42"/>
        <v/>
      </c>
      <c r="L342" s="46"/>
      <c r="M342" s="46" t="str">
        <f ca="1">IFERROR(IF(C342="","",IF($C$10=Parâmetros!$C$3,0,VLOOKUP(A342,'Base de Dados'!$E$3:$G$422,3,FALSE)*S342)),0)</f>
        <v/>
      </c>
      <c r="N342" s="34"/>
      <c r="O342" s="46" t="str">
        <f ca="1">IF(C342="","",IF(C343="",0,IF(E342="Construção",0,IF(E342="Seguro",$C$17*'Base de Dados'!$C$2,IF($C$14=Parâmetros!$B$4,0,Simulador!$C$17*'Base de Dados'!$C$2)))))</f>
        <v/>
      </c>
      <c r="P342" s="46"/>
      <c r="Q342" s="46" t="str">
        <f ca="1">IF(C342="","",IF(E342&lt;&gt;"Retorno",(I342+K342+M342),IF($G$20=Parâmetros!$D$2,SUM(G342,I342,K342,M342,O342),PMT($O$25,SUM($G$17),($O$10)*-1)+O342+M342+K342)))</f>
        <v/>
      </c>
      <c r="R342" s="46"/>
      <c r="S342" s="46" t="str">
        <f t="shared" ca="1" si="43"/>
        <v/>
      </c>
      <c r="U342" s="15" t="str">
        <f t="shared" ca="1" si="44"/>
        <v/>
      </c>
    </row>
    <row r="343" spans="1:21" x14ac:dyDescent="0.3">
      <c r="A343" s="49" t="str">
        <f t="shared" ca="1" si="37"/>
        <v/>
      </c>
      <c r="B343" s="49" t="str">
        <f t="shared" ca="1" si="38"/>
        <v/>
      </c>
      <c r="C343" s="81" t="str">
        <f t="shared" ca="1" si="39"/>
        <v/>
      </c>
      <c r="D343" s="34" t="str">
        <f t="shared" ca="1" si="40"/>
        <v/>
      </c>
      <c r="E343" s="4" t="str">
        <f t="shared" ca="1" si="41"/>
        <v/>
      </c>
      <c r="G343" s="46" t="str">
        <f ca="1">IF(C343="","",IF(E343&lt;&gt;"Retorno",0,IF($G$20=Parâmetros!$D$2,Simulador!$O$10/$G$17,IF($G$20=Parâmetros!$D$3,PMT($O$25,$G$17,($O$10)*-1)-I343,""))))</f>
        <v/>
      </c>
      <c r="H343" s="46"/>
      <c r="I343" s="46" t="str">
        <f t="shared" ca="1" si="36"/>
        <v/>
      </c>
      <c r="J343" s="34"/>
      <c r="K343" s="46" t="str">
        <f t="shared" ca="1" si="42"/>
        <v/>
      </c>
      <c r="L343" s="46"/>
      <c r="M343" s="46" t="str">
        <f ca="1">IFERROR(IF(C343="","",IF($C$10=Parâmetros!$C$3,0,VLOOKUP(A343,'Base de Dados'!$E$3:$G$422,3,FALSE)*S343)),0)</f>
        <v/>
      </c>
      <c r="N343" s="34"/>
      <c r="O343" s="46" t="str">
        <f ca="1">IF(C343="","",IF(C344="",0,IF(E343="Construção",0,IF(E343="Seguro",$C$17*'Base de Dados'!$C$2,IF($C$14=Parâmetros!$B$4,0,Simulador!$C$17*'Base de Dados'!$C$2)))))</f>
        <v/>
      </c>
      <c r="P343" s="46"/>
      <c r="Q343" s="46" t="str">
        <f ca="1">IF(C343="","",IF(E343&lt;&gt;"Retorno",(I343+K343+M343),IF($G$20=Parâmetros!$D$2,SUM(G343,I343,K343,M343,O343),PMT($O$25,SUM($G$17),($O$10)*-1)+O343+M343+K343)))</f>
        <v/>
      </c>
      <c r="R343" s="46"/>
      <c r="S343" s="46" t="str">
        <f t="shared" ca="1" si="43"/>
        <v/>
      </c>
      <c r="U343" s="15" t="str">
        <f t="shared" ca="1" si="44"/>
        <v/>
      </c>
    </row>
    <row r="344" spans="1:21" x14ac:dyDescent="0.3">
      <c r="A344" s="49" t="str">
        <f t="shared" ca="1" si="37"/>
        <v/>
      </c>
      <c r="B344" s="49" t="str">
        <f t="shared" ca="1" si="38"/>
        <v/>
      </c>
      <c r="C344" s="81" t="str">
        <f t="shared" ca="1" si="39"/>
        <v/>
      </c>
      <c r="D344" s="34" t="str">
        <f t="shared" ca="1" si="40"/>
        <v/>
      </c>
      <c r="E344" s="4" t="str">
        <f t="shared" ca="1" si="41"/>
        <v/>
      </c>
      <c r="G344" s="46" t="str">
        <f ca="1">IF(C344="","",IF(E344&lt;&gt;"Retorno",0,IF($G$20=Parâmetros!$D$2,Simulador!$O$10/$G$17,IF($G$20=Parâmetros!$D$3,PMT($O$25,$G$17,($O$10)*-1)-I344,""))))</f>
        <v/>
      </c>
      <c r="H344" s="46"/>
      <c r="I344" s="46" t="str">
        <f t="shared" ca="1" si="36"/>
        <v/>
      </c>
      <c r="J344" s="34"/>
      <c r="K344" s="46" t="str">
        <f t="shared" ca="1" si="42"/>
        <v/>
      </c>
      <c r="L344" s="46"/>
      <c r="M344" s="46" t="str">
        <f ca="1">IFERROR(IF(C344="","",IF($C$10=Parâmetros!$C$3,0,VLOOKUP(A344,'Base de Dados'!$E$3:$G$422,3,FALSE)*S344)),0)</f>
        <v/>
      </c>
      <c r="N344" s="34"/>
      <c r="O344" s="46" t="str">
        <f ca="1">IF(C344="","",IF(C345="",0,IF(E344="Construção",0,IF(E344="Seguro",$C$17*'Base de Dados'!$C$2,IF($C$14=Parâmetros!$B$4,0,Simulador!$C$17*'Base de Dados'!$C$2)))))</f>
        <v/>
      </c>
      <c r="P344" s="46"/>
      <c r="Q344" s="46" t="str">
        <f ca="1">IF(C344="","",IF(E344&lt;&gt;"Retorno",(I344+K344+M344),IF($G$20=Parâmetros!$D$2,SUM(G344,I344,K344,M344,O344),PMT($O$25,SUM($G$17),($O$10)*-1)+O344+M344+K344)))</f>
        <v/>
      </c>
      <c r="R344" s="46"/>
      <c r="S344" s="46" t="str">
        <f t="shared" ca="1" si="43"/>
        <v/>
      </c>
      <c r="U344" s="15" t="str">
        <f t="shared" ca="1" si="44"/>
        <v/>
      </c>
    </row>
    <row r="345" spans="1:21" x14ac:dyDescent="0.3">
      <c r="A345" s="49" t="str">
        <f t="shared" ca="1" si="37"/>
        <v/>
      </c>
      <c r="B345" s="49" t="str">
        <f t="shared" ca="1" si="38"/>
        <v/>
      </c>
      <c r="C345" s="81" t="str">
        <f t="shared" ca="1" si="39"/>
        <v/>
      </c>
      <c r="D345" s="34" t="str">
        <f t="shared" ca="1" si="40"/>
        <v/>
      </c>
      <c r="E345" s="4" t="str">
        <f t="shared" ca="1" si="41"/>
        <v/>
      </c>
      <c r="G345" s="46" t="str">
        <f ca="1">IF(C345="","",IF(E345&lt;&gt;"Retorno",0,IF($G$20=Parâmetros!$D$2,Simulador!$O$10/$G$17,IF($G$20=Parâmetros!$D$3,PMT($O$25,$G$17,($O$10)*-1)-I345,""))))</f>
        <v/>
      </c>
      <c r="H345" s="46"/>
      <c r="I345" s="46" t="str">
        <f t="shared" ca="1" si="36"/>
        <v/>
      </c>
      <c r="J345" s="34"/>
      <c r="K345" s="46" t="str">
        <f t="shared" ca="1" si="42"/>
        <v/>
      </c>
      <c r="L345" s="46"/>
      <c r="M345" s="46" t="str">
        <f ca="1">IFERROR(IF(C345="","",IF($C$10=Parâmetros!$C$3,0,VLOOKUP(A345,'Base de Dados'!$E$3:$G$422,3,FALSE)*S345)),0)</f>
        <v/>
      </c>
      <c r="N345" s="34"/>
      <c r="O345" s="46" t="str">
        <f ca="1">IF(C345="","",IF(C346="",0,IF(E345="Construção",0,IF(E345="Seguro",$C$17*'Base de Dados'!$C$2,IF($C$14=Parâmetros!$B$4,0,Simulador!$C$17*'Base de Dados'!$C$2)))))</f>
        <v/>
      </c>
      <c r="P345" s="46"/>
      <c r="Q345" s="46" t="str">
        <f ca="1">IF(C345="","",IF(E345&lt;&gt;"Retorno",(I345+K345+M345),IF($G$20=Parâmetros!$D$2,SUM(G345,I345,K345,M345,O345),PMT($O$25,SUM($G$17),($O$10)*-1)+O345+M345+K345)))</f>
        <v/>
      </c>
      <c r="R345" s="46"/>
      <c r="S345" s="46" t="str">
        <f t="shared" ca="1" si="43"/>
        <v/>
      </c>
      <c r="U345" s="15" t="str">
        <f t="shared" ca="1" si="44"/>
        <v/>
      </c>
    </row>
    <row r="346" spans="1:21" x14ac:dyDescent="0.3">
      <c r="A346" s="49" t="str">
        <f t="shared" ca="1" si="37"/>
        <v/>
      </c>
      <c r="B346" s="49" t="str">
        <f t="shared" ca="1" si="38"/>
        <v/>
      </c>
      <c r="C346" s="81" t="str">
        <f t="shared" ca="1" si="39"/>
        <v/>
      </c>
      <c r="D346" s="34" t="str">
        <f t="shared" ca="1" si="40"/>
        <v/>
      </c>
      <c r="E346" s="4" t="str">
        <f t="shared" ca="1" si="41"/>
        <v/>
      </c>
      <c r="G346" s="46" t="str">
        <f ca="1">IF(C346="","",IF(E346&lt;&gt;"Retorno",0,IF($G$20=Parâmetros!$D$2,Simulador!$O$10/$G$17,IF($G$20=Parâmetros!$D$3,PMT($O$25,$G$17,($O$10)*-1)-I346,""))))</f>
        <v/>
      </c>
      <c r="H346" s="46"/>
      <c r="I346" s="46" t="str">
        <f t="shared" ca="1" si="36"/>
        <v/>
      </c>
      <c r="J346" s="34"/>
      <c r="K346" s="46" t="str">
        <f t="shared" ca="1" si="42"/>
        <v/>
      </c>
      <c r="L346" s="46"/>
      <c r="M346" s="46" t="str">
        <f ca="1">IFERROR(IF(C346="","",IF($C$10=Parâmetros!$C$3,0,VLOOKUP(A346,'Base de Dados'!$E$3:$G$422,3,FALSE)*S346)),0)</f>
        <v/>
      </c>
      <c r="N346" s="34"/>
      <c r="O346" s="46" t="str">
        <f ca="1">IF(C346="","",IF(C347="",0,IF(E346="Construção",0,IF(E346="Seguro",$C$17*'Base de Dados'!$C$2,IF($C$14=Parâmetros!$B$4,0,Simulador!$C$17*'Base de Dados'!$C$2)))))</f>
        <v/>
      </c>
      <c r="P346" s="46"/>
      <c r="Q346" s="46" t="str">
        <f ca="1">IF(C346="","",IF(E346&lt;&gt;"Retorno",(I346+K346+M346),IF($G$20=Parâmetros!$D$2,SUM(G346,I346,K346,M346,O346),PMT($O$25,SUM($G$17),($O$10)*-1)+O346+M346+K346)))</f>
        <v/>
      </c>
      <c r="R346" s="46"/>
      <c r="S346" s="46" t="str">
        <f t="shared" ca="1" si="43"/>
        <v/>
      </c>
      <c r="U346" s="15" t="str">
        <f t="shared" ca="1" si="44"/>
        <v/>
      </c>
    </row>
    <row r="347" spans="1:21" x14ac:dyDescent="0.3">
      <c r="A347" s="49" t="str">
        <f t="shared" ca="1" si="37"/>
        <v/>
      </c>
      <c r="B347" s="49" t="str">
        <f t="shared" ca="1" si="38"/>
        <v/>
      </c>
      <c r="C347" s="81" t="str">
        <f t="shared" ca="1" si="39"/>
        <v/>
      </c>
      <c r="D347" s="34" t="str">
        <f t="shared" ca="1" si="40"/>
        <v/>
      </c>
      <c r="E347" s="4" t="str">
        <f t="shared" ca="1" si="41"/>
        <v/>
      </c>
      <c r="G347" s="46" t="str">
        <f ca="1">IF(C347="","",IF(E347&lt;&gt;"Retorno",0,IF($G$20=Parâmetros!$D$2,Simulador!$O$10/$G$17,IF($G$20=Parâmetros!$D$3,PMT($O$25,$G$17,($O$10)*-1)-I347,""))))</f>
        <v/>
      </c>
      <c r="H347" s="46"/>
      <c r="I347" s="46" t="str">
        <f t="shared" ca="1" si="36"/>
        <v/>
      </c>
      <c r="J347" s="34"/>
      <c r="K347" s="46" t="str">
        <f t="shared" ca="1" si="42"/>
        <v/>
      </c>
      <c r="L347" s="46"/>
      <c r="M347" s="46" t="str">
        <f ca="1">IFERROR(IF(C347="","",IF($C$10=Parâmetros!$C$3,0,VLOOKUP(A347,'Base de Dados'!$E$3:$G$422,3,FALSE)*S347)),0)</f>
        <v/>
      </c>
      <c r="N347" s="34"/>
      <c r="O347" s="46" t="str">
        <f ca="1">IF(C347="","",IF(C348="",0,IF(E347="Construção",0,IF(E347="Seguro",$C$17*'Base de Dados'!$C$2,IF($C$14=Parâmetros!$B$4,0,Simulador!$C$17*'Base de Dados'!$C$2)))))</f>
        <v/>
      </c>
      <c r="P347" s="46"/>
      <c r="Q347" s="46" t="str">
        <f ca="1">IF(C347="","",IF(E347&lt;&gt;"Retorno",(I347+K347+M347),IF($G$20=Parâmetros!$D$2,SUM(G347,I347,K347,M347,O347),PMT($O$25,SUM($G$17),($O$10)*-1)+O347+M347+K347)))</f>
        <v/>
      </c>
      <c r="R347" s="46"/>
      <c r="S347" s="46" t="str">
        <f t="shared" ca="1" si="43"/>
        <v/>
      </c>
      <c r="U347" s="15" t="str">
        <f t="shared" ca="1" si="44"/>
        <v/>
      </c>
    </row>
    <row r="348" spans="1:21" x14ac:dyDescent="0.3">
      <c r="A348" s="49" t="str">
        <f t="shared" ca="1" si="37"/>
        <v/>
      </c>
      <c r="B348" s="49" t="str">
        <f t="shared" ca="1" si="38"/>
        <v/>
      </c>
      <c r="C348" s="81" t="str">
        <f t="shared" ca="1" si="39"/>
        <v/>
      </c>
      <c r="D348" s="34" t="str">
        <f t="shared" ca="1" si="40"/>
        <v/>
      </c>
      <c r="E348" s="4" t="str">
        <f t="shared" ca="1" si="41"/>
        <v/>
      </c>
      <c r="G348" s="46" t="str">
        <f ca="1">IF(C348="","",IF(E348&lt;&gt;"Retorno",0,IF($G$20=Parâmetros!$D$2,Simulador!$O$10/$G$17,IF($G$20=Parâmetros!$D$3,PMT($O$25,$G$17,($O$10)*-1)-I348,""))))</f>
        <v/>
      </c>
      <c r="H348" s="46"/>
      <c r="I348" s="46" t="str">
        <f t="shared" ca="1" si="36"/>
        <v/>
      </c>
      <c r="J348" s="34"/>
      <c r="K348" s="46" t="str">
        <f t="shared" ca="1" si="42"/>
        <v/>
      </c>
      <c r="L348" s="46"/>
      <c r="M348" s="46" t="str">
        <f ca="1">IFERROR(IF(C348="","",IF($C$10=Parâmetros!$C$3,0,VLOOKUP(A348,'Base de Dados'!$E$3:$G$422,3,FALSE)*S348)),0)</f>
        <v/>
      </c>
      <c r="N348" s="34"/>
      <c r="O348" s="46" t="str">
        <f ca="1">IF(C348="","",IF(C349="",0,IF(E348="Construção",0,IF(E348="Seguro",$C$17*'Base de Dados'!$C$2,IF($C$14=Parâmetros!$B$4,0,Simulador!$C$17*'Base de Dados'!$C$2)))))</f>
        <v/>
      </c>
      <c r="P348" s="46"/>
      <c r="Q348" s="46" t="str">
        <f ca="1">IF(C348="","",IF(E348&lt;&gt;"Retorno",(I348+K348+M348),IF($G$20=Parâmetros!$D$2,SUM(G348,I348,K348,M348,O348),PMT($O$25,SUM($G$17),($O$10)*-1)+O348+M348+K348)))</f>
        <v/>
      </c>
      <c r="R348" s="46"/>
      <c r="S348" s="46" t="str">
        <f t="shared" ca="1" si="43"/>
        <v/>
      </c>
      <c r="U348" s="15" t="str">
        <f t="shared" ca="1" si="44"/>
        <v/>
      </c>
    </row>
    <row r="349" spans="1:21" x14ac:dyDescent="0.3">
      <c r="A349" s="49" t="str">
        <f t="shared" ca="1" si="37"/>
        <v/>
      </c>
      <c r="B349" s="49" t="str">
        <f t="shared" ca="1" si="38"/>
        <v/>
      </c>
      <c r="C349" s="81" t="str">
        <f t="shared" ca="1" si="39"/>
        <v/>
      </c>
      <c r="D349" s="34" t="str">
        <f t="shared" ca="1" si="40"/>
        <v/>
      </c>
      <c r="E349" s="4" t="str">
        <f t="shared" ca="1" si="41"/>
        <v/>
      </c>
      <c r="G349" s="46" t="str">
        <f ca="1">IF(C349="","",IF(E349&lt;&gt;"Retorno",0,IF($G$20=Parâmetros!$D$2,Simulador!$O$10/$G$17,IF($G$20=Parâmetros!$D$3,PMT($O$25,$G$17,($O$10)*-1)-I349,""))))</f>
        <v/>
      </c>
      <c r="H349" s="46"/>
      <c r="I349" s="46" t="str">
        <f t="shared" ca="1" si="36"/>
        <v/>
      </c>
      <c r="J349" s="34"/>
      <c r="K349" s="46" t="str">
        <f t="shared" ca="1" si="42"/>
        <v/>
      </c>
      <c r="L349" s="46"/>
      <c r="M349" s="46" t="str">
        <f ca="1">IFERROR(IF(C349="","",IF($C$10=Parâmetros!$C$3,0,VLOOKUP(A349,'Base de Dados'!$E$3:$G$422,3,FALSE)*S349)),0)</f>
        <v/>
      </c>
      <c r="N349" s="34"/>
      <c r="O349" s="46" t="str">
        <f ca="1">IF(C349="","",IF(C350="",0,IF(E349="Construção",0,IF(E349="Seguro",$C$17*'Base de Dados'!$C$2,IF($C$14=Parâmetros!$B$4,0,Simulador!$C$17*'Base de Dados'!$C$2)))))</f>
        <v/>
      </c>
      <c r="P349" s="46"/>
      <c r="Q349" s="46" t="str">
        <f ca="1">IF(C349="","",IF(E349&lt;&gt;"Retorno",(I349+K349+M349),IF($G$20=Parâmetros!$D$2,SUM(G349,I349,K349,M349,O349),PMT($O$25,SUM($G$17),($O$10)*-1)+O349+M349+K349)))</f>
        <v/>
      </c>
      <c r="R349" s="46"/>
      <c r="S349" s="46" t="str">
        <f t="shared" ca="1" si="43"/>
        <v/>
      </c>
      <c r="U349" s="15" t="str">
        <f t="shared" ca="1" si="44"/>
        <v/>
      </c>
    </row>
    <row r="350" spans="1:21" x14ac:dyDescent="0.3">
      <c r="A350" s="49" t="str">
        <f t="shared" ca="1" si="37"/>
        <v/>
      </c>
      <c r="B350" s="49" t="str">
        <f t="shared" ca="1" si="38"/>
        <v/>
      </c>
      <c r="C350" s="81" t="str">
        <f t="shared" ca="1" si="39"/>
        <v/>
      </c>
      <c r="D350" s="34" t="str">
        <f t="shared" ca="1" si="40"/>
        <v/>
      </c>
      <c r="E350" s="4" t="str">
        <f t="shared" ca="1" si="41"/>
        <v/>
      </c>
      <c r="G350" s="46" t="str">
        <f ca="1">IF(C350="","",IF(E350&lt;&gt;"Retorno",0,IF($G$20=Parâmetros!$D$2,Simulador!$O$10/$G$17,IF($G$20=Parâmetros!$D$3,PMT($O$25,$G$17,($O$10)*-1)-I350,""))))</f>
        <v/>
      </c>
      <c r="H350" s="46"/>
      <c r="I350" s="46" t="str">
        <f t="shared" ca="1" si="36"/>
        <v/>
      </c>
      <c r="J350" s="34"/>
      <c r="K350" s="46" t="str">
        <f t="shared" ca="1" si="42"/>
        <v/>
      </c>
      <c r="L350" s="46"/>
      <c r="M350" s="46" t="str">
        <f ca="1">IFERROR(IF(C350="","",IF($C$10=Parâmetros!$C$3,0,VLOOKUP(A350,'Base de Dados'!$E$3:$G$422,3,FALSE)*S350)),0)</f>
        <v/>
      </c>
      <c r="N350" s="34"/>
      <c r="O350" s="46" t="str">
        <f ca="1">IF(C350="","",IF(C351="",0,IF(E350="Construção",0,IF(E350="Seguro",$C$17*'Base de Dados'!$C$2,IF($C$14=Parâmetros!$B$4,0,Simulador!$C$17*'Base de Dados'!$C$2)))))</f>
        <v/>
      </c>
      <c r="P350" s="46"/>
      <c r="Q350" s="46" t="str">
        <f ca="1">IF(C350="","",IF(E350&lt;&gt;"Retorno",(I350+K350+M350),IF($G$20=Parâmetros!$D$2,SUM(G350,I350,K350,M350,O350),PMT($O$25,SUM($G$17),($O$10)*-1)+O350+M350+K350)))</f>
        <v/>
      </c>
      <c r="R350" s="46"/>
      <c r="S350" s="46" t="str">
        <f t="shared" ca="1" si="43"/>
        <v/>
      </c>
      <c r="U350" s="15" t="str">
        <f t="shared" ca="1" si="44"/>
        <v/>
      </c>
    </row>
    <row r="351" spans="1:21" x14ac:dyDescent="0.3">
      <c r="A351" s="49" t="str">
        <f t="shared" ca="1" si="37"/>
        <v/>
      </c>
      <c r="B351" s="49" t="str">
        <f t="shared" ca="1" si="38"/>
        <v/>
      </c>
      <c r="C351" s="81" t="str">
        <f t="shared" ca="1" si="39"/>
        <v/>
      </c>
      <c r="D351" s="34" t="str">
        <f t="shared" ca="1" si="40"/>
        <v/>
      </c>
      <c r="E351" s="4" t="str">
        <f t="shared" ca="1" si="41"/>
        <v/>
      </c>
      <c r="G351" s="46" t="str">
        <f ca="1">IF(C351="","",IF(E351&lt;&gt;"Retorno",0,IF($G$20=Parâmetros!$D$2,Simulador!$O$10/$G$17,IF($G$20=Parâmetros!$D$3,PMT($O$25,$G$17,($O$10)*-1)-I351,""))))</f>
        <v/>
      </c>
      <c r="H351" s="46"/>
      <c r="I351" s="46" t="str">
        <f t="shared" ca="1" si="36"/>
        <v/>
      </c>
      <c r="J351" s="34"/>
      <c r="K351" s="46" t="str">
        <f t="shared" ca="1" si="42"/>
        <v/>
      </c>
      <c r="L351" s="46"/>
      <c r="M351" s="46" t="str">
        <f ca="1">IFERROR(IF(C351="","",IF($C$10=Parâmetros!$C$3,0,VLOOKUP(A351,'Base de Dados'!$E$3:$G$422,3,FALSE)*S351)),0)</f>
        <v/>
      </c>
      <c r="N351" s="34"/>
      <c r="O351" s="46" t="str">
        <f ca="1">IF(C351="","",IF(C352="",0,IF(E351="Construção",0,IF(E351="Seguro",$C$17*'Base de Dados'!$C$2,IF($C$14=Parâmetros!$B$4,0,Simulador!$C$17*'Base de Dados'!$C$2)))))</f>
        <v/>
      </c>
      <c r="P351" s="46"/>
      <c r="Q351" s="46" t="str">
        <f ca="1">IF(C351="","",IF(E351&lt;&gt;"Retorno",(I351+K351+M351),IF($G$20=Parâmetros!$D$2,SUM(G351,I351,K351,M351,O351),PMT($O$25,SUM($G$17),($O$10)*-1)+O351+M351+K351)))</f>
        <v/>
      </c>
      <c r="R351" s="46"/>
      <c r="S351" s="46" t="str">
        <f t="shared" ca="1" si="43"/>
        <v/>
      </c>
      <c r="U351" s="15" t="str">
        <f t="shared" ca="1" si="44"/>
        <v/>
      </c>
    </row>
    <row r="352" spans="1:21" x14ac:dyDescent="0.3">
      <c r="A352" s="49" t="str">
        <f t="shared" ca="1" si="37"/>
        <v/>
      </c>
      <c r="B352" s="49" t="str">
        <f t="shared" ca="1" si="38"/>
        <v/>
      </c>
      <c r="C352" s="81" t="str">
        <f t="shared" ca="1" si="39"/>
        <v/>
      </c>
      <c r="D352" s="34" t="str">
        <f t="shared" ca="1" si="40"/>
        <v/>
      </c>
      <c r="E352" s="4" t="str">
        <f t="shared" ca="1" si="41"/>
        <v/>
      </c>
      <c r="G352" s="46" t="str">
        <f ca="1">IF(C352="","",IF(E352&lt;&gt;"Retorno",0,IF($G$20=Parâmetros!$D$2,Simulador!$O$10/$G$17,IF($G$20=Parâmetros!$D$3,PMT($O$25,$G$17,($O$10)*-1)-I352,""))))</f>
        <v/>
      </c>
      <c r="H352" s="46"/>
      <c r="I352" s="46" t="str">
        <f t="shared" ca="1" si="36"/>
        <v/>
      </c>
      <c r="J352" s="34"/>
      <c r="K352" s="46" t="str">
        <f t="shared" ca="1" si="42"/>
        <v/>
      </c>
      <c r="L352" s="46"/>
      <c r="M352" s="46" t="str">
        <f ca="1">IFERROR(IF(C352="","",IF($C$10=Parâmetros!$C$3,0,VLOOKUP(A352,'Base de Dados'!$E$3:$G$422,3,FALSE)*S352)),0)</f>
        <v/>
      </c>
      <c r="N352" s="34"/>
      <c r="O352" s="46" t="str">
        <f ca="1">IF(C352="","",IF(C353="",0,IF(E352="Construção",0,IF(E352="Seguro",$C$17*'Base de Dados'!$C$2,IF($C$14=Parâmetros!$B$4,0,Simulador!$C$17*'Base de Dados'!$C$2)))))</f>
        <v/>
      </c>
      <c r="P352" s="46"/>
      <c r="Q352" s="46" t="str">
        <f ca="1">IF(C352="","",IF(E352&lt;&gt;"Retorno",(I352+K352+M352),IF($G$20=Parâmetros!$D$2,SUM(G352,I352,K352,M352,O352),PMT($O$25,SUM($G$17),($O$10)*-1)+O352+M352+K352)))</f>
        <v/>
      </c>
      <c r="R352" s="46"/>
      <c r="S352" s="46" t="str">
        <f t="shared" ca="1" si="43"/>
        <v/>
      </c>
      <c r="U352" s="15" t="str">
        <f t="shared" ca="1" si="44"/>
        <v/>
      </c>
    </row>
    <row r="353" spans="1:21" x14ac:dyDescent="0.3">
      <c r="A353" s="49" t="str">
        <f t="shared" ca="1" si="37"/>
        <v/>
      </c>
      <c r="B353" s="49" t="str">
        <f t="shared" ca="1" si="38"/>
        <v/>
      </c>
      <c r="C353" s="81" t="str">
        <f t="shared" ca="1" si="39"/>
        <v/>
      </c>
      <c r="D353" s="34" t="str">
        <f t="shared" ca="1" si="40"/>
        <v/>
      </c>
      <c r="E353" s="4" t="str">
        <f t="shared" ca="1" si="41"/>
        <v/>
      </c>
      <c r="G353" s="46" t="str">
        <f ca="1">IF(C353="","",IF(E353&lt;&gt;"Retorno",0,IF($G$20=Parâmetros!$D$2,Simulador!$O$10/$G$17,IF($G$20=Parâmetros!$D$3,PMT($O$25,$G$17,($O$10)*-1)-I353,""))))</f>
        <v/>
      </c>
      <c r="H353" s="46"/>
      <c r="I353" s="46" t="str">
        <f t="shared" ca="1" si="36"/>
        <v/>
      </c>
      <c r="J353" s="34"/>
      <c r="K353" s="46" t="str">
        <f t="shared" ca="1" si="42"/>
        <v/>
      </c>
      <c r="L353" s="46"/>
      <c r="M353" s="46" t="str">
        <f ca="1">IFERROR(IF(C353="","",IF($C$10=Parâmetros!$C$3,0,VLOOKUP(A353,'Base de Dados'!$E$3:$G$422,3,FALSE)*S353)),0)</f>
        <v/>
      </c>
      <c r="N353" s="34"/>
      <c r="O353" s="46" t="str">
        <f ca="1">IF(C353="","",IF(C354="",0,IF(E353="Construção",0,IF(E353="Seguro",$C$17*'Base de Dados'!$C$2,IF($C$14=Parâmetros!$B$4,0,Simulador!$C$17*'Base de Dados'!$C$2)))))</f>
        <v/>
      </c>
      <c r="P353" s="46"/>
      <c r="Q353" s="46" t="str">
        <f ca="1">IF(C353="","",IF(E353&lt;&gt;"Retorno",(I353+K353+M353),IF($G$20=Parâmetros!$D$2,SUM(G353,I353,K353,M353,O353),PMT($O$25,SUM($G$17),($O$10)*-1)+O353+M353+K353)))</f>
        <v/>
      </c>
      <c r="R353" s="46"/>
      <c r="S353" s="46" t="str">
        <f t="shared" ca="1" si="43"/>
        <v/>
      </c>
      <c r="U353" s="15" t="str">
        <f t="shared" ca="1" si="44"/>
        <v/>
      </c>
    </row>
    <row r="354" spans="1:21" x14ac:dyDescent="0.3">
      <c r="A354" s="49" t="str">
        <f t="shared" ca="1" si="37"/>
        <v/>
      </c>
      <c r="B354" s="49" t="str">
        <f t="shared" ca="1" si="38"/>
        <v/>
      </c>
      <c r="C354" s="81" t="str">
        <f t="shared" ca="1" si="39"/>
        <v/>
      </c>
      <c r="D354" s="34" t="str">
        <f t="shared" ca="1" si="40"/>
        <v/>
      </c>
      <c r="E354" s="4" t="str">
        <f t="shared" ca="1" si="41"/>
        <v/>
      </c>
      <c r="G354" s="46" t="str">
        <f ca="1">IF(C354="","",IF(E354&lt;&gt;"Retorno",0,IF($G$20=Parâmetros!$D$2,Simulador!$O$10/$G$17,IF($G$20=Parâmetros!$D$3,PMT($O$25,$G$17,($O$10)*-1)-I354,""))))</f>
        <v/>
      </c>
      <c r="H354" s="46"/>
      <c r="I354" s="46" t="str">
        <f t="shared" ref="I354:I417" ca="1" si="45">IFERROR(IF(C354="","",FV($O$25,1,,-S353,0)-S353),"")</f>
        <v/>
      </c>
      <c r="J354" s="34"/>
      <c r="K354" s="46" t="str">
        <f t="shared" ca="1" si="42"/>
        <v/>
      </c>
      <c r="L354" s="46"/>
      <c r="M354" s="46" t="str">
        <f ca="1">IFERROR(IF(C354="","",IF($C$10=Parâmetros!$C$3,0,VLOOKUP(A354,'Base de Dados'!$E$3:$G$422,3,FALSE)*S354)),0)</f>
        <v/>
      </c>
      <c r="N354" s="34"/>
      <c r="O354" s="46" t="str">
        <f ca="1">IF(C354="","",IF(C355="",0,IF(E354="Construção",0,IF(E354="Seguro",$C$17*'Base de Dados'!$C$2,IF($C$14=Parâmetros!$B$4,0,Simulador!$C$17*'Base de Dados'!$C$2)))))</f>
        <v/>
      </c>
      <c r="P354" s="46"/>
      <c r="Q354" s="46" t="str">
        <f ca="1">IF(C354="","",IF(E354&lt;&gt;"Retorno",(I354+K354+M354),IF($G$20=Parâmetros!$D$2,SUM(G354,I354,K354,M354,O354),PMT($O$25,SUM($G$17),($O$10)*-1)+O354+M354+K354)))</f>
        <v/>
      </c>
      <c r="R354" s="46"/>
      <c r="S354" s="46" t="str">
        <f t="shared" ca="1" si="43"/>
        <v/>
      </c>
      <c r="U354" s="15" t="str">
        <f t="shared" ca="1" si="44"/>
        <v/>
      </c>
    </row>
    <row r="355" spans="1:21" x14ac:dyDescent="0.3">
      <c r="A355" s="49" t="str">
        <f t="shared" ref="A355:A418" ca="1" si="46">IF(C355="","",IF(C354&gt;$G$17,0,EDATE(A354,1)))</f>
        <v/>
      </c>
      <c r="B355" s="49" t="str">
        <f t="shared" ref="B355:B418" ca="1" si="47">IF(AND(E355="Retorno",E354&lt;&gt;"Retorno"),"Primeira",IF(AND(E355="Retorno",E354=""),"Primeira",""))</f>
        <v/>
      </c>
      <c r="C355" s="81" t="str">
        <f t="shared" ref="C355:C418" ca="1" si="48">IF(OR(C354&gt;=$K$19,C354=""),"",C354+1)</f>
        <v/>
      </c>
      <c r="D355" s="34" t="str">
        <f t="shared" ref="D355:D418" ca="1" si="49">C355</f>
        <v/>
      </c>
      <c r="E355" s="4" t="str">
        <f t="shared" ref="E355:E418" ca="1" si="50">IF(C355="","","Retorno")</f>
        <v/>
      </c>
      <c r="G355" s="46" t="str">
        <f ca="1">IF(C355="","",IF(E355&lt;&gt;"Retorno",0,IF($G$20=Parâmetros!$D$2,Simulador!$O$10/$G$17,IF($G$20=Parâmetros!$D$3,PMT($O$25,$G$17,($O$10)*-1)-I355,""))))</f>
        <v/>
      </c>
      <c r="H355" s="46"/>
      <c r="I355" s="46" t="str">
        <f t="shared" ca="1" si="45"/>
        <v/>
      </c>
      <c r="J355" s="34"/>
      <c r="K355" s="46" t="str">
        <f t="shared" ref="K355:K418" ca="1" si="51">IF(C355="","",IF(AND($O$23&lt;12.01%,$C$17&lt;2250000.01),25,0))</f>
        <v/>
      </c>
      <c r="L355" s="46"/>
      <c r="M355" s="46" t="str">
        <f ca="1">IFERROR(IF(C355="","",IF($C$10=Parâmetros!$C$3,0,VLOOKUP(A355,'Base de Dados'!$E$3:$G$422,3,FALSE)*S355)),0)</f>
        <v/>
      </c>
      <c r="N355" s="34"/>
      <c r="O355" s="46" t="str">
        <f ca="1">IF(C355="","",IF(C356="",0,IF(E355="Construção",0,IF(E355="Seguro",$C$17*'Base de Dados'!$C$2,IF($C$14=Parâmetros!$B$4,0,Simulador!$C$17*'Base de Dados'!$C$2)))))</f>
        <v/>
      </c>
      <c r="P355" s="46"/>
      <c r="Q355" s="46" t="str">
        <f ca="1">IF(C355="","",IF(E355&lt;&gt;"Retorno",(I355+K355+M355),IF($G$20=Parâmetros!$D$2,SUM(G355,I355,K355,M355,O355),PMT($O$25,SUM($G$17),($O$10)*-1)+O355+M355+K355)))</f>
        <v/>
      </c>
      <c r="R355" s="46"/>
      <c r="S355" s="46" t="str">
        <f t="shared" ref="S355:S418" ca="1" si="52">IF(E355="Construção",S354+(U355*-1),IF(E355="Carência",S354,IF(E355="Retorno",S354-G355,"")))</f>
        <v/>
      </c>
      <c r="U355" s="15" t="str">
        <f t="shared" ref="U355:U392" ca="1" si="53">IF(E355="Construção",(($O$10+$U$33)/$K$10)*-1,"")</f>
        <v/>
      </c>
    </row>
    <row r="356" spans="1:21" x14ac:dyDescent="0.3">
      <c r="A356" s="49" t="str">
        <f t="shared" ca="1" si="46"/>
        <v/>
      </c>
      <c r="B356" s="49" t="str">
        <f t="shared" ca="1" si="47"/>
        <v/>
      </c>
      <c r="C356" s="81" t="str">
        <f t="shared" ca="1" si="48"/>
        <v/>
      </c>
      <c r="D356" s="34" t="str">
        <f t="shared" ca="1" si="49"/>
        <v/>
      </c>
      <c r="E356" s="4" t="str">
        <f t="shared" ca="1" si="50"/>
        <v/>
      </c>
      <c r="G356" s="46" t="str">
        <f ca="1">IF(C356="","",IF(E356&lt;&gt;"Retorno",0,IF($G$20=Parâmetros!$D$2,Simulador!$O$10/$G$17,IF($G$20=Parâmetros!$D$3,PMT($O$25,$G$17,($O$10)*-1)-I356,""))))</f>
        <v/>
      </c>
      <c r="H356" s="46"/>
      <c r="I356" s="46" t="str">
        <f t="shared" ca="1" si="45"/>
        <v/>
      </c>
      <c r="J356" s="34"/>
      <c r="K356" s="46" t="str">
        <f t="shared" ca="1" si="51"/>
        <v/>
      </c>
      <c r="L356" s="46"/>
      <c r="M356" s="46" t="str">
        <f ca="1">IFERROR(IF(C356="","",IF($C$10=Parâmetros!$C$3,0,VLOOKUP(A356,'Base de Dados'!$E$3:$G$422,3,FALSE)*S356)),0)</f>
        <v/>
      </c>
      <c r="N356" s="34"/>
      <c r="O356" s="46" t="str">
        <f ca="1">IF(C356="","",IF(C357="",0,IF(E356="Construção",0,IF(E356="Seguro",$C$17*'Base de Dados'!$C$2,IF($C$14=Parâmetros!$B$4,0,Simulador!$C$17*'Base de Dados'!$C$2)))))</f>
        <v/>
      </c>
      <c r="P356" s="46"/>
      <c r="Q356" s="46" t="str">
        <f ca="1">IF(C356="","",IF(E356&lt;&gt;"Retorno",(I356+K356+M356),IF($G$20=Parâmetros!$D$2,SUM(G356,I356,K356,M356,O356),PMT($O$25,SUM($G$17),($O$10)*-1)+O356+M356+K356)))</f>
        <v/>
      </c>
      <c r="R356" s="46"/>
      <c r="S356" s="46" t="str">
        <f t="shared" ca="1" si="52"/>
        <v/>
      </c>
      <c r="U356" s="15" t="str">
        <f t="shared" ca="1" si="53"/>
        <v/>
      </c>
    </row>
    <row r="357" spans="1:21" x14ac:dyDescent="0.3">
      <c r="A357" s="49" t="str">
        <f t="shared" ca="1" si="46"/>
        <v/>
      </c>
      <c r="B357" s="49" t="str">
        <f t="shared" ca="1" si="47"/>
        <v/>
      </c>
      <c r="C357" s="81" t="str">
        <f t="shared" ca="1" si="48"/>
        <v/>
      </c>
      <c r="D357" s="34" t="str">
        <f t="shared" ca="1" si="49"/>
        <v/>
      </c>
      <c r="E357" s="4" t="str">
        <f t="shared" ca="1" si="50"/>
        <v/>
      </c>
      <c r="G357" s="46" t="str">
        <f ca="1">IF(C357="","",IF(E357&lt;&gt;"Retorno",0,IF($G$20=Parâmetros!$D$2,Simulador!$O$10/$G$17,IF($G$20=Parâmetros!$D$3,PMT($O$25,$G$17,($O$10)*-1)-I357,""))))</f>
        <v/>
      </c>
      <c r="H357" s="46"/>
      <c r="I357" s="46" t="str">
        <f t="shared" ca="1" si="45"/>
        <v/>
      </c>
      <c r="J357" s="34"/>
      <c r="K357" s="46" t="str">
        <f t="shared" ca="1" si="51"/>
        <v/>
      </c>
      <c r="L357" s="46"/>
      <c r="M357" s="46" t="str">
        <f ca="1">IFERROR(IF(C357="","",IF($C$10=Parâmetros!$C$3,0,VLOOKUP(A357,'Base de Dados'!$E$3:$G$422,3,FALSE)*S357)),0)</f>
        <v/>
      </c>
      <c r="N357" s="34"/>
      <c r="O357" s="46" t="str">
        <f ca="1">IF(C357="","",IF(C358="",0,IF(E357="Construção",0,IF(E357="Seguro",$C$17*'Base de Dados'!$C$2,IF($C$14=Parâmetros!$B$4,0,Simulador!$C$17*'Base de Dados'!$C$2)))))</f>
        <v/>
      </c>
      <c r="P357" s="46"/>
      <c r="Q357" s="46" t="str">
        <f ca="1">IF(C357="","",IF(E357&lt;&gt;"Retorno",(I357+K357+M357),IF($G$20=Parâmetros!$D$2,SUM(G357,I357,K357,M357,O357),PMT($O$25,SUM($G$17),($O$10)*-1)+O357+M357+K357)))</f>
        <v/>
      </c>
      <c r="R357" s="46"/>
      <c r="S357" s="46" t="str">
        <f t="shared" ca="1" si="52"/>
        <v/>
      </c>
      <c r="U357" s="15" t="str">
        <f t="shared" ca="1" si="53"/>
        <v/>
      </c>
    </row>
    <row r="358" spans="1:21" x14ac:dyDescent="0.3">
      <c r="A358" s="49" t="str">
        <f t="shared" ca="1" si="46"/>
        <v/>
      </c>
      <c r="B358" s="49" t="str">
        <f t="shared" ca="1" si="47"/>
        <v/>
      </c>
      <c r="C358" s="81" t="str">
        <f t="shared" ca="1" si="48"/>
        <v/>
      </c>
      <c r="D358" s="34" t="str">
        <f t="shared" ca="1" si="49"/>
        <v/>
      </c>
      <c r="E358" s="4" t="str">
        <f t="shared" ca="1" si="50"/>
        <v/>
      </c>
      <c r="G358" s="46" t="str">
        <f ca="1">IF(C358="","",IF(E358&lt;&gt;"Retorno",0,IF($G$20=Parâmetros!$D$2,Simulador!$O$10/$G$17,IF($G$20=Parâmetros!$D$3,PMT($O$25,$G$17,($O$10)*-1)-I358,""))))</f>
        <v/>
      </c>
      <c r="H358" s="46"/>
      <c r="I358" s="46" t="str">
        <f t="shared" ca="1" si="45"/>
        <v/>
      </c>
      <c r="J358" s="34"/>
      <c r="K358" s="46" t="str">
        <f t="shared" ca="1" si="51"/>
        <v/>
      </c>
      <c r="L358" s="46"/>
      <c r="M358" s="46" t="str">
        <f ca="1">IFERROR(IF(C358="","",IF($C$10=Parâmetros!$C$3,0,VLOOKUP(A358,'Base de Dados'!$E$3:$G$422,3,FALSE)*S358)),0)</f>
        <v/>
      </c>
      <c r="N358" s="34"/>
      <c r="O358" s="46" t="str">
        <f ca="1">IF(C358="","",IF(C359="",0,IF(E358="Construção",0,IF(E358="Seguro",$C$17*'Base de Dados'!$C$2,IF($C$14=Parâmetros!$B$4,0,Simulador!$C$17*'Base de Dados'!$C$2)))))</f>
        <v/>
      </c>
      <c r="P358" s="46"/>
      <c r="Q358" s="46" t="str">
        <f ca="1">IF(C358="","",IF(E358&lt;&gt;"Retorno",(I358+K358+M358),IF($G$20=Parâmetros!$D$2,SUM(G358,I358,K358,M358,O358),PMT($O$25,SUM($G$17),($O$10)*-1)+O358+M358+K358)))</f>
        <v/>
      </c>
      <c r="R358" s="46"/>
      <c r="S358" s="46" t="str">
        <f t="shared" ca="1" si="52"/>
        <v/>
      </c>
      <c r="U358" s="15" t="str">
        <f t="shared" ca="1" si="53"/>
        <v/>
      </c>
    </row>
    <row r="359" spans="1:21" x14ac:dyDescent="0.3">
      <c r="A359" s="49" t="str">
        <f t="shared" ca="1" si="46"/>
        <v/>
      </c>
      <c r="B359" s="49" t="str">
        <f t="shared" ca="1" si="47"/>
        <v/>
      </c>
      <c r="C359" s="81" t="str">
        <f t="shared" ca="1" si="48"/>
        <v/>
      </c>
      <c r="D359" s="34" t="str">
        <f t="shared" ca="1" si="49"/>
        <v/>
      </c>
      <c r="E359" s="4" t="str">
        <f t="shared" ca="1" si="50"/>
        <v/>
      </c>
      <c r="G359" s="46" t="str">
        <f ca="1">IF(C359="","",IF(E359&lt;&gt;"Retorno",0,IF($G$20=Parâmetros!$D$2,Simulador!$O$10/$G$17,IF($G$20=Parâmetros!$D$3,PMT($O$25,$G$17,($O$10)*-1)-I359,""))))</f>
        <v/>
      </c>
      <c r="H359" s="46"/>
      <c r="I359" s="46" t="str">
        <f t="shared" ca="1" si="45"/>
        <v/>
      </c>
      <c r="J359" s="34"/>
      <c r="K359" s="46" t="str">
        <f t="shared" ca="1" si="51"/>
        <v/>
      </c>
      <c r="L359" s="46"/>
      <c r="M359" s="46" t="str">
        <f ca="1">IFERROR(IF(C359="","",IF($C$10=Parâmetros!$C$3,0,VLOOKUP(A359,'Base de Dados'!$E$3:$G$422,3,FALSE)*S359)),0)</f>
        <v/>
      </c>
      <c r="N359" s="34"/>
      <c r="O359" s="46" t="str">
        <f ca="1">IF(C359="","",IF(C360="",0,IF(E359="Construção",0,IF(E359="Seguro",$C$17*'Base de Dados'!$C$2,IF($C$14=Parâmetros!$B$4,0,Simulador!$C$17*'Base de Dados'!$C$2)))))</f>
        <v/>
      </c>
      <c r="P359" s="46"/>
      <c r="Q359" s="46" t="str">
        <f ca="1">IF(C359="","",IF(E359&lt;&gt;"Retorno",(I359+K359+M359),IF($G$20=Parâmetros!$D$2,SUM(G359,I359,K359,M359,O359),PMT($O$25,SUM($G$17),($O$10)*-1)+O359+M359+K359)))</f>
        <v/>
      </c>
      <c r="R359" s="46"/>
      <c r="S359" s="46" t="str">
        <f t="shared" ca="1" si="52"/>
        <v/>
      </c>
      <c r="U359" s="15" t="str">
        <f t="shared" ca="1" si="53"/>
        <v/>
      </c>
    </row>
    <row r="360" spans="1:21" x14ac:dyDescent="0.3">
      <c r="A360" s="49" t="str">
        <f t="shared" ca="1" si="46"/>
        <v/>
      </c>
      <c r="B360" s="49" t="str">
        <f t="shared" ca="1" si="47"/>
        <v/>
      </c>
      <c r="C360" s="81" t="str">
        <f t="shared" ca="1" si="48"/>
        <v/>
      </c>
      <c r="D360" s="34" t="str">
        <f t="shared" ca="1" si="49"/>
        <v/>
      </c>
      <c r="E360" s="4" t="str">
        <f t="shared" ca="1" si="50"/>
        <v/>
      </c>
      <c r="G360" s="46" t="str">
        <f ca="1">IF(C360="","",IF(E360&lt;&gt;"Retorno",0,IF($G$20=Parâmetros!$D$2,Simulador!$O$10/$G$17,IF($G$20=Parâmetros!$D$3,PMT($O$25,$G$17,($O$10)*-1)-I360,""))))</f>
        <v/>
      </c>
      <c r="H360" s="46"/>
      <c r="I360" s="46" t="str">
        <f t="shared" ca="1" si="45"/>
        <v/>
      </c>
      <c r="J360" s="34"/>
      <c r="K360" s="46" t="str">
        <f t="shared" ca="1" si="51"/>
        <v/>
      </c>
      <c r="L360" s="46"/>
      <c r="M360" s="46" t="str">
        <f ca="1">IFERROR(IF(C360="","",IF($C$10=Parâmetros!$C$3,0,VLOOKUP(A360,'Base de Dados'!$E$3:$G$422,3,FALSE)*S360)),0)</f>
        <v/>
      </c>
      <c r="N360" s="34"/>
      <c r="O360" s="46" t="str">
        <f ca="1">IF(C360="","",IF(C361="",0,IF(E360="Construção",0,IF(E360="Seguro",$C$17*'Base de Dados'!$C$2,IF($C$14=Parâmetros!$B$4,0,Simulador!$C$17*'Base de Dados'!$C$2)))))</f>
        <v/>
      </c>
      <c r="P360" s="46"/>
      <c r="Q360" s="46" t="str">
        <f ca="1">IF(C360="","",IF(E360&lt;&gt;"Retorno",(I360+K360+M360),IF($G$20=Parâmetros!$D$2,SUM(G360,I360,K360,M360,O360),PMT($O$25,SUM($G$17),($O$10)*-1)+O360+M360+K360)))</f>
        <v/>
      </c>
      <c r="R360" s="46"/>
      <c r="S360" s="46" t="str">
        <f t="shared" ca="1" si="52"/>
        <v/>
      </c>
      <c r="U360" s="15" t="str">
        <f t="shared" ca="1" si="53"/>
        <v/>
      </c>
    </row>
    <row r="361" spans="1:21" x14ac:dyDescent="0.3">
      <c r="A361" s="49" t="str">
        <f t="shared" ca="1" si="46"/>
        <v/>
      </c>
      <c r="B361" s="49" t="str">
        <f t="shared" ca="1" si="47"/>
        <v/>
      </c>
      <c r="C361" s="81" t="str">
        <f t="shared" ca="1" si="48"/>
        <v/>
      </c>
      <c r="D361" s="34" t="str">
        <f t="shared" ca="1" si="49"/>
        <v/>
      </c>
      <c r="E361" s="4" t="str">
        <f t="shared" ca="1" si="50"/>
        <v/>
      </c>
      <c r="G361" s="46" t="str">
        <f ca="1">IF(C361="","",IF(E361&lt;&gt;"Retorno",0,IF($G$20=Parâmetros!$D$2,Simulador!$O$10/$G$17,IF($G$20=Parâmetros!$D$3,PMT($O$25,$G$17,($O$10)*-1)-I361,""))))</f>
        <v/>
      </c>
      <c r="H361" s="46"/>
      <c r="I361" s="46" t="str">
        <f t="shared" ca="1" si="45"/>
        <v/>
      </c>
      <c r="J361" s="34"/>
      <c r="K361" s="46" t="str">
        <f t="shared" ca="1" si="51"/>
        <v/>
      </c>
      <c r="L361" s="46"/>
      <c r="M361" s="46" t="str">
        <f ca="1">IFERROR(IF(C361="","",IF($C$10=Parâmetros!$C$3,0,VLOOKUP(A361,'Base de Dados'!$E$3:$G$422,3,FALSE)*S361)),0)</f>
        <v/>
      </c>
      <c r="N361" s="34"/>
      <c r="O361" s="46" t="str">
        <f ca="1">IF(C361="","",IF(C362="",0,IF(E361="Construção",0,IF(E361="Seguro",$C$17*'Base de Dados'!$C$2,IF($C$14=Parâmetros!$B$4,0,Simulador!$C$17*'Base de Dados'!$C$2)))))</f>
        <v/>
      </c>
      <c r="P361" s="46"/>
      <c r="Q361" s="46" t="str">
        <f ca="1">IF(C361="","",IF(E361&lt;&gt;"Retorno",(I361+K361+M361),IF($G$20=Parâmetros!$D$2,SUM(G361,I361,K361,M361,O361),PMT($O$25,SUM($G$17),($O$10)*-1)+O361+M361+K361)))</f>
        <v/>
      </c>
      <c r="R361" s="46"/>
      <c r="S361" s="46" t="str">
        <f t="shared" ca="1" si="52"/>
        <v/>
      </c>
      <c r="U361" s="15" t="str">
        <f t="shared" ca="1" si="53"/>
        <v/>
      </c>
    </row>
    <row r="362" spans="1:21" x14ac:dyDescent="0.3">
      <c r="A362" s="49" t="str">
        <f t="shared" ca="1" si="46"/>
        <v/>
      </c>
      <c r="B362" s="49" t="str">
        <f t="shared" ca="1" si="47"/>
        <v/>
      </c>
      <c r="C362" s="81" t="str">
        <f t="shared" ca="1" si="48"/>
        <v/>
      </c>
      <c r="D362" s="34" t="str">
        <f t="shared" ca="1" si="49"/>
        <v/>
      </c>
      <c r="E362" s="4" t="str">
        <f t="shared" ca="1" si="50"/>
        <v/>
      </c>
      <c r="G362" s="46" t="str">
        <f ca="1">IF(C362="","",IF(E362&lt;&gt;"Retorno",0,IF($G$20=Parâmetros!$D$2,Simulador!$O$10/$G$17,IF($G$20=Parâmetros!$D$3,PMT($O$25,$G$17,($O$10)*-1)-I362,""))))</f>
        <v/>
      </c>
      <c r="H362" s="46"/>
      <c r="I362" s="46" t="str">
        <f t="shared" ca="1" si="45"/>
        <v/>
      </c>
      <c r="J362" s="34"/>
      <c r="K362" s="46" t="str">
        <f t="shared" ca="1" si="51"/>
        <v/>
      </c>
      <c r="L362" s="46"/>
      <c r="M362" s="46" t="str">
        <f ca="1">IFERROR(IF(C362="","",IF($C$10=Parâmetros!$C$3,0,VLOOKUP(A362,'Base de Dados'!$E$3:$G$422,3,FALSE)*S362)),0)</f>
        <v/>
      </c>
      <c r="N362" s="34"/>
      <c r="O362" s="46" t="str">
        <f ca="1">IF(C362="","",IF(C363="",0,IF(E362="Construção",0,IF(E362="Seguro",$C$17*'Base de Dados'!$C$2,IF($C$14=Parâmetros!$B$4,0,Simulador!$C$17*'Base de Dados'!$C$2)))))</f>
        <v/>
      </c>
      <c r="P362" s="46"/>
      <c r="Q362" s="46" t="str">
        <f ca="1">IF(C362="","",IF(E362&lt;&gt;"Retorno",(I362+K362+M362),IF($G$20=Parâmetros!$D$2,SUM(G362,I362,K362,M362,O362),PMT($O$25,SUM($G$17),($O$10)*-1)+O362+M362+K362)))</f>
        <v/>
      </c>
      <c r="R362" s="46"/>
      <c r="S362" s="46" t="str">
        <f t="shared" ca="1" si="52"/>
        <v/>
      </c>
      <c r="U362" s="15" t="str">
        <f t="shared" ca="1" si="53"/>
        <v/>
      </c>
    </row>
    <row r="363" spans="1:21" x14ac:dyDescent="0.3">
      <c r="A363" s="49" t="str">
        <f t="shared" ca="1" si="46"/>
        <v/>
      </c>
      <c r="B363" s="49" t="str">
        <f t="shared" ca="1" si="47"/>
        <v/>
      </c>
      <c r="C363" s="81" t="str">
        <f t="shared" ca="1" si="48"/>
        <v/>
      </c>
      <c r="D363" s="34" t="str">
        <f t="shared" ca="1" si="49"/>
        <v/>
      </c>
      <c r="E363" s="4" t="str">
        <f t="shared" ca="1" si="50"/>
        <v/>
      </c>
      <c r="G363" s="46" t="str">
        <f ca="1">IF(C363="","",IF(E363&lt;&gt;"Retorno",0,IF($G$20=Parâmetros!$D$2,Simulador!$O$10/$G$17,IF($G$20=Parâmetros!$D$3,PMT($O$25,$G$17,($O$10)*-1)-I363,""))))</f>
        <v/>
      </c>
      <c r="H363" s="46"/>
      <c r="I363" s="46" t="str">
        <f t="shared" ca="1" si="45"/>
        <v/>
      </c>
      <c r="J363" s="34"/>
      <c r="K363" s="46" t="str">
        <f t="shared" ca="1" si="51"/>
        <v/>
      </c>
      <c r="L363" s="46"/>
      <c r="M363" s="46" t="str">
        <f ca="1">IFERROR(IF(C363="","",IF($C$10=Parâmetros!$C$3,0,VLOOKUP(A363,'Base de Dados'!$E$3:$G$422,3,FALSE)*S363)),0)</f>
        <v/>
      </c>
      <c r="N363" s="34"/>
      <c r="O363" s="46" t="str">
        <f ca="1">IF(C363="","",IF(C364="",0,IF(E363="Construção",0,IF(E363="Seguro",$C$17*'Base de Dados'!$C$2,IF($C$14=Parâmetros!$B$4,0,Simulador!$C$17*'Base de Dados'!$C$2)))))</f>
        <v/>
      </c>
      <c r="P363" s="46"/>
      <c r="Q363" s="46" t="str">
        <f ca="1">IF(C363="","",IF(E363&lt;&gt;"Retorno",(I363+K363+M363),IF($G$20=Parâmetros!$D$2,SUM(G363,I363,K363,M363,O363),PMT($O$25,SUM($G$17),($O$10)*-1)+O363+M363+K363)))</f>
        <v/>
      </c>
      <c r="R363" s="46"/>
      <c r="S363" s="46" t="str">
        <f t="shared" ca="1" si="52"/>
        <v/>
      </c>
      <c r="U363" s="15" t="str">
        <f t="shared" ca="1" si="53"/>
        <v/>
      </c>
    </row>
    <row r="364" spans="1:21" x14ac:dyDescent="0.3">
      <c r="A364" s="49" t="str">
        <f t="shared" ca="1" si="46"/>
        <v/>
      </c>
      <c r="B364" s="49" t="str">
        <f t="shared" ca="1" si="47"/>
        <v/>
      </c>
      <c r="C364" s="81" t="str">
        <f t="shared" ca="1" si="48"/>
        <v/>
      </c>
      <c r="D364" s="34" t="str">
        <f t="shared" ca="1" si="49"/>
        <v/>
      </c>
      <c r="E364" s="4" t="str">
        <f t="shared" ca="1" si="50"/>
        <v/>
      </c>
      <c r="G364" s="46" t="str">
        <f ca="1">IF(C364="","",IF(E364&lt;&gt;"Retorno",0,IF($G$20=Parâmetros!$D$2,Simulador!$O$10/$G$17,IF($G$20=Parâmetros!$D$3,PMT($O$25,$G$17,($O$10)*-1)-I364,""))))</f>
        <v/>
      </c>
      <c r="H364" s="46"/>
      <c r="I364" s="46" t="str">
        <f t="shared" ca="1" si="45"/>
        <v/>
      </c>
      <c r="J364" s="34"/>
      <c r="K364" s="46" t="str">
        <f t="shared" ca="1" si="51"/>
        <v/>
      </c>
      <c r="L364" s="46"/>
      <c r="M364" s="46" t="str">
        <f ca="1">IFERROR(IF(C364="","",IF($C$10=Parâmetros!$C$3,0,VLOOKUP(A364,'Base de Dados'!$E$3:$G$422,3,FALSE)*S364)),0)</f>
        <v/>
      </c>
      <c r="N364" s="34"/>
      <c r="O364" s="46" t="str">
        <f ca="1">IF(C364="","",IF(C365="",0,IF(E364="Construção",0,IF(E364="Seguro",$C$17*'Base de Dados'!$C$2,IF($C$14=Parâmetros!$B$4,0,Simulador!$C$17*'Base de Dados'!$C$2)))))</f>
        <v/>
      </c>
      <c r="P364" s="46"/>
      <c r="Q364" s="46" t="str">
        <f ca="1">IF(C364="","",IF(E364&lt;&gt;"Retorno",(I364+K364+M364),IF($G$20=Parâmetros!$D$2,SUM(G364,I364,K364,M364,O364),PMT($O$25,SUM($G$17),($O$10)*-1)+O364+M364+K364)))</f>
        <v/>
      </c>
      <c r="R364" s="46"/>
      <c r="S364" s="46" t="str">
        <f t="shared" ca="1" si="52"/>
        <v/>
      </c>
      <c r="U364" s="15" t="str">
        <f t="shared" ca="1" si="53"/>
        <v/>
      </c>
    </row>
    <row r="365" spans="1:21" x14ac:dyDescent="0.3">
      <c r="A365" s="49" t="str">
        <f t="shared" ca="1" si="46"/>
        <v/>
      </c>
      <c r="B365" s="49" t="str">
        <f t="shared" ca="1" si="47"/>
        <v/>
      </c>
      <c r="C365" s="81" t="str">
        <f t="shared" ca="1" si="48"/>
        <v/>
      </c>
      <c r="D365" s="34" t="str">
        <f t="shared" ca="1" si="49"/>
        <v/>
      </c>
      <c r="E365" s="4" t="str">
        <f t="shared" ca="1" si="50"/>
        <v/>
      </c>
      <c r="G365" s="46" t="str">
        <f ca="1">IF(C365="","",IF(E365&lt;&gt;"Retorno",0,IF($G$20=Parâmetros!$D$2,Simulador!$O$10/$G$17,IF($G$20=Parâmetros!$D$3,PMT($O$25,$G$17,($O$10)*-1)-I365,""))))</f>
        <v/>
      </c>
      <c r="H365" s="46"/>
      <c r="I365" s="46" t="str">
        <f t="shared" ca="1" si="45"/>
        <v/>
      </c>
      <c r="J365" s="34"/>
      <c r="K365" s="46" t="str">
        <f t="shared" ca="1" si="51"/>
        <v/>
      </c>
      <c r="L365" s="46"/>
      <c r="M365" s="46" t="str">
        <f ca="1">IFERROR(IF(C365="","",IF($C$10=Parâmetros!$C$3,0,VLOOKUP(A365,'Base de Dados'!$E$3:$G$422,3,FALSE)*S365)),0)</f>
        <v/>
      </c>
      <c r="N365" s="34"/>
      <c r="O365" s="46" t="str">
        <f ca="1">IF(C365="","",IF(C366="",0,IF(E365="Construção",0,IF(E365="Seguro",$C$17*'Base de Dados'!$C$2,IF($C$14=Parâmetros!$B$4,0,Simulador!$C$17*'Base de Dados'!$C$2)))))</f>
        <v/>
      </c>
      <c r="P365" s="46"/>
      <c r="Q365" s="46" t="str">
        <f ca="1">IF(C365="","",IF(E365&lt;&gt;"Retorno",(I365+K365+M365),IF($G$20=Parâmetros!$D$2,SUM(G365,I365,K365,M365,O365),PMT($O$25,SUM($G$17),($O$10)*-1)+O365+M365+K365)))</f>
        <v/>
      </c>
      <c r="R365" s="46"/>
      <c r="S365" s="46" t="str">
        <f t="shared" ca="1" si="52"/>
        <v/>
      </c>
      <c r="U365" s="15" t="str">
        <f t="shared" ca="1" si="53"/>
        <v/>
      </c>
    </row>
    <row r="366" spans="1:21" x14ac:dyDescent="0.3">
      <c r="A366" s="49" t="str">
        <f t="shared" ca="1" si="46"/>
        <v/>
      </c>
      <c r="B366" s="49" t="str">
        <f t="shared" ca="1" si="47"/>
        <v/>
      </c>
      <c r="C366" s="81" t="str">
        <f t="shared" ca="1" si="48"/>
        <v/>
      </c>
      <c r="D366" s="34" t="str">
        <f t="shared" ca="1" si="49"/>
        <v/>
      </c>
      <c r="E366" s="4" t="str">
        <f t="shared" ca="1" si="50"/>
        <v/>
      </c>
      <c r="G366" s="46" t="str">
        <f ca="1">IF(C366="","",IF(E366&lt;&gt;"Retorno",0,IF($G$20=Parâmetros!$D$2,Simulador!$O$10/$G$17,IF($G$20=Parâmetros!$D$3,PMT($O$25,$G$17,($O$10)*-1)-I366,""))))</f>
        <v/>
      </c>
      <c r="H366" s="46"/>
      <c r="I366" s="46" t="str">
        <f t="shared" ca="1" si="45"/>
        <v/>
      </c>
      <c r="J366" s="34"/>
      <c r="K366" s="46" t="str">
        <f t="shared" ca="1" si="51"/>
        <v/>
      </c>
      <c r="L366" s="46"/>
      <c r="M366" s="46" t="str">
        <f ca="1">IFERROR(IF(C366="","",IF($C$10=Parâmetros!$C$3,0,VLOOKUP(A366,'Base de Dados'!$E$3:$G$422,3,FALSE)*S366)),0)</f>
        <v/>
      </c>
      <c r="N366" s="34"/>
      <c r="O366" s="46" t="str">
        <f ca="1">IF(C366="","",IF(C367="",0,IF(E366="Construção",0,IF(E366="Seguro",$C$17*'Base de Dados'!$C$2,IF($C$14=Parâmetros!$B$4,0,Simulador!$C$17*'Base de Dados'!$C$2)))))</f>
        <v/>
      </c>
      <c r="P366" s="46"/>
      <c r="Q366" s="46" t="str">
        <f ca="1">IF(C366="","",IF(E366&lt;&gt;"Retorno",(I366+K366+M366),IF($G$20=Parâmetros!$D$2,SUM(G366,I366,K366,M366,O366),PMT($O$25,SUM($G$17),($O$10)*-1)+O366+M366+K366)))</f>
        <v/>
      </c>
      <c r="R366" s="46"/>
      <c r="S366" s="46" t="str">
        <f t="shared" ca="1" si="52"/>
        <v/>
      </c>
      <c r="U366" s="15" t="str">
        <f t="shared" ca="1" si="53"/>
        <v/>
      </c>
    </row>
    <row r="367" spans="1:21" x14ac:dyDescent="0.3">
      <c r="A367" s="49" t="str">
        <f t="shared" ca="1" si="46"/>
        <v/>
      </c>
      <c r="B367" s="49" t="str">
        <f t="shared" ca="1" si="47"/>
        <v/>
      </c>
      <c r="C367" s="81" t="str">
        <f t="shared" ca="1" si="48"/>
        <v/>
      </c>
      <c r="D367" s="34" t="str">
        <f t="shared" ca="1" si="49"/>
        <v/>
      </c>
      <c r="E367" s="4" t="str">
        <f t="shared" ca="1" si="50"/>
        <v/>
      </c>
      <c r="G367" s="46" t="str">
        <f ca="1">IF(C367="","",IF(E367&lt;&gt;"Retorno",0,IF($G$20=Parâmetros!$D$2,Simulador!$O$10/$G$17,IF($G$20=Parâmetros!$D$3,PMT($O$25,$G$17,($O$10)*-1)-I367,""))))</f>
        <v/>
      </c>
      <c r="H367" s="46"/>
      <c r="I367" s="46" t="str">
        <f t="shared" ca="1" si="45"/>
        <v/>
      </c>
      <c r="J367" s="34"/>
      <c r="K367" s="46" t="str">
        <f t="shared" ca="1" si="51"/>
        <v/>
      </c>
      <c r="L367" s="46"/>
      <c r="M367" s="46" t="str">
        <f ca="1">IFERROR(IF(C367="","",IF($C$10=Parâmetros!$C$3,0,VLOOKUP(A367,'Base de Dados'!$E$3:$G$422,3,FALSE)*S367)),0)</f>
        <v/>
      </c>
      <c r="N367" s="34"/>
      <c r="O367" s="46" t="str">
        <f ca="1">IF(C367="","",IF(C368="",0,IF(E367="Construção",0,IF(E367="Seguro",$C$17*'Base de Dados'!$C$2,IF($C$14=Parâmetros!$B$4,0,Simulador!$C$17*'Base de Dados'!$C$2)))))</f>
        <v/>
      </c>
      <c r="P367" s="46"/>
      <c r="Q367" s="46" t="str">
        <f ca="1">IF(C367="","",IF(E367&lt;&gt;"Retorno",(I367+K367+M367),IF($G$20=Parâmetros!$D$2,SUM(G367,I367,K367,M367,O367),PMT($O$25,SUM($G$17),($O$10)*-1)+O367+M367+K367)))</f>
        <v/>
      </c>
      <c r="R367" s="46"/>
      <c r="S367" s="46" t="str">
        <f t="shared" ca="1" si="52"/>
        <v/>
      </c>
      <c r="U367" s="15" t="str">
        <f t="shared" ca="1" si="53"/>
        <v/>
      </c>
    </row>
    <row r="368" spans="1:21" x14ac:dyDescent="0.3">
      <c r="A368" s="49" t="str">
        <f t="shared" ca="1" si="46"/>
        <v/>
      </c>
      <c r="B368" s="49" t="str">
        <f t="shared" ca="1" si="47"/>
        <v/>
      </c>
      <c r="C368" s="81" t="str">
        <f t="shared" ca="1" si="48"/>
        <v/>
      </c>
      <c r="D368" s="34" t="str">
        <f t="shared" ca="1" si="49"/>
        <v/>
      </c>
      <c r="E368" s="4" t="str">
        <f t="shared" ca="1" si="50"/>
        <v/>
      </c>
      <c r="G368" s="46" t="str">
        <f ca="1">IF(C368="","",IF(E368&lt;&gt;"Retorno",0,IF($G$20=Parâmetros!$D$2,Simulador!$O$10/$G$17,IF($G$20=Parâmetros!$D$3,PMT($O$25,$G$17,($O$10)*-1)-I368,""))))</f>
        <v/>
      </c>
      <c r="H368" s="46"/>
      <c r="I368" s="46" t="str">
        <f t="shared" ca="1" si="45"/>
        <v/>
      </c>
      <c r="J368" s="34"/>
      <c r="K368" s="46" t="str">
        <f t="shared" ca="1" si="51"/>
        <v/>
      </c>
      <c r="L368" s="46"/>
      <c r="M368" s="46" t="str">
        <f ca="1">IFERROR(IF(C368="","",IF($C$10=Parâmetros!$C$3,0,VLOOKUP(A368,'Base de Dados'!$E$3:$G$422,3,FALSE)*S368)),0)</f>
        <v/>
      </c>
      <c r="N368" s="34"/>
      <c r="O368" s="46" t="str">
        <f ca="1">IF(C368="","",IF(C369="",0,IF(E368="Construção",0,IF(E368="Seguro",$C$17*'Base de Dados'!$C$2,IF($C$14=Parâmetros!$B$4,0,Simulador!$C$17*'Base de Dados'!$C$2)))))</f>
        <v/>
      </c>
      <c r="P368" s="46"/>
      <c r="Q368" s="46" t="str">
        <f ca="1">IF(C368="","",IF(E368&lt;&gt;"Retorno",(I368+K368+M368),IF($G$20=Parâmetros!$D$2,SUM(G368,I368,K368,M368,O368),PMT($O$25,SUM($G$17),($O$10)*-1)+O368+M368+K368)))</f>
        <v/>
      </c>
      <c r="R368" s="46"/>
      <c r="S368" s="46" t="str">
        <f t="shared" ca="1" si="52"/>
        <v/>
      </c>
      <c r="U368" s="15" t="str">
        <f t="shared" ca="1" si="53"/>
        <v/>
      </c>
    </row>
    <row r="369" spans="1:21" x14ac:dyDescent="0.3">
      <c r="A369" s="49" t="str">
        <f t="shared" ca="1" si="46"/>
        <v/>
      </c>
      <c r="B369" s="49" t="str">
        <f t="shared" ca="1" si="47"/>
        <v/>
      </c>
      <c r="C369" s="81" t="str">
        <f t="shared" ca="1" si="48"/>
        <v/>
      </c>
      <c r="D369" s="34" t="str">
        <f t="shared" ca="1" si="49"/>
        <v/>
      </c>
      <c r="E369" s="4" t="str">
        <f t="shared" ca="1" si="50"/>
        <v/>
      </c>
      <c r="G369" s="46" t="str">
        <f ca="1">IF(C369="","",IF(E369&lt;&gt;"Retorno",0,IF($G$20=Parâmetros!$D$2,Simulador!$O$10/$G$17,IF($G$20=Parâmetros!$D$3,PMT($O$25,$G$17,($O$10)*-1)-I369,""))))</f>
        <v/>
      </c>
      <c r="H369" s="46"/>
      <c r="I369" s="46" t="str">
        <f t="shared" ca="1" si="45"/>
        <v/>
      </c>
      <c r="J369" s="34"/>
      <c r="K369" s="46" t="str">
        <f t="shared" ca="1" si="51"/>
        <v/>
      </c>
      <c r="L369" s="46"/>
      <c r="M369" s="46" t="str">
        <f ca="1">IFERROR(IF(C369="","",IF($C$10=Parâmetros!$C$3,0,VLOOKUP(A369,'Base de Dados'!$E$3:$G$422,3,FALSE)*S369)),0)</f>
        <v/>
      </c>
      <c r="N369" s="34"/>
      <c r="O369" s="46" t="str">
        <f ca="1">IF(C369="","",IF(C370="",0,IF(E369="Construção",0,IF(E369="Seguro",$C$17*'Base de Dados'!$C$2,IF($C$14=Parâmetros!$B$4,0,Simulador!$C$17*'Base de Dados'!$C$2)))))</f>
        <v/>
      </c>
      <c r="P369" s="46"/>
      <c r="Q369" s="46" t="str">
        <f ca="1">IF(C369="","",IF(E369&lt;&gt;"Retorno",(I369+K369+M369),IF($G$20=Parâmetros!$D$2,SUM(G369,I369,K369,M369,O369),PMT($O$25,SUM($G$17),($O$10)*-1)+O369+M369+K369)))</f>
        <v/>
      </c>
      <c r="R369" s="46"/>
      <c r="S369" s="46" t="str">
        <f t="shared" ca="1" si="52"/>
        <v/>
      </c>
      <c r="U369" s="15" t="str">
        <f t="shared" ca="1" si="53"/>
        <v/>
      </c>
    </row>
    <row r="370" spans="1:21" x14ac:dyDescent="0.3">
      <c r="A370" s="49" t="str">
        <f t="shared" ca="1" si="46"/>
        <v/>
      </c>
      <c r="B370" s="49" t="str">
        <f t="shared" ca="1" si="47"/>
        <v/>
      </c>
      <c r="C370" s="81" t="str">
        <f t="shared" ca="1" si="48"/>
        <v/>
      </c>
      <c r="D370" s="34" t="str">
        <f t="shared" ca="1" si="49"/>
        <v/>
      </c>
      <c r="E370" s="4" t="str">
        <f t="shared" ca="1" si="50"/>
        <v/>
      </c>
      <c r="G370" s="46" t="str">
        <f ca="1">IF(C370="","",IF(E370&lt;&gt;"Retorno",0,IF($G$20=Parâmetros!$D$2,Simulador!$O$10/$G$17,IF($G$20=Parâmetros!$D$3,PMT($O$25,$G$17,($O$10)*-1)-I370,""))))</f>
        <v/>
      </c>
      <c r="H370" s="46"/>
      <c r="I370" s="46" t="str">
        <f t="shared" ca="1" si="45"/>
        <v/>
      </c>
      <c r="J370" s="34"/>
      <c r="K370" s="46" t="str">
        <f t="shared" ca="1" si="51"/>
        <v/>
      </c>
      <c r="L370" s="46"/>
      <c r="M370" s="46" t="str">
        <f ca="1">IFERROR(IF(C370="","",IF($C$10=Parâmetros!$C$3,0,VLOOKUP(A370,'Base de Dados'!$E$3:$G$422,3,FALSE)*S370)),0)</f>
        <v/>
      </c>
      <c r="N370" s="34"/>
      <c r="O370" s="46" t="str">
        <f ca="1">IF(C370="","",IF(C371="",0,IF(E370="Construção",0,IF(E370="Seguro",$C$17*'Base de Dados'!$C$2,IF($C$14=Parâmetros!$B$4,0,Simulador!$C$17*'Base de Dados'!$C$2)))))</f>
        <v/>
      </c>
      <c r="P370" s="46"/>
      <c r="Q370" s="46" t="str">
        <f ca="1">IF(C370="","",IF(E370&lt;&gt;"Retorno",(I370+K370+M370),IF($G$20=Parâmetros!$D$2,SUM(G370,I370,K370,M370,O370),PMT($O$25,SUM($G$17),($O$10)*-1)+O370+M370+K370)))</f>
        <v/>
      </c>
      <c r="R370" s="46"/>
      <c r="S370" s="46" t="str">
        <f t="shared" ca="1" si="52"/>
        <v/>
      </c>
      <c r="U370" s="15" t="str">
        <f t="shared" ca="1" si="53"/>
        <v/>
      </c>
    </row>
    <row r="371" spans="1:21" x14ac:dyDescent="0.3">
      <c r="A371" s="49" t="str">
        <f t="shared" ca="1" si="46"/>
        <v/>
      </c>
      <c r="B371" s="49" t="str">
        <f t="shared" ca="1" si="47"/>
        <v/>
      </c>
      <c r="C371" s="81" t="str">
        <f t="shared" ca="1" si="48"/>
        <v/>
      </c>
      <c r="D371" s="34" t="str">
        <f t="shared" ca="1" si="49"/>
        <v/>
      </c>
      <c r="E371" s="4" t="str">
        <f t="shared" ca="1" si="50"/>
        <v/>
      </c>
      <c r="G371" s="46" t="str">
        <f ca="1">IF(C371="","",IF(E371&lt;&gt;"Retorno",0,IF($G$20=Parâmetros!$D$2,Simulador!$O$10/$G$17,IF($G$20=Parâmetros!$D$3,PMT($O$25,$G$17,($O$10)*-1)-I371,""))))</f>
        <v/>
      </c>
      <c r="H371" s="46"/>
      <c r="I371" s="46" t="str">
        <f t="shared" ca="1" si="45"/>
        <v/>
      </c>
      <c r="J371" s="34"/>
      <c r="K371" s="46" t="str">
        <f t="shared" ca="1" si="51"/>
        <v/>
      </c>
      <c r="L371" s="46"/>
      <c r="M371" s="46" t="str">
        <f ca="1">IFERROR(IF(C371="","",IF($C$10=Parâmetros!$C$3,0,VLOOKUP(A371,'Base de Dados'!$E$3:$G$422,3,FALSE)*S371)),0)</f>
        <v/>
      </c>
      <c r="N371" s="34"/>
      <c r="O371" s="46" t="str">
        <f ca="1">IF(C371="","",IF(C372="",0,IF(E371="Construção",0,IF(E371="Seguro",$C$17*'Base de Dados'!$C$2,IF($C$14=Parâmetros!$B$4,0,Simulador!$C$17*'Base de Dados'!$C$2)))))</f>
        <v/>
      </c>
      <c r="P371" s="46"/>
      <c r="Q371" s="46" t="str">
        <f ca="1">IF(C371="","",IF(E371&lt;&gt;"Retorno",(I371+K371+M371),IF($G$20=Parâmetros!$D$2,SUM(G371,I371,K371,M371,O371),PMT($O$25,SUM($G$17),($O$10)*-1)+O371+M371+K371)))</f>
        <v/>
      </c>
      <c r="R371" s="46"/>
      <c r="S371" s="46" t="str">
        <f t="shared" ca="1" si="52"/>
        <v/>
      </c>
      <c r="U371" s="15" t="str">
        <f t="shared" ca="1" si="53"/>
        <v/>
      </c>
    </row>
    <row r="372" spans="1:21" x14ac:dyDescent="0.3">
      <c r="A372" s="49" t="str">
        <f t="shared" ca="1" si="46"/>
        <v/>
      </c>
      <c r="B372" s="49" t="str">
        <f t="shared" ca="1" si="47"/>
        <v/>
      </c>
      <c r="C372" s="81" t="str">
        <f t="shared" ca="1" si="48"/>
        <v/>
      </c>
      <c r="D372" s="34" t="str">
        <f t="shared" ca="1" si="49"/>
        <v/>
      </c>
      <c r="E372" s="4" t="str">
        <f t="shared" ca="1" si="50"/>
        <v/>
      </c>
      <c r="G372" s="46" t="str">
        <f ca="1">IF(C372="","",IF(E372&lt;&gt;"Retorno",0,IF($G$20=Parâmetros!$D$2,Simulador!$O$10/$G$17,IF($G$20=Parâmetros!$D$3,PMT($O$25,$G$17,($O$10)*-1)-I372,""))))</f>
        <v/>
      </c>
      <c r="H372" s="46"/>
      <c r="I372" s="46" t="str">
        <f t="shared" ca="1" si="45"/>
        <v/>
      </c>
      <c r="J372" s="34"/>
      <c r="K372" s="46" t="str">
        <f t="shared" ca="1" si="51"/>
        <v/>
      </c>
      <c r="L372" s="46"/>
      <c r="M372" s="46" t="str">
        <f ca="1">IFERROR(IF(C372="","",IF($C$10=Parâmetros!$C$3,0,VLOOKUP(A372,'Base de Dados'!$E$3:$G$422,3,FALSE)*S372)),0)</f>
        <v/>
      </c>
      <c r="N372" s="34"/>
      <c r="O372" s="46" t="str">
        <f ca="1">IF(C372="","",IF(C373="",0,IF(E372="Construção",0,IF(E372="Seguro",$C$17*'Base de Dados'!$C$2,IF($C$14=Parâmetros!$B$4,0,Simulador!$C$17*'Base de Dados'!$C$2)))))</f>
        <v/>
      </c>
      <c r="P372" s="46"/>
      <c r="Q372" s="46" t="str">
        <f ca="1">IF(C372="","",IF(E372&lt;&gt;"Retorno",(I372+K372+M372),IF($G$20=Parâmetros!$D$2,SUM(G372,I372,K372,M372,O372),PMT($O$25,SUM($G$17),($O$10)*-1)+O372+M372+K372)))</f>
        <v/>
      </c>
      <c r="R372" s="46"/>
      <c r="S372" s="46" t="str">
        <f t="shared" ca="1" si="52"/>
        <v/>
      </c>
      <c r="U372" s="15" t="str">
        <f t="shared" ca="1" si="53"/>
        <v/>
      </c>
    </row>
    <row r="373" spans="1:21" x14ac:dyDescent="0.3">
      <c r="A373" s="49" t="str">
        <f t="shared" ca="1" si="46"/>
        <v/>
      </c>
      <c r="B373" s="49" t="str">
        <f t="shared" ca="1" si="47"/>
        <v/>
      </c>
      <c r="C373" s="81" t="str">
        <f t="shared" ca="1" si="48"/>
        <v/>
      </c>
      <c r="D373" s="34" t="str">
        <f t="shared" ca="1" si="49"/>
        <v/>
      </c>
      <c r="E373" s="4" t="str">
        <f t="shared" ca="1" si="50"/>
        <v/>
      </c>
      <c r="G373" s="46" t="str">
        <f ca="1">IF(C373="","",IF(E373&lt;&gt;"Retorno",0,IF($G$20=Parâmetros!$D$2,Simulador!$O$10/$G$17,IF($G$20=Parâmetros!$D$3,PMT($O$25,$G$17,($O$10)*-1)-I373,""))))</f>
        <v/>
      </c>
      <c r="H373" s="46"/>
      <c r="I373" s="46" t="str">
        <f t="shared" ca="1" si="45"/>
        <v/>
      </c>
      <c r="J373" s="34"/>
      <c r="K373" s="46" t="str">
        <f t="shared" ca="1" si="51"/>
        <v/>
      </c>
      <c r="L373" s="46"/>
      <c r="M373" s="46" t="str">
        <f ca="1">IFERROR(IF(C373="","",IF($C$10=Parâmetros!$C$3,0,VLOOKUP(A373,'Base de Dados'!$E$3:$G$422,3,FALSE)*S373)),0)</f>
        <v/>
      </c>
      <c r="N373" s="34"/>
      <c r="O373" s="46" t="str">
        <f ca="1">IF(C373="","",IF(C374="",0,IF(E373="Construção",0,IF(E373="Seguro",$C$17*'Base de Dados'!$C$2,IF($C$14=Parâmetros!$B$4,0,Simulador!$C$17*'Base de Dados'!$C$2)))))</f>
        <v/>
      </c>
      <c r="P373" s="46"/>
      <c r="Q373" s="46" t="str">
        <f ca="1">IF(C373="","",IF(E373&lt;&gt;"Retorno",(I373+K373+M373),IF($G$20=Parâmetros!$D$2,SUM(G373,I373,K373,M373,O373),PMT($O$25,SUM($G$17),($O$10)*-1)+O373+M373+K373)))</f>
        <v/>
      </c>
      <c r="R373" s="46"/>
      <c r="S373" s="46" t="str">
        <f t="shared" ca="1" si="52"/>
        <v/>
      </c>
      <c r="U373" s="15" t="str">
        <f t="shared" ca="1" si="53"/>
        <v/>
      </c>
    </row>
    <row r="374" spans="1:21" x14ac:dyDescent="0.3">
      <c r="A374" s="49" t="str">
        <f t="shared" ca="1" si="46"/>
        <v/>
      </c>
      <c r="B374" s="49" t="str">
        <f t="shared" ca="1" si="47"/>
        <v/>
      </c>
      <c r="C374" s="81" t="str">
        <f t="shared" ca="1" si="48"/>
        <v/>
      </c>
      <c r="D374" s="34" t="str">
        <f t="shared" ca="1" si="49"/>
        <v/>
      </c>
      <c r="E374" s="4" t="str">
        <f t="shared" ca="1" si="50"/>
        <v/>
      </c>
      <c r="G374" s="46" t="str">
        <f ca="1">IF(C374="","",IF(E374&lt;&gt;"Retorno",0,IF($G$20=Parâmetros!$D$2,Simulador!$O$10/$G$17,IF($G$20=Parâmetros!$D$3,PMT($O$25,$G$17,($O$10)*-1)-I374,""))))</f>
        <v/>
      </c>
      <c r="H374" s="46"/>
      <c r="I374" s="46" t="str">
        <f t="shared" ca="1" si="45"/>
        <v/>
      </c>
      <c r="J374" s="34"/>
      <c r="K374" s="46" t="str">
        <f t="shared" ca="1" si="51"/>
        <v/>
      </c>
      <c r="L374" s="46"/>
      <c r="M374" s="46" t="str">
        <f ca="1">IFERROR(IF(C374="","",IF($C$10=Parâmetros!$C$3,0,VLOOKUP(A374,'Base de Dados'!$E$3:$G$422,3,FALSE)*S374)),0)</f>
        <v/>
      </c>
      <c r="N374" s="34"/>
      <c r="O374" s="46" t="str">
        <f ca="1">IF(C374="","",IF(C375="",0,IF(E374="Construção",0,IF(E374="Seguro",$C$17*'Base de Dados'!$C$2,IF($C$14=Parâmetros!$B$4,0,Simulador!$C$17*'Base de Dados'!$C$2)))))</f>
        <v/>
      </c>
      <c r="P374" s="46"/>
      <c r="Q374" s="46" t="str">
        <f ca="1">IF(C374="","",IF(E374&lt;&gt;"Retorno",(I374+K374+M374),IF($G$20=Parâmetros!$D$2,SUM(G374,I374,K374,M374,O374),PMT($O$25,SUM($G$17),($O$10)*-1)+O374+M374+K374)))</f>
        <v/>
      </c>
      <c r="R374" s="46"/>
      <c r="S374" s="46" t="str">
        <f t="shared" ca="1" si="52"/>
        <v/>
      </c>
      <c r="U374" s="15" t="str">
        <f t="shared" ca="1" si="53"/>
        <v/>
      </c>
    </row>
    <row r="375" spans="1:21" x14ac:dyDescent="0.3">
      <c r="A375" s="49" t="str">
        <f t="shared" ca="1" si="46"/>
        <v/>
      </c>
      <c r="B375" s="49" t="str">
        <f t="shared" ca="1" si="47"/>
        <v/>
      </c>
      <c r="C375" s="81" t="str">
        <f t="shared" ca="1" si="48"/>
        <v/>
      </c>
      <c r="D375" s="34" t="str">
        <f t="shared" ca="1" si="49"/>
        <v/>
      </c>
      <c r="E375" s="4" t="str">
        <f t="shared" ca="1" si="50"/>
        <v/>
      </c>
      <c r="G375" s="46" t="str">
        <f ca="1">IF(C375="","",IF(E375&lt;&gt;"Retorno",0,IF($G$20=Parâmetros!$D$2,Simulador!$O$10/$G$17,IF($G$20=Parâmetros!$D$3,PMT($O$25,$G$17,($O$10)*-1)-I375,""))))</f>
        <v/>
      </c>
      <c r="H375" s="46"/>
      <c r="I375" s="46" t="str">
        <f t="shared" ca="1" si="45"/>
        <v/>
      </c>
      <c r="J375" s="34"/>
      <c r="K375" s="46" t="str">
        <f t="shared" ca="1" si="51"/>
        <v/>
      </c>
      <c r="L375" s="46"/>
      <c r="M375" s="46" t="str">
        <f ca="1">IFERROR(IF(C375="","",IF($C$10=Parâmetros!$C$3,0,VLOOKUP(A375,'Base de Dados'!$E$3:$G$422,3,FALSE)*S375)),0)</f>
        <v/>
      </c>
      <c r="N375" s="34"/>
      <c r="O375" s="46" t="str">
        <f ca="1">IF(C375="","",IF(C376="",0,IF(E375="Construção",0,IF(E375="Seguro",$C$17*'Base de Dados'!$C$2,IF($C$14=Parâmetros!$B$4,0,Simulador!$C$17*'Base de Dados'!$C$2)))))</f>
        <v/>
      </c>
      <c r="P375" s="46"/>
      <c r="Q375" s="46" t="str">
        <f ca="1">IF(C375="","",IF(E375&lt;&gt;"Retorno",(I375+K375+M375),IF($G$20=Parâmetros!$D$2,SUM(G375,I375,K375,M375,O375),PMT($O$25,SUM($G$17),($O$10)*-1)+O375+M375+K375)))</f>
        <v/>
      </c>
      <c r="R375" s="46"/>
      <c r="S375" s="46" t="str">
        <f t="shared" ca="1" si="52"/>
        <v/>
      </c>
      <c r="U375" s="15" t="str">
        <f t="shared" ca="1" si="53"/>
        <v/>
      </c>
    </row>
    <row r="376" spans="1:21" x14ac:dyDescent="0.3">
      <c r="A376" s="49" t="str">
        <f t="shared" ca="1" si="46"/>
        <v/>
      </c>
      <c r="B376" s="49" t="str">
        <f t="shared" ca="1" si="47"/>
        <v/>
      </c>
      <c r="C376" s="81" t="str">
        <f t="shared" ca="1" si="48"/>
        <v/>
      </c>
      <c r="D376" s="34" t="str">
        <f t="shared" ca="1" si="49"/>
        <v/>
      </c>
      <c r="E376" s="4" t="str">
        <f t="shared" ca="1" si="50"/>
        <v/>
      </c>
      <c r="G376" s="46" t="str">
        <f ca="1">IF(C376="","",IF(E376&lt;&gt;"Retorno",0,IF($G$20=Parâmetros!$D$2,Simulador!$O$10/$G$17,IF($G$20=Parâmetros!$D$3,PMT($O$25,$G$17,($O$10)*-1)-I376,""))))</f>
        <v/>
      </c>
      <c r="H376" s="46"/>
      <c r="I376" s="46" t="str">
        <f t="shared" ca="1" si="45"/>
        <v/>
      </c>
      <c r="J376" s="34"/>
      <c r="K376" s="46" t="str">
        <f t="shared" ca="1" si="51"/>
        <v/>
      </c>
      <c r="L376" s="46"/>
      <c r="M376" s="46" t="str">
        <f ca="1">IFERROR(IF(C376="","",IF($C$10=Parâmetros!$C$3,0,VLOOKUP(A376,'Base de Dados'!$E$3:$G$422,3,FALSE)*S376)),0)</f>
        <v/>
      </c>
      <c r="N376" s="34"/>
      <c r="O376" s="46" t="str">
        <f ca="1">IF(C376="","",IF(C377="",0,IF(E376="Construção",0,IF(E376="Seguro",$C$17*'Base de Dados'!$C$2,IF($C$14=Parâmetros!$B$4,0,Simulador!$C$17*'Base de Dados'!$C$2)))))</f>
        <v/>
      </c>
      <c r="P376" s="46"/>
      <c r="Q376" s="46" t="str">
        <f ca="1">IF(C376="","",IF(E376&lt;&gt;"Retorno",(I376+K376+M376),IF($G$20=Parâmetros!$D$2,SUM(G376,I376,K376,M376,O376),PMT($O$25,SUM($G$17),($O$10)*-1)+O376+M376+K376)))</f>
        <v/>
      </c>
      <c r="R376" s="46"/>
      <c r="S376" s="46" t="str">
        <f t="shared" ca="1" si="52"/>
        <v/>
      </c>
      <c r="U376" s="15" t="str">
        <f t="shared" ca="1" si="53"/>
        <v/>
      </c>
    </row>
    <row r="377" spans="1:21" x14ac:dyDescent="0.3">
      <c r="A377" s="49" t="str">
        <f t="shared" ca="1" si="46"/>
        <v/>
      </c>
      <c r="B377" s="49" t="str">
        <f t="shared" ca="1" si="47"/>
        <v/>
      </c>
      <c r="C377" s="81" t="str">
        <f t="shared" ca="1" si="48"/>
        <v/>
      </c>
      <c r="D377" s="34" t="str">
        <f t="shared" ca="1" si="49"/>
        <v/>
      </c>
      <c r="E377" s="4" t="str">
        <f t="shared" ca="1" si="50"/>
        <v/>
      </c>
      <c r="G377" s="46" t="str">
        <f ca="1">IF(C377="","",IF(E377&lt;&gt;"Retorno",0,IF($G$20=Parâmetros!$D$2,Simulador!$O$10/$G$17,IF($G$20=Parâmetros!$D$3,PMT($O$25,$G$17,($O$10)*-1)-I377,""))))</f>
        <v/>
      </c>
      <c r="H377" s="46"/>
      <c r="I377" s="46" t="str">
        <f t="shared" ca="1" si="45"/>
        <v/>
      </c>
      <c r="J377" s="34"/>
      <c r="K377" s="46" t="str">
        <f t="shared" ca="1" si="51"/>
        <v/>
      </c>
      <c r="L377" s="46"/>
      <c r="M377" s="46" t="str">
        <f ca="1">IFERROR(IF(C377="","",IF($C$10=Parâmetros!$C$3,0,VLOOKUP(A377,'Base de Dados'!$E$3:$G$422,3,FALSE)*S377)),0)</f>
        <v/>
      </c>
      <c r="N377" s="34"/>
      <c r="O377" s="46" t="str">
        <f ca="1">IF(C377="","",IF(C378="",0,IF(E377="Construção",0,IF(E377="Seguro",$C$17*'Base de Dados'!$C$2,IF($C$14=Parâmetros!$B$4,0,Simulador!$C$17*'Base de Dados'!$C$2)))))</f>
        <v/>
      </c>
      <c r="P377" s="46"/>
      <c r="Q377" s="46" t="str">
        <f ca="1">IF(C377="","",IF(E377&lt;&gt;"Retorno",(I377+K377+M377),IF($G$20=Parâmetros!$D$2,SUM(G377,I377,K377,M377,O377),PMT($O$25,SUM($G$17),($O$10)*-1)+O377+M377+K377)))</f>
        <v/>
      </c>
      <c r="R377" s="46"/>
      <c r="S377" s="46" t="str">
        <f t="shared" ca="1" si="52"/>
        <v/>
      </c>
      <c r="U377" s="15" t="str">
        <f t="shared" ca="1" si="53"/>
        <v/>
      </c>
    </row>
    <row r="378" spans="1:21" x14ac:dyDescent="0.3">
      <c r="A378" s="49" t="str">
        <f t="shared" ca="1" si="46"/>
        <v/>
      </c>
      <c r="B378" s="49" t="str">
        <f t="shared" ca="1" si="47"/>
        <v/>
      </c>
      <c r="C378" s="81" t="str">
        <f t="shared" ca="1" si="48"/>
        <v/>
      </c>
      <c r="D378" s="34" t="str">
        <f t="shared" ca="1" si="49"/>
        <v/>
      </c>
      <c r="E378" s="4" t="str">
        <f t="shared" ca="1" si="50"/>
        <v/>
      </c>
      <c r="G378" s="46" t="str">
        <f ca="1">IF(C378="","",IF(E378&lt;&gt;"Retorno",0,IF($G$20=Parâmetros!$D$2,Simulador!$O$10/$G$17,IF($G$20=Parâmetros!$D$3,PMT($O$25,$G$17,($O$10)*-1)-I378,""))))</f>
        <v/>
      </c>
      <c r="H378" s="46"/>
      <c r="I378" s="46" t="str">
        <f t="shared" ca="1" si="45"/>
        <v/>
      </c>
      <c r="J378" s="34"/>
      <c r="K378" s="46" t="str">
        <f t="shared" ca="1" si="51"/>
        <v/>
      </c>
      <c r="L378" s="46"/>
      <c r="M378" s="46" t="str">
        <f ca="1">IFERROR(IF(C378="","",IF($C$10=Parâmetros!$C$3,0,VLOOKUP(A378,'Base de Dados'!$E$3:$G$422,3,FALSE)*S378)),0)</f>
        <v/>
      </c>
      <c r="N378" s="34"/>
      <c r="O378" s="46" t="str">
        <f ca="1">IF(C378="","",IF(C379="",0,IF(E378="Construção",0,IF(E378="Seguro",$C$17*'Base de Dados'!$C$2,IF($C$14=Parâmetros!$B$4,0,Simulador!$C$17*'Base de Dados'!$C$2)))))</f>
        <v/>
      </c>
      <c r="P378" s="46"/>
      <c r="Q378" s="46" t="str">
        <f ca="1">IF(C378="","",IF(E378&lt;&gt;"Retorno",(I378+K378+M378),IF($G$20=Parâmetros!$D$2,SUM(G378,I378,K378,M378,O378),PMT($O$25,SUM($G$17),($O$10)*-1)+O378+M378+K378)))</f>
        <v/>
      </c>
      <c r="R378" s="46"/>
      <c r="S378" s="46" t="str">
        <f t="shared" ca="1" si="52"/>
        <v/>
      </c>
      <c r="U378" s="15" t="str">
        <f t="shared" ca="1" si="53"/>
        <v/>
      </c>
    </row>
    <row r="379" spans="1:21" x14ac:dyDescent="0.3">
      <c r="A379" s="49" t="str">
        <f t="shared" ca="1" si="46"/>
        <v/>
      </c>
      <c r="B379" s="49" t="str">
        <f t="shared" ca="1" si="47"/>
        <v/>
      </c>
      <c r="C379" s="81" t="str">
        <f t="shared" ca="1" si="48"/>
        <v/>
      </c>
      <c r="D379" s="34" t="str">
        <f t="shared" ca="1" si="49"/>
        <v/>
      </c>
      <c r="E379" s="4" t="str">
        <f t="shared" ca="1" si="50"/>
        <v/>
      </c>
      <c r="G379" s="46" t="str">
        <f ca="1">IF(C379="","",IF(E379&lt;&gt;"Retorno",0,IF($G$20=Parâmetros!$D$2,Simulador!$O$10/$G$17,IF($G$20=Parâmetros!$D$3,PMT($O$25,$G$17,($O$10)*-1)-I379,""))))</f>
        <v/>
      </c>
      <c r="H379" s="46"/>
      <c r="I379" s="46" t="str">
        <f t="shared" ca="1" si="45"/>
        <v/>
      </c>
      <c r="J379" s="34"/>
      <c r="K379" s="46" t="str">
        <f t="shared" ca="1" si="51"/>
        <v/>
      </c>
      <c r="L379" s="46"/>
      <c r="M379" s="46" t="str">
        <f ca="1">IFERROR(IF(C379="","",IF($C$10=Parâmetros!$C$3,0,VLOOKUP(A379,'Base de Dados'!$E$3:$G$422,3,FALSE)*S379)),0)</f>
        <v/>
      </c>
      <c r="N379" s="34"/>
      <c r="O379" s="46" t="str">
        <f ca="1">IF(C379="","",IF(C380="",0,IF(E379="Construção",0,IF(E379="Seguro",$C$17*'Base de Dados'!$C$2,IF($C$14=Parâmetros!$B$4,0,Simulador!$C$17*'Base de Dados'!$C$2)))))</f>
        <v/>
      </c>
      <c r="P379" s="46"/>
      <c r="Q379" s="46" t="str">
        <f ca="1">IF(C379="","",IF(E379&lt;&gt;"Retorno",(I379+K379+M379),IF($G$20=Parâmetros!$D$2,SUM(G379,I379,K379,M379,O379),PMT($O$25,SUM($G$17),($O$10)*-1)+O379+M379+K379)))</f>
        <v/>
      </c>
      <c r="R379" s="46"/>
      <c r="S379" s="46" t="str">
        <f t="shared" ca="1" si="52"/>
        <v/>
      </c>
      <c r="U379" s="15" t="str">
        <f t="shared" ca="1" si="53"/>
        <v/>
      </c>
    </row>
    <row r="380" spans="1:21" x14ac:dyDescent="0.3">
      <c r="A380" s="49" t="str">
        <f t="shared" ca="1" si="46"/>
        <v/>
      </c>
      <c r="B380" s="49" t="str">
        <f t="shared" ca="1" si="47"/>
        <v/>
      </c>
      <c r="C380" s="81" t="str">
        <f t="shared" ca="1" si="48"/>
        <v/>
      </c>
      <c r="D380" s="34" t="str">
        <f t="shared" ca="1" si="49"/>
        <v/>
      </c>
      <c r="E380" s="4" t="str">
        <f t="shared" ca="1" si="50"/>
        <v/>
      </c>
      <c r="G380" s="46" t="str">
        <f ca="1">IF(C380="","",IF(E380&lt;&gt;"Retorno",0,IF($G$20=Parâmetros!$D$2,Simulador!$O$10/$G$17,IF($G$20=Parâmetros!$D$3,PMT($O$25,$G$17,($O$10)*-1)-I380,""))))</f>
        <v/>
      </c>
      <c r="H380" s="46"/>
      <c r="I380" s="46" t="str">
        <f t="shared" ca="1" si="45"/>
        <v/>
      </c>
      <c r="J380" s="34"/>
      <c r="K380" s="46" t="str">
        <f t="shared" ca="1" si="51"/>
        <v/>
      </c>
      <c r="L380" s="46"/>
      <c r="M380" s="46" t="str">
        <f ca="1">IFERROR(IF(C380="","",IF($C$10=Parâmetros!$C$3,0,VLOOKUP(A380,'Base de Dados'!$E$3:$G$422,3,FALSE)*S380)),0)</f>
        <v/>
      </c>
      <c r="N380" s="34"/>
      <c r="O380" s="46" t="str">
        <f ca="1">IF(C380="","",IF(C381="",0,IF(E380="Construção",0,IF(E380="Seguro",$C$17*'Base de Dados'!$C$2,IF($C$14=Parâmetros!$B$4,0,Simulador!$C$17*'Base de Dados'!$C$2)))))</f>
        <v/>
      </c>
      <c r="P380" s="46"/>
      <c r="Q380" s="46" t="str">
        <f ca="1">IF(C380="","",IF(E380&lt;&gt;"Retorno",(I380+K380+M380),IF($G$20=Parâmetros!$D$2,SUM(G380,I380,K380,M380,O380),PMT($O$25,SUM($G$17),($O$10)*-1)+O380+M380+K380)))</f>
        <v/>
      </c>
      <c r="R380" s="46"/>
      <c r="S380" s="46" t="str">
        <f t="shared" ca="1" si="52"/>
        <v/>
      </c>
      <c r="U380" s="15" t="str">
        <f t="shared" ca="1" si="53"/>
        <v/>
      </c>
    </row>
    <row r="381" spans="1:21" x14ac:dyDescent="0.3">
      <c r="A381" s="49" t="str">
        <f t="shared" ca="1" si="46"/>
        <v/>
      </c>
      <c r="B381" s="49" t="str">
        <f t="shared" ca="1" si="47"/>
        <v/>
      </c>
      <c r="C381" s="81" t="str">
        <f t="shared" ca="1" si="48"/>
        <v/>
      </c>
      <c r="D381" s="34" t="str">
        <f t="shared" ca="1" si="49"/>
        <v/>
      </c>
      <c r="E381" s="4" t="str">
        <f t="shared" ca="1" si="50"/>
        <v/>
      </c>
      <c r="G381" s="46" t="str">
        <f ca="1">IF(C381="","",IF(E381&lt;&gt;"Retorno",0,IF($G$20=Parâmetros!$D$2,Simulador!$O$10/$G$17,IF($G$20=Parâmetros!$D$3,PMT($O$25,$G$17,($O$10)*-1)-I381,""))))</f>
        <v/>
      </c>
      <c r="H381" s="46"/>
      <c r="I381" s="46" t="str">
        <f t="shared" ca="1" si="45"/>
        <v/>
      </c>
      <c r="J381" s="34"/>
      <c r="K381" s="46" t="str">
        <f t="shared" ca="1" si="51"/>
        <v/>
      </c>
      <c r="L381" s="46"/>
      <c r="M381" s="46" t="str">
        <f ca="1">IFERROR(IF(C381="","",IF($C$10=Parâmetros!$C$3,0,VLOOKUP(A381,'Base de Dados'!$E$3:$G$422,3,FALSE)*S381)),0)</f>
        <v/>
      </c>
      <c r="N381" s="34"/>
      <c r="O381" s="46" t="str">
        <f ca="1">IF(C381="","",IF(C382="",0,IF(E381="Construção",0,IF(E381="Seguro",$C$17*'Base de Dados'!$C$2,IF($C$14=Parâmetros!$B$4,0,Simulador!$C$17*'Base de Dados'!$C$2)))))</f>
        <v/>
      </c>
      <c r="P381" s="46"/>
      <c r="Q381" s="46" t="str">
        <f ca="1">IF(C381="","",IF(E381&lt;&gt;"Retorno",(I381+K381+M381),IF($G$20=Parâmetros!$D$2,SUM(G381,I381,K381,M381,O381),PMT($O$25,SUM($G$17),($O$10)*-1)+O381+M381+K381)))</f>
        <v/>
      </c>
      <c r="R381" s="46"/>
      <c r="S381" s="46" t="str">
        <f t="shared" ca="1" si="52"/>
        <v/>
      </c>
      <c r="U381" s="15" t="str">
        <f t="shared" ca="1" si="53"/>
        <v/>
      </c>
    </row>
    <row r="382" spans="1:21" x14ac:dyDescent="0.3">
      <c r="A382" s="49" t="str">
        <f t="shared" ca="1" si="46"/>
        <v/>
      </c>
      <c r="B382" s="49" t="str">
        <f t="shared" ca="1" si="47"/>
        <v/>
      </c>
      <c r="C382" s="81" t="str">
        <f t="shared" ca="1" si="48"/>
        <v/>
      </c>
      <c r="D382" s="34" t="str">
        <f t="shared" ca="1" si="49"/>
        <v/>
      </c>
      <c r="E382" s="4" t="str">
        <f t="shared" ca="1" si="50"/>
        <v/>
      </c>
      <c r="G382" s="46" t="str">
        <f ca="1">IF(C382="","",IF(E382&lt;&gt;"Retorno",0,IF($G$20=Parâmetros!$D$2,Simulador!$O$10/$G$17,IF($G$20=Parâmetros!$D$3,PMT($O$25,$G$17,($O$10)*-1)-I382,""))))</f>
        <v/>
      </c>
      <c r="H382" s="46"/>
      <c r="I382" s="46" t="str">
        <f t="shared" ca="1" si="45"/>
        <v/>
      </c>
      <c r="J382" s="34"/>
      <c r="K382" s="46" t="str">
        <f t="shared" ca="1" si="51"/>
        <v/>
      </c>
      <c r="L382" s="46"/>
      <c r="M382" s="46" t="str">
        <f ca="1">IFERROR(IF(C382="","",IF($C$10=Parâmetros!$C$3,0,VLOOKUP(A382,'Base de Dados'!$E$3:$G$422,3,FALSE)*S382)),0)</f>
        <v/>
      </c>
      <c r="N382" s="34"/>
      <c r="O382" s="46" t="str">
        <f ca="1">IF(C382="","",IF(C383="",0,IF(E382="Construção",0,IF(E382="Seguro",$C$17*'Base de Dados'!$C$2,IF($C$14=Parâmetros!$B$4,0,Simulador!$C$17*'Base de Dados'!$C$2)))))</f>
        <v/>
      </c>
      <c r="P382" s="46"/>
      <c r="Q382" s="46" t="str">
        <f ca="1">IF(C382="","",IF(E382&lt;&gt;"Retorno",(I382+K382+M382),IF($G$20=Parâmetros!$D$2,SUM(G382,I382,K382,M382,O382),PMT($O$25,SUM($G$17),($O$10)*-1)+O382+M382+K382)))</f>
        <v/>
      </c>
      <c r="R382" s="46"/>
      <c r="S382" s="46" t="str">
        <f t="shared" ca="1" si="52"/>
        <v/>
      </c>
      <c r="U382" s="15" t="str">
        <f t="shared" ca="1" si="53"/>
        <v/>
      </c>
    </row>
    <row r="383" spans="1:21" x14ac:dyDescent="0.3">
      <c r="A383" s="49" t="str">
        <f t="shared" ca="1" si="46"/>
        <v/>
      </c>
      <c r="B383" s="49" t="str">
        <f t="shared" ca="1" si="47"/>
        <v/>
      </c>
      <c r="C383" s="81" t="str">
        <f t="shared" ca="1" si="48"/>
        <v/>
      </c>
      <c r="D383" s="34" t="str">
        <f t="shared" ca="1" si="49"/>
        <v/>
      </c>
      <c r="E383" s="4" t="str">
        <f t="shared" ca="1" si="50"/>
        <v/>
      </c>
      <c r="G383" s="46" t="str">
        <f ca="1">IF(C383="","",IF(E383&lt;&gt;"Retorno",0,IF($G$20=Parâmetros!$D$2,Simulador!$O$10/$G$17,IF($G$20=Parâmetros!$D$3,PMT($O$25,$G$17,($O$10)*-1)-I383,""))))</f>
        <v/>
      </c>
      <c r="H383" s="46"/>
      <c r="I383" s="46" t="str">
        <f t="shared" ca="1" si="45"/>
        <v/>
      </c>
      <c r="J383" s="34"/>
      <c r="K383" s="46" t="str">
        <f t="shared" ca="1" si="51"/>
        <v/>
      </c>
      <c r="L383" s="46"/>
      <c r="M383" s="46" t="str">
        <f ca="1">IFERROR(IF(C383="","",IF($C$10=Parâmetros!$C$3,0,VLOOKUP(A383,'Base de Dados'!$E$3:$G$422,3,FALSE)*S383)),0)</f>
        <v/>
      </c>
      <c r="N383" s="34"/>
      <c r="O383" s="46" t="str">
        <f ca="1">IF(C383="","",IF(C384="",0,IF(E383="Construção",0,IF(E383="Seguro",$C$17*'Base de Dados'!$C$2,IF($C$14=Parâmetros!$B$4,0,Simulador!$C$17*'Base de Dados'!$C$2)))))</f>
        <v/>
      </c>
      <c r="P383" s="46"/>
      <c r="Q383" s="46" t="str">
        <f ca="1">IF(C383="","",IF(E383&lt;&gt;"Retorno",(I383+K383+M383),IF($G$20=Parâmetros!$D$2,SUM(G383,I383,K383,M383,O383),PMT($O$25,SUM($G$17),($O$10)*-1)+O383+M383+K383)))</f>
        <v/>
      </c>
      <c r="R383" s="46"/>
      <c r="S383" s="46" t="str">
        <f t="shared" ca="1" si="52"/>
        <v/>
      </c>
      <c r="U383" s="15" t="str">
        <f t="shared" ca="1" si="53"/>
        <v/>
      </c>
    </row>
    <row r="384" spans="1:21" x14ac:dyDescent="0.3">
      <c r="A384" s="49" t="str">
        <f t="shared" ca="1" si="46"/>
        <v/>
      </c>
      <c r="B384" s="49" t="str">
        <f t="shared" ca="1" si="47"/>
        <v/>
      </c>
      <c r="C384" s="81" t="str">
        <f t="shared" ca="1" si="48"/>
        <v/>
      </c>
      <c r="D384" s="34" t="str">
        <f t="shared" ca="1" si="49"/>
        <v/>
      </c>
      <c r="E384" s="4" t="str">
        <f t="shared" ca="1" si="50"/>
        <v/>
      </c>
      <c r="G384" s="46" t="str">
        <f ca="1">IF(C384="","",IF(E384&lt;&gt;"Retorno",0,IF($G$20=Parâmetros!$D$2,Simulador!$O$10/$G$17,IF($G$20=Parâmetros!$D$3,PMT($O$25,$G$17,($O$10)*-1)-I384,""))))</f>
        <v/>
      </c>
      <c r="H384" s="46"/>
      <c r="I384" s="46" t="str">
        <f t="shared" ca="1" si="45"/>
        <v/>
      </c>
      <c r="J384" s="34"/>
      <c r="K384" s="46" t="str">
        <f t="shared" ca="1" si="51"/>
        <v/>
      </c>
      <c r="L384" s="46"/>
      <c r="M384" s="46" t="str">
        <f ca="1">IFERROR(IF(C384="","",IF($C$10=Parâmetros!$C$3,0,VLOOKUP(A384,'Base de Dados'!$E$3:$G$422,3,FALSE)*S384)),0)</f>
        <v/>
      </c>
      <c r="N384" s="34"/>
      <c r="O384" s="46" t="str">
        <f ca="1">IF(C384="","",IF(C385="",0,IF(E384="Construção",0,IF(E384="Seguro",$C$17*'Base de Dados'!$C$2,IF($C$14=Parâmetros!$B$4,0,Simulador!$C$17*'Base de Dados'!$C$2)))))</f>
        <v/>
      </c>
      <c r="P384" s="46"/>
      <c r="Q384" s="46" t="str">
        <f ca="1">IF(C384="","",IF(E384&lt;&gt;"Retorno",(I384+K384+M384),IF($G$20=Parâmetros!$D$2,SUM(G384,I384,K384,M384,O384),PMT($O$25,SUM($G$17),($O$10)*-1)+O384+M384+K384)))</f>
        <v/>
      </c>
      <c r="R384" s="46"/>
      <c r="S384" s="46" t="str">
        <f t="shared" ca="1" si="52"/>
        <v/>
      </c>
      <c r="U384" s="15" t="str">
        <f t="shared" ca="1" si="53"/>
        <v/>
      </c>
    </row>
    <row r="385" spans="1:21" x14ac:dyDescent="0.3">
      <c r="A385" s="49" t="str">
        <f t="shared" ca="1" si="46"/>
        <v/>
      </c>
      <c r="B385" s="49" t="str">
        <f t="shared" ca="1" si="47"/>
        <v/>
      </c>
      <c r="C385" s="81" t="str">
        <f t="shared" ca="1" si="48"/>
        <v/>
      </c>
      <c r="D385" s="34" t="str">
        <f t="shared" ca="1" si="49"/>
        <v/>
      </c>
      <c r="E385" s="4" t="str">
        <f t="shared" ca="1" si="50"/>
        <v/>
      </c>
      <c r="G385" s="46" t="str">
        <f ca="1">IF(C385="","",IF(E385&lt;&gt;"Retorno",0,IF($G$20=Parâmetros!$D$2,Simulador!$O$10/$G$17,IF($G$20=Parâmetros!$D$3,PMT($O$25,$G$17,($O$10)*-1)-I385,""))))</f>
        <v/>
      </c>
      <c r="H385" s="46"/>
      <c r="I385" s="46" t="str">
        <f t="shared" ca="1" si="45"/>
        <v/>
      </c>
      <c r="J385" s="34"/>
      <c r="K385" s="46" t="str">
        <f t="shared" ca="1" si="51"/>
        <v/>
      </c>
      <c r="L385" s="46"/>
      <c r="M385" s="46" t="str">
        <f ca="1">IFERROR(IF(C385="","",IF($C$10=Parâmetros!$C$3,0,VLOOKUP(A385,'Base de Dados'!$E$3:$G$422,3,FALSE)*S385)),0)</f>
        <v/>
      </c>
      <c r="N385" s="34"/>
      <c r="O385" s="46" t="str">
        <f ca="1">IF(C385="","",IF(C386="",0,IF(E385="Construção",0,IF(E385="Seguro",$C$17*'Base de Dados'!$C$2,IF($C$14=Parâmetros!$B$4,0,Simulador!$C$17*'Base de Dados'!$C$2)))))</f>
        <v/>
      </c>
      <c r="P385" s="46"/>
      <c r="Q385" s="46" t="str">
        <f ca="1">IF(C385="","",IF(E385&lt;&gt;"Retorno",(I385+K385+M385),IF($G$20=Parâmetros!$D$2,SUM(G385,I385,K385,M385,O385),PMT($O$25,SUM($G$17),($O$10)*-1)+O385+M385+K385)))</f>
        <v/>
      </c>
      <c r="R385" s="46"/>
      <c r="S385" s="46" t="str">
        <f t="shared" ca="1" si="52"/>
        <v/>
      </c>
      <c r="U385" s="15" t="str">
        <f t="shared" ca="1" si="53"/>
        <v/>
      </c>
    </row>
    <row r="386" spans="1:21" x14ac:dyDescent="0.3">
      <c r="A386" s="49" t="str">
        <f t="shared" ca="1" si="46"/>
        <v/>
      </c>
      <c r="B386" s="49" t="str">
        <f t="shared" ca="1" si="47"/>
        <v/>
      </c>
      <c r="C386" s="81" t="str">
        <f t="shared" ca="1" si="48"/>
        <v/>
      </c>
      <c r="D386" s="34" t="str">
        <f t="shared" ca="1" si="49"/>
        <v/>
      </c>
      <c r="E386" s="4" t="str">
        <f t="shared" ca="1" si="50"/>
        <v/>
      </c>
      <c r="G386" s="46" t="str">
        <f ca="1">IF(C386="","",IF(E386&lt;&gt;"Retorno",0,IF($G$20=Parâmetros!$D$2,Simulador!$O$10/$G$17,IF($G$20=Parâmetros!$D$3,PMT($O$25,$G$17,($O$10)*-1)-I386,""))))</f>
        <v/>
      </c>
      <c r="H386" s="46"/>
      <c r="I386" s="46" t="str">
        <f t="shared" ca="1" si="45"/>
        <v/>
      </c>
      <c r="J386" s="34"/>
      <c r="K386" s="46" t="str">
        <f t="shared" ca="1" si="51"/>
        <v/>
      </c>
      <c r="L386" s="46"/>
      <c r="M386" s="46" t="str">
        <f ca="1">IFERROR(IF(C386="","",IF($C$10=Parâmetros!$C$3,0,VLOOKUP(A386,'Base de Dados'!$E$3:$G$422,3,FALSE)*S386)),0)</f>
        <v/>
      </c>
      <c r="N386" s="34"/>
      <c r="O386" s="46" t="str">
        <f ca="1">IF(C386="","",IF(C387="",0,IF(E386="Construção",0,IF(E386="Seguro",$C$17*'Base de Dados'!$C$2,IF($C$14=Parâmetros!$B$4,0,Simulador!$C$17*'Base de Dados'!$C$2)))))</f>
        <v/>
      </c>
      <c r="P386" s="46"/>
      <c r="Q386" s="46" t="str">
        <f ca="1">IF(C386="","",IF(E386&lt;&gt;"Retorno",(I386+K386+M386),IF($G$20=Parâmetros!$D$2,SUM(G386,I386,K386,M386,O386),PMT($O$25,SUM($G$17),($O$10)*-1)+O386+M386+K386)))</f>
        <v/>
      </c>
      <c r="R386" s="46"/>
      <c r="S386" s="46" t="str">
        <f t="shared" ca="1" si="52"/>
        <v/>
      </c>
      <c r="U386" s="15" t="str">
        <f t="shared" ca="1" si="53"/>
        <v/>
      </c>
    </row>
    <row r="387" spans="1:21" x14ac:dyDescent="0.3">
      <c r="A387" s="49" t="str">
        <f t="shared" ca="1" si="46"/>
        <v/>
      </c>
      <c r="B387" s="49" t="str">
        <f t="shared" ca="1" si="47"/>
        <v/>
      </c>
      <c r="C387" s="81" t="str">
        <f t="shared" ca="1" si="48"/>
        <v/>
      </c>
      <c r="D387" s="34" t="str">
        <f t="shared" ca="1" si="49"/>
        <v/>
      </c>
      <c r="E387" s="4" t="str">
        <f t="shared" ca="1" si="50"/>
        <v/>
      </c>
      <c r="G387" s="46" t="str">
        <f ca="1">IF(C387="","",IF(E387&lt;&gt;"Retorno",0,IF($G$20=Parâmetros!$D$2,Simulador!$O$10/$G$17,IF($G$20=Parâmetros!$D$3,PMT($O$25,$G$17,($O$10)*-1)-I387,""))))</f>
        <v/>
      </c>
      <c r="H387" s="46"/>
      <c r="I387" s="46" t="str">
        <f t="shared" ca="1" si="45"/>
        <v/>
      </c>
      <c r="J387" s="34"/>
      <c r="K387" s="46" t="str">
        <f t="shared" ca="1" si="51"/>
        <v/>
      </c>
      <c r="L387" s="46"/>
      <c r="M387" s="46" t="str">
        <f ca="1">IFERROR(IF(C387="","",IF($C$10=Parâmetros!$C$3,0,VLOOKUP(A387,'Base de Dados'!$E$3:$G$422,3,FALSE)*S387)),0)</f>
        <v/>
      </c>
      <c r="N387" s="34"/>
      <c r="O387" s="46" t="str">
        <f ca="1">IF(C387="","",IF(C388="",0,IF(E387="Construção",0,IF(E387="Seguro",$C$17*'Base de Dados'!$C$2,IF($C$14=Parâmetros!$B$4,0,Simulador!$C$17*'Base de Dados'!$C$2)))))</f>
        <v/>
      </c>
      <c r="P387" s="46"/>
      <c r="Q387" s="46" t="str">
        <f ca="1">IF(C387="","",IF(E387&lt;&gt;"Retorno",(I387+K387+M387),IF($G$20=Parâmetros!$D$2,SUM(G387,I387,K387,M387,O387),PMT($O$25,SUM($G$17),($O$10)*-1)+O387+M387+K387)))</f>
        <v/>
      </c>
      <c r="R387" s="46"/>
      <c r="S387" s="46" t="str">
        <f t="shared" ca="1" si="52"/>
        <v/>
      </c>
      <c r="U387" s="15" t="str">
        <f t="shared" ca="1" si="53"/>
        <v/>
      </c>
    </row>
    <row r="388" spans="1:21" x14ac:dyDescent="0.3">
      <c r="A388" s="49" t="str">
        <f t="shared" ca="1" si="46"/>
        <v/>
      </c>
      <c r="B388" s="49" t="str">
        <f t="shared" ca="1" si="47"/>
        <v/>
      </c>
      <c r="C388" s="81" t="str">
        <f t="shared" ca="1" si="48"/>
        <v/>
      </c>
      <c r="D388" s="34" t="str">
        <f t="shared" ca="1" si="49"/>
        <v/>
      </c>
      <c r="E388" s="4" t="str">
        <f t="shared" ca="1" si="50"/>
        <v/>
      </c>
      <c r="G388" s="46" t="str">
        <f ca="1">IF(C388="","",IF(E388&lt;&gt;"Retorno",0,IF($G$20=Parâmetros!$D$2,Simulador!$O$10/$G$17,IF($G$20=Parâmetros!$D$3,PMT($O$25,$G$17,($O$10)*-1)-I388,""))))</f>
        <v/>
      </c>
      <c r="H388" s="46"/>
      <c r="I388" s="46" t="str">
        <f t="shared" ca="1" si="45"/>
        <v/>
      </c>
      <c r="J388" s="34"/>
      <c r="K388" s="46" t="str">
        <f t="shared" ca="1" si="51"/>
        <v/>
      </c>
      <c r="L388" s="46"/>
      <c r="M388" s="46" t="str">
        <f ca="1">IFERROR(IF(C388="","",IF($C$10=Parâmetros!$C$3,0,VLOOKUP(A388,'Base de Dados'!$E$3:$G$422,3,FALSE)*S388)),0)</f>
        <v/>
      </c>
      <c r="N388" s="34"/>
      <c r="O388" s="46" t="str">
        <f ca="1">IF(C388="","",IF(C389="",0,IF(E388="Construção",0,IF(E388="Seguro",$C$17*'Base de Dados'!$C$2,IF($C$14=Parâmetros!$B$4,0,Simulador!$C$17*'Base de Dados'!$C$2)))))</f>
        <v/>
      </c>
      <c r="P388" s="46"/>
      <c r="Q388" s="46" t="str">
        <f ca="1">IF(C388="","",IF(E388&lt;&gt;"Retorno",(I388+K388+M388),IF($G$20=Parâmetros!$D$2,SUM(G388,I388,K388,M388,O388),PMT($O$25,SUM($G$17),($O$10)*-1)+O388+M388+K388)))</f>
        <v/>
      </c>
      <c r="R388" s="46"/>
      <c r="S388" s="46" t="str">
        <f t="shared" ca="1" si="52"/>
        <v/>
      </c>
      <c r="U388" s="15" t="str">
        <f t="shared" ca="1" si="53"/>
        <v/>
      </c>
    </row>
    <row r="389" spans="1:21" x14ac:dyDescent="0.3">
      <c r="A389" s="49" t="str">
        <f t="shared" ca="1" si="46"/>
        <v/>
      </c>
      <c r="B389" s="49" t="str">
        <f t="shared" ca="1" si="47"/>
        <v/>
      </c>
      <c r="C389" s="81" t="str">
        <f t="shared" ca="1" si="48"/>
        <v/>
      </c>
      <c r="D389" s="34" t="str">
        <f t="shared" ca="1" si="49"/>
        <v/>
      </c>
      <c r="E389" s="4" t="str">
        <f t="shared" ca="1" si="50"/>
        <v/>
      </c>
      <c r="G389" s="46" t="str">
        <f ca="1">IF(C389="","",IF(E389&lt;&gt;"Retorno",0,IF($G$20=Parâmetros!$D$2,Simulador!$O$10/$G$17,IF($G$20=Parâmetros!$D$3,PMT($O$25,$G$17,($O$10)*-1)-I389,""))))</f>
        <v/>
      </c>
      <c r="H389" s="46"/>
      <c r="I389" s="46" t="str">
        <f t="shared" ca="1" si="45"/>
        <v/>
      </c>
      <c r="J389" s="34"/>
      <c r="K389" s="46" t="str">
        <f t="shared" ca="1" si="51"/>
        <v/>
      </c>
      <c r="L389" s="46"/>
      <c r="M389" s="46" t="str">
        <f ca="1">IFERROR(IF(C389="","",IF($C$10=Parâmetros!$C$3,0,VLOOKUP(A389,'Base de Dados'!$E$3:$G$422,3,FALSE)*S389)),0)</f>
        <v/>
      </c>
      <c r="N389" s="34"/>
      <c r="O389" s="46" t="str">
        <f ca="1">IF(C389="","",IF(C390="",0,IF(E389="Construção",0,IF(E389="Seguro",$C$17*'Base de Dados'!$C$2,IF($C$14=Parâmetros!$B$4,0,Simulador!$C$17*'Base de Dados'!$C$2)))))</f>
        <v/>
      </c>
      <c r="P389" s="46"/>
      <c r="Q389" s="46" t="str">
        <f ca="1">IF(C389="","",IF(E389&lt;&gt;"Retorno",(I389+K389+M389),IF($G$20=Parâmetros!$D$2,SUM(G389,I389,K389,M389,O389),PMT($O$25,SUM($G$17),($O$10)*-1)+O389+M389+K389)))</f>
        <v/>
      </c>
      <c r="R389" s="46"/>
      <c r="S389" s="46" t="str">
        <f t="shared" ca="1" si="52"/>
        <v/>
      </c>
      <c r="U389" s="15" t="str">
        <f t="shared" ca="1" si="53"/>
        <v/>
      </c>
    </row>
    <row r="390" spans="1:21" x14ac:dyDescent="0.3">
      <c r="A390" s="49" t="str">
        <f t="shared" ca="1" si="46"/>
        <v/>
      </c>
      <c r="B390" s="49" t="str">
        <f t="shared" ca="1" si="47"/>
        <v/>
      </c>
      <c r="C390" s="81" t="str">
        <f t="shared" ca="1" si="48"/>
        <v/>
      </c>
      <c r="D390" s="34" t="str">
        <f t="shared" ca="1" si="49"/>
        <v/>
      </c>
      <c r="E390" s="4" t="str">
        <f t="shared" ca="1" si="50"/>
        <v/>
      </c>
      <c r="G390" s="46" t="str">
        <f ca="1">IF(C390="","",IF(E390&lt;&gt;"Retorno",0,IF($G$20=Parâmetros!$D$2,Simulador!$O$10/$G$17,IF($G$20=Parâmetros!$D$3,PMT($O$25,$G$17,($O$10)*-1)-I390,""))))</f>
        <v/>
      </c>
      <c r="H390" s="46"/>
      <c r="I390" s="46" t="str">
        <f t="shared" ca="1" si="45"/>
        <v/>
      </c>
      <c r="J390" s="34"/>
      <c r="K390" s="46" t="str">
        <f t="shared" ca="1" si="51"/>
        <v/>
      </c>
      <c r="L390" s="46"/>
      <c r="M390" s="46" t="str">
        <f ca="1">IFERROR(IF(C390="","",IF($C$10=Parâmetros!$C$3,0,VLOOKUP(A390,'Base de Dados'!$E$3:$G$422,3,FALSE)*S390)),0)</f>
        <v/>
      </c>
      <c r="N390" s="34"/>
      <c r="O390" s="46" t="str">
        <f ca="1">IF(C390="","",IF(C391="",0,IF(E390="Construção",0,IF(E390="Seguro",$C$17*'Base de Dados'!$C$2,IF($C$14=Parâmetros!$B$4,0,Simulador!$C$17*'Base de Dados'!$C$2)))))</f>
        <v/>
      </c>
      <c r="P390" s="46"/>
      <c r="Q390" s="46" t="str">
        <f ca="1">IF(C390="","",IF(E390&lt;&gt;"Retorno",(I390+K390+M390),IF($G$20=Parâmetros!$D$2,SUM(G390,I390,K390,M390,O390),PMT($O$25,SUM($G$17),($O$10)*-1)+O390+M390+K390)))</f>
        <v/>
      </c>
      <c r="R390" s="46"/>
      <c r="S390" s="46" t="str">
        <f t="shared" ca="1" si="52"/>
        <v/>
      </c>
      <c r="U390" s="15" t="str">
        <f t="shared" ca="1" si="53"/>
        <v/>
      </c>
    </row>
    <row r="391" spans="1:21" x14ac:dyDescent="0.3">
      <c r="A391" s="49" t="str">
        <f t="shared" ca="1" si="46"/>
        <v/>
      </c>
      <c r="B391" s="49" t="str">
        <f t="shared" ca="1" si="47"/>
        <v/>
      </c>
      <c r="C391" s="81" t="str">
        <f t="shared" ca="1" si="48"/>
        <v/>
      </c>
      <c r="D391" s="34" t="str">
        <f t="shared" ca="1" si="49"/>
        <v/>
      </c>
      <c r="E391" s="4" t="str">
        <f t="shared" ca="1" si="50"/>
        <v/>
      </c>
      <c r="G391" s="46" t="str">
        <f ca="1">IF(C391="","",IF(E391&lt;&gt;"Retorno",0,IF($G$20=Parâmetros!$D$2,Simulador!$O$10/$G$17,IF($G$20=Parâmetros!$D$3,PMT($O$25,$G$17,($O$10)*-1)-I391,""))))</f>
        <v/>
      </c>
      <c r="H391" s="46"/>
      <c r="I391" s="46" t="str">
        <f t="shared" ca="1" si="45"/>
        <v/>
      </c>
      <c r="J391" s="34"/>
      <c r="K391" s="46" t="str">
        <f t="shared" ca="1" si="51"/>
        <v/>
      </c>
      <c r="L391" s="46"/>
      <c r="M391" s="46" t="str">
        <f ca="1">IFERROR(IF(C391="","",IF($C$10=Parâmetros!$C$3,0,VLOOKUP(A391,'Base de Dados'!$E$3:$G$422,3,FALSE)*S391)),0)</f>
        <v/>
      </c>
      <c r="N391" s="34"/>
      <c r="O391" s="46" t="str">
        <f ca="1">IF(C391="","",IF(C392="",0,IF(E391="Construção",0,IF(E391="Seguro",$C$17*'Base de Dados'!$C$2,IF($C$14=Parâmetros!$B$4,0,Simulador!$C$17*'Base de Dados'!$C$2)))))</f>
        <v/>
      </c>
      <c r="P391" s="46"/>
      <c r="Q391" s="46" t="str">
        <f ca="1">IF(C391="","",IF(E391&lt;&gt;"Retorno",(I391+K391+M391),IF($G$20=Parâmetros!$D$2,SUM(G391,I391,K391,M391,O391),PMT($O$25,SUM($G$17),($O$10)*-1)+O391+M391+K391)))</f>
        <v/>
      </c>
      <c r="R391" s="46"/>
      <c r="S391" s="46" t="str">
        <f t="shared" ca="1" si="52"/>
        <v/>
      </c>
      <c r="U391" s="15" t="str">
        <f t="shared" ca="1" si="53"/>
        <v/>
      </c>
    </row>
    <row r="392" spans="1:21" x14ac:dyDescent="0.3">
      <c r="A392" s="49" t="str">
        <f t="shared" ca="1" si="46"/>
        <v/>
      </c>
      <c r="B392" s="49" t="str">
        <f t="shared" ca="1" si="47"/>
        <v/>
      </c>
      <c r="C392" s="81" t="str">
        <f t="shared" ca="1" si="48"/>
        <v/>
      </c>
      <c r="D392" s="34" t="str">
        <f t="shared" ca="1" si="49"/>
        <v/>
      </c>
      <c r="E392" s="4" t="str">
        <f t="shared" ca="1" si="50"/>
        <v/>
      </c>
      <c r="G392" s="46" t="str">
        <f ca="1">IF(C392="","",IF(E392&lt;&gt;"Retorno",0,IF($G$20=Parâmetros!$D$2,Simulador!$O$10/$G$17,IF($G$20=Parâmetros!$D$3,PMT($O$25,$G$17,($O$10)*-1)-I392,""))))</f>
        <v/>
      </c>
      <c r="H392" s="46"/>
      <c r="I392" s="46" t="str">
        <f t="shared" ca="1" si="45"/>
        <v/>
      </c>
      <c r="J392" s="34"/>
      <c r="K392" s="46" t="str">
        <f t="shared" ca="1" si="51"/>
        <v/>
      </c>
      <c r="L392" s="46"/>
      <c r="M392" s="46" t="str">
        <f ca="1">IFERROR(IF(C392="","",IF($C$10=Parâmetros!$C$3,0,VLOOKUP(A392,'Base de Dados'!$E$3:$G$422,3,FALSE)*S392)),0)</f>
        <v/>
      </c>
      <c r="N392" s="34"/>
      <c r="O392" s="46" t="str">
        <f ca="1">IF(C392="","",IF(C393="",0,IF(E392="Construção",0,IF(E392="Seguro",$C$17*'Base de Dados'!$C$2,IF($C$14=Parâmetros!$B$4,0,Simulador!$C$17*'Base de Dados'!$C$2)))))</f>
        <v/>
      </c>
      <c r="P392" s="46"/>
      <c r="Q392" s="46" t="str">
        <f ca="1">IF(C392="","",IF(E392&lt;&gt;"Retorno",(I392+K392+M392),IF($G$20=Parâmetros!$D$2,SUM(G392,I392,K392,M392,O392),PMT($O$25,SUM($G$17),($O$10)*-1)+O392+M392+K392)))</f>
        <v/>
      </c>
      <c r="R392" s="46"/>
      <c r="S392" s="46" t="str">
        <f t="shared" ca="1" si="52"/>
        <v/>
      </c>
      <c r="U392" s="15" t="str">
        <f t="shared" ca="1" si="53"/>
        <v/>
      </c>
    </row>
    <row r="393" spans="1:21" x14ac:dyDescent="0.3">
      <c r="A393" s="49" t="str">
        <f t="shared" ca="1" si="46"/>
        <v/>
      </c>
      <c r="B393" s="49" t="str">
        <f t="shared" ca="1" si="47"/>
        <v/>
      </c>
      <c r="C393" s="81" t="str">
        <f t="shared" ca="1" si="48"/>
        <v/>
      </c>
      <c r="D393" s="34" t="str">
        <f t="shared" ca="1" si="49"/>
        <v/>
      </c>
      <c r="E393" s="4" t="str">
        <f t="shared" ca="1" si="50"/>
        <v/>
      </c>
      <c r="G393" s="46" t="str">
        <f ca="1">IF(C393="","",IF(E393&lt;&gt;"Retorno",0,IF($G$20=Parâmetros!$D$2,Simulador!$O$10/$G$17,IF($G$20=Parâmetros!$D$3,PMT($O$25,$G$17,($O$10)*-1)-I393,""))))</f>
        <v/>
      </c>
      <c r="H393" s="46"/>
      <c r="I393" s="46" t="str">
        <f t="shared" ca="1" si="45"/>
        <v/>
      </c>
      <c r="J393" s="34"/>
      <c r="K393" s="46" t="str">
        <f t="shared" ca="1" si="51"/>
        <v/>
      </c>
      <c r="L393" s="46"/>
      <c r="M393" s="46" t="str">
        <f ca="1">IFERROR(IF(C393="","",IF($C$10=Parâmetros!$C$3,0,VLOOKUP(A393,'Base de Dados'!$E$3:$G$422,3,FALSE)*S393)),0)</f>
        <v/>
      </c>
      <c r="N393" s="34"/>
      <c r="O393" s="46" t="str">
        <f ca="1">IF(C393="","",IF(C394="",0,IF(E393="Construção",0,IF(E393="Seguro",$C$17*'Base de Dados'!$C$2,IF($C$14=Parâmetros!$B$4,0,Simulador!$C$17*'Base de Dados'!$C$2)))))</f>
        <v/>
      </c>
      <c r="P393" s="46"/>
      <c r="Q393" s="46" t="str">
        <f ca="1">IF(C393="","",IF(E393&lt;&gt;"Retorno",(I393+K393+M393),IF($G$20=Parâmetros!$D$2,SUM(G393,I393,K393,M393,O393),PMT($O$25,SUM($G$17),($O$10)*-1)+O393+M393+K393)))</f>
        <v/>
      </c>
      <c r="R393" s="46"/>
      <c r="S393" s="46" t="str">
        <f t="shared" ca="1" si="52"/>
        <v/>
      </c>
    </row>
    <row r="394" spans="1:21" x14ac:dyDescent="0.3">
      <c r="A394" s="49" t="str">
        <f t="shared" ca="1" si="46"/>
        <v/>
      </c>
      <c r="B394" s="49" t="str">
        <f t="shared" ca="1" si="47"/>
        <v/>
      </c>
      <c r="C394" s="81" t="str">
        <f t="shared" ca="1" si="48"/>
        <v/>
      </c>
      <c r="D394" s="34" t="str">
        <f t="shared" ca="1" si="49"/>
        <v/>
      </c>
      <c r="E394" s="4" t="str">
        <f t="shared" ca="1" si="50"/>
        <v/>
      </c>
      <c r="G394" s="46" t="str">
        <f ca="1">IF(C394="","",IF(E394&lt;&gt;"Retorno",0,IF($G$20=Parâmetros!$D$2,Simulador!$O$10/$G$17,IF($G$20=Parâmetros!$D$3,PMT($O$25,$G$17,($O$10)*-1)-I394,""))))</f>
        <v/>
      </c>
      <c r="H394" s="46"/>
      <c r="I394" s="46" t="str">
        <f t="shared" ca="1" si="45"/>
        <v/>
      </c>
      <c r="J394" s="34"/>
      <c r="K394" s="46" t="str">
        <f t="shared" ca="1" si="51"/>
        <v/>
      </c>
      <c r="L394" s="46"/>
      <c r="M394" s="46" t="str">
        <f ca="1">IFERROR(IF(C394="","",IF($C$10=Parâmetros!$C$3,0,VLOOKUP(A394,'Base de Dados'!$E$3:$G$422,3,FALSE)*S394)),0)</f>
        <v/>
      </c>
      <c r="N394" s="34"/>
      <c r="O394" s="46" t="str">
        <f ca="1">IF(C394="","",IF(C395="",0,IF(E394="Construção",0,IF(E394="Seguro",$C$17*'Base de Dados'!$C$2,IF($C$14=Parâmetros!$B$4,0,Simulador!$C$17*'Base de Dados'!$C$2)))))</f>
        <v/>
      </c>
      <c r="P394" s="46"/>
      <c r="Q394" s="46" t="str">
        <f ca="1">IF(C394="","",IF(E394&lt;&gt;"Retorno",(I394+K394+M394),IF($G$20=Parâmetros!$D$2,SUM(G394,I394,K394,M394,O394),PMT($O$25,SUM($G$17),($O$10)*-1)+O394+M394+K394)))</f>
        <v/>
      </c>
      <c r="R394" s="46"/>
      <c r="S394" s="46" t="str">
        <f t="shared" ca="1" si="52"/>
        <v/>
      </c>
    </row>
    <row r="395" spans="1:21" x14ac:dyDescent="0.3">
      <c r="A395" s="49" t="str">
        <f t="shared" ca="1" si="46"/>
        <v/>
      </c>
      <c r="B395" s="49" t="str">
        <f t="shared" ca="1" si="47"/>
        <v/>
      </c>
      <c r="C395" s="81" t="str">
        <f t="shared" ca="1" si="48"/>
        <v/>
      </c>
      <c r="D395" s="34" t="str">
        <f t="shared" ca="1" si="49"/>
        <v/>
      </c>
      <c r="E395" s="4" t="str">
        <f t="shared" ca="1" si="50"/>
        <v/>
      </c>
      <c r="G395" s="46" t="str">
        <f ca="1">IF(C395="","",IF(E395&lt;&gt;"Retorno",0,IF($G$20=Parâmetros!$D$2,Simulador!$O$10/$G$17,IF($G$20=Parâmetros!$D$3,PMT($O$25,$G$17,($O$10)*-1)-I395,""))))</f>
        <v/>
      </c>
      <c r="H395" s="46"/>
      <c r="I395" s="46" t="str">
        <f t="shared" ca="1" si="45"/>
        <v/>
      </c>
      <c r="J395" s="34"/>
      <c r="K395" s="46" t="str">
        <f t="shared" ca="1" si="51"/>
        <v/>
      </c>
      <c r="L395" s="46"/>
      <c r="M395" s="46" t="str">
        <f ca="1">IFERROR(IF(C395="","",IF($C$10=Parâmetros!$C$3,0,VLOOKUP(A395,'Base de Dados'!$E$3:$G$422,3,FALSE)*S395)),0)</f>
        <v/>
      </c>
      <c r="N395" s="34"/>
      <c r="O395" s="46" t="str">
        <f ca="1">IF(C395="","",IF(C396="",0,IF(E395="Construção",0,IF(E395="Seguro",$C$17*'Base de Dados'!$C$2,IF($C$14=Parâmetros!$B$4,0,Simulador!$C$17*'Base de Dados'!$C$2)))))</f>
        <v/>
      </c>
      <c r="P395" s="46"/>
      <c r="Q395" s="46" t="str">
        <f ca="1">IF(C395="","",IF(E395&lt;&gt;"Retorno",(I395+K395+M395),IF($G$20=Parâmetros!$D$2,SUM(G395,I395,K395,M395,O395),PMT($O$25,SUM($G$17),($O$10)*-1)+O395+M395+K395)))</f>
        <v/>
      </c>
      <c r="R395" s="46"/>
      <c r="S395" s="46" t="str">
        <f t="shared" ca="1" si="52"/>
        <v/>
      </c>
    </row>
    <row r="396" spans="1:21" x14ac:dyDescent="0.3">
      <c r="A396" s="49" t="str">
        <f t="shared" ca="1" si="46"/>
        <v/>
      </c>
      <c r="B396" s="49" t="str">
        <f t="shared" ca="1" si="47"/>
        <v/>
      </c>
      <c r="C396" s="81" t="str">
        <f t="shared" ca="1" si="48"/>
        <v/>
      </c>
      <c r="D396" s="34" t="str">
        <f t="shared" ca="1" si="49"/>
        <v/>
      </c>
      <c r="E396" s="4" t="str">
        <f t="shared" ca="1" si="50"/>
        <v/>
      </c>
      <c r="G396" s="46" t="str">
        <f ca="1">IF(C396="","",IF(E396&lt;&gt;"Retorno",0,IF($G$20=Parâmetros!$D$2,Simulador!$O$10/$G$17,IF($G$20=Parâmetros!$D$3,PMT($O$25,$G$17,($O$10)*-1)-I396,""))))</f>
        <v/>
      </c>
      <c r="H396" s="46"/>
      <c r="I396" s="46" t="str">
        <f t="shared" ca="1" si="45"/>
        <v/>
      </c>
      <c r="J396" s="34"/>
      <c r="K396" s="46" t="str">
        <f t="shared" ca="1" si="51"/>
        <v/>
      </c>
      <c r="L396" s="46"/>
      <c r="M396" s="46" t="str">
        <f ca="1">IFERROR(IF(C396="","",IF($C$10=Parâmetros!$C$3,0,VLOOKUP(A396,'Base de Dados'!$E$3:$G$422,3,FALSE)*S396)),0)</f>
        <v/>
      </c>
      <c r="N396" s="34"/>
      <c r="O396" s="46" t="str">
        <f ca="1">IF(C396="","",IF(C397="",0,IF(E396="Construção",0,IF(E396="Seguro",$C$17*'Base de Dados'!$C$2,IF($C$14=Parâmetros!$B$4,0,Simulador!$C$17*'Base de Dados'!$C$2)))))</f>
        <v/>
      </c>
      <c r="P396" s="46"/>
      <c r="Q396" s="46" t="str">
        <f ca="1">IF(C396="","",IF(E396&lt;&gt;"Retorno",(I396+K396+M396),IF($G$20=Parâmetros!$D$2,SUM(G396,I396,K396,M396,O396),PMT($O$25,SUM($G$17),($O$10)*-1)+O396+M396+K396)))</f>
        <v/>
      </c>
      <c r="R396" s="46"/>
      <c r="S396" s="46" t="str">
        <f t="shared" ca="1" si="52"/>
        <v/>
      </c>
    </row>
    <row r="397" spans="1:21" x14ac:dyDescent="0.3">
      <c r="A397" s="49" t="str">
        <f t="shared" ca="1" si="46"/>
        <v/>
      </c>
      <c r="B397" s="49" t="str">
        <f t="shared" ca="1" si="47"/>
        <v/>
      </c>
      <c r="C397" s="81" t="str">
        <f t="shared" ca="1" si="48"/>
        <v/>
      </c>
      <c r="D397" s="34" t="str">
        <f t="shared" ca="1" si="49"/>
        <v/>
      </c>
      <c r="E397" s="4" t="str">
        <f t="shared" ca="1" si="50"/>
        <v/>
      </c>
      <c r="G397" s="46" t="str">
        <f ca="1">IF(C397="","",IF(E397&lt;&gt;"Retorno",0,IF($G$20=Parâmetros!$D$2,Simulador!$O$10/$G$17,IF($G$20=Parâmetros!$D$3,PMT($O$25,$G$17,($O$10)*-1)-I397,""))))</f>
        <v/>
      </c>
      <c r="H397" s="46"/>
      <c r="I397" s="46" t="str">
        <f t="shared" ca="1" si="45"/>
        <v/>
      </c>
      <c r="J397" s="34"/>
      <c r="K397" s="46" t="str">
        <f t="shared" ca="1" si="51"/>
        <v/>
      </c>
      <c r="L397" s="46"/>
      <c r="M397" s="46" t="str">
        <f ca="1">IFERROR(IF(C397="","",IF($C$10=Parâmetros!$C$3,0,VLOOKUP(A397,'Base de Dados'!$E$3:$G$422,3,FALSE)*S397)),0)</f>
        <v/>
      </c>
      <c r="N397" s="34"/>
      <c r="O397" s="46" t="str">
        <f ca="1">IF(C397="","",IF(C398="",0,IF(E397="Construção",0,IF(E397="Seguro",$C$17*'Base de Dados'!$C$2,IF($C$14=Parâmetros!$B$4,0,Simulador!$C$17*'Base de Dados'!$C$2)))))</f>
        <v/>
      </c>
      <c r="P397" s="46"/>
      <c r="Q397" s="46" t="str">
        <f ca="1">IF(C397="","",IF(E397&lt;&gt;"Retorno",(I397+K397+M397),IF($G$20=Parâmetros!$D$2,SUM(G397,I397,K397,M397,O397),PMT($O$25,SUM($G$17),($O$10)*-1)+O397+M397+K397)))</f>
        <v/>
      </c>
      <c r="R397" s="46"/>
      <c r="S397" s="46" t="str">
        <f t="shared" ca="1" si="52"/>
        <v/>
      </c>
    </row>
    <row r="398" spans="1:21" x14ac:dyDescent="0.3">
      <c r="A398" s="49" t="str">
        <f t="shared" ca="1" si="46"/>
        <v/>
      </c>
      <c r="B398" s="49" t="str">
        <f t="shared" ca="1" si="47"/>
        <v/>
      </c>
      <c r="C398" s="81" t="str">
        <f t="shared" ca="1" si="48"/>
        <v/>
      </c>
      <c r="D398" s="34" t="str">
        <f t="shared" ca="1" si="49"/>
        <v/>
      </c>
      <c r="E398" s="4" t="str">
        <f t="shared" ca="1" si="50"/>
        <v/>
      </c>
      <c r="G398" s="46" t="str">
        <f ca="1">IF(C398="","",IF(E398&lt;&gt;"Retorno",0,IF($G$20=Parâmetros!$D$2,Simulador!$O$10/$G$17,IF($G$20=Parâmetros!$D$3,PMT($O$25,$G$17,($O$10)*-1)-I398,""))))</f>
        <v/>
      </c>
      <c r="H398" s="46"/>
      <c r="I398" s="46" t="str">
        <f t="shared" ca="1" si="45"/>
        <v/>
      </c>
      <c r="J398" s="34"/>
      <c r="K398" s="46" t="str">
        <f t="shared" ca="1" si="51"/>
        <v/>
      </c>
      <c r="L398" s="46"/>
      <c r="M398" s="46" t="str">
        <f ca="1">IFERROR(IF(C398="","",IF($C$10=Parâmetros!$C$3,0,VLOOKUP(A398,'Base de Dados'!$E$3:$G$422,3,FALSE)*S398)),0)</f>
        <v/>
      </c>
      <c r="N398" s="34"/>
      <c r="O398" s="46" t="str">
        <f ca="1">IF(C398="","",IF(C399="",0,IF(E398="Construção",0,IF(E398="Seguro",$C$17*'Base de Dados'!$C$2,IF($C$14=Parâmetros!$B$4,0,Simulador!$C$17*'Base de Dados'!$C$2)))))</f>
        <v/>
      </c>
      <c r="P398" s="46"/>
      <c r="Q398" s="46" t="str">
        <f ca="1">IF(C398="","",IF(E398&lt;&gt;"Retorno",(I398+K398+M398),IF($G$20=Parâmetros!$D$2,SUM(G398,I398,K398,M398,O398),PMT($O$25,SUM($G$17),($O$10)*-1)+O398+M398+K398)))</f>
        <v/>
      </c>
      <c r="R398" s="46"/>
      <c r="S398" s="46" t="str">
        <f t="shared" ca="1" si="52"/>
        <v/>
      </c>
    </row>
    <row r="399" spans="1:21" x14ac:dyDescent="0.3">
      <c r="A399" s="49" t="str">
        <f t="shared" ca="1" si="46"/>
        <v/>
      </c>
      <c r="B399" s="49" t="str">
        <f t="shared" ca="1" si="47"/>
        <v/>
      </c>
      <c r="C399" s="81" t="str">
        <f t="shared" ca="1" si="48"/>
        <v/>
      </c>
      <c r="D399" s="34" t="str">
        <f t="shared" ca="1" si="49"/>
        <v/>
      </c>
      <c r="E399" s="4" t="str">
        <f t="shared" ca="1" si="50"/>
        <v/>
      </c>
      <c r="G399" s="46" t="str">
        <f ca="1">IF(C399="","",IF(E399&lt;&gt;"Retorno",0,IF($G$20=Parâmetros!$D$2,Simulador!$O$10/$G$17,IF($G$20=Parâmetros!$D$3,PMT($O$25,$G$17,($O$10)*-1)-I399,""))))</f>
        <v/>
      </c>
      <c r="H399" s="46"/>
      <c r="I399" s="46" t="str">
        <f t="shared" ca="1" si="45"/>
        <v/>
      </c>
      <c r="J399" s="34"/>
      <c r="K399" s="46" t="str">
        <f t="shared" ca="1" si="51"/>
        <v/>
      </c>
      <c r="L399" s="46"/>
      <c r="M399" s="46" t="str">
        <f ca="1">IFERROR(IF(C399="","",IF($C$10=Parâmetros!$C$3,0,VLOOKUP(A399,'Base de Dados'!$E$3:$G$422,3,FALSE)*S399)),0)</f>
        <v/>
      </c>
      <c r="N399" s="34"/>
      <c r="O399" s="46" t="str">
        <f ca="1">IF(C399="","",IF(C400="",0,IF(E399="Construção",0,IF(E399="Seguro",$C$17*'Base de Dados'!$C$2,IF($C$14=Parâmetros!$B$4,0,Simulador!$C$17*'Base de Dados'!$C$2)))))</f>
        <v/>
      </c>
      <c r="P399" s="46"/>
      <c r="Q399" s="46" t="str">
        <f ca="1">IF(C399="","",IF(E399&lt;&gt;"Retorno",(I399+K399+M399),IF($G$20=Parâmetros!$D$2,SUM(G399,I399,K399,M399,O399),PMT($O$25,SUM($G$17),($O$10)*-1)+O399+M399+K399)))</f>
        <v/>
      </c>
      <c r="R399" s="46"/>
      <c r="S399" s="46" t="str">
        <f t="shared" ca="1" si="52"/>
        <v/>
      </c>
    </row>
    <row r="400" spans="1:21" x14ac:dyDescent="0.3">
      <c r="A400" s="49" t="str">
        <f t="shared" ca="1" si="46"/>
        <v/>
      </c>
      <c r="B400" s="49" t="str">
        <f t="shared" ca="1" si="47"/>
        <v/>
      </c>
      <c r="C400" s="81" t="str">
        <f t="shared" ca="1" si="48"/>
        <v/>
      </c>
      <c r="D400" s="34" t="str">
        <f t="shared" ca="1" si="49"/>
        <v/>
      </c>
      <c r="E400" s="4" t="str">
        <f t="shared" ca="1" si="50"/>
        <v/>
      </c>
      <c r="G400" s="46" t="str">
        <f ca="1">IF(C400="","",IF(E400&lt;&gt;"Retorno",0,IF($G$20=Parâmetros!$D$2,Simulador!$O$10/$G$17,IF($G$20=Parâmetros!$D$3,PMT($O$25,$G$17,($O$10)*-1)-I400,""))))</f>
        <v/>
      </c>
      <c r="H400" s="46"/>
      <c r="I400" s="46" t="str">
        <f t="shared" ca="1" si="45"/>
        <v/>
      </c>
      <c r="J400" s="34"/>
      <c r="K400" s="46" t="str">
        <f t="shared" ca="1" si="51"/>
        <v/>
      </c>
      <c r="L400" s="46"/>
      <c r="M400" s="46" t="str">
        <f ca="1">IFERROR(IF(C400="","",IF($C$10=Parâmetros!$C$3,0,VLOOKUP(A400,'Base de Dados'!$E$3:$G$422,3,FALSE)*S400)),0)</f>
        <v/>
      </c>
      <c r="N400" s="34"/>
      <c r="O400" s="46" t="str">
        <f ca="1">IF(C400="","",IF(C401="",0,IF(E400="Construção",0,IF(E400="Seguro",$C$17*'Base de Dados'!$C$2,IF($C$14=Parâmetros!$B$4,0,Simulador!$C$17*'Base de Dados'!$C$2)))))</f>
        <v/>
      </c>
      <c r="P400" s="46"/>
      <c r="Q400" s="46" t="str">
        <f ca="1">IF(C400="","",IF(E400&lt;&gt;"Retorno",(I400+K400+M400),IF($G$20=Parâmetros!$D$2,SUM(G400,I400,K400,M400,O400),PMT($O$25,SUM($G$17),($O$10)*-1)+O400+M400+K400)))</f>
        <v/>
      </c>
      <c r="R400" s="46"/>
      <c r="S400" s="46" t="str">
        <f t="shared" ca="1" si="52"/>
        <v/>
      </c>
    </row>
    <row r="401" spans="1:19" x14ac:dyDescent="0.3">
      <c r="A401" s="49" t="str">
        <f t="shared" ca="1" si="46"/>
        <v/>
      </c>
      <c r="B401" s="49" t="str">
        <f t="shared" ca="1" si="47"/>
        <v/>
      </c>
      <c r="C401" s="81" t="str">
        <f t="shared" ca="1" si="48"/>
        <v/>
      </c>
      <c r="D401" s="34" t="str">
        <f t="shared" ca="1" si="49"/>
        <v/>
      </c>
      <c r="E401" s="4" t="str">
        <f t="shared" ca="1" si="50"/>
        <v/>
      </c>
      <c r="G401" s="46" t="str">
        <f ca="1">IF(C401="","",IF(E401&lt;&gt;"Retorno",0,IF($G$20=Parâmetros!$D$2,Simulador!$O$10/$G$17,IF($G$20=Parâmetros!$D$3,PMT($O$25,$G$17,($O$10)*-1)-I401,""))))</f>
        <v/>
      </c>
      <c r="H401" s="46"/>
      <c r="I401" s="46" t="str">
        <f t="shared" ca="1" si="45"/>
        <v/>
      </c>
      <c r="J401" s="34"/>
      <c r="K401" s="46" t="str">
        <f t="shared" ca="1" si="51"/>
        <v/>
      </c>
      <c r="L401" s="46"/>
      <c r="M401" s="46" t="str">
        <f ca="1">IFERROR(IF(C401="","",IF($C$10=Parâmetros!$C$3,0,VLOOKUP(A401,'Base de Dados'!$E$3:$G$422,3,FALSE)*S401)),0)</f>
        <v/>
      </c>
      <c r="N401" s="34"/>
      <c r="O401" s="46" t="str">
        <f ca="1">IF(C401="","",IF(C402="",0,IF(E401="Construção",0,IF(E401="Seguro",$C$17*'Base de Dados'!$C$2,IF($C$14=Parâmetros!$B$4,0,Simulador!$C$17*'Base de Dados'!$C$2)))))</f>
        <v/>
      </c>
      <c r="P401" s="46"/>
      <c r="Q401" s="46" t="str">
        <f ca="1">IF(C401="","",IF(E401&lt;&gt;"Retorno",(I401+K401+M401),IF($G$20=Parâmetros!$D$2,SUM(G401,I401,K401,M401,O401),PMT($O$25,SUM($G$17),($O$10)*-1)+O401+M401+K401)))</f>
        <v/>
      </c>
      <c r="R401" s="46"/>
      <c r="S401" s="46" t="str">
        <f t="shared" ca="1" si="52"/>
        <v/>
      </c>
    </row>
    <row r="402" spans="1:19" x14ac:dyDescent="0.3">
      <c r="A402" s="49" t="str">
        <f t="shared" ca="1" si="46"/>
        <v/>
      </c>
      <c r="B402" s="49" t="str">
        <f t="shared" ca="1" si="47"/>
        <v/>
      </c>
      <c r="C402" s="81" t="str">
        <f t="shared" ca="1" si="48"/>
        <v/>
      </c>
      <c r="D402" s="34" t="str">
        <f t="shared" ca="1" si="49"/>
        <v/>
      </c>
      <c r="E402" s="4" t="str">
        <f t="shared" ca="1" si="50"/>
        <v/>
      </c>
      <c r="G402" s="46" t="str">
        <f ca="1">IF(C402="","",IF(E402&lt;&gt;"Retorno",0,IF($G$20=Parâmetros!$D$2,Simulador!$O$10/$G$17,IF($G$20=Parâmetros!$D$3,PMT($O$25,$G$17,($O$10)*-1)-I402,""))))</f>
        <v/>
      </c>
      <c r="H402" s="46"/>
      <c r="I402" s="46" t="str">
        <f t="shared" ca="1" si="45"/>
        <v/>
      </c>
      <c r="J402" s="34"/>
      <c r="K402" s="46" t="str">
        <f t="shared" ca="1" si="51"/>
        <v/>
      </c>
      <c r="L402" s="46"/>
      <c r="M402" s="46" t="str">
        <f ca="1">IFERROR(IF(C402="","",IF($C$10=Parâmetros!$C$3,0,VLOOKUP(A402,'Base de Dados'!$E$3:$G$422,3,FALSE)*S402)),0)</f>
        <v/>
      </c>
      <c r="N402" s="34"/>
      <c r="O402" s="46" t="str">
        <f ca="1">IF(C402="","",IF(C403="",0,IF(E402="Construção",0,IF(E402="Seguro",$C$17*'Base de Dados'!$C$2,IF($C$14=Parâmetros!$B$4,0,Simulador!$C$17*'Base de Dados'!$C$2)))))</f>
        <v/>
      </c>
      <c r="P402" s="46"/>
      <c r="Q402" s="46" t="str">
        <f ca="1">IF(C402="","",IF(E402&lt;&gt;"Retorno",(I402+K402+M402),IF($G$20=Parâmetros!$D$2,SUM(G402,I402,K402,M402,O402),PMT($O$25,SUM($G$17),($O$10)*-1)+O402+M402+K402)))</f>
        <v/>
      </c>
      <c r="R402" s="46"/>
      <c r="S402" s="46" t="str">
        <f t="shared" ca="1" si="52"/>
        <v/>
      </c>
    </row>
    <row r="403" spans="1:19" x14ac:dyDescent="0.3">
      <c r="A403" s="49" t="str">
        <f t="shared" ca="1" si="46"/>
        <v/>
      </c>
      <c r="B403" s="49" t="str">
        <f t="shared" ca="1" si="47"/>
        <v/>
      </c>
      <c r="C403" s="81" t="str">
        <f t="shared" ca="1" si="48"/>
        <v/>
      </c>
      <c r="D403" s="34" t="str">
        <f t="shared" ca="1" si="49"/>
        <v/>
      </c>
      <c r="E403" s="4" t="str">
        <f t="shared" ca="1" si="50"/>
        <v/>
      </c>
      <c r="G403" s="46" t="str">
        <f ca="1">IF(C403="","",IF(E403&lt;&gt;"Retorno",0,IF($G$20=Parâmetros!$D$2,Simulador!$O$10/$G$17,IF($G$20=Parâmetros!$D$3,PMT($O$25,$G$17,($O$10)*-1)-I403,""))))</f>
        <v/>
      </c>
      <c r="H403" s="46"/>
      <c r="I403" s="46" t="str">
        <f t="shared" ca="1" si="45"/>
        <v/>
      </c>
      <c r="J403" s="34"/>
      <c r="K403" s="46" t="str">
        <f t="shared" ca="1" si="51"/>
        <v/>
      </c>
      <c r="L403" s="46"/>
      <c r="M403" s="46" t="str">
        <f ca="1">IFERROR(IF(C403="","",IF($C$10=Parâmetros!$C$3,0,VLOOKUP(A403,'Base de Dados'!$E$3:$G$422,3,FALSE)*S403)),0)</f>
        <v/>
      </c>
      <c r="N403" s="34"/>
      <c r="O403" s="46" t="str">
        <f ca="1">IF(C403="","",IF(C404="",0,IF(E403="Construção",0,IF(E403="Seguro",$C$17*'Base de Dados'!$C$2,IF($C$14=Parâmetros!$B$4,0,Simulador!$C$17*'Base de Dados'!$C$2)))))</f>
        <v/>
      </c>
      <c r="P403" s="46"/>
      <c r="Q403" s="46" t="str">
        <f ca="1">IF(C403="","",IF(E403&lt;&gt;"Retorno",(I403+K403+M403),IF($G$20=Parâmetros!$D$2,SUM(G403,I403,K403,M403,O403),PMT($O$25,SUM($G$17),($O$10)*-1)+O403+M403+K403)))</f>
        <v/>
      </c>
      <c r="R403" s="46"/>
      <c r="S403" s="46" t="str">
        <f t="shared" ca="1" si="52"/>
        <v/>
      </c>
    </row>
    <row r="404" spans="1:19" x14ac:dyDescent="0.3">
      <c r="A404" s="49" t="str">
        <f t="shared" ca="1" si="46"/>
        <v/>
      </c>
      <c r="B404" s="49" t="str">
        <f t="shared" ca="1" si="47"/>
        <v/>
      </c>
      <c r="C404" s="81" t="str">
        <f t="shared" ca="1" si="48"/>
        <v/>
      </c>
      <c r="D404" s="34" t="str">
        <f t="shared" ca="1" si="49"/>
        <v/>
      </c>
      <c r="E404" s="4" t="str">
        <f t="shared" ca="1" si="50"/>
        <v/>
      </c>
      <c r="G404" s="46" t="str">
        <f ca="1">IF(C404="","",IF(E404&lt;&gt;"Retorno",0,IF($G$20=Parâmetros!$D$2,Simulador!$O$10/$G$17,IF($G$20=Parâmetros!$D$3,PMT($O$25,$G$17,($O$10)*-1)-I404,""))))</f>
        <v/>
      </c>
      <c r="H404" s="46"/>
      <c r="I404" s="46" t="str">
        <f t="shared" ca="1" si="45"/>
        <v/>
      </c>
      <c r="J404" s="34"/>
      <c r="K404" s="46" t="str">
        <f t="shared" ca="1" si="51"/>
        <v/>
      </c>
      <c r="L404" s="46"/>
      <c r="M404" s="46" t="str">
        <f ca="1">IFERROR(IF(C404="","",IF($C$10=Parâmetros!$C$3,0,VLOOKUP(A404,'Base de Dados'!$E$3:$G$422,3,FALSE)*S404)),0)</f>
        <v/>
      </c>
      <c r="N404" s="34"/>
      <c r="O404" s="46" t="str">
        <f ca="1">IF(C404="","",IF(C405="",0,IF(E404="Construção",0,IF(E404="Seguro",$C$17*'Base de Dados'!$C$2,IF($C$14=Parâmetros!$B$4,0,Simulador!$C$17*'Base de Dados'!$C$2)))))</f>
        <v/>
      </c>
      <c r="P404" s="46"/>
      <c r="Q404" s="46" t="str">
        <f ca="1">IF(C404="","",IF(E404&lt;&gt;"Retorno",(I404+K404+M404),IF($G$20=Parâmetros!$D$2,SUM(G404,I404,K404,M404,O404),PMT($O$25,SUM($G$17),($O$10)*-1)+O404+M404+K404)))</f>
        <v/>
      </c>
      <c r="R404" s="46"/>
      <c r="S404" s="46" t="str">
        <f t="shared" ca="1" si="52"/>
        <v/>
      </c>
    </row>
    <row r="405" spans="1:19" x14ac:dyDescent="0.3">
      <c r="A405" s="49" t="str">
        <f t="shared" ca="1" si="46"/>
        <v/>
      </c>
      <c r="B405" s="49" t="str">
        <f t="shared" ca="1" si="47"/>
        <v/>
      </c>
      <c r="C405" s="81" t="str">
        <f t="shared" ca="1" si="48"/>
        <v/>
      </c>
      <c r="D405" s="34" t="str">
        <f t="shared" ca="1" si="49"/>
        <v/>
      </c>
      <c r="E405" s="4" t="str">
        <f t="shared" ca="1" si="50"/>
        <v/>
      </c>
      <c r="G405" s="46" t="str">
        <f ca="1">IF(C405="","",IF(E405&lt;&gt;"Retorno",0,IF($G$20=Parâmetros!$D$2,Simulador!$O$10/$G$17,IF($G$20=Parâmetros!$D$3,PMT($O$25,$G$17,($O$10)*-1)-I405,""))))</f>
        <v/>
      </c>
      <c r="H405" s="46"/>
      <c r="I405" s="46" t="str">
        <f t="shared" ca="1" si="45"/>
        <v/>
      </c>
      <c r="J405" s="34"/>
      <c r="K405" s="46" t="str">
        <f t="shared" ca="1" si="51"/>
        <v/>
      </c>
      <c r="L405" s="46"/>
      <c r="M405" s="46" t="str">
        <f ca="1">IFERROR(IF(C405="","",IF($C$10=Parâmetros!$C$3,0,VLOOKUP(A405,'Base de Dados'!$E$3:$G$422,3,FALSE)*S405)),0)</f>
        <v/>
      </c>
      <c r="N405" s="34"/>
      <c r="O405" s="46" t="str">
        <f ca="1">IF(C405="","",IF(C406="",0,IF(E405="Construção",0,IF(E405="Seguro",$C$17*'Base de Dados'!$C$2,IF($C$14=Parâmetros!$B$4,0,Simulador!$C$17*'Base de Dados'!$C$2)))))</f>
        <v/>
      </c>
      <c r="P405" s="46"/>
      <c r="Q405" s="46" t="str">
        <f ca="1">IF(C405="","",IF(E405&lt;&gt;"Retorno",(I405+K405+M405),IF($G$20=Parâmetros!$D$2,SUM(G405,I405,K405,M405,O405),PMT($O$25,SUM($G$17),($O$10)*-1)+O405+M405+K405)))</f>
        <v/>
      </c>
      <c r="R405" s="46"/>
      <c r="S405" s="46" t="str">
        <f t="shared" ca="1" si="52"/>
        <v/>
      </c>
    </row>
    <row r="406" spans="1:19" x14ac:dyDescent="0.3">
      <c r="A406" s="49" t="str">
        <f t="shared" ca="1" si="46"/>
        <v/>
      </c>
      <c r="B406" s="49" t="str">
        <f t="shared" ca="1" si="47"/>
        <v/>
      </c>
      <c r="C406" s="81" t="str">
        <f t="shared" ca="1" si="48"/>
        <v/>
      </c>
      <c r="D406" s="34" t="str">
        <f t="shared" ca="1" si="49"/>
        <v/>
      </c>
      <c r="E406" s="4" t="str">
        <f t="shared" ca="1" si="50"/>
        <v/>
      </c>
      <c r="G406" s="46" t="str">
        <f ca="1">IF(C406="","",IF(E406&lt;&gt;"Retorno",0,IF($G$20=Parâmetros!$D$2,Simulador!$O$10/$G$17,IF($G$20=Parâmetros!$D$3,PMT($O$25,$G$17,($O$10)*-1)-I406,""))))</f>
        <v/>
      </c>
      <c r="H406" s="46"/>
      <c r="I406" s="46" t="str">
        <f t="shared" ca="1" si="45"/>
        <v/>
      </c>
      <c r="J406" s="34"/>
      <c r="K406" s="46" t="str">
        <f t="shared" ca="1" si="51"/>
        <v/>
      </c>
      <c r="L406" s="46"/>
      <c r="M406" s="46" t="str">
        <f ca="1">IFERROR(IF(C406="","",IF($C$10=Parâmetros!$C$3,0,VLOOKUP(A406,'Base de Dados'!$E$3:$G$422,3,FALSE)*S406)),0)</f>
        <v/>
      </c>
      <c r="N406" s="34"/>
      <c r="O406" s="46" t="str">
        <f ca="1">IF(C406="","",IF(C407="",0,IF(E406="Construção",0,IF(E406="Seguro",$C$17*'Base de Dados'!$C$2,IF($C$14=Parâmetros!$B$4,0,Simulador!$C$17*'Base de Dados'!$C$2)))))</f>
        <v/>
      </c>
      <c r="P406" s="46"/>
      <c r="Q406" s="46" t="str">
        <f ca="1">IF(C406="","",IF(E406&lt;&gt;"Retorno",(I406+K406+M406),IF($G$20=Parâmetros!$D$2,SUM(G406,I406,K406,M406,O406),PMT($O$25,SUM($G$17),($O$10)*-1)+O406+M406+K406)))</f>
        <v/>
      </c>
      <c r="R406" s="46"/>
      <c r="S406" s="46" t="str">
        <f t="shared" ca="1" si="52"/>
        <v/>
      </c>
    </row>
    <row r="407" spans="1:19" x14ac:dyDescent="0.3">
      <c r="A407" s="49" t="str">
        <f t="shared" ca="1" si="46"/>
        <v/>
      </c>
      <c r="B407" s="49" t="str">
        <f t="shared" ca="1" si="47"/>
        <v/>
      </c>
      <c r="C407" s="81" t="str">
        <f t="shared" ca="1" si="48"/>
        <v/>
      </c>
      <c r="D407" s="34" t="str">
        <f t="shared" ca="1" si="49"/>
        <v/>
      </c>
      <c r="E407" s="4" t="str">
        <f t="shared" ca="1" si="50"/>
        <v/>
      </c>
      <c r="G407" s="46" t="str">
        <f ca="1">IF(C407="","",IF(E407&lt;&gt;"Retorno",0,IF($G$20=Parâmetros!$D$2,Simulador!$O$10/$G$17,IF($G$20=Parâmetros!$D$3,PMT($O$25,$G$17,($O$10)*-1)-I407,""))))</f>
        <v/>
      </c>
      <c r="H407" s="46"/>
      <c r="I407" s="46" t="str">
        <f t="shared" ca="1" si="45"/>
        <v/>
      </c>
      <c r="J407" s="34"/>
      <c r="K407" s="46" t="str">
        <f t="shared" ca="1" si="51"/>
        <v/>
      </c>
      <c r="L407" s="46"/>
      <c r="M407" s="46" t="str">
        <f ca="1">IFERROR(IF(C407="","",IF($C$10=Parâmetros!$C$3,0,VLOOKUP(A407,'Base de Dados'!$E$3:$G$422,3,FALSE)*S407)),0)</f>
        <v/>
      </c>
      <c r="N407" s="34"/>
      <c r="O407" s="46" t="str">
        <f ca="1">IF(C407="","",IF(C408="",0,IF(E407="Construção",0,IF(E407="Seguro",$C$17*'Base de Dados'!$C$2,IF($C$14=Parâmetros!$B$4,0,Simulador!$C$17*'Base de Dados'!$C$2)))))</f>
        <v/>
      </c>
      <c r="P407" s="46"/>
      <c r="Q407" s="46" t="str">
        <f ca="1">IF(C407="","",IF(E407&lt;&gt;"Retorno",(I407+K407+M407),IF($G$20=Parâmetros!$D$2,SUM(G407,I407,K407,M407,O407),PMT($O$25,SUM($G$17),($O$10)*-1)+O407+M407+K407)))</f>
        <v/>
      </c>
      <c r="R407" s="46"/>
      <c r="S407" s="46" t="str">
        <f t="shared" ca="1" si="52"/>
        <v/>
      </c>
    </row>
    <row r="408" spans="1:19" x14ac:dyDescent="0.3">
      <c r="A408" s="49" t="str">
        <f t="shared" ca="1" si="46"/>
        <v/>
      </c>
      <c r="B408" s="49" t="str">
        <f t="shared" ca="1" si="47"/>
        <v/>
      </c>
      <c r="C408" s="81" t="str">
        <f t="shared" ca="1" si="48"/>
        <v/>
      </c>
      <c r="D408" s="34" t="str">
        <f t="shared" ca="1" si="49"/>
        <v/>
      </c>
      <c r="E408" s="4" t="str">
        <f t="shared" ca="1" si="50"/>
        <v/>
      </c>
      <c r="G408" s="46" t="str">
        <f ca="1">IF(C408="","",IF(E408&lt;&gt;"Retorno",0,IF($G$20=Parâmetros!$D$2,Simulador!$O$10/$G$17,IF($G$20=Parâmetros!$D$3,PMT($O$25,$G$17,($O$10)*-1)-I408,""))))</f>
        <v/>
      </c>
      <c r="H408" s="46"/>
      <c r="I408" s="46" t="str">
        <f t="shared" ca="1" si="45"/>
        <v/>
      </c>
      <c r="J408" s="34"/>
      <c r="K408" s="46" t="str">
        <f t="shared" ca="1" si="51"/>
        <v/>
      </c>
      <c r="L408" s="46"/>
      <c r="M408" s="46" t="str">
        <f ca="1">IFERROR(IF(C408="","",IF($C$10=Parâmetros!$C$3,0,VLOOKUP(A408,'Base de Dados'!$E$3:$G$422,3,FALSE)*S408)),0)</f>
        <v/>
      </c>
      <c r="N408" s="34"/>
      <c r="O408" s="46" t="str">
        <f ca="1">IF(C408="","",IF(C409="",0,IF(E408="Construção",0,IF(E408="Seguro",$C$17*'Base de Dados'!$C$2,IF($C$14=Parâmetros!$B$4,0,Simulador!$C$17*'Base de Dados'!$C$2)))))</f>
        <v/>
      </c>
      <c r="P408" s="46"/>
      <c r="Q408" s="46" t="str">
        <f ca="1">IF(C408="","",IF(E408&lt;&gt;"Retorno",(I408+K408+M408),IF($G$20=Parâmetros!$D$2,SUM(G408,I408,K408,M408,O408),PMT($O$25,SUM($G$17),($O$10)*-1)+O408+M408+K408)))</f>
        <v/>
      </c>
      <c r="R408" s="46"/>
      <c r="S408" s="46" t="str">
        <f t="shared" ca="1" si="52"/>
        <v/>
      </c>
    </row>
    <row r="409" spans="1:19" x14ac:dyDescent="0.3">
      <c r="A409" s="49" t="str">
        <f t="shared" ca="1" si="46"/>
        <v/>
      </c>
      <c r="B409" s="49" t="str">
        <f t="shared" ca="1" si="47"/>
        <v/>
      </c>
      <c r="C409" s="81" t="str">
        <f t="shared" ca="1" si="48"/>
        <v/>
      </c>
      <c r="D409" s="34" t="str">
        <f t="shared" ca="1" si="49"/>
        <v/>
      </c>
      <c r="E409" s="4" t="str">
        <f t="shared" ca="1" si="50"/>
        <v/>
      </c>
      <c r="G409" s="46" t="str">
        <f ca="1">IF(C409="","",IF(E409&lt;&gt;"Retorno",0,IF($G$20=Parâmetros!$D$2,Simulador!$O$10/$G$17,IF($G$20=Parâmetros!$D$3,PMT($O$25,$G$17,($O$10)*-1)-I409,""))))</f>
        <v/>
      </c>
      <c r="H409" s="46"/>
      <c r="I409" s="46" t="str">
        <f t="shared" ca="1" si="45"/>
        <v/>
      </c>
      <c r="J409" s="34"/>
      <c r="K409" s="46" t="str">
        <f t="shared" ca="1" si="51"/>
        <v/>
      </c>
      <c r="L409" s="46"/>
      <c r="M409" s="46" t="str">
        <f ca="1">IFERROR(IF(C409="","",IF($C$10=Parâmetros!$C$3,0,VLOOKUP(A409,'Base de Dados'!$E$3:$G$422,3,FALSE)*S409)),0)</f>
        <v/>
      </c>
      <c r="N409" s="34"/>
      <c r="O409" s="46" t="str">
        <f ca="1">IF(C409="","",IF(C410="",0,IF(E409="Construção",0,IF(E409="Seguro",$C$17*'Base de Dados'!$C$2,IF($C$14=Parâmetros!$B$4,0,Simulador!$C$17*'Base de Dados'!$C$2)))))</f>
        <v/>
      </c>
      <c r="P409" s="46"/>
      <c r="Q409" s="46" t="str">
        <f ca="1">IF(C409="","",IF(E409&lt;&gt;"Retorno",(I409+K409+M409),IF($G$20=Parâmetros!$D$2,SUM(G409,I409,K409,M409,O409),PMT($O$25,SUM($G$17),($O$10)*-1)+O409+M409+K409)))</f>
        <v/>
      </c>
      <c r="R409" s="46"/>
      <c r="S409" s="46" t="str">
        <f t="shared" ca="1" si="52"/>
        <v/>
      </c>
    </row>
    <row r="410" spans="1:19" x14ac:dyDescent="0.3">
      <c r="A410" s="49" t="str">
        <f t="shared" ca="1" si="46"/>
        <v/>
      </c>
      <c r="B410" s="49" t="str">
        <f t="shared" ca="1" si="47"/>
        <v/>
      </c>
      <c r="C410" s="81" t="str">
        <f t="shared" ca="1" si="48"/>
        <v/>
      </c>
      <c r="D410" s="34" t="str">
        <f t="shared" ca="1" si="49"/>
        <v/>
      </c>
      <c r="E410" s="4" t="str">
        <f t="shared" ca="1" si="50"/>
        <v/>
      </c>
      <c r="G410" s="46" t="str">
        <f ca="1">IF(C410="","",IF(E410&lt;&gt;"Retorno",0,IF($G$20=Parâmetros!$D$2,Simulador!$O$10/$G$17,IF($G$20=Parâmetros!$D$3,PMT($O$25,$G$17,($O$10)*-1)-I410,""))))</f>
        <v/>
      </c>
      <c r="H410" s="46"/>
      <c r="I410" s="46" t="str">
        <f t="shared" ca="1" si="45"/>
        <v/>
      </c>
      <c r="J410" s="34"/>
      <c r="K410" s="46" t="str">
        <f t="shared" ca="1" si="51"/>
        <v/>
      </c>
      <c r="L410" s="46"/>
      <c r="M410" s="46" t="str">
        <f ca="1">IFERROR(IF(C410="","",IF($C$10=Parâmetros!$C$3,0,VLOOKUP(A410,'Base de Dados'!$E$3:$G$422,3,FALSE)*S410)),0)</f>
        <v/>
      </c>
      <c r="N410" s="34"/>
      <c r="O410" s="46" t="str">
        <f ca="1">IF(C410="","",IF(C411="",0,IF(E410="Construção",0,IF(E410="Seguro",$C$17*'Base de Dados'!$C$2,IF($C$14=Parâmetros!$B$4,0,Simulador!$C$17*'Base de Dados'!$C$2)))))</f>
        <v/>
      </c>
      <c r="P410" s="46"/>
      <c r="Q410" s="46" t="str">
        <f ca="1">IF(C410="","",IF(E410&lt;&gt;"Retorno",(I410+K410+M410),IF($G$20=Parâmetros!$D$2,SUM(G410,I410,K410,M410,O410),PMT($O$25,SUM($G$17),($O$10)*-1)+O410+M410+K410)))</f>
        <v/>
      </c>
      <c r="R410" s="46"/>
      <c r="S410" s="46" t="str">
        <f t="shared" ca="1" si="52"/>
        <v/>
      </c>
    </row>
    <row r="411" spans="1:19" x14ac:dyDescent="0.3">
      <c r="A411" s="49" t="str">
        <f t="shared" ca="1" si="46"/>
        <v/>
      </c>
      <c r="B411" s="49" t="str">
        <f t="shared" ca="1" si="47"/>
        <v/>
      </c>
      <c r="C411" s="81" t="str">
        <f t="shared" ca="1" si="48"/>
        <v/>
      </c>
      <c r="D411" s="34" t="str">
        <f t="shared" ca="1" si="49"/>
        <v/>
      </c>
      <c r="E411" s="4" t="str">
        <f t="shared" ca="1" si="50"/>
        <v/>
      </c>
      <c r="G411" s="46" t="str">
        <f ca="1">IF(C411="","",IF(E411&lt;&gt;"Retorno",0,IF($G$20=Parâmetros!$D$2,Simulador!$O$10/$G$17,IF($G$20=Parâmetros!$D$3,PMT($O$25,$G$17,($O$10)*-1)-I411,""))))</f>
        <v/>
      </c>
      <c r="H411" s="46"/>
      <c r="I411" s="46" t="str">
        <f t="shared" ca="1" si="45"/>
        <v/>
      </c>
      <c r="J411" s="34"/>
      <c r="K411" s="46" t="str">
        <f t="shared" ca="1" si="51"/>
        <v/>
      </c>
      <c r="L411" s="46"/>
      <c r="M411" s="46" t="str">
        <f ca="1">IFERROR(IF(C411="","",IF($C$10=Parâmetros!$C$3,0,VLOOKUP(A411,'Base de Dados'!$E$3:$G$422,3,FALSE)*S411)),0)</f>
        <v/>
      </c>
      <c r="N411" s="34"/>
      <c r="O411" s="46" t="str">
        <f ca="1">IF(C411="","",IF(C412="",0,IF(E411="Construção",0,IF(E411="Seguro",$C$17*'Base de Dados'!$C$2,IF($C$14=Parâmetros!$B$4,0,Simulador!$C$17*'Base de Dados'!$C$2)))))</f>
        <v/>
      </c>
      <c r="P411" s="46"/>
      <c r="Q411" s="46" t="str">
        <f ca="1">IF(C411="","",IF(E411&lt;&gt;"Retorno",(I411+K411+M411),IF($G$20=Parâmetros!$D$2,SUM(G411,I411,K411,M411,O411),PMT($O$25,SUM($G$17),($O$10)*-1)+O411+M411+K411)))</f>
        <v/>
      </c>
      <c r="R411" s="46"/>
      <c r="S411" s="46" t="str">
        <f t="shared" ca="1" si="52"/>
        <v/>
      </c>
    </row>
    <row r="412" spans="1:19" x14ac:dyDescent="0.3">
      <c r="A412" s="49" t="str">
        <f t="shared" ca="1" si="46"/>
        <v/>
      </c>
      <c r="B412" s="49" t="str">
        <f t="shared" ca="1" si="47"/>
        <v/>
      </c>
      <c r="C412" s="81" t="str">
        <f t="shared" ca="1" si="48"/>
        <v/>
      </c>
      <c r="D412" s="34" t="str">
        <f t="shared" ca="1" si="49"/>
        <v/>
      </c>
      <c r="E412" s="4" t="str">
        <f t="shared" ca="1" si="50"/>
        <v/>
      </c>
      <c r="G412" s="46" t="str">
        <f ca="1">IF(C412="","",IF(E412&lt;&gt;"Retorno",0,IF($G$20=Parâmetros!$D$2,Simulador!$O$10/$G$17,IF($G$20=Parâmetros!$D$3,PMT($O$25,$G$17,($O$10)*-1)-I412,""))))</f>
        <v/>
      </c>
      <c r="H412" s="46"/>
      <c r="I412" s="46" t="str">
        <f t="shared" ca="1" si="45"/>
        <v/>
      </c>
      <c r="J412" s="34"/>
      <c r="K412" s="46" t="str">
        <f t="shared" ca="1" si="51"/>
        <v/>
      </c>
      <c r="L412" s="46"/>
      <c r="M412" s="46" t="str">
        <f ca="1">IFERROR(IF(C412="","",IF($C$10=Parâmetros!$C$3,0,VLOOKUP(A412,'Base de Dados'!$E$3:$G$422,3,FALSE)*S412)),0)</f>
        <v/>
      </c>
      <c r="N412" s="34"/>
      <c r="O412" s="46" t="str">
        <f ca="1">IF(C412="","",IF(C413="",0,IF(E412="Construção",0,IF(E412="Seguro",$C$17*'Base de Dados'!$C$2,IF($C$14=Parâmetros!$B$4,0,Simulador!$C$17*'Base de Dados'!$C$2)))))</f>
        <v/>
      </c>
      <c r="P412" s="46"/>
      <c r="Q412" s="46" t="str">
        <f ca="1">IF(C412="","",IF(E412&lt;&gt;"Retorno",(I412+K412+M412),IF($G$20=Parâmetros!$D$2,SUM(G412,I412,K412,M412,O412),PMT($O$25,SUM($G$17),($O$10)*-1)+O412+M412+K412)))</f>
        <v/>
      </c>
      <c r="R412" s="46"/>
      <c r="S412" s="46" t="str">
        <f t="shared" ca="1" si="52"/>
        <v/>
      </c>
    </row>
    <row r="413" spans="1:19" x14ac:dyDescent="0.3">
      <c r="A413" s="49" t="str">
        <f t="shared" ca="1" si="46"/>
        <v/>
      </c>
      <c r="B413" s="49" t="str">
        <f t="shared" ca="1" si="47"/>
        <v/>
      </c>
      <c r="C413" s="81" t="str">
        <f t="shared" ca="1" si="48"/>
        <v/>
      </c>
      <c r="D413" s="34" t="str">
        <f t="shared" ca="1" si="49"/>
        <v/>
      </c>
      <c r="E413" s="4" t="str">
        <f t="shared" ca="1" si="50"/>
        <v/>
      </c>
      <c r="G413" s="46" t="str">
        <f ca="1">IF(C413="","",IF(E413&lt;&gt;"Retorno",0,IF($G$20=Parâmetros!$D$2,Simulador!$O$10/$G$17,IF($G$20=Parâmetros!$D$3,PMT($O$25,$G$17,($O$10)*-1)-I413,""))))</f>
        <v/>
      </c>
      <c r="H413" s="46"/>
      <c r="I413" s="46" t="str">
        <f t="shared" ca="1" si="45"/>
        <v/>
      </c>
      <c r="J413" s="34"/>
      <c r="K413" s="46" t="str">
        <f t="shared" ca="1" si="51"/>
        <v/>
      </c>
      <c r="L413" s="46"/>
      <c r="M413" s="46" t="str">
        <f ca="1">IFERROR(IF(C413="","",IF($C$10=Parâmetros!$C$3,0,VLOOKUP(A413,'Base de Dados'!$E$3:$G$422,3,FALSE)*S413)),0)</f>
        <v/>
      </c>
      <c r="N413" s="34"/>
      <c r="O413" s="46" t="str">
        <f ca="1">IF(C413="","",IF(C414="",0,IF(E413="Construção",0,IF(E413="Seguro",$C$17*'Base de Dados'!$C$2,IF($C$14=Parâmetros!$B$4,0,Simulador!$C$17*'Base de Dados'!$C$2)))))</f>
        <v/>
      </c>
      <c r="P413" s="46"/>
      <c r="Q413" s="46" t="str">
        <f ca="1">IF(C413="","",IF(E413&lt;&gt;"Retorno",(I413+K413+M413),IF($G$20=Parâmetros!$D$2,SUM(G413,I413,K413,M413,O413),PMT($O$25,SUM($G$17),($O$10)*-1)+O413+M413+K413)))</f>
        <v/>
      </c>
      <c r="R413" s="46"/>
      <c r="S413" s="46" t="str">
        <f t="shared" ca="1" si="52"/>
        <v/>
      </c>
    </row>
    <row r="414" spans="1:19" x14ac:dyDescent="0.3">
      <c r="A414" s="49" t="str">
        <f t="shared" ca="1" si="46"/>
        <v/>
      </c>
      <c r="B414" s="49" t="str">
        <f t="shared" ca="1" si="47"/>
        <v/>
      </c>
      <c r="C414" s="81" t="str">
        <f t="shared" ca="1" si="48"/>
        <v/>
      </c>
      <c r="D414" s="34" t="str">
        <f t="shared" ca="1" si="49"/>
        <v/>
      </c>
      <c r="E414" s="4" t="str">
        <f t="shared" ca="1" si="50"/>
        <v/>
      </c>
      <c r="G414" s="46" t="str">
        <f ca="1">IF(C414="","",IF(E414&lt;&gt;"Retorno",0,IF($G$20=Parâmetros!$D$2,Simulador!$O$10/$G$17,IF($G$20=Parâmetros!$D$3,PMT($O$25,$G$17,($O$10)*-1)-I414,""))))</f>
        <v/>
      </c>
      <c r="H414" s="46"/>
      <c r="I414" s="46" t="str">
        <f t="shared" ca="1" si="45"/>
        <v/>
      </c>
      <c r="J414" s="34"/>
      <c r="K414" s="46" t="str">
        <f t="shared" ca="1" si="51"/>
        <v/>
      </c>
      <c r="L414" s="46"/>
      <c r="M414" s="46" t="str">
        <f ca="1">IFERROR(IF(C414="","",IF($C$10=Parâmetros!$C$3,0,VLOOKUP(A414,'Base de Dados'!$E$3:$G$422,3,FALSE)*S414)),0)</f>
        <v/>
      </c>
      <c r="N414" s="34"/>
      <c r="O414" s="46" t="str">
        <f ca="1">IF(C414="","",IF(C415="",0,IF(E414="Construção",0,IF(E414="Seguro",$C$17*'Base de Dados'!$C$2,IF($C$14=Parâmetros!$B$4,0,Simulador!$C$17*'Base de Dados'!$C$2)))))</f>
        <v/>
      </c>
      <c r="P414" s="46"/>
      <c r="Q414" s="46" t="str">
        <f ca="1">IF(C414="","",IF(E414&lt;&gt;"Retorno",(I414+K414+M414),IF($G$20=Parâmetros!$D$2,SUM(G414,I414,K414,M414,O414),PMT($O$25,SUM($G$17),($O$10)*-1)+O414+M414+K414)))</f>
        <v/>
      </c>
      <c r="R414" s="46"/>
      <c r="S414" s="46" t="str">
        <f t="shared" ca="1" si="52"/>
        <v/>
      </c>
    </row>
    <row r="415" spans="1:19" x14ac:dyDescent="0.3">
      <c r="A415" s="49" t="str">
        <f t="shared" ca="1" si="46"/>
        <v/>
      </c>
      <c r="B415" s="49" t="str">
        <f t="shared" ca="1" si="47"/>
        <v/>
      </c>
      <c r="C415" s="81" t="str">
        <f t="shared" ca="1" si="48"/>
        <v/>
      </c>
      <c r="D415" s="34" t="str">
        <f t="shared" ca="1" si="49"/>
        <v/>
      </c>
      <c r="E415" s="4" t="str">
        <f t="shared" ca="1" si="50"/>
        <v/>
      </c>
      <c r="G415" s="46" t="str">
        <f ca="1">IF(C415="","",IF(E415&lt;&gt;"Retorno",0,IF($G$20=Parâmetros!$D$2,Simulador!$O$10/$G$17,IF($G$20=Parâmetros!$D$3,PMT($O$25,$G$17,($O$10)*-1)-I415,""))))</f>
        <v/>
      </c>
      <c r="H415" s="46"/>
      <c r="I415" s="46" t="str">
        <f t="shared" ca="1" si="45"/>
        <v/>
      </c>
      <c r="J415" s="34"/>
      <c r="K415" s="46" t="str">
        <f t="shared" ca="1" si="51"/>
        <v/>
      </c>
      <c r="L415" s="46"/>
      <c r="M415" s="46" t="str">
        <f ca="1">IFERROR(IF(C415="","",IF($C$10=Parâmetros!$C$3,0,VLOOKUP(A415,'Base de Dados'!$E$3:$G$422,3,FALSE)*S415)),0)</f>
        <v/>
      </c>
      <c r="N415" s="34"/>
      <c r="O415" s="46" t="str">
        <f ca="1">IF(C415="","",IF(C416="",0,IF(E415="Construção",0,IF(E415="Seguro",$C$17*'Base de Dados'!$C$2,IF($C$14=Parâmetros!$B$4,0,Simulador!$C$17*'Base de Dados'!$C$2)))))</f>
        <v/>
      </c>
      <c r="P415" s="46"/>
      <c r="Q415" s="46" t="str">
        <f ca="1">IF(C415="","",IF(E415&lt;&gt;"Retorno",(I415+K415+M415),IF($G$20=Parâmetros!$D$2,SUM(G415,I415,K415,M415,O415),PMT($O$25,SUM($G$17),($O$10)*-1)+O415+M415+K415)))</f>
        <v/>
      </c>
      <c r="R415" s="46"/>
      <c r="S415" s="46" t="str">
        <f t="shared" ca="1" si="52"/>
        <v/>
      </c>
    </row>
    <row r="416" spans="1:19" x14ac:dyDescent="0.3">
      <c r="A416" s="49" t="str">
        <f t="shared" ca="1" si="46"/>
        <v/>
      </c>
      <c r="B416" s="49" t="str">
        <f t="shared" ca="1" si="47"/>
        <v/>
      </c>
      <c r="C416" s="81" t="str">
        <f t="shared" ca="1" si="48"/>
        <v/>
      </c>
      <c r="D416" s="34" t="str">
        <f t="shared" ca="1" si="49"/>
        <v/>
      </c>
      <c r="E416" s="4" t="str">
        <f t="shared" ca="1" si="50"/>
        <v/>
      </c>
      <c r="G416" s="46" t="str">
        <f ca="1">IF(C416="","",IF(E416&lt;&gt;"Retorno",0,IF($G$20=Parâmetros!$D$2,Simulador!$O$10/$G$17,IF($G$20=Parâmetros!$D$3,PMT($O$25,$G$17,($O$10)*-1)-I416,""))))</f>
        <v/>
      </c>
      <c r="H416" s="46"/>
      <c r="I416" s="46" t="str">
        <f t="shared" ca="1" si="45"/>
        <v/>
      </c>
      <c r="J416" s="34"/>
      <c r="K416" s="46" t="str">
        <f t="shared" ca="1" si="51"/>
        <v/>
      </c>
      <c r="L416" s="46"/>
      <c r="M416" s="46" t="str">
        <f ca="1">IFERROR(IF(C416="","",IF($C$10=Parâmetros!$C$3,0,VLOOKUP(A416,'Base de Dados'!$E$3:$G$422,3,FALSE)*S416)),0)</f>
        <v/>
      </c>
      <c r="N416" s="34"/>
      <c r="O416" s="46" t="str">
        <f ca="1">IF(C416="","",IF(C417="",0,IF(E416="Construção",0,IF(E416="Seguro",$C$17*'Base de Dados'!$C$2,IF($C$14=Parâmetros!$B$4,0,Simulador!$C$17*'Base de Dados'!$C$2)))))</f>
        <v/>
      </c>
      <c r="P416" s="46"/>
      <c r="Q416" s="46" t="str">
        <f ca="1">IF(C416="","",IF(E416&lt;&gt;"Retorno",(I416+K416+M416),IF($G$20=Parâmetros!$D$2,SUM(G416,I416,K416,M416,O416),PMT($O$25,SUM($G$17),($O$10)*-1)+O416+M416+K416)))</f>
        <v/>
      </c>
      <c r="R416" s="46"/>
      <c r="S416" s="46" t="str">
        <f t="shared" ca="1" si="52"/>
        <v/>
      </c>
    </row>
    <row r="417" spans="1:19" x14ac:dyDescent="0.3">
      <c r="A417" s="49" t="str">
        <f t="shared" ca="1" si="46"/>
        <v/>
      </c>
      <c r="B417" s="49" t="str">
        <f t="shared" ca="1" si="47"/>
        <v/>
      </c>
      <c r="C417" s="81" t="str">
        <f t="shared" ca="1" si="48"/>
        <v/>
      </c>
      <c r="D417" s="34" t="str">
        <f t="shared" ca="1" si="49"/>
        <v/>
      </c>
      <c r="E417" s="4" t="str">
        <f t="shared" ca="1" si="50"/>
        <v/>
      </c>
      <c r="G417" s="46" t="str">
        <f ca="1">IF(C417="","",IF(E417&lt;&gt;"Retorno",0,IF($G$20=Parâmetros!$D$2,Simulador!$O$10/$G$17,IF($G$20=Parâmetros!$D$3,PMT($O$25,$G$17,($O$10)*-1)-I417,""))))</f>
        <v/>
      </c>
      <c r="H417" s="46"/>
      <c r="I417" s="46" t="str">
        <f t="shared" ca="1" si="45"/>
        <v/>
      </c>
      <c r="J417" s="34"/>
      <c r="K417" s="46" t="str">
        <f t="shared" ca="1" si="51"/>
        <v/>
      </c>
      <c r="L417" s="46"/>
      <c r="M417" s="46" t="str">
        <f ca="1">IFERROR(IF(C417="","",IF($C$10=Parâmetros!$C$3,0,VLOOKUP(A417,'Base de Dados'!$E$3:$G$422,3,FALSE)*S417)),0)</f>
        <v/>
      </c>
      <c r="N417" s="34"/>
      <c r="O417" s="46" t="str">
        <f ca="1">IF(C417="","",IF(C418="",0,IF(E417="Construção",0,IF(E417="Seguro",$C$17*'Base de Dados'!$C$2,IF($C$14=Parâmetros!$B$4,0,Simulador!$C$17*'Base de Dados'!$C$2)))))</f>
        <v/>
      </c>
      <c r="P417" s="46"/>
      <c r="Q417" s="46" t="str">
        <f ca="1">IF(C417="","",IF(E417&lt;&gt;"Retorno",(I417+K417+M417),IF($G$20=Parâmetros!$D$2,SUM(G417,I417,K417,M417,O417),PMT($O$25,SUM($G$17),($O$10)*-1)+O417+M417+K417)))</f>
        <v/>
      </c>
      <c r="R417" s="46"/>
      <c r="S417" s="46" t="str">
        <f t="shared" ca="1" si="52"/>
        <v/>
      </c>
    </row>
    <row r="418" spans="1:19" x14ac:dyDescent="0.3">
      <c r="A418" s="49" t="str">
        <f t="shared" ca="1" si="46"/>
        <v/>
      </c>
      <c r="B418" s="49" t="str">
        <f t="shared" ca="1" si="47"/>
        <v/>
      </c>
      <c r="C418" s="81" t="str">
        <f t="shared" ca="1" si="48"/>
        <v/>
      </c>
      <c r="D418" s="34" t="str">
        <f t="shared" ca="1" si="49"/>
        <v/>
      </c>
      <c r="E418" s="4" t="str">
        <f t="shared" ca="1" si="50"/>
        <v/>
      </c>
      <c r="G418" s="46" t="str">
        <f ca="1">IF(C418="","",IF(E418&lt;&gt;"Retorno",0,IF($G$20=Parâmetros!$D$2,Simulador!$O$10/$G$17,IF($G$20=Parâmetros!$D$3,PMT($O$25,$G$17,($O$10)*-1)-I418,""))))</f>
        <v/>
      </c>
      <c r="H418" s="46"/>
      <c r="I418" s="46" t="str">
        <f t="shared" ref="I418:I453" ca="1" si="54">IFERROR(IF(C418="","",FV($O$25,1,,-S417,0)-S417),"")</f>
        <v/>
      </c>
      <c r="J418" s="34"/>
      <c r="K418" s="46" t="str">
        <f t="shared" ca="1" si="51"/>
        <v/>
      </c>
      <c r="L418" s="46"/>
      <c r="M418" s="46" t="str">
        <f ca="1">IFERROR(IF(C418="","",IF($C$10=Parâmetros!$C$3,0,VLOOKUP(A418,'Base de Dados'!$E$3:$G$422,3,FALSE)*S418)),0)</f>
        <v/>
      </c>
      <c r="N418" s="34"/>
      <c r="O418" s="46" t="str">
        <f ca="1">IF(C418="","",IF(C419="",0,IF(E418="Construção",0,IF(E418="Seguro",$C$17*'Base de Dados'!$C$2,IF($C$14=Parâmetros!$B$4,0,Simulador!$C$17*'Base de Dados'!$C$2)))))</f>
        <v/>
      </c>
      <c r="P418" s="46"/>
      <c r="Q418" s="46" t="str">
        <f ca="1">IF(C418="","",IF(E418&lt;&gt;"Retorno",(I418+K418+M418),IF($G$20=Parâmetros!$D$2,SUM(G418,I418,K418,M418,O418),PMT($O$25,SUM($G$17),($O$10)*-1)+O418+M418+K418)))</f>
        <v/>
      </c>
      <c r="R418" s="46"/>
      <c r="S418" s="46" t="str">
        <f t="shared" ca="1" si="52"/>
        <v/>
      </c>
    </row>
    <row r="419" spans="1:19" x14ac:dyDescent="0.3">
      <c r="A419" s="49" t="str">
        <f t="shared" ref="A419:A453" ca="1" si="55">IF(C419="","",IF(C418&gt;$G$17,0,EDATE(A418,1)))</f>
        <v/>
      </c>
      <c r="B419" s="49" t="str">
        <f t="shared" ref="B419:B453" ca="1" si="56">IF(AND(E419="Retorno",E418&lt;&gt;"Retorno"),"Primeira",IF(AND(E419="Retorno",E418=""),"Primeira",""))</f>
        <v/>
      </c>
      <c r="C419" s="81" t="str">
        <f t="shared" ref="C419:C453" ca="1" si="57">IF(OR(C418&gt;=$K$19,C418=""),"",C418+1)</f>
        <v/>
      </c>
      <c r="D419" s="34" t="str">
        <f t="shared" ref="D419:D453" ca="1" si="58">C419</f>
        <v/>
      </c>
      <c r="E419" s="4" t="str">
        <f t="shared" ref="E419:E453" ca="1" si="59">IF(C419="","","Retorno")</f>
        <v/>
      </c>
      <c r="G419" s="46" t="str">
        <f ca="1">IF(C419="","",IF(E419&lt;&gt;"Retorno",0,IF($G$20=Parâmetros!$D$2,Simulador!$O$10/$G$17,IF($G$20=Parâmetros!$D$3,PMT($O$25,$G$17,($O$10)*-1)-I419,""))))</f>
        <v/>
      </c>
      <c r="H419" s="46"/>
      <c r="I419" s="46" t="str">
        <f t="shared" ca="1" si="54"/>
        <v/>
      </c>
      <c r="J419" s="34"/>
      <c r="K419" s="46" t="str">
        <f t="shared" ref="K419:K453" ca="1" si="60">IF(C419="","",IF(AND($O$23&lt;12.01%,$C$17&lt;2250000.01),25,0))</f>
        <v/>
      </c>
      <c r="L419" s="46"/>
      <c r="M419" s="46" t="str">
        <f ca="1">IFERROR(IF(C419="","",IF($C$10=Parâmetros!$C$3,0,VLOOKUP(A419,'Base de Dados'!$E$3:$G$422,3,FALSE)*S419)),0)</f>
        <v/>
      </c>
      <c r="N419" s="34"/>
      <c r="O419" s="46" t="str">
        <f ca="1">IF(C419="","",IF(C420="",0,IF(E419="Construção",0,IF(E419="Seguro",$C$17*'Base de Dados'!$C$2,IF($C$14=Parâmetros!$B$4,0,Simulador!$C$17*'Base de Dados'!$C$2)))))</f>
        <v/>
      </c>
      <c r="P419" s="46"/>
      <c r="Q419" s="46" t="str">
        <f ca="1">IF(C419="","",IF(E419&lt;&gt;"Retorno",(I419+K419+M419),IF($G$20=Parâmetros!$D$2,SUM(G419,I419,K419,M419,O419),PMT($O$25,SUM($G$17),($O$10)*-1)+O419+M419+K419)))</f>
        <v/>
      </c>
      <c r="R419" s="46"/>
      <c r="S419" s="46" t="str">
        <f t="shared" ref="S419:S453" ca="1" si="61">IF(E419="Construção",S418+(U419*-1),IF(E419="Carência",S418,IF(E419="Retorno",S418-G419,"")))</f>
        <v/>
      </c>
    </row>
    <row r="420" spans="1:19" x14ac:dyDescent="0.3">
      <c r="A420" s="49" t="str">
        <f t="shared" ca="1" si="55"/>
        <v/>
      </c>
      <c r="B420" s="49" t="str">
        <f t="shared" ca="1" si="56"/>
        <v/>
      </c>
      <c r="C420" s="81" t="str">
        <f t="shared" ca="1" si="57"/>
        <v/>
      </c>
      <c r="D420" s="34" t="str">
        <f t="shared" ca="1" si="58"/>
        <v/>
      </c>
      <c r="E420" s="4" t="str">
        <f t="shared" ca="1" si="59"/>
        <v/>
      </c>
      <c r="G420" s="46" t="str">
        <f ca="1">IF(C420="","",IF(E420&lt;&gt;"Retorno",0,IF($G$20=Parâmetros!$D$2,Simulador!$O$10/$G$17,IF($G$20=Parâmetros!$D$3,PMT($O$25,$G$17,($O$10)*-1)-I420,""))))</f>
        <v/>
      </c>
      <c r="H420" s="46"/>
      <c r="I420" s="46" t="str">
        <f t="shared" ca="1" si="54"/>
        <v/>
      </c>
      <c r="J420" s="34"/>
      <c r="K420" s="46" t="str">
        <f t="shared" ca="1" si="60"/>
        <v/>
      </c>
      <c r="L420" s="46"/>
      <c r="M420" s="46" t="str">
        <f ca="1">IFERROR(IF(C420="","",IF($C$10=Parâmetros!$C$3,0,VLOOKUP(A420,'Base de Dados'!$E$3:$G$422,3,FALSE)*S420)),0)</f>
        <v/>
      </c>
      <c r="N420" s="34"/>
      <c r="O420" s="46" t="str">
        <f ca="1">IF(C420="","",IF(C421="",0,IF(E420="Construção",0,IF(E420="Seguro",$C$17*'Base de Dados'!$C$2,IF($C$14=Parâmetros!$B$4,0,Simulador!$C$17*'Base de Dados'!$C$2)))))</f>
        <v/>
      </c>
      <c r="P420" s="46"/>
      <c r="Q420" s="46" t="str">
        <f ca="1">IF(C420="","",IF(E420&lt;&gt;"Retorno",(I420+K420+M420),IF($G$20=Parâmetros!$D$2,SUM(G420,I420,K420,M420,O420),PMT($O$25,SUM($G$17),($O$10)*-1)+O420+M420+K420)))</f>
        <v/>
      </c>
      <c r="R420" s="46"/>
      <c r="S420" s="46" t="str">
        <f t="shared" ca="1" si="61"/>
        <v/>
      </c>
    </row>
    <row r="421" spans="1:19" x14ac:dyDescent="0.3">
      <c r="A421" s="49" t="str">
        <f t="shared" ca="1" si="55"/>
        <v/>
      </c>
      <c r="B421" s="49" t="str">
        <f t="shared" ca="1" si="56"/>
        <v/>
      </c>
      <c r="C421" s="81" t="str">
        <f t="shared" ca="1" si="57"/>
        <v/>
      </c>
      <c r="D421" s="34" t="str">
        <f t="shared" ca="1" si="58"/>
        <v/>
      </c>
      <c r="E421" s="4" t="str">
        <f t="shared" ca="1" si="59"/>
        <v/>
      </c>
      <c r="G421" s="46" t="str">
        <f ca="1">IF(C421="","",IF(E421&lt;&gt;"Retorno",0,IF($G$20=Parâmetros!$D$2,Simulador!$O$10/$G$17,IF($G$20=Parâmetros!$D$3,PMT($O$25,$G$17,($O$10)*-1)-I421,""))))</f>
        <v/>
      </c>
      <c r="H421" s="46"/>
      <c r="I421" s="46" t="str">
        <f t="shared" ca="1" si="54"/>
        <v/>
      </c>
      <c r="J421" s="34"/>
      <c r="K421" s="46" t="str">
        <f t="shared" ca="1" si="60"/>
        <v/>
      </c>
      <c r="L421" s="46"/>
      <c r="M421" s="46" t="str">
        <f ca="1">IFERROR(IF(C421="","",IF($C$10=Parâmetros!$C$3,0,VLOOKUP(A421,'Base de Dados'!$E$3:$G$422,3,FALSE)*S421)),0)</f>
        <v/>
      </c>
      <c r="N421" s="34"/>
      <c r="O421" s="46" t="str">
        <f ca="1">IF(C421="","",IF(C422="",0,IF(E421="Construção",0,IF(E421="Seguro",$C$17*'Base de Dados'!$C$2,IF($C$14=Parâmetros!$B$4,0,Simulador!$C$17*'Base de Dados'!$C$2)))))</f>
        <v/>
      </c>
      <c r="P421" s="46"/>
      <c r="Q421" s="46" t="str">
        <f ca="1">IF(C421="","",IF(E421&lt;&gt;"Retorno",(I421+K421+M421),IF($G$20=Parâmetros!$D$2,SUM(G421,I421,K421,M421,O421),PMT($O$25,SUM($G$17),($O$10)*-1)+O421+M421+K421)))</f>
        <v/>
      </c>
      <c r="R421" s="46"/>
      <c r="S421" s="46" t="str">
        <f t="shared" ca="1" si="61"/>
        <v/>
      </c>
    </row>
    <row r="422" spans="1:19" x14ac:dyDescent="0.3">
      <c r="A422" s="49" t="str">
        <f t="shared" ca="1" si="55"/>
        <v/>
      </c>
      <c r="B422" s="49" t="str">
        <f t="shared" ca="1" si="56"/>
        <v/>
      </c>
      <c r="C422" s="81" t="str">
        <f t="shared" ca="1" si="57"/>
        <v/>
      </c>
      <c r="D422" s="34" t="str">
        <f t="shared" ca="1" si="58"/>
        <v/>
      </c>
      <c r="E422" s="4" t="str">
        <f t="shared" ca="1" si="59"/>
        <v/>
      </c>
      <c r="G422" s="46" t="str">
        <f ca="1">IF(C422="","",IF(E422&lt;&gt;"Retorno",0,IF($G$20=Parâmetros!$D$2,Simulador!$O$10/$G$17,IF($G$20=Parâmetros!$D$3,PMT($O$25,$G$17,($O$10)*-1)-I422,""))))</f>
        <v/>
      </c>
      <c r="H422" s="46"/>
      <c r="I422" s="46" t="str">
        <f t="shared" ca="1" si="54"/>
        <v/>
      </c>
      <c r="J422" s="34"/>
      <c r="K422" s="46" t="str">
        <f t="shared" ca="1" si="60"/>
        <v/>
      </c>
      <c r="L422" s="46"/>
      <c r="M422" s="46" t="str">
        <f ca="1">IFERROR(IF(C422="","",IF($C$10=Parâmetros!$C$3,0,VLOOKUP(A422,'Base de Dados'!$E$3:$G$422,3,FALSE)*S422)),0)</f>
        <v/>
      </c>
      <c r="N422" s="34"/>
      <c r="O422" s="46" t="str">
        <f ca="1">IF(C422="","",IF(C423="",0,IF(E422="Construção",0,IF(E422="Seguro",$C$17*'Base de Dados'!$C$2,IF($C$14=Parâmetros!$B$4,0,Simulador!$C$17*'Base de Dados'!$C$2)))))</f>
        <v/>
      </c>
      <c r="P422" s="46"/>
      <c r="Q422" s="46" t="str">
        <f ca="1">IF(C422="","",IF(E422&lt;&gt;"Retorno",(I422+K422+M422),IF($G$20=Parâmetros!$D$2,SUM(G422,I422,K422,M422,O422),PMT($O$25,SUM($G$17),($O$10)*-1)+O422+M422+K422)))</f>
        <v/>
      </c>
      <c r="R422" s="46"/>
      <c r="S422" s="46" t="str">
        <f t="shared" ca="1" si="61"/>
        <v/>
      </c>
    </row>
    <row r="423" spans="1:19" x14ac:dyDescent="0.3">
      <c r="A423" s="49" t="str">
        <f t="shared" ca="1" si="55"/>
        <v/>
      </c>
      <c r="B423" s="49" t="str">
        <f t="shared" ca="1" si="56"/>
        <v/>
      </c>
      <c r="C423" s="81" t="str">
        <f t="shared" ca="1" si="57"/>
        <v/>
      </c>
      <c r="D423" s="34" t="str">
        <f t="shared" ca="1" si="58"/>
        <v/>
      </c>
      <c r="E423" s="4" t="str">
        <f t="shared" ca="1" si="59"/>
        <v/>
      </c>
      <c r="G423" s="46" t="str">
        <f ca="1">IF(C423="","",IF(E423&lt;&gt;"Retorno",0,IF($G$20=Parâmetros!$D$2,Simulador!$O$10/$G$17,IF($G$20=Parâmetros!$D$3,PMT($O$25,$G$17,($O$10)*-1)-I423,""))))</f>
        <v/>
      </c>
      <c r="H423" s="46"/>
      <c r="I423" s="46" t="str">
        <f t="shared" ca="1" si="54"/>
        <v/>
      </c>
      <c r="J423" s="34"/>
      <c r="K423" s="46" t="str">
        <f t="shared" ca="1" si="60"/>
        <v/>
      </c>
      <c r="L423" s="46"/>
      <c r="M423" s="46" t="str">
        <f ca="1">IFERROR(IF(C423="","",IF($C$10=Parâmetros!$C$3,0,VLOOKUP(A423,'Base de Dados'!$E$3:$G$422,3,FALSE)*S423)),0)</f>
        <v/>
      </c>
      <c r="N423" s="34"/>
      <c r="O423" s="46" t="str">
        <f ca="1">IF(C423="","",IF(C424="",0,IF(E423="Construção",0,IF(E423="Seguro",$C$17*'Base de Dados'!$C$2,IF($C$14=Parâmetros!$B$4,0,Simulador!$C$17*'Base de Dados'!$C$2)))))</f>
        <v/>
      </c>
      <c r="P423" s="46"/>
      <c r="Q423" s="46" t="str">
        <f ca="1">IF(C423="","",IF(E423&lt;&gt;"Retorno",(I423+K423+M423),IF($G$20=Parâmetros!$D$2,SUM(G423,I423,K423,M423,O423),PMT($O$25,SUM($G$17),($O$10)*-1)+O423+M423+K423)))</f>
        <v/>
      </c>
      <c r="R423" s="46"/>
      <c r="S423" s="46" t="str">
        <f t="shared" ca="1" si="61"/>
        <v/>
      </c>
    </row>
    <row r="424" spans="1:19" x14ac:dyDescent="0.3">
      <c r="A424" s="49" t="str">
        <f t="shared" ca="1" si="55"/>
        <v/>
      </c>
      <c r="B424" s="49" t="str">
        <f t="shared" ca="1" si="56"/>
        <v/>
      </c>
      <c r="C424" s="81" t="str">
        <f t="shared" ca="1" si="57"/>
        <v/>
      </c>
      <c r="D424" s="34" t="str">
        <f t="shared" ca="1" si="58"/>
        <v/>
      </c>
      <c r="E424" s="4" t="str">
        <f t="shared" ca="1" si="59"/>
        <v/>
      </c>
      <c r="G424" s="46" t="str">
        <f ca="1">IF(C424="","",IF(E424&lt;&gt;"Retorno",0,IF($G$20=Parâmetros!$D$2,Simulador!$O$10/$G$17,IF($G$20=Parâmetros!$D$3,PMT($O$25,$G$17,($O$10)*-1)-I424,""))))</f>
        <v/>
      </c>
      <c r="H424" s="46"/>
      <c r="I424" s="46" t="str">
        <f t="shared" ca="1" si="54"/>
        <v/>
      </c>
      <c r="J424" s="34"/>
      <c r="K424" s="46" t="str">
        <f t="shared" ca="1" si="60"/>
        <v/>
      </c>
      <c r="L424" s="46"/>
      <c r="M424" s="46" t="str">
        <f ca="1">IFERROR(IF(C424="","",IF($C$10=Parâmetros!$C$3,0,VLOOKUP(A424,'Base de Dados'!$E$3:$G$422,3,FALSE)*S424)),0)</f>
        <v/>
      </c>
      <c r="N424" s="34"/>
      <c r="O424" s="46" t="str">
        <f ca="1">IF(C424="","",IF(C425="",0,IF(E424="Construção",0,IF(E424="Seguro",$C$17*'Base de Dados'!$C$2,IF($C$14=Parâmetros!$B$4,0,Simulador!$C$17*'Base de Dados'!$C$2)))))</f>
        <v/>
      </c>
      <c r="P424" s="46"/>
      <c r="Q424" s="46" t="str">
        <f ca="1">IF(C424="","",IF(E424&lt;&gt;"Retorno",(I424+K424+M424),IF($G$20=Parâmetros!$D$2,SUM(G424,I424,K424,M424,O424),PMT($O$25,SUM($G$17),($O$10)*-1)+O424+M424+K424)))</f>
        <v/>
      </c>
      <c r="R424" s="46"/>
      <c r="S424" s="46" t="str">
        <f t="shared" ca="1" si="61"/>
        <v/>
      </c>
    </row>
    <row r="425" spans="1:19" x14ac:dyDescent="0.3">
      <c r="A425" s="49" t="str">
        <f t="shared" ca="1" si="55"/>
        <v/>
      </c>
      <c r="B425" s="49" t="str">
        <f t="shared" ca="1" si="56"/>
        <v/>
      </c>
      <c r="C425" s="81" t="str">
        <f t="shared" ca="1" si="57"/>
        <v/>
      </c>
      <c r="D425" s="34" t="str">
        <f t="shared" ca="1" si="58"/>
        <v/>
      </c>
      <c r="E425" s="4" t="str">
        <f t="shared" ca="1" si="59"/>
        <v/>
      </c>
      <c r="G425" s="46" t="str">
        <f ca="1">IF(C425="","",IF(E425&lt;&gt;"Retorno",0,IF($G$20=Parâmetros!$D$2,Simulador!$O$10/$G$17,IF($G$20=Parâmetros!$D$3,PMT($O$25,$G$17,($O$10)*-1)-I425,""))))</f>
        <v/>
      </c>
      <c r="H425" s="46"/>
      <c r="I425" s="46" t="str">
        <f t="shared" ca="1" si="54"/>
        <v/>
      </c>
      <c r="J425" s="34"/>
      <c r="K425" s="46" t="str">
        <f t="shared" ca="1" si="60"/>
        <v/>
      </c>
      <c r="L425" s="46"/>
      <c r="M425" s="46" t="str">
        <f ca="1">IFERROR(IF(C425="","",IF($C$10=Parâmetros!$C$3,0,VLOOKUP(A425,'Base de Dados'!$E$3:$G$422,3,FALSE)*S425)),0)</f>
        <v/>
      </c>
      <c r="N425" s="34"/>
      <c r="O425" s="46" t="str">
        <f ca="1">IF(C425="","",IF(C426="",0,IF(E425="Construção",0,IF(E425="Seguro",$C$17*'Base de Dados'!$C$2,IF($C$14=Parâmetros!$B$4,0,Simulador!$C$17*'Base de Dados'!$C$2)))))</f>
        <v/>
      </c>
      <c r="P425" s="46"/>
      <c r="Q425" s="46" t="str">
        <f ca="1">IF(C425="","",IF(E425&lt;&gt;"Retorno",(I425+K425+M425),IF($G$20=Parâmetros!$D$2,SUM(G425,I425,K425,M425,O425),PMT($O$25,SUM($G$17),($O$10)*-1)+O425+M425+K425)))</f>
        <v/>
      </c>
      <c r="R425" s="46"/>
      <c r="S425" s="46" t="str">
        <f t="shared" ca="1" si="61"/>
        <v/>
      </c>
    </row>
    <row r="426" spans="1:19" x14ac:dyDescent="0.3">
      <c r="A426" s="49" t="str">
        <f t="shared" ca="1" si="55"/>
        <v/>
      </c>
      <c r="B426" s="49" t="str">
        <f t="shared" ca="1" si="56"/>
        <v/>
      </c>
      <c r="C426" s="81" t="str">
        <f t="shared" ca="1" si="57"/>
        <v/>
      </c>
      <c r="D426" s="34" t="str">
        <f t="shared" ca="1" si="58"/>
        <v/>
      </c>
      <c r="E426" s="4" t="str">
        <f t="shared" ca="1" si="59"/>
        <v/>
      </c>
      <c r="G426" s="46" t="str">
        <f ca="1">IF(C426="","",IF(E426&lt;&gt;"Retorno",0,IF($G$20=Parâmetros!$D$2,Simulador!$O$10/$G$17,IF($G$20=Parâmetros!$D$3,PMT($O$25,$G$17,($O$10)*-1)-I426,""))))</f>
        <v/>
      </c>
      <c r="H426" s="46"/>
      <c r="I426" s="46" t="str">
        <f t="shared" ca="1" si="54"/>
        <v/>
      </c>
      <c r="J426" s="34"/>
      <c r="K426" s="46" t="str">
        <f t="shared" ca="1" si="60"/>
        <v/>
      </c>
      <c r="L426" s="46"/>
      <c r="M426" s="46" t="str">
        <f ca="1">IFERROR(IF(C426="","",IF($C$10=Parâmetros!$C$3,0,VLOOKUP(A426,'Base de Dados'!$E$3:$G$422,3,FALSE)*S426)),0)</f>
        <v/>
      </c>
      <c r="N426" s="34"/>
      <c r="O426" s="46" t="str">
        <f ca="1">IF(C426="","",IF(C427="",0,IF(E426="Construção",0,IF(E426="Seguro",$C$17*'Base de Dados'!$C$2,IF($C$14=Parâmetros!$B$4,0,Simulador!$C$17*'Base de Dados'!$C$2)))))</f>
        <v/>
      </c>
      <c r="P426" s="46"/>
      <c r="Q426" s="46" t="str">
        <f ca="1">IF(C426="","",IF(E426&lt;&gt;"Retorno",(I426+K426+M426),IF($G$20=Parâmetros!$D$2,SUM(G426,I426,K426,M426,O426),PMT($O$25,SUM($G$17),($O$10)*-1)+O426+M426+K426)))</f>
        <v/>
      </c>
      <c r="R426" s="46"/>
      <c r="S426" s="46" t="str">
        <f t="shared" ca="1" si="61"/>
        <v/>
      </c>
    </row>
    <row r="427" spans="1:19" x14ac:dyDescent="0.3">
      <c r="A427" s="49" t="str">
        <f t="shared" ca="1" si="55"/>
        <v/>
      </c>
      <c r="B427" s="49" t="str">
        <f t="shared" ca="1" si="56"/>
        <v/>
      </c>
      <c r="C427" s="81" t="str">
        <f t="shared" ca="1" si="57"/>
        <v/>
      </c>
      <c r="D427" s="34" t="str">
        <f t="shared" ca="1" si="58"/>
        <v/>
      </c>
      <c r="E427" s="4" t="str">
        <f t="shared" ca="1" si="59"/>
        <v/>
      </c>
      <c r="G427" s="46" t="str">
        <f ca="1">IF(C427="","",IF(E427&lt;&gt;"Retorno",0,IF($G$20=Parâmetros!$D$2,Simulador!$O$10/$G$17,IF($G$20=Parâmetros!$D$3,PMT($O$25,$G$17,($O$10)*-1)-I427,""))))</f>
        <v/>
      </c>
      <c r="H427" s="46"/>
      <c r="I427" s="46" t="str">
        <f t="shared" ca="1" si="54"/>
        <v/>
      </c>
      <c r="J427" s="34"/>
      <c r="K427" s="46" t="str">
        <f t="shared" ca="1" si="60"/>
        <v/>
      </c>
      <c r="L427" s="46"/>
      <c r="M427" s="46" t="str">
        <f ca="1">IFERROR(IF(C427="","",IF($C$10=Parâmetros!$C$3,0,VLOOKUP(A427,'Base de Dados'!$E$3:$G$422,3,FALSE)*S427)),0)</f>
        <v/>
      </c>
      <c r="N427" s="34"/>
      <c r="O427" s="46" t="str">
        <f ca="1">IF(C427="","",IF(C428="",0,IF(E427="Construção",0,IF(E427="Seguro",$C$17*'Base de Dados'!$C$2,IF($C$14=Parâmetros!$B$4,0,Simulador!$C$17*'Base de Dados'!$C$2)))))</f>
        <v/>
      </c>
      <c r="P427" s="46"/>
      <c r="Q427" s="46" t="str">
        <f ca="1">IF(C427="","",IF(E427&lt;&gt;"Retorno",(I427+K427+M427),IF($G$20=Parâmetros!$D$2,SUM(G427,I427,K427,M427,O427),PMT($O$25,SUM($G$17),($O$10)*-1)+O427+M427+K427)))</f>
        <v/>
      </c>
      <c r="R427" s="46"/>
      <c r="S427" s="46" t="str">
        <f t="shared" ca="1" si="61"/>
        <v/>
      </c>
    </row>
    <row r="428" spans="1:19" x14ac:dyDescent="0.3">
      <c r="A428" s="49" t="str">
        <f t="shared" ca="1" si="55"/>
        <v/>
      </c>
      <c r="B428" s="49" t="str">
        <f t="shared" ca="1" si="56"/>
        <v/>
      </c>
      <c r="C428" s="81" t="str">
        <f t="shared" ca="1" si="57"/>
        <v/>
      </c>
      <c r="D428" s="34" t="str">
        <f t="shared" ca="1" si="58"/>
        <v/>
      </c>
      <c r="E428" s="4" t="str">
        <f t="shared" ca="1" si="59"/>
        <v/>
      </c>
      <c r="G428" s="46" t="str">
        <f ca="1">IF(C428="","",IF(E428&lt;&gt;"Retorno",0,IF($G$20=Parâmetros!$D$2,Simulador!$O$10/$G$17,IF($G$20=Parâmetros!$D$3,PMT($O$25,$G$17,($O$10)*-1)-I428,""))))</f>
        <v/>
      </c>
      <c r="H428" s="46"/>
      <c r="I428" s="46" t="str">
        <f t="shared" ca="1" si="54"/>
        <v/>
      </c>
      <c r="J428" s="34"/>
      <c r="K428" s="46" t="str">
        <f t="shared" ca="1" si="60"/>
        <v/>
      </c>
      <c r="L428" s="46"/>
      <c r="M428" s="46" t="str">
        <f ca="1">IFERROR(IF(C428="","",IF($C$10=Parâmetros!$C$3,0,VLOOKUP(A428,'Base de Dados'!$E$3:$G$422,3,FALSE)*S428)),0)</f>
        <v/>
      </c>
      <c r="N428" s="34"/>
      <c r="O428" s="46" t="str">
        <f ca="1">IF(C428="","",IF(C429="",0,IF(E428="Construção",0,IF(E428="Seguro",$C$17*'Base de Dados'!$C$2,IF($C$14=Parâmetros!$B$4,0,Simulador!$C$17*'Base de Dados'!$C$2)))))</f>
        <v/>
      </c>
      <c r="P428" s="46"/>
      <c r="Q428" s="46" t="str">
        <f ca="1">IF(C428="","",IF(E428&lt;&gt;"Retorno",(I428+K428+M428),IF($G$20=Parâmetros!$D$2,SUM(G428,I428,K428,M428,O428),PMT($O$25,SUM($G$17),($O$10)*-1)+O428+M428+K428)))</f>
        <v/>
      </c>
      <c r="R428" s="46"/>
      <c r="S428" s="46" t="str">
        <f t="shared" ca="1" si="61"/>
        <v/>
      </c>
    </row>
    <row r="429" spans="1:19" x14ac:dyDescent="0.3">
      <c r="A429" s="49" t="str">
        <f t="shared" ca="1" si="55"/>
        <v/>
      </c>
      <c r="B429" s="49" t="str">
        <f t="shared" ca="1" si="56"/>
        <v/>
      </c>
      <c r="C429" s="81" t="str">
        <f t="shared" ca="1" si="57"/>
        <v/>
      </c>
      <c r="D429" s="34" t="str">
        <f t="shared" ca="1" si="58"/>
        <v/>
      </c>
      <c r="E429" s="4" t="str">
        <f t="shared" ca="1" si="59"/>
        <v/>
      </c>
      <c r="G429" s="46" t="str">
        <f ca="1">IF(C429="","",IF(E429&lt;&gt;"Retorno",0,IF($G$20=Parâmetros!$D$2,Simulador!$O$10/$G$17,IF($G$20=Parâmetros!$D$3,PMT($O$25,$G$17,($O$10)*-1)-I429,""))))</f>
        <v/>
      </c>
      <c r="H429" s="46"/>
      <c r="I429" s="46" t="str">
        <f t="shared" ca="1" si="54"/>
        <v/>
      </c>
      <c r="J429" s="34"/>
      <c r="K429" s="46" t="str">
        <f t="shared" ca="1" si="60"/>
        <v/>
      </c>
      <c r="L429" s="46"/>
      <c r="M429" s="46" t="str">
        <f ca="1">IFERROR(IF(C429="","",IF($C$10=Parâmetros!$C$3,0,VLOOKUP(A429,'Base de Dados'!$E$3:$G$422,3,FALSE)*S429)),0)</f>
        <v/>
      </c>
      <c r="N429" s="34"/>
      <c r="O429" s="46" t="str">
        <f ca="1">IF(C429="","",IF(C430="",0,IF(E429="Construção",0,IF(E429="Seguro",$C$17*'Base de Dados'!$C$2,IF($C$14=Parâmetros!$B$4,0,Simulador!$C$17*'Base de Dados'!$C$2)))))</f>
        <v/>
      </c>
      <c r="P429" s="46"/>
      <c r="Q429" s="46" t="str">
        <f ca="1">IF(C429="","",IF(E429&lt;&gt;"Retorno",(I429+K429+M429),IF($G$20=Parâmetros!$D$2,SUM(G429,I429,K429,M429,O429),PMT($O$25,SUM($G$17),($O$10)*-1)+O429+M429+K429)))</f>
        <v/>
      </c>
      <c r="R429" s="46"/>
      <c r="S429" s="46" t="str">
        <f t="shared" ca="1" si="61"/>
        <v/>
      </c>
    </row>
    <row r="430" spans="1:19" x14ac:dyDescent="0.3">
      <c r="A430" s="49" t="str">
        <f t="shared" ca="1" si="55"/>
        <v/>
      </c>
      <c r="B430" s="49" t="str">
        <f t="shared" ca="1" si="56"/>
        <v/>
      </c>
      <c r="C430" s="81" t="str">
        <f t="shared" ca="1" si="57"/>
        <v/>
      </c>
      <c r="D430" s="34" t="str">
        <f t="shared" ca="1" si="58"/>
        <v/>
      </c>
      <c r="E430" s="4" t="str">
        <f t="shared" ca="1" si="59"/>
        <v/>
      </c>
      <c r="G430" s="46" t="str">
        <f ca="1">IF(C430="","",IF(E430&lt;&gt;"Retorno",0,IF($G$20=Parâmetros!$D$2,Simulador!$O$10/$G$17,IF($G$20=Parâmetros!$D$3,PMT($O$25,$G$17,($O$10)*-1)-I430,""))))</f>
        <v/>
      </c>
      <c r="H430" s="46"/>
      <c r="I430" s="46" t="str">
        <f t="shared" ca="1" si="54"/>
        <v/>
      </c>
      <c r="J430" s="34"/>
      <c r="K430" s="46" t="str">
        <f t="shared" ca="1" si="60"/>
        <v/>
      </c>
      <c r="L430" s="46"/>
      <c r="M430" s="46" t="str">
        <f ca="1">IFERROR(IF(C430="","",IF($C$10=Parâmetros!$C$3,0,VLOOKUP(A430,'Base de Dados'!$E$3:$G$422,3,FALSE)*S430)),0)</f>
        <v/>
      </c>
      <c r="N430" s="34"/>
      <c r="O430" s="46" t="str">
        <f ca="1">IF(C430="","",IF(C431="",0,IF(E430="Construção",0,IF(E430="Seguro",$C$17*'Base de Dados'!$C$2,IF($C$14=Parâmetros!$B$4,0,Simulador!$C$17*'Base de Dados'!$C$2)))))</f>
        <v/>
      </c>
      <c r="P430" s="46"/>
      <c r="Q430" s="46" t="str">
        <f ca="1">IF(C430="","",IF(E430&lt;&gt;"Retorno",(I430+K430+M430),IF($G$20=Parâmetros!$D$2,SUM(G430,I430,K430,M430,O430),PMT($O$25,SUM($G$17),($O$10)*-1)+O430+M430+K430)))</f>
        <v/>
      </c>
      <c r="R430" s="46"/>
      <c r="S430" s="46" t="str">
        <f t="shared" ca="1" si="61"/>
        <v/>
      </c>
    </row>
    <row r="431" spans="1:19" x14ac:dyDescent="0.3">
      <c r="A431" s="49" t="str">
        <f t="shared" ca="1" si="55"/>
        <v/>
      </c>
      <c r="B431" s="49" t="str">
        <f t="shared" ca="1" si="56"/>
        <v/>
      </c>
      <c r="C431" s="81" t="str">
        <f t="shared" ca="1" si="57"/>
        <v/>
      </c>
      <c r="D431" s="34" t="str">
        <f t="shared" ca="1" si="58"/>
        <v/>
      </c>
      <c r="E431" s="4" t="str">
        <f t="shared" ca="1" si="59"/>
        <v/>
      </c>
      <c r="G431" s="46" t="str">
        <f ca="1">IF(C431="","",IF(E431&lt;&gt;"Retorno",0,IF($G$20=Parâmetros!$D$2,Simulador!$O$10/$G$17,IF($G$20=Parâmetros!$D$3,PMT($O$25,$G$17,($O$10)*-1)-I431,""))))</f>
        <v/>
      </c>
      <c r="H431" s="46"/>
      <c r="I431" s="46" t="str">
        <f t="shared" ca="1" si="54"/>
        <v/>
      </c>
      <c r="J431" s="34"/>
      <c r="K431" s="46" t="str">
        <f t="shared" ca="1" si="60"/>
        <v/>
      </c>
      <c r="L431" s="46"/>
      <c r="M431" s="46" t="str">
        <f ca="1">IFERROR(IF(C431="","",IF($C$10=Parâmetros!$C$3,0,VLOOKUP(A431,'Base de Dados'!$E$3:$G$422,3,FALSE)*S431)),0)</f>
        <v/>
      </c>
      <c r="N431" s="34"/>
      <c r="O431" s="46" t="str">
        <f ca="1">IF(C431="","",IF(C432="",0,IF(E431="Construção",0,IF(E431="Seguro",$C$17*'Base de Dados'!$C$2,IF($C$14=Parâmetros!$B$4,0,Simulador!$C$17*'Base de Dados'!$C$2)))))</f>
        <v/>
      </c>
      <c r="P431" s="46"/>
      <c r="Q431" s="46" t="str">
        <f ca="1">IF(C431="","",IF(E431&lt;&gt;"Retorno",(I431+K431+M431),IF($G$20=Parâmetros!$D$2,SUM(G431,I431,K431,M431,O431),PMT($O$25,SUM($G$17),($O$10)*-1)+O431+M431+K431)))</f>
        <v/>
      </c>
      <c r="R431" s="46"/>
      <c r="S431" s="46" t="str">
        <f t="shared" ca="1" si="61"/>
        <v/>
      </c>
    </row>
    <row r="432" spans="1:19" x14ac:dyDescent="0.3">
      <c r="A432" s="49" t="str">
        <f t="shared" ca="1" si="55"/>
        <v/>
      </c>
      <c r="B432" s="49" t="str">
        <f t="shared" ca="1" si="56"/>
        <v/>
      </c>
      <c r="C432" s="81" t="str">
        <f t="shared" ca="1" si="57"/>
        <v/>
      </c>
      <c r="D432" s="34" t="str">
        <f t="shared" ca="1" si="58"/>
        <v/>
      </c>
      <c r="E432" s="4" t="str">
        <f t="shared" ca="1" si="59"/>
        <v/>
      </c>
      <c r="G432" s="46" t="str">
        <f ca="1">IF(C432="","",IF(E432&lt;&gt;"Retorno",0,IF($G$20=Parâmetros!$D$2,Simulador!$O$10/$G$17,IF($G$20=Parâmetros!$D$3,PMT($O$25,$G$17,($O$10)*-1)-I432,""))))</f>
        <v/>
      </c>
      <c r="H432" s="46"/>
      <c r="I432" s="46" t="str">
        <f t="shared" ca="1" si="54"/>
        <v/>
      </c>
      <c r="J432" s="34"/>
      <c r="K432" s="46" t="str">
        <f t="shared" ca="1" si="60"/>
        <v/>
      </c>
      <c r="L432" s="46"/>
      <c r="M432" s="46" t="str">
        <f ca="1">IFERROR(IF(C432="","",IF($C$10=Parâmetros!$C$3,0,VLOOKUP(A432,'Base de Dados'!$E$3:$G$422,3,FALSE)*S432)),0)</f>
        <v/>
      </c>
      <c r="N432" s="34"/>
      <c r="O432" s="46" t="str">
        <f ca="1">IF(C432="","",IF(C433="",0,IF(E432="Construção",0,IF(E432="Seguro",$C$17*'Base de Dados'!$C$2,IF($C$14=Parâmetros!$B$4,0,Simulador!$C$17*'Base de Dados'!$C$2)))))</f>
        <v/>
      </c>
      <c r="P432" s="46"/>
      <c r="Q432" s="46" t="str">
        <f ca="1">IF(C432="","",IF(E432&lt;&gt;"Retorno",(I432+K432+M432),IF($G$20=Parâmetros!$D$2,SUM(G432,I432,K432,M432,O432),PMT($O$25,SUM($G$17),($O$10)*-1)+O432+M432+K432)))</f>
        <v/>
      </c>
      <c r="R432" s="46"/>
      <c r="S432" s="46" t="str">
        <f t="shared" ca="1" si="61"/>
        <v/>
      </c>
    </row>
    <row r="433" spans="1:19" x14ac:dyDescent="0.3">
      <c r="A433" s="49" t="str">
        <f t="shared" ca="1" si="55"/>
        <v/>
      </c>
      <c r="B433" s="49" t="str">
        <f t="shared" ca="1" si="56"/>
        <v/>
      </c>
      <c r="C433" s="81" t="str">
        <f t="shared" ca="1" si="57"/>
        <v/>
      </c>
      <c r="D433" s="34" t="str">
        <f t="shared" ca="1" si="58"/>
        <v/>
      </c>
      <c r="E433" s="4" t="str">
        <f t="shared" ca="1" si="59"/>
        <v/>
      </c>
      <c r="G433" s="46" t="str">
        <f ca="1">IF(C433="","",IF(E433&lt;&gt;"Retorno",0,IF($G$20=Parâmetros!$D$2,Simulador!$O$10/$G$17,IF($G$20=Parâmetros!$D$3,PMT($O$25,$G$17,($O$10)*-1)-I433,""))))</f>
        <v/>
      </c>
      <c r="H433" s="46"/>
      <c r="I433" s="46" t="str">
        <f t="shared" ca="1" si="54"/>
        <v/>
      </c>
      <c r="J433" s="34"/>
      <c r="K433" s="46" t="str">
        <f t="shared" ca="1" si="60"/>
        <v/>
      </c>
      <c r="L433" s="46"/>
      <c r="M433" s="46" t="str">
        <f ca="1">IFERROR(IF(C433="","",IF($C$10=Parâmetros!$C$3,0,VLOOKUP(A433,'Base de Dados'!$E$3:$G$422,3,FALSE)*S433)),0)</f>
        <v/>
      </c>
      <c r="N433" s="34"/>
      <c r="O433" s="46" t="str">
        <f ca="1">IF(C433="","",IF(C434="",0,IF(E433="Construção",0,IF(E433="Seguro",$C$17*'Base de Dados'!$C$2,IF($C$14=Parâmetros!$B$4,0,Simulador!$C$17*'Base de Dados'!$C$2)))))</f>
        <v/>
      </c>
      <c r="P433" s="46"/>
      <c r="Q433" s="46" t="str">
        <f ca="1">IF(C433="","",IF(E433&lt;&gt;"Retorno",(I433+K433+M433),IF($G$20=Parâmetros!$D$2,SUM(G433,I433,K433,M433,O433),PMT($O$25,SUM($G$17),($O$10)*-1)+O433+M433+K433)))</f>
        <v/>
      </c>
      <c r="R433" s="46"/>
      <c r="S433" s="46" t="str">
        <f t="shared" ca="1" si="61"/>
        <v/>
      </c>
    </row>
    <row r="434" spans="1:19" x14ac:dyDescent="0.3">
      <c r="A434" s="49" t="str">
        <f t="shared" ca="1" si="55"/>
        <v/>
      </c>
      <c r="B434" s="49" t="str">
        <f t="shared" ca="1" si="56"/>
        <v/>
      </c>
      <c r="C434" s="81" t="str">
        <f t="shared" ca="1" si="57"/>
        <v/>
      </c>
      <c r="D434" s="34" t="str">
        <f t="shared" ca="1" si="58"/>
        <v/>
      </c>
      <c r="E434" s="4" t="str">
        <f t="shared" ca="1" si="59"/>
        <v/>
      </c>
      <c r="G434" s="46" t="str">
        <f ca="1">IF(C434="","",IF(E434&lt;&gt;"Retorno",0,IF($G$20=Parâmetros!$D$2,Simulador!$O$10/$G$17,IF($G$20=Parâmetros!$D$3,PMT($O$25,$G$17,($O$10)*-1)-I434,""))))</f>
        <v/>
      </c>
      <c r="H434" s="46"/>
      <c r="I434" s="46" t="str">
        <f t="shared" ca="1" si="54"/>
        <v/>
      </c>
      <c r="J434" s="34"/>
      <c r="K434" s="46" t="str">
        <f t="shared" ca="1" si="60"/>
        <v/>
      </c>
      <c r="L434" s="46"/>
      <c r="M434" s="46" t="str">
        <f ca="1">IFERROR(IF(C434="","",IF($C$10=Parâmetros!$C$3,0,VLOOKUP(A434,'Base de Dados'!$E$3:$G$422,3,FALSE)*S434)),0)</f>
        <v/>
      </c>
      <c r="N434" s="34"/>
      <c r="O434" s="46" t="str">
        <f ca="1">IF(C434="","",IF(C435="",0,IF(E434="Construção",0,IF(E434="Seguro",$C$17*'Base de Dados'!$C$2,IF($C$14=Parâmetros!$B$4,0,Simulador!$C$17*'Base de Dados'!$C$2)))))</f>
        <v/>
      </c>
      <c r="P434" s="46"/>
      <c r="Q434" s="46" t="str">
        <f ca="1">IF(C434="","",IF(E434&lt;&gt;"Retorno",(I434+K434+M434),IF($G$20=Parâmetros!$D$2,SUM(G434,I434,K434,M434,O434),PMT($O$25,SUM($G$17),($O$10)*-1)+O434+M434+K434)))</f>
        <v/>
      </c>
      <c r="R434" s="46"/>
      <c r="S434" s="46" t="str">
        <f t="shared" ca="1" si="61"/>
        <v/>
      </c>
    </row>
    <row r="435" spans="1:19" x14ac:dyDescent="0.3">
      <c r="A435" s="49" t="str">
        <f t="shared" ca="1" si="55"/>
        <v/>
      </c>
      <c r="B435" s="49" t="str">
        <f t="shared" ca="1" si="56"/>
        <v/>
      </c>
      <c r="C435" s="81" t="str">
        <f t="shared" ca="1" si="57"/>
        <v/>
      </c>
      <c r="D435" s="34" t="str">
        <f t="shared" ca="1" si="58"/>
        <v/>
      </c>
      <c r="E435" s="4" t="str">
        <f t="shared" ca="1" si="59"/>
        <v/>
      </c>
      <c r="G435" s="46" t="str">
        <f ca="1">IF(C435="","",IF(E435&lt;&gt;"Retorno",0,IF($G$20=Parâmetros!$D$2,Simulador!$O$10/$G$17,IF($G$20=Parâmetros!$D$3,PMT($O$25,$G$17,($O$10)*-1)-I435,""))))</f>
        <v/>
      </c>
      <c r="H435" s="46"/>
      <c r="I435" s="46" t="str">
        <f t="shared" ca="1" si="54"/>
        <v/>
      </c>
      <c r="J435" s="34"/>
      <c r="K435" s="46" t="str">
        <f t="shared" ca="1" si="60"/>
        <v/>
      </c>
      <c r="L435" s="46"/>
      <c r="M435" s="46" t="str">
        <f ca="1">IFERROR(IF(C435="","",IF($C$10=Parâmetros!$C$3,0,VLOOKUP(A435,'Base de Dados'!$E$3:$G$422,3,FALSE)*S435)),0)</f>
        <v/>
      </c>
      <c r="N435" s="34"/>
      <c r="O435" s="46" t="str">
        <f ca="1">IF(C435="","",IF(C436="",0,IF(E435="Construção",0,IF(E435="Seguro",$C$17*'Base de Dados'!$C$2,IF($C$14=Parâmetros!$B$4,0,Simulador!$C$17*'Base de Dados'!$C$2)))))</f>
        <v/>
      </c>
      <c r="P435" s="46"/>
      <c r="Q435" s="46" t="str">
        <f ca="1">IF(C435="","",IF(E435&lt;&gt;"Retorno",(I435+K435+M435),IF($G$20=Parâmetros!$D$2,SUM(G435,I435,K435,M435,O435),PMT($O$25,SUM($G$17),($O$10)*-1)+O435+M435+K435)))</f>
        <v/>
      </c>
      <c r="R435" s="46"/>
      <c r="S435" s="46" t="str">
        <f t="shared" ca="1" si="61"/>
        <v/>
      </c>
    </row>
    <row r="436" spans="1:19" x14ac:dyDescent="0.3">
      <c r="A436" s="49" t="str">
        <f t="shared" ca="1" si="55"/>
        <v/>
      </c>
      <c r="B436" s="49" t="str">
        <f t="shared" ca="1" si="56"/>
        <v/>
      </c>
      <c r="C436" s="81" t="str">
        <f t="shared" ca="1" si="57"/>
        <v/>
      </c>
      <c r="D436" s="34" t="str">
        <f t="shared" ca="1" si="58"/>
        <v/>
      </c>
      <c r="E436" s="4" t="str">
        <f t="shared" ca="1" si="59"/>
        <v/>
      </c>
      <c r="G436" s="46" t="str">
        <f ca="1">IF(C436="","",IF(E436&lt;&gt;"Retorno",0,IF($G$20=Parâmetros!$D$2,Simulador!$O$10/$G$17,IF($G$20=Parâmetros!$D$3,PMT($O$25,$G$17,($O$10)*-1)-I436,""))))</f>
        <v/>
      </c>
      <c r="H436" s="46"/>
      <c r="I436" s="46" t="str">
        <f t="shared" ca="1" si="54"/>
        <v/>
      </c>
      <c r="J436" s="34"/>
      <c r="K436" s="46" t="str">
        <f t="shared" ca="1" si="60"/>
        <v/>
      </c>
      <c r="L436" s="46"/>
      <c r="M436" s="46" t="str">
        <f ca="1">IFERROR(IF(C436="","",IF($C$10=Parâmetros!$C$3,0,VLOOKUP(A436,'Base de Dados'!$E$3:$G$422,3,FALSE)*S436)),0)</f>
        <v/>
      </c>
      <c r="N436" s="34"/>
      <c r="O436" s="46" t="str">
        <f ca="1">IF(C436="","",IF(C437="",0,IF(E436="Construção",0,IF(E436="Seguro",$C$17*'Base de Dados'!$C$2,IF($C$14=Parâmetros!$B$4,0,Simulador!$C$17*'Base de Dados'!$C$2)))))</f>
        <v/>
      </c>
      <c r="P436" s="46"/>
      <c r="Q436" s="46" t="str">
        <f ca="1">IF(C436="","",IF(E436&lt;&gt;"Retorno",(I436+K436+M436),IF($G$20=Parâmetros!$D$2,SUM(G436,I436,K436,M436,O436),PMT($O$25,SUM($G$17),($O$10)*-1)+O436+M436+K436)))</f>
        <v/>
      </c>
      <c r="R436" s="46"/>
      <c r="S436" s="46" t="str">
        <f t="shared" ca="1" si="61"/>
        <v/>
      </c>
    </row>
    <row r="437" spans="1:19" x14ac:dyDescent="0.3">
      <c r="A437" s="49" t="str">
        <f t="shared" ca="1" si="55"/>
        <v/>
      </c>
      <c r="B437" s="49" t="str">
        <f t="shared" ca="1" si="56"/>
        <v/>
      </c>
      <c r="C437" s="81" t="str">
        <f t="shared" ca="1" si="57"/>
        <v/>
      </c>
      <c r="D437" s="34" t="str">
        <f t="shared" ca="1" si="58"/>
        <v/>
      </c>
      <c r="E437" s="4" t="str">
        <f t="shared" ca="1" si="59"/>
        <v/>
      </c>
      <c r="G437" s="46" t="str">
        <f ca="1">IF(C437="","",IF(E437&lt;&gt;"Retorno",0,IF($G$20=Parâmetros!$D$2,Simulador!$O$10/$G$17,IF($G$20=Parâmetros!$D$3,PMT($O$25,$G$17,($O$10)*-1)-I437,""))))</f>
        <v/>
      </c>
      <c r="H437" s="46"/>
      <c r="I437" s="46" t="str">
        <f t="shared" ca="1" si="54"/>
        <v/>
      </c>
      <c r="J437" s="34"/>
      <c r="K437" s="46" t="str">
        <f t="shared" ca="1" si="60"/>
        <v/>
      </c>
      <c r="L437" s="46"/>
      <c r="M437" s="46" t="str">
        <f ca="1">IFERROR(IF(C437="","",IF($C$10=Parâmetros!$C$3,0,VLOOKUP(A437,'Base de Dados'!$E$3:$G$422,3,FALSE)*S437)),0)</f>
        <v/>
      </c>
      <c r="N437" s="34"/>
      <c r="O437" s="46" t="str">
        <f ca="1">IF(C437="","",IF(C438="",0,IF(E437="Construção",0,IF(E437="Seguro",$C$17*'Base de Dados'!$C$2,IF($C$14=Parâmetros!$B$4,0,Simulador!$C$17*'Base de Dados'!$C$2)))))</f>
        <v/>
      </c>
      <c r="P437" s="46"/>
      <c r="Q437" s="46" t="str">
        <f ca="1">IF(C437="","",IF(E437&lt;&gt;"Retorno",(I437+K437+M437),IF($G$20=Parâmetros!$D$2,SUM(G437,I437,K437,M437,O437),PMT($O$25,SUM($G$17),($O$10)*-1)+O437+M437+K437)))</f>
        <v/>
      </c>
      <c r="R437" s="46"/>
      <c r="S437" s="46" t="str">
        <f t="shared" ca="1" si="61"/>
        <v/>
      </c>
    </row>
    <row r="438" spans="1:19" x14ac:dyDescent="0.3">
      <c r="A438" s="49" t="str">
        <f t="shared" ca="1" si="55"/>
        <v/>
      </c>
      <c r="B438" s="49" t="str">
        <f t="shared" ca="1" si="56"/>
        <v/>
      </c>
      <c r="C438" s="81" t="str">
        <f t="shared" ca="1" si="57"/>
        <v/>
      </c>
      <c r="D438" s="34" t="str">
        <f t="shared" ca="1" si="58"/>
        <v/>
      </c>
      <c r="E438" s="4" t="str">
        <f t="shared" ca="1" si="59"/>
        <v/>
      </c>
      <c r="G438" s="46" t="str">
        <f ca="1">IF(C438="","",IF(E438&lt;&gt;"Retorno",0,IF($G$20=Parâmetros!$D$2,Simulador!$O$10/$G$17,IF($G$20=Parâmetros!$D$3,PMT($O$25,$G$17,($O$10)*-1)-I438,""))))</f>
        <v/>
      </c>
      <c r="H438" s="46"/>
      <c r="I438" s="46" t="str">
        <f t="shared" ca="1" si="54"/>
        <v/>
      </c>
      <c r="J438" s="34"/>
      <c r="K438" s="46" t="str">
        <f t="shared" ca="1" si="60"/>
        <v/>
      </c>
      <c r="L438" s="46"/>
      <c r="M438" s="46" t="str">
        <f ca="1">IFERROR(IF(C438="","",IF($C$10=Parâmetros!$C$3,0,VLOOKUP(A438,'Base de Dados'!$E$3:$G$422,3,FALSE)*S438)),0)</f>
        <v/>
      </c>
      <c r="N438" s="34"/>
      <c r="O438" s="46" t="str">
        <f ca="1">IF(C438="","",IF(C439="",0,IF(E438="Construção",0,IF(E438="Seguro",$C$17*'Base de Dados'!$C$2,IF($C$14=Parâmetros!$B$4,0,Simulador!$C$17*'Base de Dados'!$C$2)))))</f>
        <v/>
      </c>
      <c r="P438" s="46"/>
      <c r="Q438" s="46" t="str">
        <f ca="1">IF(C438="","",IF(E438&lt;&gt;"Retorno",(I438+K438+M438),IF($G$20=Parâmetros!$D$2,SUM(G438,I438,K438,M438,O438),PMT($O$25,SUM($G$17),($O$10)*-1)+O438+M438+K438)))</f>
        <v/>
      </c>
      <c r="R438" s="46"/>
      <c r="S438" s="46" t="str">
        <f t="shared" ca="1" si="61"/>
        <v/>
      </c>
    </row>
    <row r="439" spans="1:19" x14ac:dyDescent="0.3">
      <c r="A439" s="49" t="str">
        <f t="shared" ca="1" si="55"/>
        <v/>
      </c>
      <c r="B439" s="49" t="str">
        <f t="shared" ca="1" si="56"/>
        <v/>
      </c>
      <c r="C439" s="81" t="str">
        <f t="shared" ca="1" si="57"/>
        <v/>
      </c>
      <c r="D439" s="34" t="str">
        <f t="shared" ca="1" si="58"/>
        <v/>
      </c>
      <c r="E439" s="4" t="str">
        <f t="shared" ca="1" si="59"/>
        <v/>
      </c>
      <c r="G439" s="46" t="str">
        <f ca="1">IF(C439="","",IF(E439&lt;&gt;"Retorno",0,IF($G$20=Parâmetros!$D$2,Simulador!$O$10/$G$17,IF($G$20=Parâmetros!$D$3,PMT($O$25,$G$17,($O$10)*-1)-I439,""))))</f>
        <v/>
      </c>
      <c r="H439" s="46"/>
      <c r="I439" s="46" t="str">
        <f t="shared" ca="1" si="54"/>
        <v/>
      </c>
      <c r="J439" s="34"/>
      <c r="K439" s="46" t="str">
        <f t="shared" ca="1" si="60"/>
        <v/>
      </c>
      <c r="L439" s="46"/>
      <c r="M439" s="46" t="str">
        <f ca="1">IFERROR(IF(C439="","",IF($C$10=Parâmetros!$C$3,0,VLOOKUP(A439,'Base de Dados'!$E$3:$G$422,3,FALSE)*S439)),0)</f>
        <v/>
      </c>
      <c r="N439" s="34"/>
      <c r="O439" s="46" t="str">
        <f ca="1">IF(C439="","",IF(C440="",0,IF(E439="Construção",0,IF(E439="Seguro",$C$17*'Base de Dados'!$C$2,IF($C$14=Parâmetros!$B$4,0,Simulador!$C$17*'Base de Dados'!$C$2)))))</f>
        <v/>
      </c>
      <c r="P439" s="46"/>
      <c r="Q439" s="46" t="str">
        <f ca="1">IF(C439="","",IF(E439&lt;&gt;"Retorno",(I439+K439+M439),IF($G$20=Parâmetros!$D$2,SUM(G439,I439,K439,M439,O439),PMT($O$25,SUM($G$17),($O$10)*-1)+O439+M439+K439)))</f>
        <v/>
      </c>
      <c r="R439" s="46"/>
      <c r="S439" s="46" t="str">
        <f t="shared" ca="1" si="61"/>
        <v/>
      </c>
    </row>
    <row r="440" spans="1:19" x14ac:dyDescent="0.3">
      <c r="A440" s="49" t="str">
        <f t="shared" ca="1" si="55"/>
        <v/>
      </c>
      <c r="B440" s="49" t="str">
        <f t="shared" ca="1" si="56"/>
        <v/>
      </c>
      <c r="C440" s="81" t="str">
        <f t="shared" ca="1" si="57"/>
        <v/>
      </c>
      <c r="D440" s="34" t="str">
        <f t="shared" ca="1" si="58"/>
        <v/>
      </c>
      <c r="E440" s="4" t="str">
        <f t="shared" ca="1" si="59"/>
        <v/>
      </c>
      <c r="G440" s="46" t="str">
        <f ca="1">IF(C440="","",IF(E440&lt;&gt;"Retorno",0,IF($G$20=Parâmetros!$D$2,Simulador!$O$10/$G$17,IF($G$20=Parâmetros!$D$3,PMT($O$25,$G$17,($O$10)*-1)-I440,""))))</f>
        <v/>
      </c>
      <c r="H440" s="46"/>
      <c r="I440" s="46" t="str">
        <f t="shared" ca="1" si="54"/>
        <v/>
      </c>
      <c r="J440" s="34"/>
      <c r="K440" s="46" t="str">
        <f t="shared" ca="1" si="60"/>
        <v/>
      </c>
      <c r="L440" s="46"/>
      <c r="M440" s="46" t="str">
        <f ca="1">IFERROR(IF(C440="","",IF($C$10=Parâmetros!$C$3,0,VLOOKUP(A440,'Base de Dados'!$E$3:$G$422,3,FALSE)*S440)),0)</f>
        <v/>
      </c>
      <c r="N440" s="34"/>
      <c r="O440" s="46" t="str">
        <f ca="1">IF(C440="","",IF(C441="",0,IF(E440="Construção",0,IF(E440="Seguro",$C$17*'Base de Dados'!$C$2,IF($C$14=Parâmetros!$B$4,0,Simulador!$C$17*'Base de Dados'!$C$2)))))</f>
        <v/>
      </c>
      <c r="P440" s="46"/>
      <c r="Q440" s="46" t="str">
        <f ca="1">IF(C440="","",IF(E440&lt;&gt;"Retorno",(I440+K440+M440),IF($G$20=Parâmetros!$D$2,SUM(G440,I440,K440,M440,O440),PMT($O$25,SUM($G$17),($O$10)*-1)+O440+M440+K440)))</f>
        <v/>
      </c>
      <c r="R440" s="46"/>
      <c r="S440" s="46" t="str">
        <f t="shared" ca="1" si="61"/>
        <v/>
      </c>
    </row>
    <row r="441" spans="1:19" x14ac:dyDescent="0.3">
      <c r="A441" s="49" t="str">
        <f t="shared" ca="1" si="55"/>
        <v/>
      </c>
      <c r="B441" s="49" t="str">
        <f t="shared" ca="1" si="56"/>
        <v/>
      </c>
      <c r="C441" s="81" t="str">
        <f t="shared" ca="1" si="57"/>
        <v/>
      </c>
      <c r="D441" s="34" t="str">
        <f t="shared" ca="1" si="58"/>
        <v/>
      </c>
      <c r="E441" s="4" t="str">
        <f t="shared" ca="1" si="59"/>
        <v/>
      </c>
      <c r="G441" s="46" t="str">
        <f ca="1">IF(C441="","",IF(E441&lt;&gt;"Retorno",0,IF($G$20=Parâmetros!$D$2,Simulador!$O$10/$G$17,IF($G$20=Parâmetros!$D$3,PMT($O$25,$G$17,($O$10)*-1)-I441,""))))</f>
        <v/>
      </c>
      <c r="H441" s="46"/>
      <c r="I441" s="46" t="str">
        <f t="shared" ca="1" si="54"/>
        <v/>
      </c>
      <c r="J441" s="34"/>
      <c r="K441" s="46" t="str">
        <f t="shared" ca="1" si="60"/>
        <v/>
      </c>
      <c r="L441" s="46"/>
      <c r="M441" s="46" t="str">
        <f ca="1">IFERROR(IF(C441="","",IF($C$10=Parâmetros!$C$3,0,VLOOKUP(A441,'Base de Dados'!$E$3:$G$422,3,FALSE)*S441)),0)</f>
        <v/>
      </c>
      <c r="N441" s="34"/>
      <c r="O441" s="46" t="str">
        <f ca="1">IF(C441="","",IF(C442="",0,IF(E441="Construção",0,IF(E441="Seguro",$C$17*'Base de Dados'!$C$2,IF($C$14=Parâmetros!$B$4,0,Simulador!$C$17*'Base de Dados'!$C$2)))))</f>
        <v/>
      </c>
      <c r="P441" s="46"/>
      <c r="Q441" s="46" t="str">
        <f ca="1">IF(C441="","",IF(E441&lt;&gt;"Retorno",(I441+K441+M441),IF($G$20=Parâmetros!$D$2,SUM(G441,I441,K441,M441,O441),PMT($O$25,SUM($G$17),($O$10)*-1)+O441+M441+K441)))</f>
        <v/>
      </c>
      <c r="R441" s="46"/>
      <c r="S441" s="46" t="str">
        <f t="shared" ca="1" si="61"/>
        <v/>
      </c>
    </row>
    <row r="442" spans="1:19" x14ac:dyDescent="0.3">
      <c r="A442" s="49" t="str">
        <f t="shared" ca="1" si="55"/>
        <v/>
      </c>
      <c r="B442" s="49" t="str">
        <f t="shared" ca="1" si="56"/>
        <v/>
      </c>
      <c r="C442" s="81" t="str">
        <f t="shared" ca="1" si="57"/>
        <v/>
      </c>
      <c r="D442" s="34" t="str">
        <f t="shared" ca="1" si="58"/>
        <v/>
      </c>
      <c r="E442" s="4" t="str">
        <f t="shared" ca="1" si="59"/>
        <v/>
      </c>
      <c r="G442" s="46" t="str">
        <f ca="1">IF(C442="","",IF(E442&lt;&gt;"Retorno",0,IF($G$20=Parâmetros!$D$2,Simulador!$O$10/$G$17,IF($G$20=Parâmetros!$D$3,PMT($O$25,$G$17,($O$10)*-1)-I442,""))))</f>
        <v/>
      </c>
      <c r="H442" s="46"/>
      <c r="I442" s="46" t="str">
        <f t="shared" ca="1" si="54"/>
        <v/>
      </c>
      <c r="J442" s="34"/>
      <c r="K442" s="46" t="str">
        <f t="shared" ca="1" si="60"/>
        <v/>
      </c>
      <c r="L442" s="46"/>
      <c r="M442" s="46" t="str">
        <f ca="1">IFERROR(IF(C442="","",IF($C$10=Parâmetros!$C$3,0,VLOOKUP(A442,'Base de Dados'!$E$3:$G$422,3,FALSE)*S442)),0)</f>
        <v/>
      </c>
      <c r="N442" s="34"/>
      <c r="O442" s="46" t="str">
        <f ca="1">IF(C442="","",IF(C443="",0,IF(E442="Construção",0,IF(E442="Seguro",$C$17*'Base de Dados'!$C$2,IF($C$14=Parâmetros!$B$4,0,Simulador!$C$17*'Base de Dados'!$C$2)))))</f>
        <v/>
      </c>
      <c r="P442" s="46"/>
      <c r="Q442" s="46" t="str">
        <f ca="1">IF(C442="","",IF(E442&lt;&gt;"Retorno",(I442+K442+M442),IF($G$20=Parâmetros!$D$2,SUM(G442,I442,K442,M442,O442),PMT($O$25,SUM($G$17),($O$10)*-1)+O442+M442+K442)))</f>
        <v/>
      </c>
      <c r="R442" s="46"/>
      <c r="S442" s="46" t="str">
        <f t="shared" ca="1" si="61"/>
        <v/>
      </c>
    </row>
    <row r="443" spans="1:19" x14ac:dyDescent="0.3">
      <c r="A443" s="49" t="str">
        <f t="shared" ca="1" si="55"/>
        <v/>
      </c>
      <c r="B443" s="49" t="str">
        <f t="shared" ca="1" si="56"/>
        <v/>
      </c>
      <c r="C443" s="81" t="str">
        <f t="shared" ca="1" si="57"/>
        <v/>
      </c>
      <c r="D443" s="34" t="str">
        <f t="shared" ca="1" si="58"/>
        <v/>
      </c>
      <c r="E443" s="4" t="str">
        <f t="shared" ca="1" si="59"/>
        <v/>
      </c>
      <c r="G443" s="46" t="str">
        <f ca="1">IF(C443="","",IF(E443&lt;&gt;"Retorno",0,IF($G$20=Parâmetros!$D$2,Simulador!$O$10/$G$17,IF($G$20=Parâmetros!$D$3,PMT($O$25,$G$17,($O$10)*-1)-I443,""))))</f>
        <v/>
      </c>
      <c r="H443" s="46"/>
      <c r="I443" s="46" t="str">
        <f t="shared" ca="1" si="54"/>
        <v/>
      </c>
      <c r="J443" s="34"/>
      <c r="K443" s="46" t="str">
        <f t="shared" ca="1" si="60"/>
        <v/>
      </c>
      <c r="L443" s="46"/>
      <c r="M443" s="46" t="str">
        <f ca="1">IFERROR(IF(C443="","",IF($C$10=Parâmetros!$C$3,0,VLOOKUP(A443,'Base de Dados'!$E$3:$G$422,3,FALSE)*S443)),0)</f>
        <v/>
      </c>
      <c r="N443" s="34"/>
      <c r="O443" s="46" t="str">
        <f ca="1">IF(C443="","",IF(C444="",0,IF(E443="Construção",0,IF(E443="Seguro",$C$17*'Base de Dados'!$C$2,IF($C$14=Parâmetros!$B$4,0,Simulador!$C$17*'Base de Dados'!$C$2)))))</f>
        <v/>
      </c>
      <c r="P443" s="46"/>
      <c r="Q443" s="46" t="str">
        <f ca="1">IF(C443="","",IF(E443&lt;&gt;"Retorno",(I443+K443+M443),IF($G$20=Parâmetros!$D$2,SUM(G443,I443,K443,M443,O443),PMT($O$25,SUM($G$17),($O$10)*-1)+O443+M443+K443)))</f>
        <v/>
      </c>
      <c r="R443" s="46"/>
      <c r="S443" s="46" t="str">
        <f t="shared" ca="1" si="61"/>
        <v/>
      </c>
    </row>
    <row r="444" spans="1:19" x14ac:dyDescent="0.3">
      <c r="A444" s="49" t="str">
        <f t="shared" ca="1" si="55"/>
        <v/>
      </c>
      <c r="B444" s="49" t="str">
        <f t="shared" ca="1" si="56"/>
        <v/>
      </c>
      <c r="C444" s="81" t="str">
        <f t="shared" ca="1" si="57"/>
        <v/>
      </c>
      <c r="D444" s="34" t="str">
        <f t="shared" ca="1" si="58"/>
        <v/>
      </c>
      <c r="E444" s="4" t="str">
        <f t="shared" ca="1" si="59"/>
        <v/>
      </c>
      <c r="G444" s="46" t="str">
        <f ca="1">IF(C444="","",IF(E444&lt;&gt;"Retorno",0,IF($G$20=Parâmetros!$D$2,Simulador!$O$10/$G$17,IF($G$20=Parâmetros!$D$3,PMT($O$25,$G$17,($O$10)*-1)-I444,""))))</f>
        <v/>
      </c>
      <c r="H444" s="46"/>
      <c r="I444" s="46" t="str">
        <f t="shared" ca="1" si="54"/>
        <v/>
      </c>
      <c r="J444" s="34"/>
      <c r="K444" s="46" t="str">
        <f t="shared" ca="1" si="60"/>
        <v/>
      </c>
      <c r="L444" s="46"/>
      <c r="M444" s="46" t="str">
        <f ca="1">IFERROR(IF(C444="","",IF($C$10=Parâmetros!$C$3,0,VLOOKUP(A444,'Base de Dados'!$E$3:$G$422,3,FALSE)*S444)),0)</f>
        <v/>
      </c>
      <c r="N444" s="34"/>
      <c r="O444" s="46" t="str">
        <f ca="1">IF(C444="","",IF(C445="",0,IF(E444="Construção",0,IF(E444="Seguro",$C$17*'Base de Dados'!$C$2,IF($C$14=Parâmetros!$B$4,0,Simulador!$C$17*'Base de Dados'!$C$2)))))</f>
        <v/>
      </c>
      <c r="P444" s="46"/>
      <c r="Q444" s="46" t="str">
        <f ca="1">IF(C444="","",IF(E444&lt;&gt;"Retorno",(I444+K444+M444),IF($G$20=Parâmetros!$D$2,SUM(G444,I444,K444,M444,O444),PMT($O$25,SUM($G$17),($O$10)*-1)+O444+M444+K444)))</f>
        <v/>
      </c>
      <c r="R444" s="46"/>
      <c r="S444" s="46" t="str">
        <f t="shared" ca="1" si="61"/>
        <v/>
      </c>
    </row>
    <row r="445" spans="1:19" x14ac:dyDescent="0.3">
      <c r="A445" s="49" t="str">
        <f t="shared" ca="1" si="55"/>
        <v/>
      </c>
      <c r="B445" s="49" t="str">
        <f t="shared" ca="1" si="56"/>
        <v/>
      </c>
      <c r="C445" s="81" t="str">
        <f t="shared" ca="1" si="57"/>
        <v/>
      </c>
      <c r="D445" s="34" t="str">
        <f t="shared" ca="1" si="58"/>
        <v/>
      </c>
      <c r="E445" s="4" t="str">
        <f t="shared" ca="1" si="59"/>
        <v/>
      </c>
      <c r="G445" s="46" t="str">
        <f ca="1">IF(C445="","",IF(E445&lt;&gt;"Retorno",0,IF($G$20=Parâmetros!$D$2,Simulador!$O$10/$G$17,IF($G$20=Parâmetros!$D$3,PMT($O$25,$G$17,($O$10)*-1)-I445,""))))</f>
        <v/>
      </c>
      <c r="H445" s="46"/>
      <c r="I445" s="46" t="str">
        <f t="shared" ca="1" si="54"/>
        <v/>
      </c>
      <c r="J445" s="34"/>
      <c r="K445" s="46" t="str">
        <f t="shared" ca="1" si="60"/>
        <v/>
      </c>
      <c r="L445" s="46"/>
      <c r="M445" s="46" t="str">
        <f ca="1">IFERROR(IF(C445="","",IF($C$10=Parâmetros!$C$3,0,VLOOKUP(A445,'Base de Dados'!$E$3:$G$422,3,FALSE)*S445)),0)</f>
        <v/>
      </c>
      <c r="N445" s="34"/>
      <c r="O445" s="46" t="str">
        <f ca="1">IF(C445="","",IF(C446="",0,IF(E445="Construção",0,IF(E445="Seguro",$C$17*'Base de Dados'!$C$2,IF($C$14=Parâmetros!$B$4,0,Simulador!$C$17*'Base de Dados'!$C$2)))))</f>
        <v/>
      </c>
      <c r="P445" s="46"/>
      <c r="Q445" s="46" t="str">
        <f ca="1">IF(C445="","",IF(E445&lt;&gt;"Retorno",(I445+K445+M445),IF($G$20=Parâmetros!$D$2,SUM(G445,I445,K445,M445,O445),PMT($O$25,SUM($G$17),($O$10)*-1)+O445+M445+K445)))</f>
        <v/>
      </c>
      <c r="R445" s="46"/>
      <c r="S445" s="46" t="str">
        <f t="shared" ca="1" si="61"/>
        <v/>
      </c>
    </row>
    <row r="446" spans="1:19" x14ac:dyDescent="0.3">
      <c r="A446" s="49" t="str">
        <f t="shared" ca="1" si="55"/>
        <v/>
      </c>
      <c r="B446" s="49" t="str">
        <f t="shared" ca="1" si="56"/>
        <v/>
      </c>
      <c r="C446" s="81" t="str">
        <f t="shared" ca="1" si="57"/>
        <v/>
      </c>
      <c r="D446" s="34" t="str">
        <f t="shared" ca="1" si="58"/>
        <v/>
      </c>
      <c r="E446" s="4" t="str">
        <f t="shared" ca="1" si="59"/>
        <v/>
      </c>
      <c r="G446" s="46" t="str">
        <f ca="1">IF(C446="","",IF(E446&lt;&gt;"Retorno",0,IF($G$20=Parâmetros!$D$2,Simulador!$O$10/$G$17,IF($G$20=Parâmetros!$D$3,PMT($O$25,$G$17,($O$10)*-1)-I446,""))))</f>
        <v/>
      </c>
      <c r="H446" s="46"/>
      <c r="I446" s="46" t="str">
        <f t="shared" ca="1" si="54"/>
        <v/>
      </c>
      <c r="J446" s="34"/>
      <c r="K446" s="46" t="str">
        <f t="shared" ca="1" si="60"/>
        <v/>
      </c>
      <c r="L446" s="46"/>
      <c r="M446" s="46" t="str">
        <f ca="1">IFERROR(IF(C446="","",IF($C$10=Parâmetros!$C$3,0,VLOOKUP(A446,'Base de Dados'!$E$3:$G$422,3,FALSE)*S446)),0)</f>
        <v/>
      </c>
      <c r="N446" s="34"/>
      <c r="O446" s="46" t="str">
        <f ca="1">IF(C446="","",IF(C447="",0,IF(E446="Construção",0,IF(E446="Seguro",$C$17*'Base de Dados'!$C$2,IF($C$14=Parâmetros!$B$4,0,Simulador!$C$17*'Base de Dados'!$C$2)))))</f>
        <v/>
      </c>
      <c r="P446" s="46"/>
      <c r="Q446" s="46" t="str">
        <f ca="1">IF(C446="","",IF(E446&lt;&gt;"Retorno",(I446+K446+M446),IF($G$20=Parâmetros!$D$2,SUM(G446,I446,K446,M446,O446),PMT($O$25,SUM($G$17),($O$10)*-1)+O446+M446+K446)))</f>
        <v/>
      </c>
      <c r="R446" s="46"/>
      <c r="S446" s="46" t="str">
        <f t="shared" ca="1" si="61"/>
        <v/>
      </c>
    </row>
    <row r="447" spans="1:19" x14ac:dyDescent="0.3">
      <c r="A447" s="49" t="str">
        <f t="shared" ca="1" si="55"/>
        <v/>
      </c>
      <c r="B447" s="49" t="str">
        <f t="shared" ca="1" si="56"/>
        <v/>
      </c>
      <c r="C447" s="81" t="str">
        <f t="shared" ca="1" si="57"/>
        <v/>
      </c>
      <c r="D447" s="34" t="str">
        <f t="shared" ca="1" si="58"/>
        <v/>
      </c>
      <c r="E447" s="4" t="str">
        <f t="shared" ca="1" si="59"/>
        <v/>
      </c>
      <c r="G447" s="46" t="str">
        <f ca="1">IF(C447="","",IF(E447&lt;&gt;"Retorno",0,IF($G$20=Parâmetros!$D$2,Simulador!$O$10/$G$17,IF($G$20=Parâmetros!$D$3,PMT($O$25,$G$17,($O$10)*-1)-I447,""))))</f>
        <v/>
      </c>
      <c r="H447" s="46"/>
      <c r="I447" s="46" t="str">
        <f t="shared" ca="1" si="54"/>
        <v/>
      </c>
      <c r="J447" s="34"/>
      <c r="K447" s="46" t="str">
        <f t="shared" ca="1" si="60"/>
        <v/>
      </c>
      <c r="L447" s="46"/>
      <c r="M447" s="46" t="str">
        <f ca="1">IFERROR(IF(C447="","",IF($C$10=Parâmetros!$C$3,0,VLOOKUP(A447,'Base de Dados'!$E$3:$G$422,3,FALSE)*S447)),0)</f>
        <v/>
      </c>
      <c r="N447" s="34"/>
      <c r="O447" s="46" t="str">
        <f ca="1">IF(C447="","",IF(C448="",0,IF(E447="Construção",0,IF(E447="Seguro",$C$17*'Base de Dados'!$C$2,IF($C$14=Parâmetros!$B$4,0,Simulador!$C$17*'Base de Dados'!$C$2)))))</f>
        <v/>
      </c>
      <c r="P447" s="46"/>
      <c r="Q447" s="46" t="str">
        <f ca="1">IF(C447="","",IF(E447&lt;&gt;"Retorno",(I447+K447+M447),IF($G$20=Parâmetros!$D$2,SUM(G447,I447,K447,M447,O447),PMT($O$25,SUM($G$17),($O$10)*-1)+O447+M447+K447)))</f>
        <v/>
      </c>
      <c r="R447" s="46"/>
      <c r="S447" s="46" t="str">
        <f t="shared" ca="1" si="61"/>
        <v/>
      </c>
    </row>
    <row r="448" spans="1:19" x14ac:dyDescent="0.3">
      <c r="A448" s="49" t="str">
        <f t="shared" ca="1" si="55"/>
        <v/>
      </c>
      <c r="B448" s="49" t="str">
        <f t="shared" ca="1" si="56"/>
        <v/>
      </c>
      <c r="C448" s="81" t="str">
        <f t="shared" ca="1" si="57"/>
        <v/>
      </c>
      <c r="D448" s="34" t="str">
        <f t="shared" ca="1" si="58"/>
        <v/>
      </c>
      <c r="E448" s="4" t="str">
        <f t="shared" ca="1" si="59"/>
        <v/>
      </c>
      <c r="G448" s="46" t="str">
        <f ca="1">IF(C448="","",IF(E448&lt;&gt;"Retorno",0,IF($G$20=Parâmetros!$D$2,Simulador!$O$10/$G$17,IF($G$20=Parâmetros!$D$3,PMT($O$25,$G$17,($O$10)*-1)-I448,""))))</f>
        <v/>
      </c>
      <c r="H448" s="46"/>
      <c r="I448" s="46" t="str">
        <f t="shared" ca="1" si="54"/>
        <v/>
      </c>
      <c r="J448" s="34"/>
      <c r="K448" s="46" t="str">
        <f t="shared" ca="1" si="60"/>
        <v/>
      </c>
      <c r="L448" s="46"/>
      <c r="M448" s="46" t="str">
        <f ca="1">IFERROR(IF(C448="","",IF($C$10=Parâmetros!$C$3,0,VLOOKUP(A448,'Base de Dados'!$E$3:$G$422,3,FALSE)*S448)),0)</f>
        <v/>
      </c>
      <c r="N448" s="34"/>
      <c r="O448" s="46" t="str">
        <f ca="1">IF(C448="","",IF(C449="",0,IF(E448="Construção",0,IF(E448="Seguro",$C$17*'Base de Dados'!$C$2,IF($C$14=Parâmetros!$B$4,0,Simulador!$C$17*'Base de Dados'!$C$2)))))</f>
        <v/>
      </c>
      <c r="P448" s="46"/>
      <c r="Q448" s="46" t="str">
        <f ca="1">IF(C448="","",IF(E448&lt;&gt;"Retorno",(I448+K448+M448),IF($G$20=Parâmetros!$D$2,SUM(G448,I448,K448,M448,O448),PMT($O$25,SUM($G$17),($O$10)*-1)+O448+M448+K448)))</f>
        <v/>
      </c>
      <c r="R448" s="46"/>
      <c r="S448" s="46" t="str">
        <f t="shared" ca="1" si="61"/>
        <v/>
      </c>
    </row>
    <row r="449" spans="1:19" x14ac:dyDescent="0.3">
      <c r="A449" s="49" t="str">
        <f t="shared" ca="1" si="55"/>
        <v/>
      </c>
      <c r="B449" s="49" t="str">
        <f t="shared" ca="1" si="56"/>
        <v/>
      </c>
      <c r="C449" s="81" t="str">
        <f t="shared" ca="1" si="57"/>
        <v/>
      </c>
      <c r="D449" s="34" t="str">
        <f t="shared" ca="1" si="58"/>
        <v/>
      </c>
      <c r="E449" s="4" t="str">
        <f t="shared" ca="1" si="59"/>
        <v/>
      </c>
      <c r="G449" s="46" t="str">
        <f ca="1">IF(C449="","",IF(E449&lt;&gt;"Retorno",0,IF($G$20=Parâmetros!$D$2,Simulador!$O$10/$G$17,IF($G$20=Parâmetros!$D$3,PMT($O$25,$G$17,($O$10)*-1)-I449,""))))</f>
        <v/>
      </c>
      <c r="H449" s="46"/>
      <c r="I449" s="46" t="str">
        <f t="shared" ca="1" si="54"/>
        <v/>
      </c>
      <c r="J449" s="34"/>
      <c r="K449" s="46" t="str">
        <f t="shared" ca="1" si="60"/>
        <v/>
      </c>
      <c r="L449" s="46"/>
      <c r="M449" s="46" t="str">
        <f ca="1">IFERROR(IF(C449="","",IF($C$10=Parâmetros!$C$3,0,VLOOKUP(A449,'Base de Dados'!$E$3:$G$422,3,FALSE)*S449)),0)</f>
        <v/>
      </c>
      <c r="N449" s="34"/>
      <c r="O449" s="46" t="str">
        <f ca="1">IF(C449="","",IF(C450="",0,IF(E449="Construção",0,IF(E449="Seguro",$C$17*'Base de Dados'!$C$2,IF($C$14=Parâmetros!$B$4,0,Simulador!$C$17*'Base de Dados'!$C$2)))))</f>
        <v/>
      </c>
      <c r="P449" s="46"/>
      <c r="Q449" s="46" t="str">
        <f ca="1">IF(C449="","",IF(E449&lt;&gt;"Retorno",(I449+K449+M449),IF($G$20=Parâmetros!$D$2,SUM(G449,I449,K449,M449,O449),PMT($O$25,SUM($G$17),($O$10)*-1)+O449+M449+K449)))</f>
        <v/>
      </c>
      <c r="R449" s="46"/>
      <c r="S449" s="46" t="str">
        <f t="shared" ca="1" si="61"/>
        <v/>
      </c>
    </row>
    <row r="450" spans="1:19" x14ac:dyDescent="0.3">
      <c r="A450" s="49" t="str">
        <f t="shared" ca="1" si="55"/>
        <v/>
      </c>
      <c r="B450" s="49" t="str">
        <f t="shared" ca="1" si="56"/>
        <v/>
      </c>
      <c r="C450" s="81" t="str">
        <f t="shared" ca="1" si="57"/>
        <v/>
      </c>
      <c r="D450" s="34" t="str">
        <f t="shared" ca="1" si="58"/>
        <v/>
      </c>
      <c r="E450" s="4" t="str">
        <f t="shared" ca="1" si="59"/>
        <v/>
      </c>
      <c r="G450" s="46" t="str">
        <f ca="1">IF(C450="","",IF(E450&lt;&gt;"Retorno",0,IF($G$20=Parâmetros!$D$2,Simulador!$O$10/$G$17,IF($G$20=Parâmetros!$D$3,PMT($O$25,$G$17,($O$10)*-1)-I450,""))))</f>
        <v/>
      </c>
      <c r="H450" s="46"/>
      <c r="I450" s="46" t="str">
        <f t="shared" ca="1" si="54"/>
        <v/>
      </c>
      <c r="J450" s="34"/>
      <c r="K450" s="46" t="str">
        <f t="shared" ca="1" si="60"/>
        <v/>
      </c>
      <c r="L450" s="46"/>
      <c r="M450" s="46" t="str">
        <f ca="1">IFERROR(IF(C450="","",IF($C$10=Parâmetros!$C$3,0,VLOOKUP(A450,'Base de Dados'!$E$3:$G$422,3,FALSE)*S450)),0)</f>
        <v/>
      </c>
      <c r="N450" s="34"/>
      <c r="O450" s="46" t="str">
        <f ca="1">IF(C450="","",IF(C451="",0,IF(E450="Construção",0,IF(E450="Seguro",$C$17*'Base de Dados'!$C$2,IF($C$14=Parâmetros!$B$4,0,Simulador!$C$17*'Base de Dados'!$C$2)))))</f>
        <v/>
      </c>
      <c r="P450" s="46"/>
      <c r="Q450" s="46" t="str">
        <f ca="1">IF(C450="","",IF(E450&lt;&gt;"Retorno",(I450+K450+M450),IF($G$20=Parâmetros!$D$2,SUM(G450,I450,K450,M450,O450),PMT($O$25,SUM($G$17),($O$10)*-1)+O450+M450+K450)))</f>
        <v/>
      </c>
      <c r="R450" s="46"/>
      <c r="S450" s="46" t="str">
        <f t="shared" ca="1" si="61"/>
        <v/>
      </c>
    </row>
    <row r="451" spans="1:19" x14ac:dyDescent="0.3">
      <c r="A451" s="49" t="str">
        <f t="shared" ca="1" si="55"/>
        <v/>
      </c>
      <c r="B451" s="49" t="str">
        <f t="shared" ca="1" si="56"/>
        <v/>
      </c>
      <c r="C451" s="81" t="str">
        <f t="shared" ca="1" si="57"/>
        <v/>
      </c>
      <c r="D451" s="34" t="str">
        <f t="shared" ca="1" si="58"/>
        <v/>
      </c>
      <c r="E451" s="4" t="str">
        <f t="shared" ca="1" si="59"/>
        <v/>
      </c>
      <c r="G451" s="46" t="str">
        <f ca="1">IF(C451="","",IF(E451&lt;&gt;"Retorno",0,IF($G$20=Parâmetros!$D$2,Simulador!$O$10/$G$17,IF($G$20=Parâmetros!$D$3,PMT($O$25,$G$17,($O$10)*-1)-I451,""))))</f>
        <v/>
      </c>
      <c r="H451" s="46"/>
      <c r="I451" s="46" t="str">
        <f t="shared" ca="1" si="54"/>
        <v/>
      </c>
      <c r="J451" s="34"/>
      <c r="K451" s="46" t="str">
        <f t="shared" ca="1" si="60"/>
        <v/>
      </c>
      <c r="L451" s="46"/>
      <c r="M451" s="46" t="str">
        <f ca="1">IFERROR(IF(C451="","",IF($C$10=Parâmetros!$C$3,0,VLOOKUP(A451,'Base de Dados'!$E$3:$G$422,3,FALSE)*S451)),0)</f>
        <v/>
      </c>
      <c r="N451" s="34"/>
      <c r="O451" s="46" t="str">
        <f ca="1">IF(C451="","",IF(C452="",0,IF(E451="Construção",0,IF(E451="Seguro",$C$17*'Base de Dados'!$C$2,IF($C$14=Parâmetros!$B$4,0,Simulador!$C$17*'Base de Dados'!$C$2)))))</f>
        <v/>
      </c>
      <c r="P451" s="46"/>
      <c r="Q451" s="46" t="str">
        <f ca="1">IF(C451="","",IF(E451&lt;&gt;"Retorno",(I451+K451+M451),IF($G$20=Parâmetros!$D$2,SUM(G451,I451,K451,M451,O451),PMT($O$25,SUM($G$17),($O$10)*-1)+O451+M451+K451)))</f>
        <v/>
      </c>
      <c r="R451" s="46"/>
      <c r="S451" s="46" t="str">
        <f t="shared" ca="1" si="61"/>
        <v/>
      </c>
    </row>
    <row r="452" spans="1:19" x14ac:dyDescent="0.3">
      <c r="A452" s="49" t="str">
        <f t="shared" ca="1" si="55"/>
        <v/>
      </c>
      <c r="B452" s="49" t="str">
        <f t="shared" ca="1" si="56"/>
        <v/>
      </c>
      <c r="C452" s="81" t="str">
        <f t="shared" ca="1" si="57"/>
        <v/>
      </c>
      <c r="D452" s="34" t="str">
        <f t="shared" ca="1" si="58"/>
        <v/>
      </c>
      <c r="E452" s="4" t="str">
        <f t="shared" ca="1" si="59"/>
        <v/>
      </c>
      <c r="G452" s="46" t="str">
        <f ca="1">IF(C452="","",IF(E452&lt;&gt;"Retorno",0,IF($G$20=Parâmetros!$D$2,Simulador!$O$10/$G$17,IF($G$20=Parâmetros!$D$3,PMT($O$25,$G$17,($O$10)*-1)-I452,""))))</f>
        <v/>
      </c>
      <c r="H452" s="46"/>
      <c r="I452" s="46" t="str">
        <f t="shared" ca="1" si="54"/>
        <v/>
      </c>
      <c r="J452" s="34"/>
      <c r="K452" s="46" t="str">
        <f t="shared" ca="1" si="60"/>
        <v/>
      </c>
      <c r="L452" s="46"/>
      <c r="M452" s="46" t="str">
        <f ca="1">IFERROR(IF(C452="","",IF($C$10=Parâmetros!$C$3,0,VLOOKUP(A452,'Base de Dados'!$E$3:$G$422,3,FALSE)*S452)),0)</f>
        <v/>
      </c>
      <c r="N452" s="34"/>
      <c r="O452" s="46" t="str">
        <f ca="1">IF(C452="","",IF(C453="",0,IF(E452="Construção",0,IF(E452="Seguro",$C$17*'Base de Dados'!$C$2,IF($C$14=Parâmetros!$B$4,0,Simulador!$C$17*'Base de Dados'!$C$2)))))</f>
        <v/>
      </c>
      <c r="P452" s="46"/>
      <c r="Q452" s="46" t="str">
        <f ca="1">IF(C452="","",IF(E452&lt;&gt;"Retorno",(I452+K452+M452),IF($G$20=Parâmetros!$D$2,SUM(G452,I452,K452,M452,O452),PMT($O$25,SUM($G$17),($O$10)*-1)+O452+M452+K452)))</f>
        <v/>
      </c>
      <c r="R452" s="46"/>
      <c r="S452" s="46" t="str">
        <f t="shared" ca="1" si="61"/>
        <v/>
      </c>
    </row>
    <row r="453" spans="1:19" x14ac:dyDescent="0.3">
      <c r="A453" s="49" t="str">
        <f t="shared" ca="1" si="55"/>
        <v/>
      </c>
      <c r="B453" s="49" t="str">
        <f t="shared" ca="1" si="56"/>
        <v/>
      </c>
      <c r="C453" s="81" t="str">
        <f t="shared" ca="1" si="57"/>
        <v/>
      </c>
      <c r="D453" s="34" t="str">
        <f t="shared" ca="1" si="58"/>
        <v/>
      </c>
      <c r="E453" s="4" t="str">
        <f t="shared" ca="1" si="59"/>
        <v/>
      </c>
      <c r="G453" s="46" t="str">
        <f ca="1">IF(C453="","",IF(E453&lt;&gt;"Retorno",0,IF($G$20=Parâmetros!$D$2,Simulador!$O$10/$G$17,IF($G$20=Parâmetros!$D$3,PMT($O$25,$G$17,($O$10)*-1)-I453,""))))</f>
        <v/>
      </c>
      <c r="H453" s="46"/>
      <c r="I453" s="46" t="str">
        <f t="shared" ca="1" si="54"/>
        <v/>
      </c>
      <c r="J453" s="34"/>
      <c r="K453" s="46" t="str">
        <f t="shared" ca="1" si="60"/>
        <v/>
      </c>
      <c r="L453" s="46"/>
      <c r="M453" s="46" t="str">
        <f ca="1">IFERROR(IF(C453="","",IF($C$10=Parâmetros!$C$3,0,VLOOKUP(A453,'Base de Dados'!$E$3:$G$422,3,FALSE)*S453)),0)</f>
        <v/>
      </c>
      <c r="N453" s="34"/>
      <c r="O453" s="46" t="str">
        <f ca="1">IF(C453="","",IF(C454="",0,IF(E453="Construção",0,IF(E453="Seguro",$C$17*'Base de Dados'!$C$2,IF($C$14=Parâmetros!$B$4,0,Simulador!$C$17*'Base de Dados'!$C$2)))))</f>
        <v/>
      </c>
      <c r="P453" s="46"/>
      <c r="Q453" s="46" t="str">
        <f ca="1">IF(C453="","",IF(E453&lt;&gt;"Retorno",(I453+K453+M453),IF($G$20=Parâmetros!$D$2,SUM(G453,I453,K453,M453,O453),PMT($O$25,SUM($G$17),($O$10)*-1)+O453+M453+K453)))</f>
        <v/>
      </c>
      <c r="R453" s="46"/>
      <c r="S453" s="46" t="str">
        <f t="shared" ca="1" si="61"/>
        <v/>
      </c>
    </row>
  </sheetData>
  <sheetProtection algorithmName="SHA-512" hashValue="d2q6stU4eg8dENOEbV45zIvwsloACqyPNn+CXt52FRoUtKYHmWK6UXRb6V63gSaU1IN/5iG+otL/CcAgANMWRg==" saltValue="ujURUjxSoGjgHVLX/tm0GA==" spinCount="100000" sheet="1" selectLockedCells="1" selectUnlockedCells="1"/>
  <protectedRanges>
    <protectedRange sqref="E6 C10 G10:G11 G14 C14 C17 G17 G20 C20" name="Intervalo1"/>
  </protectedRanges>
  <mergeCells count="8">
    <mergeCell ref="A1:U4"/>
    <mergeCell ref="I7:K7"/>
    <mergeCell ref="E6:G6"/>
    <mergeCell ref="A19:C19"/>
    <mergeCell ref="E16:G16"/>
    <mergeCell ref="E9:G9"/>
    <mergeCell ref="I9:K9"/>
    <mergeCell ref="M6:T6"/>
  </mergeCells>
  <conditionalFormatting sqref="S32">
    <cfRule type="cellIs" dxfId="12" priority="2" operator="equal">
      <formula>"""VERIFICAR PRAZO"""</formula>
    </cfRule>
  </conditionalFormatting>
  <pageMargins left="0.11811023622047245" right="0.11811023622047245" top="0.11811023622047245" bottom="0.11811023622047245" header="0.11811023622047245" footer="0.11811023622047245"/>
  <pageSetup paperSize="9" scale="64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equal" id="{EA599BBC-54FF-4143-BE29-6CECA7E74712}">
            <xm:f>'Base de Dados'!$AA$2</xm:f>
            <x14:dxf>
              <font>
                <b/>
                <i val="0"/>
                <color theme="0"/>
              </font>
              <fill>
                <patternFill>
                  <bgColor rgb="FFEC205F"/>
                </patternFill>
              </fill>
            </x14:dxf>
          </x14:cfRule>
          <xm:sqref>S32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0000000}">
          <x14:formula1>
            <xm:f>Parâmetros!$B$2:$B$4</xm:f>
          </x14:formula1>
          <xm:sqref>C14:C15</xm:sqref>
        </x14:dataValidation>
        <x14:dataValidation type="list" allowBlank="1" showInputMessage="1" showErrorMessage="1" xr:uid="{00000000-0002-0000-0000-000001000000}">
          <x14:formula1>
            <xm:f>Parâmetros!$D$2:$D$3</xm:f>
          </x14:formula1>
          <xm:sqref>G20 J21</xm:sqref>
        </x14:dataValidation>
        <x14:dataValidation type="list" allowBlank="1" showInputMessage="1" showErrorMessage="1" xr:uid="{00000000-0002-0000-0000-000002000000}">
          <x14:formula1>
            <xm:f>Parâmetros!$C$2:$C$3</xm:f>
          </x14:formula1>
          <xm:sqref>C10</xm:sqref>
        </x14:dataValidation>
        <x14:dataValidation type="list" allowBlank="1" showInputMessage="1" showErrorMessage="1" xr:uid="{00000000-0002-0000-0000-000003000000}">
          <x14:formula1>
            <xm:f>Parâmetros!$E$2:$E$3</xm:f>
          </x14:formula1>
          <xm:sqref>G10 J10</xm:sqref>
        </x14:dataValidation>
        <x14:dataValidation type="list" allowBlank="1" showInputMessage="1" showErrorMessage="1" xr:uid="{00000000-0002-0000-0000-000004000000}">
          <x14:formula1>
            <xm:f>Parâmetros!$D$22:$D$25</xm:f>
          </x14:formula1>
          <xm:sqref>E6:G6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AK106"/>
  <sheetViews>
    <sheetView topLeftCell="K1" zoomScale="85" zoomScaleNormal="85" workbookViewId="0">
      <selection activeCell="P14" sqref="P14"/>
    </sheetView>
  </sheetViews>
  <sheetFormatPr defaultRowHeight="13" x14ac:dyDescent="0.3"/>
  <cols>
    <col min="2" max="2" width="25.3046875" customWidth="1"/>
    <col min="3" max="3" width="14.23046875" customWidth="1"/>
    <col min="4" max="4" width="18.84375" customWidth="1"/>
    <col min="5" max="5" width="11.07421875" customWidth="1"/>
    <col min="6" max="6" width="10.3046875" customWidth="1"/>
    <col min="7" max="7" width="13.69140625" customWidth="1"/>
    <col min="8" max="8" width="13.23046875" customWidth="1"/>
    <col min="9" max="9" width="13" customWidth="1"/>
    <col min="10" max="10" width="39.765625" bestFit="1" customWidth="1"/>
    <col min="11" max="11" width="12.765625" customWidth="1"/>
    <col min="12" max="12" width="16.07421875" customWidth="1"/>
    <col min="13" max="13" width="19.765625" customWidth="1"/>
    <col min="14" max="14" width="18.23046875" customWidth="1"/>
    <col min="15" max="15" width="11.23046875" customWidth="1"/>
    <col min="16" max="18" width="9.23046875" customWidth="1"/>
    <col min="19" max="19" width="11.07421875" customWidth="1"/>
    <col min="20" max="20" width="11.3046875" customWidth="1"/>
    <col min="21" max="21" width="34.53515625" bestFit="1" customWidth="1"/>
    <col min="22" max="22" width="29.69140625" customWidth="1"/>
    <col min="23" max="23" width="22.53515625" bestFit="1" customWidth="1"/>
    <col min="24" max="24" width="22.69140625" bestFit="1" customWidth="1"/>
    <col min="25" max="25" width="13.3046875" bestFit="1" customWidth="1"/>
    <col min="26" max="26" width="9.23046875" customWidth="1"/>
    <col min="27" max="27" width="29.69140625" customWidth="1"/>
    <col min="28" max="28" width="6.23046875" customWidth="1"/>
    <col min="29" max="37" width="9.23046875" customWidth="1"/>
  </cols>
  <sheetData>
    <row r="1" spans="2:37" x14ac:dyDescent="0.3">
      <c r="B1" s="6" t="s">
        <v>37</v>
      </c>
      <c r="C1" s="6" t="s">
        <v>1</v>
      </c>
      <c r="D1" s="6" t="s">
        <v>39</v>
      </c>
      <c r="E1" s="6" t="s">
        <v>42</v>
      </c>
      <c r="F1" s="6" t="s">
        <v>57</v>
      </c>
      <c r="G1" s="6" t="s">
        <v>55</v>
      </c>
      <c r="H1" s="6" t="s">
        <v>70</v>
      </c>
      <c r="I1" s="6" t="s">
        <v>71</v>
      </c>
      <c r="J1" s="6" t="s">
        <v>83</v>
      </c>
      <c r="K1" s="6" t="s">
        <v>81</v>
      </c>
      <c r="L1" s="6" t="s">
        <v>82</v>
      </c>
      <c r="M1" s="6" t="s">
        <v>114</v>
      </c>
      <c r="N1" s="6" t="s">
        <v>120</v>
      </c>
      <c r="O1" s="6" t="s">
        <v>124</v>
      </c>
      <c r="P1" s="6" t="s">
        <v>45</v>
      </c>
      <c r="Q1" s="6" t="s">
        <v>155</v>
      </c>
      <c r="R1" s="6" t="s">
        <v>158</v>
      </c>
      <c r="S1" s="6" t="s">
        <v>159</v>
      </c>
      <c r="T1" s="6" t="s">
        <v>351</v>
      </c>
      <c r="U1" s="6" t="s">
        <v>353</v>
      </c>
      <c r="V1" s="6" t="s">
        <v>161</v>
      </c>
      <c r="W1" s="6" t="s">
        <v>362</v>
      </c>
      <c r="X1" s="6" t="s">
        <v>363</v>
      </c>
      <c r="Y1" s="6" t="s">
        <v>365</v>
      </c>
      <c r="Z1" s="6" t="s">
        <v>26</v>
      </c>
    </row>
    <row r="2" spans="2:37" x14ac:dyDescent="0.3">
      <c r="B2" s="21" t="s">
        <v>15</v>
      </c>
      <c r="C2" s="21" t="s">
        <v>72</v>
      </c>
      <c r="D2" s="21" t="s">
        <v>40</v>
      </c>
      <c r="E2" s="21" t="s">
        <v>43</v>
      </c>
      <c r="F2" s="12">
        <f>Simulador!G14</f>
        <v>32765</v>
      </c>
      <c r="G2" s="19">
        <f ca="1">TODAY()</f>
        <v>46163</v>
      </c>
      <c r="H2" s="2">
        <v>0.03</v>
      </c>
      <c r="I2" s="2">
        <v>0.03</v>
      </c>
      <c r="J2" s="5" t="str">
        <f>U2</f>
        <v>Repasse/AquisiçãoCOMERCIALPRICEPRIVATE</v>
      </c>
      <c r="K2" s="3">
        <f>_xlfn.XLOOKUP(J2,'Base de Dados'!N:N,'Base de Dados'!O:O,"",0,1)</f>
        <v>0.15</v>
      </c>
      <c r="L2" s="3">
        <f>VLOOKUP(J2,'Base de Dados'!N1:P100000,3,FALSE)</f>
        <v>0.8</v>
      </c>
      <c r="M2" s="18">
        <f>Simulador!K19</f>
        <v>240</v>
      </c>
      <c r="N2" t="str">
        <f>Simulador!E6</f>
        <v>Repasse/Aquisição</v>
      </c>
      <c r="O2" s="93">
        <v>50</v>
      </c>
      <c r="P2" t="str">
        <f>VLOOKUP(J2,'Base de Dados'!N1:X100000,11,FALSE)</f>
        <v>SIM</v>
      </c>
      <c r="Q2" s="2">
        <f>VLOOKUP(J2,'Base de Dados'!N1:Y100000,12,FALSE)</f>
        <v>3.3799999999999997E-2</v>
      </c>
      <c r="R2" s="93">
        <f ca="1">YEAR(TODAY())-YEAR(F2)</f>
        <v>37</v>
      </c>
      <c r="S2" s="93">
        <v>18</v>
      </c>
      <c r="T2" s="3">
        <f>T3</f>
        <v>0.1399</v>
      </c>
      <c r="U2" t="str">
        <f>IF(Simulador!C10=Parâmetros!C3,Simulador!E6&amp;Parâmetros!Z2&amp;Simulador!G20,Simulador!E6&amp;Y2&amp;Simulador!G20&amp;Simulador!C26)</f>
        <v>Repasse/AquisiçãoCOMERCIALPRICEPRIVATE</v>
      </c>
      <c r="V2" t="str">
        <f>IF(AND('Simulador Bradesco'!I13=Parâmetros!E2,'Simulador Bradesco'!D13=Parâmetros!AK2),"Funcionário","")</f>
        <v/>
      </c>
      <c r="W2" t="str">
        <f>Simulador!E6&amp;Z2&amp;Simulador!G20</f>
        <v>Repasse/AquisiçãoFALSOPRICE</v>
      </c>
      <c r="X2" t="str">
        <f>_xlfn.IFNA(VLOOKUP(Simulador!C26,Parâmetros!G22:I26,3,FALSE),"NÃO")</f>
        <v>NÃO</v>
      </c>
      <c r="Y2" t="str">
        <f>IF(Simulador!C14=Parâmetros!B2,Parâmetros!C8,IF(AND(Simulador!C14=Parâmetros!B2,Simulador!C17&gt;2250000),Parâmetros!C9,IF(Simulador!C14=Parâmetros!B3,Parâmetros!C11,Parâmetros!C7)))</f>
        <v>COMERCIAL</v>
      </c>
      <c r="Z2" t="b">
        <f>IF(AND(Simulador!C10=Parâmetros!C3,Simulador!C14=Parâmetros!B3),C16,IF(AND(Simulador!C10=Parâmetros!C3,Simulador!C14=Parâmetros!B2),C15,IF(AND(Simulador!C10=Parâmetros!C3,Simulador!C14=Parâmetros!B4),Parâmetros!C14)))</f>
        <v>0</v>
      </c>
      <c r="AK2" t="s">
        <v>72</v>
      </c>
    </row>
    <row r="3" spans="2:37" x14ac:dyDescent="0.3">
      <c r="B3" s="21" t="s">
        <v>24</v>
      </c>
      <c r="C3" s="21" t="s">
        <v>73</v>
      </c>
      <c r="D3" s="21" t="s">
        <v>41</v>
      </c>
      <c r="E3" s="21" t="s">
        <v>44</v>
      </c>
      <c r="H3" s="2">
        <v>3.8E-3</v>
      </c>
      <c r="I3" s="2">
        <v>3.8E-3</v>
      </c>
      <c r="K3" s="17">
        <f>K2</f>
        <v>0.15</v>
      </c>
      <c r="N3" t="str">
        <f>IF(N2=D24,"Construção",IF(N2=D25,"Construção",IF(N2=D23,"Aquisição",IF(N2=D22,"Aquisição",""))))</f>
        <v>Aquisição</v>
      </c>
      <c r="T3" s="3">
        <f>IF(Simulador!C10=Parâmetros!C3,VLOOKUP(Parâmetros!W2,'Base de Dados'!N2:W71,10,FALSE),VLOOKUP(Parâmetros!U2,'Base de Dados'!N2:W200,10,FALSE))</f>
        <v>0.1399</v>
      </c>
    </row>
    <row r="4" spans="2:37" x14ac:dyDescent="0.3">
      <c r="B4" s="21" t="s">
        <v>25</v>
      </c>
      <c r="C4" s="5"/>
      <c r="H4" s="2">
        <f>SUM(H2:H3)</f>
        <v>3.3799999999999997E-2</v>
      </c>
      <c r="I4" s="2">
        <f>SUM(I2:I3)</f>
        <v>3.3799999999999997E-2</v>
      </c>
      <c r="O4" s="3" t="str">
        <f>Simulador!K17</f>
        <v/>
      </c>
    </row>
    <row r="5" spans="2:37" x14ac:dyDescent="0.3">
      <c r="B5" s="184" t="s">
        <v>22</v>
      </c>
      <c r="C5" s="184"/>
      <c r="D5" s="184"/>
      <c r="E5" s="184"/>
      <c r="F5" s="184"/>
      <c r="G5" s="184"/>
      <c r="H5" s="184"/>
      <c r="I5" s="184"/>
      <c r="J5" s="184"/>
      <c r="K5" s="184"/>
      <c r="L5" s="184"/>
    </row>
    <row r="6" spans="2:37" x14ac:dyDescent="0.3">
      <c r="B6" s="7" t="s">
        <v>26</v>
      </c>
      <c r="C6" s="7" t="s">
        <v>29</v>
      </c>
      <c r="D6" s="7" t="s">
        <v>27</v>
      </c>
      <c r="E6" s="7" t="s">
        <v>32</v>
      </c>
      <c r="F6" s="7" t="s">
        <v>33</v>
      </c>
      <c r="G6" s="7" t="s">
        <v>34</v>
      </c>
      <c r="H6" s="7" t="s">
        <v>35</v>
      </c>
      <c r="I6" s="7" t="s">
        <v>28</v>
      </c>
      <c r="J6" s="7" t="s">
        <v>30</v>
      </c>
      <c r="K6" s="7" t="s">
        <v>45</v>
      </c>
      <c r="L6" s="7" t="s">
        <v>9</v>
      </c>
      <c r="M6" s="7" t="s">
        <v>103</v>
      </c>
      <c r="N6" s="7" t="s">
        <v>104</v>
      </c>
      <c r="O6" s="7" t="s">
        <v>105</v>
      </c>
      <c r="P6" s="7" t="s">
        <v>146</v>
      </c>
      <c r="Q6" s="7" t="s">
        <v>147</v>
      </c>
      <c r="R6" s="7" t="s">
        <v>148</v>
      </c>
      <c r="S6" s="7" t="s">
        <v>355</v>
      </c>
      <c r="T6" s="7" t="s">
        <v>359</v>
      </c>
      <c r="U6" s="7" t="s">
        <v>360</v>
      </c>
    </row>
    <row r="7" spans="2:37" x14ac:dyDescent="0.3">
      <c r="B7" s="8" t="s">
        <v>12</v>
      </c>
      <c r="C7" s="8" t="s">
        <v>25</v>
      </c>
      <c r="D7" s="130">
        <v>0.1399</v>
      </c>
      <c r="E7" s="10">
        <v>0.7</v>
      </c>
      <c r="F7" s="10">
        <v>0.7</v>
      </c>
      <c r="G7" s="10">
        <v>0.2</v>
      </c>
      <c r="H7" s="10">
        <v>0.15</v>
      </c>
      <c r="I7" s="11">
        <v>121</v>
      </c>
      <c r="J7" s="11">
        <v>240</v>
      </c>
      <c r="K7" s="11" t="s">
        <v>43</v>
      </c>
      <c r="L7" s="14">
        <v>3400</v>
      </c>
      <c r="M7" s="71"/>
      <c r="N7" s="71"/>
      <c r="O7" s="71"/>
      <c r="P7" s="129">
        <v>0.1399</v>
      </c>
      <c r="Q7" s="129">
        <v>0.1399</v>
      </c>
      <c r="R7" s="129">
        <v>0.1399</v>
      </c>
      <c r="S7" s="129">
        <v>0.1399</v>
      </c>
      <c r="T7" s="129">
        <v>0.1399</v>
      </c>
      <c r="U7" s="166">
        <v>0</v>
      </c>
    </row>
    <row r="8" spans="2:37" x14ac:dyDescent="0.3">
      <c r="B8" s="8" t="s">
        <v>356</v>
      </c>
      <c r="C8" s="8" t="s">
        <v>15</v>
      </c>
      <c r="D8" s="129">
        <v>0.123</v>
      </c>
      <c r="E8" s="10">
        <v>0.8</v>
      </c>
      <c r="F8" s="10">
        <v>0.8</v>
      </c>
      <c r="G8" s="10">
        <v>0.3</v>
      </c>
      <c r="H8" s="10">
        <v>0.15</v>
      </c>
      <c r="I8" s="11">
        <v>121</v>
      </c>
      <c r="J8" s="11">
        <v>420</v>
      </c>
      <c r="K8" s="11" t="s">
        <v>44</v>
      </c>
      <c r="L8" s="14">
        <v>1021.25</v>
      </c>
      <c r="M8" s="68">
        <v>240</v>
      </c>
      <c r="N8" s="68">
        <v>420</v>
      </c>
      <c r="O8" s="69">
        <v>0.8</v>
      </c>
      <c r="P8" s="169"/>
      <c r="S8" s="169"/>
      <c r="U8" s="167">
        <v>0</v>
      </c>
    </row>
    <row r="9" spans="2:37" x14ac:dyDescent="0.3">
      <c r="B9" s="8" t="s">
        <v>357</v>
      </c>
      <c r="C9" s="8" t="s">
        <v>364</v>
      </c>
      <c r="D9" s="129">
        <v>0.123</v>
      </c>
      <c r="E9" s="10">
        <v>0.8</v>
      </c>
      <c r="F9" s="10">
        <v>0.8</v>
      </c>
      <c r="G9" s="10">
        <v>0.3</v>
      </c>
      <c r="H9" s="10">
        <v>0.15</v>
      </c>
      <c r="I9" s="11">
        <v>121</v>
      </c>
      <c r="J9" s="11">
        <v>420</v>
      </c>
      <c r="K9" s="11" t="s">
        <v>44</v>
      </c>
      <c r="L9" s="14">
        <v>2114.0300000000002</v>
      </c>
      <c r="M9" s="68">
        <v>240</v>
      </c>
      <c r="N9" s="68">
        <v>420</v>
      </c>
      <c r="O9" s="69">
        <v>0.8</v>
      </c>
      <c r="P9" s="129">
        <v>0.123</v>
      </c>
      <c r="Q9" s="129">
        <v>0.123</v>
      </c>
      <c r="R9" s="129">
        <v>0.123</v>
      </c>
      <c r="S9" s="129">
        <v>0.123</v>
      </c>
      <c r="T9" s="129">
        <v>0.123</v>
      </c>
      <c r="U9" s="168">
        <v>2250000.0099999998</v>
      </c>
    </row>
    <row r="10" spans="2:37" x14ac:dyDescent="0.3">
      <c r="B10" s="8" t="s">
        <v>358</v>
      </c>
      <c r="C10" s="8" t="s">
        <v>15</v>
      </c>
      <c r="D10" s="129">
        <v>0.12</v>
      </c>
      <c r="E10" s="10">
        <v>0.8</v>
      </c>
      <c r="F10" s="10">
        <v>0.8</v>
      </c>
      <c r="G10" s="10">
        <v>0.3</v>
      </c>
      <c r="H10" s="10">
        <v>0.15</v>
      </c>
      <c r="I10" s="11">
        <v>121</v>
      </c>
      <c r="J10" s="11">
        <v>420</v>
      </c>
      <c r="K10" s="11" t="s">
        <v>44</v>
      </c>
      <c r="L10" s="14">
        <v>2114.0300000000002</v>
      </c>
      <c r="M10" s="68">
        <v>240</v>
      </c>
      <c r="N10" s="68">
        <v>420</v>
      </c>
      <c r="O10" s="69">
        <v>0.8</v>
      </c>
      <c r="P10" s="129">
        <v>0.123</v>
      </c>
      <c r="Q10" s="129">
        <v>0.123</v>
      </c>
      <c r="R10" s="129">
        <v>0.123</v>
      </c>
      <c r="S10" s="129">
        <v>0.123</v>
      </c>
      <c r="T10" s="129">
        <v>0.123</v>
      </c>
      <c r="U10" s="166">
        <v>0</v>
      </c>
    </row>
    <row r="11" spans="2:37" x14ac:dyDescent="0.3">
      <c r="B11" s="8" t="s">
        <v>14</v>
      </c>
      <c r="C11" s="8" t="s">
        <v>24</v>
      </c>
      <c r="D11" s="130">
        <v>0.1399</v>
      </c>
      <c r="E11" s="10">
        <v>0.8</v>
      </c>
      <c r="F11" s="10">
        <v>0.8</v>
      </c>
      <c r="G11" s="10">
        <v>0.3</v>
      </c>
      <c r="H11" s="10">
        <v>0.15</v>
      </c>
      <c r="I11" s="11">
        <v>121</v>
      </c>
      <c r="J11" s="11">
        <v>240</v>
      </c>
      <c r="K11" s="11" t="s">
        <v>43</v>
      </c>
      <c r="L11" s="14">
        <v>3400</v>
      </c>
      <c r="M11" s="71"/>
      <c r="N11" s="71"/>
      <c r="O11" s="71"/>
      <c r="P11" s="129">
        <v>0.1399</v>
      </c>
      <c r="Q11" s="129">
        <v>0.1399</v>
      </c>
      <c r="R11" s="129">
        <v>0.1399</v>
      </c>
      <c r="S11" s="129">
        <v>0.1399</v>
      </c>
      <c r="T11" s="129">
        <v>0.1399</v>
      </c>
      <c r="U11" s="166">
        <v>0</v>
      </c>
    </row>
    <row r="12" spans="2:37" x14ac:dyDescent="0.3">
      <c r="B12" s="13"/>
      <c r="C12" s="13"/>
      <c r="D12" s="13"/>
      <c r="E12" s="13"/>
      <c r="F12" s="13"/>
      <c r="G12" s="13" t="s">
        <v>23</v>
      </c>
      <c r="H12" s="13"/>
      <c r="I12" s="13"/>
      <c r="J12" s="13"/>
      <c r="K12" s="13"/>
      <c r="L12" s="13"/>
      <c r="AB12" s="2"/>
    </row>
    <row r="13" spans="2:37" x14ac:dyDescent="0.3">
      <c r="B13" s="7" t="s">
        <v>26</v>
      </c>
      <c r="C13" s="7" t="s">
        <v>29</v>
      </c>
      <c r="D13" s="7" t="s">
        <v>27</v>
      </c>
      <c r="E13" s="7" t="s">
        <v>32</v>
      </c>
      <c r="F13" s="7" t="s">
        <v>33</v>
      </c>
      <c r="G13" s="7" t="s">
        <v>34</v>
      </c>
      <c r="H13" s="7" t="s">
        <v>35</v>
      </c>
      <c r="I13" s="7" t="s">
        <v>28</v>
      </c>
      <c r="J13" s="7" t="s">
        <v>30</v>
      </c>
      <c r="K13" s="7" t="s">
        <v>45</v>
      </c>
      <c r="L13" s="7" t="s">
        <v>9</v>
      </c>
      <c r="M13" s="7" t="s">
        <v>103</v>
      </c>
      <c r="N13" s="7" t="s">
        <v>104</v>
      </c>
      <c r="O13" s="7" t="s">
        <v>105</v>
      </c>
      <c r="AB13" s="2"/>
    </row>
    <row r="14" spans="2:37" x14ac:dyDescent="0.3">
      <c r="B14" s="8" t="s">
        <v>16</v>
      </c>
      <c r="C14" s="8" t="s">
        <v>17</v>
      </c>
      <c r="D14" s="130">
        <v>0.1399</v>
      </c>
      <c r="E14" s="10">
        <v>0.7</v>
      </c>
      <c r="F14" s="10">
        <v>0.7</v>
      </c>
      <c r="G14" s="10" t="s">
        <v>36</v>
      </c>
      <c r="H14" s="10" t="s">
        <v>36</v>
      </c>
      <c r="I14" s="11">
        <v>121</v>
      </c>
      <c r="J14" s="11">
        <v>240</v>
      </c>
      <c r="K14" s="11" t="s">
        <v>43</v>
      </c>
      <c r="L14" s="14">
        <v>3400</v>
      </c>
      <c r="M14" s="71"/>
      <c r="N14" s="71"/>
      <c r="O14" s="71"/>
      <c r="AB14" s="2"/>
    </row>
    <row r="15" spans="2:37" x14ac:dyDescent="0.3">
      <c r="B15" s="8" t="s">
        <v>18</v>
      </c>
      <c r="C15" s="8" t="s">
        <v>19</v>
      </c>
      <c r="D15" s="130">
        <v>0.1399</v>
      </c>
      <c r="E15" s="10">
        <v>0.7</v>
      </c>
      <c r="F15" s="10">
        <v>0.7</v>
      </c>
      <c r="G15" s="10" t="s">
        <v>36</v>
      </c>
      <c r="H15" s="10" t="s">
        <v>36</v>
      </c>
      <c r="I15" s="11">
        <v>121</v>
      </c>
      <c r="J15" s="11">
        <v>240</v>
      </c>
      <c r="K15" s="11" t="s">
        <v>44</v>
      </c>
      <c r="L15" s="14">
        <v>2114.0300000000002</v>
      </c>
      <c r="M15" s="68">
        <v>240</v>
      </c>
      <c r="N15" s="68">
        <v>240</v>
      </c>
      <c r="O15" s="70">
        <v>0.8</v>
      </c>
      <c r="AB15" s="2"/>
    </row>
    <row r="16" spans="2:37" x14ac:dyDescent="0.3">
      <c r="B16" s="8" t="s">
        <v>20</v>
      </c>
      <c r="C16" s="8" t="s">
        <v>21</v>
      </c>
      <c r="D16" s="130">
        <v>0.1399</v>
      </c>
      <c r="E16" s="10">
        <v>0.6</v>
      </c>
      <c r="F16" s="10">
        <v>0.6</v>
      </c>
      <c r="G16" s="10" t="s">
        <v>36</v>
      </c>
      <c r="H16" s="10" t="s">
        <v>36</v>
      </c>
      <c r="I16" s="11">
        <v>121</v>
      </c>
      <c r="J16" s="11">
        <v>240</v>
      </c>
      <c r="K16" s="11" t="s">
        <v>43</v>
      </c>
      <c r="L16" s="14">
        <v>3400</v>
      </c>
      <c r="M16" s="71"/>
      <c r="N16" s="71"/>
      <c r="O16" s="71"/>
      <c r="AB16" s="2"/>
    </row>
    <row r="17" spans="2:28" x14ac:dyDescent="0.3">
      <c r="AB17" s="2"/>
    </row>
    <row r="18" spans="2:28" x14ac:dyDescent="0.3">
      <c r="B18" s="7" t="s">
        <v>85</v>
      </c>
    </row>
    <row r="19" spans="2:28" x14ac:dyDescent="0.3">
      <c r="B19" s="92">
        <v>80.5</v>
      </c>
    </row>
    <row r="21" spans="2:28" x14ac:dyDescent="0.3">
      <c r="B21" s="184" t="s">
        <v>121</v>
      </c>
      <c r="C21" s="184"/>
      <c r="D21" s="184"/>
      <c r="E21" s="184"/>
      <c r="F21" s="184"/>
      <c r="G21" s="184"/>
      <c r="H21" s="184"/>
      <c r="I21" s="184"/>
      <c r="J21" s="184"/>
      <c r="K21" s="184"/>
      <c r="L21" s="184"/>
    </row>
    <row r="22" spans="2:28" x14ac:dyDescent="0.3">
      <c r="B22" s="5" t="s">
        <v>96</v>
      </c>
      <c r="C22" s="20">
        <v>0.13250000000000001</v>
      </c>
      <c r="D22" t="s">
        <v>100</v>
      </c>
      <c r="E22" t="s">
        <v>108</v>
      </c>
      <c r="G22" t="s">
        <v>150</v>
      </c>
      <c r="H22" s="2">
        <f>MIN(P7:P11)</f>
        <v>0.123</v>
      </c>
      <c r="I22" t="str">
        <f>IF(H22&lt;12%,"SIM","NÃO")</f>
        <v>NÃO</v>
      </c>
      <c r="M22" s="75"/>
    </row>
    <row r="23" spans="2:28" x14ac:dyDescent="0.3">
      <c r="B23" s="5" t="s">
        <v>97</v>
      </c>
      <c r="C23" s="65">
        <f>IF(C22&gt;8.5%,6.17%,0.7*C22)</f>
        <v>6.1699999999999998E-2</v>
      </c>
      <c r="D23" t="s">
        <v>101</v>
      </c>
      <c r="E23" t="s">
        <v>122</v>
      </c>
      <c r="F23" s="80">
        <f>C23</f>
        <v>6.1699999999999998E-2</v>
      </c>
      <c r="G23" t="s">
        <v>151</v>
      </c>
      <c r="H23" s="2">
        <f>MIN(Q7:Q11)</f>
        <v>0.123</v>
      </c>
      <c r="I23" t="str">
        <f t="shared" ref="I23:I26" si="0">IF(H23&lt;12%,"SIM","NÃO")</f>
        <v>NÃO</v>
      </c>
    </row>
    <row r="24" spans="2:28" x14ac:dyDescent="0.3">
      <c r="B24" s="5" t="s">
        <v>98</v>
      </c>
      <c r="C24" s="128">
        <v>7.8200000000000006E-2</v>
      </c>
      <c r="D24" t="s">
        <v>106</v>
      </c>
      <c r="F24" s="80">
        <f>C24</f>
        <v>7.8200000000000006E-2</v>
      </c>
      <c r="G24" t="s">
        <v>152</v>
      </c>
      <c r="H24" s="2">
        <f>MIN(R7:R11)</f>
        <v>0.123</v>
      </c>
      <c r="I24" t="str">
        <f t="shared" si="0"/>
        <v>NÃO</v>
      </c>
    </row>
    <row r="25" spans="2:28" x14ac:dyDescent="0.3">
      <c r="B25" s="5"/>
      <c r="C25" s="65"/>
      <c r="D25" t="s">
        <v>119</v>
      </c>
      <c r="G25" t="s">
        <v>354</v>
      </c>
      <c r="H25" s="2">
        <f>MIN(S7:S11)</f>
        <v>0.123</v>
      </c>
      <c r="I25" t="str">
        <f t="shared" si="0"/>
        <v>NÃO</v>
      </c>
    </row>
    <row r="26" spans="2:28" x14ac:dyDescent="0.3">
      <c r="B26" s="5"/>
      <c r="C26" s="65"/>
      <c r="G26" t="s">
        <v>361</v>
      </c>
      <c r="H26" s="2">
        <f>MIN(T7:T11)</f>
        <v>0.123</v>
      </c>
      <c r="I26" t="str">
        <f t="shared" si="0"/>
        <v>NÃO</v>
      </c>
    </row>
    <row r="27" spans="2:28" x14ac:dyDescent="0.3">
      <c r="B27" s="184" t="s">
        <v>106</v>
      </c>
      <c r="C27" s="184"/>
      <c r="D27" s="184"/>
      <c r="E27" s="184"/>
      <c r="F27" s="184"/>
      <c r="G27" s="184"/>
      <c r="H27" s="184"/>
      <c r="I27" s="184"/>
      <c r="J27" s="184"/>
      <c r="K27" s="184"/>
      <c r="L27" s="184"/>
    </row>
    <row r="28" spans="2:28" x14ac:dyDescent="0.3">
      <c r="B28" s="7" t="s">
        <v>26</v>
      </c>
      <c r="C28" s="7" t="s">
        <v>29</v>
      </c>
      <c r="D28" s="7" t="s">
        <v>27</v>
      </c>
      <c r="E28" s="7" t="s">
        <v>32</v>
      </c>
      <c r="F28" s="7" t="s">
        <v>33</v>
      </c>
      <c r="G28" s="7" t="s">
        <v>34</v>
      </c>
      <c r="H28" s="7" t="s">
        <v>35</v>
      </c>
      <c r="I28" s="7" t="s">
        <v>28</v>
      </c>
      <c r="J28" s="7" t="s">
        <v>30</v>
      </c>
      <c r="K28" s="7" t="s">
        <v>45</v>
      </c>
      <c r="L28" s="7" t="s">
        <v>9</v>
      </c>
      <c r="M28" s="7" t="s">
        <v>115</v>
      </c>
      <c r="N28" s="7" t="s">
        <v>116</v>
      </c>
    </row>
    <row r="29" spans="2:28" x14ac:dyDescent="0.3">
      <c r="B29" s="8" t="s">
        <v>108</v>
      </c>
      <c r="C29" s="76" t="s">
        <v>13</v>
      </c>
      <c r="D29" s="77">
        <v>0.105</v>
      </c>
      <c r="E29" s="78">
        <v>0.7</v>
      </c>
      <c r="F29" s="78">
        <v>0.7</v>
      </c>
      <c r="G29" s="78">
        <v>0.3</v>
      </c>
      <c r="H29" s="78">
        <v>0.15</v>
      </c>
      <c r="I29" s="91">
        <v>100</v>
      </c>
      <c r="J29" s="91">
        <v>334</v>
      </c>
      <c r="K29" s="76" t="s">
        <v>44</v>
      </c>
      <c r="L29" s="14">
        <v>2114.0300000000002</v>
      </c>
      <c r="M29" s="90">
        <v>24</v>
      </c>
      <c r="N29" s="90">
        <v>2</v>
      </c>
    </row>
    <row r="30" spans="2:28" x14ac:dyDescent="0.3">
      <c r="B30" s="8" t="s">
        <v>108</v>
      </c>
      <c r="C30" s="76" t="s">
        <v>31</v>
      </c>
      <c r="D30" s="78">
        <v>0.11</v>
      </c>
      <c r="E30" s="78">
        <v>0.7</v>
      </c>
      <c r="F30" s="78">
        <v>0.7</v>
      </c>
      <c r="G30" s="78">
        <v>0.3</v>
      </c>
      <c r="H30" s="78">
        <v>0.15</v>
      </c>
      <c r="I30" s="91">
        <v>100</v>
      </c>
      <c r="J30" s="91">
        <v>334</v>
      </c>
      <c r="K30" s="76" t="s">
        <v>44</v>
      </c>
      <c r="L30" s="14">
        <v>2114.0300000000002</v>
      </c>
      <c r="M30" s="90">
        <v>24</v>
      </c>
      <c r="N30" s="90">
        <v>2</v>
      </c>
    </row>
    <row r="31" spans="2:28" x14ac:dyDescent="0.3">
      <c r="B31" s="8" t="s">
        <v>108</v>
      </c>
      <c r="C31" s="76" t="s">
        <v>19</v>
      </c>
      <c r="D31" s="78">
        <v>0.11</v>
      </c>
      <c r="E31" s="78">
        <v>0.7</v>
      </c>
      <c r="F31" s="78">
        <v>0.7</v>
      </c>
      <c r="G31" s="78" t="s">
        <v>36</v>
      </c>
      <c r="H31" s="78" t="s">
        <v>36</v>
      </c>
      <c r="I31" s="91">
        <v>90</v>
      </c>
      <c r="J31" s="91">
        <v>240</v>
      </c>
      <c r="K31" s="76" t="s">
        <v>43</v>
      </c>
      <c r="L31" s="14">
        <v>2114.0300000000002</v>
      </c>
      <c r="M31" s="90">
        <v>24</v>
      </c>
      <c r="N31" s="90">
        <v>2</v>
      </c>
    </row>
    <row r="32" spans="2:28" x14ac:dyDescent="0.3">
      <c r="B32" s="8" t="s">
        <v>108</v>
      </c>
      <c r="C32" s="76" t="s">
        <v>21</v>
      </c>
      <c r="D32" s="78">
        <v>0.11</v>
      </c>
      <c r="E32" s="78">
        <v>0.7</v>
      </c>
      <c r="F32" s="78">
        <v>0.7</v>
      </c>
      <c r="G32" s="78" t="s">
        <v>36</v>
      </c>
      <c r="H32" s="78" t="s">
        <v>36</v>
      </c>
      <c r="I32" s="91">
        <v>90</v>
      </c>
      <c r="J32" s="91">
        <v>240</v>
      </c>
      <c r="K32" s="76" t="s">
        <v>43</v>
      </c>
      <c r="L32" s="14">
        <v>3400</v>
      </c>
      <c r="M32" s="90">
        <v>24</v>
      </c>
      <c r="N32" s="90">
        <v>2</v>
      </c>
    </row>
    <row r="35" spans="2:14" x14ac:dyDescent="0.3">
      <c r="B35" s="184" t="s">
        <v>119</v>
      </c>
      <c r="C35" s="184"/>
      <c r="D35" s="184"/>
      <c r="E35" s="184"/>
      <c r="F35" s="184"/>
      <c r="G35" s="184"/>
      <c r="H35" s="184"/>
      <c r="I35" s="184"/>
      <c r="J35" s="184"/>
      <c r="K35" s="184"/>
      <c r="L35" s="184"/>
    </row>
    <row r="36" spans="2:14" x14ac:dyDescent="0.3">
      <c r="B36" s="7" t="s">
        <v>26</v>
      </c>
      <c r="C36" s="7" t="s">
        <v>29</v>
      </c>
      <c r="D36" s="7" t="s">
        <v>27</v>
      </c>
      <c r="E36" s="7" t="s">
        <v>32</v>
      </c>
      <c r="F36" s="7" t="s">
        <v>33</v>
      </c>
      <c r="G36" s="7" t="s">
        <v>34</v>
      </c>
      <c r="H36" s="7" t="s">
        <v>35</v>
      </c>
      <c r="I36" s="7" t="s">
        <v>28</v>
      </c>
      <c r="J36" s="7" t="s">
        <v>30</v>
      </c>
      <c r="K36" s="7" t="s">
        <v>45</v>
      </c>
      <c r="L36" s="7" t="s">
        <v>9</v>
      </c>
      <c r="M36" s="7" t="s">
        <v>115</v>
      </c>
      <c r="N36" s="7" t="s">
        <v>116</v>
      </c>
    </row>
    <row r="37" spans="2:14" x14ac:dyDescent="0.3">
      <c r="B37" s="8" t="s">
        <v>108</v>
      </c>
      <c r="C37" s="76" t="s">
        <v>13</v>
      </c>
      <c r="D37" s="77">
        <v>9.5000000000000001E-2</v>
      </c>
      <c r="E37" s="78">
        <v>0.9</v>
      </c>
      <c r="F37" s="78">
        <v>0.8</v>
      </c>
      <c r="G37" s="78">
        <v>0.35</v>
      </c>
      <c r="H37" s="78">
        <v>0.15</v>
      </c>
      <c r="I37" s="91">
        <v>180</v>
      </c>
      <c r="J37" s="91">
        <v>360</v>
      </c>
      <c r="K37" s="76" t="s">
        <v>44</v>
      </c>
      <c r="L37" s="14">
        <v>2114.0300000000002</v>
      </c>
      <c r="M37" s="90">
        <v>40</v>
      </c>
      <c r="N37" s="90">
        <v>6</v>
      </c>
    </row>
    <row r="38" spans="2:14" x14ac:dyDescent="0.3">
      <c r="B38" s="8" t="s">
        <v>108</v>
      </c>
      <c r="C38" s="76" t="s">
        <v>31</v>
      </c>
      <c r="D38" s="77">
        <v>9.5000000000000001E-2</v>
      </c>
      <c r="E38" s="78">
        <v>0.9</v>
      </c>
      <c r="F38" s="78">
        <v>0.8</v>
      </c>
      <c r="G38" s="78">
        <v>0.35</v>
      </c>
      <c r="H38" s="78">
        <v>0.15</v>
      </c>
      <c r="I38" s="91">
        <v>180</v>
      </c>
      <c r="J38" s="91">
        <v>360</v>
      </c>
      <c r="K38" s="76" t="s">
        <v>44</v>
      </c>
      <c r="L38" s="14">
        <v>2114.0300000000002</v>
      </c>
      <c r="M38" s="90">
        <v>40</v>
      </c>
      <c r="N38" s="90">
        <v>6</v>
      </c>
    </row>
    <row r="39" spans="2:14" x14ac:dyDescent="0.3">
      <c r="B39" t="s">
        <v>144</v>
      </c>
      <c r="C39" t="s">
        <v>145</v>
      </c>
    </row>
    <row r="44" spans="2:14" x14ac:dyDescent="0.3">
      <c r="D44" s="18"/>
    </row>
    <row r="45" spans="2:14" x14ac:dyDescent="0.3">
      <c r="D45" s="18"/>
    </row>
    <row r="46" spans="2:14" x14ac:dyDescent="0.3">
      <c r="D46" s="18"/>
    </row>
    <row r="47" spans="2:14" x14ac:dyDescent="0.3">
      <c r="D47" s="18"/>
    </row>
    <row r="48" spans="2:14" x14ac:dyDescent="0.3">
      <c r="D48" s="18"/>
    </row>
    <row r="49" spans="4:4" x14ac:dyDescent="0.3">
      <c r="D49" s="18"/>
    </row>
    <row r="50" spans="4:4" x14ac:dyDescent="0.3">
      <c r="D50" s="18"/>
    </row>
    <row r="51" spans="4:4" x14ac:dyDescent="0.3">
      <c r="D51" s="18"/>
    </row>
    <row r="52" spans="4:4" x14ac:dyDescent="0.3">
      <c r="D52" s="18"/>
    </row>
    <row r="53" spans="4:4" x14ac:dyDescent="0.3">
      <c r="D53" s="18"/>
    </row>
    <row r="54" spans="4:4" x14ac:dyDescent="0.3">
      <c r="D54" s="18"/>
    </row>
    <row r="55" spans="4:4" x14ac:dyDescent="0.3">
      <c r="D55" s="18"/>
    </row>
    <row r="56" spans="4:4" x14ac:dyDescent="0.3">
      <c r="D56" s="18"/>
    </row>
    <row r="57" spans="4:4" x14ac:dyDescent="0.3">
      <c r="D57" s="18"/>
    </row>
    <row r="58" spans="4:4" x14ac:dyDescent="0.3">
      <c r="D58" s="18"/>
    </row>
    <row r="59" spans="4:4" x14ac:dyDescent="0.3">
      <c r="D59" s="18"/>
    </row>
    <row r="60" spans="4:4" x14ac:dyDescent="0.3">
      <c r="D60" s="18"/>
    </row>
    <row r="61" spans="4:4" x14ac:dyDescent="0.3">
      <c r="D61" s="18"/>
    </row>
    <row r="62" spans="4:4" x14ac:dyDescent="0.3">
      <c r="D62" s="18"/>
    </row>
    <row r="63" spans="4:4" x14ac:dyDescent="0.3">
      <c r="D63" s="18"/>
    </row>
    <row r="64" spans="4:4" x14ac:dyDescent="0.3">
      <c r="D64" s="18"/>
    </row>
    <row r="65" spans="4:4" x14ac:dyDescent="0.3">
      <c r="D65" s="18"/>
    </row>
    <row r="66" spans="4:4" x14ac:dyDescent="0.3">
      <c r="D66" s="18"/>
    </row>
    <row r="67" spans="4:4" x14ac:dyDescent="0.3">
      <c r="D67" s="18"/>
    </row>
    <row r="68" spans="4:4" x14ac:dyDescent="0.3">
      <c r="D68" s="18"/>
    </row>
    <row r="69" spans="4:4" x14ac:dyDescent="0.3">
      <c r="D69" s="18"/>
    </row>
    <row r="70" spans="4:4" x14ac:dyDescent="0.3">
      <c r="D70" s="18"/>
    </row>
    <row r="71" spans="4:4" x14ac:dyDescent="0.3">
      <c r="D71" s="18"/>
    </row>
    <row r="72" spans="4:4" x14ac:dyDescent="0.3">
      <c r="D72" s="18"/>
    </row>
    <row r="73" spans="4:4" x14ac:dyDescent="0.3">
      <c r="D73" s="18"/>
    </row>
    <row r="74" spans="4:4" x14ac:dyDescent="0.3">
      <c r="D74" s="18"/>
    </row>
    <row r="75" spans="4:4" x14ac:dyDescent="0.3">
      <c r="D75" s="18"/>
    </row>
    <row r="76" spans="4:4" x14ac:dyDescent="0.3">
      <c r="D76" s="18"/>
    </row>
    <row r="77" spans="4:4" x14ac:dyDescent="0.3">
      <c r="D77" s="18"/>
    </row>
    <row r="78" spans="4:4" x14ac:dyDescent="0.3">
      <c r="D78" s="18"/>
    </row>
    <row r="79" spans="4:4" x14ac:dyDescent="0.3">
      <c r="D79" s="18"/>
    </row>
    <row r="80" spans="4:4" x14ac:dyDescent="0.3">
      <c r="D80" s="18"/>
    </row>
    <row r="81" spans="4:4" x14ac:dyDescent="0.3">
      <c r="D81" s="18"/>
    </row>
    <row r="82" spans="4:4" x14ac:dyDescent="0.3">
      <c r="D82" s="18"/>
    </row>
    <row r="83" spans="4:4" x14ac:dyDescent="0.3">
      <c r="D83" s="18"/>
    </row>
    <row r="84" spans="4:4" x14ac:dyDescent="0.3">
      <c r="D84" s="18"/>
    </row>
    <row r="85" spans="4:4" x14ac:dyDescent="0.3">
      <c r="D85" s="18"/>
    </row>
    <row r="86" spans="4:4" x14ac:dyDescent="0.3">
      <c r="D86" s="18"/>
    </row>
    <row r="87" spans="4:4" x14ac:dyDescent="0.3">
      <c r="D87" s="18"/>
    </row>
    <row r="88" spans="4:4" x14ac:dyDescent="0.3">
      <c r="D88" s="18"/>
    </row>
    <row r="89" spans="4:4" x14ac:dyDescent="0.3">
      <c r="D89" s="18"/>
    </row>
    <row r="90" spans="4:4" x14ac:dyDescent="0.3">
      <c r="D90" s="18"/>
    </row>
    <row r="91" spans="4:4" x14ac:dyDescent="0.3">
      <c r="D91" s="18"/>
    </row>
    <row r="92" spans="4:4" x14ac:dyDescent="0.3">
      <c r="D92" s="18"/>
    </row>
    <row r="93" spans="4:4" x14ac:dyDescent="0.3">
      <c r="D93" s="18"/>
    </row>
    <row r="94" spans="4:4" x14ac:dyDescent="0.3">
      <c r="D94" s="18"/>
    </row>
    <row r="95" spans="4:4" x14ac:dyDescent="0.3">
      <c r="D95" s="18"/>
    </row>
    <row r="96" spans="4:4" x14ac:dyDescent="0.3">
      <c r="D96" s="18"/>
    </row>
    <row r="97" spans="4:4" x14ac:dyDescent="0.3">
      <c r="D97" s="18"/>
    </row>
    <row r="98" spans="4:4" x14ac:dyDescent="0.3">
      <c r="D98" s="18"/>
    </row>
    <row r="99" spans="4:4" x14ac:dyDescent="0.3">
      <c r="D99" s="18"/>
    </row>
    <row r="100" spans="4:4" x14ac:dyDescent="0.3">
      <c r="D100" s="18"/>
    </row>
    <row r="101" spans="4:4" x14ac:dyDescent="0.3">
      <c r="D101" s="18"/>
    </row>
    <row r="102" spans="4:4" x14ac:dyDescent="0.3">
      <c r="D102" s="18"/>
    </row>
    <row r="103" spans="4:4" x14ac:dyDescent="0.3">
      <c r="D103" s="18"/>
    </row>
    <row r="104" spans="4:4" x14ac:dyDescent="0.3">
      <c r="D104" s="18"/>
    </row>
    <row r="105" spans="4:4" x14ac:dyDescent="0.3">
      <c r="D105" s="18"/>
    </row>
    <row r="106" spans="4:4" x14ac:dyDescent="0.3">
      <c r="D106" s="18"/>
    </row>
  </sheetData>
  <sheetProtection algorithmName="SHA-512" hashValue="+MJMX8BmNm0B50D7HE4GrtyFhftM38juptARC6n7TkVEGhRzN5ndkr4gEFnjtyqfg1ZCC4bVJRqCxSNgKxSgJQ==" saltValue="niW0//YGTdiE9+gI09Rluw==" spinCount="100000" sheet="1" selectLockedCells="1" selectUnlockedCells="1"/>
  <mergeCells count="4">
    <mergeCell ref="B5:L5"/>
    <mergeCell ref="B21:L21"/>
    <mergeCell ref="B27:L27"/>
    <mergeCell ref="B35:L35"/>
  </mergeCells>
  <dataValidations count="1">
    <dataValidation type="whole" operator="lessThan" allowBlank="1" showInputMessage="1" showErrorMessage="1" errorTitle="Idade menor que 18" sqref="R2" xr:uid="{FF594FC1-F54A-46E9-AE6A-B1E19C17998F}">
      <formula1>S2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T479"/>
  <sheetViews>
    <sheetView showGridLines="0" tabSelected="1" topLeftCell="A3" zoomScale="55" zoomScaleNormal="55" workbookViewId="0">
      <selection activeCell="I21" sqref="I21:K21"/>
    </sheetView>
  </sheetViews>
  <sheetFormatPr defaultColWidth="9.23046875" defaultRowHeight="13" x14ac:dyDescent="0.3"/>
  <cols>
    <col min="1" max="1" width="10.84375" customWidth="1"/>
    <col min="2" max="2" width="17.69140625" style="103" bestFit="1" customWidth="1"/>
    <col min="3" max="3" width="2.84375" style="103" customWidth="1"/>
    <col min="4" max="4" width="14.69140625" style="103" bestFit="1" customWidth="1"/>
    <col min="5" max="5" width="3.765625" style="103" customWidth="1"/>
    <col min="6" max="6" width="9.07421875" style="103" customWidth="1"/>
    <col min="7" max="7" width="4.84375" style="103" customWidth="1"/>
    <col min="8" max="8" width="19.69140625" style="103" customWidth="1"/>
    <col min="9" max="9" width="5.84375" style="103" customWidth="1"/>
    <col min="10" max="10" width="12.3046875" style="103" customWidth="1"/>
    <col min="11" max="11" width="6.3046875" style="103" customWidth="1"/>
    <col min="12" max="12" width="13.765625" style="103" customWidth="1"/>
    <col min="13" max="13" width="4.3046875" style="103" customWidth="1"/>
    <col min="14" max="14" width="12.69140625" style="103" customWidth="1"/>
    <col min="15" max="15" width="3.4609375" style="103" customWidth="1"/>
    <col min="16" max="16" width="11.4609375" style="103" customWidth="1"/>
    <col min="17" max="17" width="5.07421875" style="103" customWidth="1"/>
    <col min="18" max="18" width="15.4609375" style="103" customWidth="1"/>
    <col min="19" max="19" width="4.765625" style="103" customWidth="1"/>
    <col min="20" max="20" width="21.84375" style="103" customWidth="1"/>
    <col min="21" max="16384" width="9.23046875" style="103"/>
  </cols>
  <sheetData>
    <row r="1" spans="2:20" customFormat="1" x14ac:dyDescent="0.3"/>
    <row r="2" spans="2:20" customFormat="1" x14ac:dyDescent="0.3"/>
    <row r="3" spans="2:20" customFormat="1" x14ac:dyDescent="0.3"/>
    <row r="4" spans="2:20" customFormat="1" x14ac:dyDescent="0.3"/>
    <row r="5" spans="2:20" customFormat="1" x14ac:dyDescent="0.3"/>
    <row r="6" spans="2:20" customFormat="1" ht="16.5" customHeight="1" x14ac:dyDescent="0.3">
      <c r="Q6" s="101"/>
      <c r="R6" s="101"/>
      <c r="S6" s="101"/>
    </row>
    <row r="7" spans="2:20" customFormat="1" ht="16.5" customHeight="1" x14ac:dyDescent="0.3">
      <c r="C7" s="211" t="str">
        <f ca="1">IF(T39="","É necessário o preenchimento de todos os campos obrigatórios para geração da simulação","")</f>
        <v/>
      </c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1"/>
      <c r="S7" s="211"/>
    </row>
    <row r="8" spans="2:20" customFormat="1" ht="16.5" customHeight="1" x14ac:dyDescent="0.3">
      <c r="Q8" s="101"/>
      <c r="R8" s="101"/>
      <c r="S8" s="101"/>
    </row>
    <row r="9" spans="2:20" customFormat="1" ht="21.5" x14ac:dyDescent="0.35">
      <c r="B9" s="214" t="s">
        <v>99</v>
      </c>
      <c r="C9" s="214"/>
      <c r="D9" s="212" t="s">
        <v>100</v>
      </c>
      <c r="E9" s="212"/>
      <c r="F9" s="212"/>
      <c r="G9" s="135"/>
      <c r="H9" s="135"/>
      <c r="I9" s="135"/>
      <c r="J9" s="135"/>
      <c r="K9" s="135"/>
      <c r="L9" s="135"/>
      <c r="M9" s="135"/>
      <c r="N9" s="136"/>
      <c r="O9" s="136"/>
      <c r="P9" s="135"/>
      <c r="Q9" s="187" t="s">
        <v>126</v>
      </c>
      <c r="R9" s="187"/>
      <c r="S9" s="187"/>
      <c r="T9" s="135"/>
    </row>
    <row r="10" spans="2:20" customFormat="1" ht="13.5" customHeight="1" x14ac:dyDescent="0.45">
      <c r="B10" s="214"/>
      <c r="C10" s="214"/>
      <c r="D10" s="213"/>
      <c r="E10" s="213"/>
      <c r="F10" s="213"/>
      <c r="G10" s="190" t="str">
        <f>IF(D9=Parâmetros!D25,"Mês entrega da Obra","")</f>
        <v/>
      </c>
      <c r="H10" s="190"/>
      <c r="I10" s="204"/>
      <c r="J10" s="204"/>
      <c r="K10" s="204"/>
      <c r="L10" s="190" t="str">
        <f>IF(D9=Parâmetros!D25,"Prazo de Construção restante","")</f>
        <v/>
      </c>
      <c r="M10" s="190"/>
      <c r="N10" s="190"/>
      <c r="O10" s="205" t="str">
        <f ca="1">IFERROR(ROUNDUP(IF(L10&lt;&gt;"",(I10-TODAY())/30,""),2),"")</f>
        <v/>
      </c>
      <c r="P10" s="205"/>
      <c r="Q10" s="202">
        <f ca="1">IFERROR(VLOOKUP("Primeira",Simulador!B31:Q453,16,FALSE),"")</f>
        <v>9086.4615359982799</v>
      </c>
      <c r="R10" s="202"/>
      <c r="S10" s="202"/>
      <c r="T10" s="135"/>
    </row>
    <row r="11" spans="2:20" customFormat="1" ht="13.5" customHeight="1" x14ac:dyDescent="0.35">
      <c r="B11" s="135"/>
      <c r="C11" s="135"/>
      <c r="D11" s="135"/>
      <c r="E11" s="135"/>
      <c r="F11" s="135"/>
      <c r="G11" s="135"/>
      <c r="H11" s="135"/>
      <c r="I11" s="135"/>
      <c r="J11" s="137"/>
      <c r="K11" s="135"/>
      <c r="L11" s="135"/>
      <c r="M11" s="203" t="str">
        <f>IF(D9=Parâmetros!D25,"Prazo Total do PE","")</f>
        <v/>
      </c>
      <c r="N11" s="203"/>
      <c r="O11" s="138" t="str">
        <f>IF(D9=Parâmetros!D25,Parâmetros!O2,"")</f>
        <v/>
      </c>
      <c r="P11" s="135"/>
      <c r="Q11" s="202"/>
      <c r="R11" s="202"/>
      <c r="S11" s="202"/>
      <c r="T11" s="135"/>
    </row>
    <row r="12" spans="2:20" customFormat="1" ht="14.25" customHeight="1" x14ac:dyDescent="0.35">
      <c r="B12" s="135"/>
      <c r="C12" s="135"/>
      <c r="D12" s="135"/>
      <c r="E12" s="135"/>
      <c r="F12" s="135"/>
      <c r="G12" s="135"/>
      <c r="H12" s="135"/>
      <c r="I12" s="135"/>
      <c r="J12" s="137"/>
      <c r="K12" s="135"/>
      <c r="L12" s="135"/>
      <c r="M12" s="135"/>
      <c r="N12" s="137"/>
      <c r="O12" s="137"/>
      <c r="P12" s="135"/>
      <c r="Q12" s="139"/>
      <c r="R12" s="139"/>
      <c r="S12" s="139"/>
      <c r="T12" s="135"/>
    </row>
    <row r="13" spans="2:20" customFormat="1" ht="14.25" customHeight="1" x14ac:dyDescent="0.45">
      <c r="B13" s="190" t="s">
        <v>1</v>
      </c>
      <c r="C13" s="190"/>
      <c r="D13" s="199" t="s">
        <v>72</v>
      </c>
      <c r="E13" s="199"/>
      <c r="F13" s="199"/>
      <c r="G13" s="190" t="s">
        <v>149</v>
      </c>
      <c r="H13" s="190"/>
      <c r="I13" s="201" t="s">
        <v>361</v>
      </c>
      <c r="J13" s="201"/>
      <c r="K13" s="201"/>
      <c r="L13" s="190" t="str">
        <f>IF(D9=Parâmetros!D24,"Prazo de Construção","")</f>
        <v/>
      </c>
      <c r="M13" s="190"/>
      <c r="N13" s="190"/>
      <c r="O13" s="198"/>
      <c r="P13" s="198"/>
      <c r="Q13" s="139"/>
      <c r="R13" s="139"/>
      <c r="S13" s="139"/>
      <c r="T13" s="135"/>
    </row>
    <row r="14" spans="2:20" customFormat="1" ht="14.25" customHeight="1" x14ac:dyDescent="0.35">
      <c r="B14" s="135"/>
      <c r="C14" s="135"/>
      <c r="D14" s="135"/>
      <c r="E14" s="135"/>
      <c r="F14" s="135"/>
      <c r="G14" s="135"/>
      <c r="H14" s="135"/>
      <c r="I14" s="135"/>
      <c r="J14" s="135"/>
      <c r="K14" s="135"/>
      <c r="L14" s="135"/>
      <c r="M14" s="140"/>
      <c r="N14" s="140"/>
      <c r="O14" s="138" t="str">
        <f>IF(L13&lt;&gt;"","Máx","")</f>
        <v/>
      </c>
      <c r="P14" s="138" t="str">
        <f>IF(D9=Parâmetros!D24,Simulador!O27,"")</f>
        <v/>
      </c>
      <c r="Q14" s="187" t="s">
        <v>127</v>
      </c>
      <c r="R14" s="187"/>
      <c r="S14" s="187"/>
      <c r="T14" s="135"/>
    </row>
    <row r="15" spans="2:20" customFormat="1" ht="21.5" x14ac:dyDescent="0.55000000000000004">
      <c r="B15" s="190" t="s">
        <v>37</v>
      </c>
      <c r="C15" s="190"/>
      <c r="D15" s="199" t="s">
        <v>24</v>
      </c>
      <c r="E15" s="199"/>
      <c r="F15" s="199"/>
      <c r="G15" s="190" t="s">
        <v>128</v>
      </c>
      <c r="H15" s="190"/>
      <c r="I15" s="209">
        <v>1500000</v>
      </c>
      <c r="J15" s="209"/>
      <c r="K15" s="209"/>
      <c r="L15" s="190" t="str">
        <f>IF(Parâmetros!N3=Parâmetros!E22,"Prazo de Carência","")</f>
        <v/>
      </c>
      <c r="M15" s="190"/>
      <c r="N15" s="190"/>
      <c r="O15" s="198" t="str">
        <f>IFERROR(IF(VLOOKUP(Parâmetros!J2,'Base de Dados'!N1:V33,9,FALSE)="","",VLOOKUP(Parâmetros!J2,'Base de Dados'!N1:V33,9,FALSE)),"")</f>
        <v/>
      </c>
      <c r="P15" s="198"/>
      <c r="Q15" s="141"/>
      <c r="R15" s="141"/>
      <c r="S15" s="141"/>
      <c r="T15" s="135"/>
    </row>
    <row r="16" spans="2:20" customFormat="1" ht="21.5" x14ac:dyDescent="0.55000000000000004">
      <c r="B16" s="135"/>
      <c r="C16" s="135"/>
      <c r="D16" s="135"/>
      <c r="E16" s="135"/>
      <c r="F16" s="135"/>
      <c r="G16" s="135"/>
      <c r="H16" s="135"/>
      <c r="I16" s="200"/>
      <c r="J16" s="200"/>
      <c r="K16" s="200"/>
      <c r="L16" s="135"/>
      <c r="M16" s="135"/>
      <c r="N16" s="135"/>
      <c r="O16" s="135"/>
      <c r="P16" s="135"/>
      <c r="Q16" s="141"/>
      <c r="R16" s="141"/>
      <c r="S16" s="141"/>
      <c r="T16" s="135"/>
    </row>
    <row r="17" spans="2:20" customFormat="1" ht="21.5" x14ac:dyDescent="0.55000000000000004">
      <c r="B17" s="190" t="s">
        <v>130</v>
      </c>
      <c r="C17" s="190"/>
      <c r="D17" s="199" t="s">
        <v>43</v>
      </c>
      <c r="E17" s="199"/>
      <c r="F17" s="199"/>
      <c r="G17" s="190" t="s">
        <v>129</v>
      </c>
      <c r="H17" s="190"/>
      <c r="I17" s="208">
        <v>750000</v>
      </c>
      <c r="J17" s="208"/>
      <c r="K17" s="208"/>
      <c r="L17" s="187"/>
      <c r="M17" s="187"/>
      <c r="N17" s="187"/>
      <c r="O17" s="187"/>
      <c r="P17" s="187"/>
      <c r="Q17" s="141"/>
      <c r="R17" s="141"/>
      <c r="S17" s="141"/>
      <c r="T17" s="135"/>
    </row>
    <row r="18" spans="2:20" customFormat="1" ht="18" customHeight="1" x14ac:dyDescent="0.55000000000000004">
      <c r="B18" s="135"/>
      <c r="C18" s="135"/>
      <c r="D18" s="135"/>
      <c r="E18" s="135"/>
      <c r="F18" s="135"/>
      <c r="G18" s="135"/>
      <c r="H18" s="142" t="str">
        <f>IF(AND(D15="LOTE",I17&lt;750000),"Mín Lote 750mil",IF(I19&gt;J20,"Valor superior ao permitido",""))</f>
        <v/>
      </c>
      <c r="I18" s="143" t="str">
        <f>"Máx"</f>
        <v>Máx</v>
      </c>
      <c r="J18" s="144">
        <f>IFERROR((Simulador!C23-I19),"")</f>
        <v>1200000</v>
      </c>
      <c r="K18" s="144"/>
      <c r="L18" s="135"/>
      <c r="M18" s="135"/>
      <c r="N18" s="139"/>
      <c r="O18" s="135"/>
      <c r="P18" s="135"/>
      <c r="Q18" s="141"/>
      <c r="R18" s="141"/>
      <c r="S18" s="141"/>
      <c r="T18" s="135"/>
    </row>
    <row r="19" spans="2:20" customFormat="1" ht="19.5" customHeight="1" x14ac:dyDescent="0.45">
      <c r="B19" s="190" t="s">
        <v>133</v>
      </c>
      <c r="C19" s="190"/>
      <c r="D19" s="199" t="s">
        <v>41</v>
      </c>
      <c r="E19" s="199"/>
      <c r="F19" s="199"/>
      <c r="G19" s="190" t="s">
        <v>131</v>
      </c>
      <c r="H19" s="190"/>
      <c r="I19" s="209">
        <v>0</v>
      </c>
      <c r="J19" s="209"/>
      <c r="K19" s="209"/>
      <c r="L19" s="135"/>
      <c r="M19" s="135"/>
      <c r="N19" s="135"/>
      <c r="O19" s="135"/>
      <c r="P19" s="135"/>
      <c r="Q19" s="206">
        <f>Simulador!O10</f>
        <v>750000</v>
      </c>
      <c r="R19" s="206"/>
      <c r="S19" s="206"/>
      <c r="T19" s="135"/>
    </row>
    <row r="20" spans="2:20" customFormat="1" ht="21.5" x14ac:dyDescent="0.55000000000000004">
      <c r="B20" s="135"/>
      <c r="C20" s="135"/>
      <c r="D20" s="135"/>
      <c r="E20" s="135"/>
      <c r="F20" s="135"/>
      <c r="G20" s="135"/>
      <c r="H20" s="140"/>
      <c r="I20" s="143" t="s">
        <v>132</v>
      </c>
      <c r="J20" s="144">
        <f>IF(I17="",0,IF(I17=0,0,Simulador!I26))</f>
        <v>75000</v>
      </c>
      <c r="K20" s="145"/>
      <c r="L20" s="135"/>
      <c r="M20" s="135"/>
      <c r="N20" s="135"/>
      <c r="O20" s="135"/>
      <c r="P20" s="135"/>
      <c r="Q20" s="141"/>
      <c r="R20" s="146" t="str">
        <f>IFERROR(CONCATENATE(Simulador!T27,Simulador!S27,Simulador!C23),"")</f>
        <v>Máx 1200000</v>
      </c>
      <c r="S20" s="141"/>
      <c r="T20" s="135"/>
    </row>
    <row r="21" spans="2:20" customFormat="1" ht="26.15" customHeight="1" x14ac:dyDescent="0.55000000000000004">
      <c r="B21" s="190" t="str">
        <f>IF(D13=Parâmetros!C2,"Dt. Nascimento","")</f>
        <v>Dt. Nascimento</v>
      </c>
      <c r="C21" s="190"/>
      <c r="D21" s="195">
        <v>32765</v>
      </c>
      <c r="E21" s="195"/>
      <c r="F21" s="195"/>
      <c r="G21" s="190" t="s">
        <v>134</v>
      </c>
      <c r="H21" s="190"/>
      <c r="I21" s="207">
        <v>240</v>
      </c>
      <c r="J21" s="207"/>
      <c r="K21" s="207"/>
      <c r="L21" s="140"/>
      <c r="M21" s="147"/>
      <c r="N21" s="147"/>
      <c r="O21" s="135"/>
      <c r="P21" s="135"/>
      <c r="Q21" s="141"/>
      <c r="R21" s="141"/>
      <c r="S21" s="141"/>
      <c r="T21" s="135"/>
    </row>
    <row r="22" spans="2:20" customFormat="1" ht="28.5" customHeight="1" x14ac:dyDescent="0.55000000000000004">
      <c r="B22" s="148" t="s">
        <v>160</v>
      </c>
      <c r="C22" s="135"/>
      <c r="D22" s="215" t="str">
        <f ca="1">IF(Parâmetros!R2&lt;18,"Idade menor do que 18 anos","")</f>
        <v/>
      </c>
      <c r="E22" s="215"/>
      <c r="F22" s="215"/>
      <c r="G22" s="197" t="str">
        <f ca="1">IF(Simulador!S10="Prazo Superior","O prazo de amortização, construção e carência (se houver), somados a idade do proponente, não pode superar 80 anos","")</f>
        <v/>
      </c>
      <c r="H22" s="197"/>
      <c r="I22" s="143" t="s">
        <v>135</v>
      </c>
      <c r="J22" s="149">
        <f>IFERROR(Simulador!O19,"")</f>
        <v>121</v>
      </c>
      <c r="K22" s="149">
        <f>IFERROR(Simulador!O21,"")</f>
        <v>240</v>
      </c>
      <c r="L22" s="135"/>
      <c r="M22" s="135"/>
      <c r="N22" s="135"/>
      <c r="O22" s="135"/>
      <c r="P22" s="135"/>
      <c r="Q22" s="141"/>
      <c r="R22" s="141"/>
      <c r="S22" s="141"/>
      <c r="T22" s="135"/>
    </row>
    <row r="23" spans="2:20" customFormat="1" ht="21.5" x14ac:dyDescent="0.55000000000000004">
      <c r="B23" s="135"/>
      <c r="C23" s="135"/>
      <c r="D23" s="135"/>
      <c r="E23" s="135"/>
      <c r="F23" s="135"/>
      <c r="G23" s="135"/>
      <c r="H23" s="148">
        <f ca="1">TODAY()</f>
        <v>46163</v>
      </c>
      <c r="I23" s="148"/>
      <c r="J23" s="150">
        <f ca="1">(I10-H23)/30</f>
        <v>-1538.7666666666667</v>
      </c>
      <c r="K23" s="135"/>
      <c r="L23" s="135"/>
      <c r="M23" s="135"/>
      <c r="N23" s="135"/>
      <c r="O23" s="135"/>
      <c r="P23" s="135"/>
      <c r="Q23" s="141"/>
      <c r="R23" s="141"/>
      <c r="S23" s="141"/>
      <c r="T23" s="135"/>
    </row>
    <row r="24" spans="2:20" customFormat="1" ht="21.5" x14ac:dyDescent="0.45">
      <c r="B24" s="190" t="s">
        <v>26</v>
      </c>
      <c r="C24" s="190"/>
      <c r="D24" s="191" t="str">
        <f>IF(AND(D13=Parâmetros!C3,Simulador!C14=Parâmetros!B2),"CHH PJ",Simulador!O8)</f>
        <v>CHC</v>
      </c>
      <c r="E24" s="191"/>
      <c r="F24" s="191"/>
      <c r="G24" s="190" t="s">
        <v>138</v>
      </c>
      <c r="H24" s="190"/>
      <c r="I24" s="192">
        <f>IFERROR(Simulador!S25,"")</f>
        <v>3400</v>
      </c>
      <c r="J24" s="192"/>
      <c r="K24" s="192"/>
      <c r="L24" s="135"/>
      <c r="M24" s="135"/>
      <c r="N24" s="135"/>
      <c r="O24" s="135"/>
      <c r="P24" s="135"/>
      <c r="Q24" s="187" t="s">
        <v>136</v>
      </c>
      <c r="R24" s="187"/>
      <c r="S24" s="187"/>
      <c r="T24" s="135"/>
    </row>
    <row r="25" spans="2:20" customFormat="1" ht="21.5" x14ac:dyDescent="0.55000000000000004">
      <c r="B25" s="190" t="s">
        <v>45</v>
      </c>
      <c r="C25" s="190"/>
      <c r="D25" s="193">
        <f>IFERROR(IF(D9="",0,Simulador!S21),"")</f>
        <v>25349.999999999996</v>
      </c>
      <c r="E25" s="193"/>
      <c r="F25" s="193"/>
      <c r="G25" s="190" t="s">
        <v>6</v>
      </c>
      <c r="H25" s="190"/>
      <c r="I25" s="194">
        <f ca="1">Simulador!O13</f>
        <v>60576.410239988538</v>
      </c>
      <c r="J25" s="194"/>
      <c r="K25" s="194"/>
      <c r="L25" s="135"/>
      <c r="M25" s="135"/>
      <c r="N25" s="135"/>
      <c r="O25" s="135"/>
      <c r="P25" s="135"/>
      <c r="Q25" s="185">
        <f>IFERROR(Simulador!O23,"")</f>
        <v>0.1399</v>
      </c>
      <c r="R25" s="185"/>
      <c r="S25" s="185"/>
      <c r="T25" s="135"/>
    </row>
    <row r="26" spans="2:20" customFormat="1" ht="21.5" x14ac:dyDescent="0.35">
      <c r="B26" s="135"/>
      <c r="C26" s="151"/>
      <c r="D26" s="152" t="str">
        <f>IF(D25&gt;0,"Alíquota Aplicada",IF(D9="","",""))</f>
        <v>Alíquota Aplicada</v>
      </c>
      <c r="E26" s="196">
        <f>IFERROR(IF(D25&gt;0,Simulador!S23,IF(D9="","","")),"")</f>
        <v>3.3799999999999997E-2</v>
      </c>
      <c r="F26" s="196"/>
      <c r="G26" s="153"/>
      <c r="H26" s="135"/>
      <c r="I26" s="135"/>
      <c r="J26" s="135"/>
      <c r="K26" s="135"/>
      <c r="L26" s="135"/>
      <c r="M26" s="135"/>
      <c r="N26" s="135"/>
      <c r="O26" s="135"/>
      <c r="P26" s="135"/>
      <c r="Q26" s="187" t="s">
        <v>11</v>
      </c>
      <c r="R26" s="187"/>
      <c r="S26" s="187"/>
      <c r="T26" s="135"/>
    </row>
    <row r="27" spans="2:20" customFormat="1" ht="21" customHeight="1" x14ac:dyDescent="0.55000000000000004">
      <c r="B27" s="135"/>
      <c r="C27" s="151"/>
      <c r="D27" s="135"/>
      <c r="E27" s="154"/>
      <c r="F27" s="153"/>
      <c r="G27" s="153"/>
      <c r="H27" s="189" t="str">
        <f>IF(D9=Parâmetros!D23,CONCATENATE("*Valor da taxa é composto por"," ",Parâmetros!C24*100,"%"," mais 70% da selic, que hoje é ",Parâmetros!C23*100,"%"," limitado a 10,66%a.a."),"")</f>
        <v/>
      </c>
      <c r="I27" s="189"/>
      <c r="J27" s="189"/>
      <c r="K27" s="189"/>
      <c r="L27" s="189"/>
      <c r="M27" s="189"/>
      <c r="N27" s="189"/>
      <c r="O27" s="189"/>
      <c r="P27" s="135"/>
      <c r="Q27" s="185">
        <f ca="1">Simulador!S16</f>
        <v>0.15285696387290956</v>
      </c>
      <c r="R27" s="185"/>
      <c r="S27" s="185"/>
      <c r="T27" s="155"/>
    </row>
    <row r="28" spans="2:20" customFormat="1" ht="21" customHeight="1" x14ac:dyDescent="0.35">
      <c r="B28" s="189" t="s">
        <v>87</v>
      </c>
      <c r="C28" s="189"/>
      <c r="D28" s="189"/>
      <c r="E28" s="189"/>
      <c r="F28" s="189"/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  <c r="R28" s="189"/>
      <c r="S28" s="189"/>
      <c r="T28" s="189"/>
    </row>
    <row r="29" spans="2:20" customFormat="1" ht="21" customHeight="1" x14ac:dyDescent="0.35">
      <c r="B29" s="189" t="s">
        <v>88</v>
      </c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</row>
    <row r="30" spans="2:20" customFormat="1" ht="7.5" customHeight="1" x14ac:dyDescent="0.3">
      <c r="B30" s="188" t="s">
        <v>89</v>
      </c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8"/>
    </row>
    <row r="31" spans="2:20" customFormat="1" ht="21" customHeight="1" x14ac:dyDescent="0.3">
      <c r="B31" s="188"/>
      <c r="C31" s="188"/>
      <c r="D31" s="188"/>
      <c r="E31" s="188"/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</row>
    <row r="32" spans="2:20" customFormat="1" x14ac:dyDescent="0.3">
      <c r="B32" s="22"/>
      <c r="C32" s="22"/>
      <c r="D32" s="22"/>
      <c r="E32" s="22"/>
      <c r="F32" s="176"/>
      <c r="G32" s="176"/>
    </row>
    <row r="33" spans="2:20" customFormat="1" ht="14.25" customHeight="1" x14ac:dyDescent="0.3">
      <c r="B33" s="186" t="s">
        <v>137</v>
      </c>
      <c r="C33" s="186"/>
      <c r="D33" s="186"/>
      <c r="E33" s="186"/>
      <c r="F33" s="186"/>
      <c r="G33" s="186"/>
      <c r="H33" s="186"/>
      <c r="I33" s="186"/>
      <c r="J33" s="186"/>
      <c r="K33" s="186"/>
      <c r="L33" s="186"/>
      <c r="M33" s="186"/>
      <c r="N33" s="186"/>
      <c r="O33" s="186"/>
      <c r="P33" s="186"/>
      <c r="Q33" s="186"/>
      <c r="R33" s="186"/>
      <c r="S33" s="186"/>
      <c r="T33" s="186"/>
    </row>
    <row r="34" spans="2:20" customFormat="1" ht="14.25" customHeight="1" x14ac:dyDescent="0.3">
      <c r="B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</row>
    <row r="35" spans="2:20" customFormat="1" ht="14.25" customHeight="1" x14ac:dyDescent="0.3">
      <c r="B35" s="210" t="s">
        <v>156</v>
      </c>
      <c r="C35" s="156"/>
      <c r="D35" s="156"/>
      <c r="E35" s="156"/>
      <c r="F35" s="156"/>
      <c r="G35" s="156"/>
      <c r="H35" s="157">
        <f ca="1">SUM(H38:H458)</f>
        <v>749999.99999997381</v>
      </c>
      <c r="I35" s="157"/>
      <c r="J35" s="157">
        <f t="shared" ref="J35:R35" ca="1" si="0">SUM(J38:J458)</f>
        <v>1380126.9335058648</v>
      </c>
      <c r="K35" s="157"/>
      <c r="L35" s="157">
        <f t="shared" ca="1" si="0"/>
        <v>28749.999999999996</v>
      </c>
      <c r="M35" s="157"/>
      <c r="N35" s="157">
        <f t="shared" ca="1" si="0"/>
        <v>49973.668844625601</v>
      </c>
      <c r="O35" s="157"/>
      <c r="P35" s="157">
        <f t="shared" ca="1" si="0"/>
        <v>18000</v>
      </c>
      <c r="Q35" s="157"/>
      <c r="R35" s="157">
        <f t="shared" ca="1" si="0"/>
        <v>2226850.6023504646</v>
      </c>
      <c r="S35" s="156"/>
      <c r="T35" s="156"/>
    </row>
    <row r="36" spans="2:20" customFormat="1" ht="6" customHeight="1" x14ac:dyDescent="0.3">
      <c r="B36" s="210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</row>
    <row r="37" spans="2:20" customFormat="1" x14ac:dyDescent="0.3">
      <c r="B37" s="159" t="str">
        <f>Simulador!A31</f>
        <v>DATA DO ENCARGO</v>
      </c>
      <c r="C37" s="160"/>
      <c r="D37" s="161" t="str">
        <f>Simulador!C31</f>
        <v>N PREST</v>
      </c>
      <c r="E37" s="160"/>
      <c r="F37" s="162" t="str">
        <f>Simulador!E31</f>
        <v>Tipo de encargo</v>
      </c>
      <c r="G37" s="160"/>
      <c r="H37" s="157" t="str">
        <f>Simulador!G31</f>
        <v>AMORTIZAÇÃO</v>
      </c>
      <c r="I37" s="160"/>
      <c r="J37" s="157" t="str">
        <f>Simulador!I31</f>
        <v>JUROS</v>
      </c>
      <c r="K37" s="160"/>
      <c r="L37" s="157" t="str">
        <f>Simulador!K31</f>
        <v>Tarifas*</v>
      </c>
      <c r="M37" s="160"/>
      <c r="N37" s="157" t="str">
        <f>Simulador!M31</f>
        <v>MIP*</v>
      </c>
      <c r="O37" s="160"/>
      <c r="P37" s="157" t="str">
        <f>Simulador!O31</f>
        <v>DFI*</v>
      </c>
      <c r="Q37" s="160"/>
      <c r="R37" s="157" t="str">
        <f>Simulador!Q31</f>
        <v>ENCARGO</v>
      </c>
      <c r="S37" s="160"/>
      <c r="T37" s="157" t="str">
        <f>Simulador!S31</f>
        <v>SALDO DEVEDOR</v>
      </c>
    </row>
    <row r="38" spans="2:20" customFormat="1" x14ac:dyDescent="0.3">
      <c r="B38" s="163">
        <f ca="1">IFERROR(Simulador!A33,"")</f>
        <v>46163</v>
      </c>
      <c r="C38" s="160"/>
      <c r="D38" s="161">
        <f ca="1">IFERROR(Simulador!C33,"")</f>
        <v>0</v>
      </c>
      <c r="E38" s="160"/>
      <c r="F38" s="162"/>
      <c r="G38" s="160"/>
      <c r="H38" s="157">
        <f ca="1">IFERROR(Simulador!G33,"")</f>
        <v>0</v>
      </c>
      <c r="I38" s="160"/>
      <c r="J38" s="157">
        <f ca="1">IFERROR(Simulador!I33,"")</f>
        <v>0</v>
      </c>
      <c r="K38" s="160"/>
      <c r="L38" s="157">
        <f ca="1">IFERROR(Simulador!K33,"")</f>
        <v>28749.999999999996</v>
      </c>
      <c r="M38" s="160"/>
      <c r="N38" s="157">
        <f ca="1">Simulador!M33</f>
        <v>136.04999999999998</v>
      </c>
      <c r="O38" s="160"/>
      <c r="P38" s="157">
        <f ca="1">IFERROR(Simulador!O33,"")</f>
        <v>75</v>
      </c>
      <c r="Q38" s="160"/>
      <c r="R38" s="157">
        <f ca="1">IFERROR(Simulador!Q33,"")</f>
        <v>28961.049999999996</v>
      </c>
      <c r="S38" s="160"/>
      <c r="T38" s="157">
        <f ca="1">IFERROR(Simulador!S33,"")</f>
        <v>750000</v>
      </c>
    </row>
    <row r="39" spans="2:20" customFormat="1" x14ac:dyDescent="0.3">
      <c r="B39" s="163">
        <f ca="1">Simulador!A34</f>
        <v>46194</v>
      </c>
      <c r="C39" s="160"/>
      <c r="D39" s="161">
        <f ca="1">Simulador!C34</f>
        <v>1</v>
      </c>
      <c r="E39" s="160"/>
      <c r="F39" s="162" t="str">
        <f ca="1">Simulador!E34</f>
        <v>Retorno</v>
      </c>
      <c r="G39" s="160"/>
      <c r="H39" s="157">
        <f ca="1">Simulador!G34</f>
        <v>646.93279704500674</v>
      </c>
      <c r="I39" s="160"/>
      <c r="J39" s="157">
        <f ca="1">Simulador!I34</f>
        <v>8228.5960925626568</v>
      </c>
      <c r="K39" s="160"/>
      <c r="L39" s="157">
        <f ca="1">Simulador!K34</f>
        <v>0</v>
      </c>
      <c r="M39" s="160"/>
      <c r="N39" s="157">
        <f ca="1">Simulador!M34</f>
        <v>135.93264639061604</v>
      </c>
      <c r="O39" s="160"/>
      <c r="P39" s="157">
        <f ca="1">Simulador!O34</f>
        <v>75</v>
      </c>
      <c r="Q39" s="160"/>
      <c r="R39" s="157">
        <f ca="1">Simulador!Q34</f>
        <v>9086.4615359982799</v>
      </c>
      <c r="S39" s="160"/>
      <c r="T39" s="157">
        <f ca="1">Simulador!S34</f>
        <v>749353.06720295502</v>
      </c>
    </row>
    <row r="40" spans="2:20" customFormat="1" x14ac:dyDescent="0.3">
      <c r="B40" s="163">
        <f ca="1">Simulador!A35</f>
        <v>46224</v>
      </c>
      <c r="C40" s="160"/>
      <c r="D40" s="161">
        <f ca="1">Simulador!C35</f>
        <v>2</v>
      </c>
      <c r="E40" s="160"/>
      <c r="F40" s="162" t="str">
        <f ca="1">Simulador!E35</f>
        <v>Retorno</v>
      </c>
      <c r="G40" s="160"/>
      <c r="H40" s="157">
        <f ca="1">Simulador!G35</f>
        <v>654.03059529294478</v>
      </c>
      <c r="I40" s="160"/>
      <c r="J40" s="157">
        <f ca="1">Simulador!I35</f>
        <v>8221.4982943147188</v>
      </c>
      <c r="K40" s="160"/>
      <c r="L40" s="157">
        <f ca="1">Simulador!K35</f>
        <v>0</v>
      </c>
      <c r="M40" s="160"/>
      <c r="N40" s="157">
        <f ca="1">Simulador!M35</f>
        <v>135.81400524062991</v>
      </c>
      <c r="O40" s="160"/>
      <c r="P40" s="157">
        <f ca="1">Simulador!O35</f>
        <v>75</v>
      </c>
      <c r="Q40" s="160"/>
      <c r="R40" s="157">
        <f ca="1">Simulador!Q35</f>
        <v>9086.3428948482942</v>
      </c>
      <c r="S40" s="160"/>
      <c r="T40" s="157">
        <f ca="1">Simulador!S35</f>
        <v>748699.0366076621</v>
      </c>
    </row>
    <row r="41" spans="2:20" customFormat="1" x14ac:dyDescent="0.3">
      <c r="B41" s="163">
        <f ca="1">Simulador!A36</f>
        <v>46255</v>
      </c>
      <c r="C41" s="160"/>
      <c r="D41" s="161">
        <f ca="1">Simulador!C36</f>
        <v>3</v>
      </c>
      <c r="E41" s="160"/>
      <c r="F41" s="162" t="str">
        <f ca="1">Simulador!E36</f>
        <v>Retorno</v>
      </c>
      <c r="G41" s="160"/>
      <c r="H41" s="157">
        <f ca="1">Simulador!G36</f>
        <v>661.20626676073516</v>
      </c>
      <c r="I41" s="160"/>
      <c r="J41" s="157">
        <f ca="1">Simulador!I36</f>
        <v>8214.3226228469284</v>
      </c>
      <c r="K41" s="160"/>
      <c r="L41" s="157">
        <f ca="1">Simulador!K36</f>
        <v>0</v>
      </c>
      <c r="M41" s="160"/>
      <c r="N41" s="157">
        <f ca="1">Simulador!M36</f>
        <v>135.69406242383951</v>
      </c>
      <c r="O41" s="160"/>
      <c r="P41" s="157">
        <f ca="1">Simulador!O36</f>
        <v>75</v>
      </c>
      <c r="Q41" s="160"/>
      <c r="R41" s="157">
        <f ca="1">Simulador!Q36</f>
        <v>9086.2229520315032</v>
      </c>
      <c r="S41" s="160"/>
      <c r="T41" s="157">
        <f ca="1">Simulador!S36</f>
        <v>748037.83034090139</v>
      </c>
    </row>
    <row r="42" spans="2:20" customFormat="1" x14ac:dyDescent="0.3">
      <c r="B42" s="163">
        <f ca="1">Simulador!A37</f>
        <v>46286</v>
      </c>
      <c r="C42" s="160"/>
      <c r="D42" s="161">
        <f ca="1">Simulador!C37</f>
        <v>4</v>
      </c>
      <c r="E42" s="160"/>
      <c r="F42" s="162" t="str">
        <f ca="1">Simulador!E37</f>
        <v>Retorno</v>
      </c>
      <c r="G42" s="160"/>
      <c r="H42" s="157">
        <f ca="1">Simulador!G37</f>
        <v>668.46066583136781</v>
      </c>
      <c r="I42" s="160"/>
      <c r="J42" s="157">
        <f ca="1">Simulador!I37</f>
        <v>8207.0682237762958</v>
      </c>
      <c r="K42" s="160"/>
      <c r="L42" s="157">
        <f ca="1">Simulador!K37</f>
        <v>0</v>
      </c>
      <c r="M42" s="160"/>
      <c r="N42" s="157">
        <f ca="1">Simulador!M37</f>
        <v>135.57280365905771</v>
      </c>
      <c r="O42" s="160"/>
      <c r="P42" s="157">
        <f ca="1">Simulador!O37</f>
        <v>75</v>
      </c>
      <c r="Q42" s="160"/>
      <c r="R42" s="157">
        <f ca="1">Simulador!Q37</f>
        <v>9086.1016932667208</v>
      </c>
      <c r="S42" s="160"/>
      <c r="T42" s="157">
        <f ca="1">Simulador!S37</f>
        <v>747369.36967507005</v>
      </c>
    </row>
    <row r="43" spans="2:20" customFormat="1" x14ac:dyDescent="0.3">
      <c r="B43" s="163">
        <f ca="1">Simulador!A38</f>
        <v>46316</v>
      </c>
      <c r="C43" s="160"/>
      <c r="D43" s="161">
        <f ca="1">Simulador!C38</f>
        <v>5</v>
      </c>
      <c r="E43" s="160"/>
      <c r="F43" s="162" t="str">
        <f ca="1">Simulador!E38</f>
        <v>Retorno</v>
      </c>
      <c r="G43" s="160"/>
      <c r="H43" s="157">
        <f ca="1">Simulador!G38</f>
        <v>675.7946562619436</v>
      </c>
      <c r="I43" s="160"/>
      <c r="J43" s="157">
        <f ca="1">Simulador!I38</f>
        <v>8199.73423334572</v>
      </c>
      <c r="K43" s="160"/>
      <c r="L43" s="157">
        <f ca="1">Simulador!K38</f>
        <v>0</v>
      </c>
      <c r="M43" s="160"/>
      <c r="N43" s="157">
        <f ca="1">Simulador!M38</f>
        <v>135.45021450841179</v>
      </c>
      <c r="O43" s="160"/>
      <c r="P43" s="157">
        <f ca="1">Simulador!O38</f>
        <v>75</v>
      </c>
      <c r="Q43" s="160"/>
      <c r="R43" s="157">
        <f ca="1">Simulador!Q38</f>
        <v>9085.9791041160752</v>
      </c>
      <c r="S43" s="160"/>
      <c r="T43" s="157">
        <f ca="1">Simulador!S38</f>
        <v>746693.57501880813</v>
      </c>
    </row>
    <row r="44" spans="2:20" customFormat="1" x14ac:dyDescent="0.3">
      <c r="B44" s="163">
        <f ca="1">Simulador!A39</f>
        <v>46347</v>
      </c>
      <c r="C44" s="160"/>
      <c r="D44" s="161">
        <f ca="1">Simulador!C39</f>
        <v>6</v>
      </c>
      <c r="E44" s="160"/>
      <c r="F44" s="162" t="str">
        <f ca="1">Simulador!E39</f>
        <v>Retorno</v>
      </c>
      <c r="G44" s="160"/>
      <c r="H44" s="157">
        <f ca="1">Simulador!G39</f>
        <v>683.20911128577063</v>
      </c>
      <c r="I44" s="160"/>
      <c r="J44" s="157">
        <f ca="1">Simulador!I39</f>
        <v>8192.319778321893</v>
      </c>
      <c r="K44" s="160"/>
      <c r="L44" s="157">
        <f ca="1">Simulador!K39</f>
        <v>0</v>
      </c>
      <c r="M44" s="160"/>
      <c r="N44" s="157">
        <f ca="1">Simulador!M39</f>
        <v>135.32628037562455</v>
      </c>
      <c r="O44" s="160"/>
      <c r="P44" s="157">
        <f ca="1">Simulador!O39</f>
        <v>75</v>
      </c>
      <c r="Q44" s="160"/>
      <c r="R44" s="157">
        <f ca="1">Simulador!Q39</f>
        <v>9085.8551699832879</v>
      </c>
      <c r="S44" s="160"/>
      <c r="T44" s="157">
        <f ca="1">Simulador!S39</f>
        <v>746010.36590752238</v>
      </c>
    </row>
    <row r="45" spans="2:20" customFormat="1" x14ac:dyDescent="0.3">
      <c r="B45" s="163">
        <f ca="1">Simulador!A40</f>
        <v>46377</v>
      </c>
      <c r="C45" s="160"/>
      <c r="D45" s="161">
        <f ca="1">Simulador!C40</f>
        <v>7</v>
      </c>
      <c r="E45" s="160"/>
      <c r="F45" s="162" t="str">
        <f ca="1">Simulador!E40</f>
        <v>Retorno</v>
      </c>
      <c r="G45" s="160"/>
      <c r="H45" s="157">
        <f ca="1">Simulador!G40</f>
        <v>690.70491371713797</v>
      </c>
      <c r="I45" s="160"/>
      <c r="J45" s="157">
        <f ca="1">Simulador!I40</f>
        <v>8184.8239758905256</v>
      </c>
      <c r="K45" s="160"/>
      <c r="L45" s="157">
        <f ca="1">Simulador!K40</f>
        <v>0</v>
      </c>
      <c r="M45" s="160"/>
      <c r="N45" s="157">
        <f ca="1">Simulador!M40</f>
        <v>135.20098650427627</v>
      </c>
      <c r="O45" s="160"/>
      <c r="P45" s="157">
        <f ca="1">Simulador!O40</f>
        <v>75</v>
      </c>
      <c r="Q45" s="160"/>
      <c r="R45" s="157">
        <f ca="1">Simulador!Q40</f>
        <v>9085.72987611194</v>
      </c>
      <c r="S45" s="160"/>
      <c r="T45" s="157">
        <f ca="1">Simulador!S40</f>
        <v>745319.66099380527</v>
      </c>
    </row>
    <row r="46" spans="2:20" customFormat="1" x14ac:dyDescent="0.3">
      <c r="B46" s="163">
        <f ca="1">Simulador!A41</f>
        <v>46408</v>
      </c>
      <c r="C46" s="160"/>
      <c r="D46" s="161">
        <f ca="1">Simulador!C41</f>
        <v>8</v>
      </c>
      <c r="E46" s="160"/>
      <c r="F46" s="162" t="str">
        <f ca="1">Simulador!E41</f>
        <v>Retorno</v>
      </c>
      <c r="G46" s="160"/>
      <c r="H46" s="157">
        <f ca="1">Simulador!G41</f>
        <v>698.28295605597305</v>
      </c>
      <c r="I46" s="160"/>
      <c r="J46" s="157">
        <f ca="1">Simulador!I41</f>
        <v>8177.2459335516905</v>
      </c>
      <c r="K46" s="160"/>
      <c r="L46" s="157">
        <f ca="1">Simulador!K41</f>
        <v>0</v>
      </c>
      <c r="M46" s="160"/>
      <c r="N46" s="157">
        <f ca="1">Simulador!M41</f>
        <v>135.07431797604772</v>
      </c>
      <c r="O46" s="160"/>
      <c r="P46" s="157">
        <f ca="1">Simulador!O41</f>
        <v>75</v>
      </c>
      <c r="Q46" s="160"/>
      <c r="R46" s="157">
        <f ca="1">Simulador!Q41</f>
        <v>9085.603207583712</v>
      </c>
      <c r="S46" s="160"/>
      <c r="T46" s="157">
        <f ca="1">Simulador!S41</f>
        <v>744621.37803774932</v>
      </c>
    </row>
    <row r="47" spans="2:20" x14ac:dyDescent="0.3">
      <c r="B47" s="163">
        <f ca="1">Simulador!A42</f>
        <v>46439</v>
      </c>
      <c r="C47" s="160"/>
      <c r="D47" s="161">
        <f ca="1">Simulador!C42</f>
        <v>9</v>
      </c>
      <c r="E47" s="160"/>
      <c r="F47" s="162" t="str">
        <f ca="1">Simulador!E42</f>
        <v>Retorno</v>
      </c>
      <c r="G47" s="160"/>
      <c r="H47" s="157">
        <f ca="1">Simulador!G42</f>
        <v>705.94414059424525</v>
      </c>
      <c r="I47" s="160"/>
      <c r="J47" s="157">
        <f ca="1">Simulador!I42</f>
        <v>8169.5847490134183</v>
      </c>
      <c r="K47" s="160"/>
      <c r="L47" s="157">
        <f ca="1">Simulador!K42</f>
        <v>0</v>
      </c>
      <c r="M47" s="160"/>
      <c r="N47" s="157">
        <f ca="1">Simulador!M42</f>
        <v>134.94625970894393</v>
      </c>
      <c r="O47" s="160"/>
      <c r="P47" s="157">
        <f ca="1">Simulador!O42</f>
        <v>75</v>
      </c>
      <c r="Q47" s="160"/>
      <c r="R47" s="157">
        <f ca="1">Simulador!Q42</f>
        <v>9085.4751493166077</v>
      </c>
      <c r="S47" s="160"/>
      <c r="T47" s="157">
        <f ca="1">Simulador!S42</f>
        <v>743915.4338971551</v>
      </c>
    </row>
    <row r="48" spans="2:20" x14ac:dyDescent="0.3">
      <c r="B48" s="163">
        <f ca="1">Simulador!A43</f>
        <v>46467</v>
      </c>
      <c r="C48" s="160"/>
      <c r="D48" s="161">
        <f ca="1">Simulador!C43</f>
        <v>10</v>
      </c>
      <c r="E48" s="160"/>
      <c r="F48" s="162" t="str">
        <f ca="1">Simulador!E43</f>
        <v>Retorno</v>
      </c>
      <c r="G48" s="160"/>
      <c r="H48" s="157">
        <f ca="1">Simulador!G43</f>
        <v>713.6893795234173</v>
      </c>
      <c r="I48" s="160"/>
      <c r="J48" s="157">
        <f ca="1">Simulador!I43</f>
        <v>8161.8395100842463</v>
      </c>
      <c r="K48" s="160"/>
      <c r="L48" s="157">
        <f ca="1">Simulador!K43</f>
        <v>0</v>
      </c>
      <c r="M48" s="160"/>
      <c r="N48" s="157">
        <f ca="1">Simulador!M43</f>
        <v>134.81679645549838</v>
      </c>
      <c r="O48" s="160"/>
      <c r="P48" s="157">
        <f ca="1">Simulador!O43</f>
        <v>75</v>
      </c>
      <c r="Q48" s="160"/>
      <c r="R48" s="157">
        <f ca="1">Simulador!Q43</f>
        <v>9085.3456860631613</v>
      </c>
      <c r="S48" s="160"/>
      <c r="T48" s="157">
        <f ca="1">Simulador!S43</f>
        <v>743201.74451763171</v>
      </c>
    </row>
    <row r="49" spans="2:20" x14ac:dyDescent="0.3">
      <c r="B49" s="163">
        <f ca="1">Simulador!A44</f>
        <v>46498</v>
      </c>
      <c r="C49" s="160"/>
      <c r="D49" s="161">
        <f ca="1">Simulador!C44</f>
        <v>11</v>
      </c>
      <c r="E49" s="160"/>
      <c r="F49" s="162" t="str">
        <f ca="1">Simulador!E44</f>
        <v>Retorno</v>
      </c>
      <c r="G49" s="160"/>
      <c r="H49" s="157">
        <f ca="1">Simulador!G44</f>
        <v>721.51959504294427</v>
      </c>
      <c r="I49" s="160"/>
      <c r="J49" s="157">
        <f ca="1">Simulador!I44</f>
        <v>8154.0092945647193</v>
      </c>
      <c r="K49" s="160"/>
      <c r="L49" s="157">
        <f ca="1">Simulador!K44</f>
        <v>0</v>
      </c>
      <c r="M49" s="160"/>
      <c r="N49" s="157">
        <f ca="1">Simulador!M44</f>
        <v>134.6859128009576</v>
      </c>
      <c r="O49" s="160"/>
      <c r="P49" s="157">
        <f ca="1">Simulador!O44</f>
        <v>75</v>
      </c>
      <c r="Q49" s="160"/>
      <c r="R49" s="157">
        <f ca="1">Simulador!Q44</f>
        <v>9085.2148024086218</v>
      </c>
      <c r="S49" s="160"/>
      <c r="T49" s="157">
        <f ca="1">Simulador!S44</f>
        <v>742480.22492258879</v>
      </c>
    </row>
    <row r="50" spans="2:20" x14ac:dyDescent="0.3">
      <c r="B50" s="163">
        <f ca="1">Simulador!A45</f>
        <v>46528</v>
      </c>
      <c r="C50" s="160"/>
      <c r="D50" s="161">
        <f ca="1">Simulador!C45</f>
        <v>12</v>
      </c>
      <c r="E50" s="160"/>
      <c r="F50" s="162" t="str">
        <f ca="1">Simulador!E45</f>
        <v>Retorno</v>
      </c>
      <c r="G50" s="160"/>
      <c r="H50" s="157">
        <f ca="1">Simulador!G45</f>
        <v>729.43571947028613</v>
      </c>
      <c r="I50" s="160"/>
      <c r="J50" s="157">
        <f ca="1">Simulador!I45</f>
        <v>8146.0931701373775</v>
      </c>
      <c r="K50" s="160"/>
      <c r="L50" s="157">
        <f ca="1">Simulador!K45</f>
        <v>0</v>
      </c>
      <c r="M50" s="160"/>
      <c r="N50" s="157">
        <f ca="1">Simulador!M45</f>
        <v>134.55359316144569</v>
      </c>
      <c r="O50" s="160"/>
      <c r="P50" s="157">
        <f ca="1">Simulador!O45</f>
        <v>75</v>
      </c>
      <c r="Q50" s="160"/>
      <c r="R50" s="157">
        <f ca="1">Simulador!Q45</f>
        <v>9085.0824827691085</v>
      </c>
      <c r="S50" s="160"/>
      <c r="T50" s="157">
        <f ca="1">Simulador!S45</f>
        <v>741750.78920311853</v>
      </c>
    </row>
    <row r="51" spans="2:20" x14ac:dyDescent="0.3">
      <c r="B51" s="163">
        <f ca="1">Simulador!A46</f>
        <v>46559</v>
      </c>
      <c r="C51" s="160"/>
      <c r="D51" s="161">
        <f ca="1">Simulador!C46</f>
        <v>13</v>
      </c>
      <c r="E51" s="160"/>
      <c r="F51" s="162" t="str">
        <f ca="1">Simulador!E46</f>
        <v>Retorno</v>
      </c>
      <c r="G51" s="160"/>
      <c r="H51" s="157">
        <f ca="1">Simulador!G46</f>
        <v>737.43869535161866</v>
      </c>
      <c r="I51" s="160"/>
      <c r="J51" s="157">
        <f ca="1">Simulador!I46</f>
        <v>8138.0901942560449</v>
      </c>
      <c r="K51" s="160"/>
      <c r="L51" s="157">
        <f ca="1">Simulador!K46</f>
        <v>0</v>
      </c>
      <c r="M51" s="160"/>
      <c r="N51" s="157">
        <f ca="1">Simulador!M46</f>
        <v>134.41982178210893</v>
      </c>
      <c r="O51" s="160"/>
      <c r="P51" s="157">
        <f ca="1">Simulador!O46</f>
        <v>75</v>
      </c>
      <c r="Q51" s="160"/>
      <c r="R51" s="157">
        <f ca="1">Simulador!Q46</f>
        <v>9084.9487113897721</v>
      </c>
      <c r="S51" s="160"/>
      <c r="T51" s="157">
        <f ca="1">Simulador!S46</f>
        <v>741013.35050776694</v>
      </c>
    </row>
    <row r="52" spans="2:20" x14ac:dyDescent="0.3">
      <c r="B52" s="163">
        <f ca="1">Simulador!A47</f>
        <v>46589</v>
      </c>
      <c r="C52" s="160"/>
      <c r="D52" s="161">
        <f ca="1">Simulador!C47</f>
        <v>14</v>
      </c>
      <c r="E52" s="160"/>
      <c r="F52" s="162" t="str">
        <f ca="1">Simulador!E47</f>
        <v>Retorno</v>
      </c>
      <c r="G52" s="160"/>
      <c r="H52" s="157">
        <f ca="1">Simulador!G47</f>
        <v>745.52947557440712</v>
      </c>
      <c r="I52" s="160"/>
      <c r="J52" s="157">
        <f ca="1">Simulador!I47</f>
        <v>8129.9994140332565</v>
      </c>
      <c r="K52" s="160"/>
      <c r="L52" s="157">
        <f ca="1">Simulador!K47</f>
        <v>0</v>
      </c>
      <c r="M52" s="160"/>
      <c r="N52" s="157">
        <f ca="1">Simulador!M47</f>
        <v>134.28458273523972</v>
      </c>
      <c r="O52" s="160"/>
      <c r="P52" s="157">
        <f ca="1">Simulador!O47</f>
        <v>75</v>
      </c>
      <c r="Q52" s="160"/>
      <c r="R52" s="157">
        <f ca="1">Simulador!Q47</f>
        <v>9084.813472342903</v>
      </c>
      <c r="S52" s="160"/>
      <c r="T52" s="157">
        <f ca="1">Simulador!S47</f>
        <v>740267.82103219256</v>
      </c>
    </row>
    <row r="53" spans="2:20" x14ac:dyDescent="0.3">
      <c r="B53" s="163">
        <f ca="1">Simulador!A48</f>
        <v>46620</v>
      </c>
      <c r="C53" s="160"/>
      <c r="D53" s="161">
        <f ca="1">Simulador!C48</f>
        <v>15</v>
      </c>
      <c r="E53" s="160"/>
      <c r="F53" s="162" t="str">
        <f ca="1">Simulador!E48</f>
        <v>Retorno</v>
      </c>
      <c r="G53" s="160"/>
      <c r="H53" s="157">
        <f ca="1">Simulador!G48</f>
        <v>753.70902348044547</v>
      </c>
      <c r="I53" s="160"/>
      <c r="J53" s="157">
        <f ca="1">Simulador!I48</f>
        <v>8121.8198661272181</v>
      </c>
      <c r="K53" s="160"/>
      <c r="L53" s="157">
        <f ca="1">Simulador!K48</f>
        <v>0</v>
      </c>
      <c r="M53" s="160"/>
      <c r="N53" s="157">
        <f ca="1">Simulador!M48</f>
        <v>131.33770629274727</v>
      </c>
      <c r="O53" s="160"/>
      <c r="P53" s="157">
        <f ca="1">Simulador!O48</f>
        <v>75</v>
      </c>
      <c r="Q53" s="160"/>
      <c r="R53" s="157">
        <f ca="1">Simulador!Q48</f>
        <v>9081.8665959004102</v>
      </c>
      <c r="S53" s="160"/>
      <c r="T53" s="157">
        <f ca="1">Simulador!S48</f>
        <v>739514.11200871214</v>
      </c>
    </row>
    <row r="54" spans="2:20" x14ac:dyDescent="0.3">
      <c r="B54" s="163">
        <f ca="1">Simulador!A49</f>
        <v>46651</v>
      </c>
      <c r="C54" s="160"/>
      <c r="D54" s="161">
        <f ca="1">Simulador!C49</f>
        <v>16</v>
      </c>
      <c r="E54" s="160"/>
      <c r="F54" s="162" t="str">
        <f ca="1">Simulador!E49</f>
        <v>Retorno</v>
      </c>
      <c r="G54" s="160"/>
      <c r="H54" s="157">
        <f ca="1">Simulador!G49</f>
        <v>761.97831298122401</v>
      </c>
      <c r="I54" s="160"/>
      <c r="J54" s="157">
        <f ca="1">Simulador!I49</f>
        <v>8113.5505766264396</v>
      </c>
      <c r="K54" s="160"/>
      <c r="L54" s="157">
        <f ca="1">Simulador!K49</f>
        <v>0</v>
      </c>
      <c r="M54" s="160"/>
      <c r="N54" s="157">
        <f ca="1">Simulador!M49</f>
        <v>134.00963705240559</v>
      </c>
      <c r="O54" s="160"/>
      <c r="P54" s="157">
        <f ca="1">Simulador!O49</f>
        <v>75</v>
      </c>
      <c r="Q54" s="160"/>
      <c r="R54" s="157">
        <f ca="1">Simulador!Q49</f>
        <v>9084.5385266600697</v>
      </c>
      <c r="S54" s="160"/>
      <c r="T54" s="157">
        <f ca="1">Simulador!S49</f>
        <v>738752.13369573094</v>
      </c>
    </row>
    <row r="55" spans="2:20" x14ac:dyDescent="0.3">
      <c r="B55" s="163">
        <f ca="1">Simulador!A50</f>
        <v>46681</v>
      </c>
      <c r="C55" s="160"/>
      <c r="D55" s="161">
        <f ca="1">Simulador!C50</f>
        <v>17</v>
      </c>
      <c r="E55" s="160"/>
      <c r="F55" s="162" t="str">
        <f ca="1">Simulador!E50</f>
        <v>Retorno</v>
      </c>
      <c r="G55" s="160"/>
      <c r="H55" s="157">
        <f ca="1">Simulador!G50</f>
        <v>770.33832867294768</v>
      </c>
      <c r="I55" s="160"/>
      <c r="J55" s="157">
        <f ca="1">Simulador!I50</f>
        <v>8105.1905609347159</v>
      </c>
      <c r="K55" s="160"/>
      <c r="L55" s="157">
        <f ca="1">Simulador!K50</f>
        <v>0</v>
      </c>
      <c r="M55" s="160"/>
      <c r="N55" s="157">
        <f ca="1">Simulador!M50</f>
        <v>133.86989767958431</v>
      </c>
      <c r="O55" s="160"/>
      <c r="P55" s="157">
        <f ca="1">Simulador!O50</f>
        <v>75</v>
      </c>
      <c r="Q55" s="160"/>
      <c r="R55" s="157">
        <f ca="1">Simulador!Q50</f>
        <v>9084.3987872872476</v>
      </c>
      <c r="S55" s="160"/>
      <c r="T55" s="157">
        <f ca="1">Simulador!S50</f>
        <v>737981.79536705802</v>
      </c>
    </row>
    <row r="56" spans="2:20" x14ac:dyDescent="0.3">
      <c r="B56" s="163">
        <f ca="1">Simulador!A51</f>
        <v>46712</v>
      </c>
      <c r="C56" s="160"/>
      <c r="D56" s="161">
        <f ca="1">Simulador!C51</f>
        <v>18</v>
      </c>
      <c r="E56" s="160"/>
      <c r="F56" s="162" t="str">
        <f ca="1">Simulador!E51</f>
        <v>Retorno</v>
      </c>
      <c r="G56" s="160"/>
      <c r="H56" s="157">
        <f ca="1">Simulador!G51</f>
        <v>778.79006595469764</v>
      </c>
      <c r="I56" s="160"/>
      <c r="J56" s="157">
        <f ca="1">Simulador!I51</f>
        <v>8096.7388236529659</v>
      </c>
      <c r="K56" s="160"/>
      <c r="L56" s="157">
        <f ca="1">Simulador!K51</f>
        <v>0</v>
      </c>
      <c r="M56" s="160"/>
      <c r="N56" s="157">
        <f ca="1">Simulador!M51</f>
        <v>130.92725374147597</v>
      </c>
      <c r="O56" s="160"/>
      <c r="P56" s="157">
        <f ca="1">Simulador!O51</f>
        <v>75</v>
      </c>
      <c r="Q56" s="160"/>
      <c r="R56" s="157">
        <f ca="1">Simulador!Q51</f>
        <v>9081.4561433491399</v>
      </c>
      <c r="S56" s="160"/>
      <c r="T56" s="157">
        <f ca="1">Simulador!S51</f>
        <v>737203.00530110335</v>
      </c>
    </row>
    <row r="57" spans="2:20" x14ac:dyDescent="0.3">
      <c r="B57" s="163">
        <f ca="1">Simulador!A52</f>
        <v>46742</v>
      </c>
      <c r="C57" s="160"/>
      <c r="D57" s="161">
        <f ca="1">Simulador!C52</f>
        <v>19</v>
      </c>
      <c r="E57" s="160"/>
      <c r="F57" s="162" t="str">
        <f ca="1">Simulador!E52</f>
        <v>Retorno</v>
      </c>
      <c r="G57" s="160"/>
      <c r="H57" s="157">
        <f ca="1">Simulador!G52</f>
        <v>787.33453114624353</v>
      </c>
      <c r="I57" s="160"/>
      <c r="J57" s="157">
        <f ca="1">Simulador!I52</f>
        <v>8088.1943584614201</v>
      </c>
      <c r="K57" s="160"/>
      <c r="L57" s="157">
        <f ca="1">Simulador!K52</f>
        <v>0</v>
      </c>
      <c r="M57" s="160"/>
      <c r="N57" s="157">
        <f ca="1">Simulador!M52</f>
        <v>133.58580267767022</v>
      </c>
      <c r="O57" s="160"/>
      <c r="P57" s="157">
        <f ca="1">Simulador!O52</f>
        <v>75</v>
      </c>
      <c r="Q57" s="160"/>
      <c r="R57" s="157">
        <f ca="1">Simulador!Q52</f>
        <v>9084.1146922853331</v>
      </c>
      <c r="S57" s="160"/>
      <c r="T57" s="157">
        <f ca="1">Simulador!S52</f>
        <v>736415.67076995713</v>
      </c>
    </row>
    <row r="58" spans="2:20" x14ac:dyDescent="0.3">
      <c r="B58" s="163">
        <f ca="1">Simulador!A53</f>
        <v>46773</v>
      </c>
      <c r="C58" s="160"/>
      <c r="D58" s="161">
        <f ca="1">Simulador!C53</f>
        <v>20</v>
      </c>
      <c r="E58" s="160"/>
      <c r="F58" s="162" t="str">
        <f ca="1">Simulador!E53</f>
        <v>Retorno</v>
      </c>
      <c r="G58" s="160"/>
      <c r="H58" s="157">
        <f ca="1">Simulador!G53</f>
        <v>795.97274160818415</v>
      </c>
      <c r="I58" s="160"/>
      <c r="J58" s="157">
        <f ca="1">Simulador!I53</f>
        <v>8079.5561479994794</v>
      </c>
      <c r="K58" s="160"/>
      <c r="L58" s="157">
        <f ca="1">Simulador!K53</f>
        <v>0</v>
      </c>
      <c r="M58" s="160"/>
      <c r="N58" s="157">
        <f ca="1">Simulador!M53</f>
        <v>133.4414132223425</v>
      </c>
      <c r="O58" s="160"/>
      <c r="P58" s="157">
        <f ca="1">Simulador!O53</f>
        <v>75</v>
      </c>
      <c r="Q58" s="160"/>
      <c r="R58" s="157">
        <f ca="1">Simulador!Q53</f>
        <v>9083.9703028300064</v>
      </c>
      <c r="S58" s="160"/>
      <c r="T58" s="157">
        <f ca="1">Simulador!S53</f>
        <v>735619.69802834897</v>
      </c>
    </row>
    <row r="59" spans="2:20" x14ac:dyDescent="0.3">
      <c r="B59" s="163">
        <f ca="1">Simulador!A54</f>
        <v>46804</v>
      </c>
      <c r="C59" s="160"/>
      <c r="D59" s="161">
        <f ca="1">Simulador!C54</f>
        <v>21</v>
      </c>
      <c r="E59" s="160"/>
      <c r="F59" s="162" t="str">
        <f ca="1">Simulador!E54</f>
        <v>Retorno</v>
      </c>
      <c r="G59" s="160"/>
      <c r="H59" s="157">
        <f ca="1">Simulador!G54</f>
        <v>804.70572586336857</v>
      </c>
      <c r="I59" s="160"/>
      <c r="J59" s="157">
        <f ca="1">Simulador!I54</f>
        <v>8070.823163744295</v>
      </c>
      <c r="K59" s="160"/>
      <c r="L59" s="157">
        <f ca="1">Simulador!K54</f>
        <v>0</v>
      </c>
      <c r="M59" s="160"/>
      <c r="N59" s="157">
        <f ca="1">Simulador!M54</f>
        <v>133.2954396036709</v>
      </c>
      <c r="O59" s="160"/>
      <c r="P59" s="157">
        <f ca="1">Simulador!O54</f>
        <v>75</v>
      </c>
      <c r="Q59" s="160"/>
      <c r="R59" s="157">
        <f ca="1">Simulador!Q54</f>
        <v>9083.8243292113348</v>
      </c>
      <c r="S59" s="160"/>
      <c r="T59" s="157">
        <f ca="1">Simulador!S54</f>
        <v>734814.99230248563</v>
      </c>
    </row>
    <row r="60" spans="2:20" x14ac:dyDescent="0.3">
      <c r="B60" s="163">
        <f ca="1">Simulador!A55</f>
        <v>46833</v>
      </c>
      <c r="C60" s="160"/>
      <c r="D60" s="161">
        <f ca="1">Simulador!C55</f>
        <v>22</v>
      </c>
      <c r="E60" s="160"/>
      <c r="F60" s="162" t="str">
        <f ca="1">Simulador!E55</f>
        <v>Retorno</v>
      </c>
      <c r="G60" s="160"/>
      <c r="H60" s="157">
        <f ca="1">Simulador!G55</f>
        <v>813.53452371878302</v>
      </c>
      <c r="I60" s="160"/>
      <c r="J60" s="157">
        <f ca="1">Simulador!I55</f>
        <v>8061.9943658888806</v>
      </c>
      <c r="K60" s="160"/>
      <c r="L60" s="157">
        <f ca="1">Simulador!K55</f>
        <v>0</v>
      </c>
      <c r="M60" s="160"/>
      <c r="N60" s="157">
        <f ca="1">Simulador!M55</f>
        <v>133.14786444106829</v>
      </c>
      <c r="O60" s="160"/>
      <c r="P60" s="157">
        <f ca="1">Simulador!O55</f>
        <v>75</v>
      </c>
      <c r="Q60" s="160"/>
      <c r="R60" s="157">
        <f ca="1">Simulador!Q55</f>
        <v>9083.6767540487326</v>
      </c>
      <c r="S60" s="160"/>
      <c r="T60" s="157">
        <f ca="1">Simulador!S55</f>
        <v>734001.45777876687</v>
      </c>
    </row>
    <row r="61" spans="2:20" x14ac:dyDescent="0.3">
      <c r="B61" s="163">
        <f ca="1">Simulador!A56</f>
        <v>46864</v>
      </c>
      <c r="C61" s="160"/>
      <c r="D61" s="161">
        <f ca="1">Simulador!C56</f>
        <v>23</v>
      </c>
      <c r="E61" s="160"/>
      <c r="F61" s="162" t="str">
        <f ca="1">Simulador!E56</f>
        <v>Retorno</v>
      </c>
      <c r="G61" s="160"/>
      <c r="H61" s="157">
        <f ca="1">Simulador!G56</f>
        <v>822.46018638941678</v>
      </c>
      <c r="I61" s="160"/>
      <c r="J61" s="157">
        <f ca="1">Simulador!I56</f>
        <v>8053.0687032182468</v>
      </c>
      <c r="K61" s="160"/>
      <c r="L61" s="157">
        <f ca="1">Simulador!K56</f>
        <v>0</v>
      </c>
      <c r="M61" s="160"/>
      <c r="N61" s="157">
        <f ca="1">Simulador!M56</f>
        <v>130.21258997240625</v>
      </c>
      <c r="O61" s="160"/>
      <c r="P61" s="157">
        <f ca="1">Simulador!O56</f>
        <v>75</v>
      </c>
      <c r="Q61" s="160"/>
      <c r="R61" s="157">
        <f ca="1">Simulador!Q56</f>
        <v>9080.7414795800705</v>
      </c>
      <c r="S61" s="160"/>
      <c r="T61" s="157">
        <f ca="1">Simulador!S56</f>
        <v>733178.99759237748</v>
      </c>
    </row>
    <row r="62" spans="2:20" x14ac:dyDescent="0.3">
      <c r="B62" s="163">
        <f ca="1">Simulador!A57</f>
        <v>46894</v>
      </c>
      <c r="C62" s="160"/>
      <c r="D62" s="161">
        <f ca="1">Simulador!C57</f>
        <v>24</v>
      </c>
      <c r="E62" s="160"/>
      <c r="F62" s="162" t="str">
        <f ca="1">Simulador!E57</f>
        <v>Retorno</v>
      </c>
      <c r="G62" s="160"/>
      <c r="H62" s="157">
        <f ca="1">Simulador!G57</f>
        <v>831.48377662410712</v>
      </c>
      <c r="I62" s="160"/>
      <c r="J62" s="157">
        <f ca="1">Simulador!I57</f>
        <v>8044.0451129835565</v>
      </c>
      <c r="K62" s="160"/>
      <c r="L62" s="157">
        <f ca="1">Simulador!K57</f>
        <v>0</v>
      </c>
      <c r="M62" s="160"/>
      <c r="N62" s="157">
        <f ca="1">Simulador!M57</f>
        <v>132.84783900617765</v>
      </c>
      <c r="O62" s="160"/>
      <c r="P62" s="157">
        <f ca="1">Simulador!O57</f>
        <v>75</v>
      </c>
      <c r="Q62" s="160"/>
      <c r="R62" s="157">
        <f ca="1">Simulador!Q57</f>
        <v>9083.3767286138409</v>
      </c>
      <c r="S62" s="160"/>
      <c r="T62" s="157">
        <f ca="1">Simulador!S57</f>
        <v>732347.51381575339</v>
      </c>
    </row>
    <row r="63" spans="2:20" x14ac:dyDescent="0.3">
      <c r="B63" s="163">
        <f ca="1">Simulador!A58</f>
        <v>46925</v>
      </c>
      <c r="C63" s="160"/>
      <c r="D63" s="161">
        <f ca="1">Simulador!C58</f>
        <v>25</v>
      </c>
      <c r="E63" s="160"/>
      <c r="F63" s="162" t="str">
        <f ca="1">Simulador!E58</f>
        <v>Retorno</v>
      </c>
      <c r="G63" s="160"/>
      <c r="H63" s="157">
        <f ca="1">Simulador!G58</f>
        <v>840.6063688312679</v>
      </c>
      <c r="I63" s="160"/>
      <c r="J63" s="157">
        <f ca="1">Simulador!I58</f>
        <v>8034.9225207763957</v>
      </c>
      <c r="K63" s="160"/>
      <c r="L63" s="157">
        <f ca="1">Simulador!K58</f>
        <v>0</v>
      </c>
      <c r="M63" s="160"/>
      <c r="N63" s="157">
        <f ca="1">Simulador!M58</f>
        <v>132.69535301087168</v>
      </c>
      <c r="O63" s="160"/>
      <c r="P63" s="157">
        <f ca="1">Simulador!O58</f>
        <v>75</v>
      </c>
      <c r="Q63" s="160"/>
      <c r="R63" s="157">
        <f ca="1">Simulador!Q58</f>
        <v>9083.2242426185348</v>
      </c>
      <c r="S63" s="160"/>
      <c r="T63" s="157">
        <f ca="1">Simulador!S58</f>
        <v>731506.90744692215</v>
      </c>
    </row>
    <row r="64" spans="2:20" x14ac:dyDescent="0.3">
      <c r="B64" s="163">
        <f ca="1">Simulador!A59</f>
        <v>46955</v>
      </c>
      <c r="C64" s="160"/>
      <c r="D64" s="161">
        <f ca="1">Simulador!C59</f>
        <v>26</v>
      </c>
      <c r="E64" s="160"/>
      <c r="F64" s="162" t="str">
        <f ca="1">Simulador!E59</f>
        <v>Retorno</v>
      </c>
      <c r="G64" s="160"/>
      <c r="H64" s="157">
        <f ca="1">Simulador!G59</f>
        <v>849.8290492071792</v>
      </c>
      <c r="I64" s="160"/>
      <c r="J64" s="157">
        <f ca="1">Simulador!I59</f>
        <v>8025.6998404004844</v>
      </c>
      <c r="K64" s="160"/>
      <c r="L64" s="157">
        <f ca="1">Simulador!K59</f>
        <v>0</v>
      </c>
      <c r="M64" s="160"/>
      <c r="N64" s="157">
        <f ca="1">Simulador!M59</f>
        <v>132.54119402134549</v>
      </c>
      <c r="O64" s="160"/>
      <c r="P64" s="157">
        <f ca="1">Simulador!O59</f>
        <v>75</v>
      </c>
      <c r="Q64" s="160"/>
      <c r="R64" s="157">
        <f ca="1">Simulador!Q59</f>
        <v>9083.0700836290089</v>
      </c>
      <c r="S64" s="160"/>
      <c r="T64" s="157">
        <f ca="1">Simulador!S59</f>
        <v>730657.078397715</v>
      </c>
    </row>
    <row r="65" spans="2:20" x14ac:dyDescent="0.3">
      <c r="B65" s="163">
        <f ca="1">Simulador!A60</f>
        <v>46986</v>
      </c>
      <c r="C65" s="160"/>
      <c r="D65" s="161">
        <f ca="1">Simulador!C60</f>
        <v>27</v>
      </c>
      <c r="E65" s="160"/>
      <c r="F65" s="162" t="str">
        <f ca="1">Simulador!E60</f>
        <v>Retorno</v>
      </c>
      <c r="G65" s="160"/>
      <c r="H65" s="157">
        <f ca="1">Simulador!G60</f>
        <v>859.15291586544117</v>
      </c>
      <c r="I65" s="160"/>
      <c r="J65" s="157">
        <f ca="1">Simulador!I60</f>
        <v>8016.3759737422224</v>
      </c>
      <c r="K65" s="160"/>
      <c r="L65" s="157">
        <f ca="1">Simulador!K60</f>
        <v>0</v>
      </c>
      <c r="M65" s="160"/>
      <c r="N65" s="157">
        <f ca="1">Simulador!M60</f>
        <v>132.38534368240749</v>
      </c>
      <c r="O65" s="160"/>
      <c r="P65" s="157">
        <f ca="1">Simulador!O60</f>
        <v>75</v>
      </c>
      <c r="Q65" s="160"/>
      <c r="R65" s="157">
        <f ca="1">Simulador!Q60</f>
        <v>9082.9142332900719</v>
      </c>
      <c r="S65" s="160"/>
      <c r="T65" s="157">
        <f ca="1">Simulador!S60</f>
        <v>729797.92548184958</v>
      </c>
    </row>
    <row r="66" spans="2:20" x14ac:dyDescent="0.3">
      <c r="B66" s="163">
        <f ca="1">Simulador!A61</f>
        <v>47017</v>
      </c>
      <c r="C66" s="160"/>
      <c r="D66" s="161">
        <f ca="1">Simulador!C61</f>
        <v>28</v>
      </c>
      <c r="E66" s="160"/>
      <c r="F66" s="162" t="str">
        <f ca="1">Simulador!E61</f>
        <v>Retorno</v>
      </c>
      <c r="G66" s="160"/>
      <c r="H66" s="157">
        <f ca="1">Simulador!G61</f>
        <v>868.57907896724282</v>
      </c>
      <c r="I66" s="160"/>
      <c r="J66" s="157">
        <f ca="1">Simulador!I61</f>
        <v>8006.9498106404208</v>
      </c>
      <c r="K66" s="160"/>
      <c r="L66" s="157">
        <f ca="1">Simulador!K61</f>
        <v>0</v>
      </c>
      <c r="M66" s="160"/>
      <c r="N66" s="157">
        <f ca="1">Simulador!M61</f>
        <v>163.06149479032479</v>
      </c>
      <c r="O66" s="160"/>
      <c r="P66" s="157">
        <f ca="1">Simulador!O61</f>
        <v>75</v>
      </c>
      <c r="Q66" s="160"/>
      <c r="R66" s="157">
        <f ca="1">Simulador!Q61</f>
        <v>9113.5903843979886</v>
      </c>
      <c r="S66" s="160"/>
      <c r="T66" s="157">
        <f ca="1">Simulador!S61</f>
        <v>728929.34640288237</v>
      </c>
    </row>
    <row r="67" spans="2:20" x14ac:dyDescent="0.3">
      <c r="B67" s="163">
        <f ca="1">Simulador!A62</f>
        <v>47047</v>
      </c>
      <c r="C67" s="160"/>
      <c r="D67" s="161">
        <f ca="1">Simulador!C62</f>
        <v>29</v>
      </c>
      <c r="E67" s="160"/>
      <c r="F67" s="162" t="str">
        <f ca="1">Simulador!E62</f>
        <v>Retorno</v>
      </c>
      <c r="G67" s="160"/>
      <c r="H67" s="157">
        <f ca="1">Simulador!G62</f>
        <v>878.10866085430825</v>
      </c>
      <c r="I67" s="160"/>
      <c r="J67" s="157">
        <f ca="1">Simulador!I62</f>
        <v>7997.4202287533553</v>
      </c>
      <c r="K67" s="160"/>
      <c r="L67" s="157">
        <f ca="1">Simulador!K62</f>
        <v>0</v>
      </c>
      <c r="M67" s="160"/>
      <c r="N67" s="157">
        <f ca="1">Simulador!M62</f>
        <v>162.86506188289167</v>
      </c>
      <c r="O67" s="160"/>
      <c r="P67" s="157">
        <f ca="1">Simulador!O62</f>
        <v>75</v>
      </c>
      <c r="Q67" s="160"/>
      <c r="R67" s="157">
        <f ca="1">Simulador!Q62</f>
        <v>9113.393951490556</v>
      </c>
      <c r="S67" s="160"/>
      <c r="T67" s="157">
        <f ca="1">Simulador!S62</f>
        <v>728051.23774202808</v>
      </c>
    </row>
    <row r="68" spans="2:20" x14ac:dyDescent="0.3">
      <c r="B68" s="163">
        <f ca="1">Simulador!A63</f>
        <v>47078</v>
      </c>
      <c r="C68" s="160"/>
      <c r="D68" s="161">
        <f ca="1">Simulador!C63</f>
        <v>30</v>
      </c>
      <c r="E68" s="160"/>
      <c r="F68" s="162" t="str">
        <f ca="1">Simulador!E63</f>
        <v>Retorno</v>
      </c>
      <c r="G68" s="160"/>
      <c r="H68" s="157">
        <f ca="1">Simulador!G63</f>
        <v>887.74279618172659</v>
      </c>
      <c r="I68" s="160"/>
      <c r="J68" s="157">
        <f ca="1">Simulador!I63</f>
        <v>7987.786093425937</v>
      </c>
      <c r="K68" s="160"/>
      <c r="L68" s="157">
        <f ca="1">Simulador!K63</f>
        <v>0</v>
      </c>
      <c r="M68" s="160"/>
      <c r="N68" s="157">
        <f ca="1">Simulador!M63</f>
        <v>162.66647381938583</v>
      </c>
      <c r="O68" s="160"/>
      <c r="P68" s="157">
        <f ca="1">Simulador!O63</f>
        <v>75</v>
      </c>
      <c r="Q68" s="160"/>
      <c r="R68" s="157">
        <f ca="1">Simulador!Q63</f>
        <v>9113.1953634270503</v>
      </c>
      <c r="S68" s="160"/>
      <c r="T68" s="157">
        <f ca="1">Simulador!S63</f>
        <v>727163.49494584638</v>
      </c>
    </row>
    <row r="69" spans="2:20" x14ac:dyDescent="0.3">
      <c r="B69" s="163">
        <f ca="1">Simulador!A64</f>
        <v>47108</v>
      </c>
      <c r="C69" s="160"/>
      <c r="D69" s="161">
        <f ca="1">Simulador!C64</f>
        <v>31</v>
      </c>
      <c r="E69" s="160"/>
      <c r="F69" s="162" t="str">
        <f ca="1">Simulador!E64</f>
        <v>Retorno</v>
      </c>
      <c r="G69" s="160"/>
      <c r="H69" s="157">
        <f ca="1">Simulador!G64</f>
        <v>897.4826320535758</v>
      </c>
      <c r="I69" s="160"/>
      <c r="J69" s="157">
        <f ca="1">Simulador!I64</f>
        <v>7978.0462575540878</v>
      </c>
      <c r="K69" s="160"/>
      <c r="L69" s="157">
        <f ca="1">Simulador!K64</f>
        <v>0</v>
      </c>
      <c r="M69" s="160"/>
      <c r="N69" s="157">
        <f ca="1">Simulador!M64</f>
        <v>162.46570695459545</v>
      </c>
      <c r="O69" s="160"/>
      <c r="P69" s="157">
        <f ca="1">Simulador!O64</f>
        <v>75</v>
      </c>
      <c r="Q69" s="160"/>
      <c r="R69" s="157">
        <f ca="1">Simulador!Q64</f>
        <v>9112.9945965622592</v>
      </c>
      <c r="S69" s="160"/>
      <c r="T69" s="157">
        <f ca="1">Simulador!S64</f>
        <v>726266.01231379283</v>
      </c>
    </row>
    <row r="70" spans="2:20" x14ac:dyDescent="0.3">
      <c r="B70" s="163">
        <f ca="1">Simulador!A65</f>
        <v>47139</v>
      </c>
      <c r="C70" s="160"/>
      <c r="D70" s="161">
        <f ca="1">Simulador!C65</f>
        <v>32</v>
      </c>
      <c r="E70" s="160"/>
      <c r="F70" s="162" t="str">
        <f ca="1">Simulador!E65</f>
        <v>Retorno</v>
      </c>
      <c r="G70" s="160"/>
      <c r="H70" s="157">
        <f ca="1">Simulador!G65</f>
        <v>907.32932815924505</v>
      </c>
      <c r="I70" s="160"/>
      <c r="J70" s="157">
        <f ca="1">Simulador!I65</f>
        <v>7968.1995614484185</v>
      </c>
      <c r="K70" s="160"/>
      <c r="L70" s="157">
        <f ca="1">Simulador!K65</f>
        <v>0</v>
      </c>
      <c r="M70" s="160"/>
      <c r="N70" s="157">
        <f ca="1">Simulador!M65</f>
        <v>162.26273738388622</v>
      </c>
      <c r="O70" s="160"/>
      <c r="P70" s="157">
        <f ca="1">Simulador!O65</f>
        <v>75</v>
      </c>
      <c r="Q70" s="160"/>
      <c r="R70" s="157">
        <f ca="1">Simulador!Q65</f>
        <v>9112.7916269915495</v>
      </c>
      <c r="S70" s="160"/>
      <c r="T70" s="157">
        <f ca="1">Simulador!S65</f>
        <v>725358.68298563361</v>
      </c>
    </row>
    <row r="71" spans="2:20" x14ac:dyDescent="0.3">
      <c r="B71" s="163">
        <f ca="1">Simulador!A66</f>
        <v>47170</v>
      </c>
      <c r="C71" s="160"/>
      <c r="D71" s="161">
        <f ca="1">Simulador!C66</f>
        <v>33</v>
      </c>
      <c r="E71" s="160"/>
      <c r="F71" s="162" t="str">
        <f ca="1">Simulador!E66</f>
        <v>Retorno</v>
      </c>
      <c r="G71" s="160"/>
      <c r="H71" s="157">
        <f ca="1">Simulador!G66</f>
        <v>917.28405691173612</v>
      </c>
      <c r="I71" s="160"/>
      <c r="J71" s="157">
        <f ca="1">Simulador!I66</f>
        <v>7958.2448326959275</v>
      </c>
      <c r="K71" s="160"/>
      <c r="L71" s="157">
        <f ca="1">Simulador!K66</f>
        <v>0</v>
      </c>
      <c r="M71" s="160"/>
      <c r="N71" s="157">
        <f ca="1">Simulador!M66</f>
        <v>162.05754094035507</v>
      </c>
      <c r="O71" s="160"/>
      <c r="P71" s="157">
        <f ca="1">Simulador!O66</f>
        <v>75</v>
      </c>
      <c r="Q71" s="160"/>
      <c r="R71" s="157">
        <f ca="1">Simulador!Q66</f>
        <v>9112.5864305480191</v>
      </c>
      <c r="S71" s="160"/>
      <c r="T71" s="157">
        <f ca="1">Simulador!S66</f>
        <v>724441.3989287219</v>
      </c>
    </row>
    <row r="72" spans="2:20" x14ac:dyDescent="0.3">
      <c r="B72" s="163">
        <f ca="1">Simulador!A67</f>
        <v>47198</v>
      </c>
      <c r="C72" s="160"/>
      <c r="D72" s="161">
        <f ca="1">Simulador!C67</f>
        <v>34</v>
      </c>
      <c r="E72" s="160"/>
      <c r="F72" s="162" t="str">
        <f ca="1">Simulador!E67</f>
        <v>Retorno</v>
      </c>
      <c r="G72" s="160"/>
      <c r="H72" s="157">
        <f ca="1">Simulador!G67</f>
        <v>927.3480035870125</v>
      </c>
      <c r="I72" s="160"/>
      <c r="J72" s="157">
        <f ca="1">Simulador!I67</f>
        <v>7948.1808860206511</v>
      </c>
      <c r="K72" s="160"/>
      <c r="L72" s="157">
        <f ca="1">Simulador!K67</f>
        <v>0</v>
      </c>
      <c r="M72" s="160"/>
      <c r="N72" s="157">
        <f ca="1">Simulador!M67</f>
        <v>161.85009319195268</v>
      </c>
      <c r="O72" s="160"/>
      <c r="P72" s="157">
        <f ca="1">Simulador!O67</f>
        <v>75</v>
      </c>
      <c r="Q72" s="160"/>
      <c r="R72" s="157">
        <f ca="1">Simulador!Q67</f>
        <v>9112.378982799617</v>
      </c>
      <c r="S72" s="160"/>
      <c r="T72" s="157">
        <f ca="1">Simulador!S67</f>
        <v>723514.05092513491</v>
      </c>
    </row>
    <row r="73" spans="2:20" x14ac:dyDescent="0.3">
      <c r="B73" s="163">
        <f ca="1">Simulador!A68</f>
        <v>47229</v>
      </c>
      <c r="C73" s="160"/>
      <c r="D73" s="161">
        <f ca="1">Simulador!C68</f>
        <v>35</v>
      </c>
      <c r="E73" s="160"/>
      <c r="F73" s="162" t="str">
        <f ca="1">Simulador!E68</f>
        <v>Retorno</v>
      </c>
      <c r="G73" s="160"/>
      <c r="H73" s="157">
        <f ca="1">Simulador!G68</f>
        <v>937.52236646532765</v>
      </c>
      <c r="I73" s="160"/>
      <c r="J73" s="157">
        <f ca="1">Simulador!I68</f>
        <v>7938.0065231423359</v>
      </c>
      <c r="K73" s="160"/>
      <c r="L73" s="157">
        <f ca="1">Simulador!K68</f>
        <v>0</v>
      </c>
      <c r="M73" s="160"/>
      <c r="N73" s="157">
        <f ca="1">Simulador!M68</f>
        <v>161.6403694385744</v>
      </c>
      <c r="O73" s="160"/>
      <c r="P73" s="157">
        <f ca="1">Simulador!O68</f>
        <v>75</v>
      </c>
      <c r="Q73" s="160"/>
      <c r="R73" s="157">
        <f ca="1">Simulador!Q68</f>
        <v>9112.1692590462371</v>
      </c>
      <c r="S73" s="160"/>
      <c r="T73" s="157">
        <f ca="1">Simulador!S68</f>
        <v>722576.52855866961</v>
      </c>
    </row>
    <row r="74" spans="2:20" x14ac:dyDescent="0.3">
      <c r="B74" s="163">
        <f ca="1">Simulador!A69</f>
        <v>47259</v>
      </c>
      <c r="C74" s="160"/>
      <c r="D74" s="161">
        <f ca="1">Simulador!C69</f>
        <v>36</v>
      </c>
      <c r="E74" s="160"/>
      <c r="F74" s="162" t="str">
        <f ca="1">Simulador!E69</f>
        <v>Retorno</v>
      </c>
      <c r="G74" s="160"/>
      <c r="H74" s="157">
        <f ca="1">Simulador!G69</f>
        <v>947.80835697383372</v>
      </c>
      <c r="I74" s="160"/>
      <c r="J74" s="157">
        <f ca="1">Simulador!I69</f>
        <v>7927.7205326338299</v>
      </c>
      <c r="K74" s="160"/>
      <c r="L74" s="157">
        <f ca="1">Simulador!K69</f>
        <v>0</v>
      </c>
      <c r="M74" s="160"/>
      <c r="N74" s="157">
        <f ca="1">Simulador!M69</f>
        <v>161.42834470911933</v>
      </c>
      <c r="O74" s="160"/>
      <c r="P74" s="157">
        <f ca="1">Simulador!O69</f>
        <v>75</v>
      </c>
      <c r="Q74" s="160"/>
      <c r="R74" s="157">
        <f ca="1">Simulador!Q69</f>
        <v>9111.9572343167838</v>
      </c>
      <c r="S74" s="160"/>
      <c r="T74" s="157">
        <f ca="1">Simulador!S69</f>
        <v>721628.7202016958</v>
      </c>
    </row>
    <row r="75" spans="2:20" x14ac:dyDescent="0.3">
      <c r="B75" s="163">
        <f ca="1">Simulador!A70</f>
        <v>47290</v>
      </c>
      <c r="C75" s="160"/>
      <c r="D75" s="161">
        <f ca="1">Simulador!C70</f>
        <v>37</v>
      </c>
      <c r="E75" s="160"/>
      <c r="F75" s="162" t="str">
        <f ca="1">Simulador!E70</f>
        <v>Retorno</v>
      </c>
      <c r="G75" s="160"/>
      <c r="H75" s="157">
        <f ca="1">Simulador!G70</f>
        <v>958.20719983082017</v>
      </c>
      <c r="I75" s="160"/>
      <c r="J75" s="157">
        <f ca="1">Simulador!I70</f>
        <v>7917.3216897768434</v>
      </c>
      <c r="K75" s="160"/>
      <c r="L75" s="157">
        <f ca="1">Simulador!K70</f>
        <v>0</v>
      </c>
      <c r="M75" s="160"/>
      <c r="N75" s="157">
        <f ca="1">Simulador!M70</f>
        <v>161.2139937585172</v>
      </c>
      <c r="O75" s="160"/>
      <c r="P75" s="157">
        <f ca="1">Simulador!O70</f>
        <v>75</v>
      </c>
      <c r="Q75" s="160"/>
      <c r="R75" s="157">
        <f ca="1">Simulador!Q70</f>
        <v>9111.7428833661816</v>
      </c>
      <c r="S75" s="160"/>
      <c r="T75" s="157">
        <f ca="1">Simulador!S70</f>
        <v>720670.51300186501</v>
      </c>
    </row>
    <row r="76" spans="2:20" x14ac:dyDescent="0.3">
      <c r="B76" s="163">
        <f ca="1">Simulador!A71</f>
        <v>47320</v>
      </c>
      <c r="C76" s="160"/>
      <c r="D76" s="161">
        <f ca="1">Simulador!C71</f>
        <v>38</v>
      </c>
      <c r="E76" s="160"/>
      <c r="F76" s="162" t="str">
        <f ca="1">Simulador!E71</f>
        <v>Retorno</v>
      </c>
      <c r="G76" s="160"/>
      <c r="H76" s="157">
        <f ca="1">Simulador!G71</f>
        <v>968.7201331913493</v>
      </c>
      <c r="I76" s="160"/>
      <c r="J76" s="157">
        <f ca="1">Simulador!I71</f>
        <v>7906.8087564163143</v>
      </c>
      <c r="K76" s="160"/>
      <c r="L76" s="157">
        <f ca="1">Simulador!K71</f>
        <v>0</v>
      </c>
      <c r="M76" s="160"/>
      <c r="N76" s="157">
        <f ca="1">Simulador!M71</f>
        <v>160.9972910647223</v>
      </c>
      <c r="O76" s="160"/>
      <c r="P76" s="157">
        <f ca="1">Simulador!O71</f>
        <v>75</v>
      </c>
      <c r="Q76" s="160"/>
      <c r="R76" s="157">
        <f ca="1">Simulador!Q71</f>
        <v>9111.5261806723865</v>
      </c>
      <c r="S76" s="160"/>
      <c r="T76" s="157">
        <f ca="1">Simulador!S71</f>
        <v>719701.79286867369</v>
      </c>
    </row>
    <row r="77" spans="2:20" x14ac:dyDescent="0.3">
      <c r="B77" s="163">
        <f ca="1">Simulador!A72</f>
        <v>47351</v>
      </c>
      <c r="C77" s="160"/>
      <c r="D77" s="161">
        <f ca="1">Simulador!C72</f>
        <v>39</v>
      </c>
      <c r="E77" s="160"/>
      <c r="F77" s="162" t="str">
        <f ca="1">Simulador!E72</f>
        <v>Retorno</v>
      </c>
      <c r="G77" s="160"/>
      <c r="H77" s="157">
        <f ca="1">Simulador!G72</f>
        <v>979.34840879498734</v>
      </c>
      <c r="I77" s="160"/>
      <c r="J77" s="157">
        <f ca="1">Simulador!I72</f>
        <v>7896.1804808126763</v>
      </c>
      <c r="K77" s="160"/>
      <c r="L77" s="157">
        <f ca="1">Simulador!K72</f>
        <v>0</v>
      </c>
      <c r="M77" s="160"/>
      <c r="N77" s="157">
        <f ca="1">Simulador!M72</f>
        <v>160.77821082567488</v>
      </c>
      <c r="O77" s="160"/>
      <c r="P77" s="157">
        <f ca="1">Simulador!O72</f>
        <v>75</v>
      </c>
      <c r="Q77" s="160"/>
      <c r="R77" s="157">
        <f ca="1">Simulador!Q72</f>
        <v>9111.3071004333378</v>
      </c>
      <c r="S77" s="160"/>
      <c r="T77" s="157">
        <f ca="1">Simulador!S72</f>
        <v>718722.44445987872</v>
      </c>
    </row>
    <row r="78" spans="2:20" x14ac:dyDescent="0.3">
      <c r="B78" s="163">
        <f ca="1">Simulador!A73</f>
        <v>47382</v>
      </c>
      <c r="C78" s="160"/>
      <c r="D78" s="161">
        <f ca="1">Simulador!C73</f>
        <v>40</v>
      </c>
      <c r="E78" s="160"/>
      <c r="F78" s="162" t="str">
        <f ca="1">Simulador!E73</f>
        <v>Retorno</v>
      </c>
      <c r="G78" s="160"/>
      <c r="H78" s="157">
        <f ca="1">Simulador!G73</f>
        <v>990.09329211481599</v>
      </c>
      <c r="I78" s="160"/>
      <c r="J78" s="157">
        <f ca="1">Simulador!I73</f>
        <v>7885.4355974928476</v>
      </c>
      <c r="K78" s="160"/>
      <c r="L78" s="157">
        <f ca="1">Simulador!K73</f>
        <v>0</v>
      </c>
      <c r="M78" s="160"/>
      <c r="N78" s="157">
        <f ca="1">Simulador!M73</f>
        <v>160.55672695622877</v>
      </c>
      <c r="O78" s="160"/>
      <c r="P78" s="157">
        <f ca="1">Simulador!O73</f>
        <v>75</v>
      </c>
      <c r="Q78" s="160"/>
      <c r="R78" s="157">
        <f ca="1">Simulador!Q73</f>
        <v>9111.0856165638925</v>
      </c>
      <c r="S78" s="160"/>
      <c r="T78" s="157">
        <f ca="1">Simulador!S73</f>
        <v>717732.35116776393</v>
      </c>
    </row>
    <row r="79" spans="2:20" x14ac:dyDescent="0.3">
      <c r="B79" s="163">
        <f ca="1">Simulador!A74</f>
        <v>47412</v>
      </c>
      <c r="C79" s="160"/>
      <c r="D79" s="161">
        <f ca="1">Simulador!C74</f>
        <v>41</v>
      </c>
      <c r="E79" s="160"/>
      <c r="F79" s="162" t="str">
        <f ca="1">Simulador!E74</f>
        <v>Retorno</v>
      </c>
      <c r="G79" s="160"/>
      <c r="H79" s="157">
        <f ca="1">Simulador!G74</f>
        <v>1000.9560625078411</v>
      </c>
      <c r="I79" s="160"/>
      <c r="J79" s="157">
        <f ca="1">Simulador!I74</f>
        <v>7874.5728270998225</v>
      </c>
      <c r="K79" s="160"/>
      <c r="L79" s="157">
        <f ca="1">Simulador!K74</f>
        <v>0</v>
      </c>
      <c r="M79" s="160"/>
      <c r="N79" s="157">
        <f ca="1">Simulador!M74</f>
        <v>160.33281308504579</v>
      </c>
      <c r="O79" s="160"/>
      <c r="P79" s="157">
        <f ca="1">Simulador!O74</f>
        <v>75</v>
      </c>
      <c r="Q79" s="160"/>
      <c r="R79" s="157">
        <f ca="1">Simulador!Q74</f>
        <v>9110.8617026927095</v>
      </c>
      <c r="S79" s="160"/>
      <c r="T79" s="157">
        <f ca="1">Simulador!S74</f>
        <v>716731.39510525612</v>
      </c>
    </row>
    <row r="80" spans="2:20" x14ac:dyDescent="0.3">
      <c r="B80" s="163">
        <f ca="1">Simulador!A75</f>
        <v>47443</v>
      </c>
      <c r="C80" s="160"/>
      <c r="D80" s="161">
        <f ca="1">Simulador!C75</f>
        <v>42</v>
      </c>
      <c r="E80" s="160"/>
      <c r="F80" s="162" t="str">
        <f ca="1">Simulador!E75</f>
        <v>Retorno</v>
      </c>
      <c r="G80" s="160"/>
      <c r="H80" s="157">
        <f ca="1">Simulador!G75</f>
        <v>1011.9380133674968</v>
      </c>
      <c r="I80" s="160"/>
      <c r="J80" s="157">
        <f ca="1">Simulador!I75</f>
        <v>7863.5908762401668</v>
      </c>
      <c r="K80" s="160"/>
      <c r="L80" s="157">
        <f ca="1">Simulador!K75</f>
        <v>0</v>
      </c>
      <c r="M80" s="160"/>
      <c r="N80" s="157">
        <f ca="1">Simulador!M75</f>
        <v>160.10644255145547</v>
      </c>
      <c r="O80" s="160"/>
      <c r="P80" s="157">
        <f ca="1">Simulador!O75</f>
        <v>75</v>
      </c>
      <c r="Q80" s="160"/>
      <c r="R80" s="157">
        <f ca="1">Simulador!Q75</f>
        <v>9110.6353321591196</v>
      </c>
      <c r="S80" s="160"/>
      <c r="T80" s="157">
        <f ca="1">Simulador!S75</f>
        <v>715719.45709188865</v>
      </c>
    </row>
    <row r="81" spans="2:20" x14ac:dyDescent="0.3">
      <c r="B81" s="163">
        <f ca="1">Simulador!A76</f>
        <v>47473</v>
      </c>
      <c r="C81" s="160"/>
      <c r="D81" s="161">
        <f ca="1">Simulador!C76</f>
        <v>43</v>
      </c>
      <c r="E81" s="160"/>
      <c r="F81" s="162" t="str">
        <f ca="1">Simulador!E76</f>
        <v>Retorno</v>
      </c>
      <c r="G81" s="160"/>
      <c r="H81" s="157">
        <f ca="1">Simulador!G76</f>
        <v>1023.040452277779</v>
      </c>
      <c r="I81" s="160"/>
      <c r="J81" s="157">
        <f ca="1">Simulador!I76</f>
        <v>7852.4884373298846</v>
      </c>
      <c r="K81" s="160"/>
      <c r="L81" s="157">
        <f ca="1">Simulador!K76</f>
        <v>0</v>
      </c>
      <c r="M81" s="160"/>
      <c r="N81" s="157">
        <f ca="1">Simulador!M76</f>
        <v>159.87758840228094</v>
      </c>
      <c r="O81" s="160"/>
      <c r="P81" s="157">
        <f ca="1">Simulador!O76</f>
        <v>75</v>
      </c>
      <c r="Q81" s="160"/>
      <c r="R81" s="157">
        <f ca="1">Simulador!Q76</f>
        <v>9110.4064780099452</v>
      </c>
      <c r="S81" s="160"/>
      <c r="T81" s="157">
        <f ca="1">Simulador!S76</f>
        <v>714696.41663961089</v>
      </c>
    </row>
    <row r="82" spans="2:20" x14ac:dyDescent="0.3">
      <c r="B82" s="163">
        <f ca="1">Simulador!A77</f>
        <v>47504</v>
      </c>
      <c r="C82" s="160"/>
      <c r="D82" s="161">
        <f ca="1">Simulador!C77</f>
        <v>44</v>
      </c>
      <c r="E82" s="160"/>
      <c r="F82" s="162" t="str">
        <f ca="1">Simulador!E77</f>
        <v>Retorno</v>
      </c>
      <c r="G82" s="160"/>
      <c r="H82" s="157">
        <f ca="1">Simulador!G77</f>
        <v>1034.2647011686604</v>
      </c>
      <c r="I82" s="160"/>
      <c r="J82" s="157">
        <f ca="1">Simulador!I77</f>
        <v>7841.2641884390032</v>
      </c>
      <c r="K82" s="160"/>
      <c r="L82" s="157">
        <f ca="1">Simulador!K77</f>
        <v>0</v>
      </c>
      <c r="M82" s="160"/>
      <c r="N82" s="157">
        <f ca="1">Simulador!M77</f>
        <v>159.64622338862952</v>
      </c>
      <c r="O82" s="160"/>
      <c r="P82" s="157">
        <f ca="1">Simulador!O77</f>
        <v>75</v>
      </c>
      <c r="Q82" s="160"/>
      <c r="R82" s="157">
        <f ca="1">Simulador!Q77</f>
        <v>9110.1751129962922</v>
      </c>
      <c r="S82" s="160"/>
      <c r="T82" s="157">
        <f ca="1">Simulador!S77</f>
        <v>713662.15193844226</v>
      </c>
    </row>
    <row r="83" spans="2:20" x14ac:dyDescent="0.3">
      <c r="B83" s="163">
        <f ca="1">Simulador!A78</f>
        <v>47535</v>
      </c>
      <c r="C83" s="160"/>
      <c r="D83" s="161">
        <f ca="1">Simulador!C78</f>
        <v>45</v>
      </c>
      <c r="E83" s="160"/>
      <c r="F83" s="162" t="str">
        <f ca="1">Simulador!E78</f>
        <v>Retorno</v>
      </c>
      <c r="G83" s="160"/>
      <c r="H83" s="157">
        <f ca="1">Simulador!G78</f>
        <v>1045.6120964736001</v>
      </c>
      <c r="I83" s="160"/>
      <c r="J83" s="157">
        <f ca="1">Simulador!I78</f>
        <v>7829.9167931340635</v>
      </c>
      <c r="K83" s="160"/>
      <c r="L83" s="157">
        <f ca="1">Simulador!K78</f>
        <v>0</v>
      </c>
      <c r="M83" s="160"/>
      <c r="N83" s="157">
        <f ca="1">Simulador!M78</f>
        <v>159.41231996264838</v>
      </c>
      <c r="O83" s="160"/>
      <c r="P83" s="157">
        <f ca="1">Simulador!O78</f>
        <v>75</v>
      </c>
      <c r="Q83" s="160"/>
      <c r="R83" s="157">
        <f ca="1">Simulador!Q78</f>
        <v>9109.9412095703119</v>
      </c>
      <c r="S83" s="160"/>
      <c r="T83" s="157">
        <f ca="1">Simulador!S78</f>
        <v>712616.53984196868</v>
      </c>
    </row>
    <row r="84" spans="2:20" x14ac:dyDescent="0.3">
      <c r="B84" s="163">
        <f ca="1">Simulador!A79</f>
        <v>47563</v>
      </c>
      <c r="C84" s="160"/>
      <c r="D84" s="161">
        <f ca="1">Simulador!C79</f>
        <v>46</v>
      </c>
      <c r="E84" s="160"/>
      <c r="F84" s="162" t="str">
        <f ca="1">Simulador!E79</f>
        <v>Retorno</v>
      </c>
      <c r="G84" s="160"/>
      <c r="H84" s="157">
        <f ca="1">Simulador!G79</f>
        <v>1057.0839892887998</v>
      </c>
      <c r="I84" s="160"/>
      <c r="J84" s="157">
        <f ca="1">Simulador!I79</f>
        <v>7818.4449003188638</v>
      </c>
      <c r="K84" s="160"/>
      <c r="L84" s="157">
        <f ca="1">Simulador!K79</f>
        <v>0</v>
      </c>
      <c r="M84" s="160"/>
      <c r="N84" s="157">
        <f ca="1">Simulador!M79</f>
        <v>159.17585027424448</v>
      </c>
      <c r="O84" s="160"/>
      <c r="P84" s="157">
        <f ca="1">Simulador!O79</f>
        <v>75</v>
      </c>
      <c r="Q84" s="160"/>
      <c r="R84" s="157">
        <f ca="1">Simulador!Q79</f>
        <v>9109.7047398819086</v>
      </c>
      <c r="S84" s="160"/>
      <c r="T84" s="157">
        <f ca="1">Simulador!S79</f>
        <v>711559.45585267991</v>
      </c>
    </row>
    <row r="85" spans="2:20" x14ac:dyDescent="0.3">
      <c r="B85" s="163">
        <f ca="1">Simulador!A80</f>
        <v>47594</v>
      </c>
      <c r="C85" s="160"/>
      <c r="D85" s="161">
        <f ca="1">Simulador!C80</f>
        <v>47</v>
      </c>
      <c r="E85" s="160"/>
      <c r="F85" s="162" t="str">
        <f ca="1">Simulador!E80</f>
        <v>Retorno</v>
      </c>
      <c r="G85" s="160"/>
      <c r="H85" s="157">
        <f ca="1">Simulador!G80</f>
        <v>1068.6817455338569</v>
      </c>
      <c r="I85" s="160"/>
      <c r="J85" s="157">
        <f ca="1">Simulador!I80</f>
        <v>7806.8471440738067</v>
      </c>
      <c r="K85" s="160"/>
      <c r="L85" s="157">
        <f ca="1">Simulador!K80</f>
        <v>0</v>
      </c>
      <c r="M85" s="160"/>
      <c r="N85" s="157">
        <f ca="1">Simulador!M80</f>
        <v>158.93678616776856</v>
      </c>
      <c r="O85" s="160"/>
      <c r="P85" s="157">
        <f ca="1">Simulador!O80</f>
        <v>75</v>
      </c>
      <c r="Q85" s="160"/>
      <c r="R85" s="157">
        <f ca="1">Simulador!Q80</f>
        <v>9109.4656757754328</v>
      </c>
      <c r="S85" s="160"/>
      <c r="T85" s="157">
        <f ca="1">Simulador!S80</f>
        <v>710490.77410714608</v>
      </c>
    </row>
    <row r="86" spans="2:20" x14ac:dyDescent="0.3">
      <c r="B86" s="163">
        <f ca="1">Simulador!A81</f>
        <v>47624</v>
      </c>
      <c r="C86" s="160"/>
      <c r="D86" s="161">
        <f ca="1">Simulador!C81</f>
        <v>48</v>
      </c>
      <c r="E86" s="160"/>
      <c r="F86" s="162" t="str">
        <f ca="1">Simulador!E81</f>
        <v>Retorno</v>
      </c>
      <c r="G86" s="160"/>
      <c r="H86" s="157">
        <f ca="1">Simulador!G81</f>
        <v>1080.4067461145132</v>
      </c>
      <c r="I86" s="160"/>
      <c r="J86" s="157">
        <f ca="1">Simulador!I81</f>
        <v>7795.1221434931504</v>
      </c>
      <c r="K86" s="160"/>
      <c r="L86" s="157">
        <f ca="1">Simulador!K81</f>
        <v>0</v>
      </c>
      <c r="M86" s="160"/>
      <c r="N86" s="157">
        <f ca="1">Simulador!M81</f>
        <v>158.69509917866276</v>
      </c>
      <c r="O86" s="160"/>
      <c r="P86" s="157">
        <f ca="1">Simulador!O81</f>
        <v>75</v>
      </c>
      <c r="Q86" s="160"/>
      <c r="R86" s="157">
        <f ca="1">Simulador!Q81</f>
        <v>9109.223988786327</v>
      </c>
      <c r="S86" s="160"/>
      <c r="T86" s="157">
        <f ca="1">Simulador!S81</f>
        <v>709410.36736103159</v>
      </c>
    </row>
    <row r="87" spans="2:20" x14ac:dyDescent="0.3">
      <c r="B87" s="163">
        <f ca="1">Simulador!A82</f>
        <v>47655</v>
      </c>
      <c r="C87" s="160"/>
      <c r="D87" s="161">
        <f ca="1">Simulador!C82</f>
        <v>49</v>
      </c>
      <c r="E87" s="160"/>
      <c r="F87" s="162" t="str">
        <f ca="1">Simulador!E82</f>
        <v>Retorno</v>
      </c>
      <c r="G87" s="160"/>
      <c r="H87" s="157">
        <f ca="1">Simulador!G82</f>
        <v>1092.2603870871499</v>
      </c>
      <c r="I87" s="160"/>
      <c r="J87" s="157">
        <f ca="1">Simulador!I82</f>
        <v>7783.2685025205137</v>
      </c>
      <c r="K87" s="160"/>
      <c r="L87" s="157">
        <f ca="1">Simulador!K82</f>
        <v>0</v>
      </c>
      <c r="M87" s="160"/>
      <c r="N87" s="157">
        <f ca="1">Simulador!M82</f>
        <v>158.45076053007136</v>
      </c>
      <c r="O87" s="160"/>
      <c r="P87" s="157">
        <f ca="1">Simulador!O82</f>
        <v>75</v>
      </c>
      <c r="Q87" s="160"/>
      <c r="R87" s="157">
        <f ca="1">Simulador!Q82</f>
        <v>9108.979650137735</v>
      </c>
      <c r="S87" s="160"/>
      <c r="T87" s="157">
        <f ca="1">Simulador!S82</f>
        <v>708318.10697394446</v>
      </c>
    </row>
    <row r="88" spans="2:20" x14ac:dyDescent="0.3">
      <c r="B88" s="163">
        <f ca="1">Simulador!A83</f>
        <v>47685</v>
      </c>
      <c r="C88" s="160"/>
      <c r="D88" s="161">
        <f ca="1">Simulador!C83</f>
        <v>50</v>
      </c>
      <c r="E88" s="160"/>
      <c r="F88" s="162" t="str">
        <f ca="1">Simulador!E83</f>
        <v>Retorno</v>
      </c>
      <c r="G88" s="160"/>
      <c r="H88" s="157">
        <f ca="1">Simulador!G83</f>
        <v>1104.2440798247953</v>
      </c>
      <c r="I88" s="160"/>
      <c r="J88" s="157">
        <f ca="1">Simulador!I83</f>
        <v>7771.2848097828683</v>
      </c>
      <c r="K88" s="160"/>
      <c r="L88" s="157">
        <f ca="1">Simulador!K83</f>
        <v>0</v>
      </c>
      <c r="M88" s="160"/>
      <c r="N88" s="157">
        <f ca="1">Simulador!M83</f>
        <v>158.20374112941457</v>
      </c>
      <c r="O88" s="160"/>
      <c r="P88" s="157">
        <f ca="1">Simulador!O83</f>
        <v>75</v>
      </c>
      <c r="Q88" s="160"/>
      <c r="R88" s="157">
        <f ca="1">Simulador!Q83</f>
        <v>9108.7326307370786</v>
      </c>
      <c r="S88" s="160"/>
      <c r="T88" s="157">
        <f ca="1">Simulador!S83</f>
        <v>707213.86289411969</v>
      </c>
    </row>
    <row r="89" spans="2:20" x14ac:dyDescent="0.3">
      <c r="B89" s="163">
        <f ca="1">Simulador!A84</f>
        <v>47716</v>
      </c>
      <c r="C89" s="160"/>
      <c r="D89" s="161">
        <f ca="1">Simulador!C84</f>
        <v>51</v>
      </c>
      <c r="E89" s="160"/>
      <c r="F89" s="162" t="str">
        <f ca="1">Simulador!E84</f>
        <v>Retorno</v>
      </c>
      <c r="G89" s="160"/>
      <c r="H89" s="157">
        <f ca="1">Simulador!G84</f>
        <v>1116.3592511853458</v>
      </c>
      <c r="I89" s="160"/>
      <c r="J89" s="157">
        <f ca="1">Simulador!I84</f>
        <v>7759.1696384223178</v>
      </c>
      <c r="K89" s="160"/>
      <c r="L89" s="157">
        <f ca="1">Simulador!K84</f>
        <v>0</v>
      </c>
      <c r="M89" s="160"/>
      <c r="N89" s="157">
        <f ca="1">Simulador!M84</f>
        <v>157.9540115649244</v>
      </c>
      <c r="O89" s="160"/>
      <c r="P89" s="157">
        <f ca="1">Simulador!O84</f>
        <v>75</v>
      </c>
      <c r="Q89" s="160"/>
      <c r="R89" s="157">
        <f ca="1">Simulador!Q84</f>
        <v>9108.4829011725888</v>
      </c>
      <c r="S89" s="160"/>
      <c r="T89" s="157">
        <f ca="1">Simulador!S84</f>
        <v>706097.50364293437</v>
      </c>
    </row>
    <row r="90" spans="2:20" x14ac:dyDescent="0.3">
      <c r="B90" s="163">
        <f ca="1">Simulador!A85</f>
        <v>47747</v>
      </c>
      <c r="C90" s="160"/>
      <c r="D90" s="161">
        <f ca="1">Simulador!C85</f>
        <v>52</v>
      </c>
      <c r="E90" s="160"/>
      <c r="F90" s="162" t="str">
        <f ca="1">Simulador!E85</f>
        <v>Retorno</v>
      </c>
      <c r="G90" s="160"/>
      <c r="H90" s="157">
        <f ca="1">Simulador!G85</f>
        <v>1128.6073436816478</v>
      </c>
      <c r="I90" s="160"/>
      <c r="J90" s="157">
        <f ca="1">Simulador!I85</f>
        <v>7746.9215459260158</v>
      </c>
      <c r="K90" s="160"/>
      <c r="L90" s="157">
        <f ca="1">Simulador!K85</f>
        <v>0</v>
      </c>
      <c r="M90" s="160"/>
      <c r="N90" s="157">
        <f ca="1">Simulador!M85</f>
        <v>157.70154210214284</v>
      </c>
      <c r="O90" s="160"/>
      <c r="P90" s="157">
        <f ca="1">Simulador!O85</f>
        <v>75</v>
      </c>
      <c r="Q90" s="160"/>
      <c r="R90" s="157">
        <f ca="1">Simulador!Q85</f>
        <v>9108.230431709806</v>
      </c>
      <c r="S90" s="160"/>
      <c r="T90" s="157">
        <f ca="1">Simulador!S85</f>
        <v>704968.89629925275</v>
      </c>
    </row>
    <row r="91" spans="2:20" x14ac:dyDescent="0.3">
      <c r="B91" s="163">
        <f ca="1">Simulador!A86</f>
        <v>47777</v>
      </c>
      <c r="C91" s="160"/>
      <c r="D91" s="161">
        <f ca="1">Simulador!C86</f>
        <v>53</v>
      </c>
      <c r="E91" s="160"/>
      <c r="F91" s="162" t="str">
        <f ca="1">Simulador!E86</f>
        <v>Retorno</v>
      </c>
      <c r="G91" s="160"/>
      <c r="H91" s="157">
        <f ca="1">Simulador!G86</f>
        <v>1140.9898156526287</v>
      </c>
      <c r="I91" s="160"/>
      <c r="J91" s="157">
        <f ca="1">Simulador!I86</f>
        <v>7734.5390739550348</v>
      </c>
      <c r="K91" s="160"/>
      <c r="L91" s="157">
        <f ca="1">Simulador!K86</f>
        <v>0</v>
      </c>
      <c r="M91" s="160"/>
      <c r="N91" s="157">
        <f ca="1">Simulador!M86</f>
        <v>157.44630268038134</v>
      </c>
      <c r="O91" s="160"/>
      <c r="P91" s="157">
        <f ca="1">Simulador!O86</f>
        <v>75</v>
      </c>
      <c r="Q91" s="160"/>
      <c r="R91" s="157">
        <f ca="1">Simulador!Q86</f>
        <v>9107.9751922880441</v>
      </c>
      <c r="S91" s="160"/>
      <c r="T91" s="157">
        <f ca="1">Simulador!S86</f>
        <v>703827.90648360015</v>
      </c>
    </row>
    <row r="92" spans="2:20" x14ac:dyDescent="0.3">
      <c r="B92" s="163">
        <f ca="1">Simulador!A87</f>
        <v>47808</v>
      </c>
      <c r="C92" s="160"/>
      <c r="D92" s="161">
        <f ca="1">Simulador!C87</f>
        <v>54</v>
      </c>
      <c r="E92" s="160"/>
      <c r="F92" s="162" t="str">
        <f ca="1">Simulador!E87</f>
        <v>Retorno</v>
      </c>
      <c r="G92" s="160"/>
      <c r="H92" s="157">
        <f ca="1">Simulador!G87</f>
        <v>1153.5081414376873</v>
      </c>
      <c r="I92" s="160"/>
      <c r="J92" s="157">
        <f ca="1">Simulador!I87</f>
        <v>7722.0207481699763</v>
      </c>
      <c r="K92" s="160"/>
      <c r="L92" s="157">
        <f ca="1">Simulador!K87</f>
        <v>0</v>
      </c>
      <c r="M92" s="160"/>
      <c r="N92" s="157">
        <f ca="1">Simulador!M87</f>
        <v>157.18826290914174</v>
      </c>
      <c r="O92" s="160"/>
      <c r="P92" s="157">
        <f ca="1">Simulador!O87</f>
        <v>75</v>
      </c>
      <c r="Q92" s="160"/>
      <c r="R92" s="157">
        <f ca="1">Simulador!Q87</f>
        <v>9107.7171525168051</v>
      </c>
      <c r="S92" s="160"/>
      <c r="T92" s="157">
        <f ca="1">Simulador!S87</f>
        <v>702674.39834216249</v>
      </c>
    </row>
    <row r="93" spans="2:20" x14ac:dyDescent="0.3">
      <c r="B93" s="163">
        <f ca="1">Simulador!A88</f>
        <v>47838</v>
      </c>
      <c r="C93" s="160"/>
      <c r="D93" s="161">
        <f ca="1">Simulador!C88</f>
        <v>55</v>
      </c>
      <c r="E93" s="160"/>
      <c r="F93" s="162" t="str">
        <f ca="1">Simulador!E88</f>
        <v>Retorno</v>
      </c>
      <c r="G93" s="160"/>
      <c r="H93" s="157">
        <f ca="1">Simulador!G88</f>
        <v>1166.1638115514324</v>
      </c>
      <c r="I93" s="160"/>
      <c r="J93" s="157">
        <f ca="1">Simulador!I88</f>
        <v>7709.3650780562311</v>
      </c>
      <c r="K93" s="160"/>
      <c r="L93" s="157">
        <f ca="1">Simulador!K88</f>
        <v>0</v>
      </c>
      <c r="M93" s="160"/>
      <c r="N93" s="157">
        <f ca="1">Simulador!M88</f>
        <v>156.9273920644977</v>
      </c>
      <c r="O93" s="160"/>
      <c r="P93" s="157">
        <f ca="1">Simulador!O88</f>
        <v>75</v>
      </c>
      <c r="Q93" s="160"/>
      <c r="R93" s="157">
        <f ca="1">Simulador!Q88</f>
        <v>9107.4562816721609</v>
      </c>
      <c r="S93" s="160"/>
      <c r="T93" s="157">
        <f ca="1">Simulador!S88</f>
        <v>701508.23453061108</v>
      </c>
    </row>
    <row r="94" spans="2:20" x14ac:dyDescent="0.3">
      <c r="B94" s="163">
        <f ca="1">Simulador!A89</f>
        <v>47869</v>
      </c>
      <c r="C94" s="160"/>
      <c r="D94" s="161">
        <f ca="1">Simulador!C89</f>
        <v>56</v>
      </c>
      <c r="E94" s="160"/>
      <c r="F94" s="162" t="str">
        <f ca="1">Simulador!E89</f>
        <v>Retorno</v>
      </c>
      <c r="G94" s="160"/>
      <c r="H94" s="157">
        <f ca="1">Simulador!G89</f>
        <v>1178.9583328621484</v>
      </c>
      <c r="I94" s="160"/>
      <c r="J94" s="157">
        <f ca="1">Simulador!I89</f>
        <v>7696.5705567455152</v>
      </c>
      <c r="K94" s="160"/>
      <c r="L94" s="157">
        <f ca="1">Simulador!K89</f>
        <v>0</v>
      </c>
      <c r="M94" s="160"/>
      <c r="N94" s="157">
        <f ca="1">Simulador!M89</f>
        <v>156.66365908543642</v>
      </c>
      <c r="O94" s="160"/>
      <c r="P94" s="157">
        <f ca="1">Simulador!O89</f>
        <v>75</v>
      </c>
      <c r="Q94" s="160"/>
      <c r="R94" s="157">
        <f ca="1">Simulador!Q89</f>
        <v>9107.1925486930995</v>
      </c>
      <c r="S94" s="160"/>
      <c r="T94" s="157">
        <f ca="1">Simulador!S89</f>
        <v>700329.27619774896</v>
      </c>
    </row>
    <row r="95" spans="2:20" x14ac:dyDescent="0.3">
      <c r="B95" s="163">
        <f ca="1">Simulador!A90</f>
        <v>47900</v>
      </c>
      <c r="C95" s="160"/>
      <c r="D95" s="161">
        <f ca="1">Simulador!C90</f>
        <v>57</v>
      </c>
      <c r="E95" s="160"/>
      <c r="F95" s="162" t="str">
        <f ca="1">Simulador!E90</f>
        <v>Retorno</v>
      </c>
      <c r="G95" s="160"/>
      <c r="H95" s="157">
        <f ca="1">Simulador!G90</f>
        <v>1191.8932287702592</v>
      </c>
      <c r="I95" s="160"/>
      <c r="J95" s="157">
        <f ca="1">Simulador!I90</f>
        <v>7683.6356608374044</v>
      </c>
      <c r="K95" s="160"/>
      <c r="L95" s="157">
        <f ca="1">Simulador!K90</f>
        <v>0</v>
      </c>
      <c r="M95" s="160"/>
      <c r="N95" s="157">
        <f ca="1">Simulador!M90</f>
        <v>156.39703257016052</v>
      </c>
      <c r="O95" s="160"/>
      <c r="P95" s="157">
        <f ca="1">Simulador!O90</f>
        <v>75</v>
      </c>
      <c r="Q95" s="160"/>
      <c r="R95" s="157">
        <f ca="1">Simulador!Q90</f>
        <v>9106.9259221778248</v>
      </c>
      <c r="S95" s="160"/>
      <c r="T95" s="157">
        <f ca="1">Simulador!S90</f>
        <v>699137.38296897872</v>
      </c>
    </row>
    <row r="96" spans="2:20" x14ac:dyDescent="0.3">
      <c r="B96" s="163">
        <f ca="1">Simulador!A91</f>
        <v>47928</v>
      </c>
      <c r="C96" s="160"/>
      <c r="D96" s="161">
        <f ca="1">Simulador!C91</f>
        <v>58</v>
      </c>
      <c r="E96" s="160"/>
      <c r="F96" s="162" t="str">
        <f ca="1">Simulador!E91</f>
        <v>Retorno</v>
      </c>
      <c r="G96" s="160"/>
      <c r="H96" s="157">
        <f ca="1">Simulador!G91</f>
        <v>1204.9700393902858</v>
      </c>
      <c r="I96" s="160"/>
      <c r="J96" s="157">
        <f ca="1">Simulador!I91</f>
        <v>7670.5588502173778</v>
      </c>
      <c r="K96" s="160"/>
      <c r="L96" s="157">
        <f ca="1">Simulador!K91</f>
        <v>0</v>
      </c>
      <c r="M96" s="160"/>
      <c r="N96" s="157">
        <f ca="1">Simulador!M91</f>
        <v>156.12748077234895</v>
      </c>
      <c r="O96" s="160"/>
      <c r="P96" s="157">
        <f ca="1">Simulador!O91</f>
        <v>75</v>
      </c>
      <c r="Q96" s="160"/>
      <c r="R96" s="157">
        <f ca="1">Simulador!Q91</f>
        <v>9106.656370380013</v>
      </c>
      <c r="S96" s="160"/>
      <c r="T96" s="157">
        <f ca="1">Simulador!S91</f>
        <v>697932.41292958846</v>
      </c>
    </row>
    <row r="97" spans="2:20" x14ac:dyDescent="0.3">
      <c r="B97" s="163">
        <f ca="1">Simulador!A92</f>
        <v>47959</v>
      </c>
      <c r="C97" s="160"/>
      <c r="D97" s="161">
        <f ca="1">Simulador!C92</f>
        <v>59</v>
      </c>
      <c r="E97" s="160"/>
      <c r="F97" s="162" t="str">
        <f ca="1">Simulador!E92</f>
        <v>Retorno</v>
      </c>
      <c r="G97" s="160"/>
      <c r="H97" s="157">
        <f ca="1">Simulador!G92</f>
        <v>1218.1903217339677</v>
      </c>
      <c r="I97" s="160"/>
      <c r="J97" s="157">
        <f ca="1">Simulador!I92</f>
        <v>7657.3385678736959</v>
      </c>
      <c r="K97" s="160"/>
      <c r="L97" s="157">
        <f ca="1">Simulador!K92</f>
        <v>0</v>
      </c>
      <c r="M97" s="160"/>
      <c r="N97" s="157">
        <f ca="1">Simulador!M92</f>
        <v>155.85497159737704</v>
      </c>
      <c r="O97" s="160"/>
      <c r="P97" s="157">
        <f ca="1">Simulador!O92</f>
        <v>75</v>
      </c>
      <c r="Q97" s="160"/>
      <c r="R97" s="157">
        <f ca="1">Simulador!Q92</f>
        <v>9106.3838612050404</v>
      </c>
      <c r="S97" s="160"/>
      <c r="T97" s="157">
        <f ca="1">Simulador!S92</f>
        <v>696714.22260785452</v>
      </c>
    </row>
    <row r="98" spans="2:20" x14ac:dyDescent="0.3">
      <c r="B98" s="163">
        <f ca="1">Simulador!A93</f>
        <v>47989</v>
      </c>
      <c r="C98" s="160"/>
      <c r="D98" s="161">
        <f ca="1">Simulador!C93</f>
        <v>60</v>
      </c>
      <c r="E98" s="160"/>
      <c r="F98" s="162" t="str">
        <f ca="1">Simulador!E93</f>
        <v>Retorno</v>
      </c>
      <c r="G98" s="160"/>
      <c r="H98" s="157">
        <f ca="1">Simulador!G93</f>
        <v>1231.555649895945</v>
      </c>
      <c r="I98" s="160"/>
      <c r="J98" s="157">
        <f ca="1">Simulador!I93</f>
        <v>7643.9732397117186</v>
      </c>
      <c r="K98" s="160"/>
      <c r="L98" s="157">
        <f ca="1">Simulador!K93</f>
        <v>0</v>
      </c>
      <c r="M98" s="160"/>
      <c r="N98" s="157">
        <f ca="1">Simulador!M93</f>
        <v>155.57947259849533</v>
      </c>
      <c r="O98" s="160"/>
      <c r="P98" s="157">
        <f ca="1">Simulador!O93</f>
        <v>75</v>
      </c>
      <c r="Q98" s="160"/>
      <c r="R98" s="157">
        <f ca="1">Simulador!Q93</f>
        <v>9106.1083622061597</v>
      </c>
      <c r="S98" s="160"/>
      <c r="T98" s="157">
        <f ca="1">Simulador!S93</f>
        <v>695482.6669579586</v>
      </c>
    </row>
    <row r="99" spans="2:20" x14ac:dyDescent="0.3">
      <c r="B99" s="163">
        <f ca="1">Simulador!A94</f>
        <v>48020</v>
      </c>
      <c r="C99" s="160"/>
      <c r="D99" s="161">
        <f ca="1">Simulador!C94</f>
        <v>61</v>
      </c>
      <c r="E99" s="160"/>
      <c r="F99" s="162" t="str">
        <f ca="1">Simulador!E94</f>
        <v>Retorno</v>
      </c>
      <c r="G99" s="160"/>
      <c r="H99" s="157">
        <f ca="1">Simulador!G94</f>
        <v>1245.0676152406049</v>
      </c>
      <c r="I99" s="160"/>
      <c r="J99" s="157">
        <f ca="1">Simulador!I94</f>
        <v>7630.4612743670586</v>
      </c>
      <c r="K99" s="160"/>
      <c r="L99" s="157">
        <f ca="1">Simulador!K94</f>
        <v>0</v>
      </c>
      <c r="M99" s="160"/>
      <c r="N99" s="157">
        <f ca="1">Simulador!M94</f>
        <v>155.30095097296601</v>
      </c>
      <c r="O99" s="160"/>
      <c r="P99" s="157">
        <f ca="1">Simulador!O94</f>
        <v>75</v>
      </c>
      <c r="Q99" s="160"/>
      <c r="R99" s="157">
        <f ca="1">Simulador!Q94</f>
        <v>9105.829840580629</v>
      </c>
      <c r="S99" s="160"/>
      <c r="T99" s="157">
        <f ca="1">Simulador!S94</f>
        <v>694237.59934271802</v>
      </c>
    </row>
    <row r="100" spans="2:20" x14ac:dyDescent="0.3">
      <c r="B100" s="163">
        <f ca="1">Simulador!A95</f>
        <v>48050</v>
      </c>
      <c r="C100" s="160"/>
      <c r="D100" s="161">
        <f ca="1">Simulador!C95</f>
        <v>62</v>
      </c>
      <c r="E100" s="160"/>
      <c r="F100" s="162" t="str">
        <f ca="1">Simulador!E95</f>
        <v>Retorno</v>
      </c>
      <c r="G100" s="160"/>
      <c r="H100" s="157">
        <f ca="1">Simulador!G95</f>
        <v>1258.7278265921886</v>
      </c>
      <c r="I100" s="160"/>
      <c r="J100" s="157">
        <f ca="1">Simulador!I95</f>
        <v>7616.8010630154749</v>
      </c>
      <c r="K100" s="160"/>
      <c r="L100" s="157">
        <f ca="1">Simulador!K95</f>
        <v>0</v>
      </c>
      <c r="M100" s="160"/>
      <c r="N100" s="157">
        <f ca="1">Simulador!M95</f>
        <v>155.01937355815735</v>
      </c>
      <c r="O100" s="160"/>
      <c r="P100" s="157">
        <f ca="1">Simulador!O95</f>
        <v>75</v>
      </c>
      <c r="Q100" s="160"/>
      <c r="R100" s="157">
        <f ca="1">Simulador!Q95</f>
        <v>9105.5482631658215</v>
      </c>
      <c r="S100" s="160"/>
      <c r="T100" s="157">
        <f ca="1">Simulador!S95</f>
        <v>692978.87151612586</v>
      </c>
    </row>
    <row r="101" spans="2:20" x14ac:dyDescent="0.3">
      <c r="B101" s="163">
        <f ca="1">Simulador!A96</f>
        <v>48081</v>
      </c>
      <c r="C101" s="160"/>
      <c r="D101" s="161">
        <f ca="1">Simulador!C96</f>
        <v>63</v>
      </c>
      <c r="E101" s="160"/>
      <c r="F101" s="162" t="str">
        <f ca="1">Simulador!E96</f>
        <v>Retorno</v>
      </c>
      <c r="G101" s="160"/>
      <c r="H101" s="157">
        <f ca="1">Simulador!G96</f>
        <v>1272.5379104261774</v>
      </c>
      <c r="I101" s="160"/>
      <c r="J101" s="157">
        <f ca="1">Simulador!I96</f>
        <v>7602.9909791814862</v>
      </c>
      <c r="K101" s="160"/>
      <c r="L101" s="157">
        <f ca="1">Simulador!K96</f>
        <v>0</v>
      </c>
      <c r="M101" s="160"/>
      <c r="N101" s="157">
        <f ca="1">Simulador!M96</f>
        <v>154.73470682759501</v>
      </c>
      <c r="O101" s="160"/>
      <c r="P101" s="157">
        <f ca="1">Simulador!O96</f>
        <v>75</v>
      </c>
      <c r="Q101" s="160"/>
      <c r="R101" s="157">
        <f ca="1">Simulador!Q96</f>
        <v>9105.2635964352594</v>
      </c>
      <c r="S101" s="160"/>
      <c r="T101" s="157">
        <f ca="1">Simulador!S96</f>
        <v>691706.33360569971</v>
      </c>
    </row>
    <row r="102" spans="2:20" x14ac:dyDescent="0.3">
      <c r="B102" s="163">
        <f ca="1">Simulador!A97</f>
        <v>48112</v>
      </c>
      <c r="C102" s="160"/>
      <c r="D102" s="161">
        <f ca="1">Simulador!C97</f>
        <v>64</v>
      </c>
      <c r="E102" s="160"/>
      <c r="F102" s="162" t="str">
        <f ca="1">Simulador!E97</f>
        <v>Retorno</v>
      </c>
      <c r="G102" s="160"/>
      <c r="H102" s="157">
        <f ca="1">Simulador!G97</f>
        <v>1286.4995110627751</v>
      </c>
      <c r="I102" s="160"/>
      <c r="J102" s="157">
        <f ca="1">Simulador!I97</f>
        <v>7589.0293785448885</v>
      </c>
      <c r="K102" s="160"/>
      <c r="L102" s="157">
        <f ca="1">Simulador!K97</f>
        <v>0</v>
      </c>
      <c r="M102" s="160"/>
      <c r="N102" s="157">
        <f ca="1">Simulador!M97</f>
        <v>218.79404542459045</v>
      </c>
      <c r="O102" s="160"/>
      <c r="P102" s="157">
        <f ca="1">Simulador!O97</f>
        <v>75</v>
      </c>
      <c r="Q102" s="160"/>
      <c r="R102" s="157">
        <f ca="1">Simulador!Q97</f>
        <v>9169.3229350322545</v>
      </c>
      <c r="S102" s="160"/>
      <c r="T102" s="157">
        <f ca="1">Simulador!S97</f>
        <v>690419.83409463696</v>
      </c>
    </row>
    <row r="103" spans="2:20" x14ac:dyDescent="0.3">
      <c r="B103" s="163">
        <f ca="1">Simulador!A98</f>
        <v>48142</v>
      </c>
      <c r="C103" s="160"/>
      <c r="D103" s="161">
        <f ca="1">Simulador!C98</f>
        <v>65</v>
      </c>
      <c r="E103" s="160"/>
      <c r="F103" s="162" t="str">
        <f ca="1">Simulador!E98</f>
        <v>Retorno</v>
      </c>
      <c r="G103" s="160"/>
      <c r="H103" s="157">
        <f ca="1">Simulador!G98</f>
        <v>1300.6142908624861</v>
      </c>
      <c r="I103" s="160"/>
      <c r="J103" s="157">
        <f ca="1">Simulador!I98</f>
        <v>7574.9145987451775</v>
      </c>
      <c r="K103" s="160"/>
      <c r="L103" s="157">
        <f ca="1">Simulador!K98</f>
        <v>0</v>
      </c>
      <c r="M103" s="160"/>
      <c r="N103" s="157">
        <f ca="1">Simulador!M98</f>
        <v>218.38188075581616</v>
      </c>
      <c r="O103" s="160"/>
      <c r="P103" s="157">
        <f ca="1">Simulador!O98</f>
        <v>75</v>
      </c>
      <c r="Q103" s="160"/>
      <c r="R103" s="157">
        <f ca="1">Simulador!Q98</f>
        <v>9168.91077036348</v>
      </c>
      <c r="S103" s="160"/>
      <c r="T103" s="157">
        <f ca="1">Simulador!S98</f>
        <v>689119.2198037745</v>
      </c>
    </row>
    <row r="104" spans="2:20" x14ac:dyDescent="0.3">
      <c r="B104" s="163">
        <f ca="1">Simulador!A99</f>
        <v>48173</v>
      </c>
      <c r="C104" s="160"/>
      <c r="D104" s="161">
        <f ca="1">Simulador!C99</f>
        <v>66</v>
      </c>
      <c r="E104" s="160"/>
      <c r="F104" s="162" t="str">
        <f ca="1">Simulador!E99</f>
        <v>Retorno</v>
      </c>
      <c r="G104" s="160"/>
      <c r="H104" s="157">
        <f ca="1">Simulador!G99</f>
        <v>1314.8839304247194</v>
      </c>
      <c r="I104" s="160"/>
      <c r="J104" s="157">
        <f ca="1">Simulador!I99</f>
        <v>7560.6449591829441</v>
      </c>
      <c r="K104" s="160"/>
      <c r="L104" s="157">
        <f ca="1">Simulador!K99</f>
        <v>0</v>
      </c>
      <c r="M104" s="160"/>
      <c r="N104" s="157">
        <f ca="1">Simulador!M99</f>
        <v>217.96519403826454</v>
      </c>
      <c r="O104" s="160"/>
      <c r="P104" s="157">
        <f ca="1">Simulador!O99</f>
        <v>75</v>
      </c>
      <c r="Q104" s="160"/>
      <c r="R104" s="157">
        <f ca="1">Simulador!Q99</f>
        <v>9168.4940836459282</v>
      </c>
      <c r="S104" s="160"/>
      <c r="T104" s="157">
        <f ca="1">Simulador!S99</f>
        <v>687804.3358733498</v>
      </c>
    </row>
    <row r="105" spans="2:20" x14ac:dyDescent="0.3">
      <c r="B105" s="163">
        <f ca="1">Simulador!A100</f>
        <v>48203</v>
      </c>
      <c r="C105" s="160"/>
      <c r="D105" s="161">
        <f ca="1">Simulador!C100</f>
        <v>67</v>
      </c>
      <c r="E105" s="160"/>
      <c r="F105" s="162" t="str">
        <f ca="1">Simulador!E100</f>
        <v>Retorno</v>
      </c>
      <c r="G105" s="160"/>
      <c r="H105" s="157">
        <f ca="1">Simulador!G100</f>
        <v>1329.3101287875579</v>
      </c>
      <c r="I105" s="160"/>
      <c r="J105" s="157">
        <f ca="1">Simulador!I100</f>
        <v>7546.2187608201057</v>
      </c>
      <c r="K105" s="160"/>
      <c r="L105" s="157">
        <f ca="1">Simulador!K100</f>
        <v>0</v>
      </c>
      <c r="M105" s="160"/>
      <c r="N105" s="157">
        <f ca="1">Simulador!M100</f>
        <v>217.5439356584518</v>
      </c>
      <c r="O105" s="160"/>
      <c r="P105" s="157">
        <f ca="1">Simulador!O100</f>
        <v>75</v>
      </c>
      <c r="Q105" s="160"/>
      <c r="R105" s="157">
        <f ca="1">Simulador!Q100</f>
        <v>9168.0728252661156</v>
      </c>
      <c r="S105" s="160"/>
      <c r="T105" s="157">
        <f ca="1">Simulador!S100</f>
        <v>686475.02574456227</v>
      </c>
    </row>
    <row r="106" spans="2:20" x14ac:dyDescent="0.3">
      <c r="B106" s="163">
        <f ca="1">Simulador!A101</f>
        <v>48234</v>
      </c>
      <c r="C106" s="160"/>
      <c r="D106" s="161">
        <f ca="1">Simulador!C101</f>
        <v>68</v>
      </c>
      <c r="E106" s="160"/>
      <c r="F106" s="162" t="str">
        <f ca="1">Simulador!E101</f>
        <v>Retorno</v>
      </c>
      <c r="G106" s="160"/>
      <c r="H106" s="157">
        <f ca="1">Simulador!G101</f>
        <v>1343.894603629622</v>
      </c>
      <c r="I106" s="160"/>
      <c r="J106" s="157">
        <f ca="1">Simulador!I101</f>
        <v>7531.6342859780416</v>
      </c>
      <c r="K106" s="160"/>
      <c r="L106" s="157">
        <f ca="1">Simulador!K101</f>
        <v>0</v>
      </c>
      <c r="M106" s="160"/>
      <c r="N106" s="157">
        <f ca="1">Simulador!M101</f>
        <v>217.11805545856157</v>
      </c>
      <c r="O106" s="160"/>
      <c r="P106" s="157">
        <f ca="1">Simulador!O101</f>
        <v>75</v>
      </c>
      <c r="Q106" s="160"/>
      <c r="R106" s="157">
        <f ca="1">Simulador!Q101</f>
        <v>9167.6469450662244</v>
      </c>
      <c r="S106" s="160"/>
      <c r="T106" s="157">
        <f ca="1">Simulador!S101</f>
        <v>685131.13114093267</v>
      </c>
    </row>
    <row r="107" spans="2:20" x14ac:dyDescent="0.3">
      <c r="B107" s="163">
        <f ca="1">Simulador!A102</f>
        <v>48265</v>
      </c>
      <c r="C107" s="160"/>
      <c r="D107" s="161">
        <f ca="1">Simulador!C102</f>
        <v>69</v>
      </c>
      <c r="E107" s="160"/>
      <c r="F107" s="162" t="str">
        <f ca="1">Simulador!E102</f>
        <v>Retorno</v>
      </c>
      <c r="G107" s="160"/>
      <c r="H107" s="157">
        <f ca="1">Simulador!G102</f>
        <v>1358.6390914751937</v>
      </c>
      <c r="I107" s="160"/>
      <c r="J107" s="157">
        <f ca="1">Simulador!I102</f>
        <v>7516.8897981324699</v>
      </c>
      <c r="K107" s="160"/>
      <c r="L107" s="157">
        <f ca="1">Simulador!K102</f>
        <v>0</v>
      </c>
      <c r="M107" s="160"/>
      <c r="N107" s="157">
        <f ca="1">Simulador!M102</f>
        <v>216.68750273047308</v>
      </c>
      <c r="O107" s="160"/>
      <c r="P107" s="157">
        <f ca="1">Simulador!O102</f>
        <v>75</v>
      </c>
      <c r="Q107" s="160"/>
      <c r="R107" s="157">
        <f ca="1">Simulador!Q102</f>
        <v>9167.2163923381358</v>
      </c>
      <c r="S107" s="160"/>
      <c r="T107" s="157">
        <f ca="1">Simulador!S102</f>
        <v>683772.49204945751</v>
      </c>
    </row>
    <row r="108" spans="2:20" x14ac:dyDescent="0.3">
      <c r="B108" s="163">
        <f ca="1">Simulador!A103</f>
        <v>48294</v>
      </c>
      <c r="C108" s="160"/>
      <c r="D108" s="161">
        <f ca="1">Simulador!C103</f>
        <v>70</v>
      </c>
      <c r="E108" s="160"/>
      <c r="F108" s="162" t="str">
        <f ca="1">Simulador!E103</f>
        <v>Retorno</v>
      </c>
      <c r="G108" s="160"/>
      <c r="H108" s="157">
        <f ca="1">Simulador!G103</f>
        <v>1373.5453479009702</v>
      </c>
      <c r="I108" s="160"/>
      <c r="J108" s="157">
        <f ca="1">Simulador!I103</f>
        <v>7501.9835417066934</v>
      </c>
      <c r="K108" s="160"/>
      <c r="L108" s="157">
        <f ca="1">Simulador!K103</f>
        <v>0</v>
      </c>
      <c r="M108" s="160"/>
      <c r="N108" s="157">
        <f ca="1">Simulador!M103</f>
        <v>216.25222620972329</v>
      </c>
      <c r="O108" s="160"/>
      <c r="P108" s="157">
        <f ca="1">Simulador!O103</f>
        <v>75</v>
      </c>
      <c r="Q108" s="160"/>
      <c r="R108" s="157">
        <f ca="1">Simulador!Q103</f>
        <v>9166.7811158173863</v>
      </c>
      <c r="S108" s="160"/>
      <c r="T108" s="157">
        <f ca="1">Simulador!S103</f>
        <v>682398.94670155656</v>
      </c>
    </row>
    <row r="109" spans="2:20" x14ac:dyDescent="0.3">
      <c r="B109" s="163">
        <f ca="1">Simulador!A104</f>
        <v>48325</v>
      </c>
      <c r="C109" s="160"/>
      <c r="D109" s="161">
        <f ca="1">Simulador!C104</f>
        <v>71</v>
      </c>
      <c r="E109" s="160"/>
      <c r="F109" s="162" t="str">
        <f ca="1">Simulador!E104</f>
        <v>Retorno</v>
      </c>
      <c r="G109" s="160"/>
      <c r="H109" s="157">
        <f ca="1">Simulador!G104</f>
        <v>1388.6151477445637</v>
      </c>
      <c r="I109" s="160"/>
      <c r="J109" s="157">
        <f ca="1">Simulador!I104</f>
        <v>7486.9137418630999</v>
      </c>
      <c r="K109" s="160"/>
      <c r="L109" s="157">
        <f ca="1">Simulador!K104</f>
        <v>0</v>
      </c>
      <c r="M109" s="160"/>
      <c r="N109" s="157">
        <f ca="1">Simulador!M104</f>
        <v>215.81217406940303</v>
      </c>
      <c r="O109" s="160"/>
      <c r="P109" s="157">
        <f ca="1">Simulador!O104</f>
        <v>75</v>
      </c>
      <c r="Q109" s="160"/>
      <c r="R109" s="157">
        <f ca="1">Simulador!Q104</f>
        <v>9166.3410636770659</v>
      </c>
      <c r="S109" s="160"/>
      <c r="T109" s="157">
        <f ca="1">Simulador!S104</f>
        <v>681010.33155381202</v>
      </c>
    </row>
    <row r="110" spans="2:20" x14ac:dyDescent="0.3">
      <c r="B110" s="163">
        <f ca="1">Simulador!A105</f>
        <v>48355</v>
      </c>
      <c r="C110" s="160"/>
      <c r="D110" s="161">
        <f ca="1">Simulador!C105</f>
        <v>72</v>
      </c>
      <c r="E110" s="160"/>
      <c r="F110" s="162" t="str">
        <f ca="1">Simulador!E105</f>
        <v>Retorno</v>
      </c>
      <c r="G110" s="160"/>
      <c r="H110" s="157">
        <f ca="1">Simulador!G105</f>
        <v>1403.8502853163773</v>
      </c>
      <c r="I110" s="160"/>
      <c r="J110" s="157">
        <f ca="1">Simulador!I105</f>
        <v>7471.6786042912863</v>
      </c>
      <c r="K110" s="160"/>
      <c r="L110" s="157">
        <f ca="1">Simulador!K105</f>
        <v>0</v>
      </c>
      <c r="M110" s="160"/>
      <c r="N110" s="157">
        <f ca="1">Simulador!M105</f>
        <v>215.36729391398629</v>
      </c>
      <c r="O110" s="160"/>
      <c r="P110" s="157">
        <f ca="1">Simulador!O105</f>
        <v>75</v>
      </c>
      <c r="Q110" s="160"/>
      <c r="R110" s="157">
        <f ca="1">Simulador!Q105</f>
        <v>9165.8961835216505</v>
      </c>
      <c r="S110" s="160"/>
      <c r="T110" s="157">
        <f ca="1">Simulador!S105</f>
        <v>679606.48126849567</v>
      </c>
    </row>
    <row r="111" spans="2:20" x14ac:dyDescent="0.3">
      <c r="B111" s="163">
        <f ca="1">Simulador!A106</f>
        <v>48386</v>
      </c>
      <c r="C111" s="160"/>
      <c r="D111" s="161">
        <f ca="1">Simulador!C106</f>
        <v>73</v>
      </c>
      <c r="E111" s="160"/>
      <c r="F111" s="162" t="str">
        <f ca="1">Simulador!E106</f>
        <v>Retorno</v>
      </c>
      <c r="G111" s="160"/>
      <c r="H111" s="157">
        <f ca="1">Simulador!G106</f>
        <v>1419.2525746127612</v>
      </c>
      <c r="I111" s="160"/>
      <c r="J111" s="157">
        <f ca="1">Simulador!I106</f>
        <v>7456.2763149949024</v>
      </c>
      <c r="K111" s="160"/>
      <c r="L111" s="157">
        <f ca="1">Simulador!K106</f>
        <v>0</v>
      </c>
      <c r="M111" s="160"/>
      <c r="N111" s="157">
        <f ca="1">Simulador!M106</f>
        <v>214.91753277309149</v>
      </c>
      <c r="O111" s="160"/>
      <c r="P111" s="157">
        <f ca="1">Simulador!O106</f>
        <v>75</v>
      </c>
      <c r="Q111" s="160"/>
      <c r="R111" s="157">
        <f ca="1">Simulador!Q106</f>
        <v>9165.4464223807554</v>
      </c>
      <c r="S111" s="160"/>
      <c r="T111" s="157">
        <f ca="1">Simulador!S106</f>
        <v>678187.22869388293</v>
      </c>
    </row>
    <row r="112" spans="2:20" x14ac:dyDescent="0.3">
      <c r="B112" s="163">
        <f ca="1">Simulador!A107</f>
        <v>48416</v>
      </c>
      <c r="C112" s="160"/>
      <c r="D112" s="161">
        <f ca="1">Simulador!C107</f>
        <v>74</v>
      </c>
      <c r="E112" s="160"/>
      <c r="F112" s="162" t="str">
        <f ca="1">Simulador!E107</f>
        <v>Retorno</v>
      </c>
      <c r="G112" s="160"/>
      <c r="H112" s="157">
        <f ca="1">Simulador!G107</f>
        <v>1434.8238495325459</v>
      </c>
      <c r="I112" s="160"/>
      <c r="J112" s="157">
        <f ca="1">Simulador!I107</f>
        <v>7440.7050400751177</v>
      </c>
      <c r="K112" s="160"/>
      <c r="L112" s="157">
        <f ca="1">Simulador!K107</f>
        <v>0</v>
      </c>
      <c r="M112" s="160"/>
      <c r="N112" s="157">
        <f ca="1">Simulador!M107</f>
        <v>214.46283709517465</v>
      </c>
      <c r="O112" s="160"/>
      <c r="P112" s="157">
        <f ca="1">Simulador!O107</f>
        <v>75</v>
      </c>
      <c r="Q112" s="160"/>
      <c r="R112" s="157">
        <f ca="1">Simulador!Q107</f>
        <v>9164.9917267028377</v>
      </c>
      <c r="S112" s="160"/>
      <c r="T112" s="157">
        <f ca="1">Simulador!S107</f>
        <v>676752.40484435041</v>
      </c>
    </row>
    <row r="113" spans="2:20" x14ac:dyDescent="0.3">
      <c r="B113" s="163">
        <f ca="1">Simulador!A108</f>
        <v>48447</v>
      </c>
      <c r="C113" s="160"/>
      <c r="D113" s="161">
        <f ca="1">Simulador!C108</f>
        <v>75</v>
      </c>
      <c r="E113" s="160"/>
      <c r="F113" s="162" t="str">
        <f ca="1">Simulador!E108</f>
        <v>Retorno</v>
      </c>
      <c r="G113" s="160"/>
      <c r="H113" s="157">
        <f ca="1">Simulador!G108</f>
        <v>1450.5659640948543</v>
      </c>
      <c r="I113" s="160"/>
      <c r="J113" s="157">
        <f ca="1">Simulador!I108</f>
        <v>7424.9629255128093</v>
      </c>
      <c r="K113" s="160"/>
      <c r="L113" s="157">
        <f ca="1">Simulador!K108</f>
        <v>0</v>
      </c>
      <c r="M113" s="160"/>
      <c r="N113" s="157">
        <f ca="1">Simulador!M108</f>
        <v>214.003152741153</v>
      </c>
      <c r="O113" s="160"/>
      <c r="P113" s="157">
        <f ca="1">Simulador!O108</f>
        <v>75</v>
      </c>
      <c r="Q113" s="160"/>
      <c r="R113" s="157">
        <f ca="1">Simulador!Q108</f>
        <v>9164.5320423488174</v>
      </c>
      <c r="S113" s="160"/>
      <c r="T113" s="157">
        <f ca="1">Simulador!S108</f>
        <v>675301.83888025559</v>
      </c>
    </row>
    <row r="114" spans="2:20" x14ac:dyDescent="0.3">
      <c r="B114" s="163">
        <f ca="1">Simulador!A109</f>
        <v>48478</v>
      </c>
      <c r="C114" s="160"/>
      <c r="D114" s="161">
        <f ca="1">Simulador!C109</f>
        <v>76</v>
      </c>
      <c r="E114" s="160"/>
      <c r="F114" s="162" t="str">
        <f ca="1">Simulador!E109</f>
        <v>Retorno</v>
      </c>
      <c r="G114" s="160"/>
      <c r="H114" s="157">
        <f ca="1">Simulador!G109</f>
        <v>1466.480792660408</v>
      </c>
      <c r="I114" s="160"/>
      <c r="J114" s="157">
        <f ca="1">Simulador!I109</f>
        <v>7409.0480969472555</v>
      </c>
      <c r="K114" s="160"/>
      <c r="L114" s="157">
        <f ca="1">Simulador!K109</f>
        <v>0</v>
      </c>
      <c r="M114" s="160"/>
      <c r="N114" s="157">
        <f ca="1">Simulador!M109</f>
        <v>213.53842497795893</v>
      </c>
      <c r="O114" s="160"/>
      <c r="P114" s="157">
        <f ca="1">Simulador!O109</f>
        <v>75</v>
      </c>
      <c r="Q114" s="160"/>
      <c r="R114" s="157">
        <f ca="1">Simulador!Q109</f>
        <v>9164.0673145856217</v>
      </c>
      <c r="S114" s="160"/>
      <c r="T114" s="157">
        <f ca="1">Simulador!S109</f>
        <v>673835.3580875952</v>
      </c>
    </row>
    <row r="115" spans="2:20" x14ac:dyDescent="0.3">
      <c r="B115" s="163">
        <f ca="1">Simulador!A110</f>
        <v>48508</v>
      </c>
      <c r="C115" s="160"/>
      <c r="D115" s="161">
        <f ca="1">Simulador!C110</f>
        <v>77</v>
      </c>
      <c r="E115" s="160"/>
      <c r="F115" s="162" t="str">
        <f ca="1">Simulador!E110</f>
        <v>Retorno</v>
      </c>
      <c r="G115" s="160"/>
      <c r="H115" s="157">
        <f ca="1">Simulador!G110</f>
        <v>1482.5702301541132</v>
      </c>
      <c r="I115" s="160"/>
      <c r="J115" s="157">
        <f ca="1">Simulador!I110</f>
        <v>7392.9586594535504</v>
      </c>
      <c r="K115" s="160"/>
      <c r="L115" s="157">
        <f ca="1">Simulador!K110</f>
        <v>0</v>
      </c>
      <c r="M115" s="160"/>
      <c r="N115" s="157">
        <f ca="1">Simulador!M110</f>
        <v>213.0685984720231</v>
      </c>
      <c r="O115" s="160"/>
      <c r="P115" s="157">
        <f ca="1">Simulador!O110</f>
        <v>75</v>
      </c>
      <c r="Q115" s="160"/>
      <c r="R115" s="157">
        <f ca="1">Simulador!Q110</f>
        <v>9163.5974880796875</v>
      </c>
      <c r="S115" s="160"/>
      <c r="T115" s="157">
        <f ca="1">Simulador!S110</f>
        <v>672352.78785744112</v>
      </c>
    </row>
    <row r="116" spans="2:20" x14ac:dyDescent="0.3">
      <c r="B116" s="163">
        <f ca="1">Simulador!A111</f>
        <v>48539</v>
      </c>
      <c r="C116" s="160"/>
      <c r="D116" s="161">
        <f ca="1">Simulador!C111</f>
        <v>78</v>
      </c>
      <c r="E116" s="160"/>
      <c r="F116" s="162" t="str">
        <f ca="1">Simulador!E111</f>
        <v>Retorno</v>
      </c>
      <c r="G116" s="160"/>
      <c r="H116" s="157">
        <f ca="1">Simulador!G111</f>
        <v>1498.8361922912554</v>
      </c>
      <c r="I116" s="160"/>
      <c r="J116" s="157">
        <f ca="1">Simulador!I111</f>
        <v>7376.6926973164082</v>
      </c>
      <c r="K116" s="160"/>
      <c r="L116" s="157">
        <f ca="1">Simulador!K111</f>
        <v>0</v>
      </c>
      <c r="M116" s="160"/>
      <c r="N116" s="157">
        <f ca="1">Simulador!M111</f>
        <v>212.59361728268601</v>
      </c>
      <c r="O116" s="160"/>
      <c r="P116" s="157">
        <f ca="1">Simulador!O111</f>
        <v>75</v>
      </c>
      <c r="Q116" s="160"/>
      <c r="R116" s="157">
        <f ca="1">Simulador!Q111</f>
        <v>9163.1225068903495</v>
      </c>
      <c r="S116" s="160"/>
      <c r="T116" s="157">
        <f ca="1">Simulador!S111</f>
        <v>670853.95166514989</v>
      </c>
    </row>
    <row r="117" spans="2:20" x14ac:dyDescent="0.3">
      <c r="B117" s="163">
        <f ca="1">Simulador!A112</f>
        <v>48569</v>
      </c>
      <c r="C117" s="160"/>
      <c r="D117" s="161">
        <f ca="1">Simulador!C112</f>
        <v>79</v>
      </c>
      <c r="E117" s="160"/>
      <c r="F117" s="162" t="str">
        <f ca="1">Simulador!E112</f>
        <v>Retorno</v>
      </c>
      <c r="G117" s="160"/>
      <c r="H117" s="157">
        <f ca="1">Simulador!G112</f>
        <v>1515.2806158048588</v>
      </c>
      <c r="I117" s="160"/>
      <c r="J117" s="157">
        <f ca="1">Simulador!I112</f>
        <v>7360.2482738028048</v>
      </c>
      <c r="K117" s="160"/>
      <c r="L117" s="157">
        <f ca="1">Simulador!K112</f>
        <v>0</v>
      </c>
      <c r="M117" s="160"/>
      <c r="N117" s="157">
        <f ca="1">Simulador!M112</f>
        <v>212.11342485553746</v>
      </c>
      <c r="O117" s="160"/>
      <c r="P117" s="157">
        <f ca="1">Simulador!O112</f>
        <v>75</v>
      </c>
      <c r="Q117" s="160"/>
      <c r="R117" s="157">
        <f ca="1">Simulador!Q112</f>
        <v>9162.6423144632008</v>
      </c>
      <c r="S117" s="160"/>
      <c r="T117" s="157">
        <f ca="1">Simulador!S112</f>
        <v>669338.67104934505</v>
      </c>
    </row>
    <row r="118" spans="2:20" x14ac:dyDescent="0.3">
      <c r="B118" s="163">
        <f ca="1">Simulador!A113</f>
        <v>48600</v>
      </c>
      <c r="C118" s="160"/>
      <c r="D118" s="161">
        <f ca="1">Simulador!C113</f>
        <v>80</v>
      </c>
      <c r="E118" s="160"/>
      <c r="F118" s="162" t="str">
        <f ca="1">Simulador!E113</f>
        <v>Retorno</v>
      </c>
      <c r="G118" s="160"/>
      <c r="H118" s="157">
        <f ca="1">Simulador!G113</f>
        <v>1531.9054586773527</v>
      </c>
      <c r="I118" s="160"/>
      <c r="J118" s="157">
        <f ca="1">Simulador!I113</f>
        <v>7343.6234309303109</v>
      </c>
      <c r="K118" s="160"/>
      <c r="L118" s="157">
        <f ca="1">Simulador!K113</f>
        <v>0</v>
      </c>
      <c r="M118" s="160"/>
      <c r="N118" s="157">
        <f ca="1">Simulador!M113</f>
        <v>211.62796401568261</v>
      </c>
      <c r="O118" s="160"/>
      <c r="P118" s="157">
        <f ca="1">Simulador!O113</f>
        <v>75</v>
      </c>
      <c r="Q118" s="160"/>
      <c r="R118" s="157">
        <f ca="1">Simulador!Q113</f>
        <v>9162.1568536233463</v>
      </c>
      <c r="S118" s="160"/>
      <c r="T118" s="157">
        <f ca="1">Simulador!S113</f>
        <v>667806.76559066772</v>
      </c>
    </row>
    <row r="119" spans="2:20" x14ac:dyDescent="0.3">
      <c r="B119" s="163">
        <f ca="1">Simulador!A114</f>
        <v>48631</v>
      </c>
      <c r="C119" s="160"/>
      <c r="D119" s="161">
        <f ca="1">Simulador!C114</f>
        <v>81</v>
      </c>
      <c r="E119" s="160"/>
      <c r="F119" s="162" t="str">
        <f ca="1">Simulador!E114</f>
        <v>Retorno</v>
      </c>
      <c r="G119" s="160"/>
      <c r="H119" s="157">
        <f ca="1">Simulador!G114</f>
        <v>1548.7127003725873</v>
      </c>
      <c r="I119" s="160"/>
      <c r="J119" s="157">
        <f ca="1">Simulador!I114</f>
        <v>7326.8161892350763</v>
      </c>
      <c r="K119" s="160"/>
      <c r="L119" s="157">
        <f ca="1">Simulador!K114</f>
        <v>0</v>
      </c>
      <c r="M119" s="160"/>
      <c r="N119" s="157">
        <f ca="1">Simulador!M114</f>
        <v>211.13717696093454</v>
      </c>
      <c r="O119" s="160"/>
      <c r="P119" s="157">
        <f ca="1">Simulador!O114</f>
        <v>75</v>
      </c>
      <c r="Q119" s="160"/>
      <c r="R119" s="157">
        <f ca="1">Simulador!Q114</f>
        <v>9161.6660665685977</v>
      </c>
      <c r="S119" s="160"/>
      <c r="T119" s="157">
        <f ca="1">Simulador!S114</f>
        <v>666258.05289029516</v>
      </c>
    </row>
    <row r="120" spans="2:20" x14ac:dyDescent="0.3">
      <c r="B120" s="163">
        <f ca="1">Simulador!A115</f>
        <v>48659</v>
      </c>
      <c r="C120" s="160"/>
      <c r="D120" s="161">
        <f ca="1">Simulador!C115</f>
        <v>82</v>
      </c>
      <c r="E120" s="160"/>
      <c r="F120" s="162" t="str">
        <f ca="1">Simulador!E115</f>
        <v>Retorno</v>
      </c>
      <c r="G120" s="160"/>
      <c r="H120" s="157">
        <f ca="1">Simulador!G115</f>
        <v>1565.7043420723894</v>
      </c>
      <c r="I120" s="160"/>
      <c r="J120" s="157">
        <f ca="1">Simulador!I115</f>
        <v>7309.8245475352742</v>
      </c>
      <c r="K120" s="160"/>
      <c r="L120" s="157">
        <f ca="1">Simulador!K115</f>
        <v>0</v>
      </c>
      <c r="M120" s="160"/>
      <c r="N120" s="157">
        <f ca="1">Simulador!M115</f>
        <v>210.6410052549318</v>
      </c>
      <c r="O120" s="160"/>
      <c r="P120" s="157">
        <f ca="1">Simulador!O115</f>
        <v>75</v>
      </c>
      <c r="Q120" s="160"/>
      <c r="R120" s="157">
        <f ca="1">Simulador!Q115</f>
        <v>9161.1698948625963</v>
      </c>
      <c r="S120" s="160"/>
      <c r="T120" s="157">
        <f ca="1">Simulador!S115</f>
        <v>664692.3485482228</v>
      </c>
    </row>
    <row r="121" spans="2:20" x14ac:dyDescent="0.3">
      <c r="B121" s="163">
        <f ca="1">Simulador!A116</f>
        <v>48690</v>
      </c>
      <c r="C121" s="160"/>
      <c r="D121" s="161">
        <f ca="1">Simulador!C116</f>
        <v>83</v>
      </c>
      <c r="E121" s="160"/>
      <c r="F121" s="162" t="str">
        <f ca="1">Simulador!E116</f>
        <v>Retorno</v>
      </c>
      <c r="G121" s="160"/>
      <c r="H121" s="157">
        <f ca="1">Simulador!G116</f>
        <v>1582.8824069140501</v>
      </c>
      <c r="I121" s="160"/>
      <c r="J121" s="157">
        <f ca="1">Simulador!I116</f>
        <v>7292.6464826936135</v>
      </c>
      <c r="K121" s="160"/>
      <c r="L121" s="157">
        <f ca="1">Simulador!K116</f>
        <v>0</v>
      </c>
      <c r="M121" s="160"/>
      <c r="N121" s="157">
        <f ca="1">Simulador!M116</f>
        <v>210.13938982018075</v>
      </c>
      <c r="O121" s="160"/>
      <c r="P121" s="157">
        <f ca="1">Simulador!O116</f>
        <v>75</v>
      </c>
      <c r="Q121" s="160"/>
      <c r="R121" s="157">
        <f ca="1">Simulador!Q116</f>
        <v>9160.668279427844</v>
      </c>
      <c r="S121" s="160"/>
      <c r="T121" s="157">
        <f ca="1">Simulador!S116</f>
        <v>663109.46614130877</v>
      </c>
    </row>
    <row r="122" spans="2:20" x14ac:dyDescent="0.3">
      <c r="B122" s="163">
        <f ca="1">Simulador!A117</f>
        <v>48720</v>
      </c>
      <c r="C122" s="160"/>
      <c r="D122" s="161">
        <f ca="1">Simulador!C117</f>
        <v>84</v>
      </c>
      <c r="E122" s="160"/>
      <c r="F122" s="162" t="str">
        <f ca="1">Simulador!E117</f>
        <v>Retorno</v>
      </c>
      <c r="G122" s="160"/>
      <c r="H122" s="157">
        <f ca="1">Simulador!G117</f>
        <v>1600.2489402321189</v>
      </c>
      <c r="I122" s="160"/>
      <c r="J122" s="157">
        <f ca="1">Simulador!I117</f>
        <v>7275.2799493755447</v>
      </c>
      <c r="K122" s="160"/>
      <c r="L122" s="157">
        <f ca="1">Simulador!K117</f>
        <v>0</v>
      </c>
      <c r="M122" s="160"/>
      <c r="N122" s="157">
        <f ca="1">Simulador!M117</f>
        <v>209.6322709310212</v>
      </c>
      <c r="O122" s="160"/>
      <c r="P122" s="157">
        <f ca="1">Simulador!O117</f>
        <v>75</v>
      </c>
      <c r="Q122" s="160"/>
      <c r="R122" s="157">
        <f ca="1">Simulador!Q117</f>
        <v>9160.1611605386843</v>
      </c>
      <c r="S122" s="160"/>
      <c r="T122" s="157">
        <f ca="1">Simulador!S117</f>
        <v>661509.21720107668</v>
      </c>
    </row>
    <row r="123" spans="2:20" x14ac:dyDescent="0.3">
      <c r="B123" s="163">
        <f ca="1">Simulador!A118</f>
        <v>48751</v>
      </c>
      <c r="C123" s="160"/>
      <c r="D123" s="161">
        <f ca="1">Simulador!C118</f>
        <v>85</v>
      </c>
      <c r="E123" s="160"/>
      <c r="F123" s="162" t="str">
        <f ca="1">Simulador!E118</f>
        <v>Retorno</v>
      </c>
      <c r="G123" s="160"/>
      <c r="H123" s="157">
        <f ca="1">Simulador!G118</f>
        <v>1617.8060098010137</v>
      </c>
      <c r="I123" s="160"/>
      <c r="J123" s="157">
        <f ca="1">Simulador!I118</f>
        <v>7257.7228798066499</v>
      </c>
      <c r="K123" s="160"/>
      <c r="L123" s="157">
        <f ca="1">Simulador!K118</f>
        <v>0</v>
      </c>
      <c r="M123" s="160"/>
      <c r="N123" s="157">
        <f ca="1">Simulador!M118</f>
        <v>209.11958820651526</v>
      </c>
      <c r="O123" s="160"/>
      <c r="P123" s="157">
        <f ca="1">Simulador!O118</f>
        <v>75</v>
      </c>
      <c r="Q123" s="160"/>
      <c r="R123" s="157">
        <f ca="1">Simulador!Q118</f>
        <v>9159.6484778141785</v>
      </c>
      <c r="S123" s="160"/>
      <c r="T123" s="157">
        <f ca="1">Simulador!S118</f>
        <v>659891.41119127569</v>
      </c>
    </row>
    <row r="124" spans="2:20" x14ac:dyDescent="0.3">
      <c r="B124" s="163">
        <f ca="1">Simulador!A119</f>
        <v>48781</v>
      </c>
      <c r="C124" s="160"/>
      <c r="D124" s="161">
        <f ca="1">Simulador!C119</f>
        <v>86</v>
      </c>
      <c r="E124" s="160"/>
      <c r="F124" s="162" t="str">
        <f ca="1">Simulador!E119</f>
        <v>Retorno</v>
      </c>
      <c r="G124" s="160"/>
      <c r="H124" s="157">
        <f ca="1">Simulador!G119</f>
        <v>1635.5557060820538</v>
      </c>
      <c r="I124" s="160"/>
      <c r="J124" s="157">
        <f ca="1">Simulador!I119</f>
        <v>7239.9731835256098</v>
      </c>
      <c r="K124" s="160"/>
      <c r="L124" s="157">
        <f ca="1">Simulador!K119</f>
        <v>0</v>
      </c>
      <c r="M124" s="160"/>
      <c r="N124" s="157">
        <f ca="1">Simulador!M119</f>
        <v>208.60128060325786</v>
      </c>
      <c r="O124" s="160"/>
      <c r="P124" s="157">
        <f ca="1">Simulador!O119</f>
        <v>75</v>
      </c>
      <c r="Q124" s="160"/>
      <c r="R124" s="157">
        <f ca="1">Simulador!Q119</f>
        <v>9159.1301702109213</v>
      </c>
      <c r="S124" s="160"/>
      <c r="T124" s="157">
        <f ca="1">Simulador!S119</f>
        <v>658255.85548519366</v>
      </c>
    </row>
    <row r="125" spans="2:20" x14ac:dyDescent="0.3">
      <c r="B125" s="163">
        <f ca="1">Simulador!A120</f>
        <v>48812</v>
      </c>
      <c r="C125" s="160"/>
      <c r="D125" s="161">
        <f ca="1">Simulador!C120</f>
        <v>87</v>
      </c>
      <c r="E125" s="160"/>
      <c r="F125" s="162" t="str">
        <f ca="1">Simulador!E120</f>
        <v>Retorno</v>
      </c>
      <c r="G125" s="160"/>
      <c r="H125" s="157">
        <f ca="1">Simulador!G120</f>
        <v>1653.5001424717739</v>
      </c>
      <c r="I125" s="160"/>
      <c r="J125" s="157">
        <f ca="1">Simulador!I120</f>
        <v>7222.0287471358897</v>
      </c>
      <c r="K125" s="160"/>
      <c r="L125" s="157">
        <f ca="1">Simulador!K120</f>
        <v>0</v>
      </c>
      <c r="M125" s="160"/>
      <c r="N125" s="157">
        <f ca="1">Simulador!M120</f>
        <v>208.07728640810859</v>
      </c>
      <c r="O125" s="160"/>
      <c r="P125" s="157">
        <f ca="1">Simulador!O120</f>
        <v>75</v>
      </c>
      <c r="Q125" s="160"/>
      <c r="R125" s="157">
        <f ca="1">Simulador!Q120</f>
        <v>9158.6061760157718</v>
      </c>
      <c r="S125" s="160"/>
      <c r="T125" s="157">
        <f ca="1">Simulador!S120</f>
        <v>656602.35534272192</v>
      </c>
    </row>
    <row r="126" spans="2:20" x14ac:dyDescent="0.3">
      <c r="B126" s="163">
        <f ca="1">Simulador!A121</f>
        <v>48843</v>
      </c>
      <c r="C126" s="160"/>
      <c r="D126" s="161">
        <f ca="1">Simulador!C121</f>
        <v>88</v>
      </c>
      <c r="E126" s="160"/>
      <c r="F126" s="162" t="str">
        <f ca="1">Simulador!E121</f>
        <v>Retorno</v>
      </c>
      <c r="G126" s="160"/>
      <c r="H126" s="157">
        <f ca="1">Simulador!G121</f>
        <v>1671.6414555536139</v>
      </c>
      <c r="I126" s="160"/>
      <c r="J126" s="157">
        <f ca="1">Simulador!I121</f>
        <v>7203.8874340540497</v>
      </c>
      <c r="K126" s="160"/>
      <c r="L126" s="157">
        <f ca="1">Simulador!K121</f>
        <v>0</v>
      </c>
      <c r="M126" s="160"/>
      <c r="N126" s="157">
        <f ca="1">Simulador!M121</f>
        <v>207.54754323084364</v>
      </c>
      <c r="O126" s="160"/>
      <c r="P126" s="157">
        <f ca="1">Simulador!O121</f>
        <v>75</v>
      </c>
      <c r="Q126" s="160"/>
      <c r="R126" s="157">
        <f ca="1">Simulador!Q121</f>
        <v>9158.0764328385067</v>
      </c>
      <c r="S126" s="160"/>
      <c r="T126" s="157">
        <f ca="1">Simulador!S121</f>
        <v>654930.71388716833</v>
      </c>
    </row>
    <row r="127" spans="2:20" x14ac:dyDescent="0.3">
      <c r="B127" s="163">
        <f ca="1">Simulador!A122</f>
        <v>48873</v>
      </c>
      <c r="C127" s="160"/>
      <c r="D127" s="161">
        <f ca="1">Simulador!C122</f>
        <v>89</v>
      </c>
      <c r="E127" s="160"/>
      <c r="F127" s="162" t="str">
        <f ca="1">Simulador!E122</f>
        <v>Retorno</v>
      </c>
      <c r="G127" s="160"/>
      <c r="H127" s="157">
        <f ca="1">Simulador!G122</f>
        <v>1689.9818053527524</v>
      </c>
      <c r="I127" s="160"/>
      <c r="J127" s="157">
        <f ca="1">Simulador!I122</f>
        <v>7185.5470842549112</v>
      </c>
      <c r="K127" s="160"/>
      <c r="L127" s="157">
        <f ca="1">Simulador!K122</f>
        <v>0</v>
      </c>
      <c r="M127" s="160"/>
      <c r="N127" s="157">
        <f ca="1">Simulador!M122</f>
        <v>207.01198799672736</v>
      </c>
      <c r="O127" s="160"/>
      <c r="P127" s="157">
        <f ca="1">Simulador!O122</f>
        <v>75</v>
      </c>
      <c r="Q127" s="160"/>
      <c r="R127" s="157">
        <f ca="1">Simulador!Q122</f>
        <v>9157.5408776043914</v>
      </c>
      <c r="S127" s="160"/>
      <c r="T127" s="157">
        <f ca="1">Simulador!S122</f>
        <v>653240.7320818156</v>
      </c>
    </row>
    <row r="128" spans="2:20" x14ac:dyDescent="0.3">
      <c r="B128" s="163">
        <f ca="1">Simulador!A123</f>
        <v>48904</v>
      </c>
      <c r="C128" s="160"/>
      <c r="D128" s="161">
        <f ca="1">Simulador!C123</f>
        <v>90</v>
      </c>
      <c r="E128" s="160"/>
      <c r="F128" s="162" t="str">
        <f ca="1">Simulador!E123</f>
        <v>Retorno</v>
      </c>
      <c r="G128" s="160"/>
      <c r="H128" s="157">
        <f ca="1">Simulador!G123</f>
        <v>1708.5233755926856</v>
      </c>
      <c r="I128" s="160"/>
      <c r="J128" s="157">
        <f ca="1">Simulador!I123</f>
        <v>7167.005514014978</v>
      </c>
      <c r="K128" s="160"/>
      <c r="L128" s="157">
        <f ca="1">Simulador!K123</f>
        <v>0</v>
      </c>
      <c r="M128" s="160"/>
      <c r="N128" s="157">
        <f ca="1">Simulador!M123</f>
        <v>206.47055693900205</v>
      </c>
      <c r="O128" s="160"/>
      <c r="P128" s="157">
        <f ca="1">Simulador!O123</f>
        <v>75</v>
      </c>
      <c r="Q128" s="160"/>
      <c r="R128" s="157">
        <f ca="1">Simulador!Q123</f>
        <v>9156.9994465466661</v>
      </c>
      <c r="S128" s="160"/>
      <c r="T128" s="157">
        <f ca="1">Simulador!S123</f>
        <v>651532.20870622294</v>
      </c>
    </row>
    <row r="129" spans="2:20" x14ac:dyDescent="0.3">
      <c r="B129" s="163">
        <f ca="1">Simulador!A124</f>
        <v>48934</v>
      </c>
      <c r="C129" s="160"/>
      <c r="D129" s="161">
        <f ca="1">Simulador!C124</f>
        <v>91</v>
      </c>
      <c r="E129" s="160"/>
      <c r="F129" s="162" t="str">
        <f ca="1">Simulador!E124</f>
        <v>Retorno</v>
      </c>
      <c r="G129" s="160"/>
      <c r="H129" s="157">
        <f ca="1">Simulador!G124</f>
        <v>1727.268373955998</v>
      </c>
      <c r="I129" s="160"/>
      <c r="J129" s="157">
        <f ca="1">Simulador!I124</f>
        <v>7148.2605156516656</v>
      </c>
      <c r="K129" s="160"/>
      <c r="L129" s="157">
        <f ca="1">Simulador!K124</f>
        <v>0</v>
      </c>
      <c r="M129" s="160"/>
      <c r="N129" s="157">
        <f ca="1">Simulador!M124</f>
        <v>205.92318559129541</v>
      </c>
      <c r="O129" s="160"/>
      <c r="P129" s="157">
        <f ca="1">Simulador!O124</f>
        <v>75</v>
      </c>
      <c r="Q129" s="160"/>
      <c r="R129" s="157">
        <f ca="1">Simulador!Q124</f>
        <v>9156.4520751989585</v>
      </c>
      <c r="S129" s="160"/>
      <c r="T129" s="157">
        <f ca="1">Simulador!S124</f>
        <v>649804.94033226697</v>
      </c>
    </row>
    <row r="130" spans="2:20" x14ac:dyDescent="0.3">
      <c r="B130" s="163">
        <f ca="1">Simulador!A125</f>
        <v>48965</v>
      </c>
      <c r="C130" s="160"/>
      <c r="D130" s="161">
        <f ca="1">Simulador!C125</f>
        <v>92</v>
      </c>
      <c r="E130" s="160"/>
      <c r="F130" s="162" t="str">
        <f ca="1">Simulador!E125</f>
        <v>Retorno</v>
      </c>
      <c r="G130" s="160"/>
      <c r="H130" s="157">
        <f ca="1">Simulador!G125</f>
        <v>1746.2190323462964</v>
      </c>
      <c r="I130" s="160"/>
      <c r="J130" s="157">
        <f ca="1">Simulador!I125</f>
        <v>7129.3098572613671</v>
      </c>
      <c r="K130" s="160"/>
      <c r="L130" s="157">
        <f ca="1">Simulador!K125</f>
        <v>0</v>
      </c>
      <c r="M130" s="160"/>
      <c r="N130" s="157">
        <f ca="1">Simulador!M125</f>
        <v>205.36980877994486</v>
      </c>
      <c r="O130" s="160"/>
      <c r="P130" s="157">
        <f ca="1">Simulador!O125</f>
        <v>75</v>
      </c>
      <c r="Q130" s="160"/>
      <c r="R130" s="157">
        <f ca="1">Simulador!Q125</f>
        <v>9155.8986983876093</v>
      </c>
      <c r="S130" s="160"/>
      <c r="T130" s="157">
        <f ca="1">Simulador!S125</f>
        <v>648058.7212999207</v>
      </c>
    </row>
    <row r="131" spans="2:20" x14ac:dyDescent="0.3">
      <c r="B131" s="163">
        <f ca="1">Simulador!A126</f>
        <v>48996</v>
      </c>
      <c r="C131" s="160"/>
      <c r="D131" s="161">
        <f ca="1">Simulador!C126</f>
        <v>93</v>
      </c>
      <c r="E131" s="160"/>
      <c r="F131" s="162" t="str">
        <f ca="1">Simulador!E126</f>
        <v>Retorno</v>
      </c>
      <c r="G131" s="160"/>
      <c r="H131" s="157">
        <f ca="1">Simulador!G126</f>
        <v>1765.3776071548018</v>
      </c>
      <c r="I131" s="160"/>
      <c r="J131" s="157">
        <f ca="1">Simulador!I126</f>
        <v>7110.1512824528618</v>
      </c>
      <c r="K131" s="160"/>
      <c r="L131" s="157">
        <f ca="1">Simulador!K126</f>
        <v>0</v>
      </c>
      <c r="M131" s="160"/>
      <c r="N131" s="157">
        <f ca="1">Simulador!M126</f>
        <v>204.81036061623752</v>
      </c>
      <c r="O131" s="160"/>
      <c r="P131" s="157">
        <f ca="1">Simulador!O126</f>
        <v>75</v>
      </c>
      <c r="Q131" s="160"/>
      <c r="R131" s="157">
        <f ca="1">Simulador!Q126</f>
        <v>9155.3392502239003</v>
      </c>
      <c r="S131" s="160"/>
      <c r="T131" s="157">
        <f ca="1">Simulador!S126</f>
        <v>646293.34369276592</v>
      </c>
    </row>
    <row r="132" spans="2:20" x14ac:dyDescent="0.3">
      <c r="B132" s="163">
        <f ca="1">Simulador!A127</f>
        <v>49024</v>
      </c>
      <c r="C132" s="160"/>
      <c r="D132" s="161">
        <f ca="1">Simulador!C127</f>
        <v>94</v>
      </c>
      <c r="E132" s="160"/>
      <c r="F132" s="162" t="str">
        <f ca="1">Simulador!E127</f>
        <v>Retorno</v>
      </c>
      <c r="G132" s="160"/>
      <c r="H132" s="157">
        <f ca="1">Simulador!G127</f>
        <v>1784.7463795282201</v>
      </c>
      <c r="I132" s="160"/>
      <c r="J132" s="157">
        <f ca="1">Simulador!I127</f>
        <v>7090.7825100794435</v>
      </c>
      <c r="K132" s="160"/>
      <c r="L132" s="157">
        <f ca="1">Simulador!K127</f>
        <v>0</v>
      </c>
      <c r="M132" s="160"/>
      <c r="N132" s="157">
        <f ca="1">Simulador!M127</f>
        <v>204.24477448856504</v>
      </c>
      <c r="O132" s="160"/>
      <c r="P132" s="157">
        <f ca="1">Simulador!O127</f>
        <v>75</v>
      </c>
      <c r="Q132" s="160"/>
      <c r="R132" s="157">
        <f ca="1">Simulador!Q127</f>
        <v>9154.7736640962285</v>
      </c>
      <c r="S132" s="160"/>
      <c r="T132" s="157">
        <f ca="1">Simulador!S127</f>
        <v>644508.59731323773</v>
      </c>
    </row>
    <row r="133" spans="2:20" x14ac:dyDescent="0.3">
      <c r="B133" s="163">
        <f ca="1">Simulador!A128</f>
        <v>49055</v>
      </c>
      <c r="C133" s="160"/>
      <c r="D133" s="161">
        <f ca="1">Simulador!C128</f>
        <v>95</v>
      </c>
      <c r="E133" s="160"/>
      <c r="F133" s="162" t="str">
        <f ca="1">Simulador!E128</f>
        <v>Retorno</v>
      </c>
      <c r="G133" s="160"/>
      <c r="H133" s="157">
        <f ca="1">Simulador!G128</f>
        <v>1804.3276556413875</v>
      </c>
      <c r="I133" s="160"/>
      <c r="J133" s="157">
        <f ca="1">Simulador!I128</f>
        <v>7071.201233966276</v>
      </c>
      <c r="K133" s="160"/>
      <c r="L133" s="157">
        <f ca="1">Simulador!K128</f>
        <v>0</v>
      </c>
      <c r="M133" s="160"/>
      <c r="N133" s="157">
        <f ca="1">Simulador!M128</f>
        <v>203.67298305449228</v>
      </c>
      <c r="O133" s="160"/>
      <c r="P133" s="157">
        <f ca="1">Simulador!O128</f>
        <v>75</v>
      </c>
      <c r="Q133" s="160"/>
      <c r="R133" s="157">
        <f ca="1">Simulador!Q128</f>
        <v>9154.2018726621554</v>
      </c>
      <c r="S133" s="160"/>
      <c r="T133" s="157">
        <f ca="1">Simulador!S128</f>
        <v>642704.26965759636</v>
      </c>
    </row>
    <row r="134" spans="2:20" x14ac:dyDescent="0.3">
      <c r="B134" s="163">
        <f ca="1">Simulador!A129</f>
        <v>49085</v>
      </c>
      <c r="C134" s="160"/>
      <c r="D134" s="161">
        <f ca="1">Simulador!C129</f>
        <v>96</v>
      </c>
      <c r="E134" s="160"/>
      <c r="F134" s="162" t="str">
        <f ca="1">Simulador!E129</f>
        <v>Retorno</v>
      </c>
      <c r="G134" s="160"/>
      <c r="H134" s="157">
        <f ca="1">Simulador!G129</f>
        <v>1824.1237669704969</v>
      </c>
      <c r="I134" s="160"/>
      <c r="J134" s="157">
        <f ca="1">Simulador!I129</f>
        <v>7051.4051226371666</v>
      </c>
      <c r="K134" s="160"/>
      <c r="L134" s="157">
        <f ca="1">Simulador!K129</f>
        <v>0</v>
      </c>
      <c r="M134" s="160"/>
      <c r="N134" s="157">
        <f ca="1">Simulador!M129</f>
        <v>203.09491823273936</v>
      </c>
      <c r="O134" s="160"/>
      <c r="P134" s="157">
        <f ca="1">Simulador!O129</f>
        <v>75</v>
      </c>
      <c r="Q134" s="160"/>
      <c r="R134" s="157">
        <f ca="1">Simulador!Q129</f>
        <v>9153.6238078404022</v>
      </c>
      <c r="S134" s="160"/>
      <c r="T134" s="157">
        <f ca="1">Simulador!S129</f>
        <v>640880.14589062589</v>
      </c>
    </row>
    <row r="135" spans="2:20" x14ac:dyDescent="0.3">
      <c r="B135" s="163">
        <f ca="1">Simulador!A130</f>
        <v>49116</v>
      </c>
      <c r="C135" s="160"/>
      <c r="D135" s="161">
        <f ca="1">Simulador!C130</f>
        <v>97</v>
      </c>
      <c r="E135" s="160"/>
      <c r="F135" s="162" t="str">
        <f ca="1">Simulador!E130</f>
        <v>Retorno</v>
      </c>
      <c r="G135" s="160"/>
      <c r="H135" s="157">
        <f ca="1">Simulador!G130</f>
        <v>1844.137070572262</v>
      </c>
      <c r="I135" s="160"/>
      <c r="J135" s="157">
        <f ca="1">Simulador!I130</f>
        <v>7031.3918190354016</v>
      </c>
      <c r="K135" s="160"/>
      <c r="L135" s="157">
        <f ca="1">Simulador!K130</f>
        <v>0</v>
      </c>
      <c r="M135" s="160"/>
      <c r="N135" s="157">
        <f ca="1">Simulador!M130</f>
        <v>202.510511195075</v>
      </c>
      <c r="O135" s="160"/>
      <c r="P135" s="157">
        <f ca="1">Simulador!O130</f>
        <v>75</v>
      </c>
      <c r="Q135" s="160"/>
      <c r="R135" s="157">
        <f ca="1">Simulador!Q130</f>
        <v>9153.0394008027379</v>
      </c>
      <c r="S135" s="160"/>
      <c r="T135" s="157">
        <f ca="1">Simulador!S130</f>
        <v>639036.00882005366</v>
      </c>
    </row>
    <row r="136" spans="2:20" x14ac:dyDescent="0.3">
      <c r="B136" s="163">
        <f ca="1">Simulador!A131</f>
        <v>49146</v>
      </c>
      <c r="C136" s="160"/>
      <c r="D136" s="161">
        <f ca="1">Simulador!C131</f>
        <v>98</v>
      </c>
      <c r="E136" s="160"/>
      <c r="F136" s="162" t="str">
        <f ca="1">Simulador!E131</f>
        <v>Retorno</v>
      </c>
      <c r="G136" s="160"/>
      <c r="H136" s="157">
        <f ca="1">Simulador!G131</f>
        <v>1864.3699493629647</v>
      </c>
      <c r="I136" s="160"/>
      <c r="J136" s="157">
        <f ca="1">Simulador!I131</f>
        <v>7011.1589402446989</v>
      </c>
      <c r="K136" s="160"/>
      <c r="L136" s="157">
        <f ca="1">Simulador!K131</f>
        <v>0</v>
      </c>
      <c r="M136" s="160"/>
      <c r="N136" s="157">
        <f ca="1">Simulador!M131</f>
        <v>201.91969235812189</v>
      </c>
      <c r="O136" s="160"/>
      <c r="P136" s="157">
        <f ca="1">Simulador!O131</f>
        <v>75</v>
      </c>
      <c r="Q136" s="160"/>
      <c r="R136" s="157">
        <f ca="1">Simulador!Q131</f>
        <v>9152.4485819657857</v>
      </c>
      <c r="S136" s="160"/>
      <c r="T136" s="157">
        <f ca="1">Simulador!S131</f>
        <v>637171.63887069072</v>
      </c>
    </row>
    <row r="137" spans="2:20" x14ac:dyDescent="0.3">
      <c r="B137" s="163">
        <f ca="1">Simulador!A132</f>
        <v>49177</v>
      </c>
      <c r="C137" s="160"/>
      <c r="D137" s="161">
        <f ca="1">Simulador!C132</f>
        <v>99</v>
      </c>
      <c r="E137" s="160"/>
      <c r="F137" s="162" t="str">
        <f ca="1">Simulador!E132</f>
        <v>Retorno</v>
      </c>
      <c r="G137" s="160"/>
      <c r="H137" s="157">
        <f ca="1">Simulador!G132</f>
        <v>1884.8248124035563</v>
      </c>
      <c r="I137" s="160"/>
      <c r="J137" s="157">
        <f ca="1">Simulador!I132</f>
        <v>6990.7040772041073</v>
      </c>
      <c r="K137" s="160"/>
      <c r="L137" s="157">
        <f ca="1">Simulador!K132</f>
        <v>0</v>
      </c>
      <c r="M137" s="160"/>
      <c r="N137" s="157">
        <f ca="1">Simulador!M132</f>
        <v>201.32239137507122</v>
      </c>
      <c r="O137" s="160"/>
      <c r="P137" s="157">
        <f ca="1">Simulador!O132</f>
        <v>75</v>
      </c>
      <c r="Q137" s="160"/>
      <c r="R137" s="157">
        <f ca="1">Simulador!Q132</f>
        <v>9151.8512809827353</v>
      </c>
      <c r="S137" s="160"/>
      <c r="T137" s="157">
        <f ca="1">Simulador!S132</f>
        <v>635286.81405828719</v>
      </c>
    </row>
    <row r="138" spans="2:20" x14ac:dyDescent="0.3">
      <c r="B138" s="163">
        <f ca="1">Simulador!A133</f>
        <v>49208</v>
      </c>
      <c r="C138" s="160"/>
      <c r="D138" s="161">
        <f ca="1">Simulador!C133</f>
        <v>100</v>
      </c>
      <c r="E138" s="160"/>
      <c r="F138" s="162" t="str">
        <f ca="1">Simulador!E133</f>
        <v>Retorno</v>
      </c>
      <c r="G138" s="160"/>
      <c r="H138" s="157">
        <f ca="1">Simulador!G133</f>
        <v>1905.5040951855735</v>
      </c>
      <c r="I138" s="160"/>
      <c r="J138" s="157">
        <f ca="1">Simulador!I133</f>
        <v>6970.0247944220901</v>
      </c>
      <c r="K138" s="160"/>
      <c r="L138" s="157">
        <f ca="1">Simulador!K133</f>
        <v>0</v>
      </c>
      <c r="M138" s="160"/>
      <c r="N138" s="157">
        <f ca="1">Simulador!M133</f>
        <v>275.64754609594183</v>
      </c>
      <c r="O138" s="160"/>
      <c r="P138" s="157">
        <f ca="1">Simulador!O133</f>
        <v>75</v>
      </c>
      <c r="Q138" s="160"/>
      <c r="R138" s="157">
        <f ca="1">Simulador!Q133</f>
        <v>9226.1764357036045</v>
      </c>
      <c r="S138" s="160"/>
      <c r="T138" s="157">
        <f ca="1">Simulador!S133</f>
        <v>633381.30996310164</v>
      </c>
    </row>
    <row r="139" spans="2:20" x14ac:dyDescent="0.3">
      <c r="B139" s="163">
        <f ca="1">Simulador!A134</f>
        <v>49238</v>
      </c>
      <c r="C139" s="160"/>
      <c r="D139" s="161">
        <f ca="1">Simulador!C134</f>
        <v>101</v>
      </c>
      <c r="E139" s="160"/>
      <c r="F139" s="162" t="str">
        <f ca="1">Simulador!E134</f>
        <v>Retorno</v>
      </c>
      <c r="G139" s="160"/>
      <c r="H139" s="157">
        <f ca="1">Simulador!G134</f>
        <v>1926.4102599215948</v>
      </c>
      <c r="I139" s="160"/>
      <c r="J139" s="157">
        <f ca="1">Simulador!I134</f>
        <v>6949.1186296860687</v>
      </c>
      <c r="K139" s="160"/>
      <c r="L139" s="157">
        <f ca="1">Simulador!K134</f>
        <v>0</v>
      </c>
      <c r="M139" s="160"/>
      <c r="N139" s="157">
        <f ca="1">Simulador!M134</f>
        <v>274.80917235082399</v>
      </c>
      <c r="O139" s="160"/>
      <c r="P139" s="157">
        <f ca="1">Simulador!O134</f>
        <v>75</v>
      </c>
      <c r="Q139" s="160"/>
      <c r="R139" s="157">
        <f ca="1">Simulador!Q134</f>
        <v>9225.3380619584877</v>
      </c>
      <c r="S139" s="160"/>
      <c r="T139" s="157">
        <f ca="1">Simulador!S134</f>
        <v>631454.89970318007</v>
      </c>
    </row>
    <row r="140" spans="2:20" x14ac:dyDescent="0.3">
      <c r="B140" s="163">
        <f ca="1">Simulador!A135</f>
        <v>49269</v>
      </c>
      <c r="C140" s="160"/>
      <c r="D140" s="161">
        <f ca="1">Simulador!C135</f>
        <v>102</v>
      </c>
      <c r="E140" s="160"/>
      <c r="F140" s="162" t="str">
        <f ca="1">Simulador!E135</f>
        <v>Retorno</v>
      </c>
      <c r="G140" s="160"/>
      <c r="H140" s="157">
        <f ca="1">Simulador!G135</f>
        <v>1947.5457958381412</v>
      </c>
      <c r="I140" s="160"/>
      <c r="J140" s="157">
        <f ca="1">Simulador!I135</f>
        <v>6927.9830937695224</v>
      </c>
      <c r="K140" s="160"/>
      <c r="L140" s="157">
        <f ca="1">Simulador!K135</f>
        <v>0</v>
      </c>
      <c r="M140" s="160"/>
      <c r="N140" s="157">
        <f ca="1">Simulador!M135</f>
        <v>273.96160042047524</v>
      </c>
      <c r="O140" s="160"/>
      <c r="P140" s="157">
        <f ca="1">Simulador!O135</f>
        <v>75</v>
      </c>
      <c r="Q140" s="160"/>
      <c r="R140" s="157">
        <f ca="1">Simulador!Q135</f>
        <v>9224.4904900281381</v>
      </c>
      <c r="S140" s="160"/>
      <c r="T140" s="157">
        <f ca="1">Simulador!S135</f>
        <v>629507.35390734195</v>
      </c>
    </row>
    <row r="141" spans="2:20" x14ac:dyDescent="0.3">
      <c r="B141" s="163">
        <f ca="1">Simulador!A136</f>
        <v>49299</v>
      </c>
      <c r="C141" s="160"/>
      <c r="D141" s="161">
        <f ca="1">Simulador!C136</f>
        <v>103</v>
      </c>
      <c r="E141" s="160"/>
      <c r="F141" s="162" t="str">
        <f ca="1">Simulador!E136</f>
        <v>Retorno</v>
      </c>
      <c r="G141" s="160"/>
      <c r="H141" s="157">
        <f ca="1">Simulador!G136</f>
        <v>1968.9132194724189</v>
      </c>
      <c r="I141" s="160"/>
      <c r="J141" s="157">
        <f ca="1">Simulador!I136</f>
        <v>6906.6156701352447</v>
      </c>
      <c r="K141" s="160"/>
      <c r="L141" s="157">
        <f ca="1">Simulador!K136</f>
        <v>0</v>
      </c>
      <c r="M141" s="160"/>
      <c r="N141" s="157">
        <f ca="1">Simulador!M136</f>
        <v>273.10472938736086</v>
      </c>
      <c r="O141" s="160"/>
      <c r="P141" s="157">
        <f ca="1">Simulador!O136</f>
        <v>75</v>
      </c>
      <c r="Q141" s="160"/>
      <c r="R141" s="157">
        <f ca="1">Simulador!Q136</f>
        <v>9223.6336189950252</v>
      </c>
      <c r="S141" s="160"/>
      <c r="T141" s="157">
        <f ca="1">Simulador!S136</f>
        <v>627538.44068786956</v>
      </c>
    </row>
    <row r="142" spans="2:20" x14ac:dyDescent="0.3">
      <c r="B142" s="163">
        <f ca="1">Simulador!A137</f>
        <v>49330</v>
      </c>
      <c r="C142" s="160"/>
      <c r="D142" s="161">
        <f ca="1">Simulador!C137</f>
        <v>104</v>
      </c>
      <c r="E142" s="160"/>
      <c r="F142" s="162" t="str">
        <f ca="1">Simulador!E137</f>
        <v>Retorno</v>
      </c>
      <c r="G142" s="160"/>
      <c r="H142" s="157">
        <f ca="1">Simulador!G137</f>
        <v>1990.5150749716231</v>
      </c>
      <c r="I142" s="160"/>
      <c r="J142" s="157">
        <f ca="1">Simulador!I137</f>
        <v>6885.0138146360405</v>
      </c>
      <c r="K142" s="160"/>
      <c r="L142" s="157">
        <f ca="1">Simulador!K137</f>
        <v>0</v>
      </c>
      <c r="M142" s="160"/>
      <c r="N142" s="157">
        <f ca="1">Simulador!M137</f>
        <v>272.2384572267332</v>
      </c>
      <c r="O142" s="160"/>
      <c r="P142" s="157">
        <f ca="1">Simulador!O137</f>
        <v>75</v>
      </c>
      <c r="Q142" s="160"/>
      <c r="R142" s="157">
        <f ca="1">Simulador!Q137</f>
        <v>9222.7673468343964</v>
      </c>
      <c r="S142" s="160"/>
      <c r="T142" s="157">
        <f ca="1">Simulador!S137</f>
        <v>625547.92561289796</v>
      </c>
    </row>
    <row r="143" spans="2:20" x14ac:dyDescent="0.3">
      <c r="B143" s="163">
        <f ca="1">Simulador!A138</f>
        <v>49361</v>
      </c>
      <c r="C143" s="160"/>
      <c r="D143" s="161">
        <f ca="1">Simulador!C138</f>
        <v>105</v>
      </c>
      <c r="E143" s="160"/>
      <c r="F143" s="162" t="str">
        <f ca="1">Simulador!E138</f>
        <v>Retorno</v>
      </c>
      <c r="G143" s="160"/>
      <c r="H143" s="157">
        <f ca="1">Simulador!G138</f>
        <v>2012.3539343957345</v>
      </c>
      <c r="I143" s="160"/>
      <c r="J143" s="157">
        <f ca="1">Simulador!I138</f>
        <v>6863.174955211929</v>
      </c>
      <c r="K143" s="160"/>
      <c r="L143" s="157">
        <f ca="1">Simulador!K138</f>
        <v>0</v>
      </c>
      <c r="M143" s="160"/>
      <c r="N143" s="157">
        <f ca="1">Simulador!M138</f>
        <v>271.36268079448416</v>
      </c>
      <c r="O143" s="160"/>
      <c r="P143" s="157">
        <f ca="1">Simulador!O138</f>
        <v>75</v>
      </c>
      <c r="Q143" s="160"/>
      <c r="R143" s="157">
        <f ca="1">Simulador!Q138</f>
        <v>9221.8915704021474</v>
      </c>
      <c r="S143" s="160"/>
      <c r="T143" s="157">
        <f ca="1">Simulador!S138</f>
        <v>623535.57167850225</v>
      </c>
    </row>
    <row r="144" spans="2:20" x14ac:dyDescent="0.3">
      <c r="B144" s="163">
        <f ca="1">Simulador!A139</f>
        <v>49389</v>
      </c>
      <c r="C144" s="160"/>
      <c r="D144" s="161">
        <f ca="1">Simulador!C139</f>
        <v>106</v>
      </c>
      <c r="E144" s="160"/>
      <c r="F144" s="162" t="str">
        <f ca="1">Simulador!E139</f>
        <v>Retorno</v>
      </c>
      <c r="G144" s="160"/>
      <c r="H144" s="157">
        <f ca="1">Simulador!G139</f>
        <v>2034.4323980242734</v>
      </c>
      <c r="I144" s="160"/>
      <c r="J144" s="157">
        <f ca="1">Simulador!I139</f>
        <v>6841.0964915833902</v>
      </c>
      <c r="K144" s="160"/>
      <c r="L144" s="157">
        <f ca="1">Simulador!K139</f>
        <v>0</v>
      </c>
      <c r="M144" s="160"/>
      <c r="N144" s="157">
        <f ca="1">Simulador!M139</f>
        <v>270.47729581486402</v>
      </c>
      <c r="O144" s="160"/>
      <c r="P144" s="157">
        <f ca="1">Simulador!O139</f>
        <v>75</v>
      </c>
      <c r="Q144" s="160"/>
      <c r="R144" s="157">
        <f ca="1">Simulador!Q139</f>
        <v>9221.0061854225278</v>
      </c>
      <c r="S144" s="160"/>
      <c r="T144" s="157">
        <f ca="1">Simulador!S139</f>
        <v>621501.139280478</v>
      </c>
    </row>
    <row r="145" spans="2:20" x14ac:dyDescent="0.3">
      <c r="B145" s="163">
        <f ca="1">Simulador!A140</f>
        <v>49420</v>
      </c>
      <c r="C145" s="160"/>
      <c r="D145" s="161">
        <f ca="1">Simulador!C140</f>
        <v>107</v>
      </c>
      <c r="E145" s="160"/>
      <c r="F145" s="162" t="str">
        <f ca="1">Simulador!E140</f>
        <v>Retorno</v>
      </c>
      <c r="G145" s="160"/>
      <c r="H145" s="157">
        <f ca="1">Simulador!G140</f>
        <v>2056.7530946654988</v>
      </c>
      <c r="I145" s="160"/>
      <c r="J145" s="157">
        <f ca="1">Simulador!I140</f>
        <v>6818.7757949421648</v>
      </c>
      <c r="K145" s="160"/>
      <c r="L145" s="157">
        <f ca="1">Simulador!K140</f>
        <v>0</v>
      </c>
      <c r="M145" s="160"/>
      <c r="N145" s="157">
        <f ca="1">Simulador!M140</f>
        <v>269.58219686806564</v>
      </c>
      <c r="O145" s="160"/>
      <c r="P145" s="157">
        <f ca="1">Simulador!O140</f>
        <v>75</v>
      </c>
      <c r="Q145" s="160"/>
      <c r="R145" s="157">
        <f ca="1">Simulador!Q140</f>
        <v>9220.1110864757284</v>
      </c>
      <c r="S145" s="160"/>
      <c r="T145" s="157">
        <f ca="1">Simulador!S140</f>
        <v>619444.38618581253</v>
      </c>
    </row>
    <row r="146" spans="2:20" x14ac:dyDescent="0.3">
      <c r="B146" s="163">
        <f ca="1">Simulador!A141</f>
        <v>49450</v>
      </c>
      <c r="C146" s="160"/>
      <c r="D146" s="161">
        <f ca="1">Simulador!C141</f>
        <v>108</v>
      </c>
      <c r="E146" s="160"/>
      <c r="F146" s="162" t="str">
        <f ca="1">Simulador!E141</f>
        <v>Retorno</v>
      </c>
      <c r="G146" s="160"/>
      <c r="H146" s="157">
        <f ca="1">Simulador!G141</f>
        <v>2079.3186819696821</v>
      </c>
      <c r="I146" s="160"/>
      <c r="J146" s="157">
        <f ca="1">Simulador!I141</f>
        <v>6796.2102076379815</v>
      </c>
      <c r="K146" s="160"/>
      <c r="L146" s="157">
        <f ca="1">Simulador!K141</f>
        <v>0</v>
      </c>
      <c r="M146" s="160"/>
      <c r="N146" s="157">
        <f ca="1">Simulador!M141</f>
        <v>268.6772773776724</v>
      </c>
      <c r="O146" s="160"/>
      <c r="P146" s="157">
        <f ca="1">Simulador!O141</f>
        <v>75</v>
      </c>
      <c r="Q146" s="160"/>
      <c r="R146" s="157">
        <f ca="1">Simulador!Q141</f>
        <v>9219.2061669853356</v>
      </c>
      <c r="S146" s="160"/>
      <c r="T146" s="157">
        <f ca="1">Simulador!S141</f>
        <v>617365.06750384287</v>
      </c>
    </row>
    <row r="147" spans="2:20" x14ac:dyDescent="0.3">
      <c r="B147" s="163">
        <f ca="1">Simulador!A142</f>
        <v>49481</v>
      </c>
      <c r="C147" s="160"/>
      <c r="D147" s="161">
        <f ca="1">Simulador!C142</f>
        <v>109</v>
      </c>
      <c r="E147" s="160"/>
      <c r="F147" s="162" t="str">
        <f ca="1">Simulador!E142</f>
        <v>Retorno</v>
      </c>
      <c r="G147" s="160"/>
      <c r="H147" s="157">
        <f ca="1">Simulador!G142</f>
        <v>2102.1318467452911</v>
      </c>
      <c r="I147" s="160"/>
      <c r="J147" s="157">
        <f ca="1">Simulador!I142</f>
        <v>6773.3970428623725</v>
      </c>
      <c r="K147" s="160"/>
      <c r="L147" s="157">
        <f ca="1">Simulador!K142</f>
        <v>0</v>
      </c>
      <c r="M147" s="160"/>
      <c r="N147" s="157">
        <f ca="1">Simulador!M142</f>
        <v>267.76242959796889</v>
      </c>
      <c r="O147" s="160"/>
      <c r="P147" s="157">
        <f ca="1">Simulador!O142</f>
        <v>75</v>
      </c>
      <c r="Q147" s="160"/>
      <c r="R147" s="157">
        <f ca="1">Simulador!Q142</f>
        <v>9218.291319205633</v>
      </c>
      <c r="S147" s="160"/>
      <c r="T147" s="157">
        <f ca="1">Simulador!S142</f>
        <v>615262.93565709761</v>
      </c>
    </row>
    <row r="148" spans="2:20" x14ac:dyDescent="0.3">
      <c r="B148" s="163">
        <f ca="1">Simulador!A143</f>
        <v>49511</v>
      </c>
      <c r="C148" s="160"/>
      <c r="D148" s="161">
        <f ca="1">Simulador!C143</f>
        <v>110</v>
      </c>
      <c r="E148" s="160"/>
      <c r="F148" s="162" t="str">
        <f ca="1">Simulador!E143</f>
        <v>Retorno</v>
      </c>
      <c r="G148" s="160"/>
      <c r="H148" s="157">
        <f ca="1">Simulador!G143</f>
        <v>2125.1953052787831</v>
      </c>
      <c r="I148" s="160"/>
      <c r="J148" s="157">
        <f ca="1">Simulador!I143</f>
        <v>6750.3335843288805</v>
      </c>
      <c r="K148" s="160"/>
      <c r="L148" s="157">
        <f ca="1">Simulador!K143</f>
        <v>0</v>
      </c>
      <c r="M148" s="160"/>
      <c r="N148" s="157">
        <f ca="1">Simulador!M143</f>
        <v>266.83754460111157</v>
      </c>
      <c r="O148" s="160"/>
      <c r="P148" s="157">
        <f ca="1">Simulador!O143</f>
        <v>75</v>
      </c>
      <c r="Q148" s="160"/>
      <c r="R148" s="157">
        <f ca="1">Simulador!Q143</f>
        <v>9217.3664342087759</v>
      </c>
      <c r="S148" s="160"/>
      <c r="T148" s="157">
        <f ca="1">Simulador!S143</f>
        <v>613137.74035181885</v>
      </c>
    </row>
    <row r="149" spans="2:20" x14ac:dyDescent="0.3">
      <c r="B149" s="163">
        <f ca="1">Simulador!A144</f>
        <v>49542</v>
      </c>
      <c r="C149" s="160"/>
      <c r="D149" s="161">
        <f ca="1">Simulador!C144</f>
        <v>111</v>
      </c>
      <c r="E149" s="160"/>
      <c r="F149" s="162" t="str">
        <f ca="1">Simulador!E144</f>
        <v>Retorno</v>
      </c>
      <c r="G149" s="160"/>
      <c r="H149" s="157">
        <f ca="1">Simulador!G144</f>
        <v>2148.511803658821</v>
      </c>
      <c r="I149" s="160"/>
      <c r="J149" s="157">
        <f ca="1">Simulador!I144</f>
        <v>6727.0170859488426</v>
      </c>
      <c r="K149" s="160"/>
      <c r="L149" s="157">
        <f ca="1">Simulador!K144</f>
        <v>0</v>
      </c>
      <c r="M149" s="160"/>
      <c r="N149" s="157">
        <f ca="1">Simulador!M144</f>
        <v>265.90251226415927</v>
      </c>
      <c r="O149" s="160"/>
      <c r="P149" s="157">
        <f ca="1">Simulador!O144</f>
        <v>75</v>
      </c>
      <c r="Q149" s="160"/>
      <c r="R149" s="157">
        <f ca="1">Simulador!Q144</f>
        <v>9216.4314018718233</v>
      </c>
      <c r="S149" s="160"/>
      <c r="T149" s="157">
        <f ca="1">Simulador!S144</f>
        <v>610989.22854816006</v>
      </c>
    </row>
    <row r="150" spans="2:20" x14ac:dyDescent="0.3">
      <c r="B150" s="163">
        <f ca="1">Simulador!A145</f>
        <v>49573</v>
      </c>
      <c r="C150" s="160"/>
      <c r="D150" s="161">
        <f ca="1">Simulador!C145</f>
        <v>112</v>
      </c>
      <c r="E150" s="160"/>
      <c r="F150" s="162" t="str">
        <f ca="1">Simulador!E145</f>
        <v>Retorno</v>
      </c>
      <c r="G150" s="160"/>
      <c r="H150" s="157">
        <f ca="1">Simulador!G145</f>
        <v>2172.0841181020041</v>
      </c>
      <c r="I150" s="160"/>
      <c r="J150" s="157">
        <f ca="1">Simulador!I145</f>
        <v>6703.4447715056594</v>
      </c>
      <c r="K150" s="160"/>
      <c r="L150" s="157">
        <f ca="1">Simulador!K145</f>
        <v>0</v>
      </c>
      <c r="M150" s="160"/>
      <c r="N150" s="157">
        <f ca="1">Simulador!M145</f>
        <v>264.95722125596126</v>
      </c>
      <c r="O150" s="160"/>
      <c r="P150" s="157">
        <f ca="1">Simulador!O145</f>
        <v>75</v>
      </c>
      <c r="Q150" s="160"/>
      <c r="R150" s="157">
        <f ca="1">Simulador!Q145</f>
        <v>9215.4861108636251</v>
      </c>
      <c r="S150" s="160"/>
      <c r="T150" s="157">
        <f ca="1">Simulador!S145</f>
        <v>608817.14443005808</v>
      </c>
    </row>
    <row r="151" spans="2:20" x14ac:dyDescent="0.3">
      <c r="B151" s="163">
        <f ca="1">Simulador!A146</f>
        <v>49603</v>
      </c>
      <c r="C151" s="160"/>
      <c r="D151" s="161">
        <f ca="1">Simulador!C146</f>
        <v>113</v>
      </c>
      <c r="E151" s="160"/>
      <c r="F151" s="162" t="str">
        <f ca="1">Simulador!E146</f>
        <v>Retorno</v>
      </c>
      <c r="G151" s="160"/>
      <c r="H151" s="157">
        <f ca="1">Simulador!G146</f>
        <v>2195.9150552845349</v>
      </c>
      <c r="I151" s="160"/>
      <c r="J151" s="157">
        <f ca="1">Simulador!I146</f>
        <v>6679.6138343231287</v>
      </c>
      <c r="K151" s="160"/>
      <c r="L151" s="157">
        <f ca="1">Simulador!K146</f>
        <v>0</v>
      </c>
      <c r="M151" s="160"/>
      <c r="N151" s="157">
        <f ca="1">Simulador!M146</f>
        <v>264.00155902390145</v>
      </c>
      <c r="O151" s="160"/>
      <c r="P151" s="157">
        <f ca="1">Simulador!O146</f>
        <v>75</v>
      </c>
      <c r="Q151" s="160"/>
      <c r="R151" s="157">
        <f ca="1">Simulador!Q146</f>
        <v>9214.5304486315654</v>
      </c>
      <c r="S151" s="160"/>
      <c r="T151" s="157">
        <f ca="1">Simulador!S146</f>
        <v>606621.22937477357</v>
      </c>
    </row>
    <row r="152" spans="2:20" x14ac:dyDescent="0.3">
      <c r="B152" s="163">
        <f ca="1">Simulador!A147</f>
        <v>49634</v>
      </c>
      <c r="C152" s="160"/>
      <c r="D152" s="161">
        <f ca="1">Simulador!C147</f>
        <v>114</v>
      </c>
      <c r="E152" s="160"/>
      <c r="F152" s="162" t="str">
        <f ca="1">Simulador!E147</f>
        <v>Retorno</v>
      </c>
      <c r="G152" s="160"/>
      <c r="H152" s="157">
        <f ca="1">Simulador!G147</f>
        <v>2220.0074526758654</v>
      </c>
      <c r="I152" s="160"/>
      <c r="J152" s="157">
        <f ca="1">Simulador!I147</f>
        <v>6655.5214369317982</v>
      </c>
      <c r="K152" s="160"/>
      <c r="L152" s="157">
        <f ca="1">Simulador!K147</f>
        <v>0</v>
      </c>
      <c r="M152" s="160"/>
      <c r="N152" s="157">
        <f ca="1">Simulador!M147</f>
        <v>263.03541178049693</v>
      </c>
      <c r="O152" s="160"/>
      <c r="P152" s="157">
        <f ca="1">Simulador!O147</f>
        <v>75</v>
      </c>
      <c r="Q152" s="160"/>
      <c r="R152" s="157">
        <f ca="1">Simulador!Q147</f>
        <v>9213.5643013881599</v>
      </c>
      <c r="S152" s="160"/>
      <c r="T152" s="157">
        <f ca="1">Simulador!S147</f>
        <v>604401.22192209773</v>
      </c>
    </row>
    <row r="153" spans="2:20" x14ac:dyDescent="0.3">
      <c r="B153" s="163">
        <f ca="1">Simulador!A148</f>
        <v>49664</v>
      </c>
      <c r="C153" s="160"/>
      <c r="D153" s="161">
        <f ca="1">Simulador!C148</f>
        <v>115</v>
      </c>
      <c r="E153" s="160"/>
      <c r="F153" s="162" t="str">
        <f ca="1">Simulador!E148</f>
        <v>Retorno</v>
      </c>
      <c r="G153" s="160"/>
      <c r="H153" s="157">
        <f ca="1">Simulador!G148</f>
        <v>2244.3641788766508</v>
      </c>
      <c r="I153" s="160"/>
      <c r="J153" s="157">
        <f ca="1">Simulador!I148</f>
        <v>6631.1647107310127</v>
      </c>
      <c r="K153" s="160"/>
      <c r="L153" s="157">
        <f ca="1">Simulador!K148</f>
        <v>0</v>
      </c>
      <c r="M153" s="160"/>
      <c r="N153" s="157">
        <f ca="1">Simulador!M148</f>
        <v>262.05866448984983</v>
      </c>
      <c r="O153" s="160"/>
      <c r="P153" s="157">
        <f ca="1">Simulador!O148</f>
        <v>75</v>
      </c>
      <c r="Q153" s="160"/>
      <c r="R153" s="157">
        <f ca="1">Simulador!Q148</f>
        <v>9212.5875540975139</v>
      </c>
      <c r="S153" s="160"/>
      <c r="T153" s="157">
        <f ca="1">Simulador!S148</f>
        <v>602156.8577432211</v>
      </c>
    </row>
    <row r="154" spans="2:20" x14ac:dyDescent="0.3">
      <c r="B154" s="163">
        <f ca="1">Simulador!A149</f>
        <v>49695</v>
      </c>
      <c r="C154" s="160"/>
      <c r="D154" s="161">
        <f ca="1">Simulador!C149</f>
        <v>116</v>
      </c>
      <c r="E154" s="160"/>
      <c r="F154" s="162" t="str">
        <f ca="1">Simulador!E149</f>
        <v>Retorno</v>
      </c>
      <c r="G154" s="160"/>
      <c r="H154" s="157">
        <f ca="1">Simulador!G149</f>
        <v>2268.9881339600797</v>
      </c>
      <c r="I154" s="160"/>
      <c r="J154" s="157">
        <f ca="1">Simulador!I149</f>
        <v>6606.5407556475839</v>
      </c>
      <c r="K154" s="160"/>
      <c r="L154" s="157">
        <f ca="1">Simulador!K149</f>
        <v>0</v>
      </c>
      <c r="M154" s="160"/>
      <c r="N154" s="157">
        <f ca="1">Simulador!M149</f>
        <v>261.07120085395042</v>
      </c>
      <c r="O154" s="160"/>
      <c r="P154" s="157">
        <f ca="1">Simulador!O149</f>
        <v>75</v>
      </c>
      <c r="Q154" s="160"/>
      <c r="R154" s="157">
        <f ca="1">Simulador!Q149</f>
        <v>9211.6000904616139</v>
      </c>
      <c r="S154" s="160"/>
      <c r="T154" s="157">
        <f ca="1">Simulador!S149</f>
        <v>599887.86960926105</v>
      </c>
    </row>
    <row r="155" spans="2:20" x14ac:dyDescent="0.3">
      <c r="B155" s="163">
        <f ca="1">Simulador!A150</f>
        <v>49726</v>
      </c>
      <c r="C155" s="160"/>
      <c r="D155" s="161">
        <f ca="1">Simulador!C150</f>
        <v>117</v>
      </c>
      <c r="E155" s="160"/>
      <c r="F155" s="162" t="str">
        <f ca="1">Simulador!E150</f>
        <v>Retorno</v>
      </c>
      <c r="G155" s="160"/>
      <c r="H155" s="157">
        <f ca="1">Simulador!G150</f>
        <v>2293.8822498176269</v>
      </c>
      <c r="I155" s="160"/>
      <c r="J155" s="157">
        <f ca="1">Simulador!I150</f>
        <v>6581.6466397900367</v>
      </c>
      <c r="K155" s="160"/>
      <c r="L155" s="157">
        <f ca="1">Simulador!K150</f>
        <v>0</v>
      </c>
      <c r="M155" s="160"/>
      <c r="N155" s="157">
        <f ca="1">Simulador!M150</f>
        <v>260.07290329882977</v>
      </c>
      <c r="O155" s="160"/>
      <c r="P155" s="157">
        <f ca="1">Simulador!O150</f>
        <v>75</v>
      </c>
      <c r="Q155" s="160"/>
      <c r="R155" s="157">
        <f ca="1">Simulador!Q150</f>
        <v>9210.6017929064928</v>
      </c>
      <c r="S155" s="160"/>
      <c r="T155" s="157">
        <f ca="1">Simulador!S150</f>
        <v>597593.98735944345</v>
      </c>
    </row>
    <row r="156" spans="2:20" x14ac:dyDescent="0.3">
      <c r="B156" s="163">
        <f ca="1">Simulador!A151</f>
        <v>49755</v>
      </c>
      <c r="C156" s="160"/>
      <c r="D156" s="161">
        <f ca="1">Simulador!C151</f>
        <v>118</v>
      </c>
      <c r="E156" s="160"/>
      <c r="F156" s="162" t="str">
        <f ca="1">Simulador!E151</f>
        <v>Retorno</v>
      </c>
      <c r="G156" s="160"/>
      <c r="H156" s="157">
        <f ca="1">Simulador!G151</f>
        <v>2319.049490507834</v>
      </c>
      <c r="I156" s="160"/>
      <c r="J156" s="157">
        <f ca="1">Simulador!I151</f>
        <v>6556.4793990998296</v>
      </c>
      <c r="K156" s="160"/>
      <c r="L156" s="157">
        <f ca="1">Simulador!K151</f>
        <v>0</v>
      </c>
      <c r="M156" s="160"/>
      <c r="N156" s="157">
        <f ca="1">Simulador!M151</f>
        <v>259.06365296056077</v>
      </c>
      <c r="O156" s="160"/>
      <c r="P156" s="157">
        <f ca="1">Simulador!O151</f>
        <v>75</v>
      </c>
      <c r="Q156" s="160"/>
      <c r="R156" s="157">
        <f ca="1">Simulador!Q151</f>
        <v>9209.5925425682235</v>
      </c>
      <c r="S156" s="160"/>
      <c r="T156" s="157">
        <f ca="1">Simulador!S151</f>
        <v>595274.93786893564</v>
      </c>
    </row>
    <row r="157" spans="2:20" x14ac:dyDescent="0.3">
      <c r="B157" s="163">
        <f ca="1">Simulador!A152</f>
        <v>49786</v>
      </c>
      <c r="C157" s="160"/>
      <c r="D157" s="161">
        <f ca="1">Simulador!C152</f>
        <v>119</v>
      </c>
      <c r="E157" s="160"/>
      <c r="F157" s="162" t="str">
        <f ca="1">Simulador!E152</f>
        <v>Retorno</v>
      </c>
      <c r="G157" s="160"/>
      <c r="H157" s="157">
        <f ca="1">Simulador!G152</f>
        <v>2344.4928526092808</v>
      </c>
      <c r="I157" s="160"/>
      <c r="J157" s="157">
        <f ca="1">Simulador!I152</f>
        <v>6531.0360369983828</v>
      </c>
      <c r="K157" s="160"/>
      <c r="L157" s="157">
        <f ca="1">Simulador!K152</f>
        <v>0</v>
      </c>
      <c r="M157" s="160"/>
      <c r="N157" s="157">
        <f ca="1">Simulador!M152</f>
        <v>258.04332967110525</v>
      </c>
      <c r="O157" s="160"/>
      <c r="P157" s="157">
        <f ca="1">Simulador!O152</f>
        <v>75</v>
      </c>
      <c r="Q157" s="160"/>
      <c r="R157" s="157">
        <f ca="1">Simulador!Q152</f>
        <v>9208.5722192787689</v>
      </c>
      <c r="S157" s="160"/>
      <c r="T157" s="157">
        <f ca="1">Simulador!S152</f>
        <v>592930.44501632638</v>
      </c>
    </row>
    <row r="158" spans="2:20" x14ac:dyDescent="0.3">
      <c r="B158" s="163">
        <f ca="1">Simulador!A153</f>
        <v>49816</v>
      </c>
      <c r="C158" s="160"/>
      <c r="D158" s="161">
        <f ca="1">Simulador!C153</f>
        <v>120</v>
      </c>
      <c r="E158" s="160"/>
      <c r="F158" s="162" t="str">
        <f ca="1">Simulador!E153</f>
        <v>Retorno</v>
      </c>
      <c r="G158" s="160"/>
      <c r="H158" s="157">
        <f ca="1">Simulador!G153</f>
        <v>2370.2153655772818</v>
      </c>
      <c r="I158" s="160"/>
      <c r="J158" s="157">
        <f ca="1">Simulador!I153</f>
        <v>6505.3135240303818</v>
      </c>
      <c r="K158" s="160"/>
      <c r="L158" s="157">
        <f ca="1">Simulador!K153</f>
        <v>0</v>
      </c>
      <c r="M158" s="160"/>
      <c r="N158" s="157">
        <f ca="1">Simulador!M153</f>
        <v>257.01181194400601</v>
      </c>
      <c r="O158" s="160"/>
      <c r="P158" s="157">
        <f ca="1">Simulador!O153</f>
        <v>75</v>
      </c>
      <c r="Q158" s="160"/>
      <c r="R158" s="157">
        <f ca="1">Simulador!Q153</f>
        <v>9207.5407015516703</v>
      </c>
      <c r="S158" s="160"/>
      <c r="T158" s="157">
        <f ca="1">Simulador!S153</f>
        <v>590560.22965074913</v>
      </c>
    </row>
    <row r="159" spans="2:20" x14ac:dyDescent="0.3">
      <c r="B159" s="163">
        <f ca="1">Simulador!A154</f>
        <v>49847</v>
      </c>
      <c r="C159" s="160"/>
      <c r="D159" s="161">
        <f ca="1">Simulador!C154</f>
        <v>121</v>
      </c>
      <c r="E159" s="160"/>
      <c r="F159" s="162" t="str">
        <f ca="1">Simulador!E154</f>
        <v>Retorno</v>
      </c>
      <c r="G159" s="160"/>
      <c r="H159" s="157">
        <f ca="1">Simulador!G154</f>
        <v>2396.2200921048898</v>
      </c>
      <c r="I159" s="160"/>
      <c r="J159" s="157">
        <f ca="1">Simulador!I154</f>
        <v>6479.3087975027738</v>
      </c>
      <c r="K159" s="160"/>
      <c r="L159" s="157">
        <f ca="1">Simulador!K154</f>
        <v>0</v>
      </c>
      <c r="M159" s="160"/>
      <c r="N159" s="157">
        <f ca="1">Simulador!M154</f>
        <v>255.96897695992197</v>
      </c>
      <c r="O159" s="160"/>
      <c r="P159" s="157">
        <f ca="1">Simulador!O154</f>
        <v>75</v>
      </c>
      <c r="Q159" s="160"/>
      <c r="R159" s="157">
        <f ca="1">Simulador!Q154</f>
        <v>9206.4978665675862</v>
      </c>
      <c r="S159" s="160"/>
      <c r="T159" s="157">
        <f ca="1">Simulador!S154</f>
        <v>588164.00955864426</v>
      </c>
    </row>
    <row r="160" spans="2:20" x14ac:dyDescent="0.3">
      <c r="B160" s="163">
        <f ca="1">Simulador!A155</f>
        <v>49877</v>
      </c>
      <c r="C160" s="160"/>
      <c r="D160" s="161">
        <f ca="1">Simulador!C155</f>
        <v>122</v>
      </c>
      <c r="E160" s="160"/>
      <c r="F160" s="162" t="str">
        <f ca="1">Simulador!E155</f>
        <v>Retorno</v>
      </c>
      <c r="G160" s="160"/>
      <c r="H160" s="157">
        <f ca="1">Simulador!G155</f>
        <v>2422.5101284873926</v>
      </c>
      <c r="I160" s="160"/>
      <c r="J160" s="157">
        <f ca="1">Simulador!I155</f>
        <v>6453.0187611202709</v>
      </c>
      <c r="K160" s="160"/>
      <c r="L160" s="157">
        <f ca="1">Simulador!K155</f>
        <v>0</v>
      </c>
      <c r="M160" s="160"/>
      <c r="N160" s="157">
        <f ca="1">Simulador!M155</f>
        <v>254.91470055200429</v>
      </c>
      <c r="O160" s="160"/>
      <c r="P160" s="157">
        <f ca="1">Simulador!O155</f>
        <v>75</v>
      </c>
      <c r="Q160" s="160"/>
      <c r="R160" s="157">
        <f ca="1">Simulador!Q155</f>
        <v>9205.443590159668</v>
      </c>
      <c r="S160" s="160"/>
      <c r="T160" s="157">
        <f ca="1">Simulador!S155</f>
        <v>585741.49943015689</v>
      </c>
    </row>
    <row r="161" spans="2:20" x14ac:dyDescent="0.3">
      <c r="B161" s="163">
        <f ca="1">Simulador!A156</f>
        <v>49908</v>
      </c>
      <c r="C161" s="160"/>
      <c r="D161" s="161">
        <f ca="1">Simulador!C156</f>
        <v>123</v>
      </c>
      <c r="E161" s="160"/>
      <c r="F161" s="162" t="str">
        <f ca="1">Simulador!E156</f>
        <v>Retorno</v>
      </c>
      <c r="G161" s="160"/>
      <c r="H161" s="157">
        <f ca="1">Simulador!G156</f>
        <v>2449.0886049906512</v>
      </c>
      <c r="I161" s="160"/>
      <c r="J161" s="157">
        <f ca="1">Simulador!I156</f>
        <v>6426.4402846170124</v>
      </c>
      <c r="K161" s="160"/>
      <c r="L161" s="157">
        <f ca="1">Simulador!K156</f>
        <v>0</v>
      </c>
      <c r="M161" s="160"/>
      <c r="N161" s="157">
        <f ca="1">Simulador!M156</f>
        <v>253.84885719111236</v>
      </c>
      <c r="O161" s="160"/>
      <c r="P161" s="157">
        <f ca="1">Simulador!O156</f>
        <v>75</v>
      </c>
      <c r="Q161" s="160"/>
      <c r="R161" s="157">
        <f ca="1">Simulador!Q156</f>
        <v>9204.3777467987766</v>
      </c>
      <c r="S161" s="160"/>
      <c r="T161" s="157">
        <f ca="1">Simulador!S156</f>
        <v>583292.41082516627</v>
      </c>
    </row>
    <row r="162" spans="2:20" x14ac:dyDescent="0.3">
      <c r="B162" s="163">
        <f ca="1">Simulador!A157</f>
        <v>49939</v>
      </c>
      <c r="C162" s="160"/>
      <c r="D162" s="161">
        <f ca="1">Simulador!C157</f>
        <v>124</v>
      </c>
      <c r="E162" s="160"/>
      <c r="F162" s="162" t="str">
        <f ca="1">Simulador!E157</f>
        <v>Retorno</v>
      </c>
      <c r="G162" s="160"/>
      <c r="H162" s="157">
        <f ca="1">Simulador!G157</f>
        <v>2475.9586862244432</v>
      </c>
      <c r="I162" s="160"/>
      <c r="J162" s="157">
        <f ca="1">Simulador!I157</f>
        <v>6399.5702033832204</v>
      </c>
      <c r="K162" s="160"/>
      <c r="L162" s="157">
        <f ca="1">Simulador!K157</f>
        <v>0</v>
      </c>
      <c r="M162" s="160"/>
      <c r="N162" s="157">
        <f ca="1">Simulador!M157</f>
        <v>252.77131997086749</v>
      </c>
      <c r="O162" s="160"/>
      <c r="P162" s="157">
        <f ca="1">Simulador!O157</f>
        <v>75</v>
      </c>
      <c r="Q162" s="160"/>
      <c r="R162" s="157">
        <f ca="1">Simulador!Q157</f>
        <v>9203.3002095785305</v>
      </c>
      <c r="S162" s="160"/>
      <c r="T162" s="157">
        <f ca="1">Simulador!S157</f>
        <v>580816.45213894185</v>
      </c>
    </row>
    <row r="163" spans="2:20" x14ac:dyDescent="0.3">
      <c r="B163" s="163">
        <f ca="1">Simulador!A158</f>
        <v>49969</v>
      </c>
      <c r="C163" s="160"/>
      <c r="D163" s="161">
        <f ca="1">Simulador!C158</f>
        <v>125</v>
      </c>
      <c r="E163" s="160"/>
      <c r="F163" s="162" t="str">
        <f ca="1">Simulador!E158</f>
        <v>Retorno</v>
      </c>
      <c r="G163" s="160"/>
      <c r="H163" s="157">
        <f ca="1">Simulador!G158</f>
        <v>2503.1235715188341</v>
      </c>
      <c r="I163" s="160"/>
      <c r="J163" s="157">
        <f ca="1">Simulador!I158</f>
        <v>6372.4053180888295</v>
      </c>
      <c r="K163" s="160"/>
      <c r="L163" s="157">
        <f ca="1">Simulador!K158</f>
        <v>0</v>
      </c>
      <c r="M163" s="160"/>
      <c r="N163" s="157">
        <f ca="1">Simulador!M158</f>
        <v>251.68196059254251</v>
      </c>
      <c r="O163" s="160"/>
      <c r="P163" s="157">
        <f ca="1">Simulador!O158</f>
        <v>75</v>
      </c>
      <c r="Q163" s="160"/>
      <c r="R163" s="157">
        <f ca="1">Simulador!Q158</f>
        <v>9202.2108502002066</v>
      </c>
      <c r="S163" s="160"/>
      <c r="T163" s="157">
        <f ca="1">Simulador!S158</f>
        <v>578313.32856742304</v>
      </c>
    </row>
    <row r="164" spans="2:20" x14ac:dyDescent="0.3">
      <c r="B164" s="163">
        <f ca="1">Simulador!A159</f>
        <v>50000</v>
      </c>
      <c r="C164" s="160"/>
      <c r="D164" s="161">
        <f ca="1">Simulador!C159</f>
        <v>126</v>
      </c>
      <c r="E164" s="160"/>
      <c r="F164" s="162" t="str">
        <f ca="1">Simulador!E159</f>
        <v>Retorno</v>
      </c>
      <c r="G164" s="160"/>
      <c r="H164" s="157">
        <f ca="1">Simulador!G159</f>
        <v>2530.5864953052042</v>
      </c>
      <c r="I164" s="160"/>
      <c r="J164" s="157">
        <f ca="1">Simulador!I159</f>
        <v>6344.9423943024594</v>
      </c>
      <c r="K164" s="160"/>
      <c r="L164" s="157">
        <f ca="1">Simulador!K159</f>
        <v>0</v>
      </c>
      <c r="M164" s="160"/>
      <c r="N164" s="157">
        <f ca="1">Simulador!M159</f>
        <v>250.58064934978569</v>
      </c>
      <c r="O164" s="160"/>
      <c r="P164" s="157">
        <f ca="1">Simulador!O159</f>
        <v>75</v>
      </c>
      <c r="Q164" s="160"/>
      <c r="R164" s="157">
        <f ca="1">Simulador!Q159</f>
        <v>9201.1095389574493</v>
      </c>
      <c r="S164" s="160"/>
      <c r="T164" s="157">
        <f ca="1">Simulador!S159</f>
        <v>575782.74207211786</v>
      </c>
    </row>
    <row r="165" spans="2:20" x14ac:dyDescent="0.3">
      <c r="B165" s="163">
        <f ca="1">Simulador!A160</f>
        <v>50030</v>
      </c>
      <c r="C165" s="160"/>
      <c r="D165" s="161">
        <f ca="1">Simulador!C160</f>
        <v>127</v>
      </c>
      <c r="E165" s="160"/>
      <c r="F165" s="162" t="str">
        <f ca="1">Simulador!E160</f>
        <v>Retorno</v>
      </c>
      <c r="G165" s="160"/>
      <c r="H165" s="157">
        <f ca="1">Simulador!G160</f>
        <v>2558.3507275014672</v>
      </c>
      <c r="I165" s="160"/>
      <c r="J165" s="157">
        <f ca="1">Simulador!I160</f>
        <v>6317.1781621061964</v>
      </c>
      <c r="K165" s="160"/>
      <c r="L165" s="157">
        <f ca="1">Simulador!K160</f>
        <v>0</v>
      </c>
      <c r="M165" s="160"/>
      <c r="N165" s="157">
        <f ca="1">Simulador!M160</f>
        <v>249.46725511317706</v>
      </c>
      <c r="O165" s="160"/>
      <c r="P165" s="157">
        <f ca="1">Simulador!O160</f>
        <v>75</v>
      </c>
      <c r="Q165" s="160"/>
      <c r="R165" s="157">
        <f ca="1">Simulador!Q160</f>
        <v>9199.9961447208407</v>
      </c>
      <c r="S165" s="160"/>
      <c r="T165" s="157">
        <f ca="1">Simulador!S160</f>
        <v>573224.39134461642</v>
      </c>
    </row>
    <row r="166" spans="2:20" x14ac:dyDescent="0.3">
      <c r="B166" s="163">
        <f ca="1">Simulador!A161</f>
        <v>50061</v>
      </c>
      <c r="C166" s="160"/>
      <c r="D166" s="161">
        <f ca="1">Simulador!C161</f>
        <v>128</v>
      </c>
      <c r="E166" s="160"/>
      <c r="F166" s="162" t="str">
        <f ca="1">Simulador!E161</f>
        <v>Retorno</v>
      </c>
      <c r="G166" s="160"/>
      <c r="H166" s="157">
        <f ca="1">Simulador!G161</f>
        <v>2586.4195739011302</v>
      </c>
      <c r="I166" s="160"/>
      <c r="J166" s="157">
        <f ca="1">Simulador!I161</f>
        <v>6289.1093157065334</v>
      </c>
      <c r="K166" s="160"/>
      <c r="L166" s="157">
        <f ca="1">Simulador!K161</f>
        <v>0</v>
      </c>
      <c r="M166" s="160"/>
      <c r="N166" s="157">
        <f ca="1">Simulador!M161</f>
        <v>248.34164531461531</v>
      </c>
      <c r="O166" s="160"/>
      <c r="P166" s="157">
        <f ca="1">Simulador!O161</f>
        <v>75</v>
      </c>
      <c r="Q166" s="160"/>
      <c r="R166" s="157">
        <f ca="1">Simulador!Q161</f>
        <v>9198.8705349222782</v>
      </c>
      <c r="S166" s="160"/>
      <c r="T166" s="157">
        <f ca="1">Simulador!S161</f>
        <v>570637.97177071532</v>
      </c>
    </row>
    <row r="167" spans="2:20" x14ac:dyDescent="0.3">
      <c r="B167" s="163">
        <f ca="1">Simulador!A162</f>
        <v>50092</v>
      </c>
      <c r="C167" s="160"/>
      <c r="D167" s="161">
        <f ca="1">Simulador!C162</f>
        <v>129</v>
      </c>
      <c r="E167" s="160"/>
      <c r="F167" s="162" t="str">
        <f ca="1">Simulador!E162</f>
        <v>Retorno</v>
      </c>
      <c r="G167" s="160"/>
      <c r="H167" s="157">
        <f ca="1">Simulador!G162</f>
        <v>2614.7963765671266</v>
      </c>
      <c r="I167" s="160"/>
      <c r="J167" s="157">
        <f ca="1">Simulador!I162</f>
        <v>6260.732513040537</v>
      </c>
      <c r="K167" s="160"/>
      <c r="L167" s="157">
        <f ca="1">Simulador!K162</f>
        <v>0</v>
      </c>
      <c r="M167" s="160"/>
      <c r="N167" s="157">
        <f ca="1">Simulador!M162</f>
        <v>247.2036859315333</v>
      </c>
      <c r="O167" s="160"/>
      <c r="P167" s="157">
        <f ca="1">Simulador!O162</f>
        <v>75</v>
      </c>
      <c r="Q167" s="160"/>
      <c r="R167" s="157">
        <f ca="1">Simulador!Q162</f>
        <v>9197.7325755391976</v>
      </c>
      <c r="S167" s="160"/>
      <c r="T167" s="157">
        <f ca="1">Simulador!S162</f>
        <v>568023.17539414822</v>
      </c>
    </row>
    <row r="168" spans="2:20" x14ac:dyDescent="0.3">
      <c r="B168" s="163">
        <f ca="1">Simulador!A163</f>
        <v>50120</v>
      </c>
      <c r="C168" s="160"/>
      <c r="D168" s="161">
        <f ca="1">Simulador!C163</f>
        <v>130</v>
      </c>
      <c r="E168" s="160"/>
      <c r="F168" s="162" t="str">
        <f ca="1">Simulador!E163</f>
        <v>Retorno</v>
      </c>
      <c r="G168" s="160"/>
      <c r="H168" s="157">
        <f ca="1">Simulador!G163</f>
        <v>2643.4845142299564</v>
      </c>
      <c r="I168" s="160"/>
      <c r="J168" s="157">
        <f ca="1">Simulador!I163</f>
        <v>6232.0443753777072</v>
      </c>
      <c r="K168" s="160"/>
      <c r="L168" s="157">
        <f ca="1">Simulador!K163</f>
        <v>0</v>
      </c>
      <c r="M168" s="160"/>
      <c r="N168" s="157">
        <f ca="1">Simulador!M163</f>
        <v>246.05324147094043</v>
      </c>
      <c r="O168" s="160"/>
      <c r="P168" s="157">
        <f ca="1">Simulador!O163</f>
        <v>75</v>
      </c>
      <c r="Q168" s="160"/>
      <c r="R168" s="157">
        <f ca="1">Simulador!Q163</f>
        <v>9196.5821310786032</v>
      </c>
      <c r="S168" s="160"/>
      <c r="T168" s="157">
        <f ca="1">Simulador!S163</f>
        <v>565379.69087991829</v>
      </c>
    </row>
    <row r="169" spans="2:20" x14ac:dyDescent="0.3">
      <c r="B169" s="163">
        <f ca="1">Simulador!A164</f>
        <v>50151</v>
      </c>
      <c r="C169" s="160"/>
      <c r="D169" s="161">
        <f ca="1">Simulador!C164</f>
        <v>131</v>
      </c>
      <c r="E169" s="160"/>
      <c r="F169" s="162" t="str">
        <f ca="1">Simulador!E164</f>
        <v>Retorno</v>
      </c>
      <c r="G169" s="160"/>
      <c r="H169" s="157">
        <f ca="1">Simulador!G164</f>
        <v>2672.4874026893194</v>
      </c>
      <c r="I169" s="160"/>
      <c r="J169" s="157">
        <f ca="1">Simulador!I164</f>
        <v>6203.0414869183442</v>
      </c>
      <c r="K169" s="160"/>
      <c r="L169" s="157">
        <f ca="1">Simulador!K164</f>
        <v>0</v>
      </c>
      <c r="M169" s="160"/>
      <c r="N169" s="157">
        <f ca="1">Simulador!M164</f>
        <v>244.89017495329006</v>
      </c>
      <c r="O169" s="160"/>
      <c r="P169" s="157">
        <f ca="1">Simulador!O164</f>
        <v>75</v>
      </c>
      <c r="Q169" s="160"/>
      <c r="R169" s="157">
        <f ca="1">Simulador!Q164</f>
        <v>9195.4190645609542</v>
      </c>
      <c r="S169" s="160"/>
      <c r="T169" s="157">
        <f ca="1">Simulador!S164</f>
        <v>562707.20347722899</v>
      </c>
    </row>
    <row r="170" spans="2:20" x14ac:dyDescent="0.3">
      <c r="B170" s="163">
        <f ca="1">Simulador!A165</f>
        <v>50181</v>
      </c>
      <c r="C170" s="160"/>
      <c r="D170" s="161">
        <f ca="1">Simulador!C165</f>
        <v>132</v>
      </c>
      <c r="E170" s="160"/>
      <c r="F170" s="162" t="str">
        <f ca="1">Simulador!E165</f>
        <v>Retorno</v>
      </c>
      <c r="G170" s="160"/>
      <c r="H170" s="157">
        <f ca="1">Simulador!G165</f>
        <v>2701.8084952215686</v>
      </c>
      <c r="I170" s="160"/>
      <c r="J170" s="157">
        <f ca="1">Simulador!I165</f>
        <v>6173.720394386095</v>
      </c>
      <c r="K170" s="160"/>
      <c r="L170" s="157">
        <f ca="1">Simulador!K165</f>
        <v>0</v>
      </c>
      <c r="M170" s="160"/>
      <c r="N170" s="157">
        <f ca="1">Simulador!M165</f>
        <v>243.71434789616964</v>
      </c>
      <c r="O170" s="160"/>
      <c r="P170" s="157">
        <f ca="1">Simulador!O165</f>
        <v>75</v>
      </c>
      <c r="Q170" s="160"/>
      <c r="R170" s="157">
        <f ca="1">Simulador!Q165</f>
        <v>9194.2432375038334</v>
      </c>
      <c r="S170" s="160"/>
      <c r="T170" s="157">
        <f ca="1">Simulador!S165</f>
        <v>560005.39498200745</v>
      </c>
    </row>
    <row r="171" spans="2:20" x14ac:dyDescent="0.3">
      <c r="B171" s="163">
        <f ca="1">Simulador!A166</f>
        <v>50212</v>
      </c>
      <c r="C171" s="160"/>
      <c r="D171" s="161">
        <f ca="1">Simulador!C166</f>
        <v>133</v>
      </c>
      <c r="E171" s="160"/>
      <c r="F171" s="162" t="str">
        <f ca="1">Simulador!E166</f>
        <v>Retorno</v>
      </c>
      <c r="G171" s="160"/>
      <c r="H171" s="157">
        <f ca="1">Simulador!G166</f>
        <v>2731.4512829904234</v>
      </c>
      <c r="I171" s="160"/>
      <c r="J171" s="157">
        <f ca="1">Simulador!I166</f>
        <v>6144.0776066172402</v>
      </c>
      <c r="K171" s="160"/>
      <c r="L171" s="157">
        <f ca="1">Simulador!K166</f>
        <v>0</v>
      </c>
      <c r="M171" s="160"/>
      <c r="N171" s="157">
        <f ca="1">Simulador!M166</f>
        <v>242.52562029781222</v>
      </c>
      <c r="O171" s="160"/>
      <c r="P171" s="157">
        <f ca="1">Simulador!O166</f>
        <v>75</v>
      </c>
      <c r="Q171" s="160"/>
      <c r="R171" s="157">
        <f ca="1">Simulador!Q166</f>
        <v>9193.0545099054762</v>
      </c>
      <c r="S171" s="160"/>
      <c r="T171" s="157">
        <f ca="1">Simulador!S166</f>
        <v>557273.94369901705</v>
      </c>
    </row>
    <row r="172" spans="2:20" x14ac:dyDescent="0.3">
      <c r="B172" s="163">
        <f ca="1">Simulador!A167</f>
        <v>50242</v>
      </c>
      <c r="C172" s="160"/>
      <c r="D172" s="161">
        <f ca="1">Simulador!C167</f>
        <v>134</v>
      </c>
      <c r="E172" s="160"/>
      <c r="F172" s="162" t="str">
        <f ca="1">Simulador!E167</f>
        <v>Retorno</v>
      </c>
      <c r="G172" s="160"/>
      <c r="H172" s="157">
        <f ca="1">Simulador!G167</f>
        <v>2761.4192954626888</v>
      </c>
      <c r="I172" s="160"/>
      <c r="J172" s="157">
        <f ca="1">Simulador!I167</f>
        <v>6114.1095941449748</v>
      </c>
      <c r="K172" s="160"/>
      <c r="L172" s="157">
        <f ca="1">Simulador!K167</f>
        <v>0</v>
      </c>
      <c r="M172" s="160"/>
      <c r="N172" s="157">
        <f ca="1">Simulador!M167</f>
        <v>241.32385062042687</v>
      </c>
      <c r="O172" s="160"/>
      <c r="P172" s="157">
        <f ca="1">Simulador!O167</f>
        <v>75</v>
      </c>
      <c r="Q172" s="160"/>
      <c r="R172" s="157">
        <f ca="1">Simulador!Q167</f>
        <v>9191.8527402280906</v>
      </c>
      <c r="S172" s="160"/>
      <c r="T172" s="157">
        <f ca="1">Simulador!S167</f>
        <v>554512.52440355439</v>
      </c>
    </row>
    <row r="173" spans="2:20" x14ac:dyDescent="0.3">
      <c r="B173" s="163">
        <f ca="1">Simulador!A168</f>
        <v>50273</v>
      </c>
      <c r="C173" s="160"/>
      <c r="D173" s="161">
        <f ca="1">Simulador!C168</f>
        <v>135</v>
      </c>
      <c r="E173" s="160"/>
      <c r="F173" s="162" t="str">
        <f ca="1">Simulador!E168</f>
        <v>Retorno</v>
      </c>
      <c r="G173" s="160"/>
      <c r="H173" s="157">
        <f ca="1">Simulador!G168</f>
        <v>2791.716100828864</v>
      </c>
      <c r="I173" s="160"/>
      <c r="J173" s="157">
        <f ca="1">Simulador!I168</f>
        <v>6083.8127887787996</v>
      </c>
      <c r="K173" s="160"/>
      <c r="L173" s="157">
        <f ca="1">Simulador!K168</f>
        <v>0</v>
      </c>
      <c r="M173" s="160"/>
      <c r="N173" s="157">
        <f ca="1">Simulador!M168</f>
        <v>240.10889577334618</v>
      </c>
      <c r="O173" s="160"/>
      <c r="P173" s="157">
        <f ca="1">Simulador!O168</f>
        <v>75</v>
      </c>
      <c r="Q173" s="160"/>
      <c r="R173" s="157">
        <f ca="1">Simulador!Q168</f>
        <v>9190.63778538101</v>
      </c>
      <c r="S173" s="160"/>
      <c r="T173" s="157">
        <f ca="1">Simulador!S168</f>
        <v>551720.80830272555</v>
      </c>
    </row>
    <row r="174" spans="2:20" x14ac:dyDescent="0.3">
      <c r="B174" s="163">
        <f ca="1">Simulador!A169</f>
        <v>50304</v>
      </c>
      <c r="C174" s="160"/>
      <c r="D174" s="161">
        <f ca="1">Simulador!C169</f>
        <v>136</v>
      </c>
      <c r="E174" s="160"/>
      <c r="F174" s="162" t="str">
        <f ca="1">Simulador!E169</f>
        <v>Retorno</v>
      </c>
      <c r="G174" s="160"/>
      <c r="H174" s="157">
        <f ca="1">Simulador!G169</f>
        <v>2822.3453064272435</v>
      </c>
      <c r="I174" s="160"/>
      <c r="J174" s="157">
        <f ca="1">Simulador!I169</f>
        <v>6053.1835831804201</v>
      </c>
      <c r="K174" s="160"/>
      <c r="L174" s="157">
        <f ca="1">Simulador!K169</f>
        <v>0</v>
      </c>
      <c r="M174" s="160"/>
      <c r="N174" s="157">
        <f ca="1">Simulador!M169</f>
        <v>322.31317747142634</v>
      </c>
      <c r="O174" s="160"/>
      <c r="P174" s="157">
        <f ca="1">Simulador!O169</f>
        <v>75</v>
      </c>
      <c r="Q174" s="160"/>
      <c r="R174" s="157">
        <f ca="1">Simulador!Q169</f>
        <v>9272.8420670790892</v>
      </c>
      <c r="S174" s="160"/>
      <c r="T174" s="157">
        <f ca="1">Simulador!S169</f>
        <v>548898.46299629833</v>
      </c>
    </row>
    <row r="175" spans="2:20" x14ac:dyDescent="0.3">
      <c r="B175" s="163">
        <f ca="1">Simulador!A170</f>
        <v>50334</v>
      </c>
      <c r="C175" s="160"/>
      <c r="D175" s="161">
        <f ca="1">Simulador!C170</f>
        <v>137</v>
      </c>
      <c r="E175" s="160"/>
      <c r="F175" s="162" t="str">
        <f ca="1">Simulador!E170</f>
        <v>Retorno</v>
      </c>
      <c r="G175" s="160"/>
      <c r="H175" s="157">
        <f ca="1">Simulador!G170</f>
        <v>2853.3105591743042</v>
      </c>
      <c r="I175" s="160"/>
      <c r="J175" s="157">
        <f ca="1">Simulador!I170</f>
        <v>6022.2183304333594</v>
      </c>
      <c r="K175" s="160"/>
      <c r="L175" s="157">
        <f ca="1">Simulador!K170</f>
        <v>0</v>
      </c>
      <c r="M175" s="160"/>
      <c r="N175" s="157">
        <f ca="1">Simulador!M170</f>
        <v>320.6377135110792</v>
      </c>
      <c r="O175" s="160"/>
      <c r="P175" s="157">
        <f ca="1">Simulador!O170</f>
        <v>75</v>
      </c>
      <c r="Q175" s="160"/>
      <c r="R175" s="157">
        <f ca="1">Simulador!Q170</f>
        <v>9271.1666031187433</v>
      </c>
      <c r="S175" s="160"/>
      <c r="T175" s="157">
        <f ca="1">Simulador!S170</f>
        <v>546045.15243712405</v>
      </c>
    </row>
    <row r="176" spans="2:20" x14ac:dyDescent="0.3">
      <c r="B176" s="163">
        <f ca="1">Simulador!A171</f>
        <v>50365</v>
      </c>
      <c r="C176" s="160"/>
      <c r="D176" s="161">
        <f ca="1">Simulador!C171</f>
        <v>138</v>
      </c>
      <c r="E176" s="160"/>
      <c r="F176" s="162" t="str">
        <f ca="1">Simulador!E171</f>
        <v>Retorno</v>
      </c>
      <c r="G176" s="160"/>
      <c r="H176" s="157">
        <f ca="1">Simulador!G171</f>
        <v>2884.6155459984693</v>
      </c>
      <c r="I176" s="160"/>
      <c r="J176" s="157">
        <f ca="1">Simulador!I171</f>
        <v>5990.9133436091943</v>
      </c>
      <c r="K176" s="160"/>
      <c r="L176" s="157">
        <f ca="1">Simulador!K171</f>
        <v>0</v>
      </c>
      <c r="M176" s="160"/>
      <c r="N176" s="157">
        <f ca="1">Simulador!M171</f>
        <v>318.94386726246893</v>
      </c>
      <c r="O176" s="160"/>
      <c r="P176" s="157">
        <f ca="1">Simulador!O171</f>
        <v>75</v>
      </c>
      <c r="Q176" s="160"/>
      <c r="R176" s="157">
        <f ca="1">Simulador!Q171</f>
        <v>9269.4727568701328</v>
      </c>
      <c r="S176" s="160"/>
      <c r="T176" s="157">
        <f ca="1">Simulador!S171</f>
        <v>543160.53689112561</v>
      </c>
    </row>
    <row r="177" spans="2:20" x14ac:dyDescent="0.3">
      <c r="B177" s="163">
        <f ca="1">Simulador!A172</f>
        <v>50395</v>
      </c>
      <c r="C177" s="160"/>
      <c r="D177" s="161">
        <f ca="1">Simulador!C172</f>
        <v>139</v>
      </c>
      <c r="E177" s="160"/>
      <c r="F177" s="162" t="str">
        <f ca="1">Simulador!E172</f>
        <v>Retorno</v>
      </c>
      <c r="G177" s="160"/>
      <c r="H177" s="157">
        <f ca="1">Simulador!G172</f>
        <v>2916.2639942788774</v>
      </c>
      <c r="I177" s="160"/>
      <c r="J177" s="157">
        <f ca="1">Simulador!I172</f>
        <v>5959.2648953287862</v>
      </c>
      <c r="K177" s="160"/>
      <c r="L177" s="157">
        <f ca="1">Simulador!K172</f>
        <v>0</v>
      </c>
      <c r="M177" s="160"/>
      <c r="N177" s="157">
        <f ca="1">Simulador!M172</f>
        <v>317.23143704502837</v>
      </c>
      <c r="O177" s="160"/>
      <c r="P177" s="157">
        <f ca="1">Simulador!O172</f>
        <v>75</v>
      </c>
      <c r="Q177" s="160"/>
      <c r="R177" s="157">
        <f ca="1">Simulador!Q172</f>
        <v>9267.7603266526912</v>
      </c>
      <c r="S177" s="160"/>
      <c r="T177" s="157">
        <f ca="1">Simulador!S172</f>
        <v>540244.27289684676</v>
      </c>
    </row>
    <row r="178" spans="2:20" x14ac:dyDescent="0.3">
      <c r="B178" s="163">
        <f ca="1">Simulador!A173</f>
        <v>50426</v>
      </c>
      <c r="C178" s="160"/>
      <c r="D178" s="161">
        <f ca="1">Simulador!C173</f>
        <v>140</v>
      </c>
      <c r="E178" s="160"/>
      <c r="F178" s="162" t="str">
        <f ca="1">Simulador!E173</f>
        <v>Retorno</v>
      </c>
      <c r="G178" s="160"/>
      <c r="H178" s="157">
        <f ca="1">Simulador!G173</f>
        <v>2948.2596722898561</v>
      </c>
      <c r="I178" s="160"/>
      <c r="J178" s="157">
        <f ca="1">Simulador!I173</f>
        <v>5927.2692173178075</v>
      </c>
      <c r="K178" s="160"/>
      <c r="L178" s="157">
        <f ca="1">Simulador!K173</f>
        <v>0</v>
      </c>
      <c r="M178" s="160"/>
      <c r="N178" s="157">
        <f ca="1">Simulador!M173</f>
        <v>315.50021896545979</v>
      </c>
      <c r="O178" s="160"/>
      <c r="P178" s="157">
        <f ca="1">Simulador!O173</f>
        <v>75</v>
      </c>
      <c r="Q178" s="160"/>
      <c r="R178" s="157">
        <f ca="1">Simulador!Q173</f>
        <v>9266.0291085731242</v>
      </c>
      <c r="S178" s="160"/>
      <c r="T178" s="157">
        <f ca="1">Simulador!S173</f>
        <v>537296.01322455693</v>
      </c>
    </row>
    <row r="179" spans="2:20" x14ac:dyDescent="0.3">
      <c r="B179" s="163">
        <f ca="1">Simulador!A174</f>
        <v>50457</v>
      </c>
      <c r="C179" s="160"/>
      <c r="D179" s="161">
        <f ca="1">Simulador!C174</f>
        <v>141</v>
      </c>
      <c r="E179" s="160"/>
      <c r="F179" s="162" t="str">
        <f ca="1">Simulador!E174</f>
        <v>Retorno</v>
      </c>
      <c r="G179" s="160"/>
      <c r="H179" s="157">
        <f ca="1">Simulador!G174</f>
        <v>2980.6063896488886</v>
      </c>
      <c r="I179" s="160"/>
      <c r="J179" s="157">
        <f ca="1">Simulador!I174</f>
        <v>5894.922499958775</v>
      </c>
      <c r="K179" s="160"/>
      <c r="L179" s="157">
        <f ca="1">Simulador!K174</f>
        <v>0</v>
      </c>
      <c r="M179" s="160"/>
      <c r="N179" s="157">
        <f ca="1">Simulador!M174</f>
        <v>313.75000689345802</v>
      </c>
      <c r="O179" s="160"/>
      <c r="P179" s="157">
        <f ca="1">Simulador!O174</f>
        <v>75</v>
      </c>
      <c r="Q179" s="160"/>
      <c r="R179" s="157">
        <f ca="1">Simulador!Q174</f>
        <v>9264.2788965011223</v>
      </c>
      <c r="S179" s="160"/>
      <c r="T179" s="157">
        <f ca="1">Simulador!S174</f>
        <v>534315.40683490806</v>
      </c>
    </row>
    <row r="180" spans="2:20" x14ac:dyDescent="0.3">
      <c r="B180" s="163">
        <f ca="1">Simulador!A175</f>
        <v>50485</v>
      </c>
      <c r="C180" s="160"/>
      <c r="D180" s="161">
        <f ca="1">Simulador!C175</f>
        <v>142</v>
      </c>
      <c r="E180" s="160"/>
      <c r="F180" s="162" t="str">
        <f ca="1">Simulador!E175</f>
        <v>Retorno</v>
      </c>
      <c r="G180" s="160"/>
      <c r="H180" s="157">
        <f ca="1">Simulador!G175</f>
        <v>3013.3079977706329</v>
      </c>
      <c r="I180" s="160"/>
      <c r="J180" s="157">
        <f ca="1">Simulador!I175</f>
        <v>5862.2208918370306</v>
      </c>
      <c r="K180" s="160"/>
      <c r="L180" s="157">
        <f ca="1">Simulador!K175</f>
        <v>0</v>
      </c>
      <c r="M180" s="160"/>
      <c r="N180" s="157">
        <f ca="1">Simulador!M175</f>
        <v>311.9805924371671</v>
      </c>
      <c r="O180" s="160"/>
      <c r="P180" s="157">
        <f ca="1">Simulador!O175</f>
        <v>75</v>
      </c>
      <c r="Q180" s="160"/>
      <c r="R180" s="157">
        <f ca="1">Simulador!Q175</f>
        <v>9262.5094820448303</v>
      </c>
      <c r="S180" s="160"/>
      <c r="T180" s="157">
        <f ca="1">Simulador!S175</f>
        <v>531302.09883713746</v>
      </c>
    </row>
    <row r="181" spans="2:20" x14ac:dyDescent="0.3">
      <c r="B181" s="163">
        <f ca="1">Simulador!A176</f>
        <v>50516</v>
      </c>
      <c r="C181" s="160"/>
      <c r="D181" s="161">
        <f ca="1">Simulador!C176</f>
        <v>143</v>
      </c>
      <c r="E181" s="160"/>
      <c r="F181" s="162" t="str">
        <f ca="1">Simulador!E176</f>
        <v>Retorno</v>
      </c>
      <c r="G181" s="160"/>
      <c r="H181" s="157">
        <f ca="1">Simulador!G176</f>
        <v>3046.3683903254823</v>
      </c>
      <c r="I181" s="160"/>
      <c r="J181" s="157">
        <f ca="1">Simulador!I176</f>
        <v>5829.1604992821813</v>
      </c>
      <c r="K181" s="160"/>
      <c r="L181" s="157">
        <f ca="1">Simulador!K176</f>
        <v>0</v>
      </c>
      <c r="M181" s="160"/>
      <c r="N181" s="157">
        <f ca="1">Simulador!M176</f>
        <v>310.19176491836799</v>
      </c>
      <c r="O181" s="160"/>
      <c r="P181" s="157">
        <f ca="1">Simulador!O176</f>
        <v>75</v>
      </c>
      <c r="Q181" s="160"/>
      <c r="R181" s="157">
        <f ca="1">Simulador!Q176</f>
        <v>9260.7206545260324</v>
      </c>
      <c r="S181" s="160"/>
      <c r="T181" s="157">
        <f ca="1">Simulador!S176</f>
        <v>528255.730446812</v>
      </c>
    </row>
    <row r="182" spans="2:20" x14ac:dyDescent="0.3">
      <c r="B182" s="163">
        <f ca="1">Simulador!A177</f>
        <v>50546</v>
      </c>
      <c r="C182" s="160"/>
      <c r="D182" s="161">
        <f ca="1">Simulador!C177</f>
        <v>144</v>
      </c>
      <c r="E182" s="160"/>
      <c r="F182" s="162" t="str">
        <f ca="1">Simulador!E177</f>
        <v>Retorno</v>
      </c>
      <c r="G182" s="160"/>
      <c r="H182" s="157">
        <f ca="1">Simulador!G177</f>
        <v>3079.7915037030143</v>
      </c>
      <c r="I182" s="160"/>
      <c r="J182" s="157">
        <f ca="1">Simulador!I177</f>
        <v>5795.7373859046493</v>
      </c>
      <c r="K182" s="160"/>
      <c r="L182" s="157">
        <f ca="1">Simulador!K177</f>
        <v>0</v>
      </c>
      <c r="M182" s="160"/>
      <c r="N182" s="157">
        <f ca="1">Simulador!M177</f>
        <v>308.3833113473936</v>
      </c>
      <c r="O182" s="160"/>
      <c r="P182" s="157">
        <f ca="1">Simulador!O177</f>
        <v>75</v>
      </c>
      <c r="Q182" s="160"/>
      <c r="R182" s="157">
        <f ca="1">Simulador!Q177</f>
        <v>9258.9122009550574</v>
      </c>
      <c r="S182" s="160"/>
      <c r="T182" s="157">
        <f ca="1">Simulador!S177</f>
        <v>525175.93894310901</v>
      </c>
    </row>
    <row r="183" spans="2:20" x14ac:dyDescent="0.3">
      <c r="B183" s="163">
        <f ca="1">Simulador!A178</f>
        <v>50577</v>
      </c>
      <c r="C183" s="160"/>
      <c r="D183" s="161">
        <f ca="1">Simulador!C178</f>
        <v>145</v>
      </c>
      <c r="E183" s="160"/>
      <c r="F183" s="162" t="str">
        <f ca="1">Simulador!E178</f>
        <v>Retorno</v>
      </c>
      <c r="G183" s="160"/>
      <c r="H183" s="157">
        <f ca="1">Simulador!G178</f>
        <v>3113.5813174807954</v>
      </c>
      <c r="I183" s="160"/>
      <c r="J183" s="157">
        <f ca="1">Simulador!I178</f>
        <v>5761.9475721268682</v>
      </c>
      <c r="K183" s="160"/>
      <c r="L183" s="157">
        <f ca="1">Simulador!K178</f>
        <v>0</v>
      </c>
      <c r="M183" s="160"/>
      <c r="N183" s="157">
        <f ca="1">Simulador!M178</f>
        <v>306.5550163977689</v>
      </c>
      <c r="O183" s="160"/>
      <c r="P183" s="157">
        <f ca="1">Simulador!O178</f>
        <v>75</v>
      </c>
      <c r="Q183" s="160"/>
      <c r="R183" s="157">
        <f ca="1">Simulador!Q178</f>
        <v>9257.0839060054332</v>
      </c>
      <c r="S183" s="160"/>
      <c r="T183" s="157">
        <f ca="1">Simulador!S178</f>
        <v>522062.35762562824</v>
      </c>
    </row>
    <row r="184" spans="2:20" x14ac:dyDescent="0.3">
      <c r="B184" s="163">
        <f ca="1">Simulador!A179</f>
        <v>50607</v>
      </c>
      <c r="C184" s="160"/>
      <c r="D184" s="161">
        <f ca="1">Simulador!C179</f>
        <v>146</v>
      </c>
      <c r="E184" s="160"/>
      <c r="F184" s="162" t="str">
        <f ca="1">Simulador!E179</f>
        <v>Retorno</v>
      </c>
      <c r="G184" s="160"/>
      <c r="H184" s="157">
        <f ca="1">Simulador!G179</f>
        <v>3147.7418548979585</v>
      </c>
      <c r="I184" s="160"/>
      <c r="J184" s="157">
        <f ca="1">Simulador!I179</f>
        <v>5727.787034709705</v>
      </c>
      <c r="K184" s="160"/>
      <c r="L184" s="157">
        <f ca="1">Simulador!K179</f>
        <v>0</v>
      </c>
      <c r="M184" s="160"/>
      <c r="N184" s="157">
        <f ca="1">Simulador!M179</f>
        <v>304.70666238057282</v>
      </c>
      <c r="O184" s="160"/>
      <c r="P184" s="157">
        <f ca="1">Simulador!O179</f>
        <v>75</v>
      </c>
      <c r="Q184" s="160"/>
      <c r="R184" s="157">
        <f ca="1">Simulador!Q179</f>
        <v>9255.2355519882367</v>
      </c>
      <c r="S184" s="160"/>
      <c r="T184" s="157">
        <f ca="1">Simulador!S179</f>
        <v>518914.61577073031</v>
      </c>
    </row>
    <row r="185" spans="2:20" x14ac:dyDescent="0.3">
      <c r="B185" s="163">
        <f ca="1">Simulador!A180</f>
        <v>50638</v>
      </c>
      <c r="C185" s="160"/>
      <c r="D185" s="161">
        <f ca="1">Simulador!C180</f>
        <v>147</v>
      </c>
      <c r="E185" s="160"/>
      <c r="F185" s="162" t="str">
        <f ca="1">Simulador!E180</f>
        <v>Retorno</v>
      </c>
      <c r="G185" s="160"/>
      <c r="H185" s="157">
        <f ca="1">Simulador!G180</f>
        <v>3182.2771833347178</v>
      </c>
      <c r="I185" s="160"/>
      <c r="J185" s="157">
        <f ca="1">Simulador!I180</f>
        <v>5693.2517062729457</v>
      </c>
      <c r="K185" s="160"/>
      <c r="L185" s="157">
        <f ca="1">Simulador!K180</f>
        <v>0</v>
      </c>
      <c r="M185" s="160"/>
      <c r="N185" s="157">
        <f ca="1">Simulador!M180</f>
        <v>302.83802921851867</v>
      </c>
      <c r="O185" s="160"/>
      <c r="P185" s="157">
        <f ca="1">Simulador!O180</f>
        <v>75</v>
      </c>
      <c r="Q185" s="160"/>
      <c r="R185" s="157">
        <f ca="1">Simulador!Q180</f>
        <v>9253.3669188261829</v>
      </c>
      <c r="S185" s="160"/>
      <c r="T185" s="157">
        <f ca="1">Simulador!S180</f>
        <v>515732.33858739561</v>
      </c>
    </row>
    <row r="186" spans="2:20" x14ac:dyDescent="0.3">
      <c r="B186" s="163">
        <f ca="1">Simulador!A181</f>
        <v>50669</v>
      </c>
      <c r="C186" s="160"/>
      <c r="D186" s="161">
        <f ca="1">Simulador!C181</f>
        <v>148</v>
      </c>
      <c r="E186" s="160"/>
      <c r="F186" s="162" t="str">
        <f ca="1">Simulador!E181</f>
        <v>Retorno</v>
      </c>
      <c r="G186" s="160"/>
      <c r="H186" s="157">
        <f ca="1">Simulador!G181</f>
        <v>3217.1914147964235</v>
      </c>
      <c r="I186" s="160"/>
      <c r="J186" s="157">
        <f ca="1">Simulador!I181</f>
        <v>5658.3374748112401</v>
      </c>
      <c r="K186" s="160"/>
      <c r="L186" s="157">
        <f ca="1">Simulador!K181</f>
        <v>0</v>
      </c>
      <c r="M186" s="160"/>
      <c r="N186" s="157">
        <f ca="1">Simulador!M181</f>
        <v>300.94889441975022</v>
      </c>
      <c r="O186" s="160"/>
      <c r="P186" s="157">
        <f ca="1">Simulador!O181</f>
        <v>75</v>
      </c>
      <c r="Q186" s="160"/>
      <c r="R186" s="157">
        <f ca="1">Simulador!Q181</f>
        <v>9251.4777840274146</v>
      </c>
      <c r="S186" s="160"/>
      <c r="T186" s="157">
        <f ca="1">Simulador!S181</f>
        <v>512515.14717259922</v>
      </c>
    </row>
    <row r="187" spans="2:20" x14ac:dyDescent="0.3">
      <c r="B187" s="163">
        <f ca="1">Simulador!A182</f>
        <v>50699</v>
      </c>
      <c r="C187" s="160"/>
      <c r="D187" s="161">
        <f ca="1">Simulador!C182</f>
        <v>149</v>
      </c>
      <c r="E187" s="160"/>
      <c r="F187" s="162" t="str">
        <f ca="1">Simulador!E182</f>
        <v>Retorno</v>
      </c>
      <c r="G187" s="160"/>
      <c r="H187" s="157">
        <f ca="1">Simulador!G182</f>
        <v>3252.4887064028553</v>
      </c>
      <c r="I187" s="160"/>
      <c r="J187" s="157">
        <f ca="1">Simulador!I182</f>
        <v>5623.0401832048083</v>
      </c>
      <c r="K187" s="160"/>
      <c r="L187" s="157">
        <f ca="1">Simulador!K182</f>
        <v>0</v>
      </c>
      <c r="M187" s="160"/>
      <c r="N187" s="157">
        <f ca="1">Simulador!M182</f>
        <v>299.03903305135049</v>
      </c>
      <c r="O187" s="160"/>
      <c r="P187" s="157">
        <f ca="1">Simulador!O182</f>
        <v>75</v>
      </c>
      <c r="Q187" s="160"/>
      <c r="R187" s="157">
        <f ca="1">Simulador!Q182</f>
        <v>9249.5679226590146</v>
      </c>
      <c r="S187" s="160"/>
      <c r="T187" s="157">
        <f ca="1">Simulador!S182</f>
        <v>509262.65846619639</v>
      </c>
    </row>
    <row r="188" spans="2:20" x14ac:dyDescent="0.3">
      <c r="B188" s="163">
        <f ca="1">Simulador!A183</f>
        <v>50730</v>
      </c>
      <c r="C188" s="160"/>
      <c r="D188" s="161">
        <f ca="1">Simulador!C183</f>
        <v>150</v>
      </c>
      <c r="E188" s="160"/>
      <c r="F188" s="162" t="str">
        <f ca="1">Simulador!E183</f>
        <v>Retorno</v>
      </c>
      <c r="G188" s="160"/>
      <c r="H188" s="157">
        <f ca="1">Simulador!G183</f>
        <v>3288.1732608836282</v>
      </c>
      <c r="I188" s="160"/>
      <c r="J188" s="157">
        <f ca="1">Simulador!I183</f>
        <v>5587.3556287240353</v>
      </c>
      <c r="K188" s="160"/>
      <c r="L188" s="157">
        <f ca="1">Simulador!K183</f>
        <v>0</v>
      </c>
      <c r="M188" s="160"/>
      <c r="N188" s="157">
        <f ca="1">Simulador!M183</f>
        <v>297.10821771255962</v>
      </c>
      <c r="O188" s="160"/>
      <c r="P188" s="157">
        <f ca="1">Simulador!O183</f>
        <v>75</v>
      </c>
      <c r="Q188" s="160"/>
      <c r="R188" s="157">
        <f ca="1">Simulador!Q183</f>
        <v>9247.6371073202226</v>
      </c>
      <c r="S188" s="160"/>
      <c r="T188" s="157">
        <f ca="1">Simulador!S183</f>
        <v>505974.48520531278</v>
      </c>
    </row>
    <row r="189" spans="2:20" x14ac:dyDescent="0.3">
      <c r="B189" s="163">
        <f ca="1">Simulador!A184</f>
        <v>50760</v>
      </c>
      <c r="C189" s="160"/>
      <c r="D189" s="161">
        <f ca="1">Simulador!C184</f>
        <v>151</v>
      </c>
      <c r="E189" s="160"/>
      <c r="F189" s="162" t="str">
        <f ca="1">Simulador!E184</f>
        <v>Retorno</v>
      </c>
      <c r="G189" s="160"/>
      <c r="H189" s="157">
        <f ca="1">Simulador!G184</f>
        <v>3324.2493270785453</v>
      </c>
      <c r="I189" s="160"/>
      <c r="J189" s="157">
        <f ca="1">Simulador!I184</f>
        <v>5551.2795625291183</v>
      </c>
      <c r="K189" s="160"/>
      <c r="L189" s="157">
        <f ca="1">Simulador!K184</f>
        <v>0</v>
      </c>
      <c r="M189" s="160"/>
      <c r="N189" s="157">
        <f ca="1">Simulador!M184</f>
        <v>295.15621850769912</v>
      </c>
      <c r="O189" s="160"/>
      <c r="P189" s="157">
        <f ca="1">Simulador!O184</f>
        <v>75</v>
      </c>
      <c r="Q189" s="160"/>
      <c r="R189" s="157">
        <f ca="1">Simulador!Q184</f>
        <v>9245.6851081153618</v>
      </c>
      <c r="S189" s="160"/>
      <c r="T189" s="157">
        <f ca="1">Simulador!S184</f>
        <v>502650.23587823426</v>
      </c>
    </row>
    <row r="190" spans="2:20" x14ac:dyDescent="0.3">
      <c r="B190" s="163">
        <f ca="1">Simulador!A185</f>
        <v>50791</v>
      </c>
      <c r="C190" s="160"/>
      <c r="D190" s="161">
        <f ca="1">Simulador!C185</f>
        <v>152</v>
      </c>
      <c r="E190" s="160"/>
      <c r="F190" s="162" t="str">
        <f ca="1">Simulador!E185</f>
        <v>Retorno</v>
      </c>
      <c r="G190" s="160"/>
      <c r="H190" s="157">
        <f ca="1">Simulador!G185</f>
        <v>3360.7212004431894</v>
      </c>
      <c r="I190" s="160"/>
      <c r="J190" s="157">
        <f ca="1">Simulador!I185</f>
        <v>5514.8076891644741</v>
      </c>
      <c r="K190" s="160"/>
      <c r="L190" s="157">
        <f ca="1">Simulador!K185</f>
        <v>0</v>
      </c>
      <c r="M190" s="160"/>
      <c r="N190" s="157">
        <f ca="1">Simulador!M185</f>
        <v>293.18280301879889</v>
      </c>
      <c r="O190" s="160"/>
      <c r="P190" s="157">
        <f ca="1">Simulador!O185</f>
        <v>75</v>
      </c>
      <c r="Q190" s="160"/>
      <c r="R190" s="157">
        <f ca="1">Simulador!Q185</f>
        <v>9243.7116926264625</v>
      </c>
      <c r="S190" s="160"/>
      <c r="T190" s="157">
        <f ca="1">Simulador!S185</f>
        <v>499289.5146777911</v>
      </c>
    </row>
    <row r="191" spans="2:20" x14ac:dyDescent="0.3">
      <c r="B191" s="163">
        <f ca="1">Simulador!A186</f>
        <v>50822</v>
      </c>
      <c r="C191" s="160"/>
      <c r="D191" s="161">
        <f ca="1">Simulador!C186</f>
        <v>153</v>
      </c>
      <c r="E191" s="160"/>
      <c r="F191" s="162" t="str">
        <f ca="1">Simulador!E186</f>
        <v>Retorno</v>
      </c>
      <c r="G191" s="160"/>
      <c r="H191" s="157">
        <f ca="1">Simulador!G186</f>
        <v>3397.5932235607434</v>
      </c>
      <c r="I191" s="160"/>
      <c r="J191" s="157">
        <f ca="1">Simulador!I186</f>
        <v>5477.9356660469202</v>
      </c>
      <c r="K191" s="160"/>
      <c r="L191" s="157">
        <f ca="1">Simulador!K186</f>
        <v>0</v>
      </c>
      <c r="M191" s="160"/>
      <c r="N191" s="157">
        <f ca="1">Simulador!M186</f>
        <v>291.18773627792405</v>
      </c>
      <c r="O191" s="160"/>
      <c r="P191" s="157">
        <f ca="1">Simulador!O186</f>
        <v>75</v>
      </c>
      <c r="Q191" s="160"/>
      <c r="R191" s="157">
        <f ca="1">Simulador!Q186</f>
        <v>9241.7166258855868</v>
      </c>
      <c r="S191" s="160"/>
      <c r="T191" s="157">
        <f ca="1">Simulador!S186</f>
        <v>495891.92145423038</v>
      </c>
    </row>
    <row r="192" spans="2:20" x14ac:dyDescent="0.3">
      <c r="B192" s="163">
        <f ca="1">Simulador!A187</f>
        <v>50850</v>
      </c>
      <c r="C192" s="160"/>
      <c r="D192" s="161">
        <f ca="1">Simulador!C187</f>
        <v>154</v>
      </c>
      <c r="E192" s="160"/>
      <c r="F192" s="162" t="str">
        <f ca="1">Simulador!E187</f>
        <v>Retorno</v>
      </c>
      <c r="G192" s="160"/>
      <c r="H192" s="157">
        <f ca="1">Simulador!G187</f>
        <v>3434.8697866587572</v>
      </c>
      <c r="I192" s="160"/>
      <c r="J192" s="157">
        <f ca="1">Simulador!I187</f>
        <v>5440.6591029489064</v>
      </c>
      <c r="K192" s="160"/>
      <c r="L192" s="157">
        <f ca="1">Simulador!K187</f>
        <v>0</v>
      </c>
      <c r="M192" s="160"/>
      <c r="N192" s="157">
        <f ca="1">Simulador!M187</f>
        <v>289.17078073919805</v>
      </c>
      <c r="O192" s="160"/>
      <c r="P192" s="157">
        <f ca="1">Simulador!O187</f>
        <v>75</v>
      </c>
      <c r="Q192" s="160"/>
      <c r="R192" s="157">
        <f ca="1">Simulador!Q187</f>
        <v>9239.6996703468612</v>
      </c>
      <c r="S192" s="160"/>
      <c r="T192" s="157">
        <f ca="1">Simulador!S187</f>
        <v>492457.05166757165</v>
      </c>
    </row>
    <row r="193" spans="2:20" x14ac:dyDescent="0.3">
      <c r="B193" s="163">
        <f ca="1">Simulador!A188</f>
        <v>50881</v>
      </c>
      <c r="C193" s="160"/>
      <c r="D193" s="161">
        <f ca="1">Simulador!C188</f>
        <v>155</v>
      </c>
      <c r="E193" s="160"/>
      <c r="F193" s="162" t="str">
        <f ca="1">Simulador!E188</f>
        <v>Retorno</v>
      </c>
      <c r="G193" s="160"/>
      <c r="H193" s="157">
        <f ca="1">Simulador!G188</f>
        <v>3472.5553281320281</v>
      </c>
      <c r="I193" s="160"/>
      <c r="J193" s="157">
        <f ca="1">Simulador!I188</f>
        <v>5402.9735614756355</v>
      </c>
      <c r="K193" s="160"/>
      <c r="L193" s="157">
        <f ca="1">Simulador!K188</f>
        <v>0</v>
      </c>
      <c r="M193" s="160"/>
      <c r="N193" s="157">
        <f ca="1">Simulador!M188</f>
        <v>287.13169625051893</v>
      </c>
      <c r="O193" s="160"/>
      <c r="P193" s="157">
        <f ca="1">Simulador!O188</f>
        <v>75</v>
      </c>
      <c r="Q193" s="160"/>
      <c r="R193" s="157">
        <f ca="1">Simulador!Q188</f>
        <v>9237.6605858581825</v>
      </c>
      <c r="S193" s="160"/>
      <c r="T193" s="157">
        <f ca="1">Simulador!S188</f>
        <v>488984.49633943965</v>
      </c>
    </row>
    <row r="194" spans="2:20" x14ac:dyDescent="0.3">
      <c r="B194" s="163">
        <f ca="1">Simulador!A189</f>
        <v>50911</v>
      </c>
      <c r="C194" s="160"/>
      <c r="D194" s="161">
        <f ca="1">Simulador!C189</f>
        <v>156</v>
      </c>
      <c r="E194" s="160"/>
      <c r="F194" s="162" t="str">
        <f ca="1">Simulador!E189</f>
        <v>Retorno</v>
      </c>
      <c r="G194" s="160"/>
      <c r="H194" s="157">
        <f ca="1">Simulador!G189</f>
        <v>3510.6543350710672</v>
      </c>
      <c r="I194" s="160"/>
      <c r="J194" s="157">
        <f ca="1">Simulador!I189</f>
        <v>5364.8745545365964</v>
      </c>
      <c r="K194" s="160"/>
      <c r="L194" s="157">
        <f ca="1">Simulador!K189</f>
        <v>0</v>
      </c>
      <c r="M194" s="160"/>
      <c r="N194" s="157">
        <f ca="1">Simulador!M189</f>
        <v>285.07024002496524</v>
      </c>
      <c r="O194" s="160"/>
      <c r="P194" s="157">
        <f ca="1">Simulador!O189</f>
        <v>75</v>
      </c>
      <c r="Q194" s="160"/>
      <c r="R194" s="157">
        <f ca="1">Simulador!Q189</f>
        <v>9235.5991296326283</v>
      </c>
      <c r="S194" s="160"/>
      <c r="T194" s="157">
        <f ca="1">Simulador!S189</f>
        <v>485473.84200436861</v>
      </c>
    </row>
    <row r="195" spans="2:20" x14ac:dyDescent="0.3">
      <c r="B195" s="163">
        <f ca="1">Simulador!A190</f>
        <v>50942</v>
      </c>
      <c r="C195" s="160"/>
      <c r="D195" s="161">
        <f ca="1">Simulador!C190</f>
        <v>157</v>
      </c>
      <c r="E195" s="160"/>
      <c r="F195" s="162" t="str">
        <f ca="1">Simulador!E190</f>
        <v>Retorno</v>
      </c>
      <c r="G195" s="160"/>
      <c r="H195" s="157">
        <f ca="1">Simulador!G190</f>
        <v>3549.1713437962717</v>
      </c>
      <c r="I195" s="160"/>
      <c r="J195" s="157">
        <f ca="1">Simulador!I190</f>
        <v>5326.3575458113919</v>
      </c>
      <c r="K195" s="160"/>
      <c r="L195" s="157">
        <f ca="1">Simulador!K190</f>
        <v>0</v>
      </c>
      <c r="M195" s="160"/>
      <c r="N195" s="157">
        <f ca="1">Simulador!M190</f>
        <v>282.98616661188805</v>
      </c>
      <c r="O195" s="160"/>
      <c r="P195" s="157">
        <f ca="1">Simulador!O190</f>
        <v>75</v>
      </c>
      <c r="Q195" s="160"/>
      <c r="R195" s="157">
        <f ca="1">Simulador!Q190</f>
        <v>9233.5150562195522</v>
      </c>
      <c r="S195" s="160"/>
      <c r="T195" s="157">
        <f ca="1">Simulador!S190</f>
        <v>481924.67066057236</v>
      </c>
    </row>
    <row r="196" spans="2:20" x14ac:dyDescent="0.3">
      <c r="B196" s="163">
        <f ca="1">Simulador!A191</f>
        <v>50972</v>
      </c>
      <c r="C196" s="160"/>
      <c r="D196" s="161">
        <f ca="1">Simulador!C191</f>
        <v>158</v>
      </c>
      <c r="E196" s="160"/>
      <c r="F196" s="162" t="str">
        <f ca="1">Simulador!E191</f>
        <v>Retorno</v>
      </c>
      <c r="G196" s="160"/>
      <c r="H196" s="157">
        <f ca="1">Simulador!G191</f>
        <v>3588.11094039815</v>
      </c>
      <c r="I196" s="160"/>
      <c r="J196" s="157">
        <f ca="1">Simulador!I191</f>
        <v>5287.4179492095136</v>
      </c>
      <c r="K196" s="160"/>
      <c r="L196" s="157">
        <f ca="1">Simulador!K191</f>
        <v>0</v>
      </c>
      <c r="M196" s="160"/>
      <c r="N196" s="157">
        <f ca="1">Simulador!M191</f>
        <v>280.87922786768627</v>
      </c>
      <c r="O196" s="160"/>
      <c r="P196" s="157">
        <f ca="1">Simulador!O191</f>
        <v>75</v>
      </c>
      <c r="Q196" s="160"/>
      <c r="R196" s="157">
        <f ca="1">Simulador!Q191</f>
        <v>9231.4081174753501</v>
      </c>
      <c r="S196" s="160"/>
      <c r="T196" s="157">
        <f ca="1">Simulador!S191</f>
        <v>478336.55972017423</v>
      </c>
    </row>
    <row r="197" spans="2:20" x14ac:dyDescent="0.3">
      <c r="B197" s="163">
        <f ca="1">Simulador!A192</f>
        <v>51003</v>
      </c>
      <c r="C197" s="160"/>
      <c r="D197" s="161">
        <f ca="1">Simulador!C192</f>
        <v>159</v>
      </c>
      <c r="E197" s="160"/>
      <c r="F197" s="162" t="str">
        <f ca="1">Simulador!E192</f>
        <v>Retorno</v>
      </c>
      <c r="G197" s="160"/>
      <c r="H197" s="157">
        <f ca="1">Simulador!G192</f>
        <v>3627.4777612832513</v>
      </c>
      <c r="I197" s="160"/>
      <c r="J197" s="157">
        <f ca="1">Simulador!I192</f>
        <v>5248.0511283244123</v>
      </c>
      <c r="K197" s="160"/>
      <c r="L197" s="157">
        <f ca="1">Simulador!K192</f>
        <v>0</v>
      </c>
      <c r="M197" s="160"/>
      <c r="N197" s="157">
        <f ca="1">Simulador!M192</f>
        <v>278.74917292626077</v>
      </c>
      <c r="O197" s="160"/>
      <c r="P197" s="157">
        <f ca="1">Simulador!O192</f>
        <v>75</v>
      </c>
      <c r="Q197" s="160"/>
      <c r="R197" s="157">
        <f ca="1">Simulador!Q192</f>
        <v>9229.2780625339237</v>
      </c>
      <c r="S197" s="160"/>
      <c r="T197" s="157">
        <f ca="1">Simulador!S192</f>
        <v>474709.08195889101</v>
      </c>
    </row>
    <row r="198" spans="2:20" x14ac:dyDescent="0.3">
      <c r="B198" s="163">
        <f ca="1">Simulador!A193</f>
        <v>51034</v>
      </c>
      <c r="C198" s="160"/>
      <c r="D198" s="161">
        <f ca="1">Simulador!C193</f>
        <v>160</v>
      </c>
      <c r="E198" s="160"/>
      <c r="F198" s="162" t="str">
        <f ca="1">Simulador!E193</f>
        <v>Retorno</v>
      </c>
      <c r="G198" s="160"/>
      <c r="H198" s="157">
        <f ca="1">Simulador!G193</f>
        <v>3667.2764937264401</v>
      </c>
      <c r="I198" s="160"/>
      <c r="J198" s="157">
        <f ca="1">Simulador!I193</f>
        <v>5208.2523958812235</v>
      </c>
      <c r="K198" s="160"/>
      <c r="L198" s="157">
        <f ca="1">Simulador!K193</f>
        <v>0</v>
      </c>
      <c r="M198" s="160"/>
      <c r="N198" s="157">
        <f ca="1">Simulador!M193</f>
        <v>276.59574816914466</v>
      </c>
      <c r="O198" s="160"/>
      <c r="P198" s="157">
        <f ca="1">Simulador!O193</f>
        <v>75</v>
      </c>
      <c r="Q198" s="160"/>
      <c r="R198" s="157">
        <f ca="1">Simulador!Q193</f>
        <v>9227.1246377768075</v>
      </c>
      <c r="S198" s="160"/>
      <c r="T198" s="157">
        <f ca="1">Simulador!S193</f>
        <v>471041.80546516459</v>
      </c>
    </row>
    <row r="199" spans="2:20" x14ac:dyDescent="0.3">
      <c r="B199" s="163">
        <f ca="1">Simulador!A194</f>
        <v>51064</v>
      </c>
      <c r="C199" s="160"/>
      <c r="D199" s="161">
        <f ca="1">Simulador!C194</f>
        <v>161</v>
      </c>
      <c r="E199" s="160"/>
      <c r="F199" s="162" t="str">
        <f ca="1">Simulador!E194</f>
        <v>Retorno</v>
      </c>
      <c r="G199" s="160"/>
      <c r="H199" s="157">
        <f ca="1">Simulador!G194</f>
        <v>3707.5118764285835</v>
      </c>
      <c r="I199" s="160"/>
      <c r="J199" s="157">
        <f ca="1">Simulador!I194</f>
        <v>5168.0170131790801</v>
      </c>
      <c r="K199" s="160"/>
      <c r="L199" s="157">
        <f ca="1">Simulador!K194</f>
        <v>0</v>
      </c>
      <c r="M199" s="160"/>
      <c r="N199" s="157">
        <f ca="1">Simulador!M194</f>
        <v>274.41869719530581</v>
      </c>
      <c r="O199" s="160"/>
      <c r="P199" s="157">
        <f ca="1">Simulador!O194</f>
        <v>75</v>
      </c>
      <c r="Q199" s="160"/>
      <c r="R199" s="157">
        <f ca="1">Simulador!Q194</f>
        <v>9224.9475868029695</v>
      </c>
      <c r="S199" s="160"/>
      <c r="T199" s="157">
        <f ca="1">Simulador!S194</f>
        <v>467334.29358873604</v>
      </c>
    </row>
    <row r="200" spans="2:20" x14ac:dyDescent="0.3">
      <c r="B200" s="163">
        <f ca="1">Simulador!A195</f>
        <v>51095</v>
      </c>
      <c r="C200" s="160"/>
      <c r="D200" s="161">
        <f ca="1">Simulador!C195</f>
        <v>162</v>
      </c>
      <c r="E200" s="160"/>
      <c r="F200" s="162" t="str">
        <f ca="1">Simulador!E195</f>
        <v>Retorno</v>
      </c>
      <c r="G200" s="160"/>
      <c r="H200" s="157">
        <f ca="1">Simulador!G195</f>
        <v>3748.1887000812821</v>
      </c>
      <c r="I200" s="160"/>
      <c r="J200" s="157">
        <f ca="1">Simulador!I195</f>
        <v>5127.3401895263814</v>
      </c>
      <c r="K200" s="160"/>
      <c r="L200" s="157">
        <f ca="1">Simulador!K195</f>
        <v>0</v>
      </c>
      <c r="M200" s="160"/>
      <c r="N200" s="157">
        <f ca="1">Simulador!M195</f>
        <v>272.21776079061806</v>
      </c>
      <c r="O200" s="160"/>
      <c r="P200" s="157">
        <f ca="1">Simulador!O195</f>
        <v>75</v>
      </c>
      <c r="Q200" s="160"/>
      <c r="R200" s="157">
        <f ca="1">Simulador!Q195</f>
        <v>9222.7466503982814</v>
      </c>
      <c r="S200" s="160"/>
      <c r="T200" s="157">
        <f ca="1">Simulador!S195</f>
        <v>463586.10488865478</v>
      </c>
    </row>
    <row r="201" spans="2:20" x14ac:dyDescent="0.3">
      <c r="B201" s="163">
        <f ca="1">Simulador!A196</f>
        <v>51125</v>
      </c>
      <c r="C201" s="160"/>
      <c r="D201" s="161">
        <f ca="1">Simulador!C196</f>
        <v>163</v>
      </c>
      <c r="E201" s="160"/>
      <c r="F201" s="162" t="str">
        <f ca="1">Simulador!E196</f>
        <v>Retorno</v>
      </c>
      <c r="G201" s="160"/>
      <c r="H201" s="157">
        <f ca="1">Simulador!G196</f>
        <v>3789.3118079368396</v>
      </c>
      <c r="I201" s="160"/>
      <c r="J201" s="157">
        <f ca="1">Simulador!I196</f>
        <v>5086.217081670824</v>
      </c>
      <c r="K201" s="160"/>
      <c r="L201" s="157">
        <f ca="1">Simulador!K196</f>
        <v>0</v>
      </c>
      <c r="M201" s="160"/>
      <c r="N201" s="157">
        <f ca="1">Simulador!M196</f>
        <v>269.99267689699758</v>
      </c>
      <c r="O201" s="160"/>
      <c r="P201" s="157">
        <f ca="1">Simulador!O196</f>
        <v>75</v>
      </c>
      <c r="Q201" s="160"/>
      <c r="R201" s="157">
        <f ca="1">Simulador!Q196</f>
        <v>9220.5215665046617</v>
      </c>
      <c r="S201" s="160"/>
      <c r="T201" s="157">
        <f ca="1">Simulador!S196</f>
        <v>459796.79308071797</v>
      </c>
    </row>
    <row r="202" spans="2:20" x14ac:dyDescent="0.3">
      <c r="B202" s="163">
        <f ca="1">Simulador!A197</f>
        <v>51156</v>
      </c>
      <c r="C202" s="160"/>
      <c r="D202" s="161">
        <f ca="1">Simulador!C197</f>
        <v>164</v>
      </c>
      <c r="E202" s="160"/>
      <c r="F202" s="162" t="str">
        <f ca="1">Simulador!E197</f>
        <v>Retorno</v>
      </c>
      <c r="G202" s="160"/>
      <c r="H202" s="157">
        <f ca="1">Simulador!G197</f>
        <v>3830.8860963852167</v>
      </c>
      <c r="I202" s="160"/>
      <c r="J202" s="157">
        <f ca="1">Simulador!I197</f>
        <v>5044.6427932224469</v>
      </c>
      <c r="K202" s="160"/>
      <c r="L202" s="157">
        <f ca="1">Simulador!K197</f>
        <v>0</v>
      </c>
      <c r="M202" s="160"/>
      <c r="N202" s="157">
        <f ca="1">Simulador!M197</f>
        <v>267.74318058120019</v>
      </c>
      <c r="O202" s="160"/>
      <c r="P202" s="157">
        <f ca="1">Simulador!O197</f>
        <v>75</v>
      </c>
      <c r="Q202" s="160"/>
      <c r="R202" s="157">
        <f ca="1">Simulador!Q197</f>
        <v>9218.2720701888629</v>
      </c>
      <c r="S202" s="160"/>
      <c r="T202" s="157">
        <f ca="1">Simulador!S197</f>
        <v>455965.90698433277</v>
      </c>
    </row>
    <row r="203" spans="2:20" x14ac:dyDescent="0.3">
      <c r="B203" s="163">
        <f ca="1">Simulador!A198</f>
        <v>51187</v>
      </c>
      <c r="C203" s="160"/>
      <c r="D203" s="161">
        <f ca="1">Simulador!C198</f>
        <v>165</v>
      </c>
      <c r="E203" s="160"/>
      <c r="F203" s="162" t="str">
        <f ca="1">Simulador!E198</f>
        <v>Retorno</v>
      </c>
      <c r="G203" s="160"/>
      <c r="H203" s="157">
        <f ca="1">Simulador!G198</f>
        <v>3872.9165155369228</v>
      </c>
      <c r="I203" s="160"/>
      <c r="J203" s="157">
        <f ca="1">Simulador!I198</f>
        <v>5002.6123740707408</v>
      </c>
      <c r="K203" s="160"/>
      <c r="L203" s="157">
        <f ca="1">Simulador!K198</f>
        <v>0</v>
      </c>
      <c r="M203" s="160"/>
      <c r="N203" s="157">
        <f ca="1">Simulador!M198</f>
        <v>265.46900400327689</v>
      </c>
      <c r="O203" s="160"/>
      <c r="P203" s="157">
        <f ca="1">Simulador!O198</f>
        <v>75</v>
      </c>
      <c r="Q203" s="160"/>
      <c r="R203" s="157">
        <f ca="1">Simulador!Q198</f>
        <v>9215.9978936109401</v>
      </c>
      <c r="S203" s="160"/>
      <c r="T203" s="157">
        <f ca="1">Simulador!S198</f>
        <v>452092.99046879588</v>
      </c>
    </row>
    <row r="204" spans="2:20" x14ac:dyDescent="0.3">
      <c r="B204" s="163">
        <f ca="1">Simulador!A199</f>
        <v>51216</v>
      </c>
      <c r="C204" s="160"/>
      <c r="D204" s="161">
        <f ca="1">Simulador!C199</f>
        <v>166</v>
      </c>
      <c r="E204" s="160"/>
      <c r="F204" s="162" t="str">
        <f ca="1">Simulador!E199</f>
        <v>Retorno</v>
      </c>
      <c r="G204" s="160"/>
      <c r="H204" s="157">
        <f ca="1">Simulador!G199</f>
        <v>3915.4080698123107</v>
      </c>
      <c r="I204" s="160"/>
      <c r="J204" s="157">
        <f ca="1">Simulador!I199</f>
        <v>4960.1208197953529</v>
      </c>
      <c r="K204" s="160"/>
      <c r="L204" s="157">
        <f ca="1">Simulador!K199</f>
        <v>0</v>
      </c>
      <c r="M204" s="160"/>
      <c r="N204" s="157">
        <f ca="1">Simulador!M199</f>
        <v>263.16987638468316</v>
      </c>
      <c r="O204" s="160"/>
      <c r="P204" s="157">
        <f ca="1">Simulador!O199</f>
        <v>75</v>
      </c>
      <c r="Q204" s="160"/>
      <c r="R204" s="157">
        <f ca="1">Simulador!Q199</f>
        <v>9213.698765992347</v>
      </c>
      <c r="S204" s="160"/>
      <c r="T204" s="157">
        <f ca="1">Simulador!S199</f>
        <v>448177.58239898359</v>
      </c>
    </row>
    <row r="205" spans="2:20" x14ac:dyDescent="0.3">
      <c r="B205" s="163">
        <f ca="1">Simulador!A200</f>
        <v>51247</v>
      </c>
      <c r="C205" s="160"/>
      <c r="D205" s="161">
        <f ca="1">Simulador!C200</f>
        <v>167</v>
      </c>
      <c r="E205" s="160"/>
      <c r="F205" s="162" t="str">
        <f ca="1">Simulador!E200</f>
        <v>Retorno</v>
      </c>
      <c r="G205" s="160"/>
      <c r="H205" s="157">
        <f ca="1">Simulador!G200</f>
        <v>3958.365818537739</v>
      </c>
      <c r="I205" s="160"/>
      <c r="J205" s="157">
        <f ca="1">Simulador!I200</f>
        <v>4917.1630710699246</v>
      </c>
      <c r="K205" s="160"/>
      <c r="L205" s="157">
        <f ca="1">Simulador!K200</f>
        <v>0</v>
      </c>
      <c r="M205" s="160"/>
      <c r="N205" s="157">
        <f ca="1">Simulador!M200</f>
        <v>260.84552397603778</v>
      </c>
      <c r="O205" s="160"/>
      <c r="P205" s="157">
        <f ca="1">Simulador!O200</f>
        <v>75</v>
      </c>
      <c r="Q205" s="160"/>
      <c r="R205" s="157">
        <f ca="1">Simulador!Q200</f>
        <v>9211.3744135837005</v>
      </c>
      <c r="S205" s="160"/>
      <c r="T205" s="157">
        <f ca="1">Simulador!S200</f>
        <v>444219.21658044588</v>
      </c>
    </row>
    <row r="206" spans="2:20" x14ac:dyDescent="0.3">
      <c r="B206" s="163">
        <f ca="1">Simulador!A201</f>
        <v>51277</v>
      </c>
      <c r="C206" s="160"/>
      <c r="D206" s="161">
        <f ca="1">Simulador!C201</f>
        <v>168</v>
      </c>
      <c r="E206" s="160"/>
      <c r="F206" s="162" t="str">
        <f ca="1">Simulador!E201</f>
        <v>Retorno</v>
      </c>
      <c r="G206" s="160"/>
      <c r="H206" s="157">
        <f ca="1">Simulador!G201</f>
        <v>4001.7948765475558</v>
      </c>
      <c r="I206" s="160"/>
      <c r="J206" s="157">
        <f ca="1">Simulador!I201</f>
        <v>4873.7340130601078</v>
      </c>
      <c r="K206" s="160"/>
      <c r="L206" s="157">
        <f ca="1">Simulador!K201</f>
        <v>0</v>
      </c>
      <c r="M206" s="160"/>
      <c r="N206" s="157">
        <f ca="1">Simulador!M201</f>
        <v>258.49567002452909</v>
      </c>
      <c r="O206" s="160"/>
      <c r="P206" s="157">
        <f ca="1">Simulador!O201</f>
        <v>75</v>
      </c>
      <c r="Q206" s="160"/>
      <c r="R206" s="157">
        <f ca="1">Simulador!Q201</f>
        <v>9209.0245596321929</v>
      </c>
      <c r="S206" s="160"/>
      <c r="T206" s="157">
        <f ca="1">Simulador!S201</f>
        <v>440217.42170389835</v>
      </c>
    </row>
    <row r="207" spans="2:20" x14ac:dyDescent="0.3">
      <c r="B207" s="163">
        <f ca="1">Simulador!A202</f>
        <v>51308</v>
      </c>
      <c r="C207" s="160"/>
      <c r="D207" s="161">
        <f ca="1">Simulador!C202</f>
        <v>169</v>
      </c>
      <c r="E207" s="160"/>
      <c r="F207" s="162" t="str">
        <f ca="1">Simulador!E202</f>
        <v>Retorno</v>
      </c>
      <c r="G207" s="160"/>
      <c r="H207" s="157">
        <f ca="1">Simulador!G202</f>
        <v>4045.7004147934167</v>
      </c>
      <c r="I207" s="160"/>
      <c r="J207" s="157">
        <f ca="1">Simulador!I202</f>
        <v>4829.8284748142469</v>
      </c>
      <c r="K207" s="160"/>
      <c r="L207" s="157">
        <f ca="1">Simulador!K202</f>
        <v>0</v>
      </c>
      <c r="M207" s="160"/>
      <c r="N207" s="157">
        <f ca="1">Simulador!M202</f>
        <v>256.12003474096241</v>
      </c>
      <c r="O207" s="160"/>
      <c r="P207" s="157">
        <f ca="1">Simulador!O202</f>
        <v>75</v>
      </c>
      <c r="Q207" s="160"/>
      <c r="R207" s="157">
        <f ca="1">Simulador!Q202</f>
        <v>9206.6489243486267</v>
      </c>
      <c r="S207" s="160"/>
      <c r="T207" s="157">
        <f ca="1">Simulador!S202</f>
        <v>436171.72128910496</v>
      </c>
    </row>
    <row r="208" spans="2:20" x14ac:dyDescent="0.3">
      <c r="B208" s="163">
        <f ca="1">Simulador!A203</f>
        <v>51338</v>
      </c>
      <c r="C208" s="160"/>
      <c r="D208" s="161">
        <f ca="1">Simulador!C203</f>
        <v>170</v>
      </c>
      <c r="E208" s="160"/>
      <c r="F208" s="162" t="str">
        <f ca="1">Simulador!E203</f>
        <v>Retorno</v>
      </c>
      <c r="G208" s="160"/>
      <c r="H208" s="157">
        <f ca="1">Simulador!G203</f>
        <v>4090.0876609598308</v>
      </c>
      <c r="I208" s="160"/>
      <c r="J208" s="157">
        <f ca="1">Simulador!I203</f>
        <v>4785.4412286478328</v>
      </c>
      <c r="K208" s="160"/>
      <c r="L208" s="157">
        <f ca="1">Simulador!K203</f>
        <v>0</v>
      </c>
      <c r="M208" s="160"/>
      <c r="N208" s="157">
        <f ca="1">Simulador!M203</f>
        <v>253.71833526644681</v>
      </c>
      <c r="O208" s="160"/>
      <c r="P208" s="157">
        <f ca="1">Simulador!O203</f>
        <v>75</v>
      </c>
      <c r="Q208" s="160"/>
      <c r="R208" s="157">
        <f ca="1">Simulador!Q203</f>
        <v>9204.2472248741105</v>
      </c>
      <c r="S208" s="160"/>
      <c r="T208" s="157">
        <f ca="1">Simulador!S203</f>
        <v>432081.63362814515</v>
      </c>
    </row>
    <row r="209" spans="2:20" x14ac:dyDescent="0.3">
      <c r="B209" s="163">
        <f ca="1">Simulador!A204</f>
        <v>51369</v>
      </c>
      <c r="C209" s="160"/>
      <c r="D209" s="161">
        <f ca="1">Simulador!C204</f>
        <v>171</v>
      </c>
      <c r="E209" s="160"/>
      <c r="F209" s="162" t="str">
        <f ca="1">Simulador!E204</f>
        <v>Retorno</v>
      </c>
      <c r="G209" s="160"/>
      <c r="H209" s="157">
        <f ca="1">Simulador!G204</f>
        <v>4134.9619000868079</v>
      </c>
      <c r="I209" s="160"/>
      <c r="J209" s="157">
        <f ca="1">Simulador!I204</f>
        <v>4740.5669895208557</v>
      </c>
      <c r="K209" s="160"/>
      <c r="L209" s="157">
        <f ca="1">Simulador!K204</f>
        <v>0</v>
      </c>
      <c r="M209" s="160"/>
      <c r="N209" s="157">
        <f ca="1">Simulador!M204</f>
        <v>251.29028563871586</v>
      </c>
      <c r="O209" s="160"/>
      <c r="P209" s="157">
        <f ca="1">Simulador!O204</f>
        <v>75</v>
      </c>
      <c r="Q209" s="160"/>
      <c r="R209" s="157">
        <f ca="1">Simulador!Q204</f>
        <v>9201.819175246379</v>
      </c>
      <c r="S209" s="160"/>
      <c r="T209" s="157">
        <f ca="1">Simulador!S204</f>
        <v>427946.67172805837</v>
      </c>
    </row>
    <row r="210" spans="2:20" x14ac:dyDescent="0.3">
      <c r="B210" s="163">
        <f ca="1">Simulador!A205</f>
        <v>51400</v>
      </c>
      <c r="C210" s="160"/>
      <c r="D210" s="161">
        <f ca="1">Simulador!C205</f>
        <v>172</v>
      </c>
      <c r="E210" s="160"/>
      <c r="F210" s="162" t="str">
        <f ca="1">Simulador!E205</f>
        <v>Retorno</v>
      </c>
      <c r="G210" s="160"/>
      <c r="H210" s="157">
        <f ca="1">Simulador!G205</f>
        <v>4180.3284751987339</v>
      </c>
      <c r="I210" s="160"/>
      <c r="J210" s="157">
        <f ca="1">Simulador!I205</f>
        <v>4695.2004144089296</v>
      </c>
      <c r="K210" s="160"/>
      <c r="L210" s="157">
        <f ca="1">Simulador!K205</f>
        <v>0</v>
      </c>
      <c r="M210" s="160"/>
      <c r="N210" s="157">
        <f ca="1">Simulador!M205</f>
        <v>322.06242087217333</v>
      </c>
      <c r="O210" s="160"/>
      <c r="P210" s="157">
        <f ca="1">Simulador!O205</f>
        <v>75</v>
      </c>
      <c r="Q210" s="160"/>
      <c r="R210" s="157">
        <f ca="1">Simulador!Q205</f>
        <v>9272.5913104798365</v>
      </c>
      <c r="S210" s="160"/>
      <c r="T210" s="157">
        <f ca="1">Simulador!S205</f>
        <v>423766.34325285966</v>
      </c>
    </row>
    <row r="211" spans="2:20" x14ac:dyDescent="0.3">
      <c r="B211" s="163">
        <f ca="1">Simulador!A206</f>
        <v>51430</v>
      </c>
      <c r="C211" s="160"/>
      <c r="D211" s="161">
        <f ca="1">Simulador!C206</f>
        <v>173</v>
      </c>
      <c r="E211" s="160"/>
      <c r="F211" s="162" t="str">
        <f ca="1">Simulador!E206</f>
        <v>Retorno</v>
      </c>
      <c r="G211" s="160"/>
      <c r="H211" s="157">
        <f ca="1">Simulador!G206</f>
        <v>4226.1927879409304</v>
      </c>
      <c r="I211" s="160"/>
      <c r="J211" s="157">
        <f ca="1">Simulador!I206</f>
        <v>4649.3361016667332</v>
      </c>
      <c r="K211" s="160"/>
      <c r="L211" s="157">
        <f ca="1">Simulador!K206</f>
        <v>0</v>
      </c>
      <c r="M211" s="160"/>
      <c r="N211" s="157">
        <f ca="1">Simulador!M206</f>
        <v>318.85051435333827</v>
      </c>
      <c r="O211" s="160"/>
      <c r="P211" s="157">
        <f ca="1">Simulador!O206</f>
        <v>75</v>
      </c>
      <c r="Q211" s="160"/>
      <c r="R211" s="157">
        <f ca="1">Simulador!Q206</f>
        <v>9269.379403961002</v>
      </c>
      <c r="S211" s="160"/>
      <c r="T211" s="157">
        <f ca="1">Simulador!S206</f>
        <v>419540.15046491876</v>
      </c>
    </row>
    <row r="212" spans="2:20" x14ac:dyDescent="0.3">
      <c r="B212" s="163">
        <f ca="1">Simulador!A207</f>
        <v>51461</v>
      </c>
      <c r="C212" s="160"/>
      <c r="D212" s="161">
        <f ca="1">Simulador!C207</f>
        <v>174</v>
      </c>
      <c r="E212" s="160"/>
      <c r="F212" s="162" t="str">
        <f ca="1">Simulador!E207</f>
        <v>Retorno</v>
      </c>
      <c r="G212" s="160"/>
      <c r="H212" s="157">
        <f ca="1">Simulador!G207</f>
        <v>4272.5602992226159</v>
      </c>
      <c r="I212" s="160"/>
      <c r="J212" s="157">
        <f ca="1">Simulador!I207</f>
        <v>4602.9685903850477</v>
      </c>
      <c r="K212" s="160"/>
      <c r="L212" s="157">
        <f ca="1">Simulador!K207</f>
        <v>0</v>
      </c>
      <c r="M212" s="160"/>
      <c r="N212" s="157">
        <f ca="1">Simulador!M207</f>
        <v>315.60336852592911</v>
      </c>
      <c r="O212" s="160"/>
      <c r="P212" s="157">
        <f ca="1">Simulador!O207</f>
        <v>75</v>
      </c>
      <c r="Q212" s="160"/>
      <c r="R212" s="157">
        <f ca="1">Simulador!Q207</f>
        <v>9266.1322581335935</v>
      </c>
      <c r="S212" s="160"/>
      <c r="T212" s="157">
        <f ca="1">Simulador!S207</f>
        <v>415267.59016569617</v>
      </c>
    </row>
    <row r="213" spans="2:20" x14ac:dyDescent="0.3">
      <c r="B213" s="163">
        <f ca="1">Simulador!A208</f>
        <v>51491</v>
      </c>
      <c r="C213" s="160"/>
      <c r="D213" s="161">
        <f ca="1">Simulador!C208</f>
        <v>175</v>
      </c>
      <c r="E213" s="160"/>
      <c r="F213" s="162" t="str">
        <f ca="1">Simulador!E208</f>
        <v>Retorno</v>
      </c>
      <c r="G213" s="160"/>
      <c r="H213" s="157">
        <f ca="1">Simulador!G208</f>
        <v>4319.4365298672019</v>
      </c>
      <c r="I213" s="160"/>
      <c r="J213" s="157">
        <f ca="1">Simulador!I208</f>
        <v>4556.0923597404617</v>
      </c>
      <c r="K213" s="160"/>
      <c r="L213" s="157">
        <f ca="1">Simulador!K208</f>
        <v>0</v>
      </c>
      <c r="M213" s="160"/>
      <c r="N213" s="157">
        <f ca="1">Simulador!M208</f>
        <v>312.32059676323007</v>
      </c>
      <c r="O213" s="160"/>
      <c r="P213" s="157">
        <f ca="1">Simulador!O208</f>
        <v>75</v>
      </c>
      <c r="Q213" s="160"/>
      <c r="R213" s="157">
        <f ca="1">Simulador!Q208</f>
        <v>9262.8494863708929</v>
      </c>
      <c r="S213" s="160"/>
      <c r="T213" s="157">
        <f ca="1">Simulador!S208</f>
        <v>410948.15363582899</v>
      </c>
    </row>
    <row r="214" spans="2:20" x14ac:dyDescent="0.3">
      <c r="B214" s="163">
        <f ca="1">Simulador!A209</f>
        <v>51522</v>
      </c>
      <c r="C214" s="160"/>
      <c r="D214" s="161">
        <f ca="1">Simulador!C209</f>
        <v>176</v>
      </c>
      <c r="E214" s="160"/>
      <c r="F214" s="162" t="str">
        <f ca="1">Simulador!E209</f>
        <v>Retorno</v>
      </c>
      <c r="G214" s="160"/>
      <c r="H214" s="157">
        <f ca="1">Simulador!G209</f>
        <v>4366.827061269516</v>
      </c>
      <c r="I214" s="160"/>
      <c r="J214" s="157">
        <f ca="1">Simulador!I209</f>
        <v>4508.7018283381476</v>
      </c>
      <c r="K214" s="160"/>
      <c r="L214" s="157">
        <f ca="1">Simulador!K209</f>
        <v>0</v>
      </c>
      <c r="M214" s="160"/>
      <c r="N214" s="157">
        <f ca="1">Simulador!M209</f>
        <v>309.00180819666525</v>
      </c>
      <c r="O214" s="160"/>
      <c r="P214" s="157">
        <f ca="1">Simulador!O209</f>
        <v>75</v>
      </c>
      <c r="Q214" s="160"/>
      <c r="R214" s="157">
        <f ca="1">Simulador!Q209</f>
        <v>9259.5306978043282</v>
      </c>
      <c r="S214" s="160"/>
      <c r="T214" s="157">
        <f ca="1">Simulador!S209</f>
        <v>406581.3265745595</v>
      </c>
    </row>
    <row r="215" spans="2:20" x14ac:dyDescent="0.3">
      <c r="B215" s="163">
        <f ca="1">Simulador!A210</f>
        <v>51553</v>
      </c>
      <c r="C215" s="160"/>
      <c r="D215" s="161">
        <f ca="1">Simulador!C210</f>
        <v>177</v>
      </c>
      <c r="E215" s="160"/>
      <c r="F215" s="162" t="str">
        <f ca="1">Simulador!E210</f>
        <v>Retorno</v>
      </c>
      <c r="G215" s="160"/>
      <c r="H215" s="157">
        <f ca="1">Simulador!G210</f>
        <v>4414.7375360605329</v>
      </c>
      <c r="I215" s="160"/>
      <c r="J215" s="157">
        <f ca="1">Simulador!I210</f>
        <v>4460.7913535471307</v>
      </c>
      <c r="K215" s="160"/>
      <c r="L215" s="157">
        <f ca="1">Simulador!K210</f>
        <v>0</v>
      </c>
      <c r="M215" s="160"/>
      <c r="N215" s="157">
        <f ca="1">Simulador!M210</f>
        <v>305.64660766925925</v>
      </c>
      <c r="O215" s="160"/>
      <c r="P215" s="157">
        <f ca="1">Simulador!O210</f>
        <v>75</v>
      </c>
      <c r="Q215" s="160"/>
      <c r="R215" s="157">
        <f ca="1">Simulador!Q210</f>
        <v>9256.1754972769231</v>
      </c>
      <c r="S215" s="160"/>
      <c r="T215" s="157">
        <f ca="1">Simulador!S210</f>
        <v>402166.58903849899</v>
      </c>
    </row>
    <row r="216" spans="2:20" x14ac:dyDescent="0.3">
      <c r="B216" s="163">
        <f ca="1">Simulador!A211</f>
        <v>51581</v>
      </c>
      <c r="C216" s="160"/>
      <c r="D216" s="161">
        <f ca="1">Simulador!C211</f>
        <v>178</v>
      </c>
      <c r="E216" s="160"/>
      <c r="F216" s="162" t="str">
        <f ca="1">Simulador!E211</f>
        <v>Retorno</v>
      </c>
      <c r="G216" s="160"/>
      <c r="H216" s="157">
        <f ca="1">Simulador!G211</f>
        <v>4463.1736587790911</v>
      </c>
      <c r="I216" s="160"/>
      <c r="J216" s="157">
        <f ca="1">Simulador!I211</f>
        <v>4412.3552308285725</v>
      </c>
      <c r="K216" s="160"/>
      <c r="L216" s="157">
        <f ca="1">Simulador!K211</f>
        <v>0</v>
      </c>
      <c r="M216" s="160"/>
      <c r="N216" s="157">
        <f ca="1">Simulador!M211</f>
        <v>302.25459568858719</v>
      </c>
      <c r="O216" s="160"/>
      <c r="P216" s="157">
        <f ca="1">Simulador!O211</f>
        <v>75</v>
      </c>
      <c r="Q216" s="160"/>
      <c r="R216" s="157">
        <f ca="1">Simulador!Q211</f>
        <v>9252.7834852962515</v>
      </c>
      <c r="S216" s="160"/>
      <c r="T216" s="157">
        <f ca="1">Simulador!S211</f>
        <v>397703.41537971993</v>
      </c>
    </row>
    <row r="217" spans="2:20" x14ac:dyDescent="0.3">
      <c r="B217" s="163">
        <f ca="1">Simulador!A212</f>
        <v>51612</v>
      </c>
      <c r="C217" s="160"/>
      <c r="D217" s="161">
        <f ca="1">Simulador!C212</f>
        <v>179</v>
      </c>
      <c r="E217" s="160"/>
      <c r="F217" s="162" t="str">
        <f ca="1">Simulador!E212</f>
        <v>Retorno</v>
      </c>
      <c r="G217" s="160"/>
      <c r="H217" s="157">
        <f ca="1">Simulador!G212</f>
        <v>4512.1411965511761</v>
      </c>
      <c r="I217" s="160"/>
      <c r="J217" s="157">
        <f ca="1">Simulador!I212</f>
        <v>4363.3876930564875</v>
      </c>
      <c r="K217" s="160"/>
      <c r="L217" s="157">
        <f ca="1">Simulador!K212</f>
        <v>0</v>
      </c>
      <c r="M217" s="160"/>
      <c r="N217" s="157">
        <f ca="1">Simulador!M212</f>
        <v>298.82536837920827</v>
      </c>
      <c r="O217" s="160"/>
      <c r="P217" s="157">
        <f ca="1">Simulador!O212</f>
        <v>75</v>
      </c>
      <c r="Q217" s="160"/>
      <c r="R217" s="157">
        <f ca="1">Simulador!Q212</f>
        <v>9249.3542579868717</v>
      </c>
      <c r="S217" s="160"/>
      <c r="T217" s="157">
        <f ca="1">Simulador!S212</f>
        <v>393191.27418316877</v>
      </c>
    </row>
    <row r="218" spans="2:20" x14ac:dyDescent="0.3">
      <c r="B218" s="163">
        <f ca="1">Simulador!A213</f>
        <v>51642</v>
      </c>
      <c r="C218" s="160"/>
      <c r="D218" s="161">
        <f ca="1">Simulador!C213</f>
        <v>180</v>
      </c>
      <c r="E218" s="160"/>
      <c r="F218" s="162" t="str">
        <f ca="1">Simulador!E213</f>
        <v>Retorno</v>
      </c>
      <c r="G218" s="160"/>
      <c r="H218" s="157">
        <f ca="1">Simulador!G213</f>
        <v>4561.6459797765383</v>
      </c>
      <c r="I218" s="160"/>
      <c r="J218" s="157">
        <f ca="1">Simulador!I213</f>
        <v>4313.8829098311253</v>
      </c>
      <c r="K218" s="160"/>
      <c r="L218" s="157">
        <f ca="1">Simulador!K213</f>
        <v>0</v>
      </c>
      <c r="M218" s="160"/>
      <c r="N218" s="157">
        <f ca="1">Simulador!M213</f>
        <v>295.35851743457812</v>
      </c>
      <c r="O218" s="160"/>
      <c r="P218" s="157">
        <f ca="1">Simulador!O213</f>
        <v>75</v>
      </c>
      <c r="Q218" s="160"/>
      <c r="R218" s="157">
        <f ca="1">Simulador!Q213</f>
        <v>9245.8874070422426</v>
      </c>
      <c r="S218" s="160"/>
      <c r="T218" s="157">
        <f ca="1">Simulador!S213</f>
        <v>388629.62820339226</v>
      </c>
    </row>
    <row r="219" spans="2:20" x14ac:dyDescent="0.3">
      <c r="B219" s="163">
        <f ca="1">Simulador!A214</f>
        <v>51673</v>
      </c>
      <c r="C219" s="160"/>
      <c r="D219" s="161">
        <f ca="1">Simulador!C214</f>
        <v>181</v>
      </c>
      <c r="E219" s="160"/>
      <c r="F219" s="162" t="str">
        <f ca="1">Simulador!E214</f>
        <v>Retorno</v>
      </c>
      <c r="G219" s="160"/>
      <c r="H219" s="157">
        <f ca="1">Simulador!G214</f>
        <v>4611.6939028229936</v>
      </c>
      <c r="I219" s="160"/>
      <c r="J219" s="157">
        <f ca="1">Simulador!I214</f>
        <v>4263.83498678467</v>
      </c>
      <c r="K219" s="160"/>
      <c r="L219" s="157">
        <f ca="1">Simulador!K214</f>
        <v>0</v>
      </c>
      <c r="M219" s="160"/>
      <c r="N219" s="157">
        <f ca="1">Simulador!M214</f>
        <v>291.85363006843266</v>
      </c>
      <c r="O219" s="160"/>
      <c r="P219" s="157">
        <f ca="1">Simulador!O214</f>
        <v>75</v>
      </c>
      <c r="Q219" s="160"/>
      <c r="R219" s="157">
        <f ca="1">Simulador!Q214</f>
        <v>9242.3825196760954</v>
      </c>
      <c r="S219" s="160"/>
      <c r="T219" s="157">
        <f ca="1">Simulador!S214</f>
        <v>384017.93430056929</v>
      </c>
    </row>
    <row r="220" spans="2:20" x14ac:dyDescent="0.3">
      <c r="B220" s="163">
        <f ca="1">Simulador!A215</f>
        <v>51703</v>
      </c>
      <c r="C220" s="160"/>
      <c r="D220" s="161">
        <f ca="1">Simulador!C215</f>
        <v>182</v>
      </c>
      <c r="E220" s="160"/>
      <c r="F220" s="162" t="str">
        <f ca="1">Simulador!E215</f>
        <v>Retorno</v>
      </c>
      <c r="G220" s="160"/>
      <c r="H220" s="157">
        <f ca="1">Simulador!G215</f>
        <v>4662.2909247281168</v>
      </c>
      <c r="I220" s="160"/>
      <c r="J220" s="157">
        <f ca="1">Simulador!I215</f>
        <v>4213.2379648795468</v>
      </c>
      <c r="K220" s="160"/>
      <c r="L220" s="157">
        <f ca="1">Simulador!K215</f>
        <v>0</v>
      </c>
      <c r="M220" s="160"/>
      <c r="N220" s="157">
        <f ca="1">Simulador!M215</f>
        <v>288.3102889656393</v>
      </c>
      <c r="O220" s="160"/>
      <c r="P220" s="157">
        <f ca="1">Simulador!O215</f>
        <v>75</v>
      </c>
      <c r="Q220" s="160"/>
      <c r="R220" s="157">
        <f ca="1">Simulador!Q215</f>
        <v>9238.8391785733038</v>
      </c>
      <c r="S220" s="160"/>
      <c r="T220" s="157">
        <f ca="1">Simulador!S215</f>
        <v>379355.6433758412</v>
      </c>
    </row>
    <row r="221" spans="2:20" x14ac:dyDescent="0.3">
      <c r="B221" s="163">
        <f ca="1">Simulador!A216</f>
        <v>51734</v>
      </c>
      <c r="C221" s="160"/>
      <c r="D221" s="161">
        <f ca="1">Simulador!C216</f>
        <v>183</v>
      </c>
      <c r="E221" s="160"/>
      <c r="F221" s="162" t="str">
        <f ca="1">Simulador!E216</f>
        <v>Retorno</v>
      </c>
      <c r="G221" s="160"/>
      <c r="H221" s="157">
        <f ca="1">Simulador!G216</f>
        <v>4713.443069908968</v>
      </c>
      <c r="I221" s="160"/>
      <c r="J221" s="157">
        <f ca="1">Simulador!I216</f>
        <v>4162.0858196986956</v>
      </c>
      <c r="K221" s="160"/>
      <c r="L221" s="157">
        <f ca="1">Simulador!K216</f>
        <v>0</v>
      </c>
      <c r="M221" s="160"/>
      <c r="N221" s="157">
        <f ca="1">Simulador!M216</f>
        <v>284.72807223250851</v>
      </c>
      <c r="O221" s="160"/>
      <c r="P221" s="157">
        <f ca="1">Simulador!O216</f>
        <v>75</v>
      </c>
      <c r="Q221" s="160"/>
      <c r="R221" s="157">
        <f ca="1">Simulador!Q216</f>
        <v>9235.2569618401722</v>
      </c>
      <c r="S221" s="160"/>
      <c r="T221" s="157">
        <f ca="1">Simulador!S216</f>
        <v>374642.20030593226</v>
      </c>
    </row>
    <row r="222" spans="2:20" x14ac:dyDescent="0.3">
      <c r="B222" s="163">
        <f ca="1">Simulador!A217</f>
        <v>51765</v>
      </c>
      <c r="C222" s="160"/>
      <c r="D222" s="161">
        <f ca="1">Simulador!C217</f>
        <v>184</v>
      </c>
      <c r="E222" s="160"/>
      <c r="F222" s="162" t="str">
        <f ca="1">Simulador!E217</f>
        <v>Retorno</v>
      </c>
      <c r="G222" s="160"/>
      <c r="H222" s="157">
        <f ca="1">Simulador!G217</f>
        <v>4765.156428879036</v>
      </c>
      <c r="I222" s="160"/>
      <c r="J222" s="157">
        <f ca="1">Simulador!I217</f>
        <v>4110.3724607286276</v>
      </c>
      <c r="K222" s="160"/>
      <c r="L222" s="157">
        <f ca="1">Simulador!K217</f>
        <v>0</v>
      </c>
      <c r="M222" s="160"/>
      <c r="N222" s="157">
        <f ca="1">Simulador!M217</f>
        <v>281.10655334656047</v>
      </c>
      <c r="O222" s="160"/>
      <c r="P222" s="157">
        <f ca="1">Simulador!O217</f>
        <v>75</v>
      </c>
      <c r="Q222" s="160"/>
      <c r="R222" s="157">
        <f ca="1">Simulador!Q217</f>
        <v>9231.6354429542243</v>
      </c>
      <c r="S222" s="160"/>
      <c r="T222" s="157">
        <f ca="1">Simulador!S217</f>
        <v>369877.04387705325</v>
      </c>
    </row>
    <row r="223" spans="2:20" x14ac:dyDescent="0.3">
      <c r="B223" s="163">
        <f ca="1">Simulador!A218</f>
        <v>51795</v>
      </c>
      <c r="C223" s="160"/>
      <c r="D223" s="161">
        <f ca="1">Simulador!C218</f>
        <v>185</v>
      </c>
      <c r="E223" s="160"/>
      <c r="F223" s="162" t="str">
        <f ca="1">Simulador!E218</f>
        <v>Retorno</v>
      </c>
      <c r="G223" s="160"/>
      <c r="H223" s="157">
        <f ca="1">Simulador!G218</f>
        <v>4817.4371589738548</v>
      </c>
      <c r="I223" s="160"/>
      <c r="J223" s="157">
        <f ca="1">Simulador!I218</f>
        <v>4058.0917306338088</v>
      </c>
      <c r="K223" s="160"/>
      <c r="L223" s="157">
        <f ca="1">Simulador!K218</f>
        <v>0</v>
      </c>
      <c r="M223" s="160"/>
      <c r="N223" s="157">
        <f ca="1">Simulador!M218</f>
        <v>277.44530110574038</v>
      </c>
      <c r="O223" s="160"/>
      <c r="P223" s="157">
        <f ca="1">Simulador!O218</f>
        <v>75</v>
      </c>
      <c r="Q223" s="160"/>
      <c r="R223" s="157">
        <f ca="1">Simulador!Q218</f>
        <v>9227.9741907134048</v>
      </c>
      <c r="S223" s="160"/>
      <c r="T223" s="157">
        <f ca="1">Simulador!S218</f>
        <v>365059.60671807942</v>
      </c>
    </row>
    <row r="224" spans="2:20" x14ac:dyDescent="0.3">
      <c r="B224" s="163">
        <f ca="1">Simulador!A219</f>
        <v>51826</v>
      </c>
      <c r="C224" s="160"/>
      <c r="D224" s="161">
        <f ca="1">Simulador!C219</f>
        <v>186</v>
      </c>
      <c r="E224" s="160"/>
      <c r="F224" s="162" t="str">
        <f ca="1">Simulador!E219</f>
        <v>Retorno</v>
      </c>
      <c r="G224" s="160"/>
      <c r="H224" s="157">
        <f ca="1">Simulador!G219</f>
        <v>4870.2914850838388</v>
      </c>
      <c r="I224" s="160"/>
      <c r="J224" s="157">
        <f ca="1">Simulador!I219</f>
        <v>4005.2374045238248</v>
      </c>
      <c r="K224" s="160"/>
      <c r="L224" s="157">
        <f ca="1">Simulador!K219</f>
        <v>0</v>
      </c>
      <c r="M224" s="160"/>
      <c r="N224" s="157">
        <f ca="1">Simulador!M219</f>
        <v>273.74387957707665</v>
      </c>
      <c r="O224" s="160"/>
      <c r="P224" s="157">
        <f ca="1">Simulador!O219</f>
        <v>75</v>
      </c>
      <c r="Q224" s="160"/>
      <c r="R224" s="157">
        <f ca="1">Simulador!Q219</f>
        <v>9224.2727691847394</v>
      </c>
      <c r="S224" s="160"/>
      <c r="T224" s="157">
        <f ca="1">Simulador!S219</f>
        <v>360189.31523299561</v>
      </c>
    </row>
    <row r="225" spans="2:20" x14ac:dyDescent="0.3">
      <c r="B225" s="163">
        <f ca="1">Simulador!A220</f>
        <v>51856</v>
      </c>
      <c r="C225" s="160"/>
      <c r="D225" s="161">
        <f ca="1">Simulador!C220</f>
        <v>187</v>
      </c>
      <c r="E225" s="160"/>
      <c r="F225" s="162" t="str">
        <f ca="1">Simulador!E220</f>
        <v>Retorno</v>
      </c>
      <c r="G225" s="160"/>
      <c r="H225" s="157">
        <f ca="1">Simulador!G220</f>
        <v>4923.7257003956147</v>
      </c>
      <c r="I225" s="160"/>
      <c r="J225" s="157">
        <f ca="1">Simulador!I220</f>
        <v>3951.8031892120489</v>
      </c>
      <c r="K225" s="160"/>
      <c r="L225" s="157">
        <f ca="1">Simulador!K220</f>
        <v>0</v>
      </c>
      <c r="M225" s="160"/>
      <c r="N225" s="157">
        <f ca="1">Simulador!M220</f>
        <v>270.00184804477601</v>
      </c>
      <c r="O225" s="160"/>
      <c r="P225" s="157">
        <f ca="1">Simulador!O220</f>
        <v>75</v>
      </c>
      <c r="Q225" s="160"/>
      <c r="R225" s="157">
        <f ca="1">Simulador!Q220</f>
        <v>9220.5307376524397</v>
      </c>
      <c r="S225" s="160"/>
      <c r="T225" s="157">
        <f ca="1">Simulador!S220</f>
        <v>355265.58953260002</v>
      </c>
    </row>
    <row r="226" spans="2:20" x14ac:dyDescent="0.3">
      <c r="B226" s="163">
        <f ca="1">Simulador!A221</f>
        <v>51887</v>
      </c>
      <c r="C226" s="160"/>
      <c r="D226" s="161">
        <f ca="1">Simulador!C221</f>
        <v>188</v>
      </c>
      <c r="E226" s="160"/>
      <c r="F226" s="162" t="str">
        <f ca="1">Simulador!E221</f>
        <v>Retorno</v>
      </c>
      <c r="G226" s="160"/>
      <c r="H226" s="157">
        <f ca="1">Simulador!G221</f>
        <v>4977.7461671410965</v>
      </c>
      <c r="I226" s="160"/>
      <c r="J226" s="157">
        <f ca="1">Simulador!I221</f>
        <v>3897.7827224665671</v>
      </c>
      <c r="K226" s="160"/>
      <c r="L226" s="157">
        <f ca="1">Simulador!K221</f>
        <v>0</v>
      </c>
      <c r="M226" s="160"/>
      <c r="N226" s="157">
        <f ca="1">Simulador!M221</f>
        <v>266.21876095774883</v>
      </c>
      <c r="O226" s="160"/>
      <c r="P226" s="157">
        <f ca="1">Simulador!O221</f>
        <v>75</v>
      </c>
      <c r="Q226" s="160"/>
      <c r="R226" s="157">
        <f ca="1">Simulador!Q221</f>
        <v>9216.7476505654122</v>
      </c>
      <c r="S226" s="160"/>
      <c r="T226" s="157">
        <f ca="1">Simulador!S221</f>
        <v>350287.84336545895</v>
      </c>
    </row>
    <row r="227" spans="2:20" x14ac:dyDescent="0.3">
      <c r="B227" s="163">
        <f ca="1">Simulador!A222</f>
        <v>51918</v>
      </c>
      <c r="C227" s="160"/>
      <c r="D227" s="161">
        <f ca="1">Simulador!C222</f>
        <v>189</v>
      </c>
      <c r="E227" s="160"/>
      <c r="F227" s="162" t="str">
        <f ca="1">Simulador!E222</f>
        <v>Retorno</v>
      </c>
      <c r="G227" s="160"/>
      <c r="H227" s="157">
        <f ca="1">Simulador!G222</f>
        <v>5032.359317355349</v>
      </c>
      <c r="I227" s="160"/>
      <c r="J227" s="157">
        <f ca="1">Simulador!I222</f>
        <v>3843.1695722523145</v>
      </c>
      <c r="K227" s="160"/>
      <c r="L227" s="157">
        <f ca="1">Simulador!K222</f>
        <v>0</v>
      </c>
      <c r="M227" s="160"/>
      <c r="N227" s="157">
        <f ca="1">Simulador!M222</f>
        <v>262.39416787655875</v>
      </c>
      <c r="O227" s="160"/>
      <c r="P227" s="157">
        <f ca="1">Simulador!O222</f>
        <v>75</v>
      </c>
      <c r="Q227" s="160"/>
      <c r="R227" s="157">
        <f ca="1">Simulador!Q222</f>
        <v>9212.9230574842222</v>
      </c>
      <c r="S227" s="160"/>
      <c r="T227" s="157">
        <f ca="1">Simulador!S222</f>
        <v>345255.48404810362</v>
      </c>
    </row>
    <row r="228" spans="2:20" x14ac:dyDescent="0.3">
      <c r="B228" s="163">
        <f ca="1">Simulador!A223</f>
        <v>51946</v>
      </c>
      <c r="C228" s="160"/>
      <c r="D228" s="161">
        <f ca="1">Simulador!C223</f>
        <v>190</v>
      </c>
      <c r="E228" s="160"/>
      <c r="F228" s="162" t="str">
        <f ca="1">Simulador!E223</f>
        <v>Retorno</v>
      </c>
      <c r="G228" s="160"/>
      <c r="H228" s="157">
        <f ca="1">Simulador!G223</f>
        <v>5087.5716536422515</v>
      </c>
      <c r="I228" s="160"/>
      <c r="J228" s="157">
        <f ca="1">Simulador!I223</f>
        <v>3787.9572359654121</v>
      </c>
      <c r="K228" s="160"/>
      <c r="L228" s="157">
        <f ca="1">Simulador!K223</f>
        <v>0</v>
      </c>
      <c r="M228" s="160"/>
      <c r="N228" s="157">
        <f ca="1">Simulador!M223</f>
        <v>258.52761341979067</v>
      </c>
      <c r="O228" s="160"/>
      <c r="P228" s="157">
        <f ca="1">Simulador!O223</f>
        <v>75</v>
      </c>
      <c r="Q228" s="160"/>
      <c r="R228" s="157">
        <f ca="1">Simulador!Q223</f>
        <v>9209.0565030274538</v>
      </c>
      <c r="S228" s="160"/>
      <c r="T228" s="157">
        <f ca="1">Simulador!S223</f>
        <v>340167.9123944614</v>
      </c>
    </row>
    <row r="229" spans="2:20" x14ac:dyDescent="0.3">
      <c r="B229" s="163">
        <f ca="1">Simulador!A224</f>
        <v>51977</v>
      </c>
      <c r="C229" s="160"/>
      <c r="D229" s="161">
        <f ca="1">Simulador!C224</f>
        <v>191</v>
      </c>
      <c r="E229" s="160"/>
      <c r="F229" s="162" t="str">
        <f ca="1">Simulador!E224</f>
        <v>Retorno</v>
      </c>
      <c r="G229" s="160"/>
      <c r="H229" s="157">
        <f ca="1">Simulador!G224</f>
        <v>5143.3897499486593</v>
      </c>
      <c r="I229" s="160"/>
      <c r="J229" s="157">
        <f ca="1">Simulador!I224</f>
        <v>3732.1391396590043</v>
      </c>
      <c r="K229" s="160"/>
      <c r="L229" s="157">
        <f ca="1">Simulador!K224</f>
        <v>0</v>
      </c>
      <c r="M229" s="160"/>
      <c r="N229" s="157">
        <f ca="1">Simulador!M224</f>
        <v>254.6186372098297</v>
      </c>
      <c r="O229" s="160"/>
      <c r="P229" s="157">
        <f ca="1">Simulador!O224</f>
        <v>75</v>
      </c>
      <c r="Q229" s="160"/>
      <c r="R229" s="157">
        <f ca="1">Simulador!Q224</f>
        <v>9205.1475268174927</v>
      </c>
      <c r="S229" s="160"/>
      <c r="T229" s="157">
        <f ca="1">Simulador!S224</f>
        <v>335024.52264451276</v>
      </c>
    </row>
    <row r="230" spans="2:20" x14ac:dyDescent="0.3">
      <c r="B230" s="163">
        <f ca="1">Simulador!A225</f>
        <v>52007</v>
      </c>
      <c r="C230" s="160"/>
      <c r="D230" s="161">
        <f ca="1">Simulador!C225</f>
        <v>192</v>
      </c>
      <c r="E230" s="160"/>
      <c r="F230" s="162" t="str">
        <f ca="1">Simulador!E225</f>
        <v>Retorno</v>
      </c>
      <c r="G230" s="160"/>
      <c r="H230" s="157">
        <f ca="1">Simulador!G225</f>
        <v>5199.8202523472391</v>
      </c>
      <c r="I230" s="160"/>
      <c r="J230" s="157">
        <f ca="1">Simulador!I225</f>
        <v>3675.7086372604244</v>
      </c>
      <c r="K230" s="160"/>
      <c r="L230" s="157">
        <f ca="1">Simulador!K225</f>
        <v>0</v>
      </c>
      <c r="M230" s="160"/>
      <c r="N230" s="157">
        <f ca="1">Simulador!M225</f>
        <v>250.66677381804584</v>
      </c>
      <c r="O230" s="160"/>
      <c r="P230" s="157">
        <f ca="1">Simulador!O225</f>
        <v>75</v>
      </c>
      <c r="Q230" s="160"/>
      <c r="R230" s="157">
        <f ca="1">Simulador!Q225</f>
        <v>9201.1956634257094</v>
      </c>
      <c r="S230" s="160"/>
      <c r="T230" s="157">
        <f ca="1">Simulador!S225</f>
        <v>329824.70239216555</v>
      </c>
    </row>
    <row r="231" spans="2:20" x14ac:dyDescent="0.3">
      <c r="B231" s="163">
        <f ca="1">Simulador!A226</f>
        <v>52038</v>
      </c>
      <c r="C231" s="160"/>
      <c r="D231" s="161">
        <f ca="1">Simulador!C226</f>
        <v>193</v>
      </c>
      <c r="E231" s="160"/>
      <c r="F231" s="162" t="str">
        <f ca="1">Simulador!E226</f>
        <v>Retorno</v>
      </c>
      <c r="G231" s="160"/>
      <c r="H231" s="157">
        <f ca="1">Simulador!G226</f>
        <v>5256.8698798279183</v>
      </c>
      <c r="I231" s="160"/>
      <c r="J231" s="157">
        <f ca="1">Simulador!I226</f>
        <v>3618.6590097797452</v>
      </c>
      <c r="K231" s="160"/>
      <c r="L231" s="157">
        <f ca="1">Simulador!K226</f>
        <v>0</v>
      </c>
      <c r="M231" s="160"/>
      <c r="N231" s="157">
        <f ca="1">Simulador!M226</f>
        <v>246.67155270937664</v>
      </c>
      <c r="O231" s="160"/>
      <c r="P231" s="157">
        <f ca="1">Simulador!O226</f>
        <v>75</v>
      </c>
      <c r="Q231" s="160"/>
      <c r="R231" s="157">
        <f ca="1">Simulador!Q226</f>
        <v>9197.2004423170401</v>
      </c>
      <c r="S231" s="160"/>
      <c r="T231" s="157">
        <f ca="1">Simulador!S226</f>
        <v>324567.83251233766</v>
      </c>
    </row>
    <row r="232" spans="2:20" x14ac:dyDescent="0.3">
      <c r="B232" s="163">
        <f ca="1">Simulador!A227</f>
        <v>52068</v>
      </c>
      <c r="C232" s="160"/>
      <c r="D232" s="161">
        <f ca="1">Simulador!C227</f>
        <v>194</v>
      </c>
      <c r="E232" s="160"/>
      <c r="F232" s="162" t="str">
        <f ca="1">Simulador!E227</f>
        <v>Retorno</v>
      </c>
      <c r="G232" s="160"/>
      <c r="H232" s="157">
        <f ca="1">Simulador!G227</f>
        <v>5314.5454250975999</v>
      </c>
      <c r="I232" s="160"/>
      <c r="J232" s="157">
        <f ca="1">Simulador!I227</f>
        <v>3560.9834645100636</v>
      </c>
      <c r="K232" s="160"/>
      <c r="L232" s="157">
        <f ca="1">Simulador!K227</f>
        <v>0</v>
      </c>
      <c r="M232" s="160"/>
      <c r="N232" s="157">
        <f ca="1">Simulador!M227</f>
        <v>242.63249818630248</v>
      </c>
      <c r="O232" s="160"/>
      <c r="P232" s="157">
        <f ca="1">Simulador!O227</f>
        <v>75</v>
      </c>
      <c r="Q232" s="160"/>
      <c r="R232" s="157">
        <f ca="1">Simulador!Q227</f>
        <v>9193.1613877939653</v>
      </c>
      <c r="S232" s="160"/>
      <c r="T232" s="157">
        <f ca="1">Simulador!S227</f>
        <v>319253.28708724008</v>
      </c>
    </row>
    <row r="233" spans="2:20" x14ac:dyDescent="0.3">
      <c r="B233" s="163">
        <f ca="1">Simulador!A228</f>
        <v>52099</v>
      </c>
      <c r="C233" s="160"/>
      <c r="D233" s="161">
        <f ca="1">Simulador!C228</f>
        <v>195</v>
      </c>
      <c r="E233" s="160"/>
      <c r="F233" s="162" t="str">
        <f ca="1">Simulador!E228</f>
        <v>Retorno</v>
      </c>
      <c r="G233" s="160"/>
      <c r="H233" s="157">
        <f ca="1">Simulador!G228</f>
        <v>5372.8537553891911</v>
      </c>
      <c r="I233" s="160"/>
      <c r="J233" s="157">
        <f ca="1">Simulador!I228</f>
        <v>3502.6751342184725</v>
      </c>
      <c r="K233" s="160"/>
      <c r="L233" s="157">
        <f ca="1">Simulador!K228</f>
        <v>0</v>
      </c>
      <c r="M233" s="160"/>
      <c r="N233" s="157">
        <f ca="1">Simulador!M228</f>
        <v>238.54912933220672</v>
      </c>
      <c r="O233" s="160"/>
      <c r="P233" s="157">
        <f ca="1">Simulador!O228</f>
        <v>75</v>
      </c>
      <c r="Q233" s="160"/>
      <c r="R233" s="157">
        <f ca="1">Simulador!Q228</f>
        <v>9189.0780189398702</v>
      </c>
      <c r="S233" s="160"/>
      <c r="T233" s="157">
        <f ca="1">Simulador!S228</f>
        <v>313880.43333185092</v>
      </c>
    </row>
    <row r="234" spans="2:20" x14ac:dyDescent="0.3">
      <c r="B234" s="163">
        <f ca="1">Simulador!A229</f>
        <v>52130</v>
      </c>
      <c r="C234" s="160"/>
      <c r="D234" s="161">
        <f ca="1">Simulador!C229</f>
        <v>196</v>
      </c>
      <c r="E234" s="160"/>
      <c r="F234" s="162" t="str">
        <f ca="1">Simulador!E229</f>
        <v>Retorno</v>
      </c>
      <c r="G234" s="160"/>
      <c r="H234" s="157">
        <f ca="1">Simulador!G229</f>
        <v>5431.8018132791876</v>
      </c>
      <c r="I234" s="160"/>
      <c r="J234" s="157">
        <f ca="1">Simulador!I229</f>
        <v>3443.727076328476</v>
      </c>
      <c r="K234" s="160"/>
      <c r="L234" s="157">
        <f ca="1">Simulador!K229</f>
        <v>0</v>
      </c>
      <c r="M234" s="160"/>
      <c r="N234" s="157">
        <f ca="1">Simulador!M229</f>
        <v>234.42095995411455</v>
      </c>
      <c r="O234" s="160"/>
      <c r="P234" s="157">
        <f ca="1">Simulador!O229</f>
        <v>75</v>
      </c>
      <c r="Q234" s="160"/>
      <c r="R234" s="157">
        <f ca="1">Simulador!Q229</f>
        <v>9184.9498495617772</v>
      </c>
      <c r="S234" s="160"/>
      <c r="T234" s="157">
        <f ca="1">Simulador!S229</f>
        <v>308448.63151857175</v>
      </c>
    </row>
    <row r="235" spans="2:20" x14ac:dyDescent="0.3">
      <c r="B235" s="163">
        <f ca="1">Simulador!A230</f>
        <v>52160</v>
      </c>
      <c r="C235" s="160"/>
      <c r="D235" s="161">
        <f ca="1">Simulador!C230</f>
        <v>197</v>
      </c>
      <c r="E235" s="160"/>
      <c r="F235" s="162" t="str">
        <f ca="1">Simulador!E230</f>
        <v>Retorno</v>
      </c>
      <c r="G235" s="160"/>
      <c r="H235" s="157">
        <f ca="1">Simulador!G230</f>
        <v>5491.3966175142814</v>
      </c>
      <c r="I235" s="160"/>
      <c r="J235" s="157">
        <f ca="1">Simulador!I230</f>
        <v>3384.1322720933822</v>
      </c>
      <c r="K235" s="160"/>
      <c r="L235" s="157">
        <f ca="1">Simulador!K230</f>
        <v>0</v>
      </c>
      <c r="M235" s="160"/>
      <c r="N235" s="157">
        <f ca="1">Simulador!M230</f>
        <v>230.24749852480372</v>
      </c>
      <c r="O235" s="160"/>
      <c r="P235" s="157">
        <f ca="1">Simulador!O230</f>
        <v>75</v>
      </c>
      <c r="Q235" s="160"/>
      <c r="R235" s="157">
        <f ca="1">Simulador!Q230</f>
        <v>9180.7763881324681</v>
      </c>
      <c r="S235" s="160"/>
      <c r="T235" s="157">
        <f ca="1">Simulador!S230</f>
        <v>302957.2349010575</v>
      </c>
    </row>
    <row r="236" spans="2:20" x14ac:dyDescent="0.3">
      <c r="B236" s="163">
        <f ca="1">Simulador!A231</f>
        <v>52191</v>
      </c>
      <c r="C236" s="160"/>
      <c r="D236" s="161">
        <f ca="1">Simulador!C231</f>
        <v>198</v>
      </c>
      <c r="E236" s="160"/>
      <c r="F236" s="162" t="str">
        <f ca="1">Simulador!E231</f>
        <v>Retorno</v>
      </c>
      <c r="G236" s="160"/>
      <c r="H236" s="157">
        <f ca="1">Simulador!G231</f>
        <v>5551.6452638471055</v>
      </c>
      <c r="I236" s="160"/>
      <c r="J236" s="157">
        <f ca="1">Simulador!I231</f>
        <v>3323.8836257605581</v>
      </c>
      <c r="K236" s="160"/>
      <c r="L236" s="157">
        <f ca="1">Simulador!K231</f>
        <v>0</v>
      </c>
      <c r="M236" s="160"/>
      <c r="N236" s="157">
        <f ca="1">Simulador!M231</f>
        <v>226.02824812427994</v>
      </c>
      <c r="O236" s="160"/>
      <c r="P236" s="157">
        <f ca="1">Simulador!O231</f>
        <v>75</v>
      </c>
      <c r="Q236" s="160"/>
      <c r="R236" s="157">
        <f ca="1">Simulador!Q231</f>
        <v>9176.5571377319429</v>
      </c>
      <c r="S236" s="160"/>
      <c r="T236" s="157">
        <f ca="1">Simulador!S231</f>
        <v>297405.58963721042</v>
      </c>
    </row>
    <row r="237" spans="2:20" x14ac:dyDescent="0.3">
      <c r="B237" s="163">
        <f ca="1">Simulador!A232</f>
        <v>52221</v>
      </c>
      <c r="C237" s="160"/>
      <c r="D237" s="161">
        <f ca="1">Simulador!C232</f>
        <v>199</v>
      </c>
      <c r="E237" s="160"/>
      <c r="F237" s="162" t="str">
        <f ca="1">Simulador!E232</f>
        <v>Retorno</v>
      </c>
      <c r="G237" s="160"/>
      <c r="H237" s="157">
        <f ca="1">Simulador!G232</f>
        <v>5612.5549258809442</v>
      </c>
      <c r="I237" s="160"/>
      <c r="J237" s="157">
        <f ca="1">Simulador!I232</f>
        <v>3262.9739637267194</v>
      </c>
      <c r="K237" s="160"/>
      <c r="L237" s="157">
        <f ca="1">Simulador!K232</f>
        <v>0</v>
      </c>
      <c r="M237" s="160"/>
      <c r="N237" s="157">
        <f ca="1">Simulador!M232</f>
        <v>221.76270638061044</v>
      </c>
      <c r="O237" s="160"/>
      <c r="P237" s="157">
        <f ca="1">Simulador!O232</f>
        <v>75</v>
      </c>
      <c r="Q237" s="160"/>
      <c r="R237" s="157">
        <f ca="1">Simulador!Q232</f>
        <v>9172.2915959882739</v>
      </c>
      <c r="S237" s="160"/>
      <c r="T237" s="157">
        <f ca="1">Simulador!S232</f>
        <v>291793.0347113295</v>
      </c>
    </row>
    <row r="238" spans="2:20" x14ac:dyDescent="0.3">
      <c r="B238" s="163">
        <f ca="1">Simulador!A233</f>
        <v>52252</v>
      </c>
      <c r="C238" s="160"/>
      <c r="D238" s="161">
        <f ca="1">Simulador!C233</f>
        <v>200</v>
      </c>
      <c r="E238" s="160"/>
      <c r="F238" s="162" t="str">
        <f ca="1">Simulador!E233</f>
        <v>Retorno</v>
      </c>
      <c r="G238" s="160"/>
      <c r="H238" s="157">
        <f ca="1">Simulador!G233</f>
        <v>5674.1328559241629</v>
      </c>
      <c r="I238" s="160"/>
      <c r="J238" s="157">
        <f ca="1">Simulador!I233</f>
        <v>3201.3960336835007</v>
      </c>
      <c r="K238" s="160"/>
      <c r="L238" s="157">
        <f ca="1">Simulador!K233</f>
        <v>0</v>
      </c>
      <c r="M238" s="160"/>
      <c r="N238" s="157">
        <f ca="1">Simulador!M233</f>
        <v>217.45036541010808</v>
      </c>
      <c r="O238" s="160"/>
      <c r="P238" s="157">
        <f ca="1">Simulador!O233</f>
        <v>75</v>
      </c>
      <c r="Q238" s="160"/>
      <c r="R238" s="157">
        <f ca="1">Simulador!Q233</f>
        <v>9167.9792550177717</v>
      </c>
      <c r="S238" s="160"/>
      <c r="T238" s="157">
        <f ca="1">Simulador!S233</f>
        <v>286118.90185540536</v>
      </c>
    </row>
    <row r="239" spans="2:20" x14ac:dyDescent="0.3">
      <c r="B239" s="163">
        <f ca="1">Simulador!A234</f>
        <v>52283</v>
      </c>
      <c r="C239" s="160"/>
      <c r="D239" s="161">
        <f ca="1">Simulador!C234</f>
        <v>201</v>
      </c>
      <c r="E239" s="160"/>
      <c r="F239" s="162" t="str">
        <f ca="1">Simulador!E234</f>
        <v>Retorno</v>
      </c>
      <c r="G239" s="160"/>
      <c r="H239" s="157">
        <f ca="1">Simulador!G234</f>
        <v>5736.3863858533696</v>
      </c>
      <c r="I239" s="160"/>
      <c r="J239" s="157">
        <f ca="1">Simulador!I234</f>
        <v>3139.142503754294</v>
      </c>
      <c r="K239" s="160"/>
      <c r="L239" s="157">
        <f ca="1">Simulador!K234</f>
        <v>0</v>
      </c>
      <c r="M239" s="160"/>
      <c r="N239" s="157">
        <f ca="1">Simulador!M234</f>
        <v>213.09071175685955</v>
      </c>
      <c r="O239" s="160"/>
      <c r="P239" s="157">
        <f ca="1">Simulador!O234</f>
        <v>75</v>
      </c>
      <c r="Q239" s="160"/>
      <c r="R239" s="157">
        <f ca="1">Simulador!Q234</f>
        <v>9163.619601364524</v>
      </c>
      <c r="S239" s="160"/>
      <c r="T239" s="157">
        <f ca="1">Simulador!S234</f>
        <v>280382.51546955202</v>
      </c>
    </row>
    <row r="240" spans="2:20" x14ac:dyDescent="0.3">
      <c r="B240" s="163">
        <f ca="1">Simulador!A235</f>
        <v>52311</v>
      </c>
      <c r="C240" s="160"/>
      <c r="D240" s="161">
        <f ca="1">Simulador!C235</f>
        <v>202</v>
      </c>
      <c r="E240" s="160"/>
      <c r="F240" s="162" t="str">
        <f ca="1">Simulador!E235</f>
        <v>Retorno</v>
      </c>
      <c r="G240" s="160"/>
      <c r="H240" s="157">
        <f ca="1">Simulador!G235</f>
        <v>5799.322927986821</v>
      </c>
      <c r="I240" s="160"/>
      <c r="J240" s="157">
        <f ca="1">Simulador!I235</f>
        <v>3076.2059616208426</v>
      </c>
      <c r="K240" s="160"/>
      <c r="L240" s="157">
        <f ca="1">Simulador!K235</f>
        <v>0</v>
      </c>
      <c r="M240" s="160"/>
      <c r="N240" s="157">
        <f ca="1">Simulador!M235</f>
        <v>208.68322633158959</v>
      </c>
      <c r="O240" s="160"/>
      <c r="P240" s="157">
        <f ca="1">Simulador!O235</f>
        <v>75</v>
      </c>
      <c r="Q240" s="160"/>
      <c r="R240" s="157">
        <f ca="1">Simulador!Q235</f>
        <v>9159.2121159392536</v>
      </c>
      <c r="S240" s="160"/>
      <c r="T240" s="157">
        <f ca="1">Simulador!S235</f>
        <v>274583.19254156522</v>
      </c>
    </row>
    <row r="241" spans="2:20" x14ac:dyDescent="0.3">
      <c r="B241" s="163">
        <f ca="1">Simulador!A236</f>
        <v>52342</v>
      </c>
      <c r="C241" s="160"/>
      <c r="D241" s="161">
        <f ca="1">Simulador!C236</f>
        <v>203</v>
      </c>
      <c r="E241" s="160"/>
      <c r="F241" s="162" t="str">
        <f ca="1">Simulador!E236</f>
        <v>Retorno</v>
      </c>
      <c r="G241" s="160"/>
      <c r="H241" s="157">
        <f ca="1">Simulador!G236</f>
        <v>5862.9499759664432</v>
      </c>
      <c r="I241" s="160"/>
      <c r="J241" s="157">
        <f ca="1">Simulador!I236</f>
        <v>3012.5789136412204</v>
      </c>
      <c r="K241" s="160"/>
      <c r="L241" s="157">
        <f ca="1">Simulador!K236</f>
        <v>0</v>
      </c>
      <c r="M241" s="160"/>
      <c r="N241" s="157">
        <f ca="1">Simulador!M236</f>
        <v>204.2273843498551</v>
      </c>
      <c r="O241" s="160"/>
      <c r="P241" s="157">
        <f ca="1">Simulador!O236</f>
        <v>75</v>
      </c>
      <c r="Q241" s="160"/>
      <c r="R241" s="157">
        <f ca="1">Simulador!Q236</f>
        <v>9154.7562739575187</v>
      </c>
      <c r="S241" s="160"/>
      <c r="T241" s="157">
        <f ca="1">Simulador!S236</f>
        <v>268720.2425655988</v>
      </c>
    </row>
    <row r="242" spans="2:20" x14ac:dyDescent="0.3">
      <c r="B242" s="163">
        <f ca="1">Simulador!A237</f>
        <v>52372</v>
      </c>
      <c r="C242" s="160"/>
      <c r="D242" s="161">
        <f ca="1">Simulador!C237</f>
        <v>204</v>
      </c>
      <c r="E242" s="160"/>
      <c r="F242" s="162" t="str">
        <f ca="1">Simulador!E237</f>
        <v>Retorno</v>
      </c>
      <c r="G242" s="160"/>
      <c r="H242" s="157">
        <f ca="1">Simulador!G237</f>
        <v>5927.2751056506204</v>
      </c>
      <c r="I242" s="160"/>
      <c r="J242" s="157">
        <f ca="1">Simulador!I237</f>
        <v>2948.2537839570432</v>
      </c>
      <c r="K242" s="160"/>
      <c r="L242" s="157">
        <f ca="1">Simulador!K237</f>
        <v>0</v>
      </c>
      <c r="M242" s="160"/>
      <c r="N242" s="157">
        <f ca="1">Simulador!M237</f>
        <v>199.72265526956065</v>
      </c>
      <c r="O242" s="160"/>
      <c r="P242" s="157">
        <f ca="1">Simulador!O237</f>
        <v>75</v>
      </c>
      <c r="Q242" s="160"/>
      <c r="R242" s="157">
        <f ca="1">Simulador!Q237</f>
        <v>9150.2515448772247</v>
      </c>
      <c r="S242" s="160"/>
      <c r="T242" s="157">
        <f ca="1">Simulador!S237</f>
        <v>262792.96745994821</v>
      </c>
    </row>
    <row r="243" spans="2:20" x14ac:dyDescent="0.3">
      <c r="B243" s="163">
        <f ca="1">Simulador!A238</f>
        <v>52403</v>
      </c>
      <c r="C243" s="160"/>
      <c r="D243" s="161">
        <f ca="1">Simulador!C238</f>
        <v>205</v>
      </c>
      <c r="E243" s="160"/>
      <c r="F243" s="162" t="str">
        <f ca="1">Simulador!E238</f>
        <v>Retorno</v>
      </c>
      <c r="G243" s="160"/>
      <c r="H243" s="157">
        <f ca="1">Simulador!G238</f>
        <v>5992.3059760158321</v>
      </c>
      <c r="I243" s="160"/>
      <c r="J243" s="157">
        <f ca="1">Simulador!I238</f>
        <v>2883.2229135918315</v>
      </c>
      <c r="K243" s="160"/>
      <c r="L243" s="157">
        <f ca="1">Simulador!K238</f>
        <v>0</v>
      </c>
      <c r="M243" s="160"/>
      <c r="N243" s="157">
        <f ca="1">Simulador!M238</f>
        <v>195.16850272778862</v>
      </c>
      <c r="O243" s="160"/>
      <c r="P243" s="157">
        <f ca="1">Simulador!O238</f>
        <v>75</v>
      </c>
      <c r="Q243" s="160"/>
      <c r="R243" s="157">
        <f ca="1">Simulador!Q238</f>
        <v>9145.6973923354526</v>
      </c>
      <c r="S243" s="160"/>
      <c r="T243" s="157">
        <f ca="1">Simulador!S238</f>
        <v>256800.66148393237</v>
      </c>
    </row>
    <row r="244" spans="2:20" x14ac:dyDescent="0.3">
      <c r="B244" s="163">
        <f ca="1">Simulador!A239</f>
        <v>52433</v>
      </c>
      <c r="C244" s="160"/>
      <c r="D244" s="161">
        <f ca="1">Simulador!C239</f>
        <v>206</v>
      </c>
      <c r="E244" s="160"/>
      <c r="F244" s="162" t="str">
        <f ca="1">Simulador!E239</f>
        <v>Retorno</v>
      </c>
      <c r="G244" s="160"/>
      <c r="H244" s="157">
        <f ca="1">Simulador!G239</f>
        <v>6058.0503300687378</v>
      </c>
      <c r="I244" s="160"/>
      <c r="J244" s="157">
        <f ca="1">Simulador!I239</f>
        <v>2817.4785595389258</v>
      </c>
      <c r="K244" s="160"/>
      <c r="L244" s="157">
        <f ca="1">Simulador!K239</f>
        <v>0</v>
      </c>
      <c r="M244" s="160"/>
      <c r="N244" s="157">
        <f ca="1">Simulador!M239</f>
        <v>190.56438447693637</v>
      </c>
      <c r="O244" s="160"/>
      <c r="P244" s="157">
        <f ca="1">Simulador!O239</f>
        <v>75</v>
      </c>
      <c r="Q244" s="160"/>
      <c r="R244" s="157">
        <f ca="1">Simulador!Q239</f>
        <v>9141.0932740846001</v>
      </c>
      <c r="S244" s="160"/>
      <c r="T244" s="157">
        <f ca="1">Simulador!S239</f>
        <v>250742.61115386363</v>
      </c>
    </row>
    <row r="245" spans="2:20" x14ac:dyDescent="0.3">
      <c r="B245" s="163">
        <f ca="1">Simulador!A240</f>
        <v>52464</v>
      </c>
      <c r="C245" s="160"/>
      <c r="D245" s="161">
        <f ca="1">Simulador!C240</f>
        <v>207</v>
      </c>
      <c r="E245" s="160"/>
      <c r="F245" s="162" t="str">
        <f ca="1">Simulador!E240</f>
        <v>Retorno</v>
      </c>
      <c r="G245" s="160"/>
      <c r="H245" s="157">
        <f ca="1">Simulador!G240</f>
        <v>6124.5159957681572</v>
      </c>
      <c r="I245" s="160"/>
      <c r="J245" s="157">
        <f ca="1">Simulador!I240</f>
        <v>2751.0128938395064</v>
      </c>
      <c r="K245" s="160"/>
      <c r="L245" s="157">
        <f ca="1">Simulador!K240</f>
        <v>0</v>
      </c>
      <c r="M245" s="160"/>
      <c r="N245" s="157">
        <f ca="1">Simulador!M240</f>
        <v>185.90975232015256</v>
      </c>
      <c r="O245" s="160"/>
      <c r="P245" s="157">
        <f ca="1">Simulador!O240</f>
        <v>75</v>
      </c>
      <c r="Q245" s="160"/>
      <c r="R245" s="157">
        <f ca="1">Simulador!Q240</f>
        <v>9136.4386419278162</v>
      </c>
      <c r="S245" s="160"/>
      <c r="T245" s="157">
        <f ca="1">Simulador!S240</f>
        <v>244618.09515809547</v>
      </c>
    </row>
    <row r="246" spans="2:20" x14ac:dyDescent="0.3">
      <c r="B246" s="163">
        <f ca="1">Simulador!A241</f>
        <v>52495</v>
      </c>
      <c r="C246" s="160"/>
      <c r="D246" s="161">
        <f ca="1">Simulador!C241</f>
        <v>208</v>
      </c>
      <c r="E246" s="160"/>
      <c r="F246" s="162" t="str">
        <f ca="1">Simulador!E241</f>
        <v>Retorno</v>
      </c>
      <c r="G246" s="160"/>
      <c r="H246" s="157">
        <f ca="1">Simulador!G241</f>
        <v>6191.7108869569747</v>
      </c>
      <c r="I246" s="160"/>
      <c r="J246" s="157">
        <f ca="1">Simulador!I241</f>
        <v>2683.8180026506889</v>
      </c>
      <c r="K246" s="160"/>
      <c r="L246" s="157">
        <f ca="1">Simulador!K241</f>
        <v>0</v>
      </c>
      <c r="M246" s="160"/>
      <c r="N246" s="157">
        <f ca="1">Simulador!M241</f>
        <v>223.14325303935851</v>
      </c>
      <c r="O246" s="160"/>
      <c r="P246" s="157">
        <f ca="1">Simulador!O241</f>
        <v>75</v>
      </c>
      <c r="Q246" s="160"/>
      <c r="R246" s="157">
        <f ca="1">Simulador!Q241</f>
        <v>9173.6721426470212</v>
      </c>
      <c r="S246" s="160"/>
      <c r="T246" s="157">
        <f ca="1">Simulador!S241</f>
        <v>238426.38427113849</v>
      </c>
    </row>
    <row r="247" spans="2:20" x14ac:dyDescent="0.3">
      <c r="B247" s="163">
        <f ca="1">Simulador!A242</f>
        <v>52525</v>
      </c>
      <c r="C247" s="160"/>
      <c r="D247" s="161">
        <f ca="1">Simulador!C242</f>
        <v>209</v>
      </c>
      <c r="E247" s="160"/>
      <c r="F247" s="162" t="str">
        <f ca="1">Simulador!E242</f>
        <v>Retorno</v>
      </c>
      <c r="G247" s="160"/>
      <c r="H247" s="157">
        <f ca="1">Simulador!G242</f>
        <v>6259.6430043045511</v>
      </c>
      <c r="I247" s="160"/>
      <c r="J247" s="157">
        <f ca="1">Simulador!I242</f>
        <v>2615.8858853031124</v>
      </c>
      <c r="K247" s="160"/>
      <c r="L247" s="157">
        <f ca="1">Simulador!K242</f>
        <v>0</v>
      </c>
      <c r="M247" s="160"/>
      <c r="N247" s="157">
        <f ca="1">Simulador!M242</f>
        <v>217.2848531516299</v>
      </c>
      <c r="O247" s="160"/>
      <c r="P247" s="157">
        <f ca="1">Simulador!O242</f>
        <v>75</v>
      </c>
      <c r="Q247" s="160"/>
      <c r="R247" s="157">
        <f ca="1">Simulador!Q242</f>
        <v>9167.8137427592937</v>
      </c>
      <c r="S247" s="160"/>
      <c r="T247" s="157">
        <f ca="1">Simulador!S242</f>
        <v>232166.74126683394</v>
      </c>
    </row>
    <row r="248" spans="2:20" x14ac:dyDescent="0.3">
      <c r="B248" s="163">
        <f ca="1">Simulador!A243</f>
        <v>52556</v>
      </c>
      <c r="C248" s="160"/>
      <c r="D248" s="161">
        <f ca="1">Simulador!C243</f>
        <v>210</v>
      </c>
      <c r="E248" s="160"/>
      <c r="F248" s="162" t="str">
        <f ca="1">Simulador!E243</f>
        <v>Retorno</v>
      </c>
      <c r="G248" s="160"/>
      <c r="H248" s="157">
        <f ca="1">Simulador!G243</f>
        <v>6328.3204362592915</v>
      </c>
      <c r="I248" s="160"/>
      <c r="J248" s="157">
        <f ca="1">Simulador!I243</f>
        <v>2547.2084533483721</v>
      </c>
      <c r="K248" s="160"/>
      <c r="L248" s="157">
        <f ca="1">Simulador!K243</f>
        <v>0</v>
      </c>
      <c r="M248" s="160"/>
      <c r="N248" s="157">
        <f ca="1">Simulador!M243</f>
        <v>211.36217805533482</v>
      </c>
      <c r="O248" s="160"/>
      <c r="P248" s="157">
        <f ca="1">Simulador!O243</f>
        <v>75</v>
      </c>
      <c r="Q248" s="160"/>
      <c r="R248" s="157">
        <f ca="1">Simulador!Q243</f>
        <v>9161.8910676629985</v>
      </c>
      <c r="S248" s="160"/>
      <c r="T248" s="157">
        <f ca="1">Simulador!S243</f>
        <v>225838.42083057464</v>
      </c>
    </row>
    <row r="249" spans="2:20" x14ac:dyDescent="0.3">
      <c r="B249" s="163">
        <f ca="1">Simulador!A244</f>
        <v>52586</v>
      </c>
      <c r="C249" s="160"/>
      <c r="D249" s="161">
        <f ca="1">Simulador!C244</f>
        <v>211</v>
      </c>
      <c r="E249" s="160"/>
      <c r="F249" s="162" t="str">
        <f ca="1">Simulador!E244</f>
        <v>Retorno</v>
      </c>
      <c r="G249" s="160"/>
      <c r="H249" s="157">
        <f ca="1">Simulador!G244</f>
        <v>6397.7513600116908</v>
      </c>
      <c r="I249" s="160"/>
      <c r="J249" s="157">
        <f ca="1">Simulador!I244</f>
        <v>2477.7775295959727</v>
      </c>
      <c r="K249" s="160"/>
      <c r="L249" s="157">
        <f ca="1">Simulador!K244</f>
        <v>0</v>
      </c>
      <c r="M249" s="160"/>
      <c r="N249" s="157">
        <f ca="1">Simulador!M244</f>
        <v>205.37452255749986</v>
      </c>
      <c r="O249" s="160"/>
      <c r="P249" s="157">
        <f ca="1">Simulador!O244</f>
        <v>75</v>
      </c>
      <c r="Q249" s="160"/>
      <c r="R249" s="157">
        <f ca="1">Simulador!Q244</f>
        <v>9155.9034121651639</v>
      </c>
      <c r="S249" s="160"/>
      <c r="T249" s="157">
        <f ca="1">Simulador!S244</f>
        <v>219440.66947056295</v>
      </c>
    </row>
    <row r="250" spans="2:20" x14ac:dyDescent="0.3">
      <c r="B250" s="163">
        <f ca="1">Simulador!A245</f>
        <v>52617</v>
      </c>
      <c r="C250" s="160"/>
      <c r="D250" s="161">
        <f ca="1">Simulador!C245</f>
        <v>212</v>
      </c>
      <c r="E250" s="160"/>
      <c r="F250" s="162" t="str">
        <f ca="1">Simulador!E245</f>
        <v>Retorno</v>
      </c>
      <c r="G250" s="160"/>
      <c r="H250" s="157">
        <f ca="1">Simulador!G245</f>
        <v>6467.944042467916</v>
      </c>
      <c r="I250" s="160"/>
      <c r="J250" s="157">
        <f ca="1">Simulador!I245</f>
        <v>2407.5848471397476</v>
      </c>
      <c r="K250" s="160"/>
      <c r="L250" s="157">
        <f ca="1">Simulador!K245</f>
        <v>0</v>
      </c>
      <c r="M250" s="160"/>
      <c r="N250" s="157">
        <f ca="1">Simulador!M245</f>
        <v>199.32117372815415</v>
      </c>
      <c r="O250" s="160"/>
      <c r="P250" s="157">
        <f ca="1">Simulador!O245</f>
        <v>75</v>
      </c>
      <c r="Q250" s="160"/>
      <c r="R250" s="157">
        <f ca="1">Simulador!Q245</f>
        <v>9149.850063335818</v>
      </c>
      <c r="S250" s="160"/>
      <c r="T250" s="157">
        <f ca="1">Simulador!S245</f>
        <v>212972.72542809503</v>
      </c>
    </row>
    <row r="251" spans="2:20" x14ac:dyDescent="0.3">
      <c r="B251" s="163">
        <f ca="1">Simulador!A246</f>
        <v>52648</v>
      </c>
      <c r="C251" s="160"/>
      <c r="D251" s="161">
        <f ca="1">Simulador!C246</f>
        <v>213</v>
      </c>
      <c r="E251" s="160"/>
      <c r="F251" s="162" t="str">
        <f ca="1">Simulador!E246</f>
        <v>Retorno</v>
      </c>
      <c r="G251" s="160"/>
      <c r="H251" s="157">
        <f ca="1">Simulador!G246</f>
        <v>6538.9068412342713</v>
      </c>
      <c r="I251" s="160"/>
      <c r="J251" s="157">
        <f ca="1">Simulador!I246</f>
        <v>2336.6220483733923</v>
      </c>
      <c r="K251" s="160"/>
      <c r="L251" s="157">
        <f ca="1">Simulador!K246</f>
        <v>0</v>
      </c>
      <c r="M251" s="160"/>
      <c r="N251" s="157">
        <f ca="1">Simulador!M246</f>
        <v>193.20141081544298</v>
      </c>
      <c r="O251" s="160"/>
      <c r="P251" s="157">
        <f ca="1">Simulador!O246</f>
        <v>75</v>
      </c>
      <c r="Q251" s="160"/>
      <c r="R251" s="157">
        <f ca="1">Simulador!Q246</f>
        <v>9143.7303004231071</v>
      </c>
      <c r="S251" s="160"/>
      <c r="T251" s="157">
        <f ca="1">Simulador!S246</f>
        <v>206433.81858686075</v>
      </c>
    </row>
    <row r="252" spans="2:20" x14ac:dyDescent="0.3">
      <c r="B252" s="163">
        <f ca="1">Simulador!A247</f>
        <v>52677</v>
      </c>
      <c r="C252" s="160"/>
      <c r="D252" s="161">
        <f ca="1">Simulador!C247</f>
        <v>214</v>
      </c>
      <c r="E252" s="160"/>
      <c r="F252" s="162" t="str">
        <f ca="1">Simulador!E247</f>
        <v>Retorno</v>
      </c>
      <c r="G252" s="160"/>
      <c r="H252" s="157">
        <f ca="1">Simulador!G247</f>
        <v>6610.6482056121422</v>
      </c>
      <c r="I252" s="160"/>
      <c r="J252" s="157">
        <f ca="1">Simulador!I247</f>
        <v>2264.8806839955214</v>
      </c>
      <c r="K252" s="160"/>
      <c r="L252" s="157">
        <f ca="1">Simulador!K247</f>
        <v>0</v>
      </c>
      <c r="M252" s="160"/>
      <c r="N252" s="157">
        <f ca="1">Simulador!M247</f>
        <v>187.01450515981057</v>
      </c>
      <c r="O252" s="160"/>
      <c r="P252" s="157">
        <f ca="1">Simulador!O247</f>
        <v>75</v>
      </c>
      <c r="Q252" s="160"/>
      <c r="R252" s="157">
        <f ca="1">Simulador!Q247</f>
        <v>9137.5433947674737</v>
      </c>
      <c r="S252" s="160"/>
      <c r="T252" s="157">
        <f ca="1">Simulador!S247</f>
        <v>199823.17038124861</v>
      </c>
    </row>
    <row r="253" spans="2:20" x14ac:dyDescent="0.3">
      <c r="B253" s="163">
        <f ca="1">Simulador!A248</f>
        <v>52708</v>
      </c>
      <c r="C253" s="160"/>
      <c r="D253" s="161">
        <f ca="1">Simulador!C248</f>
        <v>215</v>
      </c>
      <c r="E253" s="160"/>
      <c r="F253" s="162" t="str">
        <f ca="1">Simulador!E248</f>
        <v>Retorno</v>
      </c>
      <c r="G253" s="160"/>
      <c r="H253" s="157">
        <f ca="1">Simulador!G248</f>
        <v>6683.1766776041732</v>
      </c>
      <c r="I253" s="160"/>
      <c r="J253" s="157">
        <f ca="1">Simulador!I248</f>
        <v>2192.3522120034904</v>
      </c>
      <c r="K253" s="160"/>
      <c r="L253" s="157">
        <f ca="1">Simulador!K248</f>
        <v>0</v>
      </c>
      <c r="M253" s="160"/>
      <c r="N253" s="157">
        <f ca="1">Simulador!M248</f>
        <v>180.75972010724084</v>
      </c>
      <c r="O253" s="160"/>
      <c r="P253" s="157">
        <f ca="1">Simulador!O248</f>
        <v>75</v>
      </c>
      <c r="Q253" s="160"/>
      <c r="R253" s="157">
        <f ca="1">Simulador!Q248</f>
        <v>9131.2886097149039</v>
      </c>
      <c r="S253" s="160"/>
      <c r="T253" s="157">
        <f ca="1">Simulador!S248</f>
        <v>193139.99370364443</v>
      </c>
    </row>
    <row r="254" spans="2:20" x14ac:dyDescent="0.3">
      <c r="B254" s="163">
        <f ca="1">Simulador!A249</f>
        <v>52738</v>
      </c>
      <c r="C254" s="160"/>
      <c r="D254" s="161">
        <f ca="1">Simulador!C249</f>
        <v>216</v>
      </c>
      <c r="E254" s="160"/>
      <c r="F254" s="162" t="str">
        <f ca="1">Simulador!E249</f>
        <v>Retorno</v>
      </c>
      <c r="G254" s="160"/>
      <c r="H254" s="157">
        <f ca="1">Simulador!G249</f>
        <v>6756.5008929311552</v>
      </c>
      <c r="I254" s="160"/>
      <c r="J254" s="157">
        <f ca="1">Simulador!I249</f>
        <v>2119.0279966765083</v>
      </c>
      <c r="K254" s="160"/>
      <c r="L254" s="157">
        <f ca="1">Simulador!K249</f>
        <v>0</v>
      </c>
      <c r="M254" s="160"/>
      <c r="N254" s="157">
        <f ca="1">Simulador!M249</f>
        <v>174.43631092154655</v>
      </c>
      <c r="O254" s="160"/>
      <c r="P254" s="157">
        <f ca="1">Simulador!O249</f>
        <v>75</v>
      </c>
      <c r="Q254" s="160"/>
      <c r="R254" s="157">
        <f ca="1">Simulador!Q249</f>
        <v>9124.9652005292101</v>
      </c>
      <c r="S254" s="160"/>
      <c r="T254" s="157">
        <f ca="1">Simulador!S249</f>
        <v>186383.49281071327</v>
      </c>
    </row>
    <row r="255" spans="2:20" x14ac:dyDescent="0.3">
      <c r="B255" s="163">
        <f ca="1">Simulador!A250</f>
        <v>52769</v>
      </c>
      <c r="C255" s="160"/>
      <c r="D255" s="161">
        <f ca="1">Simulador!C250</f>
        <v>217</v>
      </c>
      <c r="E255" s="160"/>
      <c r="F255" s="162" t="str">
        <f ca="1">Simulador!E250</f>
        <v>Retorno</v>
      </c>
      <c r="G255" s="160"/>
      <c r="H255" s="157">
        <f ca="1">Simulador!G250</f>
        <v>6830.6295820604391</v>
      </c>
      <c r="I255" s="160"/>
      <c r="J255" s="157">
        <f ca="1">Simulador!I250</f>
        <v>2044.8993075472245</v>
      </c>
      <c r="K255" s="160"/>
      <c r="L255" s="157">
        <f ca="1">Simulador!K250</f>
        <v>0</v>
      </c>
      <c r="M255" s="160"/>
      <c r="N255" s="157">
        <f ca="1">Simulador!M250</f>
        <v>168.04352469569619</v>
      </c>
      <c r="O255" s="160"/>
      <c r="P255" s="157">
        <f ca="1">Simulador!O250</f>
        <v>75</v>
      </c>
      <c r="Q255" s="160"/>
      <c r="R255" s="157">
        <f ca="1">Simulador!Q250</f>
        <v>9118.5724143033603</v>
      </c>
      <c r="S255" s="160"/>
      <c r="T255" s="157">
        <f ca="1">Simulador!S250</f>
        <v>179552.86322865283</v>
      </c>
    </row>
    <row r="256" spans="2:20" x14ac:dyDescent="0.3">
      <c r="B256" s="163">
        <f ca="1">Simulador!A251</f>
        <v>52799</v>
      </c>
      <c r="C256" s="160"/>
      <c r="D256" s="161">
        <f ca="1">Simulador!C251</f>
        <v>218</v>
      </c>
      <c r="E256" s="160"/>
      <c r="F256" s="162" t="str">
        <f ca="1">Simulador!E251</f>
        <v>Retorno</v>
      </c>
      <c r="G256" s="160"/>
      <c r="H256" s="157">
        <f ca="1">Simulador!G251</f>
        <v>6905.5715712453493</v>
      </c>
      <c r="I256" s="160"/>
      <c r="J256" s="157">
        <f ca="1">Simulador!I251</f>
        <v>1969.9573183623143</v>
      </c>
      <c r="K256" s="160"/>
      <c r="L256" s="157">
        <f ca="1">Simulador!K251</f>
        <v>0</v>
      </c>
      <c r="M256" s="160"/>
      <c r="N256" s="157">
        <f ca="1">Simulador!M251</f>
        <v>161.58060026216765</v>
      </c>
      <c r="O256" s="160"/>
      <c r="P256" s="157">
        <f ca="1">Simulador!O251</f>
        <v>75</v>
      </c>
      <c r="Q256" s="160"/>
      <c r="R256" s="157">
        <f ca="1">Simulador!Q251</f>
        <v>9112.109489869832</v>
      </c>
      <c r="S256" s="160"/>
      <c r="T256" s="157">
        <f ca="1">Simulador!S251</f>
        <v>172647.29165740748</v>
      </c>
    </row>
    <row r="257" spans="2:20" x14ac:dyDescent="0.3">
      <c r="B257" s="163">
        <f ca="1">Simulador!A252</f>
        <v>52830</v>
      </c>
      <c r="C257" s="160"/>
      <c r="D257" s="161">
        <f ca="1">Simulador!C252</f>
        <v>219</v>
      </c>
      <c r="E257" s="160"/>
      <c r="F257" s="162" t="str">
        <f ca="1">Simulador!E252</f>
        <v>Retorno</v>
      </c>
      <c r="G257" s="160"/>
      <c r="H257" s="157">
        <f ca="1">Simulador!G252</f>
        <v>6981.3357835760944</v>
      </c>
      <c r="I257" s="160"/>
      <c r="J257" s="157">
        <f ca="1">Simulador!I252</f>
        <v>1894.1931060315692</v>
      </c>
      <c r="K257" s="160"/>
      <c r="L257" s="157">
        <f ca="1">Simulador!K252</f>
        <v>0</v>
      </c>
      <c r="M257" s="160"/>
      <c r="N257" s="157">
        <f ca="1">Simulador!M252</f>
        <v>155.04676810231879</v>
      </c>
      <c r="O257" s="160"/>
      <c r="P257" s="157">
        <f ca="1">Simulador!O252</f>
        <v>75</v>
      </c>
      <c r="Q257" s="160"/>
      <c r="R257" s="157">
        <f ca="1">Simulador!Q252</f>
        <v>9105.5756577099819</v>
      </c>
      <c r="S257" s="160"/>
      <c r="T257" s="157">
        <f ca="1">Simulador!S252</f>
        <v>165665.95587383138</v>
      </c>
    </row>
    <row r="258" spans="2:20" x14ac:dyDescent="0.3">
      <c r="B258" s="163">
        <f ca="1">Simulador!A253</f>
        <v>52861</v>
      </c>
      <c r="C258" s="160"/>
      <c r="D258" s="161">
        <f ca="1">Simulador!C253</f>
        <v>220</v>
      </c>
      <c r="E258" s="160"/>
      <c r="F258" s="162" t="str">
        <f ca="1">Simulador!E253</f>
        <v>Retorno</v>
      </c>
      <c r="G258" s="160"/>
      <c r="H258" s="157">
        <f ca="1">Simulador!G253</f>
        <v>7057.9312400422314</v>
      </c>
      <c r="I258" s="160"/>
      <c r="J258" s="157">
        <f ca="1">Simulador!I253</f>
        <v>1817.5976495654322</v>
      </c>
      <c r="K258" s="160"/>
      <c r="L258" s="157">
        <f ca="1">Simulador!K253</f>
        <v>0</v>
      </c>
      <c r="M258" s="160"/>
      <c r="N258" s="157">
        <f ca="1">Simulador!M253</f>
        <v>148.44125025476328</v>
      </c>
      <c r="O258" s="160"/>
      <c r="P258" s="157">
        <f ca="1">Simulador!O253</f>
        <v>75</v>
      </c>
      <c r="Q258" s="160"/>
      <c r="R258" s="157">
        <f ca="1">Simulador!Q253</f>
        <v>9098.9701398624275</v>
      </c>
      <c r="S258" s="160"/>
      <c r="T258" s="157">
        <f ca="1">Simulador!S253</f>
        <v>158608.02463378914</v>
      </c>
    </row>
    <row r="259" spans="2:20" x14ac:dyDescent="0.3">
      <c r="B259" s="163">
        <f ca="1">Simulador!A254</f>
        <v>52891</v>
      </c>
      <c r="C259" s="160"/>
      <c r="D259" s="161">
        <f ca="1">Simulador!C254</f>
        <v>221</v>
      </c>
      <c r="E259" s="160"/>
      <c r="F259" s="162" t="str">
        <f ca="1">Simulador!E254</f>
        <v>Retorno</v>
      </c>
      <c r="G259" s="160"/>
      <c r="H259" s="157">
        <f ca="1">Simulador!G254</f>
        <v>7135.3670606067717</v>
      </c>
      <c r="I259" s="160"/>
      <c r="J259" s="157">
        <f ca="1">Simulador!I254</f>
        <v>1740.1618290008919</v>
      </c>
      <c r="K259" s="160"/>
      <c r="L259" s="157">
        <f ca="1">Simulador!K254</f>
        <v>0</v>
      </c>
      <c r="M259" s="160"/>
      <c r="N259" s="157">
        <f ca="1">Simulador!M254</f>
        <v>141.76326022274139</v>
      </c>
      <c r="O259" s="160"/>
      <c r="P259" s="157">
        <f ca="1">Simulador!O254</f>
        <v>75</v>
      </c>
      <c r="Q259" s="160"/>
      <c r="R259" s="157">
        <f ca="1">Simulador!Q254</f>
        <v>9092.2921498304058</v>
      </c>
      <c r="S259" s="160"/>
      <c r="T259" s="157">
        <f ca="1">Simulador!S254</f>
        <v>151472.65757318237</v>
      </c>
    </row>
    <row r="260" spans="2:20" x14ac:dyDescent="0.3">
      <c r="B260" s="163">
        <f ca="1">Simulador!A255</f>
        <v>52922</v>
      </c>
      <c r="C260" s="160"/>
      <c r="D260" s="161">
        <f ca="1">Simulador!C255</f>
        <v>222</v>
      </c>
      <c r="E260" s="160"/>
      <c r="F260" s="162" t="str">
        <f ca="1">Simulador!E255</f>
        <v>Retorno</v>
      </c>
      <c r="G260" s="160"/>
      <c r="H260" s="157">
        <f ca="1">Simulador!G255</f>
        <v>7213.6524652919579</v>
      </c>
      <c r="I260" s="160"/>
      <c r="J260" s="157">
        <f ca="1">Simulador!I255</f>
        <v>1661.8764243157057</v>
      </c>
      <c r="K260" s="160"/>
      <c r="L260" s="157">
        <f ca="1">Simulador!K255</f>
        <v>0</v>
      </c>
      <c r="M260" s="160"/>
      <c r="N260" s="157">
        <f ca="1">Simulador!M255</f>
        <v>135.01200288047463</v>
      </c>
      <c r="O260" s="160"/>
      <c r="P260" s="157">
        <f ca="1">Simulador!O255</f>
        <v>75</v>
      </c>
      <c r="Q260" s="160"/>
      <c r="R260" s="157">
        <f ca="1">Simulador!Q255</f>
        <v>9085.5408924881376</v>
      </c>
      <c r="S260" s="160"/>
      <c r="T260" s="157">
        <f ca="1">Simulador!S255</f>
        <v>144259.00510789041</v>
      </c>
    </row>
    <row r="261" spans="2:20" x14ac:dyDescent="0.3">
      <c r="B261" s="163">
        <f ca="1">Simulador!A256</f>
        <v>52952</v>
      </c>
      <c r="C261" s="160"/>
      <c r="D261" s="161">
        <f ca="1">Simulador!C256</f>
        <v>223</v>
      </c>
      <c r="E261" s="160"/>
      <c r="F261" s="162" t="str">
        <f ca="1">Simulador!E256</f>
        <v>Retorno</v>
      </c>
      <c r="G261" s="160"/>
      <c r="H261" s="157">
        <f ca="1">Simulador!G256</f>
        <v>7292.796775277322</v>
      </c>
      <c r="I261" s="160"/>
      <c r="J261" s="157">
        <f ca="1">Simulador!I256</f>
        <v>1582.7321143303416</v>
      </c>
      <c r="K261" s="160"/>
      <c r="L261" s="157">
        <f ca="1">Simulador!K256</f>
        <v>0</v>
      </c>
      <c r="M261" s="160"/>
      <c r="N261" s="157">
        <f ca="1">Simulador!M256</f>
        <v>128.1866743784926</v>
      </c>
      <c r="O261" s="160"/>
      <c r="P261" s="157">
        <f ca="1">Simulador!O256</f>
        <v>75</v>
      </c>
      <c r="Q261" s="160"/>
      <c r="R261" s="157">
        <f ca="1">Simulador!Q256</f>
        <v>9078.7155639861558</v>
      </c>
      <c r="S261" s="160"/>
      <c r="T261" s="157">
        <f ca="1">Simulador!S256</f>
        <v>136966.20833261308</v>
      </c>
    </row>
    <row r="262" spans="2:20" x14ac:dyDescent="0.3">
      <c r="B262" s="163">
        <f ca="1">Simulador!A257</f>
        <v>52983</v>
      </c>
      <c r="C262" s="160"/>
      <c r="D262" s="161">
        <f ca="1">Simulador!C257</f>
        <v>224</v>
      </c>
      <c r="E262" s="160"/>
      <c r="F262" s="162" t="str">
        <f ca="1">Simulador!E257</f>
        <v>Retorno</v>
      </c>
      <c r="G262" s="160"/>
      <c r="H262" s="157">
        <f ca="1">Simulador!G257</f>
        <v>7372.8094140091816</v>
      </c>
      <c r="I262" s="160"/>
      <c r="J262" s="157">
        <f ca="1">Simulador!I257</f>
        <v>1502.7194755984819</v>
      </c>
      <c r="K262" s="160"/>
      <c r="L262" s="157">
        <f ca="1">Simulador!K257</f>
        <v>0</v>
      </c>
      <c r="M262" s="160"/>
      <c r="N262" s="157">
        <f ca="1">Simulador!M257</f>
        <v>121.28646204792139</v>
      </c>
      <c r="O262" s="160"/>
      <c r="P262" s="157">
        <f ca="1">Simulador!O257</f>
        <v>75</v>
      </c>
      <c r="Q262" s="160"/>
      <c r="R262" s="157">
        <f ca="1">Simulador!Q257</f>
        <v>9071.8153516555849</v>
      </c>
      <c r="S262" s="160"/>
      <c r="T262" s="157">
        <f ca="1">Simulador!S257</f>
        <v>129593.3989186039</v>
      </c>
    </row>
    <row r="263" spans="2:20" x14ac:dyDescent="0.3">
      <c r="B263" s="163">
        <f ca="1">Simulador!A258</f>
        <v>53014</v>
      </c>
      <c r="C263" s="160"/>
      <c r="D263" s="161">
        <f ca="1">Simulador!C258</f>
        <v>225</v>
      </c>
      <c r="E263" s="160"/>
      <c r="F263" s="162" t="str">
        <f ca="1">Simulador!E258</f>
        <v>Retorno</v>
      </c>
      <c r="G263" s="160"/>
      <c r="H263" s="157">
        <f ca="1">Simulador!G258</f>
        <v>7453.6999083229421</v>
      </c>
      <c r="I263" s="160"/>
      <c r="J263" s="157">
        <f ca="1">Simulador!I258</f>
        <v>1421.8289812847215</v>
      </c>
      <c r="K263" s="160"/>
      <c r="L263" s="157">
        <f ca="1">Simulador!K258</f>
        <v>0</v>
      </c>
      <c r="M263" s="160"/>
      <c r="N263" s="157">
        <f ca="1">Simulador!M258</f>
        <v>114.31054430372194</v>
      </c>
      <c r="O263" s="160"/>
      <c r="P263" s="157">
        <f ca="1">Simulador!O258</f>
        <v>75</v>
      </c>
      <c r="Q263" s="160"/>
      <c r="R263" s="157">
        <f ca="1">Simulador!Q258</f>
        <v>9064.8394339113856</v>
      </c>
      <c r="S263" s="160"/>
      <c r="T263" s="157">
        <f ca="1">Simulador!S258</f>
        <v>122139.69901028095</v>
      </c>
    </row>
    <row r="264" spans="2:20" x14ac:dyDescent="0.3">
      <c r="B264" s="163">
        <f ca="1">Simulador!A259</f>
        <v>53042</v>
      </c>
      <c r="C264" s="160"/>
      <c r="D264" s="161">
        <f ca="1">Simulador!C259</f>
        <v>226</v>
      </c>
      <c r="E264" s="160"/>
      <c r="F264" s="162" t="str">
        <f ca="1">Simulador!E259</f>
        <v>Retorno</v>
      </c>
      <c r="G264" s="160"/>
      <c r="H264" s="157">
        <f ca="1">Simulador!G259</f>
        <v>7535.4778895773015</v>
      </c>
      <c r="I264" s="160"/>
      <c r="J264" s="157">
        <f ca="1">Simulador!I259</f>
        <v>1340.051000030362</v>
      </c>
      <c r="K264" s="160"/>
      <c r="L264" s="157">
        <f ca="1">Simulador!K259</f>
        <v>0</v>
      </c>
      <c r="M264" s="160"/>
      <c r="N264" s="157">
        <f ca="1">Simulador!M259</f>
        <v>107.25809054686654</v>
      </c>
      <c r="O264" s="160"/>
      <c r="P264" s="157">
        <f ca="1">Simulador!O259</f>
        <v>75</v>
      </c>
      <c r="Q264" s="160"/>
      <c r="R264" s="157">
        <f ca="1">Simulador!Q259</f>
        <v>9057.7869801545294</v>
      </c>
      <c r="S264" s="160"/>
      <c r="T264" s="157">
        <f ca="1">Simulador!S259</f>
        <v>114604.22112070365</v>
      </c>
    </row>
    <row r="265" spans="2:20" x14ac:dyDescent="0.3">
      <c r="B265" s="163">
        <f ca="1">Simulador!A260</f>
        <v>53073</v>
      </c>
      <c r="C265" s="160"/>
      <c r="D265" s="161">
        <f ca="1">Simulador!C260</f>
        <v>227</v>
      </c>
      <c r="E265" s="160"/>
      <c r="F265" s="162" t="str">
        <f ca="1">Simulador!E260</f>
        <v>Retorno</v>
      </c>
      <c r="G265" s="160"/>
      <c r="H265" s="157">
        <f ca="1">Simulador!G260</f>
        <v>7618.1530948009859</v>
      </c>
      <c r="I265" s="160"/>
      <c r="J265" s="157">
        <f ca="1">Simulador!I260</f>
        <v>1257.3757948066777</v>
      </c>
      <c r="K265" s="160"/>
      <c r="L265" s="157">
        <f ca="1">Simulador!K260</f>
        <v>0</v>
      </c>
      <c r="M265" s="160"/>
      <c r="N265" s="157">
        <f ca="1">Simulador!M260</f>
        <v>100.1282610654423</v>
      </c>
      <c r="O265" s="160"/>
      <c r="P265" s="157">
        <f ca="1">Simulador!O260</f>
        <v>75</v>
      </c>
      <c r="Q265" s="160"/>
      <c r="R265" s="157">
        <f ca="1">Simulador!Q260</f>
        <v>9050.6571506731052</v>
      </c>
      <c r="S265" s="160"/>
      <c r="T265" s="157">
        <f ca="1">Simulador!S260</f>
        <v>106986.06802590266</v>
      </c>
    </row>
    <row r="266" spans="2:20" x14ac:dyDescent="0.3">
      <c r="B266" s="163">
        <f ca="1">Simulador!A261</f>
        <v>53103</v>
      </c>
      <c r="C266" s="160"/>
      <c r="D266" s="161">
        <f ca="1">Simulador!C261</f>
        <v>228</v>
      </c>
      <c r="E266" s="160"/>
      <c r="F266" s="162" t="str">
        <f ca="1">Simulador!E261</f>
        <v>Retorno</v>
      </c>
      <c r="G266" s="160"/>
      <c r="H266" s="157">
        <f ca="1">Simulador!G261</f>
        <v>7701.7353678522159</v>
      </c>
      <c r="I266" s="160"/>
      <c r="J266" s="157">
        <f ca="1">Simulador!I261</f>
        <v>1173.7935217554477</v>
      </c>
      <c r="K266" s="160"/>
      <c r="L266" s="157">
        <f ca="1">Simulador!K261</f>
        <v>0</v>
      </c>
      <c r="M266" s="160"/>
      <c r="N266" s="157">
        <f ca="1">Simulador!M261</f>
        <v>92.920206934669409</v>
      </c>
      <c r="O266" s="160"/>
      <c r="P266" s="157">
        <f ca="1">Simulador!O261</f>
        <v>75</v>
      </c>
      <c r="Q266" s="160"/>
      <c r="R266" s="157">
        <f ca="1">Simulador!Q261</f>
        <v>9043.4490965423338</v>
      </c>
      <c r="S266" s="160"/>
      <c r="T266" s="157">
        <f ca="1">Simulador!S261</f>
        <v>99284.332658050436</v>
      </c>
    </row>
    <row r="267" spans="2:20" x14ac:dyDescent="0.3">
      <c r="B267" s="163">
        <f ca="1">Simulador!A262</f>
        <v>53134</v>
      </c>
      <c r="C267" s="160"/>
      <c r="D267" s="161">
        <f ca="1">Simulador!C262</f>
        <v>229</v>
      </c>
      <c r="E267" s="160"/>
      <c r="F267" s="162" t="str">
        <f ca="1">Simulador!E262</f>
        <v>Retorno</v>
      </c>
      <c r="G267" s="160"/>
      <c r="H267" s="157">
        <f ca="1">Simulador!G262</f>
        <v>7786.2346605907042</v>
      </c>
      <c r="I267" s="160"/>
      <c r="J267" s="157">
        <f ca="1">Simulador!I262</f>
        <v>1089.2942290169594</v>
      </c>
      <c r="K267" s="160"/>
      <c r="L267" s="157">
        <f ca="1">Simulador!K262</f>
        <v>0</v>
      </c>
      <c r="M267" s="160"/>
      <c r="N267" s="157">
        <f ca="1">Simulador!M262</f>
        <v>85.63306991582256</v>
      </c>
      <c r="O267" s="160"/>
      <c r="P267" s="157">
        <f ca="1">Simulador!O262</f>
        <v>75</v>
      </c>
      <c r="Q267" s="160"/>
      <c r="R267" s="157">
        <f ca="1">Simulador!Q262</f>
        <v>9036.1619595234861</v>
      </c>
      <c r="S267" s="160"/>
      <c r="T267" s="157">
        <f ca="1">Simulador!S262</f>
        <v>91498.097997459729</v>
      </c>
    </row>
    <row r="268" spans="2:20" x14ac:dyDescent="0.3">
      <c r="B268" s="163">
        <f ca="1">Simulador!A263</f>
        <v>53164</v>
      </c>
      <c r="C268" s="160"/>
      <c r="D268" s="161">
        <f ca="1">Simulador!C263</f>
        <v>230</v>
      </c>
      <c r="E268" s="160"/>
      <c r="F268" s="162" t="str">
        <f ca="1">Simulador!E263</f>
        <v>Retorno</v>
      </c>
      <c r="G268" s="160"/>
      <c r="H268" s="157">
        <f ca="1">Simulador!G263</f>
        <v>7871.6610340625739</v>
      </c>
      <c r="I268" s="160"/>
      <c r="J268" s="157">
        <f ca="1">Simulador!I263</f>
        <v>1003.8678555450897</v>
      </c>
      <c r="K268" s="160"/>
      <c r="L268" s="157">
        <f ca="1">Simulador!K263</f>
        <v>0</v>
      </c>
      <c r="M268" s="160"/>
      <c r="N268" s="157">
        <f ca="1">Simulador!M263</f>
        <v>78.265982354043402</v>
      </c>
      <c r="O268" s="160"/>
      <c r="P268" s="157">
        <f ca="1">Simulador!O263</f>
        <v>75</v>
      </c>
      <c r="Q268" s="160"/>
      <c r="R268" s="157">
        <f ca="1">Simulador!Q263</f>
        <v>9028.794871961707</v>
      </c>
      <c r="S268" s="160"/>
      <c r="T268" s="157">
        <f ca="1">Simulador!S263</f>
        <v>83626.436963397151</v>
      </c>
    </row>
    <row r="269" spans="2:20" x14ac:dyDescent="0.3">
      <c r="B269" s="163">
        <f ca="1">Simulador!A264</f>
        <v>53195</v>
      </c>
      <c r="C269" s="160"/>
      <c r="D269" s="161">
        <f ca="1">Simulador!C264</f>
        <v>231</v>
      </c>
      <c r="E269" s="160"/>
      <c r="F269" s="162" t="str">
        <f ca="1">Simulador!E264</f>
        <v>Retorno</v>
      </c>
      <c r="G269" s="160"/>
      <c r="H269" s="157">
        <f ca="1">Simulador!G264</f>
        <v>7958.0246596984034</v>
      </c>
      <c r="I269" s="160"/>
      <c r="J269" s="157">
        <f ca="1">Simulador!I264</f>
        <v>917.50422990926018</v>
      </c>
      <c r="K269" s="160"/>
      <c r="L269" s="157">
        <f ca="1">Simulador!K264</f>
        <v>0</v>
      </c>
      <c r="M269" s="160"/>
      <c r="N269" s="157">
        <f ca="1">Simulador!M264</f>
        <v>70.818067075031664</v>
      </c>
      <c r="O269" s="160"/>
      <c r="P269" s="157">
        <f ca="1">Simulador!O264</f>
        <v>75</v>
      </c>
      <c r="Q269" s="160"/>
      <c r="R269" s="157">
        <f ca="1">Simulador!Q264</f>
        <v>9021.3469566826952</v>
      </c>
      <c r="S269" s="160"/>
      <c r="T269" s="157">
        <f ca="1">Simulador!S264</f>
        <v>75668.412303698744</v>
      </c>
    </row>
    <row r="270" spans="2:20" x14ac:dyDescent="0.3">
      <c r="B270" s="163">
        <f ca="1">Simulador!A265</f>
        <v>53226</v>
      </c>
      <c r="C270" s="160"/>
      <c r="D270" s="161">
        <f ca="1">Simulador!C265</f>
        <v>232</v>
      </c>
      <c r="E270" s="160"/>
      <c r="F270" s="162" t="str">
        <f ca="1">Simulador!E265</f>
        <v>Retorno</v>
      </c>
      <c r="G270" s="160"/>
      <c r="H270" s="157">
        <f ca="1">Simulador!G265</f>
        <v>8045.3358205241493</v>
      </c>
      <c r="I270" s="160"/>
      <c r="J270" s="157">
        <f ca="1">Simulador!I265</f>
        <v>830.19306908351427</v>
      </c>
      <c r="K270" s="160"/>
      <c r="L270" s="157">
        <f ca="1">Simulador!K265</f>
        <v>0</v>
      </c>
      <c r="M270" s="160"/>
      <c r="N270" s="157">
        <f ca="1">Simulador!M265</f>
        <v>63.288437280603105</v>
      </c>
      <c r="O270" s="160"/>
      <c r="P270" s="157">
        <f ca="1">Simulador!O265</f>
        <v>75</v>
      </c>
      <c r="Q270" s="160"/>
      <c r="R270" s="157">
        <f ca="1">Simulador!Q265</f>
        <v>9013.8173268882674</v>
      </c>
      <c r="S270" s="160"/>
      <c r="T270" s="157">
        <f ca="1">Simulador!S265</f>
        <v>67623.076483174591</v>
      </c>
    </row>
    <row r="271" spans="2:20" x14ac:dyDescent="0.3">
      <c r="B271" s="163">
        <f ca="1">Simulador!A266</f>
        <v>53256</v>
      </c>
      <c r="C271" s="160"/>
      <c r="D271" s="161">
        <f ca="1">Simulador!C266</f>
        <v>233</v>
      </c>
      <c r="E271" s="160"/>
      <c r="F271" s="162" t="str">
        <f ca="1">Simulador!E266</f>
        <v>Retorno</v>
      </c>
      <c r="G271" s="160"/>
      <c r="H271" s="157">
        <f ca="1">Simulador!G266</f>
        <v>8133.6049123856465</v>
      </c>
      <c r="I271" s="160"/>
      <c r="J271" s="157">
        <f ca="1">Simulador!I266</f>
        <v>741.92397722201713</v>
      </c>
      <c r="K271" s="160"/>
      <c r="L271" s="157">
        <f ca="1">Simulador!K266</f>
        <v>0</v>
      </c>
      <c r="M271" s="160"/>
      <c r="N271" s="157">
        <f ca="1">Simulador!M266</f>
        <v>55.676196443101375</v>
      </c>
      <c r="O271" s="160"/>
      <c r="P271" s="157">
        <f ca="1">Simulador!O266</f>
        <v>75</v>
      </c>
      <c r="Q271" s="160"/>
      <c r="R271" s="157">
        <f ca="1">Simulador!Q266</f>
        <v>9006.2050860507643</v>
      </c>
      <c r="S271" s="160"/>
      <c r="T271" s="157">
        <f ca="1">Simulador!S266</f>
        <v>59489.471570788941</v>
      </c>
    </row>
    <row r="272" spans="2:20" x14ac:dyDescent="0.3">
      <c r="B272" s="163">
        <f ca="1">Simulador!A267</f>
        <v>53287</v>
      </c>
      <c r="C272" s="160"/>
      <c r="D272" s="161">
        <f ca="1">Simulador!C267</f>
        <v>234</v>
      </c>
      <c r="E272" s="160"/>
      <c r="F272" s="162" t="str">
        <f ca="1">Simulador!E267</f>
        <v>Retorno</v>
      </c>
      <c r="G272" s="160"/>
      <c r="H272" s="157">
        <f ca="1">Simulador!G267</f>
        <v>8222.8424451863139</v>
      </c>
      <c r="I272" s="160"/>
      <c r="J272" s="157">
        <f ca="1">Simulador!I267</f>
        <v>652.68644442134973</v>
      </c>
      <c r="K272" s="160"/>
      <c r="L272" s="157">
        <f ca="1">Simulador!K267</f>
        <v>0</v>
      </c>
      <c r="M272" s="160"/>
      <c r="N272" s="157">
        <f ca="1">Simulador!M267</f>
        <v>47.980438198651505</v>
      </c>
      <c r="O272" s="160"/>
      <c r="P272" s="157">
        <f ca="1">Simulador!O267</f>
        <v>75</v>
      </c>
      <c r="Q272" s="160"/>
      <c r="R272" s="157">
        <f ca="1">Simulador!Q267</f>
        <v>8998.5093278063159</v>
      </c>
      <c r="S272" s="160"/>
      <c r="T272" s="157">
        <f ca="1">Simulador!S267</f>
        <v>51266.629125602631</v>
      </c>
    </row>
    <row r="273" spans="2:20" x14ac:dyDescent="0.3">
      <c r="B273" s="163">
        <f ca="1">Simulador!A268</f>
        <v>53317</v>
      </c>
      <c r="C273" s="160"/>
      <c r="D273" s="161">
        <f ca="1">Simulador!C268</f>
        <v>235</v>
      </c>
      <c r="E273" s="160"/>
      <c r="F273" s="162" t="str">
        <f ca="1">Simulador!E268</f>
        <v>Retorno</v>
      </c>
      <c r="G273" s="160"/>
      <c r="H273" s="157">
        <f ca="1">Simulador!G268</f>
        <v>8313.0590441386048</v>
      </c>
      <c r="I273" s="160"/>
      <c r="J273" s="157">
        <f ca="1">Simulador!I268</f>
        <v>562.46984546905878</v>
      </c>
      <c r="K273" s="160"/>
      <c r="L273" s="157">
        <f ca="1">Simulador!K268</f>
        <v>0</v>
      </c>
      <c r="M273" s="160"/>
      <c r="N273" s="157">
        <f ca="1">Simulador!M268</f>
        <v>40.200246239242183</v>
      </c>
      <c r="O273" s="160"/>
      <c r="P273" s="157">
        <f ca="1">Simulador!O268</f>
        <v>75</v>
      </c>
      <c r="Q273" s="160"/>
      <c r="R273" s="157">
        <f ca="1">Simulador!Q268</f>
        <v>8990.7291358469065</v>
      </c>
      <c r="S273" s="160"/>
      <c r="T273" s="157">
        <f ca="1">Simulador!S268</f>
        <v>42953.570081464029</v>
      </c>
    </row>
    <row r="274" spans="2:20" x14ac:dyDescent="0.3">
      <c r="B274" s="163">
        <f ca="1">Simulador!A269</f>
        <v>53348</v>
      </c>
      <c r="C274" s="160"/>
      <c r="D274" s="161">
        <f ca="1">Simulador!C269</f>
        <v>236</v>
      </c>
      <c r="E274" s="160"/>
      <c r="F274" s="162" t="str">
        <f ca="1">Simulador!E269</f>
        <v>Retorno</v>
      </c>
      <c r="G274" s="160"/>
      <c r="H274" s="157">
        <f ca="1">Simulador!G269</f>
        <v>8404.2654510290631</v>
      </c>
      <c r="I274" s="160"/>
      <c r="J274" s="157">
        <f ca="1">Simulador!I269</f>
        <v>471.26343857860047</v>
      </c>
      <c r="K274" s="160"/>
      <c r="L274" s="157">
        <f ca="1">Simulador!K269</f>
        <v>0</v>
      </c>
      <c r="M274" s="160"/>
      <c r="N274" s="157">
        <f ca="1">Simulador!M269</f>
        <v>32.334694203624089</v>
      </c>
      <c r="O274" s="160"/>
      <c r="P274" s="157">
        <f ca="1">Simulador!O269</f>
        <v>75</v>
      </c>
      <c r="Q274" s="160"/>
      <c r="R274" s="157">
        <f ca="1">Simulador!Q269</f>
        <v>8982.8635838112878</v>
      </c>
      <c r="S274" s="160"/>
      <c r="T274" s="157">
        <f ca="1">Simulador!S269</f>
        <v>34549.30463043497</v>
      </c>
    </row>
    <row r="275" spans="2:20" x14ac:dyDescent="0.3">
      <c r="B275" s="163">
        <f ca="1">Simulador!A270</f>
        <v>53379</v>
      </c>
      <c r="C275" s="160"/>
      <c r="D275" s="161">
        <f ca="1">Simulador!C270</f>
        <v>237</v>
      </c>
      <c r="E275" s="160"/>
      <c r="F275" s="162" t="str">
        <f ca="1">Simulador!E270</f>
        <v>Retorno</v>
      </c>
      <c r="G275" s="160"/>
      <c r="H275" s="157">
        <f ca="1">Simulador!G270</f>
        <v>8496.4725254973273</v>
      </c>
      <c r="I275" s="160"/>
      <c r="J275" s="157">
        <f ca="1">Simulador!I270</f>
        <v>379.05636411033629</v>
      </c>
      <c r="K275" s="160"/>
      <c r="L275" s="157">
        <f ca="1">Simulador!K270</f>
        <v>0</v>
      </c>
      <c r="M275" s="160"/>
      <c r="N275" s="157">
        <f ca="1">Simulador!M270</f>
        <v>24.382845567011142</v>
      </c>
      <c r="O275" s="160"/>
      <c r="P275" s="157">
        <f ca="1">Simulador!O270</f>
        <v>75</v>
      </c>
      <c r="Q275" s="160"/>
      <c r="R275" s="157">
        <f ca="1">Simulador!Q270</f>
        <v>8974.9117351746754</v>
      </c>
      <c r="S275" s="160"/>
      <c r="T275" s="157">
        <f ca="1">Simulador!S270</f>
        <v>26052.832104937643</v>
      </c>
    </row>
    <row r="276" spans="2:20" x14ac:dyDescent="0.3">
      <c r="B276" s="163">
        <f ca="1">Simulador!A271</f>
        <v>53407</v>
      </c>
      <c r="C276" s="160"/>
      <c r="D276" s="161">
        <f ca="1">Simulador!C271</f>
        <v>238</v>
      </c>
      <c r="E276" s="160"/>
      <c r="F276" s="162" t="str">
        <f ca="1">Simulador!E271</f>
        <v>Retorno</v>
      </c>
      <c r="G276" s="160"/>
      <c r="H276" s="157">
        <f ca="1">Simulador!G271</f>
        <v>8589.6912463291555</v>
      </c>
      <c r="I276" s="160"/>
      <c r="J276" s="157">
        <f ca="1">Simulador!I271</f>
        <v>285.83764327850804</v>
      </c>
      <c r="K276" s="160"/>
      <c r="L276" s="157">
        <f ca="1">Simulador!K271</f>
        <v>0</v>
      </c>
      <c r="M276" s="160"/>
      <c r="N276" s="157">
        <f ca="1">Simulador!M271</f>
        <v>16.343753529571682</v>
      </c>
      <c r="O276" s="160"/>
      <c r="P276" s="157">
        <f ca="1">Simulador!O271</f>
        <v>75</v>
      </c>
      <c r="Q276" s="160"/>
      <c r="R276" s="157">
        <f ca="1">Simulador!Q271</f>
        <v>8966.8726431372361</v>
      </c>
      <c r="S276" s="160"/>
      <c r="T276" s="157">
        <f ca="1">Simulador!S271</f>
        <v>17463.140858608487</v>
      </c>
    </row>
    <row r="277" spans="2:20" x14ac:dyDescent="0.3">
      <c r="B277" s="163">
        <f ca="1">Simulador!A272</f>
        <v>53438</v>
      </c>
      <c r="C277" s="160"/>
      <c r="D277" s="161">
        <f ca="1">Simulador!C272</f>
        <v>239</v>
      </c>
      <c r="E277" s="160"/>
      <c r="F277" s="162" t="str">
        <f ca="1">Simulador!E272</f>
        <v>Retorno</v>
      </c>
      <c r="G277" s="160"/>
      <c r="H277" s="157">
        <f ca="1">Simulador!G272</f>
        <v>8683.9327127636425</v>
      </c>
      <c r="I277" s="160"/>
      <c r="J277" s="157">
        <f ca="1">Simulador!I272</f>
        <v>191.5961768440211</v>
      </c>
      <c r="K277" s="160"/>
      <c r="L277" s="157">
        <f ca="1">Simulador!K272</f>
        <v>0</v>
      </c>
      <c r="M277" s="160"/>
      <c r="N277" s="157">
        <f ca="1">Simulador!M272</f>
        <v>8.2164609036961913</v>
      </c>
      <c r="O277" s="160"/>
      <c r="P277" s="157">
        <f ca="1">Simulador!O272</f>
        <v>75</v>
      </c>
      <c r="Q277" s="160"/>
      <c r="R277" s="157">
        <f ca="1">Simulador!Q272</f>
        <v>8958.745350511359</v>
      </c>
      <c r="S277" s="160"/>
      <c r="T277" s="157">
        <f ca="1">Simulador!S272</f>
        <v>8779.2081458448447</v>
      </c>
    </row>
    <row r="278" spans="2:20" x14ac:dyDescent="0.3">
      <c r="B278" s="163">
        <f ca="1">Simulador!A273</f>
        <v>53468</v>
      </c>
      <c r="C278" s="160"/>
      <c r="D278" s="161">
        <f ca="1">Simulador!C273</f>
        <v>240</v>
      </c>
      <c r="E278" s="160"/>
      <c r="F278" s="162" t="str">
        <f ca="1">Simulador!E273</f>
        <v>Retorno</v>
      </c>
      <c r="G278" s="160"/>
      <c r="H278" s="157">
        <f ca="1">Simulador!G273</f>
        <v>8779.2081458147386</v>
      </c>
      <c r="I278" s="160"/>
      <c r="J278" s="157">
        <f ca="1">Simulador!I273</f>
        <v>96.320743792924986</v>
      </c>
      <c r="K278" s="160"/>
      <c r="L278" s="157">
        <f ca="1">Simulador!K273</f>
        <v>0</v>
      </c>
      <c r="M278" s="160"/>
      <c r="N278" s="157">
        <f ca="1">Simulador!M273</f>
        <v>2.8176293017168065E-11</v>
      </c>
      <c r="O278" s="160"/>
      <c r="P278" s="157">
        <f ca="1">Simulador!O273</f>
        <v>0</v>
      </c>
      <c r="Q278" s="160"/>
      <c r="R278" s="157">
        <f ca="1">Simulador!Q273</f>
        <v>8875.5288896076909</v>
      </c>
      <c r="S278" s="160"/>
      <c r="T278" s="157">
        <f ca="1">Simulador!S273</f>
        <v>3.0106093618087471E-8</v>
      </c>
    </row>
    <row r="279" spans="2:20" x14ac:dyDescent="0.3">
      <c r="B279" s="163" t="str">
        <f ca="1">Simulador!A274</f>
        <v/>
      </c>
      <c r="C279" s="160"/>
      <c r="D279" s="161" t="str">
        <f ca="1">Simulador!C274</f>
        <v/>
      </c>
      <c r="E279" s="160"/>
      <c r="F279" s="162" t="str">
        <f ca="1">Simulador!E274</f>
        <v/>
      </c>
      <c r="G279" s="160"/>
      <c r="H279" s="157" t="str">
        <f ca="1">Simulador!G274</f>
        <v/>
      </c>
      <c r="I279" s="160"/>
      <c r="J279" s="157" t="str">
        <f ca="1">Simulador!I274</f>
        <v/>
      </c>
      <c r="K279" s="160"/>
      <c r="L279" s="157" t="str">
        <f ca="1">Simulador!K274</f>
        <v/>
      </c>
      <c r="M279" s="160"/>
      <c r="N279" s="157" t="str">
        <f ca="1">Simulador!M274</f>
        <v/>
      </c>
      <c r="O279" s="160"/>
      <c r="P279" s="157" t="str">
        <f ca="1">Simulador!O274</f>
        <v/>
      </c>
      <c r="Q279" s="160"/>
      <c r="R279" s="157" t="str">
        <f ca="1">Simulador!Q274</f>
        <v/>
      </c>
      <c r="S279" s="160"/>
      <c r="T279" s="157" t="str">
        <f ca="1">Simulador!S274</f>
        <v/>
      </c>
    </row>
    <row r="280" spans="2:20" x14ac:dyDescent="0.3">
      <c r="B280" s="163" t="str">
        <f ca="1">Simulador!A275</f>
        <v/>
      </c>
      <c r="C280" s="160"/>
      <c r="D280" s="161" t="str">
        <f ca="1">Simulador!C275</f>
        <v/>
      </c>
      <c r="E280" s="160"/>
      <c r="F280" s="162" t="str">
        <f ca="1">Simulador!E275</f>
        <v/>
      </c>
      <c r="G280" s="160"/>
      <c r="H280" s="157" t="str">
        <f ca="1">Simulador!G275</f>
        <v/>
      </c>
      <c r="I280" s="160"/>
      <c r="J280" s="157" t="str">
        <f ca="1">Simulador!I275</f>
        <v/>
      </c>
      <c r="K280" s="160"/>
      <c r="L280" s="157" t="str">
        <f ca="1">Simulador!K275</f>
        <v/>
      </c>
      <c r="M280" s="160"/>
      <c r="N280" s="157" t="str">
        <f ca="1">Simulador!M275</f>
        <v/>
      </c>
      <c r="O280" s="160"/>
      <c r="P280" s="157" t="str">
        <f ca="1">Simulador!O275</f>
        <v/>
      </c>
      <c r="Q280" s="160"/>
      <c r="R280" s="157" t="str">
        <f ca="1">Simulador!Q275</f>
        <v/>
      </c>
      <c r="S280" s="160"/>
      <c r="T280" s="157" t="str">
        <f ca="1">Simulador!S275</f>
        <v/>
      </c>
    </row>
    <row r="281" spans="2:20" x14ac:dyDescent="0.3">
      <c r="B281" s="163" t="str">
        <f ca="1">Simulador!A276</f>
        <v/>
      </c>
      <c r="C281" s="160"/>
      <c r="D281" s="161" t="str">
        <f ca="1">Simulador!C276</f>
        <v/>
      </c>
      <c r="E281" s="160"/>
      <c r="F281" s="162" t="str">
        <f ca="1">Simulador!E276</f>
        <v/>
      </c>
      <c r="G281" s="160"/>
      <c r="H281" s="157" t="str">
        <f ca="1">Simulador!G276</f>
        <v/>
      </c>
      <c r="I281" s="160"/>
      <c r="J281" s="157" t="str">
        <f ca="1">Simulador!I276</f>
        <v/>
      </c>
      <c r="K281" s="160"/>
      <c r="L281" s="157" t="str">
        <f ca="1">Simulador!K276</f>
        <v/>
      </c>
      <c r="M281" s="160"/>
      <c r="N281" s="157" t="str">
        <f ca="1">Simulador!M276</f>
        <v/>
      </c>
      <c r="O281" s="160"/>
      <c r="P281" s="157" t="str">
        <f ca="1">Simulador!O276</f>
        <v/>
      </c>
      <c r="Q281" s="160"/>
      <c r="R281" s="157" t="str">
        <f ca="1">Simulador!Q276</f>
        <v/>
      </c>
      <c r="S281" s="160"/>
      <c r="T281" s="157" t="str">
        <f ca="1">Simulador!S276</f>
        <v/>
      </c>
    </row>
    <row r="282" spans="2:20" x14ac:dyDescent="0.3">
      <c r="B282" s="163" t="str">
        <f ca="1">Simulador!A277</f>
        <v/>
      </c>
      <c r="C282" s="160"/>
      <c r="D282" s="161" t="str">
        <f ca="1">Simulador!C277</f>
        <v/>
      </c>
      <c r="E282" s="160"/>
      <c r="F282" s="162" t="str">
        <f ca="1">Simulador!E277</f>
        <v/>
      </c>
      <c r="G282" s="160"/>
      <c r="H282" s="157" t="str">
        <f ca="1">Simulador!G277</f>
        <v/>
      </c>
      <c r="I282" s="160"/>
      <c r="J282" s="157" t="str">
        <f ca="1">Simulador!I277</f>
        <v/>
      </c>
      <c r="K282" s="160"/>
      <c r="L282" s="157" t="str">
        <f ca="1">Simulador!K277</f>
        <v/>
      </c>
      <c r="M282" s="160"/>
      <c r="N282" s="157" t="str">
        <f ca="1">Simulador!M277</f>
        <v/>
      </c>
      <c r="O282" s="160"/>
      <c r="P282" s="157" t="str">
        <f ca="1">Simulador!O277</f>
        <v/>
      </c>
      <c r="Q282" s="160"/>
      <c r="R282" s="157" t="str">
        <f ca="1">Simulador!Q277</f>
        <v/>
      </c>
      <c r="S282" s="160"/>
      <c r="T282" s="157" t="str">
        <f ca="1">Simulador!S277</f>
        <v/>
      </c>
    </row>
    <row r="283" spans="2:20" x14ac:dyDescent="0.3">
      <c r="B283" s="163" t="str">
        <f ca="1">Simulador!A278</f>
        <v/>
      </c>
      <c r="C283" s="160"/>
      <c r="D283" s="161" t="str">
        <f ca="1">Simulador!C278</f>
        <v/>
      </c>
      <c r="E283" s="160"/>
      <c r="F283" s="162" t="str">
        <f ca="1">Simulador!E278</f>
        <v/>
      </c>
      <c r="G283" s="160"/>
      <c r="H283" s="157" t="str">
        <f ca="1">Simulador!G278</f>
        <v/>
      </c>
      <c r="I283" s="160"/>
      <c r="J283" s="157" t="str">
        <f ca="1">Simulador!I278</f>
        <v/>
      </c>
      <c r="K283" s="160"/>
      <c r="L283" s="157" t="str">
        <f ca="1">Simulador!K278</f>
        <v/>
      </c>
      <c r="M283" s="160"/>
      <c r="N283" s="157" t="str">
        <f ca="1">Simulador!M278</f>
        <v/>
      </c>
      <c r="O283" s="160"/>
      <c r="P283" s="157" t="str">
        <f ca="1">Simulador!O278</f>
        <v/>
      </c>
      <c r="Q283" s="160"/>
      <c r="R283" s="157" t="str">
        <f ca="1">Simulador!Q278</f>
        <v/>
      </c>
      <c r="S283" s="160"/>
      <c r="T283" s="157" t="str">
        <f ca="1">Simulador!S278</f>
        <v/>
      </c>
    </row>
    <row r="284" spans="2:20" x14ac:dyDescent="0.3">
      <c r="B284" s="163" t="str">
        <f ca="1">Simulador!A279</f>
        <v/>
      </c>
      <c r="C284" s="160"/>
      <c r="D284" s="161" t="str">
        <f ca="1">Simulador!C279</f>
        <v/>
      </c>
      <c r="E284" s="160"/>
      <c r="F284" s="162" t="str">
        <f ca="1">Simulador!E279</f>
        <v/>
      </c>
      <c r="G284" s="160"/>
      <c r="H284" s="157" t="str">
        <f ca="1">Simulador!G279</f>
        <v/>
      </c>
      <c r="I284" s="160"/>
      <c r="J284" s="157" t="str">
        <f ca="1">Simulador!I279</f>
        <v/>
      </c>
      <c r="K284" s="160"/>
      <c r="L284" s="157" t="str">
        <f ca="1">Simulador!K279</f>
        <v/>
      </c>
      <c r="M284" s="160"/>
      <c r="N284" s="157" t="str">
        <f ca="1">Simulador!M279</f>
        <v/>
      </c>
      <c r="O284" s="160"/>
      <c r="P284" s="157" t="str">
        <f ca="1">Simulador!O279</f>
        <v/>
      </c>
      <c r="Q284" s="160"/>
      <c r="R284" s="157" t="str">
        <f ca="1">Simulador!Q279</f>
        <v/>
      </c>
      <c r="S284" s="160"/>
      <c r="T284" s="157" t="str">
        <f ca="1">Simulador!S279</f>
        <v/>
      </c>
    </row>
    <row r="285" spans="2:20" x14ac:dyDescent="0.3">
      <c r="B285" s="163" t="str">
        <f ca="1">Simulador!A280</f>
        <v/>
      </c>
      <c r="C285" s="160"/>
      <c r="D285" s="161" t="str">
        <f ca="1">Simulador!C280</f>
        <v/>
      </c>
      <c r="E285" s="160"/>
      <c r="F285" s="162" t="str">
        <f ca="1">Simulador!E280</f>
        <v/>
      </c>
      <c r="G285" s="160"/>
      <c r="H285" s="157" t="str">
        <f ca="1">Simulador!G280</f>
        <v/>
      </c>
      <c r="I285" s="160"/>
      <c r="J285" s="157" t="str">
        <f ca="1">Simulador!I280</f>
        <v/>
      </c>
      <c r="K285" s="160"/>
      <c r="L285" s="157" t="str">
        <f ca="1">Simulador!K280</f>
        <v/>
      </c>
      <c r="M285" s="160"/>
      <c r="N285" s="157" t="str">
        <f ca="1">Simulador!M280</f>
        <v/>
      </c>
      <c r="O285" s="160"/>
      <c r="P285" s="157" t="str">
        <f ca="1">Simulador!O280</f>
        <v/>
      </c>
      <c r="Q285" s="160"/>
      <c r="R285" s="157" t="str">
        <f ca="1">Simulador!Q280</f>
        <v/>
      </c>
      <c r="S285" s="160"/>
      <c r="T285" s="157" t="str">
        <f ca="1">Simulador!S280</f>
        <v/>
      </c>
    </row>
    <row r="286" spans="2:20" x14ac:dyDescent="0.3">
      <c r="B286" s="163" t="str">
        <f ca="1">Simulador!A281</f>
        <v/>
      </c>
      <c r="C286" s="160"/>
      <c r="D286" s="161" t="str">
        <f ca="1">Simulador!C281</f>
        <v/>
      </c>
      <c r="E286" s="160"/>
      <c r="F286" s="162" t="str">
        <f ca="1">Simulador!E281</f>
        <v/>
      </c>
      <c r="G286" s="160"/>
      <c r="H286" s="157" t="str">
        <f ca="1">Simulador!G281</f>
        <v/>
      </c>
      <c r="I286" s="160"/>
      <c r="J286" s="157" t="str">
        <f ca="1">Simulador!I281</f>
        <v/>
      </c>
      <c r="K286" s="160"/>
      <c r="L286" s="157" t="str">
        <f ca="1">Simulador!K281</f>
        <v/>
      </c>
      <c r="M286" s="160"/>
      <c r="N286" s="157" t="str">
        <f ca="1">Simulador!M281</f>
        <v/>
      </c>
      <c r="O286" s="160"/>
      <c r="P286" s="157" t="str">
        <f ca="1">Simulador!O281</f>
        <v/>
      </c>
      <c r="Q286" s="160"/>
      <c r="R286" s="157" t="str">
        <f ca="1">Simulador!Q281</f>
        <v/>
      </c>
      <c r="S286" s="160"/>
      <c r="T286" s="157" t="str">
        <f ca="1">Simulador!S281</f>
        <v/>
      </c>
    </row>
    <row r="287" spans="2:20" x14ac:dyDescent="0.3">
      <c r="B287" s="163" t="str">
        <f ca="1">Simulador!A282</f>
        <v/>
      </c>
      <c r="C287" s="160"/>
      <c r="D287" s="161" t="str">
        <f ca="1">Simulador!C282</f>
        <v/>
      </c>
      <c r="E287" s="160"/>
      <c r="F287" s="162" t="str">
        <f ca="1">Simulador!E282</f>
        <v/>
      </c>
      <c r="G287" s="160"/>
      <c r="H287" s="157" t="str">
        <f ca="1">Simulador!G282</f>
        <v/>
      </c>
      <c r="I287" s="160"/>
      <c r="J287" s="157" t="str">
        <f ca="1">Simulador!I282</f>
        <v/>
      </c>
      <c r="K287" s="160"/>
      <c r="L287" s="157" t="str">
        <f ca="1">Simulador!K282</f>
        <v/>
      </c>
      <c r="M287" s="160"/>
      <c r="N287" s="157" t="str">
        <f ca="1">Simulador!M282</f>
        <v/>
      </c>
      <c r="O287" s="160"/>
      <c r="P287" s="157" t="str">
        <f ca="1">Simulador!O282</f>
        <v/>
      </c>
      <c r="Q287" s="160"/>
      <c r="R287" s="157" t="str">
        <f ca="1">Simulador!Q282</f>
        <v/>
      </c>
      <c r="S287" s="160"/>
      <c r="T287" s="157" t="str">
        <f ca="1">Simulador!S282</f>
        <v/>
      </c>
    </row>
    <row r="288" spans="2:20" x14ac:dyDescent="0.3">
      <c r="B288" s="163" t="str">
        <f ca="1">Simulador!A283</f>
        <v/>
      </c>
      <c r="C288" s="160"/>
      <c r="D288" s="161" t="str">
        <f ca="1">Simulador!C283</f>
        <v/>
      </c>
      <c r="E288" s="160"/>
      <c r="F288" s="162" t="str">
        <f ca="1">Simulador!E283</f>
        <v/>
      </c>
      <c r="G288" s="160"/>
      <c r="H288" s="157" t="str">
        <f ca="1">Simulador!G283</f>
        <v/>
      </c>
      <c r="I288" s="160"/>
      <c r="J288" s="157" t="str">
        <f ca="1">Simulador!I283</f>
        <v/>
      </c>
      <c r="K288" s="160"/>
      <c r="L288" s="157" t="str">
        <f ca="1">Simulador!K283</f>
        <v/>
      </c>
      <c r="M288" s="160"/>
      <c r="N288" s="157" t="str">
        <f ca="1">Simulador!M283</f>
        <v/>
      </c>
      <c r="O288" s="160"/>
      <c r="P288" s="157" t="str">
        <f ca="1">Simulador!O283</f>
        <v/>
      </c>
      <c r="Q288" s="160"/>
      <c r="R288" s="157" t="str">
        <f ca="1">Simulador!Q283</f>
        <v/>
      </c>
      <c r="S288" s="160"/>
      <c r="T288" s="157" t="str">
        <f ca="1">Simulador!S283</f>
        <v/>
      </c>
    </row>
    <row r="289" spans="2:20" x14ac:dyDescent="0.3">
      <c r="B289" s="163" t="str">
        <f ca="1">Simulador!A284</f>
        <v/>
      </c>
      <c r="C289" s="160"/>
      <c r="D289" s="161" t="str">
        <f ca="1">Simulador!C284</f>
        <v/>
      </c>
      <c r="E289" s="160"/>
      <c r="F289" s="162" t="str">
        <f ca="1">Simulador!E284</f>
        <v/>
      </c>
      <c r="G289" s="160"/>
      <c r="H289" s="157" t="str">
        <f ca="1">Simulador!G284</f>
        <v/>
      </c>
      <c r="I289" s="160"/>
      <c r="J289" s="157" t="str">
        <f ca="1">Simulador!I284</f>
        <v/>
      </c>
      <c r="K289" s="160"/>
      <c r="L289" s="157" t="str">
        <f ca="1">Simulador!K284</f>
        <v/>
      </c>
      <c r="M289" s="160"/>
      <c r="N289" s="157" t="str">
        <f ca="1">Simulador!M284</f>
        <v/>
      </c>
      <c r="O289" s="160"/>
      <c r="P289" s="157" t="str">
        <f ca="1">Simulador!O284</f>
        <v/>
      </c>
      <c r="Q289" s="160"/>
      <c r="R289" s="157" t="str">
        <f ca="1">Simulador!Q284</f>
        <v/>
      </c>
      <c r="S289" s="160"/>
      <c r="T289" s="157" t="str">
        <f ca="1">Simulador!S284</f>
        <v/>
      </c>
    </row>
    <row r="290" spans="2:20" x14ac:dyDescent="0.3">
      <c r="B290" s="163" t="str">
        <f ca="1">Simulador!A285</f>
        <v/>
      </c>
      <c r="C290" s="160"/>
      <c r="D290" s="161" t="str">
        <f ca="1">Simulador!C285</f>
        <v/>
      </c>
      <c r="E290" s="160"/>
      <c r="F290" s="162" t="str">
        <f ca="1">Simulador!E285</f>
        <v/>
      </c>
      <c r="G290" s="160"/>
      <c r="H290" s="157" t="str">
        <f ca="1">Simulador!G285</f>
        <v/>
      </c>
      <c r="I290" s="160"/>
      <c r="J290" s="157" t="str">
        <f ca="1">Simulador!I285</f>
        <v/>
      </c>
      <c r="K290" s="160"/>
      <c r="L290" s="157" t="str">
        <f ca="1">Simulador!K285</f>
        <v/>
      </c>
      <c r="M290" s="160"/>
      <c r="N290" s="157" t="str">
        <f ca="1">Simulador!M285</f>
        <v/>
      </c>
      <c r="O290" s="160"/>
      <c r="P290" s="157" t="str">
        <f ca="1">Simulador!O285</f>
        <v/>
      </c>
      <c r="Q290" s="160"/>
      <c r="R290" s="157" t="str">
        <f ca="1">Simulador!Q285</f>
        <v/>
      </c>
      <c r="S290" s="160"/>
      <c r="T290" s="157" t="str">
        <f ca="1">Simulador!S285</f>
        <v/>
      </c>
    </row>
    <row r="291" spans="2:20" x14ac:dyDescent="0.3">
      <c r="B291" s="163" t="str">
        <f ca="1">Simulador!A286</f>
        <v/>
      </c>
      <c r="C291" s="160"/>
      <c r="D291" s="161" t="str">
        <f ca="1">Simulador!C286</f>
        <v/>
      </c>
      <c r="E291" s="160"/>
      <c r="F291" s="162" t="str">
        <f ca="1">Simulador!E286</f>
        <v/>
      </c>
      <c r="G291" s="160"/>
      <c r="H291" s="157" t="str">
        <f ca="1">Simulador!G286</f>
        <v/>
      </c>
      <c r="I291" s="160"/>
      <c r="J291" s="157" t="str">
        <f ca="1">Simulador!I286</f>
        <v/>
      </c>
      <c r="K291" s="160"/>
      <c r="L291" s="157" t="str">
        <f ca="1">Simulador!K286</f>
        <v/>
      </c>
      <c r="M291" s="160"/>
      <c r="N291" s="157" t="str">
        <f ca="1">Simulador!M286</f>
        <v/>
      </c>
      <c r="O291" s="160"/>
      <c r="P291" s="157" t="str">
        <f ca="1">Simulador!O286</f>
        <v/>
      </c>
      <c r="Q291" s="160"/>
      <c r="R291" s="157" t="str">
        <f ca="1">Simulador!Q286</f>
        <v/>
      </c>
      <c r="S291" s="160"/>
      <c r="T291" s="157" t="str">
        <f ca="1">Simulador!S286</f>
        <v/>
      </c>
    </row>
    <row r="292" spans="2:20" x14ac:dyDescent="0.3">
      <c r="B292" s="163" t="str">
        <f ca="1">Simulador!A287</f>
        <v/>
      </c>
      <c r="C292" s="160"/>
      <c r="D292" s="161" t="str">
        <f ca="1">Simulador!C287</f>
        <v/>
      </c>
      <c r="E292" s="160"/>
      <c r="F292" s="162" t="str">
        <f ca="1">Simulador!E287</f>
        <v/>
      </c>
      <c r="G292" s="160"/>
      <c r="H292" s="157" t="str">
        <f ca="1">Simulador!G287</f>
        <v/>
      </c>
      <c r="I292" s="160"/>
      <c r="J292" s="157" t="str">
        <f ca="1">Simulador!I287</f>
        <v/>
      </c>
      <c r="K292" s="160"/>
      <c r="L292" s="157" t="str">
        <f ca="1">Simulador!K287</f>
        <v/>
      </c>
      <c r="M292" s="160"/>
      <c r="N292" s="157" t="str">
        <f ca="1">Simulador!M287</f>
        <v/>
      </c>
      <c r="O292" s="160"/>
      <c r="P292" s="157" t="str">
        <f ca="1">Simulador!O287</f>
        <v/>
      </c>
      <c r="Q292" s="160"/>
      <c r="R292" s="157" t="str">
        <f ca="1">Simulador!Q287</f>
        <v/>
      </c>
      <c r="S292" s="160"/>
      <c r="T292" s="157" t="str">
        <f ca="1">Simulador!S287</f>
        <v/>
      </c>
    </row>
    <row r="293" spans="2:20" x14ac:dyDescent="0.3">
      <c r="B293" s="163" t="str">
        <f ca="1">Simulador!A288</f>
        <v/>
      </c>
      <c r="C293" s="160"/>
      <c r="D293" s="161" t="str">
        <f ca="1">Simulador!C288</f>
        <v/>
      </c>
      <c r="E293" s="160"/>
      <c r="F293" s="162" t="str">
        <f ca="1">Simulador!E288</f>
        <v/>
      </c>
      <c r="G293" s="160"/>
      <c r="H293" s="157" t="str">
        <f ca="1">Simulador!G288</f>
        <v/>
      </c>
      <c r="I293" s="160"/>
      <c r="J293" s="157" t="str">
        <f ca="1">Simulador!I288</f>
        <v/>
      </c>
      <c r="K293" s="160"/>
      <c r="L293" s="157" t="str">
        <f ca="1">Simulador!K288</f>
        <v/>
      </c>
      <c r="M293" s="160"/>
      <c r="N293" s="157" t="str">
        <f ca="1">Simulador!M288</f>
        <v/>
      </c>
      <c r="O293" s="160"/>
      <c r="P293" s="157" t="str">
        <f ca="1">Simulador!O288</f>
        <v/>
      </c>
      <c r="Q293" s="160"/>
      <c r="R293" s="157" t="str">
        <f ca="1">Simulador!Q288</f>
        <v/>
      </c>
      <c r="S293" s="160"/>
      <c r="T293" s="157" t="str">
        <f ca="1">Simulador!S288</f>
        <v/>
      </c>
    </row>
    <row r="294" spans="2:20" x14ac:dyDescent="0.3">
      <c r="B294" s="163" t="str">
        <f ca="1">Simulador!A289</f>
        <v/>
      </c>
      <c r="C294" s="160"/>
      <c r="D294" s="161" t="str">
        <f ca="1">Simulador!C289</f>
        <v/>
      </c>
      <c r="E294" s="160"/>
      <c r="F294" s="162" t="str">
        <f ca="1">Simulador!E289</f>
        <v/>
      </c>
      <c r="G294" s="160"/>
      <c r="H294" s="157" t="str">
        <f ca="1">Simulador!G289</f>
        <v/>
      </c>
      <c r="I294" s="160"/>
      <c r="J294" s="157" t="str">
        <f ca="1">Simulador!I289</f>
        <v/>
      </c>
      <c r="K294" s="160"/>
      <c r="L294" s="157" t="str">
        <f ca="1">Simulador!K289</f>
        <v/>
      </c>
      <c r="M294" s="160"/>
      <c r="N294" s="157" t="str">
        <f ca="1">Simulador!M289</f>
        <v/>
      </c>
      <c r="O294" s="160"/>
      <c r="P294" s="157" t="str">
        <f ca="1">Simulador!O289</f>
        <v/>
      </c>
      <c r="Q294" s="160"/>
      <c r="R294" s="157" t="str">
        <f ca="1">Simulador!Q289</f>
        <v/>
      </c>
      <c r="S294" s="160"/>
      <c r="T294" s="157" t="str">
        <f ca="1">Simulador!S289</f>
        <v/>
      </c>
    </row>
    <row r="295" spans="2:20" x14ac:dyDescent="0.3">
      <c r="B295" s="163" t="str">
        <f ca="1">Simulador!A290</f>
        <v/>
      </c>
      <c r="C295" s="160"/>
      <c r="D295" s="161" t="str">
        <f ca="1">Simulador!C290</f>
        <v/>
      </c>
      <c r="E295" s="160"/>
      <c r="F295" s="162" t="str">
        <f ca="1">Simulador!E290</f>
        <v/>
      </c>
      <c r="G295" s="160"/>
      <c r="H295" s="157" t="str">
        <f ca="1">Simulador!G290</f>
        <v/>
      </c>
      <c r="I295" s="160"/>
      <c r="J295" s="157" t="str">
        <f ca="1">Simulador!I290</f>
        <v/>
      </c>
      <c r="K295" s="160"/>
      <c r="L295" s="157" t="str">
        <f ca="1">Simulador!K290</f>
        <v/>
      </c>
      <c r="M295" s="160"/>
      <c r="N295" s="157" t="str">
        <f ca="1">Simulador!M290</f>
        <v/>
      </c>
      <c r="O295" s="160"/>
      <c r="P295" s="157" t="str">
        <f ca="1">Simulador!O290</f>
        <v/>
      </c>
      <c r="Q295" s="160"/>
      <c r="R295" s="157" t="str">
        <f ca="1">Simulador!Q290</f>
        <v/>
      </c>
      <c r="S295" s="160"/>
      <c r="T295" s="157" t="str">
        <f ca="1">Simulador!S290</f>
        <v/>
      </c>
    </row>
    <row r="296" spans="2:20" x14ac:dyDescent="0.3">
      <c r="B296" s="163" t="str">
        <f ca="1">Simulador!A291</f>
        <v/>
      </c>
      <c r="C296" s="160"/>
      <c r="D296" s="161" t="str">
        <f ca="1">Simulador!C291</f>
        <v/>
      </c>
      <c r="E296" s="160"/>
      <c r="F296" s="162" t="str">
        <f ca="1">Simulador!E291</f>
        <v/>
      </c>
      <c r="G296" s="160"/>
      <c r="H296" s="157" t="str">
        <f ca="1">Simulador!G291</f>
        <v/>
      </c>
      <c r="I296" s="160"/>
      <c r="J296" s="157" t="str">
        <f ca="1">Simulador!I291</f>
        <v/>
      </c>
      <c r="K296" s="160"/>
      <c r="L296" s="157" t="str">
        <f ca="1">Simulador!K291</f>
        <v/>
      </c>
      <c r="M296" s="160"/>
      <c r="N296" s="157" t="str">
        <f ca="1">Simulador!M291</f>
        <v/>
      </c>
      <c r="O296" s="160"/>
      <c r="P296" s="157" t="str">
        <f ca="1">Simulador!O291</f>
        <v/>
      </c>
      <c r="Q296" s="160"/>
      <c r="R296" s="157" t="str">
        <f ca="1">Simulador!Q291</f>
        <v/>
      </c>
      <c r="S296" s="160"/>
      <c r="T296" s="157" t="str">
        <f ca="1">Simulador!S291</f>
        <v/>
      </c>
    </row>
    <row r="297" spans="2:20" x14ac:dyDescent="0.3">
      <c r="B297" s="163" t="str">
        <f ca="1">Simulador!A292</f>
        <v/>
      </c>
      <c r="C297" s="160"/>
      <c r="D297" s="161" t="str">
        <f ca="1">Simulador!C292</f>
        <v/>
      </c>
      <c r="E297" s="160"/>
      <c r="F297" s="162" t="str">
        <f ca="1">Simulador!E292</f>
        <v/>
      </c>
      <c r="G297" s="160"/>
      <c r="H297" s="157" t="str">
        <f ca="1">Simulador!G292</f>
        <v/>
      </c>
      <c r="I297" s="160"/>
      <c r="J297" s="157" t="str">
        <f ca="1">Simulador!I292</f>
        <v/>
      </c>
      <c r="K297" s="160"/>
      <c r="L297" s="157" t="str">
        <f ca="1">Simulador!K292</f>
        <v/>
      </c>
      <c r="M297" s="160"/>
      <c r="N297" s="157" t="str">
        <f ca="1">Simulador!M292</f>
        <v/>
      </c>
      <c r="O297" s="160"/>
      <c r="P297" s="157" t="str">
        <f ca="1">Simulador!O292</f>
        <v/>
      </c>
      <c r="Q297" s="160"/>
      <c r="R297" s="157" t="str">
        <f ca="1">Simulador!Q292</f>
        <v/>
      </c>
      <c r="S297" s="160"/>
      <c r="T297" s="157" t="str">
        <f ca="1">Simulador!S292</f>
        <v/>
      </c>
    </row>
    <row r="298" spans="2:20" x14ac:dyDescent="0.3">
      <c r="B298" s="163" t="str">
        <f ca="1">Simulador!A293</f>
        <v/>
      </c>
      <c r="C298" s="160"/>
      <c r="D298" s="161" t="str">
        <f ca="1">Simulador!C293</f>
        <v/>
      </c>
      <c r="E298" s="160"/>
      <c r="F298" s="162" t="str">
        <f ca="1">Simulador!E293</f>
        <v/>
      </c>
      <c r="G298" s="160"/>
      <c r="H298" s="157" t="str">
        <f ca="1">Simulador!G293</f>
        <v/>
      </c>
      <c r="I298" s="160"/>
      <c r="J298" s="157" t="str">
        <f ca="1">Simulador!I293</f>
        <v/>
      </c>
      <c r="K298" s="160"/>
      <c r="L298" s="157" t="str">
        <f ca="1">Simulador!K293</f>
        <v/>
      </c>
      <c r="M298" s="160"/>
      <c r="N298" s="157" t="str">
        <f ca="1">Simulador!M293</f>
        <v/>
      </c>
      <c r="O298" s="160"/>
      <c r="P298" s="157" t="str">
        <f ca="1">Simulador!O293</f>
        <v/>
      </c>
      <c r="Q298" s="160"/>
      <c r="R298" s="157" t="str">
        <f ca="1">Simulador!Q293</f>
        <v/>
      </c>
      <c r="S298" s="160"/>
      <c r="T298" s="157" t="str">
        <f ca="1">Simulador!S293</f>
        <v/>
      </c>
    </row>
    <row r="299" spans="2:20" x14ac:dyDescent="0.3">
      <c r="B299" s="163" t="str">
        <f ca="1">Simulador!A294</f>
        <v/>
      </c>
      <c r="C299" s="160"/>
      <c r="D299" s="161" t="str">
        <f ca="1">Simulador!C294</f>
        <v/>
      </c>
      <c r="E299" s="160"/>
      <c r="F299" s="162" t="str">
        <f ca="1">Simulador!E294</f>
        <v/>
      </c>
      <c r="G299" s="160"/>
      <c r="H299" s="157" t="str">
        <f ca="1">Simulador!G294</f>
        <v/>
      </c>
      <c r="I299" s="160"/>
      <c r="J299" s="157" t="str">
        <f ca="1">Simulador!I294</f>
        <v/>
      </c>
      <c r="K299" s="160"/>
      <c r="L299" s="157" t="str">
        <f ca="1">Simulador!K294</f>
        <v/>
      </c>
      <c r="M299" s="160"/>
      <c r="N299" s="157" t="str">
        <f ca="1">Simulador!M294</f>
        <v/>
      </c>
      <c r="O299" s="160"/>
      <c r="P299" s="157" t="str">
        <f ca="1">Simulador!O294</f>
        <v/>
      </c>
      <c r="Q299" s="160"/>
      <c r="R299" s="157" t="str">
        <f ca="1">Simulador!Q294</f>
        <v/>
      </c>
      <c r="S299" s="160"/>
      <c r="T299" s="157" t="str">
        <f ca="1">Simulador!S294</f>
        <v/>
      </c>
    </row>
    <row r="300" spans="2:20" x14ac:dyDescent="0.3">
      <c r="B300" s="163" t="str">
        <f ca="1">Simulador!A295</f>
        <v/>
      </c>
      <c r="C300" s="160"/>
      <c r="D300" s="161" t="str">
        <f ca="1">Simulador!C295</f>
        <v/>
      </c>
      <c r="E300" s="160"/>
      <c r="F300" s="162" t="str">
        <f ca="1">Simulador!E295</f>
        <v/>
      </c>
      <c r="G300" s="160"/>
      <c r="H300" s="157" t="str">
        <f ca="1">Simulador!G295</f>
        <v/>
      </c>
      <c r="I300" s="160"/>
      <c r="J300" s="157" t="str">
        <f ca="1">Simulador!I295</f>
        <v/>
      </c>
      <c r="K300" s="160"/>
      <c r="L300" s="157" t="str">
        <f ca="1">Simulador!K295</f>
        <v/>
      </c>
      <c r="M300" s="160"/>
      <c r="N300" s="157" t="str">
        <f ca="1">Simulador!M295</f>
        <v/>
      </c>
      <c r="O300" s="160"/>
      <c r="P300" s="157" t="str">
        <f ca="1">Simulador!O295</f>
        <v/>
      </c>
      <c r="Q300" s="160"/>
      <c r="R300" s="157" t="str">
        <f ca="1">Simulador!Q295</f>
        <v/>
      </c>
      <c r="S300" s="160"/>
      <c r="T300" s="157" t="str">
        <f ca="1">Simulador!S295</f>
        <v/>
      </c>
    </row>
    <row r="301" spans="2:20" x14ac:dyDescent="0.3">
      <c r="B301" s="163" t="str">
        <f ca="1">Simulador!A296</f>
        <v/>
      </c>
      <c r="C301" s="160"/>
      <c r="D301" s="161" t="str">
        <f ca="1">Simulador!C296</f>
        <v/>
      </c>
      <c r="E301" s="160"/>
      <c r="F301" s="162" t="str">
        <f ca="1">Simulador!E296</f>
        <v/>
      </c>
      <c r="G301" s="160"/>
      <c r="H301" s="157" t="str">
        <f ca="1">Simulador!G296</f>
        <v/>
      </c>
      <c r="I301" s="160"/>
      <c r="J301" s="157" t="str">
        <f ca="1">Simulador!I296</f>
        <v/>
      </c>
      <c r="K301" s="160"/>
      <c r="L301" s="157" t="str">
        <f ca="1">Simulador!K296</f>
        <v/>
      </c>
      <c r="M301" s="160"/>
      <c r="N301" s="157" t="str">
        <f ca="1">Simulador!M296</f>
        <v/>
      </c>
      <c r="O301" s="160"/>
      <c r="P301" s="157" t="str">
        <f ca="1">Simulador!O296</f>
        <v/>
      </c>
      <c r="Q301" s="160"/>
      <c r="R301" s="157" t="str">
        <f ca="1">Simulador!Q296</f>
        <v/>
      </c>
      <c r="S301" s="160"/>
      <c r="T301" s="157" t="str">
        <f ca="1">Simulador!S296</f>
        <v/>
      </c>
    </row>
    <row r="302" spans="2:20" x14ac:dyDescent="0.3">
      <c r="B302" s="163" t="str">
        <f ca="1">Simulador!A297</f>
        <v/>
      </c>
      <c r="C302" s="160"/>
      <c r="D302" s="161" t="str">
        <f ca="1">Simulador!C297</f>
        <v/>
      </c>
      <c r="E302" s="160"/>
      <c r="F302" s="162" t="str">
        <f ca="1">Simulador!E297</f>
        <v/>
      </c>
      <c r="G302" s="160"/>
      <c r="H302" s="157" t="str">
        <f ca="1">Simulador!G297</f>
        <v/>
      </c>
      <c r="I302" s="160"/>
      <c r="J302" s="157" t="str">
        <f ca="1">Simulador!I297</f>
        <v/>
      </c>
      <c r="K302" s="160"/>
      <c r="L302" s="157" t="str">
        <f ca="1">Simulador!K297</f>
        <v/>
      </c>
      <c r="M302" s="160"/>
      <c r="N302" s="157" t="str">
        <f ca="1">Simulador!M297</f>
        <v/>
      </c>
      <c r="O302" s="160"/>
      <c r="P302" s="157" t="str">
        <f ca="1">Simulador!O297</f>
        <v/>
      </c>
      <c r="Q302" s="160"/>
      <c r="R302" s="157" t="str">
        <f ca="1">Simulador!Q297</f>
        <v/>
      </c>
      <c r="S302" s="160"/>
      <c r="T302" s="157" t="str">
        <f ca="1">Simulador!S297</f>
        <v/>
      </c>
    </row>
    <row r="303" spans="2:20" x14ac:dyDescent="0.3">
      <c r="B303" s="163" t="str">
        <f ca="1">Simulador!A298</f>
        <v/>
      </c>
      <c r="C303" s="160"/>
      <c r="D303" s="161" t="str">
        <f ca="1">Simulador!C298</f>
        <v/>
      </c>
      <c r="E303" s="160"/>
      <c r="F303" s="162" t="str">
        <f ca="1">Simulador!E298</f>
        <v/>
      </c>
      <c r="G303" s="160"/>
      <c r="H303" s="157" t="str">
        <f ca="1">Simulador!G298</f>
        <v/>
      </c>
      <c r="I303" s="160"/>
      <c r="J303" s="157" t="str">
        <f ca="1">Simulador!I298</f>
        <v/>
      </c>
      <c r="K303" s="160"/>
      <c r="L303" s="157" t="str">
        <f ca="1">Simulador!K298</f>
        <v/>
      </c>
      <c r="M303" s="160"/>
      <c r="N303" s="157" t="str">
        <f ca="1">Simulador!M298</f>
        <v/>
      </c>
      <c r="O303" s="160"/>
      <c r="P303" s="157" t="str">
        <f ca="1">Simulador!O298</f>
        <v/>
      </c>
      <c r="Q303" s="160"/>
      <c r="R303" s="157" t="str">
        <f ca="1">Simulador!Q298</f>
        <v/>
      </c>
      <c r="S303" s="160"/>
      <c r="T303" s="157" t="str">
        <f ca="1">Simulador!S298</f>
        <v/>
      </c>
    </row>
    <row r="304" spans="2:20" x14ac:dyDescent="0.3">
      <c r="B304" s="163" t="str">
        <f ca="1">Simulador!A299</f>
        <v/>
      </c>
      <c r="C304" s="160"/>
      <c r="D304" s="161" t="str">
        <f ca="1">Simulador!C299</f>
        <v/>
      </c>
      <c r="E304" s="160"/>
      <c r="F304" s="162" t="str">
        <f ca="1">Simulador!E299</f>
        <v/>
      </c>
      <c r="G304" s="160"/>
      <c r="H304" s="157" t="str">
        <f ca="1">Simulador!G299</f>
        <v/>
      </c>
      <c r="I304" s="160"/>
      <c r="J304" s="157" t="str">
        <f ca="1">Simulador!I299</f>
        <v/>
      </c>
      <c r="K304" s="160"/>
      <c r="L304" s="157" t="str">
        <f ca="1">Simulador!K299</f>
        <v/>
      </c>
      <c r="M304" s="160"/>
      <c r="N304" s="157" t="str">
        <f ca="1">Simulador!M299</f>
        <v/>
      </c>
      <c r="O304" s="160"/>
      <c r="P304" s="157" t="str">
        <f ca="1">Simulador!O299</f>
        <v/>
      </c>
      <c r="Q304" s="160"/>
      <c r="R304" s="157" t="str">
        <f ca="1">Simulador!Q299</f>
        <v/>
      </c>
      <c r="S304" s="160"/>
      <c r="T304" s="157" t="str">
        <f ca="1">Simulador!S299</f>
        <v/>
      </c>
    </row>
    <row r="305" spans="2:20" x14ac:dyDescent="0.3">
      <c r="B305" s="163" t="str">
        <f ca="1">Simulador!A300</f>
        <v/>
      </c>
      <c r="C305" s="160"/>
      <c r="D305" s="161" t="str">
        <f ca="1">Simulador!C300</f>
        <v/>
      </c>
      <c r="E305" s="160"/>
      <c r="F305" s="162" t="str">
        <f ca="1">Simulador!E300</f>
        <v/>
      </c>
      <c r="G305" s="160"/>
      <c r="H305" s="157" t="str">
        <f ca="1">Simulador!G300</f>
        <v/>
      </c>
      <c r="I305" s="160"/>
      <c r="J305" s="157" t="str">
        <f ca="1">Simulador!I300</f>
        <v/>
      </c>
      <c r="K305" s="160"/>
      <c r="L305" s="157" t="str">
        <f ca="1">Simulador!K300</f>
        <v/>
      </c>
      <c r="M305" s="160"/>
      <c r="N305" s="157" t="str">
        <f ca="1">Simulador!M300</f>
        <v/>
      </c>
      <c r="O305" s="160"/>
      <c r="P305" s="157" t="str">
        <f ca="1">Simulador!O300</f>
        <v/>
      </c>
      <c r="Q305" s="160"/>
      <c r="R305" s="157" t="str">
        <f ca="1">Simulador!Q300</f>
        <v/>
      </c>
      <c r="S305" s="160"/>
      <c r="T305" s="157" t="str">
        <f ca="1">Simulador!S300</f>
        <v/>
      </c>
    </row>
    <row r="306" spans="2:20" x14ac:dyDescent="0.3">
      <c r="B306" s="163" t="str">
        <f ca="1">Simulador!A301</f>
        <v/>
      </c>
      <c r="C306" s="160"/>
      <c r="D306" s="161" t="str">
        <f ca="1">Simulador!C301</f>
        <v/>
      </c>
      <c r="E306" s="160"/>
      <c r="F306" s="162" t="str">
        <f ca="1">Simulador!E301</f>
        <v/>
      </c>
      <c r="G306" s="160"/>
      <c r="H306" s="157" t="str">
        <f ca="1">Simulador!G301</f>
        <v/>
      </c>
      <c r="I306" s="160"/>
      <c r="J306" s="157" t="str">
        <f ca="1">Simulador!I301</f>
        <v/>
      </c>
      <c r="K306" s="160"/>
      <c r="L306" s="157" t="str">
        <f ca="1">Simulador!K301</f>
        <v/>
      </c>
      <c r="M306" s="160"/>
      <c r="N306" s="157" t="str">
        <f ca="1">Simulador!M301</f>
        <v/>
      </c>
      <c r="O306" s="160"/>
      <c r="P306" s="157" t="str">
        <f ca="1">Simulador!O301</f>
        <v/>
      </c>
      <c r="Q306" s="160"/>
      <c r="R306" s="157" t="str">
        <f ca="1">Simulador!Q301</f>
        <v/>
      </c>
      <c r="S306" s="160"/>
      <c r="T306" s="157" t="str">
        <f ca="1">Simulador!S301</f>
        <v/>
      </c>
    </row>
    <row r="307" spans="2:20" x14ac:dyDescent="0.3">
      <c r="B307" s="163" t="str">
        <f ca="1">Simulador!A302</f>
        <v/>
      </c>
      <c r="C307" s="160"/>
      <c r="D307" s="161" t="str">
        <f ca="1">Simulador!C302</f>
        <v/>
      </c>
      <c r="E307" s="160"/>
      <c r="F307" s="162" t="str">
        <f ca="1">Simulador!E302</f>
        <v/>
      </c>
      <c r="G307" s="160"/>
      <c r="H307" s="157" t="str">
        <f ca="1">Simulador!G302</f>
        <v/>
      </c>
      <c r="I307" s="160"/>
      <c r="J307" s="157" t="str">
        <f ca="1">Simulador!I302</f>
        <v/>
      </c>
      <c r="K307" s="160"/>
      <c r="L307" s="157" t="str">
        <f ca="1">Simulador!K302</f>
        <v/>
      </c>
      <c r="M307" s="160"/>
      <c r="N307" s="157" t="str">
        <f ca="1">Simulador!M302</f>
        <v/>
      </c>
      <c r="O307" s="160"/>
      <c r="P307" s="157" t="str">
        <f ca="1">Simulador!O302</f>
        <v/>
      </c>
      <c r="Q307" s="160"/>
      <c r="R307" s="157" t="str">
        <f ca="1">Simulador!Q302</f>
        <v/>
      </c>
      <c r="S307" s="160"/>
      <c r="T307" s="157" t="str">
        <f ca="1">Simulador!S302</f>
        <v/>
      </c>
    </row>
    <row r="308" spans="2:20" x14ac:dyDescent="0.3">
      <c r="B308" s="163" t="str">
        <f ca="1">Simulador!A303</f>
        <v/>
      </c>
      <c r="C308" s="160"/>
      <c r="D308" s="161" t="str">
        <f ca="1">Simulador!C303</f>
        <v/>
      </c>
      <c r="E308" s="160"/>
      <c r="F308" s="162" t="str">
        <f ca="1">Simulador!E303</f>
        <v/>
      </c>
      <c r="G308" s="160"/>
      <c r="H308" s="157" t="str">
        <f ca="1">Simulador!G303</f>
        <v/>
      </c>
      <c r="I308" s="160"/>
      <c r="J308" s="157" t="str">
        <f ca="1">Simulador!I303</f>
        <v/>
      </c>
      <c r="K308" s="160"/>
      <c r="L308" s="157" t="str">
        <f ca="1">Simulador!K303</f>
        <v/>
      </c>
      <c r="M308" s="160"/>
      <c r="N308" s="157" t="str">
        <f ca="1">Simulador!M303</f>
        <v/>
      </c>
      <c r="O308" s="160"/>
      <c r="P308" s="157" t="str">
        <f ca="1">Simulador!O303</f>
        <v/>
      </c>
      <c r="Q308" s="160"/>
      <c r="R308" s="157" t="str">
        <f ca="1">Simulador!Q303</f>
        <v/>
      </c>
      <c r="S308" s="160"/>
      <c r="T308" s="157" t="str">
        <f ca="1">Simulador!S303</f>
        <v/>
      </c>
    </row>
    <row r="309" spans="2:20" x14ac:dyDescent="0.3">
      <c r="B309" s="163" t="str">
        <f ca="1">Simulador!A304</f>
        <v/>
      </c>
      <c r="C309" s="160"/>
      <c r="D309" s="161" t="str">
        <f ca="1">Simulador!C304</f>
        <v/>
      </c>
      <c r="E309" s="160"/>
      <c r="F309" s="162" t="str">
        <f ca="1">Simulador!E304</f>
        <v/>
      </c>
      <c r="G309" s="160"/>
      <c r="H309" s="157" t="str">
        <f ca="1">Simulador!G304</f>
        <v/>
      </c>
      <c r="I309" s="160"/>
      <c r="J309" s="157" t="str">
        <f ca="1">Simulador!I304</f>
        <v/>
      </c>
      <c r="K309" s="160"/>
      <c r="L309" s="157" t="str">
        <f ca="1">Simulador!K304</f>
        <v/>
      </c>
      <c r="M309" s="160"/>
      <c r="N309" s="157" t="str">
        <f ca="1">Simulador!M304</f>
        <v/>
      </c>
      <c r="O309" s="160"/>
      <c r="P309" s="157" t="str">
        <f ca="1">Simulador!O304</f>
        <v/>
      </c>
      <c r="Q309" s="160"/>
      <c r="R309" s="157" t="str">
        <f ca="1">Simulador!Q304</f>
        <v/>
      </c>
      <c r="S309" s="160"/>
      <c r="T309" s="157" t="str">
        <f ca="1">Simulador!S304</f>
        <v/>
      </c>
    </row>
    <row r="310" spans="2:20" x14ac:dyDescent="0.3">
      <c r="B310" s="163" t="str">
        <f ca="1">Simulador!A305</f>
        <v/>
      </c>
      <c r="C310" s="160"/>
      <c r="D310" s="161" t="str">
        <f ca="1">Simulador!C305</f>
        <v/>
      </c>
      <c r="E310" s="160"/>
      <c r="F310" s="162" t="str">
        <f ca="1">Simulador!E305</f>
        <v/>
      </c>
      <c r="G310" s="160"/>
      <c r="H310" s="157" t="str">
        <f ca="1">Simulador!G305</f>
        <v/>
      </c>
      <c r="I310" s="160"/>
      <c r="J310" s="157" t="str">
        <f ca="1">Simulador!I305</f>
        <v/>
      </c>
      <c r="K310" s="160"/>
      <c r="L310" s="157" t="str">
        <f ca="1">Simulador!K305</f>
        <v/>
      </c>
      <c r="M310" s="160"/>
      <c r="N310" s="157" t="str">
        <f ca="1">Simulador!M305</f>
        <v/>
      </c>
      <c r="O310" s="160"/>
      <c r="P310" s="157" t="str">
        <f ca="1">Simulador!O305</f>
        <v/>
      </c>
      <c r="Q310" s="160"/>
      <c r="R310" s="157" t="str">
        <f ca="1">Simulador!Q305</f>
        <v/>
      </c>
      <c r="S310" s="160"/>
      <c r="T310" s="157" t="str">
        <f ca="1">Simulador!S305</f>
        <v/>
      </c>
    </row>
    <row r="311" spans="2:20" x14ac:dyDescent="0.3">
      <c r="B311" s="163" t="str">
        <f ca="1">Simulador!A306</f>
        <v/>
      </c>
      <c r="C311" s="160"/>
      <c r="D311" s="161" t="str">
        <f ca="1">Simulador!C306</f>
        <v/>
      </c>
      <c r="E311" s="160"/>
      <c r="F311" s="162" t="str">
        <f ca="1">Simulador!E306</f>
        <v/>
      </c>
      <c r="G311" s="160"/>
      <c r="H311" s="157" t="str">
        <f ca="1">Simulador!G306</f>
        <v/>
      </c>
      <c r="I311" s="160"/>
      <c r="J311" s="157" t="str">
        <f ca="1">Simulador!I306</f>
        <v/>
      </c>
      <c r="K311" s="160"/>
      <c r="L311" s="157" t="str">
        <f ca="1">Simulador!K306</f>
        <v/>
      </c>
      <c r="M311" s="160"/>
      <c r="N311" s="157" t="str">
        <f ca="1">Simulador!M306</f>
        <v/>
      </c>
      <c r="O311" s="160"/>
      <c r="P311" s="157" t="str">
        <f ca="1">Simulador!O306</f>
        <v/>
      </c>
      <c r="Q311" s="160"/>
      <c r="R311" s="157" t="str">
        <f ca="1">Simulador!Q306</f>
        <v/>
      </c>
      <c r="S311" s="160"/>
      <c r="T311" s="157" t="str">
        <f ca="1">Simulador!S306</f>
        <v/>
      </c>
    </row>
    <row r="312" spans="2:20" x14ac:dyDescent="0.3">
      <c r="B312" s="163" t="str">
        <f ca="1">Simulador!A307</f>
        <v/>
      </c>
      <c r="C312" s="160"/>
      <c r="D312" s="161" t="str">
        <f ca="1">Simulador!C307</f>
        <v/>
      </c>
      <c r="E312" s="160"/>
      <c r="F312" s="162" t="str">
        <f ca="1">Simulador!E307</f>
        <v/>
      </c>
      <c r="G312" s="160"/>
      <c r="H312" s="157" t="str">
        <f ca="1">Simulador!G307</f>
        <v/>
      </c>
      <c r="I312" s="160"/>
      <c r="J312" s="157" t="str">
        <f ca="1">Simulador!I307</f>
        <v/>
      </c>
      <c r="K312" s="160"/>
      <c r="L312" s="157" t="str">
        <f ca="1">Simulador!K307</f>
        <v/>
      </c>
      <c r="M312" s="160"/>
      <c r="N312" s="157" t="str">
        <f ca="1">Simulador!M307</f>
        <v/>
      </c>
      <c r="O312" s="160"/>
      <c r="P312" s="157" t="str">
        <f ca="1">Simulador!O307</f>
        <v/>
      </c>
      <c r="Q312" s="160"/>
      <c r="R312" s="157" t="str">
        <f ca="1">Simulador!Q307</f>
        <v/>
      </c>
      <c r="S312" s="160"/>
      <c r="T312" s="157" t="str">
        <f ca="1">Simulador!S307</f>
        <v/>
      </c>
    </row>
    <row r="313" spans="2:20" x14ac:dyDescent="0.3">
      <c r="B313" s="163" t="str">
        <f ca="1">Simulador!A308</f>
        <v/>
      </c>
      <c r="C313" s="160"/>
      <c r="D313" s="161" t="str">
        <f ca="1">Simulador!C308</f>
        <v/>
      </c>
      <c r="E313" s="160"/>
      <c r="F313" s="162" t="str">
        <f ca="1">Simulador!E308</f>
        <v/>
      </c>
      <c r="G313" s="160"/>
      <c r="H313" s="157" t="str">
        <f ca="1">Simulador!G308</f>
        <v/>
      </c>
      <c r="I313" s="160"/>
      <c r="J313" s="157" t="str">
        <f ca="1">Simulador!I308</f>
        <v/>
      </c>
      <c r="K313" s="160"/>
      <c r="L313" s="157" t="str">
        <f ca="1">Simulador!K308</f>
        <v/>
      </c>
      <c r="M313" s="160"/>
      <c r="N313" s="157" t="str">
        <f ca="1">Simulador!M308</f>
        <v/>
      </c>
      <c r="O313" s="160"/>
      <c r="P313" s="157" t="str">
        <f ca="1">Simulador!O308</f>
        <v/>
      </c>
      <c r="Q313" s="160"/>
      <c r="R313" s="157" t="str">
        <f ca="1">Simulador!Q308</f>
        <v/>
      </c>
      <c r="S313" s="160"/>
      <c r="T313" s="157" t="str">
        <f ca="1">Simulador!S308</f>
        <v/>
      </c>
    </row>
    <row r="314" spans="2:20" x14ac:dyDescent="0.3">
      <c r="B314" s="163" t="str">
        <f ca="1">Simulador!A309</f>
        <v/>
      </c>
      <c r="C314" s="160"/>
      <c r="D314" s="161" t="str">
        <f ca="1">Simulador!C309</f>
        <v/>
      </c>
      <c r="E314" s="160"/>
      <c r="F314" s="162" t="str">
        <f ca="1">Simulador!E309</f>
        <v/>
      </c>
      <c r="G314" s="160"/>
      <c r="H314" s="157" t="str">
        <f ca="1">Simulador!G309</f>
        <v/>
      </c>
      <c r="I314" s="160"/>
      <c r="J314" s="157" t="str">
        <f ca="1">Simulador!I309</f>
        <v/>
      </c>
      <c r="K314" s="160"/>
      <c r="L314" s="157" t="str">
        <f ca="1">Simulador!K309</f>
        <v/>
      </c>
      <c r="M314" s="160"/>
      <c r="N314" s="157" t="str">
        <f ca="1">Simulador!M309</f>
        <v/>
      </c>
      <c r="O314" s="160"/>
      <c r="P314" s="157" t="str">
        <f ca="1">Simulador!O309</f>
        <v/>
      </c>
      <c r="Q314" s="160"/>
      <c r="R314" s="157" t="str">
        <f ca="1">Simulador!Q309</f>
        <v/>
      </c>
      <c r="S314" s="160"/>
      <c r="T314" s="157" t="str">
        <f ca="1">Simulador!S309</f>
        <v/>
      </c>
    </row>
    <row r="315" spans="2:20" x14ac:dyDescent="0.3">
      <c r="B315" s="163" t="str">
        <f ca="1">Simulador!A310</f>
        <v/>
      </c>
      <c r="C315" s="160"/>
      <c r="D315" s="161" t="str">
        <f ca="1">Simulador!C310</f>
        <v/>
      </c>
      <c r="E315" s="160"/>
      <c r="F315" s="162" t="str">
        <f ca="1">Simulador!E310</f>
        <v/>
      </c>
      <c r="G315" s="160"/>
      <c r="H315" s="157" t="str">
        <f ca="1">Simulador!G310</f>
        <v/>
      </c>
      <c r="I315" s="160"/>
      <c r="J315" s="157" t="str">
        <f ca="1">Simulador!I310</f>
        <v/>
      </c>
      <c r="K315" s="160"/>
      <c r="L315" s="157" t="str">
        <f ca="1">Simulador!K310</f>
        <v/>
      </c>
      <c r="M315" s="160"/>
      <c r="N315" s="157" t="str">
        <f ca="1">Simulador!M310</f>
        <v/>
      </c>
      <c r="O315" s="160"/>
      <c r="P315" s="157" t="str">
        <f ca="1">Simulador!O310</f>
        <v/>
      </c>
      <c r="Q315" s="160"/>
      <c r="R315" s="157" t="str">
        <f ca="1">Simulador!Q310</f>
        <v/>
      </c>
      <c r="S315" s="160"/>
      <c r="T315" s="157" t="str">
        <f ca="1">Simulador!S310</f>
        <v/>
      </c>
    </row>
    <row r="316" spans="2:20" x14ac:dyDescent="0.3">
      <c r="B316" s="163" t="str">
        <f ca="1">Simulador!A311</f>
        <v/>
      </c>
      <c r="C316" s="160"/>
      <c r="D316" s="161" t="str">
        <f ca="1">Simulador!C311</f>
        <v/>
      </c>
      <c r="E316" s="160"/>
      <c r="F316" s="162" t="str">
        <f ca="1">Simulador!E311</f>
        <v/>
      </c>
      <c r="G316" s="160"/>
      <c r="H316" s="157" t="str">
        <f ca="1">Simulador!G311</f>
        <v/>
      </c>
      <c r="I316" s="160"/>
      <c r="J316" s="157" t="str">
        <f ca="1">Simulador!I311</f>
        <v/>
      </c>
      <c r="K316" s="160"/>
      <c r="L316" s="157" t="str">
        <f ca="1">Simulador!K311</f>
        <v/>
      </c>
      <c r="M316" s="160"/>
      <c r="N316" s="157" t="str">
        <f ca="1">Simulador!M311</f>
        <v/>
      </c>
      <c r="O316" s="160"/>
      <c r="P316" s="157" t="str">
        <f ca="1">Simulador!O311</f>
        <v/>
      </c>
      <c r="Q316" s="160"/>
      <c r="R316" s="157" t="str">
        <f ca="1">Simulador!Q311</f>
        <v/>
      </c>
      <c r="S316" s="160"/>
      <c r="T316" s="157" t="str">
        <f ca="1">Simulador!S311</f>
        <v/>
      </c>
    </row>
    <row r="317" spans="2:20" x14ac:dyDescent="0.3">
      <c r="B317" s="163" t="str">
        <f ca="1">Simulador!A312</f>
        <v/>
      </c>
      <c r="C317" s="160"/>
      <c r="D317" s="161" t="str">
        <f ca="1">Simulador!C312</f>
        <v/>
      </c>
      <c r="E317" s="160"/>
      <c r="F317" s="162" t="str">
        <f ca="1">Simulador!E312</f>
        <v/>
      </c>
      <c r="G317" s="160"/>
      <c r="H317" s="157" t="str">
        <f ca="1">Simulador!G312</f>
        <v/>
      </c>
      <c r="I317" s="160"/>
      <c r="J317" s="157" t="str">
        <f ca="1">Simulador!I312</f>
        <v/>
      </c>
      <c r="K317" s="160"/>
      <c r="L317" s="157" t="str">
        <f ca="1">Simulador!K312</f>
        <v/>
      </c>
      <c r="M317" s="160"/>
      <c r="N317" s="157" t="str">
        <f ca="1">Simulador!M312</f>
        <v/>
      </c>
      <c r="O317" s="160"/>
      <c r="P317" s="157" t="str">
        <f ca="1">Simulador!O312</f>
        <v/>
      </c>
      <c r="Q317" s="160"/>
      <c r="R317" s="157" t="str">
        <f ca="1">Simulador!Q312</f>
        <v/>
      </c>
      <c r="S317" s="160"/>
      <c r="T317" s="157" t="str">
        <f ca="1">Simulador!S312</f>
        <v/>
      </c>
    </row>
    <row r="318" spans="2:20" x14ac:dyDescent="0.3">
      <c r="B318" s="163" t="str">
        <f ca="1">Simulador!A313</f>
        <v/>
      </c>
      <c r="C318" s="160"/>
      <c r="D318" s="161" t="str">
        <f ca="1">Simulador!C313</f>
        <v/>
      </c>
      <c r="E318" s="160"/>
      <c r="F318" s="162" t="str">
        <f ca="1">Simulador!E313</f>
        <v/>
      </c>
      <c r="G318" s="160"/>
      <c r="H318" s="157" t="str">
        <f ca="1">Simulador!G313</f>
        <v/>
      </c>
      <c r="I318" s="160"/>
      <c r="J318" s="157" t="str">
        <f ca="1">Simulador!I313</f>
        <v/>
      </c>
      <c r="K318" s="160"/>
      <c r="L318" s="157" t="str">
        <f ca="1">Simulador!K313</f>
        <v/>
      </c>
      <c r="M318" s="160"/>
      <c r="N318" s="157" t="str">
        <f ca="1">Simulador!M313</f>
        <v/>
      </c>
      <c r="O318" s="160"/>
      <c r="P318" s="157" t="str">
        <f ca="1">Simulador!O313</f>
        <v/>
      </c>
      <c r="Q318" s="160"/>
      <c r="R318" s="157" t="str">
        <f ca="1">Simulador!Q313</f>
        <v/>
      </c>
      <c r="S318" s="160"/>
      <c r="T318" s="157" t="str">
        <f ca="1">Simulador!S313</f>
        <v/>
      </c>
    </row>
    <row r="319" spans="2:20" x14ac:dyDescent="0.3">
      <c r="B319" s="163" t="str">
        <f ca="1">Simulador!A314</f>
        <v/>
      </c>
      <c r="C319" s="160"/>
      <c r="D319" s="161" t="str">
        <f ca="1">Simulador!C314</f>
        <v/>
      </c>
      <c r="E319" s="160"/>
      <c r="F319" s="162" t="str">
        <f ca="1">Simulador!E314</f>
        <v/>
      </c>
      <c r="G319" s="160"/>
      <c r="H319" s="157" t="str">
        <f ca="1">Simulador!G314</f>
        <v/>
      </c>
      <c r="I319" s="160"/>
      <c r="J319" s="157" t="str">
        <f ca="1">Simulador!I314</f>
        <v/>
      </c>
      <c r="K319" s="160"/>
      <c r="L319" s="157" t="str">
        <f ca="1">Simulador!K314</f>
        <v/>
      </c>
      <c r="M319" s="160"/>
      <c r="N319" s="157" t="str">
        <f ca="1">Simulador!M314</f>
        <v/>
      </c>
      <c r="O319" s="160"/>
      <c r="P319" s="157" t="str">
        <f ca="1">Simulador!O314</f>
        <v/>
      </c>
      <c r="Q319" s="160"/>
      <c r="R319" s="157" t="str">
        <f ca="1">Simulador!Q314</f>
        <v/>
      </c>
      <c r="S319" s="160"/>
      <c r="T319" s="157" t="str">
        <f ca="1">Simulador!S314</f>
        <v/>
      </c>
    </row>
    <row r="320" spans="2:20" x14ac:dyDescent="0.3">
      <c r="B320" s="163" t="str">
        <f ca="1">Simulador!A315</f>
        <v/>
      </c>
      <c r="C320" s="160"/>
      <c r="D320" s="161" t="str">
        <f ca="1">Simulador!C315</f>
        <v/>
      </c>
      <c r="E320" s="160"/>
      <c r="F320" s="162" t="str">
        <f ca="1">Simulador!E315</f>
        <v/>
      </c>
      <c r="G320" s="160"/>
      <c r="H320" s="157" t="str">
        <f ca="1">Simulador!G315</f>
        <v/>
      </c>
      <c r="I320" s="160"/>
      <c r="J320" s="157" t="str">
        <f ca="1">Simulador!I315</f>
        <v/>
      </c>
      <c r="K320" s="160"/>
      <c r="L320" s="157" t="str">
        <f ca="1">Simulador!K315</f>
        <v/>
      </c>
      <c r="M320" s="160"/>
      <c r="N320" s="157" t="str">
        <f ca="1">Simulador!M315</f>
        <v/>
      </c>
      <c r="O320" s="160"/>
      <c r="P320" s="157" t="str">
        <f ca="1">Simulador!O315</f>
        <v/>
      </c>
      <c r="Q320" s="160"/>
      <c r="R320" s="157" t="str">
        <f ca="1">Simulador!Q315</f>
        <v/>
      </c>
      <c r="S320" s="160"/>
      <c r="T320" s="157" t="str">
        <f ca="1">Simulador!S315</f>
        <v/>
      </c>
    </row>
    <row r="321" spans="2:20" x14ac:dyDescent="0.3">
      <c r="B321" s="163" t="str">
        <f ca="1">Simulador!A316</f>
        <v/>
      </c>
      <c r="C321" s="160"/>
      <c r="D321" s="161" t="str">
        <f ca="1">Simulador!C316</f>
        <v/>
      </c>
      <c r="E321" s="160"/>
      <c r="F321" s="162" t="str">
        <f ca="1">Simulador!E316</f>
        <v/>
      </c>
      <c r="G321" s="160"/>
      <c r="H321" s="157" t="str">
        <f ca="1">Simulador!G316</f>
        <v/>
      </c>
      <c r="I321" s="160"/>
      <c r="J321" s="157" t="str">
        <f ca="1">Simulador!I316</f>
        <v/>
      </c>
      <c r="K321" s="160"/>
      <c r="L321" s="157" t="str">
        <f ca="1">Simulador!K316</f>
        <v/>
      </c>
      <c r="M321" s="160"/>
      <c r="N321" s="157" t="str">
        <f ca="1">Simulador!M316</f>
        <v/>
      </c>
      <c r="O321" s="160"/>
      <c r="P321" s="157" t="str">
        <f ca="1">Simulador!O316</f>
        <v/>
      </c>
      <c r="Q321" s="160"/>
      <c r="R321" s="157" t="str">
        <f ca="1">Simulador!Q316</f>
        <v/>
      </c>
      <c r="S321" s="160"/>
      <c r="T321" s="157" t="str">
        <f ca="1">Simulador!S316</f>
        <v/>
      </c>
    </row>
    <row r="322" spans="2:20" x14ac:dyDescent="0.3">
      <c r="B322" s="163" t="str">
        <f ca="1">Simulador!A317</f>
        <v/>
      </c>
      <c r="C322" s="160"/>
      <c r="D322" s="161" t="str">
        <f ca="1">Simulador!C317</f>
        <v/>
      </c>
      <c r="E322" s="160"/>
      <c r="F322" s="162" t="str">
        <f ca="1">Simulador!E317</f>
        <v/>
      </c>
      <c r="G322" s="160"/>
      <c r="H322" s="157" t="str">
        <f ca="1">Simulador!G317</f>
        <v/>
      </c>
      <c r="I322" s="160"/>
      <c r="J322" s="157" t="str">
        <f ca="1">Simulador!I317</f>
        <v/>
      </c>
      <c r="K322" s="160"/>
      <c r="L322" s="157" t="str">
        <f ca="1">Simulador!K317</f>
        <v/>
      </c>
      <c r="M322" s="160"/>
      <c r="N322" s="157" t="str">
        <f ca="1">Simulador!M317</f>
        <v/>
      </c>
      <c r="O322" s="160"/>
      <c r="P322" s="157" t="str">
        <f ca="1">Simulador!O317</f>
        <v/>
      </c>
      <c r="Q322" s="160"/>
      <c r="R322" s="157" t="str">
        <f ca="1">Simulador!Q317</f>
        <v/>
      </c>
      <c r="S322" s="160"/>
      <c r="T322" s="157" t="str">
        <f ca="1">Simulador!S317</f>
        <v/>
      </c>
    </row>
    <row r="323" spans="2:20" x14ac:dyDescent="0.3">
      <c r="B323" s="163" t="str">
        <f ca="1">Simulador!A318</f>
        <v/>
      </c>
      <c r="C323" s="160"/>
      <c r="D323" s="161" t="str">
        <f ca="1">Simulador!C318</f>
        <v/>
      </c>
      <c r="E323" s="160"/>
      <c r="F323" s="162" t="str">
        <f ca="1">Simulador!E318</f>
        <v/>
      </c>
      <c r="G323" s="160"/>
      <c r="H323" s="157" t="str">
        <f ca="1">Simulador!G318</f>
        <v/>
      </c>
      <c r="I323" s="160"/>
      <c r="J323" s="157" t="str">
        <f ca="1">Simulador!I318</f>
        <v/>
      </c>
      <c r="K323" s="160"/>
      <c r="L323" s="157" t="str">
        <f ca="1">Simulador!K318</f>
        <v/>
      </c>
      <c r="M323" s="160"/>
      <c r="N323" s="157" t="str">
        <f ca="1">Simulador!M318</f>
        <v/>
      </c>
      <c r="O323" s="160"/>
      <c r="P323" s="157" t="str">
        <f ca="1">Simulador!O318</f>
        <v/>
      </c>
      <c r="Q323" s="160"/>
      <c r="R323" s="157" t="str">
        <f ca="1">Simulador!Q318</f>
        <v/>
      </c>
      <c r="S323" s="160"/>
      <c r="T323" s="157" t="str">
        <f ca="1">Simulador!S318</f>
        <v/>
      </c>
    </row>
    <row r="324" spans="2:20" x14ac:dyDescent="0.3">
      <c r="B324" s="163" t="str">
        <f ca="1">Simulador!A319</f>
        <v/>
      </c>
      <c r="C324" s="160"/>
      <c r="D324" s="161" t="str">
        <f ca="1">Simulador!C319</f>
        <v/>
      </c>
      <c r="E324" s="160"/>
      <c r="F324" s="162" t="str">
        <f ca="1">Simulador!E319</f>
        <v/>
      </c>
      <c r="G324" s="160"/>
      <c r="H324" s="157" t="str">
        <f ca="1">Simulador!G319</f>
        <v/>
      </c>
      <c r="I324" s="160"/>
      <c r="J324" s="157" t="str">
        <f ca="1">Simulador!I319</f>
        <v/>
      </c>
      <c r="K324" s="160"/>
      <c r="L324" s="157" t="str">
        <f ca="1">Simulador!K319</f>
        <v/>
      </c>
      <c r="M324" s="160"/>
      <c r="N324" s="157" t="str">
        <f ca="1">Simulador!M319</f>
        <v/>
      </c>
      <c r="O324" s="160"/>
      <c r="P324" s="157" t="str">
        <f ca="1">Simulador!O319</f>
        <v/>
      </c>
      <c r="Q324" s="160"/>
      <c r="R324" s="157" t="str">
        <f ca="1">Simulador!Q319</f>
        <v/>
      </c>
      <c r="S324" s="160"/>
      <c r="T324" s="157" t="str">
        <f ca="1">Simulador!S319</f>
        <v/>
      </c>
    </row>
    <row r="325" spans="2:20" x14ac:dyDescent="0.3">
      <c r="B325" s="163" t="str">
        <f ca="1">Simulador!A320</f>
        <v/>
      </c>
      <c r="C325" s="160"/>
      <c r="D325" s="161" t="str">
        <f ca="1">Simulador!C320</f>
        <v/>
      </c>
      <c r="E325" s="160"/>
      <c r="F325" s="162" t="str">
        <f ca="1">Simulador!E320</f>
        <v/>
      </c>
      <c r="G325" s="160"/>
      <c r="H325" s="157" t="str">
        <f ca="1">Simulador!G320</f>
        <v/>
      </c>
      <c r="I325" s="160"/>
      <c r="J325" s="157" t="str">
        <f ca="1">Simulador!I320</f>
        <v/>
      </c>
      <c r="K325" s="160"/>
      <c r="L325" s="157" t="str">
        <f ca="1">Simulador!K320</f>
        <v/>
      </c>
      <c r="M325" s="160"/>
      <c r="N325" s="157" t="str">
        <f ca="1">Simulador!M320</f>
        <v/>
      </c>
      <c r="O325" s="160"/>
      <c r="P325" s="157" t="str">
        <f ca="1">Simulador!O320</f>
        <v/>
      </c>
      <c r="Q325" s="160"/>
      <c r="R325" s="157" t="str">
        <f ca="1">Simulador!Q320</f>
        <v/>
      </c>
      <c r="S325" s="160"/>
      <c r="T325" s="157" t="str">
        <f ca="1">Simulador!S320</f>
        <v/>
      </c>
    </row>
    <row r="326" spans="2:20" x14ac:dyDescent="0.3">
      <c r="B326" s="163" t="str">
        <f ca="1">Simulador!A321</f>
        <v/>
      </c>
      <c r="C326" s="160"/>
      <c r="D326" s="161" t="str">
        <f ca="1">Simulador!C321</f>
        <v/>
      </c>
      <c r="E326" s="160"/>
      <c r="F326" s="162" t="str">
        <f ca="1">Simulador!E321</f>
        <v/>
      </c>
      <c r="G326" s="160"/>
      <c r="H326" s="157" t="str">
        <f ca="1">Simulador!G321</f>
        <v/>
      </c>
      <c r="I326" s="160"/>
      <c r="J326" s="157" t="str">
        <f ca="1">Simulador!I321</f>
        <v/>
      </c>
      <c r="K326" s="160"/>
      <c r="L326" s="157" t="str">
        <f ca="1">Simulador!K321</f>
        <v/>
      </c>
      <c r="M326" s="160"/>
      <c r="N326" s="157" t="str">
        <f ca="1">Simulador!M321</f>
        <v/>
      </c>
      <c r="O326" s="160"/>
      <c r="P326" s="157" t="str">
        <f ca="1">Simulador!O321</f>
        <v/>
      </c>
      <c r="Q326" s="160"/>
      <c r="R326" s="157" t="str">
        <f ca="1">Simulador!Q321</f>
        <v/>
      </c>
      <c r="S326" s="160"/>
      <c r="T326" s="157" t="str">
        <f ca="1">Simulador!S321</f>
        <v/>
      </c>
    </row>
    <row r="327" spans="2:20" x14ac:dyDescent="0.3">
      <c r="B327" s="163" t="str">
        <f ca="1">Simulador!A322</f>
        <v/>
      </c>
      <c r="C327" s="160"/>
      <c r="D327" s="161" t="str">
        <f ca="1">Simulador!C322</f>
        <v/>
      </c>
      <c r="E327" s="160"/>
      <c r="F327" s="162" t="str">
        <f ca="1">Simulador!E322</f>
        <v/>
      </c>
      <c r="G327" s="160"/>
      <c r="H327" s="157" t="str">
        <f ca="1">Simulador!G322</f>
        <v/>
      </c>
      <c r="I327" s="160"/>
      <c r="J327" s="157" t="str">
        <f ca="1">Simulador!I322</f>
        <v/>
      </c>
      <c r="K327" s="160"/>
      <c r="L327" s="157" t="str">
        <f ca="1">Simulador!K322</f>
        <v/>
      </c>
      <c r="M327" s="160"/>
      <c r="N327" s="157" t="str">
        <f ca="1">Simulador!M322</f>
        <v/>
      </c>
      <c r="O327" s="160"/>
      <c r="P327" s="157" t="str">
        <f ca="1">Simulador!O322</f>
        <v/>
      </c>
      <c r="Q327" s="160"/>
      <c r="R327" s="157" t="str">
        <f ca="1">Simulador!Q322</f>
        <v/>
      </c>
      <c r="S327" s="160"/>
      <c r="T327" s="157" t="str">
        <f ca="1">Simulador!S322</f>
        <v/>
      </c>
    </row>
    <row r="328" spans="2:20" x14ac:dyDescent="0.3">
      <c r="B328" s="163" t="str">
        <f ca="1">Simulador!A323</f>
        <v/>
      </c>
      <c r="C328" s="160"/>
      <c r="D328" s="161" t="str">
        <f ca="1">Simulador!C323</f>
        <v/>
      </c>
      <c r="E328" s="160"/>
      <c r="F328" s="162" t="str">
        <f ca="1">Simulador!E323</f>
        <v/>
      </c>
      <c r="G328" s="160"/>
      <c r="H328" s="157" t="str">
        <f ca="1">Simulador!G323</f>
        <v/>
      </c>
      <c r="I328" s="160"/>
      <c r="J328" s="157" t="str">
        <f ca="1">Simulador!I323</f>
        <v/>
      </c>
      <c r="K328" s="160"/>
      <c r="L328" s="157" t="str">
        <f ca="1">Simulador!K323</f>
        <v/>
      </c>
      <c r="M328" s="160"/>
      <c r="N328" s="157" t="str">
        <f ca="1">Simulador!M323</f>
        <v/>
      </c>
      <c r="O328" s="160"/>
      <c r="P328" s="157" t="str">
        <f ca="1">Simulador!O323</f>
        <v/>
      </c>
      <c r="Q328" s="160"/>
      <c r="R328" s="157" t="str">
        <f ca="1">Simulador!Q323</f>
        <v/>
      </c>
      <c r="S328" s="160"/>
      <c r="T328" s="157" t="str">
        <f ca="1">Simulador!S323</f>
        <v/>
      </c>
    </row>
    <row r="329" spans="2:20" x14ac:dyDescent="0.3">
      <c r="B329" s="163" t="str">
        <f ca="1">Simulador!A324</f>
        <v/>
      </c>
      <c r="C329" s="160"/>
      <c r="D329" s="161" t="str">
        <f ca="1">Simulador!C324</f>
        <v/>
      </c>
      <c r="E329" s="160"/>
      <c r="F329" s="162" t="str">
        <f ca="1">Simulador!E324</f>
        <v/>
      </c>
      <c r="G329" s="160"/>
      <c r="H329" s="157" t="str">
        <f ca="1">Simulador!G324</f>
        <v/>
      </c>
      <c r="I329" s="160"/>
      <c r="J329" s="157" t="str">
        <f ca="1">Simulador!I324</f>
        <v/>
      </c>
      <c r="K329" s="160"/>
      <c r="L329" s="157" t="str">
        <f ca="1">Simulador!K324</f>
        <v/>
      </c>
      <c r="M329" s="160"/>
      <c r="N329" s="157" t="str">
        <f ca="1">Simulador!M324</f>
        <v/>
      </c>
      <c r="O329" s="160"/>
      <c r="P329" s="157" t="str">
        <f ca="1">Simulador!O324</f>
        <v/>
      </c>
      <c r="Q329" s="160"/>
      <c r="R329" s="157" t="str">
        <f ca="1">Simulador!Q324</f>
        <v/>
      </c>
      <c r="S329" s="160"/>
      <c r="T329" s="157" t="str">
        <f ca="1">Simulador!S324</f>
        <v/>
      </c>
    </row>
    <row r="330" spans="2:20" x14ac:dyDescent="0.3">
      <c r="B330" s="163" t="str">
        <f ca="1">Simulador!A325</f>
        <v/>
      </c>
      <c r="C330" s="160"/>
      <c r="D330" s="161" t="str">
        <f ca="1">Simulador!C325</f>
        <v/>
      </c>
      <c r="E330" s="160"/>
      <c r="F330" s="162" t="str">
        <f ca="1">Simulador!E325</f>
        <v/>
      </c>
      <c r="G330" s="160"/>
      <c r="H330" s="157" t="str">
        <f ca="1">Simulador!G325</f>
        <v/>
      </c>
      <c r="I330" s="160"/>
      <c r="J330" s="157" t="str">
        <f ca="1">Simulador!I325</f>
        <v/>
      </c>
      <c r="K330" s="160"/>
      <c r="L330" s="157" t="str">
        <f ca="1">Simulador!K325</f>
        <v/>
      </c>
      <c r="M330" s="160"/>
      <c r="N330" s="157" t="str">
        <f ca="1">Simulador!M325</f>
        <v/>
      </c>
      <c r="O330" s="160"/>
      <c r="P330" s="157" t="str">
        <f ca="1">Simulador!O325</f>
        <v/>
      </c>
      <c r="Q330" s="160"/>
      <c r="R330" s="157" t="str">
        <f ca="1">Simulador!Q325</f>
        <v/>
      </c>
      <c r="S330" s="160"/>
      <c r="T330" s="157" t="str">
        <f ca="1">Simulador!S325</f>
        <v/>
      </c>
    </row>
    <row r="331" spans="2:20" x14ac:dyDescent="0.3">
      <c r="B331" s="163" t="str">
        <f ca="1">Simulador!A326</f>
        <v/>
      </c>
      <c r="C331" s="160"/>
      <c r="D331" s="161" t="str">
        <f ca="1">Simulador!C326</f>
        <v/>
      </c>
      <c r="E331" s="160"/>
      <c r="F331" s="162" t="str">
        <f ca="1">Simulador!E326</f>
        <v/>
      </c>
      <c r="G331" s="160"/>
      <c r="H331" s="157" t="str">
        <f ca="1">Simulador!G326</f>
        <v/>
      </c>
      <c r="I331" s="160"/>
      <c r="J331" s="157" t="str">
        <f ca="1">Simulador!I326</f>
        <v/>
      </c>
      <c r="K331" s="160"/>
      <c r="L331" s="157" t="str">
        <f ca="1">Simulador!K326</f>
        <v/>
      </c>
      <c r="M331" s="160"/>
      <c r="N331" s="157" t="str">
        <f ca="1">Simulador!M326</f>
        <v/>
      </c>
      <c r="O331" s="160"/>
      <c r="P331" s="157" t="str">
        <f ca="1">Simulador!O326</f>
        <v/>
      </c>
      <c r="Q331" s="160"/>
      <c r="R331" s="157" t="str">
        <f ca="1">Simulador!Q326</f>
        <v/>
      </c>
      <c r="S331" s="160"/>
      <c r="T331" s="157" t="str">
        <f ca="1">Simulador!S326</f>
        <v/>
      </c>
    </row>
    <row r="332" spans="2:20" x14ac:dyDescent="0.3">
      <c r="B332" s="163" t="str">
        <f ca="1">Simulador!A327</f>
        <v/>
      </c>
      <c r="C332" s="160"/>
      <c r="D332" s="161" t="str">
        <f ca="1">Simulador!C327</f>
        <v/>
      </c>
      <c r="E332" s="160"/>
      <c r="F332" s="162" t="str">
        <f ca="1">Simulador!E327</f>
        <v/>
      </c>
      <c r="G332" s="160"/>
      <c r="H332" s="157" t="str">
        <f ca="1">Simulador!G327</f>
        <v/>
      </c>
      <c r="I332" s="160"/>
      <c r="J332" s="157" t="str">
        <f ca="1">Simulador!I327</f>
        <v/>
      </c>
      <c r="K332" s="160"/>
      <c r="L332" s="157" t="str">
        <f ca="1">Simulador!K327</f>
        <v/>
      </c>
      <c r="M332" s="160"/>
      <c r="N332" s="157" t="str">
        <f ca="1">Simulador!M327</f>
        <v/>
      </c>
      <c r="O332" s="160"/>
      <c r="P332" s="157" t="str">
        <f ca="1">Simulador!O327</f>
        <v/>
      </c>
      <c r="Q332" s="160"/>
      <c r="R332" s="157" t="str">
        <f ca="1">Simulador!Q327</f>
        <v/>
      </c>
      <c r="S332" s="160"/>
      <c r="T332" s="157" t="str">
        <f ca="1">Simulador!S327</f>
        <v/>
      </c>
    </row>
    <row r="333" spans="2:20" x14ac:dyDescent="0.3">
      <c r="B333" s="163" t="str">
        <f ca="1">Simulador!A328</f>
        <v/>
      </c>
      <c r="C333" s="160"/>
      <c r="D333" s="161" t="str">
        <f ca="1">Simulador!C328</f>
        <v/>
      </c>
      <c r="E333" s="160"/>
      <c r="F333" s="162" t="str">
        <f ca="1">Simulador!E328</f>
        <v/>
      </c>
      <c r="G333" s="160"/>
      <c r="H333" s="157" t="str">
        <f ca="1">Simulador!G328</f>
        <v/>
      </c>
      <c r="I333" s="160"/>
      <c r="J333" s="157" t="str">
        <f ca="1">Simulador!I328</f>
        <v/>
      </c>
      <c r="K333" s="160"/>
      <c r="L333" s="157" t="str">
        <f ca="1">Simulador!K328</f>
        <v/>
      </c>
      <c r="M333" s="160"/>
      <c r="N333" s="157" t="str">
        <f ca="1">Simulador!M328</f>
        <v/>
      </c>
      <c r="O333" s="160"/>
      <c r="P333" s="157" t="str">
        <f ca="1">Simulador!O328</f>
        <v/>
      </c>
      <c r="Q333" s="160"/>
      <c r="R333" s="157" t="str">
        <f ca="1">Simulador!Q328</f>
        <v/>
      </c>
      <c r="S333" s="160"/>
      <c r="T333" s="157" t="str">
        <f ca="1">Simulador!S328</f>
        <v/>
      </c>
    </row>
    <row r="334" spans="2:20" x14ac:dyDescent="0.3">
      <c r="B334" s="163" t="str">
        <f ca="1">Simulador!A329</f>
        <v/>
      </c>
      <c r="C334" s="160"/>
      <c r="D334" s="161" t="str">
        <f ca="1">Simulador!C329</f>
        <v/>
      </c>
      <c r="E334" s="160"/>
      <c r="F334" s="162" t="str">
        <f ca="1">Simulador!E329</f>
        <v/>
      </c>
      <c r="G334" s="160"/>
      <c r="H334" s="157" t="str">
        <f ca="1">Simulador!G329</f>
        <v/>
      </c>
      <c r="I334" s="160"/>
      <c r="J334" s="157" t="str">
        <f ca="1">Simulador!I329</f>
        <v/>
      </c>
      <c r="K334" s="160"/>
      <c r="L334" s="157" t="str">
        <f ca="1">Simulador!K329</f>
        <v/>
      </c>
      <c r="M334" s="160"/>
      <c r="N334" s="157" t="str">
        <f ca="1">Simulador!M329</f>
        <v/>
      </c>
      <c r="O334" s="160"/>
      <c r="P334" s="157" t="str">
        <f ca="1">Simulador!O329</f>
        <v/>
      </c>
      <c r="Q334" s="160"/>
      <c r="R334" s="157" t="str">
        <f ca="1">Simulador!Q329</f>
        <v/>
      </c>
      <c r="S334" s="160"/>
      <c r="T334" s="157" t="str">
        <f ca="1">Simulador!S329</f>
        <v/>
      </c>
    </row>
    <row r="335" spans="2:20" x14ac:dyDescent="0.3">
      <c r="B335" s="163" t="str">
        <f ca="1">Simulador!A330</f>
        <v/>
      </c>
      <c r="C335" s="160"/>
      <c r="D335" s="161" t="str">
        <f ca="1">Simulador!C330</f>
        <v/>
      </c>
      <c r="E335" s="160"/>
      <c r="F335" s="162" t="str">
        <f ca="1">Simulador!E330</f>
        <v/>
      </c>
      <c r="G335" s="160"/>
      <c r="H335" s="157" t="str">
        <f ca="1">Simulador!G330</f>
        <v/>
      </c>
      <c r="I335" s="160"/>
      <c r="J335" s="157" t="str">
        <f ca="1">Simulador!I330</f>
        <v/>
      </c>
      <c r="K335" s="160"/>
      <c r="L335" s="157" t="str">
        <f ca="1">Simulador!K330</f>
        <v/>
      </c>
      <c r="M335" s="160"/>
      <c r="N335" s="157" t="str">
        <f ca="1">Simulador!M330</f>
        <v/>
      </c>
      <c r="O335" s="160"/>
      <c r="P335" s="157" t="str">
        <f ca="1">Simulador!O330</f>
        <v/>
      </c>
      <c r="Q335" s="160"/>
      <c r="R335" s="157" t="str">
        <f ca="1">Simulador!Q330</f>
        <v/>
      </c>
      <c r="S335" s="160"/>
      <c r="T335" s="157" t="str">
        <f ca="1">Simulador!S330</f>
        <v/>
      </c>
    </row>
    <row r="336" spans="2:20" x14ac:dyDescent="0.3">
      <c r="B336" s="163" t="str">
        <f ca="1">Simulador!A331</f>
        <v/>
      </c>
      <c r="C336" s="160"/>
      <c r="D336" s="161" t="str">
        <f ca="1">Simulador!C331</f>
        <v/>
      </c>
      <c r="E336" s="160"/>
      <c r="F336" s="162" t="str">
        <f ca="1">Simulador!E331</f>
        <v/>
      </c>
      <c r="G336" s="160"/>
      <c r="H336" s="157" t="str">
        <f ca="1">Simulador!G331</f>
        <v/>
      </c>
      <c r="I336" s="160"/>
      <c r="J336" s="157" t="str">
        <f ca="1">Simulador!I331</f>
        <v/>
      </c>
      <c r="K336" s="160"/>
      <c r="L336" s="157" t="str">
        <f ca="1">Simulador!K331</f>
        <v/>
      </c>
      <c r="M336" s="160"/>
      <c r="N336" s="157" t="str">
        <f ca="1">Simulador!M331</f>
        <v/>
      </c>
      <c r="O336" s="160"/>
      <c r="P336" s="157" t="str">
        <f ca="1">Simulador!O331</f>
        <v/>
      </c>
      <c r="Q336" s="160"/>
      <c r="R336" s="157" t="str">
        <f ca="1">Simulador!Q331</f>
        <v/>
      </c>
      <c r="S336" s="160"/>
      <c r="T336" s="157" t="str">
        <f ca="1">Simulador!S331</f>
        <v/>
      </c>
    </row>
    <row r="337" spans="2:20" x14ac:dyDescent="0.3">
      <c r="B337" s="163" t="str">
        <f ca="1">Simulador!A332</f>
        <v/>
      </c>
      <c r="C337" s="160"/>
      <c r="D337" s="161" t="str">
        <f ca="1">Simulador!C332</f>
        <v/>
      </c>
      <c r="E337" s="160"/>
      <c r="F337" s="162" t="str">
        <f ca="1">Simulador!E332</f>
        <v/>
      </c>
      <c r="G337" s="160"/>
      <c r="H337" s="157" t="str">
        <f ca="1">Simulador!G332</f>
        <v/>
      </c>
      <c r="I337" s="160"/>
      <c r="J337" s="157" t="str">
        <f ca="1">Simulador!I332</f>
        <v/>
      </c>
      <c r="K337" s="160"/>
      <c r="L337" s="157" t="str">
        <f ca="1">Simulador!K332</f>
        <v/>
      </c>
      <c r="M337" s="160"/>
      <c r="N337" s="157" t="str">
        <f ca="1">Simulador!M332</f>
        <v/>
      </c>
      <c r="O337" s="160"/>
      <c r="P337" s="157" t="str">
        <f ca="1">Simulador!O332</f>
        <v/>
      </c>
      <c r="Q337" s="160"/>
      <c r="R337" s="157" t="str">
        <f ca="1">Simulador!Q332</f>
        <v/>
      </c>
      <c r="S337" s="160"/>
      <c r="T337" s="157" t="str">
        <f ca="1">Simulador!S332</f>
        <v/>
      </c>
    </row>
    <row r="338" spans="2:20" x14ac:dyDescent="0.3">
      <c r="B338" s="163" t="str">
        <f ca="1">Simulador!A333</f>
        <v/>
      </c>
      <c r="C338" s="160"/>
      <c r="D338" s="161" t="str">
        <f ca="1">Simulador!C333</f>
        <v/>
      </c>
      <c r="E338" s="160"/>
      <c r="F338" s="162" t="str">
        <f ca="1">Simulador!E333</f>
        <v/>
      </c>
      <c r="G338" s="160"/>
      <c r="H338" s="157" t="str">
        <f ca="1">Simulador!G333</f>
        <v/>
      </c>
      <c r="I338" s="160"/>
      <c r="J338" s="157" t="str">
        <f ca="1">Simulador!I333</f>
        <v/>
      </c>
      <c r="K338" s="160"/>
      <c r="L338" s="157" t="str">
        <f ca="1">Simulador!K333</f>
        <v/>
      </c>
      <c r="M338" s="160"/>
      <c r="N338" s="157" t="str">
        <f ca="1">Simulador!M333</f>
        <v/>
      </c>
      <c r="O338" s="160"/>
      <c r="P338" s="157" t="str">
        <f ca="1">Simulador!O333</f>
        <v/>
      </c>
      <c r="Q338" s="160"/>
      <c r="R338" s="157" t="str">
        <f ca="1">Simulador!Q333</f>
        <v/>
      </c>
      <c r="S338" s="160"/>
      <c r="T338" s="157" t="str">
        <f ca="1">Simulador!S333</f>
        <v/>
      </c>
    </row>
    <row r="339" spans="2:20" x14ac:dyDescent="0.3">
      <c r="B339" s="163" t="str">
        <f ca="1">Simulador!A334</f>
        <v/>
      </c>
      <c r="C339" s="160"/>
      <c r="D339" s="161" t="str">
        <f ca="1">Simulador!C334</f>
        <v/>
      </c>
      <c r="E339" s="160"/>
      <c r="F339" s="162" t="str">
        <f ca="1">Simulador!E334</f>
        <v/>
      </c>
      <c r="G339" s="160"/>
      <c r="H339" s="157" t="str">
        <f ca="1">Simulador!G334</f>
        <v/>
      </c>
      <c r="I339" s="160"/>
      <c r="J339" s="157" t="str">
        <f ca="1">Simulador!I334</f>
        <v/>
      </c>
      <c r="K339" s="160"/>
      <c r="L339" s="157" t="str">
        <f ca="1">Simulador!K334</f>
        <v/>
      </c>
      <c r="M339" s="160"/>
      <c r="N339" s="157" t="str">
        <f ca="1">Simulador!M334</f>
        <v/>
      </c>
      <c r="O339" s="160"/>
      <c r="P339" s="157" t="str">
        <f ca="1">Simulador!O334</f>
        <v/>
      </c>
      <c r="Q339" s="160"/>
      <c r="R339" s="157" t="str">
        <f ca="1">Simulador!Q334</f>
        <v/>
      </c>
      <c r="S339" s="160"/>
      <c r="T339" s="157" t="str">
        <f ca="1">Simulador!S334</f>
        <v/>
      </c>
    </row>
    <row r="340" spans="2:20" x14ac:dyDescent="0.3">
      <c r="B340" s="163" t="str">
        <f ca="1">Simulador!A335</f>
        <v/>
      </c>
      <c r="C340" s="160"/>
      <c r="D340" s="161" t="str">
        <f ca="1">Simulador!C335</f>
        <v/>
      </c>
      <c r="E340" s="160"/>
      <c r="F340" s="162" t="str">
        <f ca="1">Simulador!E335</f>
        <v/>
      </c>
      <c r="G340" s="160"/>
      <c r="H340" s="157" t="str">
        <f ca="1">Simulador!G335</f>
        <v/>
      </c>
      <c r="I340" s="160"/>
      <c r="J340" s="157" t="str">
        <f ca="1">Simulador!I335</f>
        <v/>
      </c>
      <c r="K340" s="160"/>
      <c r="L340" s="157" t="str">
        <f ca="1">Simulador!K335</f>
        <v/>
      </c>
      <c r="M340" s="160"/>
      <c r="N340" s="157" t="str">
        <f ca="1">Simulador!M335</f>
        <v/>
      </c>
      <c r="O340" s="160"/>
      <c r="P340" s="157" t="str">
        <f ca="1">Simulador!O335</f>
        <v/>
      </c>
      <c r="Q340" s="160"/>
      <c r="R340" s="157" t="str">
        <f ca="1">Simulador!Q335</f>
        <v/>
      </c>
      <c r="S340" s="160"/>
      <c r="T340" s="157" t="str">
        <f ca="1">Simulador!S335</f>
        <v/>
      </c>
    </row>
    <row r="341" spans="2:20" x14ac:dyDescent="0.3">
      <c r="B341" s="163" t="str">
        <f ca="1">Simulador!A336</f>
        <v/>
      </c>
      <c r="C341" s="160"/>
      <c r="D341" s="161" t="str">
        <f ca="1">Simulador!C336</f>
        <v/>
      </c>
      <c r="E341" s="160"/>
      <c r="F341" s="162" t="str">
        <f ca="1">Simulador!E336</f>
        <v/>
      </c>
      <c r="G341" s="160"/>
      <c r="H341" s="157" t="str">
        <f ca="1">Simulador!G336</f>
        <v/>
      </c>
      <c r="I341" s="160"/>
      <c r="J341" s="157" t="str">
        <f ca="1">Simulador!I336</f>
        <v/>
      </c>
      <c r="K341" s="160"/>
      <c r="L341" s="157" t="str">
        <f ca="1">Simulador!K336</f>
        <v/>
      </c>
      <c r="M341" s="160"/>
      <c r="N341" s="157" t="str">
        <f ca="1">Simulador!M336</f>
        <v/>
      </c>
      <c r="O341" s="160"/>
      <c r="P341" s="157" t="str">
        <f ca="1">Simulador!O336</f>
        <v/>
      </c>
      <c r="Q341" s="160"/>
      <c r="R341" s="157" t="str">
        <f ca="1">Simulador!Q336</f>
        <v/>
      </c>
      <c r="S341" s="160"/>
      <c r="T341" s="157" t="str">
        <f ca="1">Simulador!S336</f>
        <v/>
      </c>
    </row>
    <row r="342" spans="2:20" x14ac:dyDescent="0.3">
      <c r="B342" s="163" t="str">
        <f ca="1">Simulador!A337</f>
        <v/>
      </c>
      <c r="C342" s="160"/>
      <c r="D342" s="161" t="str">
        <f ca="1">Simulador!C337</f>
        <v/>
      </c>
      <c r="E342" s="160"/>
      <c r="F342" s="162" t="str">
        <f ca="1">Simulador!E337</f>
        <v/>
      </c>
      <c r="G342" s="160"/>
      <c r="H342" s="157" t="str">
        <f ca="1">Simulador!G337</f>
        <v/>
      </c>
      <c r="I342" s="160"/>
      <c r="J342" s="157" t="str">
        <f ca="1">Simulador!I337</f>
        <v/>
      </c>
      <c r="K342" s="160"/>
      <c r="L342" s="157" t="str">
        <f ca="1">Simulador!K337</f>
        <v/>
      </c>
      <c r="M342" s="160"/>
      <c r="N342" s="157" t="str">
        <f ca="1">Simulador!M337</f>
        <v/>
      </c>
      <c r="O342" s="160"/>
      <c r="P342" s="157" t="str">
        <f ca="1">Simulador!O337</f>
        <v/>
      </c>
      <c r="Q342" s="160"/>
      <c r="R342" s="157" t="str">
        <f ca="1">Simulador!Q337</f>
        <v/>
      </c>
      <c r="S342" s="160"/>
      <c r="T342" s="157" t="str">
        <f ca="1">Simulador!S337</f>
        <v/>
      </c>
    </row>
    <row r="343" spans="2:20" x14ac:dyDescent="0.3">
      <c r="B343" s="163" t="str">
        <f ca="1">Simulador!A338</f>
        <v/>
      </c>
      <c r="C343" s="160"/>
      <c r="D343" s="161" t="str">
        <f ca="1">Simulador!C338</f>
        <v/>
      </c>
      <c r="E343" s="160"/>
      <c r="F343" s="162" t="str">
        <f ca="1">Simulador!E338</f>
        <v/>
      </c>
      <c r="G343" s="160"/>
      <c r="H343" s="157" t="str">
        <f ca="1">Simulador!G338</f>
        <v/>
      </c>
      <c r="I343" s="160"/>
      <c r="J343" s="157" t="str">
        <f ca="1">Simulador!I338</f>
        <v/>
      </c>
      <c r="K343" s="160"/>
      <c r="L343" s="157" t="str">
        <f ca="1">Simulador!K338</f>
        <v/>
      </c>
      <c r="M343" s="160"/>
      <c r="N343" s="157" t="str">
        <f ca="1">Simulador!M338</f>
        <v/>
      </c>
      <c r="O343" s="160"/>
      <c r="P343" s="157" t="str">
        <f ca="1">Simulador!O338</f>
        <v/>
      </c>
      <c r="Q343" s="160"/>
      <c r="R343" s="157" t="str">
        <f ca="1">Simulador!Q338</f>
        <v/>
      </c>
      <c r="S343" s="160"/>
      <c r="T343" s="157" t="str">
        <f ca="1">Simulador!S338</f>
        <v/>
      </c>
    </row>
    <row r="344" spans="2:20" x14ac:dyDescent="0.3">
      <c r="B344" s="163" t="str">
        <f ca="1">Simulador!A339</f>
        <v/>
      </c>
      <c r="C344" s="160"/>
      <c r="D344" s="161" t="str">
        <f ca="1">Simulador!C339</f>
        <v/>
      </c>
      <c r="E344" s="160"/>
      <c r="F344" s="162" t="str">
        <f ca="1">Simulador!E339</f>
        <v/>
      </c>
      <c r="G344" s="160"/>
      <c r="H344" s="157" t="str">
        <f ca="1">Simulador!G339</f>
        <v/>
      </c>
      <c r="I344" s="160"/>
      <c r="J344" s="157" t="str">
        <f ca="1">Simulador!I339</f>
        <v/>
      </c>
      <c r="K344" s="160"/>
      <c r="L344" s="157" t="str">
        <f ca="1">Simulador!K339</f>
        <v/>
      </c>
      <c r="M344" s="160"/>
      <c r="N344" s="157" t="str">
        <f ca="1">Simulador!M339</f>
        <v/>
      </c>
      <c r="O344" s="160"/>
      <c r="P344" s="157" t="str">
        <f ca="1">Simulador!O339</f>
        <v/>
      </c>
      <c r="Q344" s="160"/>
      <c r="R344" s="157" t="str">
        <f ca="1">Simulador!Q339</f>
        <v/>
      </c>
      <c r="S344" s="160"/>
      <c r="T344" s="157" t="str">
        <f ca="1">Simulador!S339</f>
        <v/>
      </c>
    </row>
    <row r="345" spans="2:20" x14ac:dyDescent="0.3">
      <c r="B345" s="163" t="str">
        <f ca="1">Simulador!A340</f>
        <v/>
      </c>
      <c r="C345" s="160"/>
      <c r="D345" s="161" t="str">
        <f ca="1">Simulador!C340</f>
        <v/>
      </c>
      <c r="E345" s="160"/>
      <c r="F345" s="162" t="str">
        <f ca="1">Simulador!E340</f>
        <v/>
      </c>
      <c r="G345" s="160"/>
      <c r="H345" s="157" t="str">
        <f ca="1">Simulador!G340</f>
        <v/>
      </c>
      <c r="I345" s="160"/>
      <c r="J345" s="157" t="str">
        <f ca="1">Simulador!I340</f>
        <v/>
      </c>
      <c r="K345" s="160"/>
      <c r="L345" s="157" t="str">
        <f ca="1">Simulador!K340</f>
        <v/>
      </c>
      <c r="M345" s="160"/>
      <c r="N345" s="157" t="str">
        <f ca="1">Simulador!M340</f>
        <v/>
      </c>
      <c r="O345" s="160"/>
      <c r="P345" s="157" t="str">
        <f ca="1">Simulador!O340</f>
        <v/>
      </c>
      <c r="Q345" s="160"/>
      <c r="R345" s="157" t="str">
        <f ca="1">Simulador!Q340</f>
        <v/>
      </c>
      <c r="S345" s="160"/>
      <c r="T345" s="157" t="str">
        <f ca="1">Simulador!S340</f>
        <v/>
      </c>
    </row>
    <row r="346" spans="2:20" x14ac:dyDescent="0.3">
      <c r="B346" s="163" t="str">
        <f ca="1">Simulador!A341</f>
        <v/>
      </c>
      <c r="C346" s="160"/>
      <c r="D346" s="161" t="str">
        <f ca="1">Simulador!C341</f>
        <v/>
      </c>
      <c r="E346" s="160"/>
      <c r="F346" s="162" t="str">
        <f ca="1">Simulador!E341</f>
        <v/>
      </c>
      <c r="G346" s="160"/>
      <c r="H346" s="157" t="str">
        <f ca="1">Simulador!G341</f>
        <v/>
      </c>
      <c r="I346" s="160"/>
      <c r="J346" s="157" t="str">
        <f ca="1">Simulador!I341</f>
        <v/>
      </c>
      <c r="K346" s="160"/>
      <c r="L346" s="157" t="str">
        <f ca="1">Simulador!K341</f>
        <v/>
      </c>
      <c r="M346" s="160"/>
      <c r="N346" s="157" t="str">
        <f ca="1">Simulador!M341</f>
        <v/>
      </c>
      <c r="O346" s="160"/>
      <c r="P346" s="157" t="str">
        <f ca="1">Simulador!O341</f>
        <v/>
      </c>
      <c r="Q346" s="160"/>
      <c r="R346" s="157" t="str">
        <f ca="1">Simulador!Q341</f>
        <v/>
      </c>
      <c r="S346" s="160"/>
      <c r="T346" s="157" t="str">
        <f ca="1">Simulador!S341</f>
        <v/>
      </c>
    </row>
    <row r="347" spans="2:20" x14ac:dyDescent="0.3">
      <c r="B347" s="163" t="str">
        <f ca="1">Simulador!A342</f>
        <v/>
      </c>
      <c r="C347" s="160"/>
      <c r="D347" s="161" t="str">
        <f ca="1">Simulador!C342</f>
        <v/>
      </c>
      <c r="E347" s="160"/>
      <c r="F347" s="162" t="str">
        <f ca="1">Simulador!E342</f>
        <v/>
      </c>
      <c r="G347" s="160"/>
      <c r="H347" s="157" t="str">
        <f ca="1">Simulador!G342</f>
        <v/>
      </c>
      <c r="I347" s="160"/>
      <c r="J347" s="157" t="str">
        <f ca="1">Simulador!I342</f>
        <v/>
      </c>
      <c r="K347" s="160"/>
      <c r="L347" s="157" t="str">
        <f ca="1">Simulador!K342</f>
        <v/>
      </c>
      <c r="M347" s="160"/>
      <c r="N347" s="157" t="str">
        <f ca="1">Simulador!M342</f>
        <v/>
      </c>
      <c r="O347" s="160"/>
      <c r="P347" s="157" t="str">
        <f ca="1">Simulador!O342</f>
        <v/>
      </c>
      <c r="Q347" s="160"/>
      <c r="R347" s="157" t="str">
        <f ca="1">Simulador!Q342</f>
        <v/>
      </c>
      <c r="S347" s="160"/>
      <c r="T347" s="157" t="str">
        <f ca="1">Simulador!S342</f>
        <v/>
      </c>
    </row>
    <row r="348" spans="2:20" x14ac:dyDescent="0.3">
      <c r="B348" s="163" t="str">
        <f ca="1">Simulador!A343</f>
        <v/>
      </c>
      <c r="C348" s="160"/>
      <c r="D348" s="161" t="str">
        <f ca="1">Simulador!C343</f>
        <v/>
      </c>
      <c r="E348" s="160"/>
      <c r="F348" s="162" t="str">
        <f ca="1">Simulador!E343</f>
        <v/>
      </c>
      <c r="G348" s="160"/>
      <c r="H348" s="157" t="str">
        <f ca="1">Simulador!G343</f>
        <v/>
      </c>
      <c r="I348" s="160"/>
      <c r="J348" s="157" t="str">
        <f ca="1">Simulador!I343</f>
        <v/>
      </c>
      <c r="K348" s="160"/>
      <c r="L348" s="157" t="str">
        <f ca="1">Simulador!K343</f>
        <v/>
      </c>
      <c r="M348" s="160"/>
      <c r="N348" s="157" t="str">
        <f ca="1">Simulador!M343</f>
        <v/>
      </c>
      <c r="O348" s="160"/>
      <c r="P348" s="157" t="str">
        <f ca="1">Simulador!O343</f>
        <v/>
      </c>
      <c r="Q348" s="160"/>
      <c r="R348" s="157" t="str">
        <f ca="1">Simulador!Q343</f>
        <v/>
      </c>
      <c r="S348" s="160"/>
      <c r="T348" s="157" t="str">
        <f ca="1">Simulador!S343</f>
        <v/>
      </c>
    </row>
    <row r="349" spans="2:20" x14ac:dyDescent="0.3">
      <c r="B349" s="163" t="str">
        <f ca="1">Simulador!A344</f>
        <v/>
      </c>
      <c r="C349" s="160"/>
      <c r="D349" s="161" t="str">
        <f ca="1">Simulador!C344</f>
        <v/>
      </c>
      <c r="E349" s="160"/>
      <c r="F349" s="162" t="str">
        <f ca="1">Simulador!E344</f>
        <v/>
      </c>
      <c r="G349" s="160"/>
      <c r="H349" s="157" t="str">
        <f ca="1">Simulador!G344</f>
        <v/>
      </c>
      <c r="I349" s="160"/>
      <c r="J349" s="157" t="str">
        <f ca="1">Simulador!I344</f>
        <v/>
      </c>
      <c r="K349" s="160"/>
      <c r="L349" s="157" t="str">
        <f ca="1">Simulador!K344</f>
        <v/>
      </c>
      <c r="M349" s="160"/>
      <c r="N349" s="157" t="str">
        <f ca="1">Simulador!M344</f>
        <v/>
      </c>
      <c r="O349" s="160"/>
      <c r="P349" s="157" t="str">
        <f ca="1">Simulador!O344</f>
        <v/>
      </c>
      <c r="Q349" s="160"/>
      <c r="R349" s="157" t="str">
        <f ca="1">Simulador!Q344</f>
        <v/>
      </c>
      <c r="S349" s="160"/>
      <c r="T349" s="157" t="str">
        <f ca="1">Simulador!S344</f>
        <v/>
      </c>
    </row>
    <row r="350" spans="2:20" x14ac:dyDescent="0.3">
      <c r="B350" s="163" t="str">
        <f ca="1">Simulador!A345</f>
        <v/>
      </c>
      <c r="C350" s="160"/>
      <c r="D350" s="161" t="str">
        <f ca="1">Simulador!C345</f>
        <v/>
      </c>
      <c r="E350" s="160"/>
      <c r="F350" s="162" t="str">
        <f ca="1">Simulador!E345</f>
        <v/>
      </c>
      <c r="G350" s="160"/>
      <c r="H350" s="157" t="str">
        <f ca="1">Simulador!G345</f>
        <v/>
      </c>
      <c r="I350" s="160"/>
      <c r="J350" s="157" t="str">
        <f ca="1">Simulador!I345</f>
        <v/>
      </c>
      <c r="K350" s="160"/>
      <c r="L350" s="157" t="str">
        <f ca="1">Simulador!K345</f>
        <v/>
      </c>
      <c r="M350" s="160"/>
      <c r="N350" s="157" t="str">
        <f ca="1">Simulador!M345</f>
        <v/>
      </c>
      <c r="O350" s="160"/>
      <c r="P350" s="157" t="str">
        <f ca="1">Simulador!O345</f>
        <v/>
      </c>
      <c r="Q350" s="160"/>
      <c r="R350" s="157" t="str">
        <f ca="1">Simulador!Q345</f>
        <v/>
      </c>
      <c r="S350" s="160"/>
      <c r="T350" s="157" t="str">
        <f ca="1">Simulador!S345</f>
        <v/>
      </c>
    </row>
    <row r="351" spans="2:20" x14ac:dyDescent="0.3">
      <c r="B351" s="163" t="str">
        <f ca="1">Simulador!A346</f>
        <v/>
      </c>
      <c r="C351" s="160"/>
      <c r="D351" s="161" t="str">
        <f ca="1">Simulador!C346</f>
        <v/>
      </c>
      <c r="E351" s="160"/>
      <c r="F351" s="162" t="str">
        <f ca="1">Simulador!E346</f>
        <v/>
      </c>
      <c r="G351" s="160"/>
      <c r="H351" s="157" t="str">
        <f ca="1">Simulador!G346</f>
        <v/>
      </c>
      <c r="I351" s="160"/>
      <c r="J351" s="157" t="str">
        <f ca="1">Simulador!I346</f>
        <v/>
      </c>
      <c r="K351" s="160"/>
      <c r="L351" s="157" t="str">
        <f ca="1">Simulador!K346</f>
        <v/>
      </c>
      <c r="M351" s="160"/>
      <c r="N351" s="157" t="str">
        <f ca="1">Simulador!M346</f>
        <v/>
      </c>
      <c r="O351" s="160"/>
      <c r="P351" s="157" t="str">
        <f ca="1">Simulador!O346</f>
        <v/>
      </c>
      <c r="Q351" s="160"/>
      <c r="R351" s="157" t="str">
        <f ca="1">Simulador!Q346</f>
        <v/>
      </c>
      <c r="S351" s="160"/>
      <c r="T351" s="157" t="str">
        <f ca="1">Simulador!S346</f>
        <v/>
      </c>
    </row>
    <row r="352" spans="2:20" x14ac:dyDescent="0.3">
      <c r="B352" s="163" t="str">
        <f ca="1">Simulador!A347</f>
        <v/>
      </c>
      <c r="C352" s="160"/>
      <c r="D352" s="161" t="str">
        <f ca="1">Simulador!C347</f>
        <v/>
      </c>
      <c r="E352" s="160"/>
      <c r="F352" s="162" t="str">
        <f ca="1">Simulador!E347</f>
        <v/>
      </c>
      <c r="G352" s="160"/>
      <c r="H352" s="157" t="str">
        <f ca="1">Simulador!G347</f>
        <v/>
      </c>
      <c r="I352" s="160"/>
      <c r="J352" s="157" t="str">
        <f ca="1">Simulador!I347</f>
        <v/>
      </c>
      <c r="K352" s="160"/>
      <c r="L352" s="157" t="str">
        <f ca="1">Simulador!K347</f>
        <v/>
      </c>
      <c r="M352" s="160"/>
      <c r="N352" s="157" t="str">
        <f ca="1">Simulador!M347</f>
        <v/>
      </c>
      <c r="O352" s="160"/>
      <c r="P352" s="157" t="str">
        <f ca="1">Simulador!O347</f>
        <v/>
      </c>
      <c r="Q352" s="160"/>
      <c r="R352" s="157" t="str">
        <f ca="1">Simulador!Q347</f>
        <v/>
      </c>
      <c r="S352" s="160"/>
      <c r="T352" s="157" t="str">
        <f ca="1">Simulador!S347</f>
        <v/>
      </c>
    </row>
    <row r="353" spans="2:20" x14ac:dyDescent="0.3">
      <c r="B353" s="163" t="str">
        <f ca="1">Simulador!A348</f>
        <v/>
      </c>
      <c r="C353" s="160"/>
      <c r="D353" s="161" t="str">
        <f ca="1">Simulador!C348</f>
        <v/>
      </c>
      <c r="E353" s="160"/>
      <c r="F353" s="162" t="str">
        <f ca="1">Simulador!E348</f>
        <v/>
      </c>
      <c r="G353" s="160"/>
      <c r="H353" s="157" t="str">
        <f ca="1">Simulador!G348</f>
        <v/>
      </c>
      <c r="I353" s="160"/>
      <c r="J353" s="157" t="str">
        <f ca="1">Simulador!I348</f>
        <v/>
      </c>
      <c r="K353" s="160"/>
      <c r="L353" s="157" t="str">
        <f ca="1">Simulador!K348</f>
        <v/>
      </c>
      <c r="M353" s="160"/>
      <c r="N353" s="157" t="str">
        <f ca="1">Simulador!M348</f>
        <v/>
      </c>
      <c r="O353" s="160"/>
      <c r="P353" s="157" t="str">
        <f ca="1">Simulador!O348</f>
        <v/>
      </c>
      <c r="Q353" s="160"/>
      <c r="R353" s="157" t="str">
        <f ca="1">Simulador!Q348</f>
        <v/>
      </c>
      <c r="S353" s="160"/>
      <c r="T353" s="157" t="str">
        <f ca="1">Simulador!S348</f>
        <v/>
      </c>
    </row>
    <row r="354" spans="2:20" x14ac:dyDescent="0.3">
      <c r="B354" s="163" t="str">
        <f ca="1">Simulador!A349</f>
        <v/>
      </c>
      <c r="C354" s="160"/>
      <c r="D354" s="161" t="str">
        <f ca="1">Simulador!C349</f>
        <v/>
      </c>
      <c r="E354" s="160"/>
      <c r="F354" s="162" t="str">
        <f ca="1">Simulador!E349</f>
        <v/>
      </c>
      <c r="G354" s="160"/>
      <c r="H354" s="157" t="str">
        <f ca="1">Simulador!G349</f>
        <v/>
      </c>
      <c r="I354" s="160"/>
      <c r="J354" s="157" t="str">
        <f ca="1">Simulador!I349</f>
        <v/>
      </c>
      <c r="K354" s="160"/>
      <c r="L354" s="157" t="str">
        <f ca="1">Simulador!K349</f>
        <v/>
      </c>
      <c r="M354" s="160"/>
      <c r="N354" s="157" t="str">
        <f ca="1">Simulador!M349</f>
        <v/>
      </c>
      <c r="O354" s="160"/>
      <c r="P354" s="157" t="str">
        <f ca="1">Simulador!O349</f>
        <v/>
      </c>
      <c r="Q354" s="160"/>
      <c r="R354" s="157" t="str">
        <f ca="1">Simulador!Q349</f>
        <v/>
      </c>
      <c r="S354" s="160"/>
      <c r="T354" s="157" t="str">
        <f ca="1">Simulador!S349</f>
        <v/>
      </c>
    </row>
    <row r="355" spans="2:20" x14ac:dyDescent="0.3">
      <c r="B355" s="163" t="str">
        <f ca="1">Simulador!A350</f>
        <v/>
      </c>
      <c r="C355" s="160"/>
      <c r="D355" s="161" t="str">
        <f ca="1">Simulador!C350</f>
        <v/>
      </c>
      <c r="E355" s="160"/>
      <c r="F355" s="162" t="str">
        <f ca="1">Simulador!E350</f>
        <v/>
      </c>
      <c r="G355" s="160"/>
      <c r="H355" s="157" t="str">
        <f ca="1">Simulador!G350</f>
        <v/>
      </c>
      <c r="I355" s="160"/>
      <c r="J355" s="157" t="str">
        <f ca="1">Simulador!I350</f>
        <v/>
      </c>
      <c r="K355" s="160"/>
      <c r="L355" s="157" t="str">
        <f ca="1">Simulador!K350</f>
        <v/>
      </c>
      <c r="M355" s="160"/>
      <c r="N355" s="157" t="str">
        <f ca="1">Simulador!M350</f>
        <v/>
      </c>
      <c r="O355" s="160"/>
      <c r="P355" s="157" t="str">
        <f ca="1">Simulador!O350</f>
        <v/>
      </c>
      <c r="Q355" s="160"/>
      <c r="R355" s="157" t="str">
        <f ca="1">Simulador!Q350</f>
        <v/>
      </c>
      <c r="S355" s="160"/>
      <c r="T355" s="157" t="str">
        <f ca="1">Simulador!S350</f>
        <v/>
      </c>
    </row>
    <row r="356" spans="2:20" x14ac:dyDescent="0.3">
      <c r="B356" s="163" t="str">
        <f ca="1">Simulador!A351</f>
        <v/>
      </c>
      <c r="C356" s="160"/>
      <c r="D356" s="161" t="str">
        <f ca="1">Simulador!C351</f>
        <v/>
      </c>
      <c r="E356" s="160"/>
      <c r="F356" s="162" t="str">
        <f ca="1">Simulador!E351</f>
        <v/>
      </c>
      <c r="G356" s="160"/>
      <c r="H356" s="157" t="str">
        <f ca="1">Simulador!G351</f>
        <v/>
      </c>
      <c r="I356" s="160"/>
      <c r="J356" s="157" t="str">
        <f ca="1">Simulador!I351</f>
        <v/>
      </c>
      <c r="K356" s="160"/>
      <c r="L356" s="157" t="str">
        <f ca="1">Simulador!K351</f>
        <v/>
      </c>
      <c r="M356" s="160"/>
      <c r="N356" s="157" t="str">
        <f ca="1">Simulador!M351</f>
        <v/>
      </c>
      <c r="O356" s="160"/>
      <c r="P356" s="157" t="str">
        <f ca="1">Simulador!O351</f>
        <v/>
      </c>
      <c r="Q356" s="160"/>
      <c r="R356" s="157" t="str">
        <f ca="1">Simulador!Q351</f>
        <v/>
      </c>
      <c r="S356" s="160"/>
      <c r="T356" s="157" t="str">
        <f ca="1">Simulador!S351</f>
        <v/>
      </c>
    </row>
    <row r="357" spans="2:20" x14ac:dyDescent="0.3">
      <c r="B357" s="163" t="str">
        <f ca="1">Simulador!A352</f>
        <v/>
      </c>
      <c r="C357" s="160"/>
      <c r="D357" s="161" t="str">
        <f ca="1">Simulador!C352</f>
        <v/>
      </c>
      <c r="E357" s="160"/>
      <c r="F357" s="162" t="str">
        <f ca="1">Simulador!E352</f>
        <v/>
      </c>
      <c r="G357" s="160"/>
      <c r="H357" s="157" t="str">
        <f ca="1">Simulador!G352</f>
        <v/>
      </c>
      <c r="I357" s="160"/>
      <c r="J357" s="157" t="str">
        <f ca="1">Simulador!I352</f>
        <v/>
      </c>
      <c r="K357" s="160"/>
      <c r="L357" s="157" t="str">
        <f ca="1">Simulador!K352</f>
        <v/>
      </c>
      <c r="M357" s="160"/>
      <c r="N357" s="157" t="str">
        <f ca="1">Simulador!M352</f>
        <v/>
      </c>
      <c r="O357" s="160"/>
      <c r="P357" s="157" t="str">
        <f ca="1">Simulador!O352</f>
        <v/>
      </c>
      <c r="Q357" s="160"/>
      <c r="R357" s="157" t="str">
        <f ca="1">Simulador!Q352</f>
        <v/>
      </c>
      <c r="S357" s="160"/>
      <c r="T357" s="157" t="str">
        <f ca="1">Simulador!S352</f>
        <v/>
      </c>
    </row>
    <row r="358" spans="2:20" x14ac:dyDescent="0.3">
      <c r="B358" s="163" t="str">
        <f ca="1">Simulador!A353</f>
        <v/>
      </c>
      <c r="C358" s="160"/>
      <c r="D358" s="161" t="str">
        <f ca="1">Simulador!C353</f>
        <v/>
      </c>
      <c r="E358" s="160"/>
      <c r="F358" s="162" t="str">
        <f ca="1">Simulador!E353</f>
        <v/>
      </c>
      <c r="G358" s="160"/>
      <c r="H358" s="157" t="str">
        <f ca="1">Simulador!G353</f>
        <v/>
      </c>
      <c r="I358" s="160"/>
      <c r="J358" s="157" t="str">
        <f ca="1">Simulador!I353</f>
        <v/>
      </c>
      <c r="K358" s="160"/>
      <c r="L358" s="157" t="str">
        <f ca="1">Simulador!K353</f>
        <v/>
      </c>
      <c r="M358" s="160"/>
      <c r="N358" s="157" t="str">
        <f ca="1">Simulador!M353</f>
        <v/>
      </c>
      <c r="O358" s="160"/>
      <c r="P358" s="157" t="str">
        <f ca="1">Simulador!O353</f>
        <v/>
      </c>
      <c r="Q358" s="160"/>
      <c r="R358" s="157" t="str">
        <f ca="1">Simulador!Q353</f>
        <v/>
      </c>
      <c r="S358" s="160"/>
      <c r="T358" s="157" t="str">
        <f ca="1">Simulador!S353</f>
        <v/>
      </c>
    </row>
    <row r="359" spans="2:20" x14ac:dyDescent="0.3">
      <c r="B359" s="163" t="str">
        <f ca="1">Simulador!A354</f>
        <v/>
      </c>
      <c r="C359" s="160"/>
      <c r="D359" s="161" t="str">
        <f ca="1">Simulador!C354</f>
        <v/>
      </c>
      <c r="E359" s="160"/>
      <c r="F359" s="162" t="str">
        <f ca="1">Simulador!E354</f>
        <v/>
      </c>
      <c r="G359" s="160"/>
      <c r="H359" s="157" t="str">
        <f ca="1">Simulador!G354</f>
        <v/>
      </c>
      <c r="I359" s="160"/>
      <c r="J359" s="157" t="str">
        <f ca="1">Simulador!I354</f>
        <v/>
      </c>
      <c r="K359" s="160"/>
      <c r="L359" s="157" t="str">
        <f ca="1">Simulador!K354</f>
        <v/>
      </c>
      <c r="M359" s="160"/>
      <c r="N359" s="157" t="str">
        <f ca="1">Simulador!M354</f>
        <v/>
      </c>
      <c r="O359" s="160"/>
      <c r="P359" s="157" t="str">
        <f ca="1">Simulador!O354</f>
        <v/>
      </c>
      <c r="Q359" s="160"/>
      <c r="R359" s="157" t="str">
        <f ca="1">Simulador!Q354</f>
        <v/>
      </c>
      <c r="S359" s="160"/>
      <c r="T359" s="157" t="str">
        <f ca="1">Simulador!S354</f>
        <v/>
      </c>
    </row>
    <row r="360" spans="2:20" x14ac:dyDescent="0.3">
      <c r="B360" s="163" t="str">
        <f ca="1">Simulador!A355</f>
        <v/>
      </c>
      <c r="C360" s="160"/>
      <c r="D360" s="161" t="str">
        <f ca="1">Simulador!C355</f>
        <v/>
      </c>
      <c r="E360" s="160"/>
      <c r="F360" s="162" t="str">
        <f ca="1">Simulador!E355</f>
        <v/>
      </c>
      <c r="G360" s="160"/>
      <c r="H360" s="157" t="str">
        <f ca="1">Simulador!G355</f>
        <v/>
      </c>
      <c r="I360" s="160"/>
      <c r="J360" s="157" t="str">
        <f ca="1">Simulador!I355</f>
        <v/>
      </c>
      <c r="K360" s="160"/>
      <c r="L360" s="157" t="str">
        <f ca="1">Simulador!K355</f>
        <v/>
      </c>
      <c r="M360" s="160"/>
      <c r="N360" s="157" t="str">
        <f ca="1">Simulador!M355</f>
        <v/>
      </c>
      <c r="O360" s="160"/>
      <c r="P360" s="157" t="str">
        <f ca="1">Simulador!O355</f>
        <v/>
      </c>
      <c r="Q360" s="160"/>
      <c r="R360" s="157" t="str">
        <f ca="1">Simulador!Q355</f>
        <v/>
      </c>
      <c r="S360" s="160"/>
      <c r="T360" s="157" t="str">
        <f ca="1">Simulador!S355</f>
        <v/>
      </c>
    </row>
    <row r="361" spans="2:20" x14ac:dyDescent="0.3">
      <c r="B361" s="163" t="str">
        <f ca="1">Simulador!A356</f>
        <v/>
      </c>
      <c r="C361" s="160"/>
      <c r="D361" s="161" t="str">
        <f ca="1">Simulador!C356</f>
        <v/>
      </c>
      <c r="E361" s="160"/>
      <c r="F361" s="162" t="str">
        <f ca="1">Simulador!E356</f>
        <v/>
      </c>
      <c r="G361" s="160"/>
      <c r="H361" s="157" t="str">
        <f ca="1">Simulador!G356</f>
        <v/>
      </c>
      <c r="I361" s="160"/>
      <c r="J361" s="157" t="str">
        <f ca="1">Simulador!I356</f>
        <v/>
      </c>
      <c r="K361" s="160"/>
      <c r="L361" s="157" t="str">
        <f ca="1">Simulador!K356</f>
        <v/>
      </c>
      <c r="M361" s="160"/>
      <c r="N361" s="157" t="str">
        <f ca="1">Simulador!M356</f>
        <v/>
      </c>
      <c r="O361" s="160"/>
      <c r="P361" s="157" t="str">
        <f ca="1">Simulador!O356</f>
        <v/>
      </c>
      <c r="Q361" s="160"/>
      <c r="R361" s="157" t="str">
        <f ca="1">Simulador!Q356</f>
        <v/>
      </c>
      <c r="S361" s="160"/>
      <c r="T361" s="157" t="str">
        <f ca="1">Simulador!S356</f>
        <v/>
      </c>
    </row>
    <row r="362" spans="2:20" x14ac:dyDescent="0.3">
      <c r="B362" s="163" t="str">
        <f ca="1">Simulador!A357</f>
        <v/>
      </c>
      <c r="C362" s="160"/>
      <c r="D362" s="161" t="str">
        <f ca="1">Simulador!C357</f>
        <v/>
      </c>
      <c r="E362" s="160"/>
      <c r="F362" s="162" t="str">
        <f ca="1">Simulador!E357</f>
        <v/>
      </c>
      <c r="G362" s="160"/>
      <c r="H362" s="157" t="str">
        <f ca="1">Simulador!G357</f>
        <v/>
      </c>
      <c r="I362" s="160"/>
      <c r="J362" s="157" t="str">
        <f ca="1">Simulador!I357</f>
        <v/>
      </c>
      <c r="K362" s="160"/>
      <c r="L362" s="157" t="str">
        <f ca="1">Simulador!K357</f>
        <v/>
      </c>
      <c r="M362" s="160"/>
      <c r="N362" s="157" t="str">
        <f ca="1">Simulador!M357</f>
        <v/>
      </c>
      <c r="O362" s="160"/>
      <c r="P362" s="157" t="str">
        <f ca="1">Simulador!O357</f>
        <v/>
      </c>
      <c r="Q362" s="160"/>
      <c r="R362" s="157" t="str">
        <f ca="1">Simulador!Q357</f>
        <v/>
      </c>
      <c r="S362" s="160"/>
      <c r="T362" s="157" t="str">
        <f ca="1">Simulador!S357</f>
        <v/>
      </c>
    </row>
    <row r="363" spans="2:20" x14ac:dyDescent="0.3">
      <c r="B363" s="163" t="str">
        <f ca="1">Simulador!A358</f>
        <v/>
      </c>
      <c r="C363" s="160"/>
      <c r="D363" s="161" t="str">
        <f ca="1">Simulador!C358</f>
        <v/>
      </c>
      <c r="E363" s="160"/>
      <c r="F363" s="162" t="str">
        <f ca="1">Simulador!E358</f>
        <v/>
      </c>
      <c r="G363" s="160"/>
      <c r="H363" s="157" t="str">
        <f ca="1">Simulador!G358</f>
        <v/>
      </c>
      <c r="I363" s="160"/>
      <c r="J363" s="157" t="str">
        <f ca="1">Simulador!I358</f>
        <v/>
      </c>
      <c r="K363" s="160"/>
      <c r="L363" s="157" t="str">
        <f ca="1">Simulador!K358</f>
        <v/>
      </c>
      <c r="M363" s="160"/>
      <c r="N363" s="157" t="str">
        <f ca="1">Simulador!M358</f>
        <v/>
      </c>
      <c r="O363" s="160"/>
      <c r="P363" s="157" t="str">
        <f ca="1">Simulador!O358</f>
        <v/>
      </c>
      <c r="Q363" s="160"/>
      <c r="R363" s="157" t="str">
        <f ca="1">Simulador!Q358</f>
        <v/>
      </c>
      <c r="S363" s="160"/>
      <c r="T363" s="157" t="str">
        <f ca="1">Simulador!S358</f>
        <v/>
      </c>
    </row>
    <row r="364" spans="2:20" x14ac:dyDescent="0.3">
      <c r="B364" s="163" t="str">
        <f ca="1">Simulador!A359</f>
        <v/>
      </c>
      <c r="C364" s="160"/>
      <c r="D364" s="161" t="str">
        <f ca="1">Simulador!C359</f>
        <v/>
      </c>
      <c r="E364" s="160"/>
      <c r="F364" s="162" t="str">
        <f ca="1">Simulador!E359</f>
        <v/>
      </c>
      <c r="G364" s="160"/>
      <c r="H364" s="157" t="str">
        <f ca="1">Simulador!G359</f>
        <v/>
      </c>
      <c r="I364" s="160"/>
      <c r="J364" s="157" t="str">
        <f ca="1">Simulador!I359</f>
        <v/>
      </c>
      <c r="K364" s="160"/>
      <c r="L364" s="157" t="str">
        <f ca="1">Simulador!K359</f>
        <v/>
      </c>
      <c r="M364" s="160"/>
      <c r="N364" s="157" t="str">
        <f ca="1">Simulador!M359</f>
        <v/>
      </c>
      <c r="O364" s="160"/>
      <c r="P364" s="157" t="str">
        <f ca="1">Simulador!O359</f>
        <v/>
      </c>
      <c r="Q364" s="160"/>
      <c r="R364" s="157" t="str">
        <f ca="1">Simulador!Q359</f>
        <v/>
      </c>
      <c r="S364" s="160"/>
      <c r="T364" s="157" t="str">
        <f ca="1">Simulador!S359</f>
        <v/>
      </c>
    </row>
    <row r="365" spans="2:20" x14ac:dyDescent="0.3">
      <c r="B365" s="163" t="str">
        <f ca="1">Simulador!A360</f>
        <v/>
      </c>
      <c r="C365" s="160"/>
      <c r="D365" s="161" t="str">
        <f ca="1">Simulador!C360</f>
        <v/>
      </c>
      <c r="E365" s="160"/>
      <c r="F365" s="162" t="str">
        <f ca="1">Simulador!E360</f>
        <v/>
      </c>
      <c r="G365" s="160"/>
      <c r="H365" s="157" t="str">
        <f ca="1">Simulador!G360</f>
        <v/>
      </c>
      <c r="I365" s="160"/>
      <c r="J365" s="157" t="str">
        <f ca="1">Simulador!I360</f>
        <v/>
      </c>
      <c r="K365" s="160"/>
      <c r="L365" s="157" t="str">
        <f ca="1">Simulador!K360</f>
        <v/>
      </c>
      <c r="M365" s="160"/>
      <c r="N365" s="157" t="str">
        <f ca="1">Simulador!M360</f>
        <v/>
      </c>
      <c r="O365" s="160"/>
      <c r="P365" s="157" t="str">
        <f ca="1">Simulador!O360</f>
        <v/>
      </c>
      <c r="Q365" s="160"/>
      <c r="R365" s="157" t="str">
        <f ca="1">Simulador!Q360</f>
        <v/>
      </c>
      <c r="S365" s="160"/>
      <c r="T365" s="157" t="str">
        <f ca="1">Simulador!S360</f>
        <v/>
      </c>
    </row>
    <row r="366" spans="2:20" x14ac:dyDescent="0.3">
      <c r="B366" s="163" t="str">
        <f ca="1">Simulador!A361</f>
        <v/>
      </c>
      <c r="C366" s="160"/>
      <c r="D366" s="161" t="str">
        <f ca="1">Simulador!C361</f>
        <v/>
      </c>
      <c r="E366" s="160"/>
      <c r="F366" s="162" t="str">
        <f ca="1">Simulador!E361</f>
        <v/>
      </c>
      <c r="G366" s="160"/>
      <c r="H366" s="157" t="str">
        <f ca="1">Simulador!G361</f>
        <v/>
      </c>
      <c r="I366" s="160"/>
      <c r="J366" s="157" t="str">
        <f ca="1">Simulador!I361</f>
        <v/>
      </c>
      <c r="K366" s="160"/>
      <c r="L366" s="157" t="str">
        <f ca="1">Simulador!K361</f>
        <v/>
      </c>
      <c r="M366" s="160"/>
      <c r="N366" s="157" t="str">
        <f ca="1">Simulador!M361</f>
        <v/>
      </c>
      <c r="O366" s="160"/>
      <c r="P366" s="157" t="str">
        <f ca="1">Simulador!O361</f>
        <v/>
      </c>
      <c r="Q366" s="160"/>
      <c r="R366" s="157" t="str">
        <f ca="1">Simulador!Q361</f>
        <v/>
      </c>
      <c r="S366" s="160"/>
      <c r="T366" s="157" t="str">
        <f ca="1">Simulador!S361</f>
        <v/>
      </c>
    </row>
    <row r="367" spans="2:20" x14ac:dyDescent="0.3">
      <c r="B367" s="163" t="str">
        <f ca="1">Simulador!A362</f>
        <v/>
      </c>
      <c r="C367" s="160"/>
      <c r="D367" s="161" t="str">
        <f ca="1">Simulador!C362</f>
        <v/>
      </c>
      <c r="E367" s="160"/>
      <c r="F367" s="162" t="str">
        <f ca="1">Simulador!E362</f>
        <v/>
      </c>
      <c r="G367" s="160"/>
      <c r="H367" s="157" t="str">
        <f ca="1">Simulador!G362</f>
        <v/>
      </c>
      <c r="I367" s="160"/>
      <c r="J367" s="157" t="str">
        <f ca="1">Simulador!I362</f>
        <v/>
      </c>
      <c r="K367" s="160"/>
      <c r="L367" s="157" t="str">
        <f ca="1">Simulador!K362</f>
        <v/>
      </c>
      <c r="M367" s="160"/>
      <c r="N367" s="157" t="str">
        <f ca="1">Simulador!M362</f>
        <v/>
      </c>
      <c r="O367" s="160"/>
      <c r="P367" s="157" t="str">
        <f ca="1">Simulador!O362</f>
        <v/>
      </c>
      <c r="Q367" s="160"/>
      <c r="R367" s="157" t="str">
        <f ca="1">Simulador!Q362</f>
        <v/>
      </c>
      <c r="S367" s="160"/>
      <c r="T367" s="157" t="str">
        <f ca="1">Simulador!S362</f>
        <v/>
      </c>
    </row>
    <row r="368" spans="2:20" x14ac:dyDescent="0.3">
      <c r="B368" s="163" t="str">
        <f ca="1">Simulador!A363</f>
        <v/>
      </c>
      <c r="C368" s="160"/>
      <c r="D368" s="161" t="str">
        <f ca="1">Simulador!C363</f>
        <v/>
      </c>
      <c r="E368" s="160"/>
      <c r="F368" s="162" t="str">
        <f ca="1">Simulador!E363</f>
        <v/>
      </c>
      <c r="G368" s="160"/>
      <c r="H368" s="157" t="str">
        <f ca="1">Simulador!G363</f>
        <v/>
      </c>
      <c r="I368" s="160"/>
      <c r="J368" s="157" t="str">
        <f ca="1">Simulador!I363</f>
        <v/>
      </c>
      <c r="K368" s="160"/>
      <c r="L368" s="157" t="str">
        <f ca="1">Simulador!K363</f>
        <v/>
      </c>
      <c r="M368" s="160"/>
      <c r="N368" s="157" t="str">
        <f ca="1">Simulador!M363</f>
        <v/>
      </c>
      <c r="O368" s="160"/>
      <c r="P368" s="157" t="str">
        <f ca="1">Simulador!O363</f>
        <v/>
      </c>
      <c r="Q368" s="160"/>
      <c r="R368" s="157" t="str">
        <f ca="1">Simulador!Q363</f>
        <v/>
      </c>
      <c r="S368" s="160"/>
      <c r="T368" s="157" t="str">
        <f ca="1">Simulador!S363</f>
        <v/>
      </c>
    </row>
    <row r="369" spans="2:20" x14ac:dyDescent="0.3">
      <c r="B369" s="163" t="str">
        <f ca="1">Simulador!A364</f>
        <v/>
      </c>
      <c r="C369" s="160"/>
      <c r="D369" s="161" t="str">
        <f ca="1">Simulador!C364</f>
        <v/>
      </c>
      <c r="E369" s="160"/>
      <c r="F369" s="162" t="str">
        <f ca="1">Simulador!E364</f>
        <v/>
      </c>
      <c r="G369" s="160"/>
      <c r="H369" s="157" t="str">
        <f ca="1">Simulador!G364</f>
        <v/>
      </c>
      <c r="I369" s="160"/>
      <c r="J369" s="157" t="str">
        <f ca="1">Simulador!I364</f>
        <v/>
      </c>
      <c r="K369" s="160"/>
      <c r="L369" s="157" t="str">
        <f ca="1">Simulador!K364</f>
        <v/>
      </c>
      <c r="M369" s="160"/>
      <c r="N369" s="157" t="str">
        <f ca="1">Simulador!M364</f>
        <v/>
      </c>
      <c r="O369" s="160"/>
      <c r="P369" s="157" t="str">
        <f ca="1">Simulador!O364</f>
        <v/>
      </c>
      <c r="Q369" s="160"/>
      <c r="R369" s="157" t="str">
        <f ca="1">Simulador!Q364</f>
        <v/>
      </c>
      <c r="S369" s="160"/>
      <c r="T369" s="157" t="str">
        <f ca="1">Simulador!S364</f>
        <v/>
      </c>
    </row>
    <row r="370" spans="2:20" x14ac:dyDescent="0.3">
      <c r="B370" s="163" t="str">
        <f ca="1">Simulador!A365</f>
        <v/>
      </c>
      <c r="C370" s="160"/>
      <c r="D370" s="161" t="str">
        <f ca="1">Simulador!C365</f>
        <v/>
      </c>
      <c r="E370" s="160"/>
      <c r="F370" s="162" t="str">
        <f ca="1">Simulador!E365</f>
        <v/>
      </c>
      <c r="G370" s="160"/>
      <c r="H370" s="157" t="str">
        <f ca="1">Simulador!G365</f>
        <v/>
      </c>
      <c r="I370" s="160"/>
      <c r="J370" s="157" t="str">
        <f ca="1">Simulador!I365</f>
        <v/>
      </c>
      <c r="K370" s="160"/>
      <c r="L370" s="157" t="str">
        <f ca="1">Simulador!K365</f>
        <v/>
      </c>
      <c r="M370" s="160"/>
      <c r="N370" s="157" t="str">
        <f ca="1">Simulador!M365</f>
        <v/>
      </c>
      <c r="O370" s="160"/>
      <c r="P370" s="157" t="str">
        <f ca="1">Simulador!O365</f>
        <v/>
      </c>
      <c r="Q370" s="160"/>
      <c r="R370" s="157" t="str">
        <f ca="1">Simulador!Q365</f>
        <v/>
      </c>
      <c r="S370" s="160"/>
      <c r="T370" s="157" t="str">
        <f ca="1">Simulador!S365</f>
        <v/>
      </c>
    </row>
    <row r="371" spans="2:20" x14ac:dyDescent="0.3">
      <c r="B371" s="163" t="str">
        <f ca="1">Simulador!A366</f>
        <v/>
      </c>
      <c r="C371" s="160"/>
      <c r="D371" s="161" t="str">
        <f ca="1">Simulador!C366</f>
        <v/>
      </c>
      <c r="E371" s="160"/>
      <c r="F371" s="162" t="str">
        <f ca="1">Simulador!E366</f>
        <v/>
      </c>
      <c r="G371" s="160"/>
      <c r="H371" s="157" t="str">
        <f ca="1">Simulador!G366</f>
        <v/>
      </c>
      <c r="I371" s="160"/>
      <c r="J371" s="157" t="str">
        <f ca="1">Simulador!I366</f>
        <v/>
      </c>
      <c r="K371" s="160"/>
      <c r="L371" s="157" t="str">
        <f ca="1">Simulador!K366</f>
        <v/>
      </c>
      <c r="M371" s="160"/>
      <c r="N371" s="157" t="str">
        <f ca="1">Simulador!M366</f>
        <v/>
      </c>
      <c r="O371" s="160"/>
      <c r="P371" s="157" t="str">
        <f ca="1">Simulador!O366</f>
        <v/>
      </c>
      <c r="Q371" s="160"/>
      <c r="R371" s="157" t="str">
        <f ca="1">Simulador!Q366</f>
        <v/>
      </c>
      <c r="S371" s="160"/>
      <c r="T371" s="157" t="str">
        <f ca="1">Simulador!S366</f>
        <v/>
      </c>
    </row>
    <row r="372" spans="2:20" x14ac:dyDescent="0.3">
      <c r="B372" s="163" t="str">
        <f ca="1">Simulador!A367</f>
        <v/>
      </c>
      <c r="C372" s="160"/>
      <c r="D372" s="161" t="str">
        <f ca="1">Simulador!C367</f>
        <v/>
      </c>
      <c r="E372" s="160"/>
      <c r="F372" s="162" t="str">
        <f ca="1">Simulador!E367</f>
        <v/>
      </c>
      <c r="G372" s="160"/>
      <c r="H372" s="157" t="str">
        <f ca="1">Simulador!G367</f>
        <v/>
      </c>
      <c r="I372" s="160"/>
      <c r="J372" s="157" t="str">
        <f ca="1">Simulador!I367</f>
        <v/>
      </c>
      <c r="K372" s="160"/>
      <c r="L372" s="157" t="str">
        <f ca="1">Simulador!K367</f>
        <v/>
      </c>
      <c r="M372" s="160"/>
      <c r="N372" s="157" t="str">
        <f ca="1">Simulador!M367</f>
        <v/>
      </c>
      <c r="O372" s="160"/>
      <c r="P372" s="157" t="str">
        <f ca="1">Simulador!O367</f>
        <v/>
      </c>
      <c r="Q372" s="160"/>
      <c r="R372" s="157" t="str">
        <f ca="1">Simulador!Q367</f>
        <v/>
      </c>
      <c r="S372" s="160"/>
      <c r="T372" s="157" t="str">
        <f ca="1">Simulador!S367</f>
        <v/>
      </c>
    </row>
    <row r="373" spans="2:20" x14ac:dyDescent="0.3">
      <c r="B373" s="163" t="str">
        <f ca="1">Simulador!A368</f>
        <v/>
      </c>
      <c r="C373" s="160"/>
      <c r="D373" s="161" t="str">
        <f ca="1">Simulador!C368</f>
        <v/>
      </c>
      <c r="E373" s="160"/>
      <c r="F373" s="162" t="str">
        <f ca="1">Simulador!E368</f>
        <v/>
      </c>
      <c r="G373" s="160"/>
      <c r="H373" s="157" t="str">
        <f ca="1">Simulador!G368</f>
        <v/>
      </c>
      <c r="I373" s="160"/>
      <c r="J373" s="157" t="str">
        <f ca="1">Simulador!I368</f>
        <v/>
      </c>
      <c r="K373" s="160"/>
      <c r="L373" s="157" t="str">
        <f ca="1">Simulador!K368</f>
        <v/>
      </c>
      <c r="M373" s="160"/>
      <c r="N373" s="157" t="str">
        <f ca="1">Simulador!M368</f>
        <v/>
      </c>
      <c r="O373" s="160"/>
      <c r="P373" s="157" t="str">
        <f ca="1">Simulador!O368</f>
        <v/>
      </c>
      <c r="Q373" s="160"/>
      <c r="R373" s="157" t="str">
        <f ca="1">Simulador!Q368</f>
        <v/>
      </c>
      <c r="S373" s="160"/>
      <c r="T373" s="157" t="str">
        <f ca="1">Simulador!S368</f>
        <v/>
      </c>
    </row>
    <row r="374" spans="2:20" x14ac:dyDescent="0.3">
      <c r="B374" s="163" t="str">
        <f ca="1">Simulador!A369</f>
        <v/>
      </c>
      <c r="C374" s="160"/>
      <c r="D374" s="161" t="str">
        <f ca="1">Simulador!C369</f>
        <v/>
      </c>
      <c r="E374" s="160"/>
      <c r="F374" s="162" t="str">
        <f ca="1">Simulador!E369</f>
        <v/>
      </c>
      <c r="G374" s="160"/>
      <c r="H374" s="157" t="str">
        <f ca="1">Simulador!G369</f>
        <v/>
      </c>
      <c r="I374" s="160"/>
      <c r="J374" s="157" t="str">
        <f ca="1">Simulador!I369</f>
        <v/>
      </c>
      <c r="K374" s="160"/>
      <c r="L374" s="157" t="str">
        <f ca="1">Simulador!K369</f>
        <v/>
      </c>
      <c r="M374" s="160"/>
      <c r="N374" s="157" t="str">
        <f ca="1">Simulador!M369</f>
        <v/>
      </c>
      <c r="O374" s="160"/>
      <c r="P374" s="157" t="str">
        <f ca="1">Simulador!O369</f>
        <v/>
      </c>
      <c r="Q374" s="160"/>
      <c r="R374" s="157" t="str">
        <f ca="1">Simulador!Q369</f>
        <v/>
      </c>
      <c r="S374" s="160"/>
      <c r="T374" s="157" t="str">
        <f ca="1">Simulador!S369</f>
        <v/>
      </c>
    </row>
    <row r="375" spans="2:20" x14ac:dyDescent="0.3">
      <c r="B375" s="163" t="str">
        <f ca="1">Simulador!A370</f>
        <v/>
      </c>
      <c r="C375" s="160"/>
      <c r="D375" s="161" t="str">
        <f ca="1">Simulador!C370</f>
        <v/>
      </c>
      <c r="E375" s="160"/>
      <c r="F375" s="162" t="str">
        <f ca="1">Simulador!E370</f>
        <v/>
      </c>
      <c r="G375" s="160"/>
      <c r="H375" s="157" t="str">
        <f ca="1">Simulador!G370</f>
        <v/>
      </c>
      <c r="I375" s="160"/>
      <c r="J375" s="157" t="str">
        <f ca="1">Simulador!I370</f>
        <v/>
      </c>
      <c r="K375" s="160"/>
      <c r="L375" s="157" t="str">
        <f ca="1">Simulador!K370</f>
        <v/>
      </c>
      <c r="M375" s="160"/>
      <c r="N375" s="157" t="str">
        <f ca="1">Simulador!M370</f>
        <v/>
      </c>
      <c r="O375" s="160"/>
      <c r="P375" s="157" t="str">
        <f ca="1">Simulador!O370</f>
        <v/>
      </c>
      <c r="Q375" s="160"/>
      <c r="R375" s="157" t="str">
        <f ca="1">Simulador!Q370</f>
        <v/>
      </c>
      <c r="S375" s="160"/>
      <c r="T375" s="157" t="str">
        <f ca="1">Simulador!S370</f>
        <v/>
      </c>
    </row>
    <row r="376" spans="2:20" x14ac:dyDescent="0.3">
      <c r="B376" s="163" t="str">
        <f ca="1">Simulador!A371</f>
        <v/>
      </c>
      <c r="C376" s="160"/>
      <c r="D376" s="161" t="str">
        <f ca="1">Simulador!C371</f>
        <v/>
      </c>
      <c r="E376" s="160"/>
      <c r="F376" s="162" t="str">
        <f ca="1">Simulador!E371</f>
        <v/>
      </c>
      <c r="G376" s="160"/>
      <c r="H376" s="157" t="str">
        <f ca="1">Simulador!G371</f>
        <v/>
      </c>
      <c r="I376" s="160"/>
      <c r="J376" s="157" t="str">
        <f ca="1">Simulador!I371</f>
        <v/>
      </c>
      <c r="K376" s="160"/>
      <c r="L376" s="157" t="str">
        <f ca="1">Simulador!K371</f>
        <v/>
      </c>
      <c r="M376" s="160"/>
      <c r="N376" s="157" t="str">
        <f ca="1">Simulador!M371</f>
        <v/>
      </c>
      <c r="O376" s="160"/>
      <c r="P376" s="157" t="str">
        <f ca="1">Simulador!O371</f>
        <v/>
      </c>
      <c r="Q376" s="160"/>
      <c r="R376" s="157" t="str">
        <f ca="1">Simulador!Q371</f>
        <v/>
      </c>
      <c r="S376" s="160"/>
      <c r="T376" s="157" t="str">
        <f ca="1">Simulador!S371</f>
        <v/>
      </c>
    </row>
    <row r="377" spans="2:20" x14ac:dyDescent="0.3">
      <c r="B377" s="163" t="str">
        <f ca="1">Simulador!A372</f>
        <v/>
      </c>
      <c r="C377" s="160"/>
      <c r="D377" s="161" t="str">
        <f ca="1">Simulador!C372</f>
        <v/>
      </c>
      <c r="E377" s="160"/>
      <c r="F377" s="162" t="str">
        <f ca="1">Simulador!E372</f>
        <v/>
      </c>
      <c r="G377" s="160"/>
      <c r="H377" s="157" t="str">
        <f ca="1">Simulador!G372</f>
        <v/>
      </c>
      <c r="I377" s="160"/>
      <c r="J377" s="157" t="str">
        <f ca="1">Simulador!I372</f>
        <v/>
      </c>
      <c r="K377" s="160"/>
      <c r="L377" s="157" t="str">
        <f ca="1">Simulador!K372</f>
        <v/>
      </c>
      <c r="M377" s="160"/>
      <c r="N377" s="157" t="str">
        <f ca="1">Simulador!M372</f>
        <v/>
      </c>
      <c r="O377" s="160"/>
      <c r="P377" s="157" t="str">
        <f ca="1">Simulador!O372</f>
        <v/>
      </c>
      <c r="Q377" s="160"/>
      <c r="R377" s="157" t="str">
        <f ca="1">Simulador!Q372</f>
        <v/>
      </c>
      <c r="S377" s="160"/>
      <c r="T377" s="157" t="str">
        <f ca="1">Simulador!S372</f>
        <v/>
      </c>
    </row>
    <row r="378" spans="2:20" x14ac:dyDescent="0.3">
      <c r="B378" s="163" t="str">
        <f ca="1">Simulador!A373</f>
        <v/>
      </c>
      <c r="C378" s="160"/>
      <c r="D378" s="161" t="str">
        <f ca="1">Simulador!C373</f>
        <v/>
      </c>
      <c r="E378" s="160"/>
      <c r="F378" s="162" t="str">
        <f ca="1">Simulador!E373</f>
        <v/>
      </c>
      <c r="G378" s="160"/>
      <c r="H378" s="157" t="str">
        <f ca="1">Simulador!G373</f>
        <v/>
      </c>
      <c r="I378" s="160"/>
      <c r="J378" s="157" t="str">
        <f ca="1">Simulador!I373</f>
        <v/>
      </c>
      <c r="K378" s="160"/>
      <c r="L378" s="157" t="str">
        <f ca="1">Simulador!K373</f>
        <v/>
      </c>
      <c r="M378" s="160"/>
      <c r="N378" s="157" t="str">
        <f ca="1">Simulador!M373</f>
        <v/>
      </c>
      <c r="O378" s="160"/>
      <c r="P378" s="157" t="str">
        <f ca="1">Simulador!O373</f>
        <v/>
      </c>
      <c r="Q378" s="160"/>
      <c r="R378" s="157" t="str">
        <f ca="1">Simulador!Q373</f>
        <v/>
      </c>
      <c r="S378" s="160"/>
      <c r="T378" s="157" t="str">
        <f ca="1">Simulador!S373</f>
        <v/>
      </c>
    </row>
    <row r="379" spans="2:20" x14ac:dyDescent="0.3">
      <c r="B379" s="163" t="str">
        <f ca="1">Simulador!A374</f>
        <v/>
      </c>
      <c r="C379" s="160"/>
      <c r="D379" s="161" t="str">
        <f ca="1">Simulador!C374</f>
        <v/>
      </c>
      <c r="E379" s="160"/>
      <c r="F379" s="162" t="str">
        <f ca="1">Simulador!E374</f>
        <v/>
      </c>
      <c r="G379" s="160"/>
      <c r="H379" s="157" t="str">
        <f ca="1">Simulador!G374</f>
        <v/>
      </c>
      <c r="I379" s="160"/>
      <c r="J379" s="157" t="str">
        <f ca="1">Simulador!I374</f>
        <v/>
      </c>
      <c r="K379" s="160"/>
      <c r="L379" s="157" t="str">
        <f ca="1">Simulador!K374</f>
        <v/>
      </c>
      <c r="M379" s="160"/>
      <c r="N379" s="157" t="str">
        <f ca="1">Simulador!M374</f>
        <v/>
      </c>
      <c r="O379" s="160"/>
      <c r="P379" s="157" t="str">
        <f ca="1">Simulador!O374</f>
        <v/>
      </c>
      <c r="Q379" s="160"/>
      <c r="R379" s="157" t="str">
        <f ca="1">Simulador!Q374</f>
        <v/>
      </c>
      <c r="S379" s="160"/>
      <c r="T379" s="157" t="str">
        <f ca="1">Simulador!S374</f>
        <v/>
      </c>
    </row>
    <row r="380" spans="2:20" x14ac:dyDescent="0.3">
      <c r="B380" s="163" t="str">
        <f ca="1">Simulador!A375</f>
        <v/>
      </c>
      <c r="C380" s="160"/>
      <c r="D380" s="161" t="str">
        <f ca="1">Simulador!C375</f>
        <v/>
      </c>
      <c r="E380" s="160"/>
      <c r="F380" s="162" t="str">
        <f ca="1">Simulador!E375</f>
        <v/>
      </c>
      <c r="G380" s="160"/>
      <c r="H380" s="157" t="str">
        <f ca="1">Simulador!G375</f>
        <v/>
      </c>
      <c r="I380" s="160"/>
      <c r="J380" s="157" t="str">
        <f ca="1">Simulador!I375</f>
        <v/>
      </c>
      <c r="K380" s="160"/>
      <c r="L380" s="157" t="str">
        <f ca="1">Simulador!K375</f>
        <v/>
      </c>
      <c r="M380" s="160"/>
      <c r="N380" s="157" t="str">
        <f ca="1">Simulador!M375</f>
        <v/>
      </c>
      <c r="O380" s="160"/>
      <c r="P380" s="157" t="str">
        <f ca="1">Simulador!O375</f>
        <v/>
      </c>
      <c r="Q380" s="160"/>
      <c r="R380" s="157" t="str">
        <f ca="1">Simulador!Q375</f>
        <v/>
      </c>
      <c r="S380" s="160"/>
      <c r="T380" s="157" t="str">
        <f ca="1">Simulador!S375</f>
        <v/>
      </c>
    </row>
    <row r="381" spans="2:20" x14ac:dyDescent="0.3">
      <c r="B381" s="163" t="str">
        <f ca="1">Simulador!A376</f>
        <v/>
      </c>
      <c r="C381" s="160"/>
      <c r="D381" s="161" t="str">
        <f ca="1">Simulador!C376</f>
        <v/>
      </c>
      <c r="E381" s="160"/>
      <c r="F381" s="162" t="str">
        <f ca="1">Simulador!E376</f>
        <v/>
      </c>
      <c r="G381" s="160"/>
      <c r="H381" s="157" t="str">
        <f ca="1">Simulador!G376</f>
        <v/>
      </c>
      <c r="I381" s="160"/>
      <c r="J381" s="157" t="str">
        <f ca="1">Simulador!I376</f>
        <v/>
      </c>
      <c r="K381" s="160"/>
      <c r="L381" s="157" t="str">
        <f ca="1">Simulador!K376</f>
        <v/>
      </c>
      <c r="M381" s="160"/>
      <c r="N381" s="157" t="str">
        <f ca="1">Simulador!M376</f>
        <v/>
      </c>
      <c r="O381" s="160"/>
      <c r="P381" s="157" t="str">
        <f ca="1">Simulador!O376</f>
        <v/>
      </c>
      <c r="Q381" s="160"/>
      <c r="R381" s="157" t="str">
        <f ca="1">Simulador!Q376</f>
        <v/>
      </c>
      <c r="S381" s="160"/>
      <c r="T381" s="157" t="str">
        <f ca="1">Simulador!S376</f>
        <v/>
      </c>
    </row>
    <row r="382" spans="2:20" x14ac:dyDescent="0.3">
      <c r="B382" s="163" t="str">
        <f ca="1">Simulador!A377</f>
        <v/>
      </c>
      <c r="C382" s="160"/>
      <c r="D382" s="161" t="str">
        <f ca="1">Simulador!C377</f>
        <v/>
      </c>
      <c r="E382" s="160"/>
      <c r="F382" s="162" t="str">
        <f ca="1">Simulador!E377</f>
        <v/>
      </c>
      <c r="G382" s="160"/>
      <c r="H382" s="157" t="str">
        <f ca="1">Simulador!G377</f>
        <v/>
      </c>
      <c r="I382" s="160"/>
      <c r="J382" s="157" t="str">
        <f ca="1">Simulador!I377</f>
        <v/>
      </c>
      <c r="K382" s="160"/>
      <c r="L382" s="157" t="str">
        <f ca="1">Simulador!K377</f>
        <v/>
      </c>
      <c r="M382" s="160"/>
      <c r="N382" s="157" t="str">
        <f ca="1">Simulador!M377</f>
        <v/>
      </c>
      <c r="O382" s="160"/>
      <c r="P382" s="157" t="str">
        <f ca="1">Simulador!O377</f>
        <v/>
      </c>
      <c r="Q382" s="160"/>
      <c r="R382" s="157" t="str">
        <f ca="1">Simulador!Q377</f>
        <v/>
      </c>
      <c r="S382" s="160"/>
      <c r="T382" s="157" t="str">
        <f ca="1">Simulador!S377</f>
        <v/>
      </c>
    </row>
    <row r="383" spans="2:20" x14ac:dyDescent="0.3">
      <c r="B383" s="163" t="str">
        <f ca="1">Simulador!A378</f>
        <v/>
      </c>
      <c r="C383" s="160"/>
      <c r="D383" s="161" t="str">
        <f ca="1">Simulador!C378</f>
        <v/>
      </c>
      <c r="E383" s="160"/>
      <c r="F383" s="162" t="str">
        <f ca="1">Simulador!E378</f>
        <v/>
      </c>
      <c r="G383" s="160"/>
      <c r="H383" s="157" t="str">
        <f ca="1">Simulador!G378</f>
        <v/>
      </c>
      <c r="I383" s="160"/>
      <c r="J383" s="157" t="str">
        <f ca="1">Simulador!I378</f>
        <v/>
      </c>
      <c r="K383" s="160"/>
      <c r="L383" s="157" t="str">
        <f ca="1">Simulador!K378</f>
        <v/>
      </c>
      <c r="M383" s="160"/>
      <c r="N383" s="157" t="str">
        <f ca="1">Simulador!M378</f>
        <v/>
      </c>
      <c r="O383" s="160"/>
      <c r="P383" s="157" t="str">
        <f ca="1">Simulador!O378</f>
        <v/>
      </c>
      <c r="Q383" s="160"/>
      <c r="R383" s="157" t="str">
        <f ca="1">Simulador!Q378</f>
        <v/>
      </c>
      <c r="S383" s="160"/>
      <c r="T383" s="157" t="str">
        <f ca="1">Simulador!S378</f>
        <v/>
      </c>
    </row>
    <row r="384" spans="2:20" x14ac:dyDescent="0.3">
      <c r="B384" s="163" t="str">
        <f ca="1">Simulador!A379</f>
        <v/>
      </c>
      <c r="C384" s="160"/>
      <c r="D384" s="161" t="str">
        <f ca="1">Simulador!C379</f>
        <v/>
      </c>
      <c r="E384" s="160"/>
      <c r="F384" s="162" t="str">
        <f ca="1">Simulador!E379</f>
        <v/>
      </c>
      <c r="G384" s="160"/>
      <c r="H384" s="157" t="str">
        <f ca="1">Simulador!G379</f>
        <v/>
      </c>
      <c r="I384" s="160"/>
      <c r="J384" s="157" t="str">
        <f ca="1">Simulador!I379</f>
        <v/>
      </c>
      <c r="K384" s="160"/>
      <c r="L384" s="157" t="str">
        <f ca="1">Simulador!K379</f>
        <v/>
      </c>
      <c r="M384" s="160"/>
      <c r="N384" s="157" t="str">
        <f ca="1">Simulador!M379</f>
        <v/>
      </c>
      <c r="O384" s="160"/>
      <c r="P384" s="157" t="str">
        <f ca="1">Simulador!O379</f>
        <v/>
      </c>
      <c r="Q384" s="160"/>
      <c r="R384" s="157" t="str">
        <f ca="1">Simulador!Q379</f>
        <v/>
      </c>
      <c r="S384" s="160"/>
      <c r="T384" s="157" t="str">
        <f ca="1">Simulador!S379</f>
        <v/>
      </c>
    </row>
    <row r="385" spans="2:20" x14ac:dyDescent="0.3">
      <c r="B385" s="163" t="str">
        <f ca="1">Simulador!A380</f>
        <v/>
      </c>
      <c r="C385" s="160"/>
      <c r="D385" s="161" t="str">
        <f ca="1">Simulador!C380</f>
        <v/>
      </c>
      <c r="E385" s="160"/>
      <c r="F385" s="162" t="str">
        <f ca="1">Simulador!E380</f>
        <v/>
      </c>
      <c r="G385" s="160"/>
      <c r="H385" s="157" t="str">
        <f ca="1">Simulador!G380</f>
        <v/>
      </c>
      <c r="I385" s="160"/>
      <c r="J385" s="157" t="str">
        <f ca="1">Simulador!I380</f>
        <v/>
      </c>
      <c r="K385" s="160"/>
      <c r="L385" s="157" t="str">
        <f ca="1">Simulador!K380</f>
        <v/>
      </c>
      <c r="M385" s="160"/>
      <c r="N385" s="157" t="str">
        <f ca="1">Simulador!M380</f>
        <v/>
      </c>
      <c r="O385" s="160"/>
      <c r="P385" s="157" t="str">
        <f ca="1">Simulador!O380</f>
        <v/>
      </c>
      <c r="Q385" s="160"/>
      <c r="R385" s="157" t="str">
        <f ca="1">Simulador!Q380</f>
        <v/>
      </c>
      <c r="S385" s="160"/>
      <c r="T385" s="157" t="str">
        <f ca="1">Simulador!S380</f>
        <v/>
      </c>
    </row>
    <row r="386" spans="2:20" x14ac:dyDescent="0.3">
      <c r="B386" s="163" t="str">
        <f ca="1">Simulador!A381</f>
        <v/>
      </c>
      <c r="C386" s="160"/>
      <c r="D386" s="161" t="str">
        <f ca="1">Simulador!C381</f>
        <v/>
      </c>
      <c r="E386" s="160"/>
      <c r="F386" s="162" t="str">
        <f ca="1">Simulador!E381</f>
        <v/>
      </c>
      <c r="G386" s="160"/>
      <c r="H386" s="157" t="str">
        <f ca="1">Simulador!G381</f>
        <v/>
      </c>
      <c r="I386" s="160"/>
      <c r="J386" s="157" t="str">
        <f ca="1">Simulador!I381</f>
        <v/>
      </c>
      <c r="K386" s="160"/>
      <c r="L386" s="157" t="str">
        <f ca="1">Simulador!K381</f>
        <v/>
      </c>
      <c r="M386" s="160"/>
      <c r="N386" s="157" t="str">
        <f ca="1">Simulador!M381</f>
        <v/>
      </c>
      <c r="O386" s="160"/>
      <c r="P386" s="157" t="str">
        <f ca="1">Simulador!O381</f>
        <v/>
      </c>
      <c r="Q386" s="160"/>
      <c r="R386" s="157" t="str">
        <f ca="1">Simulador!Q381</f>
        <v/>
      </c>
      <c r="S386" s="160"/>
      <c r="T386" s="157" t="str">
        <f ca="1">Simulador!S381</f>
        <v/>
      </c>
    </row>
    <row r="387" spans="2:20" x14ac:dyDescent="0.3">
      <c r="B387" s="163" t="str">
        <f ca="1">Simulador!A382</f>
        <v/>
      </c>
      <c r="C387" s="160"/>
      <c r="D387" s="161" t="str">
        <f ca="1">Simulador!C382</f>
        <v/>
      </c>
      <c r="E387" s="160"/>
      <c r="F387" s="162" t="str">
        <f ca="1">Simulador!E382</f>
        <v/>
      </c>
      <c r="G387" s="160"/>
      <c r="H387" s="157" t="str">
        <f ca="1">Simulador!G382</f>
        <v/>
      </c>
      <c r="I387" s="160"/>
      <c r="J387" s="157" t="str">
        <f ca="1">Simulador!I382</f>
        <v/>
      </c>
      <c r="K387" s="160"/>
      <c r="L387" s="157" t="str">
        <f ca="1">Simulador!K382</f>
        <v/>
      </c>
      <c r="M387" s="160"/>
      <c r="N387" s="157" t="str">
        <f ca="1">Simulador!M382</f>
        <v/>
      </c>
      <c r="O387" s="160"/>
      <c r="P387" s="157" t="str">
        <f ca="1">Simulador!O382</f>
        <v/>
      </c>
      <c r="Q387" s="160"/>
      <c r="R387" s="157" t="str">
        <f ca="1">Simulador!Q382</f>
        <v/>
      </c>
      <c r="S387" s="160"/>
      <c r="T387" s="157" t="str">
        <f ca="1">Simulador!S382</f>
        <v/>
      </c>
    </row>
    <row r="388" spans="2:20" x14ac:dyDescent="0.3">
      <c r="B388" s="163" t="str">
        <f ca="1">Simulador!A383</f>
        <v/>
      </c>
      <c r="C388" s="160"/>
      <c r="D388" s="161" t="str">
        <f ca="1">Simulador!C383</f>
        <v/>
      </c>
      <c r="E388" s="160"/>
      <c r="F388" s="162" t="str">
        <f ca="1">Simulador!E383</f>
        <v/>
      </c>
      <c r="G388" s="160"/>
      <c r="H388" s="157" t="str">
        <f ca="1">Simulador!G383</f>
        <v/>
      </c>
      <c r="I388" s="160"/>
      <c r="J388" s="157" t="str">
        <f ca="1">Simulador!I383</f>
        <v/>
      </c>
      <c r="K388" s="160"/>
      <c r="L388" s="157" t="str">
        <f ca="1">Simulador!K383</f>
        <v/>
      </c>
      <c r="M388" s="160"/>
      <c r="N388" s="157" t="str">
        <f ca="1">Simulador!M383</f>
        <v/>
      </c>
      <c r="O388" s="160"/>
      <c r="P388" s="157" t="str">
        <f ca="1">Simulador!O383</f>
        <v/>
      </c>
      <c r="Q388" s="160"/>
      <c r="R388" s="157" t="str">
        <f ca="1">Simulador!Q383</f>
        <v/>
      </c>
      <c r="S388" s="160"/>
      <c r="T388" s="157" t="str">
        <f ca="1">Simulador!S383</f>
        <v/>
      </c>
    </row>
    <row r="389" spans="2:20" x14ac:dyDescent="0.3">
      <c r="B389" s="163" t="str">
        <f ca="1">Simulador!A384</f>
        <v/>
      </c>
      <c r="C389" s="160"/>
      <c r="D389" s="161" t="str">
        <f ca="1">Simulador!C384</f>
        <v/>
      </c>
      <c r="E389" s="160"/>
      <c r="F389" s="162" t="str">
        <f ca="1">Simulador!E384</f>
        <v/>
      </c>
      <c r="G389" s="160"/>
      <c r="H389" s="157" t="str">
        <f ca="1">Simulador!G384</f>
        <v/>
      </c>
      <c r="I389" s="160"/>
      <c r="J389" s="157" t="str">
        <f ca="1">Simulador!I384</f>
        <v/>
      </c>
      <c r="K389" s="160"/>
      <c r="L389" s="157" t="str">
        <f ca="1">Simulador!K384</f>
        <v/>
      </c>
      <c r="M389" s="160"/>
      <c r="N389" s="157" t="str">
        <f ca="1">Simulador!M384</f>
        <v/>
      </c>
      <c r="O389" s="160"/>
      <c r="P389" s="157" t="str">
        <f ca="1">Simulador!O384</f>
        <v/>
      </c>
      <c r="Q389" s="160"/>
      <c r="R389" s="157" t="str">
        <f ca="1">Simulador!Q384</f>
        <v/>
      </c>
      <c r="S389" s="160"/>
      <c r="T389" s="157" t="str">
        <f ca="1">Simulador!S384</f>
        <v/>
      </c>
    </row>
    <row r="390" spans="2:20" x14ac:dyDescent="0.3">
      <c r="B390" s="163" t="str">
        <f ca="1">Simulador!A385</f>
        <v/>
      </c>
      <c r="C390" s="160"/>
      <c r="D390" s="161" t="str">
        <f ca="1">Simulador!C385</f>
        <v/>
      </c>
      <c r="E390" s="160"/>
      <c r="F390" s="162" t="str">
        <f ca="1">Simulador!E385</f>
        <v/>
      </c>
      <c r="G390" s="160"/>
      <c r="H390" s="157" t="str">
        <f ca="1">Simulador!G385</f>
        <v/>
      </c>
      <c r="I390" s="160"/>
      <c r="J390" s="157" t="str">
        <f ca="1">Simulador!I385</f>
        <v/>
      </c>
      <c r="K390" s="160"/>
      <c r="L390" s="157" t="str">
        <f ca="1">Simulador!K385</f>
        <v/>
      </c>
      <c r="M390" s="160"/>
      <c r="N390" s="157" t="str">
        <f ca="1">Simulador!M385</f>
        <v/>
      </c>
      <c r="O390" s="160"/>
      <c r="P390" s="157" t="str">
        <f ca="1">Simulador!O385</f>
        <v/>
      </c>
      <c r="Q390" s="160"/>
      <c r="R390" s="157" t="str">
        <f ca="1">Simulador!Q385</f>
        <v/>
      </c>
      <c r="S390" s="160"/>
      <c r="T390" s="157" t="str">
        <f ca="1">Simulador!S385</f>
        <v/>
      </c>
    </row>
    <row r="391" spans="2:20" x14ac:dyDescent="0.3">
      <c r="B391" s="163" t="str">
        <f ca="1">Simulador!A386</f>
        <v/>
      </c>
      <c r="C391" s="160"/>
      <c r="D391" s="161" t="str">
        <f ca="1">Simulador!C386</f>
        <v/>
      </c>
      <c r="E391" s="160"/>
      <c r="F391" s="162" t="str">
        <f ca="1">Simulador!E386</f>
        <v/>
      </c>
      <c r="G391" s="160"/>
      <c r="H391" s="157" t="str">
        <f ca="1">Simulador!G386</f>
        <v/>
      </c>
      <c r="I391" s="160"/>
      <c r="J391" s="157" t="str">
        <f ca="1">Simulador!I386</f>
        <v/>
      </c>
      <c r="K391" s="160"/>
      <c r="L391" s="157" t="str">
        <f ca="1">Simulador!K386</f>
        <v/>
      </c>
      <c r="M391" s="160"/>
      <c r="N391" s="157" t="str">
        <f ca="1">Simulador!M386</f>
        <v/>
      </c>
      <c r="O391" s="160"/>
      <c r="P391" s="157" t="str">
        <f ca="1">Simulador!O386</f>
        <v/>
      </c>
      <c r="Q391" s="160"/>
      <c r="R391" s="157" t="str">
        <f ca="1">Simulador!Q386</f>
        <v/>
      </c>
      <c r="S391" s="160"/>
      <c r="T391" s="157" t="str">
        <f ca="1">Simulador!S386</f>
        <v/>
      </c>
    </row>
    <row r="392" spans="2:20" x14ac:dyDescent="0.3">
      <c r="B392" s="163" t="str">
        <f ca="1">Simulador!A387</f>
        <v/>
      </c>
      <c r="C392" s="160"/>
      <c r="D392" s="161" t="str">
        <f ca="1">Simulador!C387</f>
        <v/>
      </c>
      <c r="E392" s="160"/>
      <c r="F392" s="162" t="str">
        <f ca="1">Simulador!E387</f>
        <v/>
      </c>
      <c r="G392" s="160"/>
      <c r="H392" s="157" t="str">
        <f ca="1">Simulador!G387</f>
        <v/>
      </c>
      <c r="I392" s="160"/>
      <c r="J392" s="157" t="str">
        <f ca="1">Simulador!I387</f>
        <v/>
      </c>
      <c r="K392" s="160"/>
      <c r="L392" s="157" t="str">
        <f ca="1">Simulador!K387</f>
        <v/>
      </c>
      <c r="M392" s="160"/>
      <c r="N392" s="157" t="str">
        <f ca="1">Simulador!M387</f>
        <v/>
      </c>
      <c r="O392" s="160"/>
      <c r="P392" s="157" t="str">
        <f ca="1">Simulador!O387</f>
        <v/>
      </c>
      <c r="Q392" s="160"/>
      <c r="R392" s="157" t="str">
        <f ca="1">Simulador!Q387</f>
        <v/>
      </c>
      <c r="S392" s="160"/>
      <c r="T392" s="157" t="str">
        <f ca="1">Simulador!S387</f>
        <v/>
      </c>
    </row>
    <row r="393" spans="2:20" x14ac:dyDescent="0.3">
      <c r="B393" s="163" t="str">
        <f ca="1">Simulador!A388</f>
        <v/>
      </c>
      <c r="C393" s="160"/>
      <c r="D393" s="161" t="str">
        <f ca="1">Simulador!C388</f>
        <v/>
      </c>
      <c r="E393" s="160"/>
      <c r="F393" s="162" t="str">
        <f ca="1">Simulador!E388</f>
        <v/>
      </c>
      <c r="G393" s="160"/>
      <c r="H393" s="157" t="str">
        <f ca="1">Simulador!G388</f>
        <v/>
      </c>
      <c r="I393" s="160"/>
      <c r="J393" s="157" t="str">
        <f ca="1">Simulador!I388</f>
        <v/>
      </c>
      <c r="K393" s="160"/>
      <c r="L393" s="157" t="str">
        <f ca="1">Simulador!K388</f>
        <v/>
      </c>
      <c r="M393" s="160"/>
      <c r="N393" s="157" t="str">
        <f ca="1">Simulador!M388</f>
        <v/>
      </c>
      <c r="O393" s="160"/>
      <c r="P393" s="157" t="str">
        <f ca="1">Simulador!O388</f>
        <v/>
      </c>
      <c r="Q393" s="160"/>
      <c r="R393" s="157" t="str">
        <f ca="1">Simulador!Q388</f>
        <v/>
      </c>
      <c r="S393" s="160"/>
      <c r="T393" s="157" t="str">
        <f ca="1">Simulador!S388</f>
        <v/>
      </c>
    </row>
    <row r="394" spans="2:20" x14ac:dyDescent="0.3">
      <c r="B394" s="163" t="str">
        <f ca="1">Simulador!A389</f>
        <v/>
      </c>
      <c r="C394" s="160"/>
      <c r="D394" s="161" t="str">
        <f ca="1">Simulador!C389</f>
        <v/>
      </c>
      <c r="E394" s="160"/>
      <c r="F394" s="162" t="str">
        <f ca="1">Simulador!E389</f>
        <v/>
      </c>
      <c r="G394" s="160"/>
      <c r="H394" s="157" t="str">
        <f ca="1">Simulador!G389</f>
        <v/>
      </c>
      <c r="I394" s="160"/>
      <c r="J394" s="157" t="str">
        <f ca="1">Simulador!I389</f>
        <v/>
      </c>
      <c r="K394" s="160"/>
      <c r="L394" s="157" t="str">
        <f ca="1">Simulador!K389</f>
        <v/>
      </c>
      <c r="M394" s="160"/>
      <c r="N394" s="157" t="str">
        <f ca="1">Simulador!M389</f>
        <v/>
      </c>
      <c r="O394" s="160"/>
      <c r="P394" s="157" t="str">
        <f ca="1">Simulador!O389</f>
        <v/>
      </c>
      <c r="Q394" s="160"/>
      <c r="R394" s="157" t="str">
        <f ca="1">Simulador!Q389</f>
        <v/>
      </c>
      <c r="S394" s="160"/>
      <c r="T394" s="157" t="str">
        <f ca="1">Simulador!S389</f>
        <v/>
      </c>
    </row>
    <row r="395" spans="2:20" x14ac:dyDescent="0.3">
      <c r="B395" s="163" t="str">
        <f ca="1">Simulador!A390</f>
        <v/>
      </c>
      <c r="C395" s="160"/>
      <c r="D395" s="161" t="str">
        <f ca="1">Simulador!C390</f>
        <v/>
      </c>
      <c r="E395" s="160"/>
      <c r="F395" s="162" t="str">
        <f ca="1">Simulador!E390</f>
        <v/>
      </c>
      <c r="G395" s="160"/>
      <c r="H395" s="157" t="str">
        <f ca="1">Simulador!G390</f>
        <v/>
      </c>
      <c r="I395" s="160"/>
      <c r="J395" s="157" t="str">
        <f ca="1">Simulador!I390</f>
        <v/>
      </c>
      <c r="K395" s="160"/>
      <c r="L395" s="157" t="str">
        <f ca="1">Simulador!K390</f>
        <v/>
      </c>
      <c r="M395" s="160"/>
      <c r="N395" s="157" t="str">
        <f ca="1">Simulador!M390</f>
        <v/>
      </c>
      <c r="O395" s="160"/>
      <c r="P395" s="157" t="str">
        <f ca="1">Simulador!O390</f>
        <v/>
      </c>
      <c r="Q395" s="160"/>
      <c r="R395" s="157" t="str">
        <f ca="1">Simulador!Q390</f>
        <v/>
      </c>
      <c r="S395" s="160"/>
      <c r="T395" s="157" t="str">
        <f ca="1">Simulador!S390</f>
        <v/>
      </c>
    </row>
    <row r="396" spans="2:20" x14ac:dyDescent="0.3">
      <c r="B396" s="163" t="str">
        <f ca="1">Simulador!A391</f>
        <v/>
      </c>
      <c r="C396" s="160"/>
      <c r="D396" s="161" t="str">
        <f ca="1">Simulador!C391</f>
        <v/>
      </c>
      <c r="E396" s="160"/>
      <c r="F396" s="162" t="str">
        <f ca="1">Simulador!E391</f>
        <v/>
      </c>
      <c r="G396" s="160"/>
      <c r="H396" s="157" t="str">
        <f ca="1">Simulador!G391</f>
        <v/>
      </c>
      <c r="I396" s="160"/>
      <c r="J396" s="157" t="str">
        <f ca="1">Simulador!I391</f>
        <v/>
      </c>
      <c r="K396" s="160"/>
      <c r="L396" s="157" t="str">
        <f ca="1">Simulador!K391</f>
        <v/>
      </c>
      <c r="M396" s="160"/>
      <c r="N396" s="157" t="str">
        <f ca="1">Simulador!M391</f>
        <v/>
      </c>
      <c r="O396" s="160"/>
      <c r="P396" s="157" t="str">
        <f ca="1">Simulador!O391</f>
        <v/>
      </c>
      <c r="Q396" s="160"/>
      <c r="R396" s="157" t="str">
        <f ca="1">Simulador!Q391</f>
        <v/>
      </c>
      <c r="S396" s="160"/>
      <c r="T396" s="157" t="str">
        <f ca="1">Simulador!S391</f>
        <v/>
      </c>
    </row>
    <row r="397" spans="2:20" x14ac:dyDescent="0.3">
      <c r="B397" s="163" t="str">
        <f ca="1">Simulador!A392</f>
        <v/>
      </c>
      <c r="C397" s="160"/>
      <c r="D397" s="161" t="str">
        <f ca="1">Simulador!C392</f>
        <v/>
      </c>
      <c r="E397" s="160"/>
      <c r="F397" s="162" t="str">
        <f ca="1">Simulador!E392</f>
        <v/>
      </c>
      <c r="G397" s="160"/>
      <c r="H397" s="157" t="str">
        <f ca="1">Simulador!G392</f>
        <v/>
      </c>
      <c r="I397" s="160"/>
      <c r="J397" s="157" t="str">
        <f ca="1">Simulador!I392</f>
        <v/>
      </c>
      <c r="K397" s="160"/>
      <c r="L397" s="157" t="str">
        <f ca="1">Simulador!K392</f>
        <v/>
      </c>
      <c r="M397" s="160"/>
      <c r="N397" s="157" t="str">
        <f ca="1">Simulador!M392</f>
        <v/>
      </c>
      <c r="O397" s="160"/>
      <c r="P397" s="157" t="str">
        <f ca="1">Simulador!O392</f>
        <v/>
      </c>
      <c r="Q397" s="160"/>
      <c r="R397" s="157" t="str">
        <f ca="1">Simulador!Q392</f>
        <v/>
      </c>
      <c r="S397" s="160"/>
      <c r="T397" s="157" t="str">
        <f ca="1">Simulador!S392</f>
        <v/>
      </c>
    </row>
    <row r="398" spans="2:20" x14ac:dyDescent="0.3">
      <c r="B398" s="163" t="str">
        <f ca="1">Simulador!A393</f>
        <v/>
      </c>
      <c r="C398" s="160"/>
      <c r="D398" s="161" t="str">
        <f ca="1">Simulador!C393</f>
        <v/>
      </c>
      <c r="E398" s="160"/>
      <c r="F398" s="162" t="str">
        <f ca="1">Simulador!E393</f>
        <v/>
      </c>
      <c r="G398" s="160"/>
      <c r="H398" s="157" t="str">
        <f ca="1">Simulador!G393</f>
        <v/>
      </c>
      <c r="I398" s="160"/>
      <c r="J398" s="157" t="str">
        <f ca="1">Simulador!I393</f>
        <v/>
      </c>
      <c r="K398" s="160"/>
      <c r="L398" s="157" t="str">
        <f ca="1">Simulador!K393</f>
        <v/>
      </c>
      <c r="M398" s="160"/>
      <c r="N398" s="157" t="str">
        <f ca="1">Simulador!M393</f>
        <v/>
      </c>
      <c r="O398" s="160"/>
      <c r="P398" s="157" t="str">
        <f ca="1">Simulador!O393</f>
        <v/>
      </c>
      <c r="Q398" s="160"/>
      <c r="R398" s="157" t="str">
        <f ca="1">Simulador!Q393</f>
        <v/>
      </c>
      <c r="S398" s="160"/>
      <c r="T398" s="157" t="str">
        <f ca="1">Simulador!S393</f>
        <v/>
      </c>
    </row>
    <row r="399" spans="2:20" x14ac:dyDescent="0.3">
      <c r="B399" s="163" t="str">
        <f ca="1">Simulador!A394</f>
        <v/>
      </c>
      <c r="C399" s="160"/>
      <c r="D399" s="161" t="str">
        <f ca="1">Simulador!C394</f>
        <v/>
      </c>
      <c r="E399" s="160"/>
      <c r="F399" s="162" t="str">
        <f ca="1">Simulador!E394</f>
        <v/>
      </c>
      <c r="G399" s="160"/>
      <c r="H399" s="157" t="str">
        <f ca="1">Simulador!G394</f>
        <v/>
      </c>
      <c r="I399" s="160"/>
      <c r="J399" s="157" t="str">
        <f ca="1">Simulador!I394</f>
        <v/>
      </c>
      <c r="K399" s="160"/>
      <c r="L399" s="157" t="str">
        <f ca="1">Simulador!K394</f>
        <v/>
      </c>
      <c r="M399" s="160"/>
      <c r="N399" s="157" t="str">
        <f ca="1">Simulador!M394</f>
        <v/>
      </c>
      <c r="O399" s="160"/>
      <c r="P399" s="157" t="str">
        <f ca="1">Simulador!O394</f>
        <v/>
      </c>
      <c r="Q399" s="160"/>
      <c r="R399" s="157" t="str">
        <f ca="1">Simulador!Q394</f>
        <v/>
      </c>
      <c r="S399" s="160"/>
      <c r="T399" s="157" t="str">
        <f ca="1">Simulador!S394</f>
        <v/>
      </c>
    </row>
    <row r="400" spans="2:20" x14ac:dyDescent="0.3">
      <c r="B400" s="163" t="str">
        <f ca="1">Simulador!A395</f>
        <v/>
      </c>
      <c r="C400" s="160"/>
      <c r="D400" s="161" t="str">
        <f ca="1">Simulador!C395</f>
        <v/>
      </c>
      <c r="E400" s="160"/>
      <c r="F400" s="162" t="str">
        <f ca="1">Simulador!E395</f>
        <v/>
      </c>
      <c r="G400" s="160"/>
      <c r="H400" s="157" t="str">
        <f ca="1">Simulador!G395</f>
        <v/>
      </c>
      <c r="I400" s="160"/>
      <c r="J400" s="157" t="str">
        <f ca="1">Simulador!I395</f>
        <v/>
      </c>
      <c r="K400" s="160"/>
      <c r="L400" s="157" t="str">
        <f ca="1">Simulador!K395</f>
        <v/>
      </c>
      <c r="M400" s="160"/>
      <c r="N400" s="157" t="str">
        <f ca="1">Simulador!M395</f>
        <v/>
      </c>
      <c r="O400" s="160"/>
      <c r="P400" s="157" t="str">
        <f ca="1">Simulador!O395</f>
        <v/>
      </c>
      <c r="Q400" s="160"/>
      <c r="R400" s="157" t="str">
        <f ca="1">Simulador!Q395</f>
        <v/>
      </c>
      <c r="S400" s="160"/>
      <c r="T400" s="157" t="str">
        <f ca="1">Simulador!S395</f>
        <v/>
      </c>
    </row>
    <row r="401" spans="2:20" x14ac:dyDescent="0.3">
      <c r="B401" s="163" t="str">
        <f ca="1">Simulador!A396</f>
        <v/>
      </c>
      <c r="C401" s="160"/>
      <c r="D401" s="161" t="str">
        <f ca="1">Simulador!C396</f>
        <v/>
      </c>
      <c r="E401" s="160"/>
      <c r="F401" s="162" t="str">
        <f ca="1">Simulador!E396</f>
        <v/>
      </c>
      <c r="G401" s="160"/>
      <c r="H401" s="157" t="str">
        <f ca="1">Simulador!G396</f>
        <v/>
      </c>
      <c r="I401" s="160"/>
      <c r="J401" s="157" t="str">
        <f ca="1">Simulador!I396</f>
        <v/>
      </c>
      <c r="K401" s="160"/>
      <c r="L401" s="157" t="str">
        <f ca="1">Simulador!K396</f>
        <v/>
      </c>
      <c r="M401" s="160"/>
      <c r="N401" s="157" t="str">
        <f ca="1">Simulador!M396</f>
        <v/>
      </c>
      <c r="O401" s="160"/>
      <c r="P401" s="157" t="str">
        <f ca="1">Simulador!O396</f>
        <v/>
      </c>
      <c r="Q401" s="160"/>
      <c r="R401" s="157" t="str">
        <f ca="1">Simulador!Q396</f>
        <v/>
      </c>
      <c r="S401" s="160"/>
      <c r="T401" s="157" t="str">
        <f ca="1">Simulador!S396</f>
        <v/>
      </c>
    </row>
    <row r="402" spans="2:20" x14ac:dyDescent="0.3">
      <c r="B402" s="163" t="str">
        <f ca="1">Simulador!A397</f>
        <v/>
      </c>
      <c r="C402" s="160"/>
      <c r="D402" s="161" t="str">
        <f ca="1">Simulador!C397</f>
        <v/>
      </c>
      <c r="E402" s="160"/>
      <c r="F402" s="162" t="str">
        <f ca="1">Simulador!E397</f>
        <v/>
      </c>
      <c r="G402" s="160"/>
      <c r="H402" s="157" t="str">
        <f ca="1">Simulador!G397</f>
        <v/>
      </c>
      <c r="I402" s="160"/>
      <c r="J402" s="157" t="str">
        <f ca="1">Simulador!I397</f>
        <v/>
      </c>
      <c r="K402" s="160"/>
      <c r="L402" s="157" t="str">
        <f ca="1">Simulador!K397</f>
        <v/>
      </c>
      <c r="M402" s="160"/>
      <c r="N402" s="157" t="str">
        <f ca="1">Simulador!M397</f>
        <v/>
      </c>
      <c r="O402" s="160"/>
      <c r="P402" s="157" t="str">
        <f ca="1">Simulador!O397</f>
        <v/>
      </c>
      <c r="Q402" s="160"/>
      <c r="R402" s="157" t="str">
        <f ca="1">Simulador!Q397</f>
        <v/>
      </c>
      <c r="S402" s="160"/>
      <c r="T402" s="157" t="str">
        <f ca="1">Simulador!S397</f>
        <v/>
      </c>
    </row>
    <row r="403" spans="2:20" x14ac:dyDescent="0.3">
      <c r="B403" s="163" t="str">
        <f ca="1">Simulador!A398</f>
        <v/>
      </c>
      <c r="C403" s="160"/>
      <c r="D403" s="161" t="str">
        <f ca="1">Simulador!C398</f>
        <v/>
      </c>
      <c r="E403" s="160"/>
      <c r="F403" s="162" t="str">
        <f ca="1">Simulador!E398</f>
        <v/>
      </c>
      <c r="G403" s="160"/>
      <c r="H403" s="157" t="str">
        <f ca="1">Simulador!G398</f>
        <v/>
      </c>
      <c r="I403" s="160"/>
      <c r="J403" s="157" t="str">
        <f ca="1">Simulador!I398</f>
        <v/>
      </c>
      <c r="K403" s="160"/>
      <c r="L403" s="157" t="str">
        <f ca="1">Simulador!K398</f>
        <v/>
      </c>
      <c r="M403" s="160"/>
      <c r="N403" s="157" t="str">
        <f ca="1">Simulador!M398</f>
        <v/>
      </c>
      <c r="O403" s="160"/>
      <c r="P403" s="157" t="str">
        <f ca="1">Simulador!O398</f>
        <v/>
      </c>
      <c r="Q403" s="160"/>
      <c r="R403" s="157" t="str">
        <f ca="1">Simulador!Q398</f>
        <v/>
      </c>
      <c r="S403" s="160"/>
      <c r="T403" s="157" t="str">
        <f ca="1">Simulador!S398</f>
        <v/>
      </c>
    </row>
    <row r="404" spans="2:20" x14ac:dyDescent="0.3">
      <c r="B404" s="163" t="str">
        <f ca="1">Simulador!A399</f>
        <v/>
      </c>
      <c r="C404" s="160"/>
      <c r="D404" s="161" t="str">
        <f ca="1">Simulador!C399</f>
        <v/>
      </c>
      <c r="E404" s="160"/>
      <c r="F404" s="162" t="str">
        <f ca="1">Simulador!E399</f>
        <v/>
      </c>
      <c r="G404" s="160"/>
      <c r="H404" s="157" t="str">
        <f ca="1">Simulador!G399</f>
        <v/>
      </c>
      <c r="I404" s="160"/>
      <c r="J404" s="157" t="str">
        <f ca="1">Simulador!I399</f>
        <v/>
      </c>
      <c r="K404" s="160"/>
      <c r="L404" s="157" t="str">
        <f ca="1">Simulador!K399</f>
        <v/>
      </c>
      <c r="M404" s="160"/>
      <c r="N404" s="157" t="str">
        <f ca="1">Simulador!M399</f>
        <v/>
      </c>
      <c r="O404" s="160"/>
      <c r="P404" s="157" t="str">
        <f ca="1">Simulador!O399</f>
        <v/>
      </c>
      <c r="Q404" s="160"/>
      <c r="R404" s="157" t="str">
        <f ca="1">Simulador!Q399</f>
        <v/>
      </c>
      <c r="S404" s="160"/>
      <c r="T404" s="157" t="str">
        <f ca="1">Simulador!S399</f>
        <v/>
      </c>
    </row>
    <row r="405" spans="2:20" x14ac:dyDescent="0.3">
      <c r="B405" s="163" t="str">
        <f ca="1">Simulador!A400</f>
        <v/>
      </c>
      <c r="C405" s="160"/>
      <c r="D405" s="161" t="str">
        <f ca="1">Simulador!C400</f>
        <v/>
      </c>
      <c r="E405" s="160"/>
      <c r="F405" s="162" t="str">
        <f ca="1">Simulador!E400</f>
        <v/>
      </c>
      <c r="G405" s="160"/>
      <c r="H405" s="157" t="str">
        <f ca="1">Simulador!G400</f>
        <v/>
      </c>
      <c r="I405" s="160"/>
      <c r="J405" s="157" t="str">
        <f ca="1">Simulador!I400</f>
        <v/>
      </c>
      <c r="K405" s="160"/>
      <c r="L405" s="157" t="str">
        <f ca="1">Simulador!K400</f>
        <v/>
      </c>
      <c r="M405" s="160"/>
      <c r="N405" s="157" t="str">
        <f ca="1">Simulador!M400</f>
        <v/>
      </c>
      <c r="O405" s="160"/>
      <c r="P405" s="157" t="str">
        <f ca="1">Simulador!O400</f>
        <v/>
      </c>
      <c r="Q405" s="160"/>
      <c r="R405" s="157" t="str">
        <f ca="1">Simulador!Q400</f>
        <v/>
      </c>
      <c r="S405" s="160"/>
      <c r="T405" s="157" t="str">
        <f ca="1">Simulador!S400</f>
        <v/>
      </c>
    </row>
    <row r="406" spans="2:20" x14ac:dyDescent="0.3">
      <c r="B406" s="163" t="str">
        <f ca="1">Simulador!A401</f>
        <v/>
      </c>
      <c r="C406" s="160"/>
      <c r="D406" s="161" t="str">
        <f ca="1">Simulador!C401</f>
        <v/>
      </c>
      <c r="E406" s="160"/>
      <c r="F406" s="162" t="str">
        <f ca="1">Simulador!E401</f>
        <v/>
      </c>
      <c r="G406" s="160"/>
      <c r="H406" s="157" t="str">
        <f ca="1">Simulador!G401</f>
        <v/>
      </c>
      <c r="I406" s="160"/>
      <c r="J406" s="157" t="str">
        <f ca="1">Simulador!I401</f>
        <v/>
      </c>
      <c r="K406" s="160"/>
      <c r="L406" s="157" t="str">
        <f ca="1">Simulador!K401</f>
        <v/>
      </c>
      <c r="M406" s="160"/>
      <c r="N406" s="157" t="str">
        <f ca="1">Simulador!M401</f>
        <v/>
      </c>
      <c r="O406" s="160"/>
      <c r="P406" s="157" t="str">
        <f ca="1">Simulador!O401</f>
        <v/>
      </c>
      <c r="Q406" s="160"/>
      <c r="R406" s="157" t="str">
        <f ca="1">Simulador!Q401</f>
        <v/>
      </c>
      <c r="S406" s="160"/>
      <c r="T406" s="157" t="str">
        <f ca="1">Simulador!S401</f>
        <v/>
      </c>
    </row>
    <row r="407" spans="2:20" x14ac:dyDescent="0.3">
      <c r="B407" s="163" t="str">
        <f ca="1">Simulador!A402</f>
        <v/>
      </c>
      <c r="C407" s="160"/>
      <c r="D407" s="161" t="str">
        <f ca="1">Simulador!C402</f>
        <v/>
      </c>
      <c r="E407" s="160"/>
      <c r="F407" s="162" t="str">
        <f ca="1">Simulador!E402</f>
        <v/>
      </c>
      <c r="G407" s="160"/>
      <c r="H407" s="157" t="str">
        <f ca="1">Simulador!G402</f>
        <v/>
      </c>
      <c r="I407" s="160"/>
      <c r="J407" s="157" t="str">
        <f ca="1">Simulador!I402</f>
        <v/>
      </c>
      <c r="K407" s="160"/>
      <c r="L407" s="157" t="str">
        <f ca="1">Simulador!K402</f>
        <v/>
      </c>
      <c r="M407" s="160"/>
      <c r="N407" s="157" t="str">
        <f ca="1">Simulador!M402</f>
        <v/>
      </c>
      <c r="O407" s="160"/>
      <c r="P407" s="157" t="str">
        <f ca="1">Simulador!O402</f>
        <v/>
      </c>
      <c r="Q407" s="160"/>
      <c r="R407" s="157" t="str">
        <f ca="1">Simulador!Q402</f>
        <v/>
      </c>
      <c r="S407" s="160"/>
      <c r="T407" s="157" t="str">
        <f ca="1">Simulador!S402</f>
        <v/>
      </c>
    </row>
    <row r="408" spans="2:20" x14ac:dyDescent="0.3">
      <c r="B408" s="163" t="str">
        <f ca="1">Simulador!A403</f>
        <v/>
      </c>
      <c r="C408" s="160"/>
      <c r="D408" s="161" t="str">
        <f ca="1">Simulador!C403</f>
        <v/>
      </c>
      <c r="E408" s="160"/>
      <c r="F408" s="162" t="str">
        <f ca="1">Simulador!E403</f>
        <v/>
      </c>
      <c r="G408" s="160"/>
      <c r="H408" s="157" t="str">
        <f ca="1">Simulador!G403</f>
        <v/>
      </c>
      <c r="I408" s="160"/>
      <c r="J408" s="157" t="str">
        <f ca="1">Simulador!I403</f>
        <v/>
      </c>
      <c r="K408" s="160"/>
      <c r="L408" s="157" t="str">
        <f ca="1">Simulador!K403</f>
        <v/>
      </c>
      <c r="M408" s="160"/>
      <c r="N408" s="157" t="str">
        <f ca="1">Simulador!M403</f>
        <v/>
      </c>
      <c r="O408" s="160"/>
      <c r="P408" s="157" t="str">
        <f ca="1">Simulador!O403</f>
        <v/>
      </c>
      <c r="Q408" s="160"/>
      <c r="R408" s="157" t="str">
        <f ca="1">Simulador!Q403</f>
        <v/>
      </c>
      <c r="S408" s="160"/>
      <c r="T408" s="157" t="str">
        <f ca="1">Simulador!S403</f>
        <v/>
      </c>
    </row>
    <row r="409" spans="2:20" x14ac:dyDescent="0.3">
      <c r="B409" s="163" t="str">
        <f ca="1">Simulador!A404</f>
        <v/>
      </c>
      <c r="C409" s="160"/>
      <c r="D409" s="161" t="str">
        <f ca="1">Simulador!C404</f>
        <v/>
      </c>
      <c r="E409" s="160"/>
      <c r="F409" s="162" t="str">
        <f ca="1">Simulador!E404</f>
        <v/>
      </c>
      <c r="G409" s="160"/>
      <c r="H409" s="157" t="str">
        <f ca="1">Simulador!G404</f>
        <v/>
      </c>
      <c r="I409" s="160"/>
      <c r="J409" s="157" t="str">
        <f ca="1">Simulador!I404</f>
        <v/>
      </c>
      <c r="K409" s="160"/>
      <c r="L409" s="157" t="str">
        <f ca="1">Simulador!K404</f>
        <v/>
      </c>
      <c r="M409" s="160"/>
      <c r="N409" s="157" t="str">
        <f ca="1">Simulador!M404</f>
        <v/>
      </c>
      <c r="O409" s="160"/>
      <c r="P409" s="157" t="str">
        <f ca="1">Simulador!O404</f>
        <v/>
      </c>
      <c r="Q409" s="160"/>
      <c r="R409" s="157" t="str">
        <f ca="1">Simulador!Q404</f>
        <v/>
      </c>
      <c r="S409" s="160"/>
      <c r="T409" s="157" t="str">
        <f ca="1">Simulador!S404</f>
        <v/>
      </c>
    </row>
    <row r="410" spans="2:20" x14ac:dyDescent="0.3">
      <c r="B410" s="163" t="str">
        <f ca="1">Simulador!A405</f>
        <v/>
      </c>
      <c r="C410" s="160"/>
      <c r="D410" s="161" t="str">
        <f ca="1">Simulador!C405</f>
        <v/>
      </c>
      <c r="E410" s="160"/>
      <c r="F410" s="162" t="str">
        <f ca="1">Simulador!E405</f>
        <v/>
      </c>
      <c r="G410" s="160"/>
      <c r="H410" s="157" t="str">
        <f ca="1">Simulador!G405</f>
        <v/>
      </c>
      <c r="I410" s="160"/>
      <c r="J410" s="157" t="str">
        <f ca="1">Simulador!I405</f>
        <v/>
      </c>
      <c r="K410" s="160"/>
      <c r="L410" s="157" t="str">
        <f ca="1">Simulador!K405</f>
        <v/>
      </c>
      <c r="M410" s="160"/>
      <c r="N410" s="157" t="str">
        <f ca="1">Simulador!M405</f>
        <v/>
      </c>
      <c r="O410" s="160"/>
      <c r="P410" s="157" t="str">
        <f ca="1">Simulador!O405</f>
        <v/>
      </c>
      <c r="Q410" s="160"/>
      <c r="R410" s="157" t="str">
        <f ca="1">Simulador!Q405</f>
        <v/>
      </c>
      <c r="S410" s="160"/>
      <c r="T410" s="157" t="str">
        <f ca="1">Simulador!S405</f>
        <v/>
      </c>
    </row>
    <row r="411" spans="2:20" x14ac:dyDescent="0.3">
      <c r="B411" s="163" t="str">
        <f ca="1">Simulador!A406</f>
        <v/>
      </c>
      <c r="C411" s="160"/>
      <c r="D411" s="161" t="str">
        <f ca="1">Simulador!C406</f>
        <v/>
      </c>
      <c r="E411" s="160"/>
      <c r="F411" s="162" t="str">
        <f ca="1">Simulador!E406</f>
        <v/>
      </c>
      <c r="G411" s="160"/>
      <c r="H411" s="157" t="str">
        <f ca="1">Simulador!G406</f>
        <v/>
      </c>
      <c r="I411" s="160"/>
      <c r="J411" s="157" t="str">
        <f ca="1">Simulador!I406</f>
        <v/>
      </c>
      <c r="K411" s="160"/>
      <c r="L411" s="157" t="str">
        <f ca="1">Simulador!K406</f>
        <v/>
      </c>
      <c r="M411" s="160"/>
      <c r="N411" s="157" t="str">
        <f ca="1">Simulador!M406</f>
        <v/>
      </c>
      <c r="O411" s="160"/>
      <c r="P411" s="157" t="str">
        <f ca="1">Simulador!O406</f>
        <v/>
      </c>
      <c r="Q411" s="160"/>
      <c r="R411" s="157" t="str">
        <f ca="1">Simulador!Q406</f>
        <v/>
      </c>
      <c r="S411" s="160"/>
      <c r="T411" s="157" t="str">
        <f ca="1">Simulador!S406</f>
        <v/>
      </c>
    </row>
    <row r="412" spans="2:20" x14ac:dyDescent="0.3">
      <c r="B412" s="163" t="str">
        <f ca="1">Simulador!A407</f>
        <v/>
      </c>
      <c r="C412" s="160"/>
      <c r="D412" s="161" t="str">
        <f ca="1">Simulador!C407</f>
        <v/>
      </c>
      <c r="E412" s="160"/>
      <c r="F412" s="162" t="str">
        <f ca="1">Simulador!E407</f>
        <v/>
      </c>
      <c r="G412" s="160"/>
      <c r="H412" s="157" t="str">
        <f ca="1">Simulador!G407</f>
        <v/>
      </c>
      <c r="I412" s="160"/>
      <c r="J412" s="157" t="str">
        <f ca="1">Simulador!I407</f>
        <v/>
      </c>
      <c r="K412" s="160"/>
      <c r="L412" s="157" t="str">
        <f ca="1">Simulador!K407</f>
        <v/>
      </c>
      <c r="M412" s="160"/>
      <c r="N412" s="157" t="str">
        <f ca="1">Simulador!M407</f>
        <v/>
      </c>
      <c r="O412" s="160"/>
      <c r="P412" s="157" t="str">
        <f ca="1">Simulador!O407</f>
        <v/>
      </c>
      <c r="Q412" s="160"/>
      <c r="R412" s="157" t="str">
        <f ca="1">Simulador!Q407</f>
        <v/>
      </c>
      <c r="S412" s="160"/>
      <c r="T412" s="157" t="str">
        <f ca="1">Simulador!S407</f>
        <v/>
      </c>
    </row>
    <row r="413" spans="2:20" x14ac:dyDescent="0.3">
      <c r="B413" s="163" t="str">
        <f ca="1">Simulador!A408</f>
        <v/>
      </c>
      <c r="C413" s="160"/>
      <c r="D413" s="161" t="str">
        <f ca="1">Simulador!C408</f>
        <v/>
      </c>
      <c r="E413" s="160"/>
      <c r="F413" s="162" t="str">
        <f ca="1">Simulador!E408</f>
        <v/>
      </c>
      <c r="G413" s="160"/>
      <c r="H413" s="157" t="str">
        <f ca="1">Simulador!G408</f>
        <v/>
      </c>
      <c r="I413" s="160"/>
      <c r="J413" s="157" t="str">
        <f ca="1">Simulador!I408</f>
        <v/>
      </c>
      <c r="K413" s="160"/>
      <c r="L413" s="157" t="str">
        <f ca="1">Simulador!K408</f>
        <v/>
      </c>
      <c r="M413" s="160"/>
      <c r="N413" s="157" t="str">
        <f ca="1">Simulador!M408</f>
        <v/>
      </c>
      <c r="O413" s="160"/>
      <c r="P413" s="157" t="str">
        <f ca="1">Simulador!O408</f>
        <v/>
      </c>
      <c r="Q413" s="160"/>
      <c r="R413" s="157" t="str">
        <f ca="1">Simulador!Q408</f>
        <v/>
      </c>
      <c r="S413" s="160"/>
      <c r="T413" s="157" t="str">
        <f ca="1">Simulador!S408</f>
        <v/>
      </c>
    </row>
    <row r="414" spans="2:20" x14ac:dyDescent="0.3">
      <c r="B414" s="163" t="str">
        <f ca="1">Simulador!A409</f>
        <v/>
      </c>
      <c r="C414" s="160"/>
      <c r="D414" s="161" t="str">
        <f ca="1">Simulador!C409</f>
        <v/>
      </c>
      <c r="E414" s="160"/>
      <c r="F414" s="162" t="str">
        <f ca="1">Simulador!E409</f>
        <v/>
      </c>
      <c r="G414" s="160"/>
      <c r="H414" s="157" t="str">
        <f ca="1">Simulador!G409</f>
        <v/>
      </c>
      <c r="I414" s="160"/>
      <c r="J414" s="157" t="str">
        <f ca="1">Simulador!I409</f>
        <v/>
      </c>
      <c r="K414" s="160"/>
      <c r="L414" s="157" t="str">
        <f ca="1">Simulador!K409</f>
        <v/>
      </c>
      <c r="M414" s="160"/>
      <c r="N414" s="157" t="str">
        <f ca="1">Simulador!M409</f>
        <v/>
      </c>
      <c r="O414" s="160"/>
      <c r="P414" s="157" t="str">
        <f ca="1">Simulador!O409</f>
        <v/>
      </c>
      <c r="Q414" s="160"/>
      <c r="R414" s="157" t="str">
        <f ca="1">Simulador!Q409</f>
        <v/>
      </c>
      <c r="S414" s="160"/>
      <c r="T414" s="157" t="str">
        <f ca="1">Simulador!S409</f>
        <v/>
      </c>
    </row>
    <row r="415" spans="2:20" x14ac:dyDescent="0.3">
      <c r="B415" s="163" t="str">
        <f ca="1">Simulador!A410</f>
        <v/>
      </c>
      <c r="C415" s="160"/>
      <c r="D415" s="161" t="str">
        <f ca="1">Simulador!C410</f>
        <v/>
      </c>
      <c r="E415" s="160"/>
      <c r="F415" s="162" t="str">
        <f ca="1">Simulador!E410</f>
        <v/>
      </c>
      <c r="G415" s="160"/>
      <c r="H415" s="157" t="str">
        <f ca="1">Simulador!G410</f>
        <v/>
      </c>
      <c r="I415" s="160"/>
      <c r="J415" s="157" t="str">
        <f ca="1">Simulador!I410</f>
        <v/>
      </c>
      <c r="K415" s="160"/>
      <c r="L415" s="157" t="str">
        <f ca="1">Simulador!K410</f>
        <v/>
      </c>
      <c r="M415" s="160"/>
      <c r="N415" s="157" t="str">
        <f ca="1">Simulador!M410</f>
        <v/>
      </c>
      <c r="O415" s="160"/>
      <c r="P415" s="157" t="str">
        <f ca="1">Simulador!O410</f>
        <v/>
      </c>
      <c r="Q415" s="160"/>
      <c r="R415" s="157" t="str">
        <f ca="1">Simulador!Q410</f>
        <v/>
      </c>
      <c r="S415" s="160"/>
      <c r="T415" s="157" t="str">
        <f ca="1">Simulador!S410</f>
        <v/>
      </c>
    </row>
    <row r="416" spans="2:20" x14ac:dyDescent="0.3">
      <c r="B416" s="163" t="str">
        <f ca="1">Simulador!A411</f>
        <v/>
      </c>
      <c r="C416" s="160"/>
      <c r="D416" s="161" t="str">
        <f ca="1">Simulador!C411</f>
        <v/>
      </c>
      <c r="E416" s="160"/>
      <c r="F416" s="162" t="str">
        <f ca="1">Simulador!E411</f>
        <v/>
      </c>
      <c r="G416" s="160"/>
      <c r="H416" s="157" t="str">
        <f ca="1">Simulador!G411</f>
        <v/>
      </c>
      <c r="I416" s="160"/>
      <c r="J416" s="157" t="str">
        <f ca="1">Simulador!I411</f>
        <v/>
      </c>
      <c r="K416" s="160"/>
      <c r="L416" s="157" t="str">
        <f ca="1">Simulador!K411</f>
        <v/>
      </c>
      <c r="M416" s="160"/>
      <c r="N416" s="157" t="str">
        <f ca="1">Simulador!M411</f>
        <v/>
      </c>
      <c r="O416" s="160"/>
      <c r="P416" s="157" t="str">
        <f ca="1">Simulador!O411</f>
        <v/>
      </c>
      <c r="Q416" s="160"/>
      <c r="R416" s="157" t="str">
        <f ca="1">Simulador!Q411</f>
        <v/>
      </c>
      <c r="S416" s="160"/>
      <c r="T416" s="157" t="str">
        <f ca="1">Simulador!S411</f>
        <v/>
      </c>
    </row>
    <row r="417" spans="2:20" x14ac:dyDescent="0.3">
      <c r="B417" s="163" t="str">
        <f ca="1">Simulador!A412</f>
        <v/>
      </c>
      <c r="C417" s="160"/>
      <c r="D417" s="161" t="str">
        <f ca="1">Simulador!C412</f>
        <v/>
      </c>
      <c r="E417" s="160"/>
      <c r="F417" s="162" t="str">
        <f ca="1">Simulador!E412</f>
        <v/>
      </c>
      <c r="G417" s="160"/>
      <c r="H417" s="157" t="str">
        <f ca="1">Simulador!G412</f>
        <v/>
      </c>
      <c r="I417" s="160"/>
      <c r="J417" s="157" t="str">
        <f ca="1">Simulador!I412</f>
        <v/>
      </c>
      <c r="K417" s="160"/>
      <c r="L417" s="157" t="str">
        <f ca="1">Simulador!K412</f>
        <v/>
      </c>
      <c r="M417" s="160"/>
      <c r="N417" s="157" t="str">
        <f ca="1">Simulador!M412</f>
        <v/>
      </c>
      <c r="O417" s="160"/>
      <c r="P417" s="157" t="str">
        <f ca="1">Simulador!O412</f>
        <v/>
      </c>
      <c r="Q417" s="160"/>
      <c r="R417" s="157" t="str">
        <f ca="1">Simulador!Q412</f>
        <v/>
      </c>
      <c r="S417" s="160"/>
      <c r="T417" s="157" t="str">
        <f ca="1">Simulador!S412</f>
        <v/>
      </c>
    </row>
    <row r="418" spans="2:20" x14ac:dyDescent="0.3">
      <c r="B418" s="163" t="str">
        <f ca="1">Simulador!A413</f>
        <v/>
      </c>
      <c r="C418" s="160"/>
      <c r="D418" s="161" t="str">
        <f ca="1">Simulador!C413</f>
        <v/>
      </c>
      <c r="E418" s="160"/>
      <c r="F418" s="162" t="str">
        <f ca="1">Simulador!E413</f>
        <v/>
      </c>
      <c r="G418" s="160"/>
      <c r="H418" s="157" t="str">
        <f ca="1">Simulador!G413</f>
        <v/>
      </c>
      <c r="I418" s="160"/>
      <c r="J418" s="157" t="str">
        <f ca="1">Simulador!I413</f>
        <v/>
      </c>
      <c r="K418" s="160"/>
      <c r="L418" s="157" t="str">
        <f ca="1">Simulador!K413</f>
        <v/>
      </c>
      <c r="M418" s="160"/>
      <c r="N418" s="157" t="str">
        <f ca="1">Simulador!M413</f>
        <v/>
      </c>
      <c r="O418" s="160"/>
      <c r="P418" s="157" t="str">
        <f ca="1">Simulador!O413</f>
        <v/>
      </c>
      <c r="Q418" s="160"/>
      <c r="R418" s="157" t="str">
        <f ca="1">Simulador!Q413</f>
        <v/>
      </c>
      <c r="S418" s="160"/>
      <c r="T418" s="157" t="str">
        <f ca="1">Simulador!S413</f>
        <v/>
      </c>
    </row>
    <row r="419" spans="2:20" x14ac:dyDescent="0.3">
      <c r="B419" s="163" t="str">
        <f ca="1">Simulador!A414</f>
        <v/>
      </c>
      <c r="C419" s="160"/>
      <c r="D419" s="161" t="str">
        <f ca="1">Simulador!C414</f>
        <v/>
      </c>
      <c r="E419" s="160"/>
      <c r="F419" s="162" t="str">
        <f ca="1">Simulador!E414</f>
        <v/>
      </c>
      <c r="G419" s="160"/>
      <c r="H419" s="157" t="str">
        <f ca="1">Simulador!G414</f>
        <v/>
      </c>
      <c r="I419" s="160"/>
      <c r="J419" s="157" t="str">
        <f ca="1">Simulador!I414</f>
        <v/>
      </c>
      <c r="K419" s="160"/>
      <c r="L419" s="157" t="str">
        <f ca="1">Simulador!K414</f>
        <v/>
      </c>
      <c r="M419" s="160"/>
      <c r="N419" s="157" t="str">
        <f ca="1">Simulador!M414</f>
        <v/>
      </c>
      <c r="O419" s="160"/>
      <c r="P419" s="157" t="str">
        <f ca="1">Simulador!O414</f>
        <v/>
      </c>
      <c r="Q419" s="160"/>
      <c r="R419" s="157" t="str">
        <f ca="1">Simulador!Q414</f>
        <v/>
      </c>
      <c r="S419" s="160"/>
      <c r="T419" s="157" t="str">
        <f ca="1">Simulador!S414</f>
        <v/>
      </c>
    </row>
    <row r="420" spans="2:20" x14ac:dyDescent="0.3">
      <c r="B420" s="163" t="str">
        <f ca="1">Simulador!A415</f>
        <v/>
      </c>
      <c r="C420" s="160"/>
      <c r="D420" s="161" t="str">
        <f ca="1">Simulador!C415</f>
        <v/>
      </c>
      <c r="E420" s="160"/>
      <c r="F420" s="162" t="str">
        <f ca="1">Simulador!E415</f>
        <v/>
      </c>
      <c r="G420" s="160"/>
      <c r="H420" s="157" t="str">
        <f ca="1">Simulador!G415</f>
        <v/>
      </c>
      <c r="I420" s="160"/>
      <c r="J420" s="157" t="str">
        <f ca="1">Simulador!I415</f>
        <v/>
      </c>
      <c r="K420" s="160"/>
      <c r="L420" s="157" t="str">
        <f ca="1">Simulador!K415</f>
        <v/>
      </c>
      <c r="M420" s="160"/>
      <c r="N420" s="157" t="str">
        <f ca="1">Simulador!M415</f>
        <v/>
      </c>
      <c r="O420" s="160"/>
      <c r="P420" s="157" t="str">
        <f ca="1">Simulador!O415</f>
        <v/>
      </c>
      <c r="Q420" s="160"/>
      <c r="R420" s="157" t="str">
        <f ca="1">Simulador!Q415</f>
        <v/>
      </c>
      <c r="S420" s="160"/>
      <c r="T420" s="157" t="str">
        <f ca="1">Simulador!S415</f>
        <v/>
      </c>
    </row>
    <row r="421" spans="2:20" x14ac:dyDescent="0.3">
      <c r="B421" s="163" t="str">
        <f ca="1">Simulador!A416</f>
        <v/>
      </c>
      <c r="C421" s="160"/>
      <c r="D421" s="161" t="str">
        <f ca="1">Simulador!C416</f>
        <v/>
      </c>
      <c r="E421" s="160"/>
      <c r="F421" s="162" t="str">
        <f ca="1">Simulador!E416</f>
        <v/>
      </c>
      <c r="G421" s="160"/>
      <c r="H421" s="157" t="str">
        <f ca="1">Simulador!G416</f>
        <v/>
      </c>
      <c r="I421" s="160"/>
      <c r="J421" s="157" t="str">
        <f ca="1">Simulador!I416</f>
        <v/>
      </c>
      <c r="K421" s="160"/>
      <c r="L421" s="157" t="str">
        <f ca="1">Simulador!K416</f>
        <v/>
      </c>
      <c r="M421" s="160"/>
      <c r="N421" s="157" t="str">
        <f ca="1">Simulador!M416</f>
        <v/>
      </c>
      <c r="O421" s="160"/>
      <c r="P421" s="157" t="str">
        <f ca="1">Simulador!O416</f>
        <v/>
      </c>
      <c r="Q421" s="160"/>
      <c r="R421" s="157" t="str">
        <f ca="1">Simulador!Q416</f>
        <v/>
      </c>
      <c r="S421" s="160"/>
      <c r="T421" s="157" t="str">
        <f ca="1">Simulador!S416</f>
        <v/>
      </c>
    </row>
    <row r="422" spans="2:20" x14ac:dyDescent="0.3">
      <c r="B422" s="163" t="str">
        <f ca="1">Simulador!A417</f>
        <v/>
      </c>
      <c r="C422" s="160"/>
      <c r="D422" s="161" t="str">
        <f ca="1">Simulador!C417</f>
        <v/>
      </c>
      <c r="E422" s="160"/>
      <c r="F422" s="162" t="str">
        <f ca="1">Simulador!E417</f>
        <v/>
      </c>
      <c r="G422" s="160"/>
      <c r="H422" s="157" t="str">
        <f ca="1">Simulador!G417</f>
        <v/>
      </c>
      <c r="I422" s="160"/>
      <c r="J422" s="157" t="str">
        <f ca="1">Simulador!I417</f>
        <v/>
      </c>
      <c r="K422" s="160"/>
      <c r="L422" s="157" t="str">
        <f ca="1">Simulador!K417</f>
        <v/>
      </c>
      <c r="M422" s="160"/>
      <c r="N422" s="157" t="str">
        <f ca="1">Simulador!M417</f>
        <v/>
      </c>
      <c r="O422" s="160"/>
      <c r="P422" s="157" t="str">
        <f ca="1">Simulador!O417</f>
        <v/>
      </c>
      <c r="Q422" s="160"/>
      <c r="R422" s="157" t="str">
        <f ca="1">Simulador!Q417</f>
        <v/>
      </c>
      <c r="S422" s="160"/>
      <c r="T422" s="157" t="str">
        <f ca="1">Simulador!S417</f>
        <v/>
      </c>
    </row>
    <row r="423" spans="2:20" x14ac:dyDescent="0.3">
      <c r="B423" s="163" t="str">
        <f ca="1">Simulador!A418</f>
        <v/>
      </c>
      <c r="C423" s="160"/>
      <c r="D423" s="161" t="str">
        <f ca="1">Simulador!C418</f>
        <v/>
      </c>
      <c r="E423" s="160"/>
      <c r="F423" s="162" t="str">
        <f ca="1">Simulador!E418</f>
        <v/>
      </c>
      <c r="G423" s="160"/>
      <c r="H423" s="157" t="str">
        <f ca="1">Simulador!G418</f>
        <v/>
      </c>
      <c r="I423" s="160"/>
      <c r="J423" s="157" t="str">
        <f ca="1">Simulador!I418</f>
        <v/>
      </c>
      <c r="K423" s="160"/>
      <c r="L423" s="157" t="str">
        <f ca="1">Simulador!K418</f>
        <v/>
      </c>
      <c r="M423" s="160"/>
      <c r="N423" s="157" t="str">
        <f ca="1">Simulador!M418</f>
        <v/>
      </c>
      <c r="O423" s="160"/>
      <c r="P423" s="157" t="str">
        <f ca="1">Simulador!O418</f>
        <v/>
      </c>
      <c r="Q423" s="160"/>
      <c r="R423" s="157" t="str">
        <f ca="1">Simulador!Q418</f>
        <v/>
      </c>
      <c r="S423" s="160"/>
      <c r="T423" s="157" t="str">
        <f ca="1">Simulador!S418</f>
        <v/>
      </c>
    </row>
    <row r="424" spans="2:20" x14ac:dyDescent="0.3">
      <c r="B424" s="163" t="str">
        <f ca="1">Simulador!A419</f>
        <v/>
      </c>
      <c r="C424" s="160"/>
      <c r="D424" s="161" t="str">
        <f ca="1">Simulador!C419</f>
        <v/>
      </c>
      <c r="E424" s="160"/>
      <c r="F424" s="162" t="str">
        <f ca="1">Simulador!E419</f>
        <v/>
      </c>
      <c r="G424" s="160"/>
      <c r="H424" s="157" t="str">
        <f ca="1">Simulador!G419</f>
        <v/>
      </c>
      <c r="I424" s="160"/>
      <c r="J424" s="157" t="str">
        <f ca="1">Simulador!I419</f>
        <v/>
      </c>
      <c r="K424" s="160"/>
      <c r="L424" s="157" t="str">
        <f ca="1">Simulador!K419</f>
        <v/>
      </c>
      <c r="M424" s="160"/>
      <c r="N424" s="157" t="str">
        <f ca="1">Simulador!M419</f>
        <v/>
      </c>
      <c r="O424" s="160"/>
      <c r="P424" s="157" t="str">
        <f ca="1">Simulador!O419</f>
        <v/>
      </c>
      <c r="Q424" s="160"/>
      <c r="R424" s="157" t="str">
        <f ca="1">Simulador!Q419</f>
        <v/>
      </c>
      <c r="S424" s="160"/>
      <c r="T424" s="157" t="str">
        <f ca="1">Simulador!S419</f>
        <v/>
      </c>
    </row>
    <row r="425" spans="2:20" x14ac:dyDescent="0.3">
      <c r="B425" s="163" t="str">
        <f ca="1">Simulador!A420</f>
        <v/>
      </c>
      <c r="C425" s="160"/>
      <c r="D425" s="161" t="str">
        <f ca="1">Simulador!C420</f>
        <v/>
      </c>
      <c r="E425" s="160"/>
      <c r="F425" s="162" t="str">
        <f ca="1">Simulador!E420</f>
        <v/>
      </c>
      <c r="G425" s="160"/>
      <c r="H425" s="157" t="str">
        <f ca="1">Simulador!G420</f>
        <v/>
      </c>
      <c r="I425" s="160"/>
      <c r="J425" s="157" t="str">
        <f ca="1">Simulador!I420</f>
        <v/>
      </c>
      <c r="K425" s="160"/>
      <c r="L425" s="157" t="str">
        <f ca="1">Simulador!K420</f>
        <v/>
      </c>
      <c r="M425" s="160"/>
      <c r="N425" s="157" t="str">
        <f ca="1">Simulador!M420</f>
        <v/>
      </c>
      <c r="O425" s="160"/>
      <c r="P425" s="157" t="str">
        <f ca="1">Simulador!O420</f>
        <v/>
      </c>
      <c r="Q425" s="160"/>
      <c r="R425" s="157" t="str">
        <f ca="1">Simulador!Q420</f>
        <v/>
      </c>
      <c r="S425" s="160"/>
      <c r="T425" s="157" t="str">
        <f ca="1">Simulador!S420</f>
        <v/>
      </c>
    </row>
    <row r="426" spans="2:20" x14ac:dyDescent="0.3">
      <c r="B426" s="163" t="str">
        <f ca="1">Simulador!A421</f>
        <v/>
      </c>
      <c r="C426" s="160"/>
      <c r="D426" s="161" t="str">
        <f ca="1">Simulador!C421</f>
        <v/>
      </c>
      <c r="E426" s="160"/>
      <c r="F426" s="162" t="str">
        <f ca="1">Simulador!E421</f>
        <v/>
      </c>
      <c r="G426" s="160"/>
      <c r="H426" s="157" t="str">
        <f ca="1">Simulador!G421</f>
        <v/>
      </c>
      <c r="I426" s="160"/>
      <c r="J426" s="157" t="str">
        <f ca="1">Simulador!I421</f>
        <v/>
      </c>
      <c r="K426" s="160"/>
      <c r="L426" s="157" t="str">
        <f ca="1">Simulador!K421</f>
        <v/>
      </c>
      <c r="M426" s="160"/>
      <c r="N426" s="157" t="str">
        <f ca="1">Simulador!M421</f>
        <v/>
      </c>
      <c r="O426" s="160"/>
      <c r="P426" s="157" t="str">
        <f ca="1">Simulador!O421</f>
        <v/>
      </c>
      <c r="Q426" s="160"/>
      <c r="R426" s="157" t="str">
        <f ca="1">Simulador!Q421</f>
        <v/>
      </c>
      <c r="S426" s="160"/>
      <c r="T426" s="157" t="str">
        <f ca="1">Simulador!S421</f>
        <v/>
      </c>
    </row>
    <row r="427" spans="2:20" x14ac:dyDescent="0.3">
      <c r="B427" s="163" t="str">
        <f ca="1">Simulador!A422</f>
        <v/>
      </c>
      <c r="C427" s="160"/>
      <c r="D427" s="161" t="str">
        <f ca="1">Simulador!C422</f>
        <v/>
      </c>
      <c r="E427" s="160"/>
      <c r="F427" s="162" t="str">
        <f ca="1">Simulador!E422</f>
        <v/>
      </c>
      <c r="G427" s="160"/>
      <c r="H427" s="157" t="str">
        <f ca="1">Simulador!G422</f>
        <v/>
      </c>
      <c r="I427" s="160"/>
      <c r="J427" s="157" t="str">
        <f ca="1">Simulador!I422</f>
        <v/>
      </c>
      <c r="K427" s="160"/>
      <c r="L427" s="157" t="str">
        <f ca="1">Simulador!K422</f>
        <v/>
      </c>
      <c r="M427" s="160"/>
      <c r="N427" s="157" t="str">
        <f ca="1">Simulador!M422</f>
        <v/>
      </c>
      <c r="O427" s="160"/>
      <c r="P427" s="157" t="str">
        <f ca="1">Simulador!O422</f>
        <v/>
      </c>
      <c r="Q427" s="160"/>
      <c r="R427" s="157" t="str">
        <f ca="1">Simulador!Q422</f>
        <v/>
      </c>
      <c r="S427" s="160"/>
      <c r="T427" s="157" t="str">
        <f ca="1">Simulador!S422</f>
        <v/>
      </c>
    </row>
    <row r="428" spans="2:20" x14ac:dyDescent="0.3">
      <c r="B428" s="163" t="str">
        <f ca="1">Simulador!A423</f>
        <v/>
      </c>
      <c r="C428" s="160"/>
      <c r="D428" s="161" t="str">
        <f ca="1">Simulador!C423</f>
        <v/>
      </c>
      <c r="E428" s="160"/>
      <c r="F428" s="162" t="str">
        <f ca="1">Simulador!E423</f>
        <v/>
      </c>
      <c r="G428" s="160"/>
      <c r="H428" s="157" t="str">
        <f ca="1">Simulador!G423</f>
        <v/>
      </c>
      <c r="I428" s="160"/>
      <c r="J428" s="157" t="str">
        <f ca="1">Simulador!I423</f>
        <v/>
      </c>
      <c r="K428" s="160"/>
      <c r="L428" s="157" t="str">
        <f ca="1">Simulador!K423</f>
        <v/>
      </c>
      <c r="M428" s="160"/>
      <c r="N428" s="157" t="str">
        <f ca="1">Simulador!M423</f>
        <v/>
      </c>
      <c r="O428" s="160"/>
      <c r="P428" s="157" t="str">
        <f ca="1">Simulador!O423</f>
        <v/>
      </c>
      <c r="Q428" s="160"/>
      <c r="R428" s="157" t="str">
        <f ca="1">Simulador!Q423</f>
        <v/>
      </c>
      <c r="S428" s="160"/>
      <c r="T428" s="157" t="str">
        <f ca="1">Simulador!S423</f>
        <v/>
      </c>
    </row>
    <row r="429" spans="2:20" x14ac:dyDescent="0.3">
      <c r="B429" s="163" t="str">
        <f ca="1">Simulador!A424</f>
        <v/>
      </c>
      <c r="C429" s="160"/>
      <c r="D429" s="161" t="str">
        <f ca="1">Simulador!C424</f>
        <v/>
      </c>
      <c r="E429" s="160"/>
      <c r="F429" s="162" t="str">
        <f ca="1">Simulador!E424</f>
        <v/>
      </c>
      <c r="G429" s="160"/>
      <c r="H429" s="157" t="str">
        <f ca="1">Simulador!G424</f>
        <v/>
      </c>
      <c r="I429" s="160"/>
      <c r="J429" s="157" t="str">
        <f ca="1">Simulador!I424</f>
        <v/>
      </c>
      <c r="K429" s="160"/>
      <c r="L429" s="157" t="str">
        <f ca="1">Simulador!K424</f>
        <v/>
      </c>
      <c r="M429" s="160"/>
      <c r="N429" s="157" t="str">
        <f ca="1">Simulador!M424</f>
        <v/>
      </c>
      <c r="O429" s="160"/>
      <c r="P429" s="157" t="str">
        <f ca="1">Simulador!O424</f>
        <v/>
      </c>
      <c r="Q429" s="160"/>
      <c r="R429" s="157" t="str">
        <f ca="1">Simulador!Q424</f>
        <v/>
      </c>
      <c r="S429" s="160"/>
      <c r="T429" s="157" t="str">
        <f ca="1">Simulador!S424</f>
        <v/>
      </c>
    </row>
    <row r="430" spans="2:20" x14ac:dyDescent="0.3">
      <c r="B430" s="163" t="str">
        <f ca="1">Simulador!A425</f>
        <v/>
      </c>
      <c r="C430" s="160"/>
      <c r="D430" s="161" t="str">
        <f ca="1">Simulador!C425</f>
        <v/>
      </c>
      <c r="E430" s="160"/>
      <c r="F430" s="162" t="str">
        <f ca="1">Simulador!E425</f>
        <v/>
      </c>
      <c r="G430" s="160"/>
      <c r="H430" s="157" t="str">
        <f ca="1">Simulador!G425</f>
        <v/>
      </c>
      <c r="I430" s="160"/>
      <c r="J430" s="157" t="str">
        <f ca="1">Simulador!I425</f>
        <v/>
      </c>
      <c r="K430" s="160"/>
      <c r="L430" s="157" t="str">
        <f ca="1">Simulador!K425</f>
        <v/>
      </c>
      <c r="M430" s="160"/>
      <c r="N430" s="157" t="str">
        <f ca="1">Simulador!M425</f>
        <v/>
      </c>
      <c r="O430" s="160"/>
      <c r="P430" s="157" t="str">
        <f ca="1">Simulador!O425</f>
        <v/>
      </c>
      <c r="Q430" s="160"/>
      <c r="R430" s="157" t="str">
        <f ca="1">Simulador!Q425</f>
        <v/>
      </c>
      <c r="S430" s="160"/>
      <c r="T430" s="157" t="str">
        <f ca="1">Simulador!S425</f>
        <v/>
      </c>
    </row>
    <row r="431" spans="2:20" x14ac:dyDescent="0.3">
      <c r="B431" s="163" t="str">
        <f ca="1">Simulador!A426</f>
        <v/>
      </c>
      <c r="C431" s="160"/>
      <c r="D431" s="161" t="str">
        <f ca="1">Simulador!C426</f>
        <v/>
      </c>
      <c r="E431" s="160"/>
      <c r="F431" s="162" t="str">
        <f ca="1">Simulador!E426</f>
        <v/>
      </c>
      <c r="G431" s="160"/>
      <c r="H431" s="157" t="str">
        <f ca="1">Simulador!G426</f>
        <v/>
      </c>
      <c r="I431" s="160"/>
      <c r="J431" s="157" t="str">
        <f ca="1">Simulador!I426</f>
        <v/>
      </c>
      <c r="K431" s="160"/>
      <c r="L431" s="157" t="str">
        <f ca="1">Simulador!K426</f>
        <v/>
      </c>
      <c r="M431" s="160"/>
      <c r="N431" s="157" t="str">
        <f ca="1">Simulador!M426</f>
        <v/>
      </c>
      <c r="O431" s="160"/>
      <c r="P431" s="157" t="str">
        <f ca="1">Simulador!O426</f>
        <v/>
      </c>
      <c r="Q431" s="160"/>
      <c r="R431" s="157" t="str">
        <f ca="1">Simulador!Q426</f>
        <v/>
      </c>
      <c r="S431" s="160"/>
      <c r="T431" s="157" t="str">
        <f ca="1">Simulador!S426</f>
        <v/>
      </c>
    </row>
    <row r="432" spans="2:20" x14ac:dyDescent="0.3">
      <c r="B432" s="163" t="str">
        <f ca="1">Simulador!A427</f>
        <v/>
      </c>
      <c r="C432" s="160"/>
      <c r="D432" s="161" t="str">
        <f ca="1">Simulador!C427</f>
        <v/>
      </c>
      <c r="E432" s="160"/>
      <c r="F432" s="162" t="str">
        <f ca="1">Simulador!E427</f>
        <v/>
      </c>
      <c r="G432" s="160"/>
      <c r="H432" s="157" t="str">
        <f ca="1">Simulador!G427</f>
        <v/>
      </c>
      <c r="I432" s="160"/>
      <c r="J432" s="157" t="str">
        <f ca="1">Simulador!I427</f>
        <v/>
      </c>
      <c r="K432" s="160"/>
      <c r="L432" s="157" t="str">
        <f ca="1">Simulador!K427</f>
        <v/>
      </c>
      <c r="M432" s="160"/>
      <c r="N432" s="157" t="str">
        <f ca="1">Simulador!M427</f>
        <v/>
      </c>
      <c r="O432" s="160"/>
      <c r="P432" s="157" t="str">
        <f ca="1">Simulador!O427</f>
        <v/>
      </c>
      <c r="Q432" s="160"/>
      <c r="R432" s="157" t="str">
        <f ca="1">Simulador!Q427</f>
        <v/>
      </c>
      <c r="S432" s="160"/>
      <c r="T432" s="157" t="str">
        <f ca="1">Simulador!S427</f>
        <v/>
      </c>
    </row>
    <row r="433" spans="2:20" x14ac:dyDescent="0.3">
      <c r="B433" s="163" t="str">
        <f ca="1">Simulador!A428</f>
        <v/>
      </c>
      <c r="C433" s="160"/>
      <c r="D433" s="161" t="str">
        <f ca="1">Simulador!C428</f>
        <v/>
      </c>
      <c r="E433" s="160"/>
      <c r="F433" s="162" t="str">
        <f ca="1">Simulador!E428</f>
        <v/>
      </c>
      <c r="G433" s="160"/>
      <c r="H433" s="157" t="str">
        <f ca="1">Simulador!G428</f>
        <v/>
      </c>
      <c r="I433" s="160"/>
      <c r="J433" s="157" t="str">
        <f ca="1">Simulador!I428</f>
        <v/>
      </c>
      <c r="K433" s="160"/>
      <c r="L433" s="157" t="str">
        <f ca="1">Simulador!K428</f>
        <v/>
      </c>
      <c r="M433" s="160"/>
      <c r="N433" s="157" t="str">
        <f ca="1">Simulador!M428</f>
        <v/>
      </c>
      <c r="O433" s="160"/>
      <c r="P433" s="157" t="str">
        <f ca="1">Simulador!O428</f>
        <v/>
      </c>
      <c r="Q433" s="160"/>
      <c r="R433" s="157" t="str">
        <f ca="1">Simulador!Q428</f>
        <v/>
      </c>
      <c r="S433" s="160"/>
      <c r="T433" s="157" t="str">
        <f ca="1">Simulador!S428</f>
        <v/>
      </c>
    </row>
    <row r="434" spans="2:20" x14ac:dyDescent="0.3">
      <c r="B434" s="163" t="str">
        <f ca="1">Simulador!A429</f>
        <v/>
      </c>
      <c r="C434" s="160"/>
      <c r="D434" s="161" t="str">
        <f ca="1">Simulador!C429</f>
        <v/>
      </c>
      <c r="E434" s="160"/>
      <c r="F434" s="162" t="str">
        <f ca="1">Simulador!E429</f>
        <v/>
      </c>
      <c r="G434" s="160"/>
      <c r="H434" s="157" t="str">
        <f ca="1">Simulador!G429</f>
        <v/>
      </c>
      <c r="I434" s="160"/>
      <c r="J434" s="157" t="str">
        <f ca="1">Simulador!I429</f>
        <v/>
      </c>
      <c r="K434" s="160"/>
      <c r="L434" s="157" t="str">
        <f ca="1">Simulador!K429</f>
        <v/>
      </c>
      <c r="M434" s="160"/>
      <c r="N434" s="157" t="str">
        <f ca="1">Simulador!M429</f>
        <v/>
      </c>
      <c r="O434" s="160"/>
      <c r="P434" s="157" t="str">
        <f ca="1">Simulador!O429</f>
        <v/>
      </c>
      <c r="Q434" s="160"/>
      <c r="R434" s="157" t="str">
        <f ca="1">Simulador!Q429</f>
        <v/>
      </c>
      <c r="S434" s="160"/>
      <c r="T434" s="157" t="str">
        <f ca="1">Simulador!S429</f>
        <v/>
      </c>
    </row>
    <row r="435" spans="2:20" x14ac:dyDescent="0.3">
      <c r="B435" s="163" t="str">
        <f ca="1">Simulador!A430</f>
        <v/>
      </c>
      <c r="C435" s="160"/>
      <c r="D435" s="161" t="str">
        <f ca="1">Simulador!C430</f>
        <v/>
      </c>
      <c r="E435" s="160"/>
      <c r="F435" s="162" t="str">
        <f ca="1">Simulador!E430</f>
        <v/>
      </c>
      <c r="G435" s="160"/>
      <c r="H435" s="157" t="str">
        <f ca="1">Simulador!G430</f>
        <v/>
      </c>
      <c r="I435" s="160"/>
      <c r="J435" s="157" t="str">
        <f ca="1">Simulador!I430</f>
        <v/>
      </c>
      <c r="K435" s="160"/>
      <c r="L435" s="157" t="str">
        <f ca="1">Simulador!K430</f>
        <v/>
      </c>
      <c r="M435" s="160"/>
      <c r="N435" s="157" t="str">
        <f ca="1">Simulador!M430</f>
        <v/>
      </c>
      <c r="O435" s="160"/>
      <c r="P435" s="157" t="str">
        <f ca="1">Simulador!O430</f>
        <v/>
      </c>
      <c r="Q435" s="160"/>
      <c r="R435" s="157" t="str">
        <f ca="1">Simulador!Q430</f>
        <v/>
      </c>
      <c r="S435" s="160"/>
      <c r="T435" s="157" t="str">
        <f ca="1">Simulador!S430</f>
        <v/>
      </c>
    </row>
    <row r="436" spans="2:20" x14ac:dyDescent="0.3">
      <c r="B436" s="163" t="str">
        <f ca="1">Simulador!A431</f>
        <v/>
      </c>
      <c r="C436" s="160"/>
      <c r="D436" s="161" t="str">
        <f ca="1">Simulador!C431</f>
        <v/>
      </c>
      <c r="E436" s="160"/>
      <c r="F436" s="162" t="str">
        <f ca="1">Simulador!E431</f>
        <v/>
      </c>
      <c r="G436" s="160"/>
      <c r="H436" s="157" t="str">
        <f ca="1">Simulador!G431</f>
        <v/>
      </c>
      <c r="I436" s="160"/>
      <c r="J436" s="157" t="str">
        <f ca="1">Simulador!I431</f>
        <v/>
      </c>
      <c r="K436" s="160"/>
      <c r="L436" s="157" t="str">
        <f ca="1">Simulador!K431</f>
        <v/>
      </c>
      <c r="M436" s="160"/>
      <c r="N436" s="157" t="str">
        <f ca="1">Simulador!M431</f>
        <v/>
      </c>
      <c r="O436" s="160"/>
      <c r="P436" s="157" t="str">
        <f ca="1">Simulador!O431</f>
        <v/>
      </c>
      <c r="Q436" s="160"/>
      <c r="R436" s="157" t="str">
        <f ca="1">Simulador!Q431</f>
        <v/>
      </c>
      <c r="S436" s="160"/>
      <c r="T436" s="157" t="str">
        <f ca="1">Simulador!S431</f>
        <v/>
      </c>
    </row>
    <row r="437" spans="2:20" x14ac:dyDescent="0.3">
      <c r="B437" s="163" t="str">
        <f ca="1">Simulador!A432</f>
        <v/>
      </c>
      <c r="C437" s="160"/>
      <c r="D437" s="161" t="str">
        <f ca="1">Simulador!C432</f>
        <v/>
      </c>
      <c r="E437" s="160"/>
      <c r="F437" s="162" t="str">
        <f ca="1">Simulador!E432</f>
        <v/>
      </c>
      <c r="G437" s="160"/>
      <c r="H437" s="157" t="str">
        <f ca="1">Simulador!G432</f>
        <v/>
      </c>
      <c r="I437" s="160"/>
      <c r="J437" s="157" t="str">
        <f ca="1">Simulador!I432</f>
        <v/>
      </c>
      <c r="K437" s="160"/>
      <c r="L437" s="157" t="str">
        <f ca="1">Simulador!K432</f>
        <v/>
      </c>
      <c r="M437" s="160"/>
      <c r="N437" s="157" t="str">
        <f ca="1">Simulador!M432</f>
        <v/>
      </c>
      <c r="O437" s="160"/>
      <c r="P437" s="157" t="str">
        <f ca="1">Simulador!O432</f>
        <v/>
      </c>
      <c r="Q437" s="160"/>
      <c r="R437" s="157" t="str">
        <f ca="1">Simulador!Q432</f>
        <v/>
      </c>
      <c r="S437" s="160"/>
      <c r="T437" s="157" t="str">
        <f ca="1">Simulador!S432</f>
        <v/>
      </c>
    </row>
    <row r="438" spans="2:20" x14ac:dyDescent="0.3">
      <c r="B438" s="163" t="str">
        <f ca="1">Simulador!A433</f>
        <v/>
      </c>
      <c r="C438" s="160"/>
      <c r="D438" s="161" t="str">
        <f ca="1">Simulador!C433</f>
        <v/>
      </c>
      <c r="E438" s="160"/>
      <c r="F438" s="162" t="str">
        <f ca="1">Simulador!E433</f>
        <v/>
      </c>
      <c r="G438" s="160"/>
      <c r="H438" s="157" t="str">
        <f ca="1">Simulador!G433</f>
        <v/>
      </c>
      <c r="I438" s="160"/>
      <c r="J438" s="157" t="str">
        <f ca="1">Simulador!I433</f>
        <v/>
      </c>
      <c r="K438" s="160"/>
      <c r="L438" s="157" t="str">
        <f ca="1">Simulador!K433</f>
        <v/>
      </c>
      <c r="M438" s="160"/>
      <c r="N438" s="157" t="str">
        <f ca="1">Simulador!M433</f>
        <v/>
      </c>
      <c r="O438" s="160"/>
      <c r="P438" s="157" t="str">
        <f ca="1">Simulador!O433</f>
        <v/>
      </c>
      <c r="Q438" s="160"/>
      <c r="R438" s="157" t="str">
        <f ca="1">Simulador!Q433</f>
        <v/>
      </c>
      <c r="S438" s="160"/>
      <c r="T438" s="157" t="str">
        <f ca="1">Simulador!S433</f>
        <v/>
      </c>
    </row>
    <row r="439" spans="2:20" x14ac:dyDescent="0.3">
      <c r="B439" s="163" t="str">
        <f ca="1">Simulador!A434</f>
        <v/>
      </c>
      <c r="C439" s="160"/>
      <c r="D439" s="161" t="str">
        <f ca="1">Simulador!C434</f>
        <v/>
      </c>
      <c r="E439" s="160"/>
      <c r="F439" s="162" t="str">
        <f ca="1">Simulador!E434</f>
        <v/>
      </c>
      <c r="G439" s="160"/>
      <c r="H439" s="157" t="str">
        <f ca="1">Simulador!G434</f>
        <v/>
      </c>
      <c r="I439" s="160"/>
      <c r="J439" s="157" t="str">
        <f ca="1">Simulador!I434</f>
        <v/>
      </c>
      <c r="K439" s="160"/>
      <c r="L439" s="157" t="str">
        <f ca="1">Simulador!K434</f>
        <v/>
      </c>
      <c r="M439" s="160"/>
      <c r="N439" s="157" t="str">
        <f ca="1">Simulador!M434</f>
        <v/>
      </c>
      <c r="O439" s="160"/>
      <c r="P439" s="157" t="str">
        <f ca="1">Simulador!O434</f>
        <v/>
      </c>
      <c r="Q439" s="160"/>
      <c r="R439" s="157" t="str">
        <f ca="1">Simulador!Q434</f>
        <v/>
      </c>
      <c r="S439" s="160"/>
      <c r="T439" s="157" t="str">
        <f ca="1">Simulador!S434</f>
        <v/>
      </c>
    </row>
    <row r="440" spans="2:20" x14ac:dyDescent="0.3">
      <c r="B440" s="163" t="str">
        <f ca="1">Simulador!A435</f>
        <v/>
      </c>
      <c r="C440" s="160"/>
      <c r="D440" s="161" t="str">
        <f ca="1">Simulador!C435</f>
        <v/>
      </c>
      <c r="E440" s="160"/>
      <c r="F440" s="162" t="str">
        <f ca="1">Simulador!E435</f>
        <v/>
      </c>
      <c r="G440" s="160"/>
      <c r="H440" s="157" t="str">
        <f ca="1">Simulador!G435</f>
        <v/>
      </c>
      <c r="I440" s="160"/>
      <c r="J440" s="157" t="str">
        <f ca="1">Simulador!I435</f>
        <v/>
      </c>
      <c r="K440" s="160"/>
      <c r="L440" s="157" t="str">
        <f ca="1">Simulador!K435</f>
        <v/>
      </c>
      <c r="M440" s="160"/>
      <c r="N440" s="157" t="str">
        <f ca="1">Simulador!M435</f>
        <v/>
      </c>
      <c r="O440" s="160"/>
      <c r="P440" s="157" t="str">
        <f ca="1">Simulador!O435</f>
        <v/>
      </c>
      <c r="Q440" s="160"/>
      <c r="R440" s="157" t="str">
        <f ca="1">Simulador!Q435</f>
        <v/>
      </c>
      <c r="S440" s="160"/>
      <c r="T440" s="157" t="str">
        <f ca="1">Simulador!S435</f>
        <v/>
      </c>
    </row>
    <row r="441" spans="2:20" x14ac:dyDescent="0.3">
      <c r="B441" s="163" t="str">
        <f ca="1">Simulador!A436</f>
        <v/>
      </c>
      <c r="C441" s="160"/>
      <c r="D441" s="161" t="str">
        <f ca="1">Simulador!C436</f>
        <v/>
      </c>
      <c r="E441" s="160"/>
      <c r="F441" s="162" t="str">
        <f ca="1">Simulador!E436</f>
        <v/>
      </c>
      <c r="G441" s="160"/>
      <c r="H441" s="157" t="str">
        <f ca="1">Simulador!G436</f>
        <v/>
      </c>
      <c r="I441" s="160"/>
      <c r="J441" s="157" t="str">
        <f ca="1">Simulador!I436</f>
        <v/>
      </c>
      <c r="K441" s="160"/>
      <c r="L441" s="157" t="str">
        <f ca="1">Simulador!K436</f>
        <v/>
      </c>
      <c r="M441" s="160"/>
      <c r="N441" s="157" t="str">
        <f ca="1">Simulador!M436</f>
        <v/>
      </c>
      <c r="O441" s="160"/>
      <c r="P441" s="157" t="str">
        <f ca="1">Simulador!O436</f>
        <v/>
      </c>
      <c r="Q441" s="160"/>
      <c r="R441" s="157" t="str">
        <f ca="1">Simulador!Q436</f>
        <v/>
      </c>
      <c r="S441" s="160"/>
      <c r="T441" s="157" t="str">
        <f ca="1">Simulador!S436</f>
        <v/>
      </c>
    </row>
    <row r="442" spans="2:20" x14ac:dyDescent="0.3">
      <c r="B442" s="163" t="str">
        <f ca="1">Simulador!A437</f>
        <v/>
      </c>
      <c r="C442" s="160"/>
      <c r="D442" s="161" t="str">
        <f ca="1">Simulador!C437</f>
        <v/>
      </c>
      <c r="E442" s="160"/>
      <c r="F442" s="162" t="str">
        <f ca="1">Simulador!E437</f>
        <v/>
      </c>
      <c r="G442" s="160"/>
      <c r="H442" s="157" t="str">
        <f ca="1">Simulador!G437</f>
        <v/>
      </c>
      <c r="I442" s="160"/>
      <c r="J442" s="157" t="str">
        <f ca="1">Simulador!I437</f>
        <v/>
      </c>
      <c r="K442" s="160"/>
      <c r="L442" s="157" t="str">
        <f ca="1">Simulador!K437</f>
        <v/>
      </c>
      <c r="M442" s="160"/>
      <c r="N442" s="157" t="str">
        <f ca="1">Simulador!M437</f>
        <v/>
      </c>
      <c r="O442" s="160"/>
      <c r="P442" s="157" t="str">
        <f ca="1">Simulador!O437</f>
        <v/>
      </c>
      <c r="Q442" s="160"/>
      <c r="R442" s="157" t="str">
        <f ca="1">Simulador!Q437</f>
        <v/>
      </c>
      <c r="S442" s="160"/>
      <c r="T442" s="157" t="str">
        <f ca="1">Simulador!S437</f>
        <v/>
      </c>
    </row>
    <row r="443" spans="2:20" x14ac:dyDescent="0.3">
      <c r="B443" s="163" t="str">
        <f ca="1">Simulador!A438</f>
        <v/>
      </c>
      <c r="C443" s="160"/>
      <c r="D443" s="161" t="str">
        <f ca="1">Simulador!C438</f>
        <v/>
      </c>
      <c r="E443" s="160"/>
      <c r="F443" s="162" t="str">
        <f ca="1">Simulador!E438</f>
        <v/>
      </c>
      <c r="G443" s="160"/>
      <c r="H443" s="157" t="str">
        <f ca="1">Simulador!G438</f>
        <v/>
      </c>
      <c r="I443" s="160"/>
      <c r="J443" s="157" t="str">
        <f ca="1">Simulador!I438</f>
        <v/>
      </c>
      <c r="K443" s="160"/>
      <c r="L443" s="157" t="str">
        <f ca="1">Simulador!K438</f>
        <v/>
      </c>
      <c r="M443" s="160"/>
      <c r="N443" s="157" t="str">
        <f ca="1">Simulador!M438</f>
        <v/>
      </c>
      <c r="O443" s="160"/>
      <c r="P443" s="157" t="str">
        <f ca="1">Simulador!O438</f>
        <v/>
      </c>
      <c r="Q443" s="160"/>
      <c r="R443" s="157" t="str">
        <f ca="1">Simulador!Q438</f>
        <v/>
      </c>
      <c r="S443" s="160"/>
      <c r="T443" s="157" t="str">
        <f ca="1">Simulador!S438</f>
        <v/>
      </c>
    </row>
    <row r="444" spans="2:20" x14ac:dyDescent="0.3">
      <c r="B444" s="163" t="str">
        <f ca="1">Simulador!A439</f>
        <v/>
      </c>
      <c r="C444" s="160"/>
      <c r="D444" s="161" t="str">
        <f ca="1">Simulador!C439</f>
        <v/>
      </c>
      <c r="E444" s="160"/>
      <c r="F444" s="162" t="str">
        <f ca="1">Simulador!E439</f>
        <v/>
      </c>
      <c r="G444" s="160"/>
      <c r="H444" s="157" t="str">
        <f ca="1">Simulador!G439</f>
        <v/>
      </c>
      <c r="I444" s="160"/>
      <c r="J444" s="157" t="str">
        <f ca="1">Simulador!I439</f>
        <v/>
      </c>
      <c r="K444" s="160"/>
      <c r="L444" s="157" t="str">
        <f ca="1">Simulador!K439</f>
        <v/>
      </c>
      <c r="M444" s="160"/>
      <c r="N444" s="157" t="str">
        <f ca="1">Simulador!M439</f>
        <v/>
      </c>
      <c r="O444" s="160"/>
      <c r="P444" s="157" t="str">
        <f ca="1">Simulador!O439</f>
        <v/>
      </c>
      <c r="Q444" s="160"/>
      <c r="R444" s="157" t="str">
        <f ca="1">Simulador!Q439</f>
        <v/>
      </c>
      <c r="S444" s="160"/>
      <c r="T444" s="157" t="str">
        <f ca="1">Simulador!S439</f>
        <v/>
      </c>
    </row>
    <row r="445" spans="2:20" x14ac:dyDescent="0.3">
      <c r="B445" s="163" t="str">
        <f ca="1">Simulador!A440</f>
        <v/>
      </c>
      <c r="C445" s="160"/>
      <c r="D445" s="161" t="str">
        <f ca="1">Simulador!C440</f>
        <v/>
      </c>
      <c r="E445" s="160"/>
      <c r="F445" s="162" t="str">
        <f ca="1">Simulador!E440</f>
        <v/>
      </c>
      <c r="G445" s="160"/>
      <c r="H445" s="157" t="str">
        <f ca="1">Simulador!G440</f>
        <v/>
      </c>
      <c r="I445" s="160"/>
      <c r="J445" s="157" t="str">
        <f ca="1">Simulador!I440</f>
        <v/>
      </c>
      <c r="K445" s="160"/>
      <c r="L445" s="157" t="str">
        <f ca="1">Simulador!K440</f>
        <v/>
      </c>
      <c r="M445" s="160"/>
      <c r="N445" s="157" t="str">
        <f ca="1">Simulador!M440</f>
        <v/>
      </c>
      <c r="O445" s="160"/>
      <c r="P445" s="157" t="str">
        <f ca="1">Simulador!O440</f>
        <v/>
      </c>
      <c r="Q445" s="160"/>
      <c r="R445" s="157" t="str">
        <f ca="1">Simulador!Q440</f>
        <v/>
      </c>
      <c r="S445" s="160"/>
      <c r="T445" s="157" t="str">
        <f ca="1">Simulador!S440</f>
        <v/>
      </c>
    </row>
    <row r="446" spans="2:20" x14ac:dyDescent="0.3">
      <c r="B446" s="163" t="str">
        <f ca="1">Simulador!A441</f>
        <v/>
      </c>
      <c r="C446" s="160"/>
      <c r="D446" s="161" t="str">
        <f ca="1">Simulador!C441</f>
        <v/>
      </c>
      <c r="E446" s="160"/>
      <c r="F446" s="162" t="str">
        <f ca="1">Simulador!E441</f>
        <v/>
      </c>
      <c r="G446" s="160"/>
      <c r="H446" s="157" t="str">
        <f ca="1">Simulador!G441</f>
        <v/>
      </c>
      <c r="I446" s="160"/>
      <c r="J446" s="157" t="str">
        <f ca="1">Simulador!I441</f>
        <v/>
      </c>
      <c r="K446" s="160"/>
      <c r="L446" s="157" t="str">
        <f ca="1">Simulador!K441</f>
        <v/>
      </c>
      <c r="M446" s="160"/>
      <c r="N446" s="157" t="str">
        <f ca="1">Simulador!M441</f>
        <v/>
      </c>
      <c r="O446" s="160"/>
      <c r="P446" s="157" t="str">
        <f ca="1">Simulador!O441</f>
        <v/>
      </c>
      <c r="Q446" s="160"/>
      <c r="R446" s="157" t="str">
        <f ca="1">Simulador!Q441</f>
        <v/>
      </c>
      <c r="S446" s="160"/>
      <c r="T446" s="157" t="str">
        <f ca="1">Simulador!S441</f>
        <v/>
      </c>
    </row>
    <row r="447" spans="2:20" x14ac:dyDescent="0.3">
      <c r="B447" s="163" t="str">
        <f ca="1">Simulador!A442</f>
        <v/>
      </c>
      <c r="C447" s="160"/>
      <c r="D447" s="161" t="str">
        <f ca="1">Simulador!C442</f>
        <v/>
      </c>
      <c r="E447" s="160"/>
      <c r="F447" s="162" t="str">
        <f ca="1">Simulador!E442</f>
        <v/>
      </c>
      <c r="G447" s="160"/>
      <c r="H447" s="157" t="str">
        <f ca="1">Simulador!G442</f>
        <v/>
      </c>
      <c r="I447" s="160"/>
      <c r="J447" s="157" t="str">
        <f ca="1">Simulador!I442</f>
        <v/>
      </c>
      <c r="K447" s="160"/>
      <c r="L447" s="157" t="str">
        <f ca="1">Simulador!K442</f>
        <v/>
      </c>
      <c r="M447" s="160"/>
      <c r="N447" s="157" t="str">
        <f ca="1">Simulador!M442</f>
        <v/>
      </c>
      <c r="O447" s="160"/>
      <c r="P447" s="157" t="str">
        <f ca="1">Simulador!O442</f>
        <v/>
      </c>
      <c r="Q447" s="160"/>
      <c r="R447" s="157" t="str">
        <f ca="1">Simulador!Q442</f>
        <v/>
      </c>
      <c r="S447" s="160"/>
      <c r="T447" s="157" t="str">
        <f ca="1">Simulador!S442</f>
        <v/>
      </c>
    </row>
    <row r="448" spans="2:20" x14ac:dyDescent="0.3">
      <c r="B448" s="163" t="str">
        <f ca="1">Simulador!A443</f>
        <v/>
      </c>
      <c r="C448" s="160"/>
      <c r="D448" s="161" t="str">
        <f ca="1">Simulador!C443</f>
        <v/>
      </c>
      <c r="E448" s="160"/>
      <c r="F448" s="162" t="str">
        <f ca="1">Simulador!E443</f>
        <v/>
      </c>
      <c r="G448" s="160"/>
      <c r="H448" s="157" t="str">
        <f ca="1">Simulador!G443</f>
        <v/>
      </c>
      <c r="I448" s="160"/>
      <c r="J448" s="157" t="str">
        <f ca="1">Simulador!I443</f>
        <v/>
      </c>
      <c r="K448" s="160"/>
      <c r="L448" s="157" t="str">
        <f ca="1">Simulador!K443</f>
        <v/>
      </c>
      <c r="M448" s="160"/>
      <c r="N448" s="157" t="str">
        <f ca="1">Simulador!M443</f>
        <v/>
      </c>
      <c r="O448" s="160"/>
      <c r="P448" s="157" t="str">
        <f ca="1">Simulador!O443</f>
        <v/>
      </c>
      <c r="Q448" s="160"/>
      <c r="R448" s="157" t="str">
        <f ca="1">Simulador!Q443</f>
        <v/>
      </c>
      <c r="S448" s="160"/>
      <c r="T448" s="157" t="str">
        <f ca="1">Simulador!S443</f>
        <v/>
      </c>
    </row>
    <row r="449" spans="2:20" x14ac:dyDescent="0.3">
      <c r="B449" s="163" t="str">
        <f ca="1">Simulador!A444</f>
        <v/>
      </c>
      <c r="C449" s="160"/>
      <c r="D449" s="161" t="str">
        <f ca="1">Simulador!C444</f>
        <v/>
      </c>
      <c r="E449" s="160"/>
      <c r="F449" s="162" t="str">
        <f ca="1">Simulador!E444</f>
        <v/>
      </c>
      <c r="G449" s="160"/>
      <c r="H449" s="157" t="str">
        <f ca="1">Simulador!G444</f>
        <v/>
      </c>
      <c r="I449" s="160"/>
      <c r="J449" s="157" t="str">
        <f ca="1">Simulador!I444</f>
        <v/>
      </c>
      <c r="K449" s="160"/>
      <c r="L449" s="157" t="str">
        <f ca="1">Simulador!K444</f>
        <v/>
      </c>
      <c r="M449" s="160"/>
      <c r="N449" s="157" t="str">
        <f ca="1">Simulador!M444</f>
        <v/>
      </c>
      <c r="O449" s="160"/>
      <c r="P449" s="157" t="str">
        <f ca="1">Simulador!O444</f>
        <v/>
      </c>
      <c r="Q449" s="160"/>
      <c r="R449" s="157" t="str">
        <f ca="1">Simulador!Q444</f>
        <v/>
      </c>
      <c r="S449" s="160"/>
      <c r="T449" s="157" t="str">
        <f ca="1">Simulador!S444</f>
        <v/>
      </c>
    </row>
    <row r="450" spans="2:20" x14ac:dyDescent="0.3">
      <c r="B450" s="163" t="str">
        <f ca="1">Simulador!A445</f>
        <v/>
      </c>
      <c r="C450" s="160"/>
      <c r="D450" s="161" t="str">
        <f ca="1">Simulador!C445</f>
        <v/>
      </c>
      <c r="E450" s="160"/>
      <c r="F450" s="162" t="str">
        <f ca="1">Simulador!E445</f>
        <v/>
      </c>
      <c r="G450" s="160"/>
      <c r="H450" s="157" t="str">
        <f ca="1">Simulador!G445</f>
        <v/>
      </c>
      <c r="I450" s="160"/>
      <c r="J450" s="157" t="str">
        <f ca="1">Simulador!I445</f>
        <v/>
      </c>
      <c r="K450" s="160"/>
      <c r="L450" s="157" t="str">
        <f ca="1">Simulador!K445</f>
        <v/>
      </c>
      <c r="M450" s="160"/>
      <c r="N450" s="157" t="str">
        <f ca="1">Simulador!M445</f>
        <v/>
      </c>
      <c r="O450" s="160"/>
      <c r="P450" s="157" t="str">
        <f ca="1">Simulador!O445</f>
        <v/>
      </c>
      <c r="Q450" s="160"/>
      <c r="R450" s="157" t="str">
        <f ca="1">Simulador!Q445</f>
        <v/>
      </c>
      <c r="S450" s="160"/>
      <c r="T450" s="157" t="str">
        <f ca="1">Simulador!S445</f>
        <v/>
      </c>
    </row>
    <row r="451" spans="2:20" x14ac:dyDescent="0.3">
      <c r="B451" s="163" t="str">
        <f ca="1">Simulador!A446</f>
        <v/>
      </c>
      <c r="C451" s="160"/>
      <c r="D451" s="161" t="str">
        <f ca="1">Simulador!C446</f>
        <v/>
      </c>
      <c r="E451" s="160"/>
      <c r="F451" s="162" t="str">
        <f ca="1">Simulador!E446</f>
        <v/>
      </c>
      <c r="G451" s="160"/>
      <c r="H451" s="157" t="str">
        <f ca="1">Simulador!G446</f>
        <v/>
      </c>
      <c r="I451" s="160"/>
      <c r="J451" s="157" t="str">
        <f ca="1">Simulador!I446</f>
        <v/>
      </c>
      <c r="K451" s="160"/>
      <c r="L451" s="157" t="str">
        <f ca="1">Simulador!K446</f>
        <v/>
      </c>
      <c r="M451" s="160"/>
      <c r="N451" s="157" t="str">
        <f ca="1">Simulador!M446</f>
        <v/>
      </c>
      <c r="O451" s="160"/>
      <c r="P451" s="157" t="str">
        <f ca="1">Simulador!O446</f>
        <v/>
      </c>
      <c r="Q451" s="160"/>
      <c r="R451" s="157" t="str">
        <f ca="1">Simulador!Q446</f>
        <v/>
      </c>
      <c r="S451" s="160"/>
      <c r="T451" s="157" t="str">
        <f ca="1">Simulador!S446</f>
        <v/>
      </c>
    </row>
    <row r="452" spans="2:20" x14ac:dyDescent="0.3">
      <c r="B452" s="163" t="str">
        <f ca="1">Simulador!A447</f>
        <v/>
      </c>
      <c r="C452" s="160"/>
      <c r="D452" s="161" t="str">
        <f ca="1">Simulador!C447</f>
        <v/>
      </c>
      <c r="E452" s="160"/>
      <c r="F452" s="162" t="str">
        <f ca="1">Simulador!E447</f>
        <v/>
      </c>
      <c r="G452" s="160"/>
      <c r="H452" s="157" t="str">
        <f ca="1">Simulador!G447</f>
        <v/>
      </c>
      <c r="I452" s="160"/>
      <c r="J452" s="157" t="str">
        <f ca="1">Simulador!I447</f>
        <v/>
      </c>
      <c r="K452" s="160"/>
      <c r="L452" s="157" t="str">
        <f ca="1">Simulador!K447</f>
        <v/>
      </c>
      <c r="M452" s="160"/>
      <c r="N452" s="157" t="str">
        <f ca="1">Simulador!M447</f>
        <v/>
      </c>
      <c r="O452" s="160"/>
      <c r="P452" s="157" t="str">
        <f ca="1">Simulador!O447</f>
        <v/>
      </c>
      <c r="Q452" s="160"/>
      <c r="R452" s="157" t="str">
        <f ca="1">Simulador!Q447</f>
        <v/>
      </c>
      <c r="S452" s="160"/>
      <c r="T452" s="157" t="str">
        <f ca="1">Simulador!S447</f>
        <v/>
      </c>
    </row>
    <row r="453" spans="2:20" x14ac:dyDescent="0.3">
      <c r="B453" s="163" t="str">
        <f ca="1">Simulador!A448</f>
        <v/>
      </c>
      <c r="C453" s="160"/>
      <c r="D453" s="161" t="str">
        <f ca="1">Simulador!C448</f>
        <v/>
      </c>
      <c r="E453" s="160"/>
      <c r="F453" s="162" t="str">
        <f ca="1">Simulador!E448</f>
        <v/>
      </c>
      <c r="G453" s="160"/>
      <c r="H453" s="157" t="str">
        <f ca="1">Simulador!G448</f>
        <v/>
      </c>
      <c r="I453" s="160"/>
      <c r="J453" s="157" t="str">
        <f ca="1">Simulador!I448</f>
        <v/>
      </c>
      <c r="K453" s="160"/>
      <c r="L453" s="157" t="str">
        <f ca="1">Simulador!K448</f>
        <v/>
      </c>
      <c r="M453" s="160"/>
      <c r="N453" s="157" t="str">
        <f ca="1">Simulador!M448</f>
        <v/>
      </c>
      <c r="O453" s="160"/>
      <c r="P453" s="157" t="str">
        <f ca="1">Simulador!O448</f>
        <v/>
      </c>
      <c r="Q453" s="160"/>
      <c r="R453" s="157" t="str">
        <f ca="1">Simulador!Q448</f>
        <v/>
      </c>
      <c r="S453" s="160"/>
      <c r="T453" s="157" t="str">
        <f ca="1">Simulador!S448</f>
        <v/>
      </c>
    </row>
    <row r="454" spans="2:20" x14ac:dyDescent="0.3">
      <c r="B454" s="163" t="str">
        <f ca="1">Simulador!A449</f>
        <v/>
      </c>
      <c r="C454" s="160"/>
      <c r="D454" s="161" t="str">
        <f ca="1">Simulador!C449</f>
        <v/>
      </c>
      <c r="E454" s="160"/>
      <c r="F454" s="162" t="str">
        <f ca="1">Simulador!E449</f>
        <v/>
      </c>
      <c r="G454" s="160"/>
      <c r="H454" s="157" t="str">
        <f ca="1">Simulador!G449</f>
        <v/>
      </c>
      <c r="I454" s="160"/>
      <c r="J454" s="157" t="str">
        <f ca="1">Simulador!I449</f>
        <v/>
      </c>
      <c r="K454" s="160"/>
      <c r="L454" s="157" t="str">
        <f ca="1">Simulador!K449</f>
        <v/>
      </c>
      <c r="M454" s="160"/>
      <c r="N454" s="157" t="str">
        <f ca="1">Simulador!M449</f>
        <v/>
      </c>
      <c r="O454" s="160"/>
      <c r="P454" s="157" t="str">
        <f ca="1">Simulador!O449</f>
        <v/>
      </c>
      <c r="Q454" s="160"/>
      <c r="R454" s="157" t="str">
        <f ca="1">Simulador!Q449</f>
        <v/>
      </c>
      <c r="S454" s="160"/>
      <c r="T454" s="157" t="str">
        <f ca="1">Simulador!S449</f>
        <v/>
      </c>
    </row>
    <row r="455" spans="2:20" x14ac:dyDescent="0.3">
      <c r="B455" s="163" t="str">
        <f ca="1">Simulador!A450</f>
        <v/>
      </c>
      <c r="C455" s="160"/>
      <c r="D455" s="161" t="str">
        <f ca="1">Simulador!C450</f>
        <v/>
      </c>
      <c r="E455" s="160"/>
      <c r="F455" s="162" t="str">
        <f ca="1">Simulador!E450</f>
        <v/>
      </c>
      <c r="G455" s="160"/>
      <c r="H455" s="157" t="str">
        <f ca="1">Simulador!G450</f>
        <v/>
      </c>
      <c r="I455" s="160"/>
      <c r="J455" s="157" t="str">
        <f ca="1">Simulador!I450</f>
        <v/>
      </c>
      <c r="K455" s="160"/>
      <c r="L455" s="157" t="str">
        <f ca="1">Simulador!K450</f>
        <v/>
      </c>
      <c r="M455" s="160"/>
      <c r="N455" s="157" t="str">
        <f ca="1">Simulador!M450</f>
        <v/>
      </c>
      <c r="O455" s="160"/>
      <c r="P455" s="157" t="str">
        <f ca="1">Simulador!O450</f>
        <v/>
      </c>
      <c r="Q455" s="160"/>
      <c r="R455" s="157" t="str">
        <f ca="1">Simulador!Q450</f>
        <v/>
      </c>
      <c r="S455" s="160"/>
      <c r="T455" s="157" t="str">
        <f ca="1">Simulador!S450</f>
        <v/>
      </c>
    </row>
    <row r="456" spans="2:20" x14ac:dyDescent="0.3">
      <c r="B456" s="163" t="str">
        <f ca="1">Simulador!A451</f>
        <v/>
      </c>
      <c r="C456" s="160"/>
      <c r="D456" s="161" t="str">
        <f ca="1">Simulador!C451</f>
        <v/>
      </c>
      <c r="E456" s="160"/>
      <c r="F456" s="162" t="str">
        <f ca="1">Simulador!E451</f>
        <v/>
      </c>
      <c r="G456" s="160"/>
      <c r="H456" s="157" t="str">
        <f ca="1">Simulador!G451</f>
        <v/>
      </c>
      <c r="I456" s="160"/>
      <c r="J456" s="157" t="str">
        <f ca="1">Simulador!I451</f>
        <v/>
      </c>
      <c r="K456" s="160"/>
      <c r="L456" s="157" t="str">
        <f ca="1">Simulador!K451</f>
        <v/>
      </c>
      <c r="M456" s="160"/>
      <c r="N456" s="157" t="str">
        <f ca="1">Simulador!M451</f>
        <v/>
      </c>
      <c r="O456" s="160"/>
      <c r="P456" s="157" t="str">
        <f ca="1">Simulador!O451</f>
        <v/>
      </c>
      <c r="Q456" s="160"/>
      <c r="R456" s="157" t="str">
        <f ca="1">Simulador!Q451</f>
        <v/>
      </c>
      <c r="S456" s="160"/>
      <c r="T456" s="157" t="str">
        <f ca="1">Simulador!S451</f>
        <v/>
      </c>
    </row>
    <row r="457" spans="2:20" x14ac:dyDescent="0.3">
      <c r="B457" s="163" t="str">
        <f ca="1">Simulador!A452</f>
        <v/>
      </c>
      <c r="C457" s="160"/>
      <c r="D457" s="161" t="str">
        <f ca="1">Simulador!C452</f>
        <v/>
      </c>
      <c r="E457" s="160"/>
      <c r="F457" s="162" t="str">
        <f ca="1">Simulador!E452</f>
        <v/>
      </c>
      <c r="G457" s="160"/>
      <c r="H457" s="157" t="str">
        <f ca="1">Simulador!G452</f>
        <v/>
      </c>
      <c r="I457" s="160"/>
      <c r="J457" s="157" t="str">
        <f ca="1">Simulador!I452</f>
        <v/>
      </c>
      <c r="K457" s="160"/>
      <c r="L457" s="157" t="str">
        <f ca="1">Simulador!K452</f>
        <v/>
      </c>
      <c r="M457" s="160"/>
      <c r="N457" s="157" t="str">
        <f ca="1">Simulador!M452</f>
        <v/>
      </c>
      <c r="O457" s="160"/>
      <c r="P457" s="157" t="str">
        <f ca="1">Simulador!O452</f>
        <v/>
      </c>
      <c r="Q457" s="160"/>
      <c r="R457" s="157" t="str">
        <f ca="1">Simulador!Q452</f>
        <v/>
      </c>
      <c r="S457" s="160"/>
      <c r="T457" s="157" t="str">
        <f ca="1">Simulador!S452</f>
        <v/>
      </c>
    </row>
    <row r="458" spans="2:20" x14ac:dyDescent="0.3">
      <c r="B458" s="163" t="str">
        <f ca="1">Simulador!A453</f>
        <v/>
      </c>
      <c r="C458" s="160"/>
      <c r="D458" s="161" t="str">
        <f ca="1">Simulador!C453</f>
        <v/>
      </c>
      <c r="E458" s="160"/>
      <c r="F458" s="162" t="str">
        <f ca="1">Simulador!E453</f>
        <v/>
      </c>
      <c r="G458" s="160"/>
      <c r="H458" s="157" t="str">
        <f ca="1">Simulador!G453</f>
        <v/>
      </c>
      <c r="I458" s="160"/>
      <c r="J458" s="157" t="str">
        <f ca="1">Simulador!I453</f>
        <v/>
      </c>
      <c r="K458" s="160"/>
      <c r="L458" s="157" t="str">
        <f ca="1">Simulador!K453</f>
        <v/>
      </c>
      <c r="M458" s="160"/>
      <c r="N458" s="157" t="str">
        <f ca="1">Simulador!M453</f>
        <v/>
      </c>
      <c r="O458" s="160"/>
      <c r="P458" s="157" t="str">
        <f ca="1">Simulador!O453</f>
        <v/>
      </c>
      <c r="Q458" s="160"/>
      <c r="R458" s="157" t="str">
        <f ca="1">Simulador!Q453</f>
        <v/>
      </c>
      <c r="S458" s="160"/>
      <c r="T458" s="157" t="str">
        <f ca="1">Simulador!S453</f>
        <v/>
      </c>
    </row>
    <row r="459" spans="2:20" x14ac:dyDescent="0.3">
      <c r="B459" s="102"/>
    </row>
    <row r="460" spans="2:20" x14ac:dyDescent="0.3">
      <c r="B460" s="102"/>
    </row>
    <row r="461" spans="2:20" x14ac:dyDescent="0.3">
      <c r="B461" s="102"/>
    </row>
    <row r="462" spans="2:20" x14ac:dyDescent="0.3">
      <c r="B462" s="102"/>
    </row>
    <row r="463" spans="2:20" x14ac:dyDescent="0.3">
      <c r="B463" s="102"/>
    </row>
    <row r="464" spans="2:20" x14ac:dyDescent="0.3">
      <c r="B464" s="102"/>
    </row>
    <row r="465" spans="2:2" x14ac:dyDescent="0.3">
      <c r="B465" s="102"/>
    </row>
    <row r="466" spans="2:2" x14ac:dyDescent="0.3">
      <c r="B466" s="102"/>
    </row>
    <row r="467" spans="2:2" x14ac:dyDescent="0.3">
      <c r="B467" s="102"/>
    </row>
    <row r="468" spans="2:2" x14ac:dyDescent="0.3">
      <c r="B468" s="102"/>
    </row>
    <row r="469" spans="2:2" x14ac:dyDescent="0.3">
      <c r="B469" s="102"/>
    </row>
    <row r="470" spans="2:2" x14ac:dyDescent="0.3">
      <c r="B470" s="102"/>
    </row>
    <row r="471" spans="2:2" x14ac:dyDescent="0.3">
      <c r="B471" s="102"/>
    </row>
    <row r="472" spans="2:2" x14ac:dyDescent="0.3">
      <c r="B472" s="102"/>
    </row>
    <row r="473" spans="2:2" x14ac:dyDescent="0.3">
      <c r="B473" s="102"/>
    </row>
    <row r="474" spans="2:2" x14ac:dyDescent="0.3">
      <c r="B474" s="102"/>
    </row>
    <row r="475" spans="2:2" x14ac:dyDescent="0.3">
      <c r="B475" s="102"/>
    </row>
    <row r="476" spans="2:2" x14ac:dyDescent="0.3">
      <c r="B476" s="102"/>
    </row>
    <row r="477" spans="2:2" x14ac:dyDescent="0.3">
      <c r="B477" s="102"/>
    </row>
    <row r="478" spans="2:2" x14ac:dyDescent="0.3">
      <c r="B478" s="102"/>
    </row>
    <row r="479" spans="2:2" x14ac:dyDescent="0.3">
      <c r="B479" s="102"/>
    </row>
  </sheetData>
  <sheetProtection algorithmName="SHA-512" hashValue="enUfYe5UnK/IMqnMDFe4HYzVx4zZyv6AUeZNVbNRzyhf/fQnBlDXSwT8m+eLpgtJR6ZioFqR29H2QW0wfwB3vw==" saltValue="vVl3HjPKsPBVOH9vpk9kYQ==" spinCount="100000" sheet="1" formatCells="0" formatColumns="0" selectLockedCells="1"/>
  <protectedRanges>
    <protectedRange sqref="D9 D13 D17 D15 D19" name="Intervalo1"/>
  </protectedRanges>
  <mergeCells count="60">
    <mergeCell ref="B35:B36"/>
    <mergeCell ref="C7:S7"/>
    <mergeCell ref="F32:G32"/>
    <mergeCell ref="D9:F10"/>
    <mergeCell ref="B9:C10"/>
    <mergeCell ref="D13:F13"/>
    <mergeCell ref="D15:F15"/>
    <mergeCell ref="B13:C13"/>
    <mergeCell ref="B15:C15"/>
    <mergeCell ref="G15:H15"/>
    <mergeCell ref="G17:H17"/>
    <mergeCell ref="D22:F22"/>
    <mergeCell ref="H27:O27"/>
    <mergeCell ref="I15:K15"/>
    <mergeCell ref="L13:N13"/>
    <mergeCell ref="O13:P13"/>
    <mergeCell ref="Q24:S24"/>
    <mergeCell ref="Q19:S19"/>
    <mergeCell ref="I21:K21"/>
    <mergeCell ref="I17:K17"/>
    <mergeCell ref="I19:K19"/>
    <mergeCell ref="G13:H13"/>
    <mergeCell ref="I13:K13"/>
    <mergeCell ref="Q9:S9"/>
    <mergeCell ref="Q10:S11"/>
    <mergeCell ref="Q14:S14"/>
    <mergeCell ref="M11:N11"/>
    <mergeCell ref="G10:H10"/>
    <mergeCell ref="I10:K10"/>
    <mergeCell ref="O10:P10"/>
    <mergeCell ref="L10:N10"/>
    <mergeCell ref="L15:N15"/>
    <mergeCell ref="O15:P15"/>
    <mergeCell ref="B17:C17"/>
    <mergeCell ref="D17:F17"/>
    <mergeCell ref="G19:H19"/>
    <mergeCell ref="B19:C19"/>
    <mergeCell ref="D19:F19"/>
    <mergeCell ref="I16:K16"/>
    <mergeCell ref="B21:C21"/>
    <mergeCell ref="D21:F21"/>
    <mergeCell ref="G21:H21"/>
    <mergeCell ref="E26:F26"/>
    <mergeCell ref="G22:H22"/>
    <mergeCell ref="Q27:S27"/>
    <mergeCell ref="B33:T34"/>
    <mergeCell ref="L17:P17"/>
    <mergeCell ref="B30:T31"/>
    <mergeCell ref="B29:T29"/>
    <mergeCell ref="B28:T28"/>
    <mergeCell ref="Q25:S25"/>
    <mergeCell ref="B24:C24"/>
    <mergeCell ref="D24:F24"/>
    <mergeCell ref="G24:H24"/>
    <mergeCell ref="I24:K24"/>
    <mergeCell ref="B25:C25"/>
    <mergeCell ref="D25:F25"/>
    <mergeCell ref="G25:H25"/>
    <mergeCell ref="I25:K25"/>
    <mergeCell ref="Q26:S26"/>
  </mergeCells>
  <conditionalFormatting sqref="M21:N21 G22">
    <cfRule type="notContainsBlanks" dxfId="10" priority="11">
      <formula>LEN(TRIM(G21))&gt;0</formula>
    </cfRule>
  </conditionalFormatting>
  <conditionalFormatting sqref="I21:K21">
    <cfRule type="cellIs" dxfId="9" priority="15" operator="notBetween">
      <formula>$J$22</formula>
      <formula>$K$22</formula>
    </cfRule>
  </conditionalFormatting>
  <conditionalFormatting sqref="I17:K17">
    <cfRule type="cellIs" dxfId="8" priority="16" operator="greaterThan">
      <formula>$J$18</formula>
    </cfRule>
  </conditionalFormatting>
  <conditionalFormatting sqref="I10:K10">
    <cfRule type="expression" dxfId="7" priority="9">
      <formula>$G$10&lt;&gt;""</formula>
    </cfRule>
    <cfRule type="expression" dxfId="6" priority="10">
      <formula>H10&lt;&gt;""</formula>
    </cfRule>
  </conditionalFormatting>
  <conditionalFormatting sqref="O10:P10">
    <cfRule type="expression" dxfId="5" priority="8">
      <formula>$L$10&lt;&gt;""</formula>
    </cfRule>
  </conditionalFormatting>
  <conditionalFormatting sqref="O13:P13">
    <cfRule type="expression" dxfId="4" priority="7">
      <formula>$L$13&lt;&gt;""</formula>
    </cfRule>
  </conditionalFormatting>
  <conditionalFormatting sqref="O15:P15">
    <cfRule type="expression" dxfId="3" priority="6">
      <formula>$L$15&lt;&gt;""</formula>
    </cfRule>
  </conditionalFormatting>
  <conditionalFormatting sqref="H18">
    <cfRule type="notContainsBlanks" dxfId="2" priority="3">
      <formula>LEN(TRIM(H18))&gt;0</formula>
    </cfRule>
  </conditionalFormatting>
  <conditionalFormatting sqref="I16:K16">
    <cfRule type="notContainsBlanks" dxfId="1" priority="1">
      <formula>LEN(TRIM(I16))&gt;0</formula>
    </cfRule>
  </conditionalFormatting>
  <dataValidations count="3">
    <dataValidation type="whole" allowBlank="1" showInputMessage="1" showErrorMessage="1" sqref="O13:P13" xr:uid="{00000000-0002-0000-0200-000000000000}">
      <formula1>0</formula1>
      <formula2>P14</formula2>
    </dataValidation>
    <dataValidation type="custom" operator="lessThanOrEqual" allowBlank="1" showInputMessage="1" showErrorMessage="1" errorTitle="Limite Superior ao Financiamento" error="Valor superior ao limite para a carteira" sqref="I17:K17" xr:uid="{00000000-0002-0000-0200-000001000000}">
      <formula1>J18</formula1>
    </dataValidation>
    <dataValidation allowBlank="1" showInputMessage="1" showErrorMessage="1" errorTitle="Valor Superior ao permitido" error="Ateção ao limite de financiamento" sqref="J18:K18" xr:uid="{00000000-0002-0000-0200-000002000000}"/>
  </dataValidations>
  <pageMargins left="0.511811024" right="0.511811024" top="0.78740157499999996" bottom="0.78740157499999996" header="0.31496062000000002" footer="0.31496062000000002"/>
  <pageSetup paperSize="9" scale="55" fitToHeight="0" orientation="landscape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2D8B95F5-7937-443F-B601-A19CD75BAA31}">
            <xm:f>D13=Parâmetros!C2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D21:F21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200-000003000000}">
          <x14:formula1>
            <xm:f>Parâmetros!$E$2:$E$3</xm:f>
          </x14:formula1>
          <xm:sqref>D17</xm:sqref>
        </x14:dataValidation>
        <x14:dataValidation type="list" allowBlank="1" showInputMessage="1" showErrorMessage="1" xr:uid="{00000000-0002-0000-0200-000004000000}">
          <x14:formula1>
            <xm:f>Parâmetros!$C$2:$C$3</xm:f>
          </x14:formula1>
          <xm:sqref>D13</xm:sqref>
        </x14:dataValidation>
        <x14:dataValidation type="list" allowBlank="1" showInputMessage="1" showErrorMessage="1" xr:uid="{00000000-0002-0000-0200-000005000000}">
          <x14:formula1>
            <xm:f>Parâmetros!$D$2:$D$3</xm:f>
          </x14:formula1>
          <xm:sqref>D19</xm:sqref>
        </x14:dataValidation>
        <x14:dataValidation type="list" allowBlank="1" showInputMessage="1" showErrorMessage="1" xr:uid="{00000000-0002-0000-0200-000006000000}">
          <x14:formula1>
            <xm:f>Parâmetros!$D$22:$D$25</xm:f>
          </x14:formula1>
          <xm:sqref>E27</xm:sqref>
        </x14:dataValidation>
        <x14:dataValidation type="list" allowBlank="1" showInputMessage="1" showErrorMessage="1" xr:uid="{00000000-0002-0000-0200-000007000000}">
          <x14:formula1>
            <xm:f>Parâmetros!$B$2:$B$4</xm:f>
          </x14:formula1>
          <xm:sqref>D15</xm:sqref>
        </x14:dataValidation>
        <x14:dataValidation type="list" allowBlank="1" showInputMessage="1" showErrorMessage="1" xr:uid="{00000000-0002-0000-0200-000009000000}">
          <x14:formula1>
            <xm:f>Parâmetros!$D$22:$D$23</xm:f>
          </x14:formula1>
          <xm:sqref>D9:F10</xm:sqref>
        </x14:dataValidation>
        <x14:dataValidation type="list" allowBlank="1" showInputMessage="1" showErrorMessage="1" xr:uid="{DB211A3C-46B9-4282-ABEE-DEC99D925FB0}">
          <x14:formula1>
            <xm:f>Parâmetros!$G$22:$G$26</xm:f>
          </x14:formula1>
          <xm:sqref>I13:K13</xm:sqref>
        </x14:dataValidation>
        <x14:dataValidation type="whole" allowBlank="1" showErrorMessage="1" errorTitle="Prazo fora dos limites" error="O prazo escolhido não está entre o mínimo ou máximo" promptTitle="Prazo de amortização" prompt="O prazo de financiamento deve estar entre o mínimo ou máximo permitido" xr:uid="{00000000-0002-0000-0200-00000A000000}">
          <x14:formula1>
            <xm:f>Simulador!O19</xm:f>
          </x14:formula1>
          <x14:formula2>
            <xm:f>Simulador!O21</xm:f>
          </x14:formula2>
          <xm:sqref>I21:K21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AC548"/>
  <sheetViews>
    <sheetView topLeftCell="A43" zoomScale="90" workbookViewId="0">
      <selection activeCell="G2" sqref="G2:G422"/>
    </sheetView>
  </sheetViews>
  <sheetFormatPr defaultRowHeight="13" x14ac:dyDescent="0.3"/>
  <cols>
    <col min="1" max="1" width="10.765625" bestFit="1" customWidth="1"/>
    <col min="2" max="2" width="8.765625" bestFit="1" customWidth="1"/>
    <col min="3" max="3" width="10.23046875" bestFit="1" customWidth="1"/>
    <col min="4" max="4" width="7.84375" bestFit="1" customWidth="1"/>
    <col min="5" max="5" width="10.23046875" bestFit="1" customWidth="1"/>
    <col min="6" max="6" width="19.07421875" bestFit="1" customWidth="1"/>
    <col min="7" max="7" width="28" bestFit="1" customWidth="1"/>
    <col min="8" max="8" width="15" bestFit="1" customWidth="1"/>
    <col min="9" max="9" width="10.84375" bestFit="1" customWidth="1"/>
    <col min="10" max="10" width="14" bestFit="1" customWidth="1"/>
    <col min="11" max="11" width="2.765625" customWidth="1"/>
    <col min="12" max="12" width="15.84375" bestFit="1" customWidth="1"/>
    <col min="13" max="13" width="14.23046875" bestFit="1" customWidth="1"/>
    <col min="14" max="14" width="40.84375" bestFit="1" customWidth="1"/>
    <col min="15" max="15" width="7.23046875" style="3" bestFit="1" customWidth="1"/>
    <col min="16" max="16" width="7.23046875" bestFit="1" customWidth="1"/>
    <col min="17" max="17" width="14.3046875" bestFit="1" customWidth="1"/>
    <col min="18" max="18" width="17.69140625" style="93" bestFit="1" customWidth="1"/>
    <col min="19" max="20" width="13.23046875" style="93" bestFit="1" customWidth="1"/>
    <col min="21" max="21" width="19.3046875" style="93" bestFit="1" customWidth="1"/>
    <col min="22" max="22" width="16.3046875" style="93" bestFit="1" customWidth="1"/>
    <col min="23" max="23" width="7.23046875" style="3" bestFit="1" customWidth="1"/>
    <col min="24" max="24" width="4.84375" bestFit="1" customWidth="1"/>
    <col min="25" max="25" width="5.765625" bestFit="1" customWidth="1"/>
    <col min="26" max="26" width="7.23046875" customWidth="1"/>
    <col min="27" max="27" width="19" bestFit="1" customWidth="1"/>
    <col min="28" max="28" width="10.07421875" bestFit="1" customWidth="1"/>
  </cols>
  <sheetData>
    <row r="1" spans="1:29" x14ac:dyDescent="0.3">
      <c r="A1" t="s">
        <v>53</v>
      </c>
      <c r="B1" s="1">
        <f>Simulador!G14</f>
        <v>32765</v>
      </c>
      <c r="C1" t="s">
        <v>54</v>
      </c>
      <c r="D1" t="s">
        <v>60</v>
      </c>
      <c r="E1" t="s">
        <v>61</v>
      </c>
      <c r="F1" t="s">
        <v>58</v>
      </c>
      <c r="G1" t="s">
        <v>62</v>
      </c>
      <c r="H1" t="s">
        <v>59</v>
      </c>
      <c r="I1" t="s">
        <v>57</v>
      </c>
      <c r="J1" t="s">
        <v>84</v>
      </c>
      <c r="L1" t="s">
        <v>63</v>
      </c>
      <c r="M1" t="s">
        <v>64</v>
      </c>
      <c r="N1" s="5" t="s">
        <v>80</v>
      </c>
      <c r="O1" s="5" t="s">
        <v>79</v>
      </c>
      <c r="P1" s="5" t="s">
        <v>7</v>
      </c>
      <c r="Q1" s="5" t="s">
        <v>102</v>
      </c>
      <c r="R1" s="5" t="s">
        <v>9</v>
      </c>
      <c r="S1" s="5" t="s">
        <v>109</v>
      </c>
      <c r="T1" s="5" t="s">
        <v>110</v>
      </c>
      <c r="U1" s="5" t="s">
        <v>107</v>
      </c>
      <c r="V1" s="5" t="s">
        <v>111</v>
      </c>
      <c r="W1" s="5" t="s">
        <v>27</v>
      </c>
      <c r="X1" s="5" t="s">
        <v>45</v>
      </c>
      <c r="Y1" s="5"/>
      <c r="Z1" s="5" t="s">
        <v>139</v>
      </c>
      <c r="AA1" s="5" t="s">
        <v>91</v>
      </c>
    </row>
    <row r="2" spans="1:29" x14ac:dyDescent="0.3">
      <c r="A2" s="18">
        <v>18</v>
      </c>
      <c r="B2" s="16">
        <v>1.149E-4</v>
      </c>
      <c r="C2" s="16">
        <v>5.0000000000000002E-5</v>
      </c>
      <c r="D2" s="93">
        <f ca="1">Simulador!C33</f>
        <v>0</v>
      </c>
      <c r="E2" s="1">
        <f ca="1">H2</f>
        <v>46163</v>
      </c>
      <c r="F2" s="1">
        <f ca="1">ROUNDDOWN(_xlfn.DAYS(E2,$B$1)/365,0)</f>
        <v>36</v>
      </c>
      <c r="G2" s="124">
        <f ca="1">IF('Simulador Bradesco'!D15&lt;&gt;Parâmetros!B2,VLOOKUP('Base de Dados'!F2,'Base de Dados'!$A$2:$B$64,2,FALSE),VLOOKUP(F2&amp;'Simulador Bradesco'!$I$13,$A$2:$B$600,2,FALSE))</f>
        <v>1.8139999999999999E-4</v>
      </c>
      <c r="H2" s="1">
        <f ca="1">TODAY()</f>
        <v>46163</v>
      </c>
      <c r="I2" s="1">
        <f>Simulador!G14</f>
        <v>32765</v>
      </c>
      <c r="J2">
        <f>Simulador!G17</f>
        <v>240</v>
      </c>
      <c r="L2" s="1">
        <f ca="1">IF(Simulador!A32="",Simulador!$C$8,Simulador!A32)</f>
        <v>46163</v>
      </c>
      <c r="M2" s="15">
        <f>Simulador!O10</f>
        <v>750000</v>
      </c>
      <c r="N2" s="5" t="s">
        <v>352</v>
      </c>
      <c r="O2" s="20">
        <f>Parâmetros!$H$7</f>
        <v>0.15</v>
      </c>
      <c r="P2" s="20">
        <f>Parâmetros!$F$7</f>
        <v>0.7</v>
      </c>
      <c r="Q2" t="str">
        <f>IF(AND(Simulador!E6=Parâmetros!D23,Simulador!C14&lt;&gt;Parâmetros!B2),"Poup+ só residencial","")</f>
        <v/>
      </c>
      <c r="R2" s="15">
        <f>Parâmetros!$L$7</f>
        <v>3400</v>
      </c>
      <c r="S2">
        <f>Parâmetros!$I$7</f>
        <v>121</v>
      </c>
      <c r="T2">
        <f>Parâmetros!$J$7</f>
        <v>240</v>
      </c>
      <c r="U2"/>
      <c r="V2"/>
      <c r="W2" s="80">
        <f>Parâmetros!$D$7</f>
        <v>0.1399</v>
      </c>
      <c r="X2" s="3" t="s">
        <v>43</v>
      </c>
      <c r="Y2" s="2">
        <f>Parâmetros!$H$4</f>
        <v>3.3799999999999997E-2</v>
      </c>
      <c r="Z2" s="3" t="s">
        <v>43</v>
      </c>
      <c r="AA2" s="19" t="s">
        <v>93</v>
      </c>
    </row>
    <row r="3" spans="1:29" x14ac:dyDescent="0.3">
      <c r="A3" s="18">
        <v>19</v>
      </c>
      <c r="B3" s="16">
        <v>1.149E-4</v>
      </c>
      <c r="D3" s="93">
        <f ca="1">Simulador!C34</f>
        <v>1</v>
      </c>
      <c r="E3" s="1">
        <f t="shared" ref="E3:E66" ca="1" si="0">H3</f>
        <v>46194</v>
      </c>
      <c r="F3" s="1">
        <f ca="1">ROUNDDOWN(_xlfn.DAYS(E3,$B$1)/365,0)</f>
        <v>36</v>
      </c>
      <c r="G3" s="124">
        <f ca="1">IF('Simulador Bradesco'!D16&lt;&gt;Parâmetros!B3,VLOOKUP('Base de Dados'!F3,'Base de Dados'!$A$2:$B$64,2,FALSE),VLOOKUP(F3&amp;'Simulador Bradesco'!$I$13,$A$2:$B$600,2,FALSE))</f>
        <v>1.8139999999999999E-4</v>
      </c>
      <c r="H3" s="1">
        <f ca="1">Simulador!A34</f>
        <v>46194</v>
      </c>
      <c r="L3" s="1">
        <f ca="1">IF(Simulador!A33="",Simulador!$C$8,Simulador!A33)</f>
        <v>46163</v>
      </c>
      <c r="M3" s="4">
        <f ca="1">IF(Simulador!Q33="",0,Simulador!Q33*-1)</f>
        <v>-28961.049999999996</v>
      </c>
      <c r="N3" s="5" t="str">
        <f>CONCATENATE(Parâmetros!$D$22,Parâmetros!$C$8,Parâmetros!$D$3)</f>
        <v>Repasse/AquisiçãoRESIDENCIALPRICE</v>
      </c>
      <c r="O3" s="20">
        <f>Parâmetros!$H$8</f>
        <v>0.15</v>
      </c>
      <c r="P3" s="20">
        <f>Parâmetros!$F$8</f>
        <v>0.8</v>
      </c>
      <c r="R3" s="15">
        <f>Parâmetros!$L$8</f>
        <v>1021.25</v>
      </c>
      <c r="S3" s="18">
        <f>Parâmetros!$I$8</f>
        <v>121</v>
      </c>
      <c r="T3" s="18">
        <f>Parâmetros!$J$8</f>
        <v>420</v>
      </c>
      <c r="U3"/>
      <c r="V3"/>
      <c r="W3" s="80">
        <f>Parâmetros!$D$8</f>
        <v>0.123</v>
      </c>
      <c r="X3" s="3" t="s">
        <v>44</v>
      </c>
      <c r="Y3" s="2">
        <v>0</v>
      </c>
      <c r="Z3" s="3" t="s">
        <v>43</v>
      </c>
      <c r="AA3" t="s">
        <v>94</v>
      </c>
    </row>
    <row r="4" spans="1:29" x14ac:dyDescent="0.3">
      <c r="A4" s="18">
        <v>20</v>
      </c>
      <c r="B4" s="16">
        <v>1.149E-4</v>
      </c>
      <c r="D4" s="93">
        <f ca="1">Simulador!C35</f>
        <v>2</v>
      </c>
      <c r="E4" s="1">
        <f t="shared" ca="1" si="0"/>
        <v>46224</v>
      </c>
      <c r="F4" s="1">
        <f t="shared" ref="F4:F67" ca="1" si="1">ROUNDDOWN(_xlfn.DAYS(E4,$B$1)/365,0)</f>
        <v>36</v>
      </c>
      <c r="G4" s="124">
        <f ca="1">IF('Simulador Bradesco'!D17&lt;&gt;Parâmetros!B4,VLOOKUP('Base de Dados'!F4,'Base de Dados'!$A$2:$B$64,2,FALSE),VLOOKUP(F4&amp;'Simulador Bradesco'!$I$13,$A$2:$B$600,2,FALSE))</f>
        <v>1.8139999999999999E-4</v>
      </c>
      <c r="H4" s="1">
        <f ca="1">Simulador!A35</f>
        <v>46224</v>
      </c>
      <c r="L4" s="1">
        <f ca="1">IF(Simulador!A34="",Simulador!$C$8,Simulador!A34)</f>
        <v>46194</v>
      </c>
      <c r="M4" s="4">
        <f ca="1">IF(Simulador!Q34="",0,Simulador!Q34*-1)</f>
        <v>-9086.4615359982799</v>
      </c>
      <c r="N4" s="5" t="str">
        <f>CONCATENATE(Parâmetros!$D$22,Parâmetros!$C$9,Parâmetros!D$3)</f>
        <v>Repasse/AquisiçãoRESIDENCIAL &gt; 225PRICE</v>
      </c>
      <c r="O4" s="20">
        <f>Parâmetros!$H$9</f>
        <v>0.15</v>
      </c>
      <c r="P4" s="20">
        <f>Parâmetros!$F$9</f>
        <v>0.8</v>
      </c>
      <c r="R4" s="15">
        <f>Parâmetros!$L$9</f>
        <v>2114.0300000000002</v>
      </c>
      <c r="S4" s="18">
        <f>Parâmetros!$I$9</f>
        <v>121</v>
      </c>
      <c r="T4" s="18">
        <f>Parâmetros!$J$9</f>
        <v>420</v>
      </c>
      <c r="U4"/>
      <c r="V4"/>
      <c r="W4" s="80">
        <f>Parâmetros!$D$9</f>
        <v>0.123</v>
      </c>
      <c r="X4" s="3" t="s">
        <v>44</v>
      </c>
      <c r="Y4" s="2">
        <v>0</v>
      </c>
      <c r="Z4" s="3" t="s">
        <v>43</v>
      </c>
    </row>
    <row r="5" spans="1:29" x14ac:dyDescent="0.3">
      <c r="A5" s="18">
        <v>21</v>
      </c>
      <c r="B5" s="16">
        <v>1.13E-4</v>
      </c>
      <c r="D5" s="93">
        <f ca="1">Simulador!C36</f>
        <v>3</v>
      </c>
      <c r="E5" s="1">
        <f t="shared" ca="1" si="0"/>
        <v>46255</v>
      </c>
      <c r="F5" s="1">
        <f t="shared" ca="1" si="1"/>
        <v>36</v>
      </c>
      <c r="G5" s="124">
        <f ca="1">IF('Simulador Bradesco'!D18&lt;&gt;Parâmetros!B5,VLOOKUP('Base de Dados'!F5,'Base de Dados'!$A$2:$B$64,2,FALSE),VLOOKUP(F5&amp;'Simulador Bradesco'!$I$13,$A$2:$B$600,2,FALSE))</f>
        <v>1.8139999999999999E-4</v>
      </c>
      <c r="H5" s="1">
        <f ca="1">Simulador!A36</f>
        <v>46255</v>
      </c>
      <c r="L5" s="1">
        <f ca="1">IF(Simulador!A35="",Simulador!$C$8,Simulador!A35)</f>
        <v>46224</v>
      </c>
      <c r="M5" s="4">
        <f ca="1">IF(Simulador!Q35="",0,Simulador!Q35*-1)</f>
        <v>-9086.3428948482942</v>
      </c>
      <c r="N5" s="5" t="str">
        <f>CONCATENATE(Parâmetros!D22,Parâmetros!C11,Parâmetros!$D$3)</f>
        <v>Repasse/AquisiçãoCOMERCIALPRICE</v>
      </c>
      <c r="O5" s="20">
        <f>Parâmetros!H11</f>
        <v>0.15</v>
      </c>
      <c r="P5" s="20">
        <f>Parâmetros!F11</f>
        <v>0.8</v>
      </c>
      <c r="R5" s="15">
        <f>Parâmetros!L11</f>
        <v>3400</v>
      </c>
      <c r="S5" s="18">
        <f>Parâmetros!I11</f>
        <v>121</v>
      </c>
      <c r="T5" s="18">
        <f>Parâmetros!J11</f>
        <v>240</v>
      </c>
      <c r="U5"/>
      <c r="V5"/>
      <c r="W5" s="80">
        <f>Parâmetros!D11</f>
        <v>0.1399</v>
      </c>
      <c r="X5" s="3" t="s">
        <v>43</v>
      </c>
      <c r="Y5" s="2">
        <f>Parâmetros!H4</f>
        <v>3.3799999999999997E-2</v>
      </c>
      <c r="Z5" s="3" t="s">
        <v>43</v>
      </c>
      <c r="AC5" t="s">
        <v>429</v>
      </c>
    </row>
    <row r="6" spans="1:29" x14ac:dyDescent="0.3">
      <c r="A6" s="18">
        <v>22</v>
      </c>
      <c r="B6" s="16">
        <v>1.13E-4</v>
      </c>
      <c r="D6" s="93">
        <f ca="1">Simulador!C37</f>
        <v>4</v>
      </c>
      <c r="E6" s="1">
        <f t="shared" ca="1" si="0"/>
        <v>46286</v>
      </c>
      <c r="F6" s="1">
        <f t="shared" ca="1" si="1"/>
        <v>37</v>
      </c>
      <c r="G6" s="124">
        <f ca="1">IF('Simulador Bradesco'!D19&lt;&gt;Parâmetros!B6,VLOOKUP('Base de Dados'!F6,'Base de Dados'!$A$2:$B$64,2,FALSE),VLOOKUP(F6&amp;'Simulador Bradesco'!$I$13,$A$2:$B$600,2,FALSE))</f>
        <v>1.8139999999999999E-4</v>
      </c>
      <c r="H6" s="1">
        <f ca="1">Simulador!A37</f>
        <v>46286</v>
      </c>
      <c r="L6" s="1">
        <f ca="1">IF(Simulador!A36="",Simulador!$C$8,Simulador!A36)</f>
        <v>46255</v>
      </c>
      <c r="M6" s="4">
        <f ca="1">IF(Simulador!Q36="",0,Simulador!Q36*-1)</f>
        <v>-9086.2229520315032</v>
      </c>
      <c r="N6" s="5" t="str">
        <f>CONCATENATE(Parâmetros!D22,Parâmetros!C7,Parâmetros!$D$2)</f>
        <v>Repasse/AquisiçãoLOTESAC</v>
      </c>
      <c r="O6" s="20">
        <f>Parâmetros!G7</f>
        <v>0.2</v>
      </c>
      <c r="P6" s="20">
        <f>Parâmetros!E7</f>
        <v>0.7</v>
      </c>
      <c r="R6" s="15">
        <f>Parâmetros!L7</f>
        <v>3400</v>
      </c>
      <c r="S6" s="18">
        <f>Parâmetros!I7</f>
        <v>121</v>
      </c>
      <c r="T6" s="18">
        <f>Parâmetros!J7</f>
        <v>240</v>
      </c>
      <c r="U6"/>
      <c r="V6"/>
      <c r="W6" s="80">
        <f>Parâmetros!D7</f>
        <v>0.1399</v>
      </c>
      <c r="X6" s="3" t="s">
        <v>112</v>
      </c>
      <c r="Y6" s="2">
        <f>Parâmetros!H4</f>
        <v>3.3799999999999997E-2</v>
      </c>
      <c r="Z6" s="3" t="s">
        <v>43</v>
      </c>
      <c r="AA6" s="5"/>
    </row>
    <row r="7" spans="1:29" x14ac:dyDescent="0.3">
      <c r="A7" s="18">
        <v>23</v>
      </c>
      <c r="B7" s="16">
        <v>1.13E-4</v>
      </c>
      <c r="D7" s="93">
        <f ca="1">Simulador!C38</f>
        <v>5</v>
      </c>
      <c r="E7" s="1">
        <f t="shared" ca="1" si="0"/>
        <v>46316</v>
      </c>
      <c r="F7" s="1">
        <f t="shared" ca="1" si="1"/>
        <v>37</v>
      </c>
      <c r="G7" s="124">
        <f ca="1">IF('Simulador Bradesco'!D20&lt;&gt;Parâmetros!B7,VLOOKUP('Base de Dados'!F7,'Base de Dados'!$A$2:$B$64,2,FALSE),VLOOKUP(F7&amp;'Simulador Bradesco'!$I$13,$A$2:$B$600,2,FALSE))</f>
        <v>1.8139999999999999E-4</v>
      </c>
      <c r="H7" s="1">
        <f ca="1">Simulador!A38</f>
        <v>46316</v>
      </c>
      <c r="L7" s="1">
        <f ca="1">IF(Simulador!A37="",Simulador!$C$8,Simulador!A37)</f>
        <v>46286</v>
      </c>
      <c r="M7" s="4">
        <f ca="1">IF(Simulador!Q37="",0,Simulador!Q37*-1)</f>
        <v>-9086.1016932667208</v>
      </c>
      <c r="N7" s="5" t="str">
        <f>CONCATENATE(Parâmetros!$D$22,Parâmetros!$C$8,Parâmetros!$D$2)</f>
        <v>Repasse/AquisiçãoRESIDENCIALSAC</v>
      </c>
      <c r="O7" s="20">
        <f>Parâmetros!$G$8</f>
        <v>0.3</v>
      </c>
      <c r="P7" s="20">
        <f>Parâmetros!$E$8</f>
        <v>0.8</v>
      </c>
      <c r="R7" s="15">
        <f>Parâmetros!$L$8</f>
        <v>1021.25</v>
      </c>
      <c r="S7" s="18">
        <f>Parâmetros!$I$8</f>
        <v>121</v>
      </c>
      <c r="T7" s="18">
        <f>Parâmetros!$J$8</f>
        <v>420</v>
      </c>
      <c r="U7"/>
      <c r="V7"/>
      <c r="W7" s="80">
        <f>Parâmetros!$D$8</f>
        <v>0.123</v>
      </c>
      <c r="X7" s="3" t="s">
        <v>44</v>
      </c>
      <c r="Y7" s="2">
        <v>0</v>
      </c>
      <c r="Z7" s="3" t="s">
        <v>43</v>
      </c>
    </row>
    <row r="8" spans="1:29" x14ac:dyDescent="0.3">
      <c r="A8" s="18">
        <v>24</v>
      </c>
      <c r="B8" s="16">
        <v>1.193E-4</v>
      </c>
      <c r="D8" s="93">
        <f ca="1">Simulador!C39</f>
        <v>6</v>
      </c>
      <c r="E8" s="1">
        <f t="shared" ca="1" si="0"/>
        <v>46347</v>
      </c>
      <c r="F8" s="1">
        <f t="shared" ca="1" si="1"/>
        <v>37</v>
      </c>
      <c r="G8" s="124">
        <f ca="1">IF('Simulador Bradesco'!D21&lt;&gt;Parâmetros!B8,VLOOKUP('Base de Dados'!F8,'Base de Dados'!$A$2:$B$64,2,FALSE),VLOOKUP(F8&amp;'Simulador Bradesco'!$I$13,$A$2:$B$600,2,FALSE))</f>
        <v>1.8139999999999999E-4</v>
      </c>
      <c r="H8" s="1">
        <f ca="1">Simulador!A39</f>
        <v>46347</v>
      </c>
      <c r="L8" s="1">
        <f ca="1">IF(Simulador!A38="",Simulador!$C$8,Simulador!A38)</f>
        <v>46316</v>
      </c>
      <c r="M8" s="4">
        <f ca="1">IF(Simulador!Q38="",0,Simulador!Q38*-1)</f>
        <v>-9085.9791041160752</v>
      </c>
      <c r="N8" s="5" t="str">
        <f>CONCATENATE(Parâmetros!$D$22,Parâmetros!$C$9,Parâmetros!$D$2)</f>
        <v>Repasse/AquisiçãoRESIDENCIAL &gt; 225SAC</v>
      </c>
      <c r="O8" s="20">
        <f>Parâmetros!$G$9</f>
        <v>0.3</v>
      </c>
      <c r="P8" s="20">
        <f>Parâmetros!$E$9</f>
        <v>0.8</v>
      </c>
      <c r="R8" s="15">
        <f>Parâmetros!$L$9</f>
        <v>2114.0300000000002</v>
      </c>
      <c r="S8" s="18">
        <f>Parâmetros!$I$9</f>
        <v>121</v>
      </c>
      <c r="T8" s="18">
        <f>Parâmetros!$J$9</f>
        <v>420</v>
      </c>
      <c r="U8"/>
      <c r="V8"/>
      <c r="W8" s="80">
        <f>Parâmetros!$D$9</f>
        <v>0.123</v>
      </c>
      <c r="X8" s="3" t="s">
        <v>44</v>
      </c>
      <c r="Y8" s="2">
        <v>0</v>
      </c>
      <c r="Z8" s="3" t="s">
        <v>43</v>
      </c>
    </row>
    <row r="9" spans="1:29" x14ac:dyDescent="0.3">
      <c r="A9" s="18">
        <v>25</v>
      </c>
      <c r="B9" s="16">
        <v>1.193E-4</v>
      </c>
      <c r="D9" s="93">
        <f ca="1">Simulador!C40</f>
        <v>7</v>
      </c>
      <c r="E9" s="1">
        <f t="shared" ca="1" si="0"/>
        <v>46377</v>
      </c>
      <c r="F9" s="1">
        <f t="shared" ca="1" si="1"/>
        <v>37</v>
      </c>
      <c r="G9" s="124">
        <f ca="1">IF('Simulador Bradesco'!D22&lt;&gt;Parâmetros!B9,VLOOKUP('Base de Dados'!F9,'Base de Dados'!$A$2:$B$64,2,FALSE),VLOOKUP(F9&amp;'Simulador Bradesco'!$I$13,$A$2:$B$600,2,FALSE))</f>
        <v>1.8139999999999999E-4</v>
      </c>
      <c r="H9" s="1">
        <f ca="1">Simulador!A40</f>
        <v>46377</v>
      </c>
      <c r="L9" s="1">
        <f ca="1">IF(Simulador!A39="",Simulador!$C$8,Simulador!A39)</f>
        <v>46347</v>
      </c>
      <c r="M9" s="4">
        <f ca="1">IF(Simulador!Q39="",0,Simulador!Q39*-1)</f>
        <v>-9085.8551699832879</v>
      </c>
      <c r="N9" s="5" t="str">
        <f>CONCATENATE(Parâmetros!D22,Parâmetros!C11,Parâmetros!$D$2)</f>
        <v>Repasse/AquisiçãoCOMERCIALSAC</v>
      </c>
      <c r="O9" s="20">
        <f>Parâmetros!G11</f>
        <v>0.3</v>
      </c>
      <c r="P9" s="20">
        <f>Parâmetros!E11</f>
        <v>0.8</v>
      </c>
      <c r="R9" s="15">
        <f>Parâmetros!L11</f>
        <v>3400</v>
      </c>
      <c r="S9" s="18">
        <f>Parâmetros!I11</f>
        <v>121</v>
      </c>
      <c r="T9" s="18">
        <f>Parâmetros!J11</f>
        <v>240</v>
      </c>
      <c r="U9"/>
      <c r="V9"/>
      <c r="W9" s="80">
        <f>Parâmetros!D11</f>
        <v>0.1399</v>
      </c>
      <c r="X9" s="3" t="s">
        <v>43</v>
      </c>
      <c r="Y9" s="2">
        <f>Parâmetros!H4</f>
        <v>3.3799999999999997E-2</v>
      </c>
      <c r="Z9" s="3" t="s">
        <v>43</v>
      </c>
    </row>
    <row r="10" spans="1:29" x14ac:dyDescent="0.3">
      <c r="A10" s="18">
        <v>26</v>
      </c>
      <c r="B10" s="16">
        <v>1.193E-4</v>
      </c>
      <c r="D10" s="93">
        <f ca="1">Simulador!C41</f>
        <v>8</v>
      </c>
      <c r="E10" s="1">
        <f t="shared" ca="1" si="0"/>
        <v>46408</v>
      </c>
      <c r="F10" s="1">
        <f t="shared" ca="1" si="1"/>
        <v>37</v>
      </c>
      <c r="G10" s="124">
        <f ca="1">IF('Simulador Bradesco'!D23&lt;&gt;Parâmetros!B10,VLOOKUP('Base de Dados'!F10,'Base de Dados'!$A$2:$B$64,2,FALSE),VLOOKUP(F10&amp;'Simulador Bradesco'!$I$13,$A$2:$B$600,2,FALSE))</f>
        <v>1.8139999999999999E-4</v>
      </c>
      <c r="H10" s="1">
        <f ca="1">Simulador!A41</f>
        <v>46408</v>
      </c>
      <c r="L10" s="1">
        <f ca="1">IF(Simulador!A40="",Simulador!$C$8,Simulador!A40)</f>
        <v>46377</v>
      </c>
      <c r="M10" s="4">
        <f ca="1">IF(Simulador!Q40="",0,Simulador!Q40*-1)</f>
        <v>-9085.72987611194</v>
      </c>
      <c r="N10" s="5" t="str">
        <f>CONCATENATE(Parâmetros!D22,Parâmetros!C14,Parâmetros!$D$3)</f>
        <v>Repasse/AquisiçãoCHH Lote PJPRICE</v>
      </c>
      <c r="O10" s="5" t="s">
        <v>36</v>
      </c>
      <c r="P10" s="20">
        <f>Parâmetros!F14</f>
        <v>0.7</v>
      </c>
      <c r="R10" s="15">
        <f>Parâmetros!L14</f>
        <v>3400</v>
      </c>
      <c r="S10" s="18">
        <f>Parâmetros!I14</f>
        <v>121</v>
      </c>
      <c r="T10" s="18">
        <f>Parâmetros!J14</f>
        <v>240</v>
      </c>
      <c r="U10"/>
      <c r="V10"/>
      <c r="W10" s="79">
        <f>Parâmetros!D14</f>
        <v>0.1399</v>
      </c>
      <c r="X10" s="3" t="s">
        <v>43</v>
      </c>
      <c r="Y10" s="2">
        <f>Parâmetros!I4</f>
        <v>3.3799999999999997E-2</v>
      </c>
      <c r="Z10" s="3" t="s">
        <v>44</v>
      </c>
    </row>
    <row r="11" spans="1:29" x14ac:dyDescent="0.3">
      <c r="A11" s="18">
        <v>27</v>
      </c>
      <c r="B11" s="16">
        <v>1.304E-4</v>
      </c>
      <c r="D11" s="93">
        <f ca="1">Simulador!C42</f>
        <v>9</v>
      </c>
      <c r="E11" s="1">
        <f t="shared" ca="1" si="0"/>
        <v>46439</v>
      </c>
      <c r="F11" s="1">
        <f t="shared" ca="1" si="1"/>
        <v>37</v>
      </c>
      <c r="G11" s="124">
        <f ca="1">IF('Simulador Bradesco'!D24&lt;&gt;Parâmetros!B11,VLOOKUP('Base de Dados'!F11,'Base de Dados'!$A$2:$B$64,2,FALSE),VLOOKUP(F11&amp;'Simulador Bradesco'!$I$13,$A$2:$B$600,2,FALSE))</f>
        <v>1.8139999999999999E-4</v>
      </c>
      <c r="H11" s="1">
        <f ca="1">Simulador!A42</f>
        <v>46439</v>
      </c>
      <c r="L11" s="1">
        <f ca="1">IF(Simulador!A41="",Simulador!$C$8,Simulador!A41)</f>
        <v>46408</v>
      </c>
      <c r="M11" s="4">
        <f ca="1">IF(Simulador!Q41="",0,Simulador!Q41*-1)</f>
        <v>-9085.603207583712</v>
      </c>
      <c r="N11" s="5" t="str">
        <f>CONCATENATE(Parâmetros!D22,Parâmetros!C15,Parâmetros!$D$3)</f>
        <v>Repasse/AquisiçãoCHH PJPRICE</v>
      </c>
      <c r="O11" s="5" t="s">
        <v>36</v>
      </c>
      <c r="P11" s="20">
        <f>Parâmetros!F15</f>
        <v>0.7</v>
      </c>
      <c r="R11" s="15">
        <f>Parâmetros!L15</f>
        <v>2114.0300000000002</v>
      </c>
      <c r="S11" s="18">
        <f>Parâmetros!I15</f>
        <v>121</v>
      </c>
      <c r="T11" s="18">
        <f>Parâmetros!J15</f>
        <v>240</v>
      </c>
      <c r="U11"/>
      <c r="V11"/>
      <c r="W11" s="79">
        <f>Parâmetros!D15</f>
        <v>0.1399</v>
      </c>
      <c r="X11" s="3" t="s">
        <v>43</v>
      </c>
      <c r="Y11" s="2">
        <v>0</v>
      </c>
      <c r="Z11" s="3" t="s">
        <v>44</v>
      </c>
    </row>
    <row r="12" spans="1:29" x14ac:dyDescent="0.3">
      <c r="A12" s="18">
        <v>28</v>
      </c>
      <c r="B12" s="16">
        <v>1.304E-4</v>
      </c>
      <c r="D12" s="93">
        <f ca="1">Simulador!C43</f>
        <v>10</v>
      </c>
      <c r="E12" s="1">
        <f t="shared" ca="1" si="0"/>
        <v>46467</v>
      </c>
      <c r="F12" s="1">
        <f t="shared" ca="1" si="1"/>
        <v>37</v>
      </c>
      <c r="G12" s="124">
        <f ca="1">IF('Simulador Bradesco'!D25&lt;&gt;Parâmetros!B12,VLOOKUP('Base de Dados'!F12,'Base de Dados'!$A$2:$B$64,2,FALSE),VLOOKUP(F12&amp;'Simulador Bradesco'!$I$13,$A$2:$B$600,2,FALSE))</f>
        <v>1.8139999999999999E-4</v>
      </c>
      <c r="H12" s="1">
        <f ca="1">Simulador!A43</f>
        <v>46467</v>
      </c>
      <c r="L12" s="1">
        <f ca="1">IF(Simulador!A42="",Simulador!$C$8,Simulador!A42)</f>
        <v>46439</v>
      </c>
      <c r="M12" s="4">
        <f ca="1">IF(Simulador!Q42="",0,Simulador!Q42*-1)</f>
        <v>-9085.4751493166077</v>
      </c>
      <c r="N12" s="5" t="str">
        <f>CONCATENATE(Parâmetros!D22,Parâmetros!C16,Parâmetros!$D$3)</f>
        <v>Repasse/AquisiçãoCHC PJPRICE</v>
      </c>
      <c r="O12" s="5" t="s">
        <v>36</v>
      </c>
      <c r="P12" s="20">
        <f>Parâmetros!F16</f>
        <v>0.6</v>
      </c>
      <c r="R12" s="15">
        <f>Parâmetros!L16</f>
        <v>3400</v>
      </c>
      <c r="S12" s="18">
        <f>Parâmetros!I16</f>
        <v>121</v>
      </c>
      <c r="T12" s="18">
        <f>Parâmetros!J16</f>
        <v>240</v>
      </c>
      <c r="U12"/>
      <c r="V12"/>
      <c r="W12" s="79">
        <f>Parâmetros!D16</f>
        <v>0.1399</v>
      </c>
      <c r="X12" s="3" t="s">
        <v>43</v>
      </c>
      <c r="Y12" s="2">
        <f>Parâmetros!I4</f>
        <v>3.3799999999999997E-2</v>
      </c>
      <c r="Z12" s="3" t="s">
        <v>44</v>
      </c>
    </row>
    <row r="13" spans="1:29" x14ac:dyDescent="0.3">
      <c r="A13" s="18">
        <v>29</v>
      </c>
      <c r="B13" s="16">
        <v>1.304E-4</v>
      </c>
      <c r="D13" s="93">
        <f ca="1">Simulador!C44</f>
        <v>11</v>
      </c>
      <c r="E13" s="1">
        <f t="shared" ca="1" si="0"/>
        <v>46498</v>
      </c>
      <c r="F13" s="1">
        <f t="shared" ca="1" si="1"/>
        <v>37</v>
      </c>
      <c r="G13" s="124">
        <f ca="1">IF('Simulador Bradesco'!D26&lt;&gt;Parâmetros!B13,VLOOKUP('Base de Dados'!F13,'Base de Dados'!$A$2:$B$64,2,FALSE),VLOOKUP(F13&amp;'Simulador Bradesco'!$I$13,$A$2:$B$600,2,FALSE))</f>
        <v>1.8139999999999999E-4</v>
      </c>
      <c r="H13" s="1">
        <f ca="1">Simulador!A44</f>
        <v>46498</v>
      </c>
      <c r="L13" s="1">
        <f ca="1">IF(Simulador!A43="",Simulador!$C$8,Simulador!A43)</f>
        <v>46467</v>
      </c>
      <c r="M13" s="4">
        <f ca="1">IF(Simulador!Q43="",0,Simulador!Q43*-1)</f>
        <v>-9085.3456860631613</v>
      </c>
      <c r="N13" s="5" t="str">
        <f>CONCATENATE(Parâmetros!D22,Parâmetros!C14,Parâmetros!$D$2)</f>
        <v>Repasse/AquisiçãoCHH Lote PJSAC</v>
      </c>
      <c r="O13" s="5" t="s">
        <v>36</v>
      </c>
      <c r="P13" s="20">
        <f>Parâmetros!E14</f>
        <v>0.7</v>
      </c>
      <c r="R13" s="15">
        <f>Parâmetros!L14</f>
        <v>3400</v>
      </c>
      <c r="S13" s="18">
        <f>Parâmetros!I14</f>
        <v>121</v>
      </c>
      <c r="T13" s="18">
        <f>Parâmetros!J14</f>
        <v>240</v>
      </c>
      <c r="U13"/>
      <c r="V13"/>
      <c r="W13" s="79">
        <f>Parâmetros!D14</f>
        <v>0.1399</v>
      </c>
      <c r="X13" s="3" t="s">
        <v>43</v>
      </c>
      <c r="Y13" s="2">
        <f>Parâmetros!I4</f>
        <v>3.3799999999999997E-2</v>
      </c>
      <c r="Z13" s="3" t="s">
        <v>44</v>
      </c>
    </row>
    <row r="14" spans="1:29" x14ac:dyDescent="0.3">
      <c r="A14" s="18">
        <v>30</v>
      </c>
      <c r="B14" s="16">
        <v>1.438E-4</v>
      </c>
      <c r="D14" s="93">
        <f ca="1">Simulador!C45</f>
        <v>12</v>
      </c>
      <c r="E14" s="1">
        <f t="shared" ca="1" si="0"/>
        <v>46528</v>
      </c>
      <c r="F14" s="1">
        <f t="shared" ca="1" si="1"/>
        <v>37</v>
      </c>
      <c r="G14" s="124">
        <f ca="1">IF('Simulador Bradesco'!D27&lt;&gt;Parâmetros!B14,VLOOKUP('Base de Dados'!F14,'Base de Dados'!$A$2:$B$64,2,FALSE),VLOOKUP(F14&amp;'Simulador Bradesco'!$I$13,$A$2:$B$600,2,FALSE))</f>
        <v>1.8139999999999999E-4</v>
      </c>
      <c r="H14" s="1">
        <f ca="1">Simulador!A45</f>
        <v>46528</v>
      </c>
      <c r="L14" s="1">
        <f ca="1">IF(Simulador!A44="",Simulador!$C$8,Simulador!A44)</f>
        <v>46498</v>
      </c>
      <c r="M14" s="4">
        <f ca="1">IF(Simulador!Q44="",0,Simulador!Q44*-1)</f>
        <v>-9085.2148024086218</v>
      </c>
      <c r="N14" s="5" t="str">
        <f>CONCATENATE(Parâmetros!D22,Parâmetros!C15,Parâmetros!$D$2)</f>
        <v>Repasse/AquisiçãoCHH PJSAC</v>
      </c>
      <c r="O14" s="5" t="s">
        <v>36</v>
      </c>
      <c r="P14" s="20">
        <f>Parâmetros!E15</f>
        <v>0.7</v>
      </c>
      <c r="R14" s="15">
        <f>Parâmetros!L15</f>
        <v>2114.0300000000002</v>
      </c>
      <c r="S14" s="18">
        <f>Parâmetros!I15</f>
        <v>121</v>
      </c>
      <c r="T14" s="18">
        <f>Parâmetros!J15</f>
        <v>240</v>
      </c>
      <c r="U14"/>
      <c r="V14"/>
      <c r="W14" s="79">
        <f>Parâmetros!D15</f>
        <v>0.1399</v>
      </c>
      <c r="X14" s="3" t="s">
        <v>43</v>
      </c>
      <c r="Y14" s="2">
        <v>0</v>
      </c>
      <c r="Z14" s="3" t="s">
        <v>44</v>
      </c>
    </row>
    <row r="15" spans="1:29" x14ac:dyDescent="0.3">
      <c r="A15" s="18">
        <v>31</v>
      </c>
      <c r="B15" s="16">
        <v>1.438E-4</v>
      </c>
      <c r="D15" s="93">
        <f ca="1">Simulador!C46</f>
        <v>13</v>
      </c>
      <c r="E15" s="1">
        <f t="shared" ca="1" si="0"/>
        <v>46559</v>
      </c>
      <c r="F15" s="1">
        <f t="shared" ca="1" si="1"/>
        <v>37</v>
      </c>
      <c r="G15" s="124">
        <f ca="1">IF('Simulador Bradesco'!D28&lt;&gt;Parâmetros!B15,VLOOKUP('Base de Dados'!F15,'Base de Dados'!$A$2:$B$64,2,FALSE),VLOOKUP(F15&amp;'Simulador Bradesco'!$I$13,$A$2:$B$600,2,FALSE))</f>
        <v>1.8139999999999999E-4</v>
      </c>
      <c r="H15" s="1">
        <f ca="1">Simulador!A46</f>
        <v>46559</v>
      </c>
      <c r="L15" s="1">
        <f ca="1">IF(Simulador!A45="",Simulador!$C$8,Simulador!A45)</f>
        <v>46528</v>
      </c>
      <c r="M15" s="4">
        <f ca="1">IF(Simulador!Q45="",0,Simulador!Q45*-1)</f>
        <v>-9085.0824827691085</v>
      </c>
      <c r="N15" s="5" t="str">
        <f>CONCATENATE(Parâmetros!D22,Parâmetros!C16,Parâmetros!$D$2)</f>
        <v>Repasse/AquisiçãoCHC PJSAC</v>
      </c>
      <c r="O15" s="5" t="s">
        <v>36</v>
      </c>
      <c r="P15" s="20">
        <f>Parâmetros!E16</f>
        <v>0.6</v>
      </c>
      <c r="R15" s="15">
        <f>Parâmetros!L16</f>
        <v>3400</v>
      </c>
      <c r="S15" s="18">
        <f>Parâmetros!I16</f>
        <v>121</v>
      </c>
      <c r="T15" s="18">
        <f>Parâmetros!J16</f>
        <v>240</v>
      </c>
      <c r="U15"/>
      <c r="V15"/>
      <c r="W15" s="79">
        <f>Parâmetros!D16</f>
        <v>0.1399</v>
      </c>
      <c r="X15" s="3" t="s">
        <v>43</v>
      </c>
      <c r="Y15" s="2">
        <f>Parâmetros!I4</f>
        <v>3.3799999999999997E-2</v>
      </c>
      <c r="Z15" s="3" t="s">
        <v>44</v>
      </c>
    </row>
    <row r="16" spans="1:29" x14ac:dyDescent="0.3">
      <c r="A16" s="18">
        <v>32</v>
      </c>
      <c r="B16" s="16">
        <v>1.438E-4</v>
      </c>
      <c r="D16" s="93">
        <f ca="1">Simulador!C47</f>
        <v>14</v>
      </c>
      <c r="E16" s="1">
        <f t="shared" ca="1" si="0"/>
        <v>46589</v>
      </c>
      <c r="F16" s="1">
        <f t="shared" ca="1" si="1"/>
        <v>37</v>
      </c>
      <c r="G16" s="124">
        <f ca="1">IF('Simulador Bradesco'!D29&lt;&gt;Parâmetros!B16,VLOOKUP('Base de Dados'!F16,'Base de Dados'!$A$2:$B$64,2,FALSE),VLOOKUP(F16&amp;'Simulador Bradesco'!$I$13,$A$2:$B$600,2,FALSE))</f>
        <v>1.8139999999999999E-4</v>
      </c>
      <c r="H16" s="1">
        <f ca="1">Simulador!A47</f>
        <v>46589</v>
      </c>
      <c r="L16" s="1">
        <f ca="1">IF(Simulador!A46="",Simulador!$C$8,Simulador!A46)</f>
        <v>46559</v>
      </c>
      <c r="M16" s="4">
        <f ca="1">IF(Simulador!Q46="",0,Simulador!Q46*-1)</f>
        <v>-9084.9487113897721</v>
      </c>
      <c r="N16" t="str">
        <f>CONCATENATE(Parâmetros!D23,Parâmetros!C8,Parâmetros!D2)</f>
        <v>Poupança+RESIDENCIALSAC</v>
      </c>
      <c r="O16" s="65">
        <v>0.3</v>
      </c>
      <c r="P16" s="65">
        <f>Parâmetros!O8</f>
        <v>0.8</v>
      </c>
      <c r="R16" s="15">
        <f>Parâmetros!L8</f>
        <v>1021.25</v>
      </c>
      <c r="S16" s="18">
        <v>240</v>
      </c>
      <c r="T16" s="18">
        <f>Parâmetros!J8</f>
        <v>420</v>
      </c>
      <c r="U16"/>
      <c r="V16"/>
      <c r="W16" s="2">
        <f>IF(SUM(Parâmetros!$C$23+Parâmetros!$C$24)&gt;9.17,9.17,SUM(Parâmetros!$C$23+Parâmetros!$C$24))</f>
        <v>0.1399</v>
      </c>
      <c r="X16" s="3" t="s">
        <v>44</v>
      </c>
      <c r="Y16" s="2">
        <v>0</v>
      </c>
      <c r="Z16" s="3" t="s">
        <v>43</v>
      </c>
    </row>
    <row r="17" spans="1:26" x14ac:dyDescent="0.3">
      <c r="A17" s="18">
        <v>33</v>
      </c>
      <c r="B17" s="16">
        <v>1.5679999999999999E-4</v>
      </c>
      <c r="D17" s="93">
        <f ca="1">Simulador!C48</f>
        <v>15</v>
      </c>
      <c r="E17" s="1">
        <f t="shared" ca="1" si="0"/>
        <v>46620</v>
      </c>
      <c r="F17" s="1">
        <f t="shared" ca="1" si="1"/>
        <v>37</v>
      </c>
      <c r="G17" s="124">
        <f ca="1">IF('Simulador Bradesco'!D30&lt;&gt;Parâmetros!B17,VLOOKUP('Base de Dados'!F17,'Base de Dados'!$A$2:$B$64,2,FALSE),VLOOKUP(F17&amp;'Simulador Bradesco'!$I$13,$A$2:$B$600,2,FALSE))</f>
        <v>1.7760000000000001E-4</v>
      </c>
      <c r="H17" s="1">
        <f ca="1">Simulador!A48</f>
        <v>46620</v>
      </c>
      <c r="L17" s="1">
        <f ca="1">IF(Simulador!A47="",Simulador!$C$8,Simulador!A47)</f>
        <v>46589</v>
      </c>
      <c r="M17" s="4">
        <f ca="1">IF(Simulador!Q47="",0,Simulador!Q47*-1)</f>
        <v>-9084.813472342903</v>
      </c>
      <c r="N17" t="str">
        <f>CONCATENATE(Parâmetros!D23,Parâmetros!C8,Parâmetros!D3)</f>
        <v>Poupança+RESIDENCIALPRICE</v>
      </c>
      <c r="O17" s="65">
        <v>0.15</v>
      </c>
      <c r="P17" s="65">
        <f>Parâmetros!F8</f>
        <v>0.8</v>
      </c>
      <c r="R17" s="15">
        <f>Parâmetros!L8</f>
        <v>1021.25</v>
      </c>
      <c r="S17" s="18">
        <v>240</v>
      </c>
      <c r="T17" s="18">
        <f>Parâmetros!J8</f>
        <v>420</v>
      </c>
      <c r="U17"/>
      <c r="V17"/>
      <c r="W17" s="2">
        <f>IF(SUM(Parâmetros!$C$23+Parâmetros!$C$24)&gt;9.17,9.17,SUM(Parâmetros!$C$23+Parâmetros!$C$24))</f>
        <v>0.1399</v>
      </c>
      <c r="X17" s="3" t="s">
        <v>44</v>
      </c>
      <c r="Y17" s="2">
        <v>0</v>
      </c>
      <c r="Z17" s="3" t="s">
        <v>43</v>
      </c>
    </row>
    <row r="18" spans="1:26" x14ac:dyDescent="0.3">
      <c r="A18" s="18">
        <v>34</v>
      </c>
      <c r="B18" s="16">
        <v>1.5679999999999999E-4</v>
      </c>
      <c r="D18" s="93">
        <f ca="1">Simulador!C49</f>
        <v>16</v>
      </c>
      <c r="E18" s="1">
        <f t="shared" ca="1" si="0"/>
        <v>46651</v>
      </c>
      <c r="F18" s="1">
        <f t="shared" ca="1" si="1"/>
        <v>38</v>
      </c>
      <c r="G18" s="124">
        <f ca="1">IF('Simulador Bradesco'!D31&lt;&gt;Parâmetros!B18,VLOOKUP('Base de Dados'!F18,'Base de Dados'!$A$2:$B$64,2,FALSE),VLOOKUP(F18&amp;'Simulador Bradesco'!$I$13,$A$2:$B$600,2,FALSE))</f>
        <v>1.8139999999999999E-4</v>
      </c>
      <c r="H18" s="1">
        <f ca="1">Simulador!A49</f>
        <v>46651</v>
      </c>
      <c r="L18" s="1">
        <f ca="1">IF(Simulador!A48="",Simulador!$C$8,Simulador!A48)</f>
        <v>46620</v>
      </c>
      <c r="M18" s="4">
        <f ca="1">IF(Simulador!Q48="",0,Simulador!Q48*-1)</f>
        <v>-9081.8665959004102</v>
      </c>
      <c r="N18" t="str">
        <f>CONCATENATE(Parâmetros!D23,Parâmetros!C9,Parâmetros!D2)</f>
        <v>Poupança+RESIDENCIAL &gt; 225SAC</v>
      </c>
      <c r="O18" s="65">
        <v>0.3</v>
      </c>
      <c r="P18" s="65">
        <f>Parâmetros!O9</f>
        <v>0.8</v>
      </c>
      <c r="R18" s="15">
        <f>Parâmetros!L9</f>
        <v>2114.0300000000002</v>
      </c>
      <c r="S18" s="18">
        <v>240</v>
      </c>
      <c r="T18" s="18">
        <f>Parâmetros!J9</f>
        <v>420</v>
      </c>
      <c r="U18"/>
      <c r="V18"/>
      <c r="W18" s="2">
        <f>IF(SUM(Parâmetros!$C$23+Parâmetros!$C$24)&gt;9.17,9.17,SUM(Parâmetros!$C$23+Parâmetros!$C$24))</f>
        <v>0.1399</v>
      </c>
      <c r="X18" s="3" t="s">
        <v>44</v>
      </c>
      <c r="Y18" s="2">
        <v>0</v>
      </c>
      <c r="Z18" s="3" t="s">
        <v>43</v>
      </c>
    </row>
    <row r="19" spans="1:26" x14ac:dyDescent="0.3">
      <c r="A19" s="18">
        <v>35</v>
      </c>
      <c r="B19" s="16">
        <v>1.5679999999999999E-4</v>
      </c>
      <c r="D19" s="93">
        <f ca="1">Simulador!C50</f>
        <v>17</v>
      </c>
      <c r="E19" s="1">
        <f t="shared" ca="1" si="0"/>
        <v>46681</v>
      </c>
      <c r="F19" s="1">
        <f t="shared" ca="1" si="1"/>
        <v>38</v>
      </c>
      <c r="G19" s="124">
        <f ca="1">IF('Simulador Bradesco'!D32&lt;&gt;Parâmetros!B19,VLOOKUP('Base de Dados'!F19,'Base de Dados'!$A$2:$B$64,2,FALSE),VLOOKUP(F19&amp;'Simulador Bradesco'!$I$13,$A$2:$B$600,2,FALSE))</f>
        <v>1.8139999999999999E-4</v>
      </c>
      <c r="H19" s="1">
        <f ca="1">Simulador!A50</f>
        <v>46681</v>
      </c>
      <c r="L19" s="1">
        <f ca="1">IF(Simulador!A49="",Simulador!$C$8,Simulador!A49)</f>
        <v>46651</v>
      </c>
      <c r="M19" s="4">
        <f ca="1">IF(Simulador!Q49="",0,Simulador!Q49*-1)</f>
        <v>-9084.5385266600697</v>
      </c>
      <c r="N19" t="str">
        <f>CONCATENATE(Parâmetros!D23,Parâmetros!C9,Parâmetros!D3)</f>
        <v>Poupança+RESIDENCIAL &gt; 225PRICE</v>
      </c>
      <c r="O19" s="65">
        <v>0.15</v>
      </c>
      <c r="P19" s="65">
        <f>Parâmetros!F9</f>
        <v>0.8</v>
      </c>
      <c r="R19" s="15">
        <f>Parâmetros!L9</f>
        <v>2114.0300000000002</v>
      </c>
      <c r="S19" s="18">
        <v>240</v>
      </c>
      <c r="T19" s="18">
        <f>Parâmetros!J9</f>
        <v>420</v>
      </c>
      <c r="U19"/>
      <c r="V19"/>
      <c r="W19" s="2">
        <f>IF(SUM(Parâmetros!$C$23+Parâmetros!$C$24)&gt;9.17,9.17,SUM(Parâmetros!$C$23+Parâmetros!$C$24))</f>
        <v>0.1399</v>
      </c>
      <c r="X19" s="3" t="s">
        <v>44</v>
      </c>
      <c r="Y19" s="2">
        <v>0</v>
      </c>
      <c r="Z19" s="3" t="s">
        <v>43</v>
      </c>
    </row>
    <row r="20" spans="1:26" x14ac:dyDescent="0.3">
      <c r="A20" s="18">
        <v>36</v>
      </c>
      <c r="B20" s="16">
        <v>1.8139999999999999E-4</v>
      </c>
      <c r="D20" s="93">
        <f ca="1">Simulador!C51</f>
        <v>18</v>
      </c>
      <c r="E20" s="1">
        <f t="shared" ca="1" si="0"/>
        <v>46712</v>
      </c>
      <c r="F20" s="1">
        <f t="shared" ca="1" si="1"/>
        <v>38</v>
      </c>
      <c r="G20" s="124">
        <f ca="1">IF('Simulador Bradesco'!D33&lt;&gt;Parâmetros!B20,VLOOKUP('Base de Dados'!F20,'Base de Dados'!$A$2:$B$64,2,FALSE),VLOOKUP(F20&amp;'Simulador Bradesco'!$I$13,$A$2:$B$600,2,FALSE))</f>
        <v>1.7760000000000001E-4</v>
      </c>
      <c r="H20" s="1">
        <f ca="1">Simulador!A51</f>
        <v>46712</v>
      </c>
      <c r="L20" s="1">
        <f ca="1">IF(Simulador!A50="",Simulador!$C$8,Simulador!A50)</f>
        <v>46681</v>
      </c>
      <c r="M20" s="4">
        <f ca="1">IF(Simulador!Q50="",0,Simulador!Q50*-1)</f>
        <v>-9084.3987872872476</v>
      </c>
      <c r="N20" t="str">
        <f>CONCATENATE(Parâmetros!D23,Parâmetros!C15,Parâmetros!D2)</f>
        <v>Poupança+CHH PJSAC</v>
      </c>
      <c r="O20" s="66" t="s">
        <v>36</v>
      </c>
      <c r="P20" s="65">
        <v>0.8</v>
      </c>
      <c r="R20" s="15">
        <f>Parâmetros!L15</f>
        <v>2114.0300000000002</v>
      </c>
      <c r="S20" s="18">
        <f>Parâmetros!I15</f>
        <v>121</v>
      </c>
      <c r="T20" s="18">
        <f>Parâmetros!J15</f>
        <v>240</v>
      </c>
      <c r="U20"/>
      <c r="V20"/>
      <c r="W20" s="2">
        <f>IF(SUM(Parâmetros!$C$23+Parâmetros!$C$24)&gt;9.17,9.17,SUM(Parâmetros!$C$23+Parâmetros!$C$24))</f>
        <v>0.1399</v>
      </c>
      <c r="X20" s="3" t="s">
        <v>43</v>
      </c>
      <c r="Y20" s="2">
        <f>Parâmetros!I4</f>
        <v>3.3799999999999997E-2</v>
      </c>
      <c r="Z20" s="3" t="s">
        <v>44</v>
      </c>
    </row>
    <row r="21" spans="1:26" x14ac:dyDescent="0.3">
      <c r="A21" s="18">
        <v>37</v>
      </c>
      <c r="B21" s="16">
        <v>1.8139999999999999E-4</v>
      </c>
      <c r="D21" s="93">
        <f ca="1">Simulador!C52</f>
        <v>19</v>
      </c>
      <c r="E21" s="1">
        <f t="shared" ca="1" si="0"/>
        <v>46742</v>
      </c>
      <c r="F21" s="1">
        <f t="shared" ca="1" si="1"/>
        <v>38</v>
      </c>
      <c r="G21" s="124">
        <f ca="1">IF('Simulador Bradesco'!D34&lt;&gt;Parâmetros!B21,VLOOKUP('Base de Dados'!F21,'Base de Dados'!$A$2:$B$64,2,FALSE),VLOOKUP(F21&amp;'Simulador Bradesco'!$I$13,$A$2:$B$600,2,FALSE))</f>
        <v>1.8139999999999999E-4</v>
      </c>
      <c r="H21" s="1">
        <f ca="1">Simulador!A52</f>
        <v>46742</v>
      </c>
      <c r="L21" s="1">
        <f ca="1">IF(Simulador!A51="",Simulador!$C$8,Simulador!A51)</f>
        <v>46712</v>
      </c>
      <c r="M21" s="4">
        <f ca="1">IF(Simulador!Q51="",0,Simulador!Q51*-1)</f>
        <v>-9081.4561433491399</v>
      </c>
      <c r="N21" t="str">
        <f>CONCATENATE(Parâmetros!D23,Parâmetros!C15,Parâmetros!D3)</f>
        <v>Poupança+CHH PJPRICE</v>
      </c>
      <c r="O21" s="66" t="s">
        <v>36</v>
      </c>
      <c r="P21" s="65">
        <v>0.8</v>
      </c>
      <c r="R21" s="15">
        <f>Parâmetros!L15</f>
        <v>2114.0300000000002</v>
      </c>
      <c r="S21" s="18">
        <f>Parâmetros!I15</f>
        <v>121</v>
      </c>
      <c r="T21" s="18">
        <f>Parâmetros!J15</f>
        <v>240</v>
      </c>
      <c r="U21"/>
      <c r="V21"/>
      <c r="W21" s="2">
        <f>IF(SUM(Parâmetros!$C$23+Parâmetros!$C$24)&gt;9.17,9.17,SUM(Parâmetros!$C$23+Parâmetros!$C$24))</f>
        <v>0.1399</v>
      </c>
      <c r="X21" s="3" t="s">
        <v>43</v>
      </c>
      <c r="Y21" s="2">
        <f>Parâmetros!I4</f>
        <v>3.3799999999999997E-2</v>
      </c>
      <c r="Z21" s="3" t="s">
        <v>44</v>
      </c>
    </row>
    <row r="22" spans="1:26" x14ac:dyDescent="0.3">
      <c r="A22" s="18">
        <v>38</v>
      </c>
      <c r="B22" s="16">
        <v>1.8139999999999999E-4</v>
      </c>
      <c r="D22" s="93">
        <f ca="1">Simulador!C53</f>
        <v>20</v>
      </c>
      <c r="E22" s="1">
        <f t="shared" ca="1" si="0"/>
        <v>46773</v>
      </c>
      <c r="F22" s="1">
        <f t="shared" ca="1" si="1"/>
        <v>38</v>
      </c>
      <c r="G22" s="124">
        <f ca="1">IF('Simulador Bradesco'!D35&lt;&gt;Parâmetros!B22,VLOOKUP('Base de Dados'!F22,'Base de Dados'!$A$2:$B$64,2,FALSE),VLOOKUP(F22&amp;'Simulador Bradesco'!$I$13,$A$2:$B$600,2,FALSE))</f>
        <v>1.8139999999999999E-4</v>
      </c>
      <c r="H22" s="1">
        <f ca="1">Simulador!A53</f>
        <v>46773</v>
      </c>
      <c r="L22" s="1">
        <f ca="1">IF(Simulador!A52="",Simulador!$C$8,Simulador!A52)</f>
        <v>46742</v>
      </c>
      <c r="M22" s="4">
        <f ca="1">IF(Simulador!Q52="",0,Simulador!Q52*-1)</f>
        <v>-9084.1146922853331</v>
      </c>
      <c r="N22" t="str">
        <f>Parâmetros!$D$22&amp;Parâmetros!C7&amp;Parâmetros!$D$2&amp;Parâmetros!$G$22</f>
        <v>Repasse/AquisiçãoLOTESACPRIME</v>
      </c>
      <c r="O22" s="94">
        <f>Parâmetros!G7</f>
        <v>0.2</v>
      </c>
      <c r="P22" s="94">
        <f>Parâmetros!$E$7</f>
        <v>0.7</v>
      </c>
      <c r="R22" s="15">
        <f>Parâmetros!$L$7</f>
        <v>3400</v>
      </c>
      <c r="S22" s="18">
        <f>Parâmetros!$I$7</f>
        <v>121</v>
      </c>
      <c r="T22" s="18">
        <f>Parâmetros!$J$7</f>
        <v>240</v>
      </c>
      <c r="W22" s="2">
        <f>Parâmetros!$P$7</f>
        <v>0.1399</v>
      </c>
      <c r="X22" s="3" t="s">
        <v>43</v>
      </c>
      <c r="Y22" s="2">
        <f>IF(X22="SIM",3.38%,0%)</f>
        <v>3.3799999999999997E-2</v>
      </c>
      <c r="Z22" s="3" t="s">
        <v>43</v>
      </c>
    </row>
    <row r="23" spans="1:26" x14ac:dyDescent="0.3">
      <c r="A23" s="18">
        <v>39</v>
      </c>
      <c r="B23" s="16">
        <v>2.2369999999999999E-4</v>
      </c>
      <c r="D23" s="93">
        <f ca="1">Simulador!C54</f>
        <v>21</v>
      </c>
      <c r="E23" s="1">
        <f t="shared" ca="1" si="0"/>
        <v>46804</v>
      </c>
      <c r="F23" s="1">
        <f t="shared" ca="1" si="1"/>
        <v>38</v>
      </c>
      <c r="G23" s="124">
        <f ca="1">IF('Simulador Bradesco'!D36&lt;&gt;Parâmetros!B23,VLOOKUP('Base de Dados'!F23,'Base de Dados'!$A$2:$B$64,2,FALSE),VLOOKUP(F23&amp;'Simulador Bradesco'!$I$13,$A$2:$B$600,2,FALSE))</f>
        <v>1.8139999999999999E-4</v>
      </c>
      <c r="H23" s="1">
        <f ca="1">Simulador!A54</f>
        <v>46804</v>
      </c>
      <c r="L23" s="1">
        <f ca="1">IF(Simulador!A53="",Simulador!$C$8,Simulador!A53)</f>
        <v>46773</v>
      </c>
      <c r="M23" s="4">
        <f ca="1">IF(Simulador!Q53="",0,Simulador!Q53*-1)</f>
        <v>-9083.9703028300064</v>
      </c>
      <c r="O23" s="94">
        <f>Parâmetros!G8</f>
        <v>0.3</v>
      </c>
      <c r="P23" s="94">
        <f>Parâmetros!$E$8</f>
        <v>0.8</v>
      </c>
      <c r="R23" s="15">
        <f>Parâmetros!$L$8</f>
        <v>1021.25</v>
      </c>
      <c r="S23" s="18">
        <f>Parâmetros!$I$8</f>
        <v>121</v>
      </c>
      <c r="T23" s="18">
        <f>Parâmetros!$J$8</f>
        <v>420</v>
      </c>
      <c r="W23" s="2">
        <f>Parâmetros!$P$8</f>
        <v>0</v>
      </c>
      <c r="X23" s="3" t="s">
        <v>44</v>
      </c>
      <c r="Y23" s="2">
        <f t="shared" ref="Y23:Y71" si="2">IF(X23="SIM",3.38%,0%)</f>
        <v>0</v>
      </c>
      <c r="Z23" s="3" t="s">
        <v>43</v>
      </c>
    </row>
    <row r="24" spans="1:26" x14ac:dyDescent="0.3">
      <c r="A24" s="18">
        <v>40</v>
      </c>
      <c r="B24" s="16">
        <v>2.2369999999999999E-4</v>
      </c>
      <c r="D24" s="93">
        <f ca="1">Simulador!C55</f>
        <v>22</v>
      </c>
      <c r="E24" s="1">
        <f t="shared" ca="1" si="0"/>
        <v>46833</v>
      </c>
      <c r="F24" s="1">
        <f t="shared" ca="1" si="1"/>
        <v>38</v>
      </c>
      <c r="G24" s="124">
        <f ca="1">IF('Simulador Bradesco'!D37&lt;&gt;Parâmetros!B24,VLOOKUP('Base de Dados'!F24,'Base de Dados'!$A$2:$B$64,2,FALSE),VLOOKUP(F24&amp;'Simulador Bradesco'!$I$13,$A$2:$B$600,2,FALSE))</f>
        <v>1.8139999999999999E-4</v>
      </c>
      <c r="H24" s="1">
        <f ca="1">Simulador!A55</f>
        <v>46833</v>
      </c>
      <c r="L24" s="1">
        <f ca="1">IF(Simulador!A54="",Simulador!$C$8,Simulador!A54)</f>
        <v>46804</v>
      </c>
      <c r="M24" s="4">
        <f ca="1">IF(Simulador!Q54="",0,Simulador!Q54*-1)</f>
        <v>-9083.8243292113348</v>
      </c>
      <c r="N24" t="str">
        <f>Parâmetros!$D$22&amp;Parâmetros!C9&amp;Parâmetros!$D$2&amp;Parâmetros!$G$22</f>
        <v>Repasse/AquisiçãoRESIDENCIAL &gt; 225SACPRIME</v>
      </c>
      <c r="O24" s="94">
        <f>Parâmetros!G9</f>
        <v>0.3</v>
      </c>
      <c r="P24" s="94">
        <f>Parâmetros!$E$9</f>
        <v>0.8</v>
      </c>
      <c r="R24" s="15">
        <f>Parâmetros!$L$9</f>
        <v>2114.0300000000002</v>
      </c>
      <c r="S24" s="18">
        <f>Parâmetros!$I$9</f>
        <v>121</v>
      </c>
      <c r="T24" s="18">
        <f>Parâmetros!$J$9</f>
        <v>420</v>
      </c>
      <c r="W24" s="2">
        <f>Parâmetros!$P$9</f>
        <v>0.123</v>
      </c>
      <c r="X24" s="3" t="s">
        <v>44</v>
      </c>
      <c r="Y24" s="2">
        <f t="shared" si="2"/>
        <v>0</v>
      </c>
      <c r="Z24" s="3" t="s">
        <v>43</v>
      </c>
    </row>
    <row r="25" spans="1:26" x14ac:dyDescent="0.3">
      <c r="A25" s="18">
        <v>41</v>
      </c>
      <c r="B25" s="16">
        <v>2.2369999999999999E-4</v>
      </c>
      <c r="D25" s="93">
        <f ca="1">Simulador!C56</f>
        <v>23</v>
      </c>
      <c r="E25" s="1">
        <f t="shared" ca="1" si="0"/>
        <v>46864</v>
      </c>
      <c r="F25" s="1">
        <f t="shared" ca="1" si="1"/>
        <v>38</v>
      </c>
      <c r="G25" s="124">
        <f ca="1">IF('Simulador Bradesco'!D38&lt;&gt;Parâmetros!B25,VLOOKUP('Base de Dados'!F25,'Base de Dados'!$A$2:$B$64,2,FALSE),VLOOKUP(F25&amp;'Simulador Bradesco'!$I$13,$A$2:$B$600,2,FALSE))</f>
        <v>1.7760000000000001E-4</v>
      </c>
      <c r="H25" s="1">
        <f ca="1">Simulador!A56</f>
        <v>46864</v>
      </c>
      <c r="L25" s="1">
        <f ca="1">IF(Simulador!A55="",Simulador!$C$8,Simulador!A55)</f>
        <v>46833</v>
      </c>
      <c r="M25" s="4">
        <f ca="1">IF(Simulador!Q55="",0,Simulador!Q55*-1)</f>
        <v>-9083.6767540487326</v>
      </c>
      <c r="N25" t="str">
        <f>Parâmetros!$D$22&amp;Parâmetros!C10&amp;Parâmetros!$D$2&amp;Parâmetros!$G$22</f>
        <v>Repasse/AquisiçãoRESIDENCIALSACPRIME</v>
      </c>
      <c r="O25" s="94">
        <f>Parâmetros!G10</f>
        <v>0.3</v>
      </c>
      <c r="P25" s="94">
        <f>Parâmetros!$E$10</f>
        <v>0.8</v>
      </c>
      <c r="R25" s="15">
        <f>Parâmetros!$L$10</f>
        <v>2114.0300000000002</v>
      </c>
      <c r="S25" s="18">
        <f>Parâmetros!$I$10</f>
        <v>121</v>
      </c>
      <c r="T25" s="18">
        <f>Parâmetros!$J$10</f>
        <v>420</v>
      </c>
      <c r="W25" s="2">
        <f>Parâmetros!$P$10</f>
        <v>0.123</v>
      </c>
      <c r="X25" s="3" t="s">
        <v>44</v>
      </c>
      <c r="Y25" s="2">
        <f t="shared" si="2"/>
        <v>0</v>
      </c>
      <c r="Z25" s="3" t="s">
        <v>43</v>
      </c>
    </row>
    <row r="26" spans="1:26" x14ac:dyDescent="0.3">
      <c r="A26" s="18">
        <v>42</v>
      </c>
      <c r="B26" s="16">
        <v>3.1690000000000001E-4</v>
      </c>
      <c r="D26" s="93">
        <f ca="1">Simulador!C57</f>
        <v>24</v>
      </c>
      <c r="E26" s="1">
        <f t="shared" ca="1" si="0"/>
        <v>46894</v>
      </c>
      <c r="F26" s="1">
        <f t="shared" ca="1" si="1"/>
        <v>38</v>
      </c>
      <c r="G26" s="124">
        <f ca="1">IF('Simulador Bradesco'!D39&lt;&gt;Parâmetros!B26,VLOOKUP('Base de Dados'!F26,'Base de Dados'!$A$2:$B$64,2,FALSE),VLOOKUP(F26&amp;'Simulador Bradesco'!$I$13,$A$2:$B$600,2,FALSE))</f>
        <v>1.8139999999999999E-4</v>
      </c>
      <c r="H26" s="1">
        <f ca="1">Simulador!A57</f>
        <v>46894</v>
      </c>
      <c r="L26" s="1">
        <f ca="1">IF(Simulador!A56="",Simulador!$C$8,Simulador!A56)</f>
        <v>46864</v>
      </c>
      <c r="M26" s="4">
        <f ca="1">IF(Simulador!Q56="",0,Simulador!Q56*-1)</f>
        <v>-9080.7414795800705</v>
      </c>
      <c r="N26" t="str">
        <f>Parâmetros!$D$22&amp;Parâmetros!C11&amp;Parâmetros!$D$2&amp;Parâmetros!$G$22</f>
        <v>Repasse/AquisiçãoCOMERCIALSACPRIME</v>
      </c>
      <c r="O26" s="94">
        <f>Parâmetros!G11</f>
        <v>0.3</v>
      </c>
      <c r="P26" s="94">
        <f>Parâmetros!$E$11</f>
        <v>0.8</v>
      </c>
      <c r="R26" s="15">
        <f>Parâmetros!$L$11</f>
        <v>3400</v>
      </c>
      <c r="S26" s="18">
        <f>Parâmetros!$I$11</f>
        <v>121</v>
      </c>
      <c r="T26" s="18">
        <f>Parâmetros!$J$11</f>
        <v>240</v>
      </c>
      <c r="W26" s="2">
        <f>Parâmetros!$P$11</f>
        <v>0.1399</v>
      </c>
      <c r="X26" s="3" t="s">
        <v>43</v>
      </c>
      <c r="Y26" s="2">
        <f t="shared" si="2"/>
        <v>3.3799999999999997E-2</v>
      </c>
      <c r="Z26" s="3" t="s">
        <v>43</v>
      </c>
    </row>
    <row r="27" spans="1:26" x14ac:dyDescent="0.3">
      <c r="A27" s="18">
        <v>43</v>
      </c>
      <c r="B27" s="16">
        <v>3.1690000000000001E-4</v>
      </c>
      <c r="D27" s="93">
        <f ca="1">Simulador!C58</f>
        <v>25</v>
      </c>
      <c r="E27" s="1">
        <f t="shared" ca="1" si="0"/>
        <v>46925</v>
      </c>
      <c r="F27" s="1">
        <f t="shared" ca="1" si="1"/>
        <v>38</v>
      </c>
      <c r="G27" s="124">
        <f ca="1">IF('Simulador Bradesco'!D40&lt;&gt;Parâmetros!B27,VLOOKUP('Base de Dados'!F27,'Base de Dados'!$A$2:$B$64,2,FALSE),VLOOKUP(F27&amp;'Simulador Bradesco'!$I$13,$A$2:$B$600,2,FALSE))</f>
        <v>1.8139999999999999E-4</v>
      </c>
      <c r="H27" s="1">
        <f ca="1">Simulador!A58</f>
        <v>46925</v>
      </c>
      <c r="L27" s="1">
        <f ca="1">IF(Simulador!A57="",Simulador!$C$8,Simulador!A57)</f>
        <v>46894</v>
      </c>
      <c r="M27" s="4">
        <f ca="1">IF(Simulador!Q57="",0,Simulador!Q57*-1)</f>
        <v>-9083.3767286138409</v>
      </c>
      <c r="N27" t="str">
        <f>Parâmetros!$D$22&amp;Parâmetros!C7&amp;Parâmetros!$D$3&amp;Parâmetros!$G$22</f>
        <v>Repasse/AquisiçãoLOTEPRICEPRIME</v>
      </c>
      <c r="O27" s="3">
        <f>Parâmetros!H7</f>
        <v>0.15</v>
      </c>
      <c r="P27" s="79">
        <f>Parâmetros!$F$7</f>
        <v>0.7</v>
      </c>
      <c r="R27" s="15">
        <f>Parâmetros!$L$7</f>
        <v>3400</v>
      </c>
      <c r="S27" s="18">
        <f>Parâmetros!$I$7</f>
        <v>121</v>
      </c>
      <c r="T27" s="18">
        <f>Parâmetros!$J$7</f>
        <v>240</v>
      </c>
      <c r="W27" s="2">
        <f>Parâmetros!$P$7</f>
        <v>0.1399</v>
      </c>
      <c r="X27" s="3" t="s">
        <v>43</v>
      </c>
      <c r="Y27" s="2">
        <f t="shared" si="2"/>
        <v>3.3799999999999997E-2</v>
      </c>
      <c r="Z27" s="3" t="s">
        <v>43</v>
      </c>
    </row>
    <row r="28" spans="1:26" x14ac:dyDescent="0.3">
      <c r="A28" s="18">
        <v>44</v>
      </c>
      <c r="B28" s="16">
        <v>3.1690000000000001E-4</v>
      </c>
      <c r="D28" s="93">
        <f ca="1">Simulador!C59</f>
        <v>26</v>
      </c>
      <c r="E28" s="1">
        <f t="shared" ca="1" si="0"/>
        <v>46955</v>
      </c>
      <c r="F28" s="1">
        <f t="shared" ca="1" si="1"/>
        <v>38</v>
      </c>
      <c r="G28" s="124">
        <f ca="1">IF('Simulador Bradesco'!D41&lt;&gt;Parâmetros!B28,VLOOKUP('Base de Dados'!F28,'Base de Dados'!$A$2:$B$64,2,FALSE),VLOOKUP(F28&amp;'Simulador Bradesco'!$I$13,$A$2:$B$600,2,FALSE))</f>
        <v>1.8139999999999999E-4</v>
      </c>
      <c r="H28" s="1">
        <f ca="1">Simulador!A59</f>
        <v>46955</v>
      </c>
      <c r="L28" s="1">
        <f ca="1">IF(Simulador!A58="",Simulador!$C$8,Simulador!A58)</f>
        <v>46925</v>
      </c>
      <c r="M28" s="4">
        <f ca="1">IF(Simulador!Q58="",0,Simulador!Q58*-1)</f>
        <v>-9083.2242426185348</v>
      </c>
      <c r="O28" s="3">
        <f>Parâmetros!H8</f>
        <v>0.15</v>
      </c>
      <c r="P28" s="79">
        <f>Parâmetros!$F$8</f>
        <v>0.8</v>
      </c>
      <c r="R28" s="15">
        <f>Parâmetros!$L$8</f>
        <v>1021.25</v>
      </c>
      <c r="S28" s="18">
        <f>Parâmetros!$I$8</f>
        <v>121</v>
      </c>
      <c r="T28" s="18">
        <f>Parâmetros!$J$8</f>
        <v>420</v>
      </c>
      <c r="W28" s="2">
        <f>Parâmetros!$P$8</f>
        <v>0</v>
      </c>
      <c r="X28" s="3" t="s">
        <v>44</v>
      </c>
      <c r="Y28" s="2">
        <f t="shared" si="2"/>
        <v>0</v>
      </c>
      <c r="Z28" s="3" t="s">
        <v>43</v>
      </c>
    </row>
    <row r="29" spans="1:26" x14ac:dyDescent="0.3">
      <c r="A29" s="18">
        <v>45</v>
      </c>
      <c r="B29" s="16">
        <v>4.3520000000000001E-4</v>
      </c>
      <c r="D29" s="93">
        <f ca="1">Simulador!C60</f>
        <v>27</v>
      </c>
      <c r="E29" s="1">
        <f t="shared" ca="1" si="0"/>
        <v>46986</v>
      </c>
      <c r="F29" s="1">
        <f t="shared" ca="1" si="1"/>
        <v>38</v>
      </c>
      <c r="G29" s="124">
        <f ca="1">IF('Simulador Bradesco'!D42&lt;&gt;Parâmetros!B29,VLOOKUP('Base de Dados'!F29,'Base de Dados'!$A$2:$B$64,2,FALSE),VLOOKUP(F29&amp;'Simulador Bradesco'!$I$13,$A$2:$B$600,2,FALSE))</f>
        <v>1.8139999999999999E-4</v>
      </c>
      <c r="H29" s="1">
        <f ca="1">Simulador!A60</f>
        <v>46986</v>
      </c>
      <c r="L29" s="1">
        <f ca="1">IF(Simulador!A59="",Simulador!$C$8,Simulador!A59)</f>
        <v>46955</v>
      </c>
      <c r="M29" s="4">
        <f ca="1">IF(Simulador!Q59="",0,Simulador!Q59*-1)</f>
        <v>-9083.0700836290089</v>
      </c>
      <c r="N29" t="str">
        <f>Parâmetros!$D$22&amp;Parâmetros!C9&amp;Parâmetros!$D$3&amp;Parâmetros!$G$22</f>
        <v>Repasse/AquisiçãoRESIDENCIAL &gt; 225PRICEPRIME</v>
      </c>
      <c r="O29" s="3">
        <f>Parâmetros!H9</f>
        <v>0.15</v>
      </c>
      <c r="P29" s="79">
        <f>Parâmetros!$F$9</f>
        <v>0.8</v>
      </c>
      <c r="R29" s="15">
        <f>Parâmetros!$L$9</f>
        <v>2114.0300000000002</v>
      </c>
      <c r="S29" s="18">
        <f>Parâmetros!$I$9</f>
        <v>121</v>
      </c>
      <c r="T29" s="18">
        <f>Parâmetros!$J$9</f>
        <v>420</v>
      </c>
      <c r="W29" s="2">
        <f>Parâmetros!$P$9</f>
        <v>0.123</v>
      </c>
      <c r="X29" s="3" t="s">
        <v>44</v>
      </c>
      <c r="Y29" s="2">
        <f t="shared" si="2"/>
        <v>0</v>
      </c>
      <c r="Z29" s="3" t="s">
        <v>43</v>
      </c>
    </row>
    <row r="30" spans="1:26" x14ac:dyDescent="0.3">
      <c r="A30" s="18">
        <v>46</v>
      </c>
      <c r="B30" s="16">
        <v>4.3520000000000001E-4</v>
      </c>
      <c r="D30" s="93">
        <f ca="1">Simulador!C61</f>
        <v>28</v>
      </c>
      <c r="E30" s="1">
        <f t="shared" ca="1" si="0"/>
        <v>47017</v>
      </c>
      <c r="F30" s="1">
        <f t="shared" ca="1" si="1"/>
        <v>39</v>
      </c>
      <c r="G30" s="124">
        <f ca="1">IF('Simulador Bradesco'!D43&lt;&gt;Parâmetros!B30,VLOOKUP('Base de Dados'!F30,'Base de Dados'!$A$2:$B$64,2,FALSE),VLOOKUP(F30&amp;'Simulador Bradesco'!$I$13,$A$2:$B$600,2,FALSE))</f>
        <v>2.2369999999999999E-4</v>
      </c>
      <c r="H30" s="1">
        <f ca="1">Simulador!A61</f>
        <v>47017</v>
      </c>
      <c r="L30" s="1">
        <f ca="1">IF(Simulador!A60="",Simulador!$C$8,Simulador!A60)</f>
        <v>46986</v>
      </c>
      <c r="M30" s="4">
        <f ca="1">IF(Simulador!Q60="",0,Simulador!Q60*-1)</f>
        <v>-9082.9142332900719</v>
      </c>
      <c r="N30" t="str">
        <f>Parâmetros!$D$22&amp;Parâmetros!C10&amp;Parâmetros!$D$3&amp;Parâmetros!$G$22</f>
        <v>Repasse/AquisiçãoRESIDENCIALPRICEPRIME</v>
      </c>
      <c r="O30" s="3">
        <f>Parâmetros!H10</f>
        <v>0.15</v>
      </c>
      <c r="P30" s="79">
        <f>Parâmetros!$F$10</f>
        <v>0.8</v>
      </c>
      <c r="R30" s="15">
        <f>Parâmetros!$L$10</f>
        <v>2114.0300000000002</v>
      </c>
      <c r="S30" s="18">
        <f>Parâmetros!$I$10</f>
        <v>121</v>
      </c>
      <c r="T30" s="18">
        <f>Parâmetros!$J$10</f>
        <v>420</v>
      </c>
      <c r="W30" s="2">
        <f>Parâmetros!$P$10</f>
        <v>0.123</v>
      </c>
      <c r="X30" s="3" t="s">
        <v>44</v>
      </c>
      <c r="Y30" s="2">
        <f t="shared" si="2"/>
        <v>0</v>
      </c>
      <c r="Z30" s="3" t="s">
        <v>43</v>
      </c>
    </row>
    <row r="31" spans="1:26" x14ac:dyDescent="0.3">
      <c r="A31" s="18">
        <v>47</v>
      </c>
      <c r="B31" s="16">
        <v>4.3520000000000001E-4</v>
      </c>
      <c r="D31" s="93">
        <f ca="1">Simulador!C62</f>
        <v>29</v>
      </c>
      <c r="E31" s="1">
        <f t="shared" ca="1" si="0"/>
        <v>47047</v>
      </c>
      <c r="F31" s="1">
        <f t="shared" ca="1" si="1"/>
        <v>39</v>
      </c>
      <c r="G31" s="124">
        <f ca="1">IF('Simulador Bradesco'!D44&lt;&gt;Parâmetros!B31,VLOOKUP('Base de Dados'!F31,'Base de Dados'!$A$2:$B$64,2,FALSE),VLOOKUP(F31&amp;'Simulador Bradesco'!$I$13,$A$2:$B$600,2,FALSE))</f>
        <v>2.2369999999999999E-4</v>
      </c>
      <c r="H31" s="1">
        <f ca="1">Simulador!A62</f>
        <v>47047</v>
      </c>
      <c r="L31" s="1">
        <f ca="1">IF(Simulador!A61="",Simulador!$C$8,Simulador!A61)</f>
        <v>47017</v>
      </c>
      <c r="M31" s="4">
        <f ca="1">IF(Simulador!Q61="",0,Simulador!Q61*-1)</f>
        <v>-9113.5903843979886</v>
      </c>
      <c r="N31" t="str">
        <f>Parâmetros!$D$22&amp;Parâmetros!C11&amp;Parâmetros!$D$3&amp;Parâmetros!$G$22</f>
        <v>Repasse/AquisiçãoCOMERCIALPRICEPRIME</v>
      </c>
      <c r="O31" s="3">
        <f>Parâmetros!H11</f>
        <v>0.15</v>
      </c>
      <c r="P31" s="79">
        <f>Parâmetros!$F$11</f>
        <v>0.8</v>
      </c>
      <c r="R31" s="15">
        <f>Parâmetros!$L$11</f>
        <v>3400</v>
      </c>
      <c r="S31" s="18">
        <f>Parâmetros!$I$11</f>
        <v>121</v>
      </c>
      <c r="T31" s="18">
        <f>Parâmetros!$J$11</f>
        <v>240</v>
      </c>
      <c r="W31" s="2">
        <f>Parâmetros!$P$11</f>
        <v>0.1399</v>
      </c>
      <c r="X31" s="3" t="s">
        <v>43</v>
      </c>
      <c r="Y31" s="2">
        <f t="shared" si="2"/>
        <v>3.3799999999999997E-2</v>
      </c>
      <c r="Z31" s="3" t="s">
        <v>43</v>
      </c>
    </row>
    <row r="32" spans="1:26" x14ac:dyDescent="0.3">
      <c r="A32" s="18">
        <v>48</v>
      </c>
      <c r="B32" s="16">
        <v>5.8719999999999996E-4</v>
      </c>
      <c r="D32" s="93">
        <f ca="1">Simulador!C63</f>
        <v>30</v>
      </c>
      <c r="E32" s="1">
        <f t="shared" ca="1" si="0"/>
        <v>47078</v>
      </c>
      <c r="F32" s="1">
        <f t="shared" ca="1" si="1"/>
        <v>39</v>
      </c>
      <c r="G32" s="124">
        <f ca="1">IF('Simulador Bradesco'!D45&lt;&gt;Parâmetros!B32,VLOOKUP('Base de Dados'!F32,'Base de Dados'!$A$2:$B$64,2,FALSE),VLOOKUP(F32&amp;'Simulador Bradesco'!$I$13,$A$2:$B$600,2,FALSE))</f>
        <v>2.2369999999999999E-4</v>
      </c>
      <c r="H32" s="1">
        <f ca="1">Simulador!A63</f>
        <v>47078</v>
      </c>
      <c r="L32" s="1">
        <f ca="1">IF(Simulador!A62="",Simulador!$C$8,Simulador!A62)</f>
        <v>47047</v>
      </c>
      <c r="M32" s="4">
        <f ca="1">IF(Simulador!Q62="",0,Simulador!Q62*-1)</f>
        <v>-9113.393951490556</v>
      </c>
      <c r="N32" t="str">
        <f>Parâmetros!$D$22&amp;Parâmetros!C7&amp;Parâmetros!$D$2&amp;Parâmetros!$G$23</f>
        <v>Repasse/AquisiçãoLOTESACEXCLUSIVE</v>
      </c>
      <c r="O32" s="3">
        <f>Parâmetros!G7</f>
        <v>0.2</v>
      </c>
      <c r="P32" s="94">
        <f>Parâmetros!$E$7</f>
        <v>0.7</v>
      </c>
      <c r="R32" s="15">
        <f>Parâmetros!$L$7</f>
        <v>3400</v>
      </c>
      <c r="S32" s="18">
        <f>Parâmetros!$I$7</f>
        <v>121</v>
      </c>
      <c r="T32" s="18">
        <f>Parâmetros!$J$7</f>
        <v>240</v>
      </c>
      <c r="W32" s="2">
        <f>Parâmetros!$Q$7</f>
        <v>0.1399</v>
      </c>
      <c r="X32" s="3" t="s">
        <v>43</v>
      </c>
      <c r="Y32" s="2">
        <f t="shared" si="2"/>
        <v>3.3799999999999997E-2</v>
      </c>
      <c r="Z32" s="3" t="s">
        <v>43</v>
      </c>
    </row>
    <row r="33" spans="1:26" x14ac:dyDescent="0.3">
      <c r="A33" s="18">
        <v>49</v>
      </c>
      <c r="B33" s="16">
        <v>5.8719999999999996E-4</v>
      </c>
      <c r="D33" s="93">
        <f ca="1">Simulador!C64</f>
        <v>31</v>
      </c>
      <c r="E33" s="1">
        <f t="shared" ca="1" si="0"/>
        <v>47108</v>
      </c>
      <c r="F33" s="1">
        <f t="shared" ca="1" si="1"/>
        <v>39</v>
      </c>
      <c r="G33" s="124">
        <f ca="1">IF('Simulador Bradesco'!D46&lt;&gt;Parâmetros!B33,VLOOKUP('Base de Dados'!F33,'Base de Dados'!$A$2:$B$64,2,FALSE),VLOOKUP(F33&amp;'Simulador Bradesco'!$I$13,$A$2:$B$600,2,FALSE))</f>
        <v>2.2369999999999999E-4</v>
      </c>
      <c r="H33" s="1">
        <f ca="1">Simulador!A64</f>
        <v>47108</v>
      </c>
      <c r="L33" s="1">
        <f ca="1">IF(Simulador!A63="",Simulador!$C$8,Simulador!A63)</f>
        <v>47078</v>
      </c>
      <c r="M33" s="4">
        <f ca="1">IF(Simulador!Q63="",0,Simulador!Q63*-1)</f>
        <v>-9113.1953634270503</v>
      </c>
      <c r="N33" t="str">
        <f>Parâmetros!$D$22&amp;Parâmetros!C8&amp;Parâmetros!$D$2&amp;Parâmetros!$G$23</f>
        <v>Repasse/AquisiçãoRESIDENCIALSACEXCLUSIVE</v>
      </c>
      <c r="O33" s="3">
        <f>Parâmetros!G8</f>
        <v>0.3</v>
      </c>
      <c r="P33" s="94">
        <f>Parâmetros!$E$8</f>
        <v>0.8</v>
      </c>
      <c r="R33" s="15">
        <f>Parâmetros!$L$8</f>
        <v>1021.25</v>
      </c>
      <c r="S33" s="18">
        <f>Parâmetros!$I$8</f>
        <v>121</v>
      </c>
      <c r="T33" s="18">
        <f>Parâmetros!$J$8</f>
        <v>420</v>
      </c>
      <c r="W33" s="2">
        <f>Parâmetros!$Q$10</f>
        <v>0.123</v>
      </c>
      <c r="X33" s="3" t="s">
        <v>44</v>
      </c>
      <c r="Y33" s="2">
        <f t="shared" si="2"/>
        <v>0</v>
      </c>
      <c r="Z33" s="3" t="s">
        <v>43</v>
      </c>
    </row>
    <row r="34" spans="1:26" x14ac:dyDescent="0.3">
      <c r="A34" s="18">
        <v>50</v>
      </c>
      <c r="B34" s="16">
        <v>5.8719999999999996E-4</v>
      </c>
      <c r="D34" s="93">
        <f ca="1">Simulador!C65</f>
        <v>32</v>
      </c>
      <c r="E34" s="1">
        <f t="shared" ca="1" si="0"/>
        <v>47139</v>
      </c>
      <c r="F34" s="1">
        <f t="shared" ca="1" si="1"/>
        <v>39</v>
      </c>
      <c r="G34" s="124">
        <f ca="1">IF('Simulador Bradesco'!D47&lt;&gt;Parâmetros!B34,VLOOKUP('Base de Dados'!F34,'Base de Dados'!$A$2:$B$64,2,FALSE),VLOOKUP(F34&amp;'Simulador Bradesco'!$I$13,$A$2:$B$600,2,FALSE))</f>
        <v>2.2369999999999999E-4</v>
      </c>
      <c r="H34" s="1">
        <f ca="1">Simulador!A65</f>
        <v>47139</v>
      </c>
      <c r="L34" s="1">
        <f ca="1">IF(Simulador!A64="",Simulador!$C$8,Simulador!A64)</f>
        <v>47108</v>
      </c>
      <c r="M34" s="4">
        <f ca="1">IF(Simulador!Q64="",0,Simulador!Q64*-1)</f>
        <v>-9112.9945965622592</v>
      </c>
      <c r="N34" t="str">
        <f>Parâmetros!$D$22&amp;Parâmetros!C9&amp;Parâmetros!$D$2&amp;Parâmetros!$G$23</f>
        <v>Repasse/AquisiçãoRESIDENCIAL &gt; 225SACEXCLUSIVE</v>
      </c>
      <c r="O34" s="3">
        <f>Parâmetros!G9</f>
        <v>0.3</v>
      </c>
      <c r="P34" s="94">
        <f>Parâmetros!$E$9</f>
        <v>0.8</v>
      </c>
      <c r="R34" s="15">
        <f>Parâmetros!$L$9</f>
        <v>2114.0300000000002</v>
      </c>
      <c r="S34" s="18">
        <f>Parâmetros!$I$9</f>
        <v>121</v>
      </c>
      <c r="T34" s="18">
        <f>Parâmetros!$J$9</f>
        <v>420</v>
      </c>
      <c r="U34"/>
      <c r="V34"/>
      <c r="W34" s="2">
        <f>Parâmetros!$Q$9</f>
        <v>0.123</v>
      </c>
      <c r="X34" s="3" t="s">
        <v>44</v>
      </c>
      <c r="Y34" s="2">
        <f t="shared" si="2"/>
        <v>0</v>
      </c>
      <c r="Z34" s="3" t="s">
        <v>43</v>
      </c>
    </row>
    <row r="35" spans="1:26" x14ac:dyDescent="0.3">
      <c r="A35" s="18">
        <v>51</v>
      </c>
      <c r="B35" s="16">
        <v>7.6000000000000004E-4</v>
      </c>
      <c r="D35" s="93">
        <f ca="1">Simulador!C66</f>
        <v>33</v>
      </c>
      <c r="E35" s="1">
        <f t="shared" ca="1" si="0"/>
        <v>47170</v>
      </c>
      <c r="F35" s="1">
        <f t="shared" ca="1" si="1"/>
        <v>39</v>
      </c>
      <c r="G35" s="124">
        <f ca="1">IF('Simulador Bradesco'!D48&lt;&gt;Parâmetros!B35,VLOOKUP('Base de Dados'!F35,'Base de Dados'!$A$2:$B$64,2,FALSE),VLOOKUP(F35&amp;'Simulador Bradesco'!$I$13,$A$2:$B$600,2,FALSE))</f>
        <v>2.2369999999999999E-4</v>
      </c>
      <c r="H35" s="1">
        <f ca="1">Simulador!A66</f>
        <v>47170</v>
      </c>
      <c r="L35" s="1">
        <f ca="1">IF(Simulador!A65="",Simulador!$C$8,Simulador!A65)</f>
        <v>47139</v>
      </c>
      <c r="M35" s="4">
        <f ca="1">IF(Simulador!Q65="",0,Simulador!Q65*-1)</f>
        <v>-9112.7916269915495</v>
      </c>
      <c r="O35" s="3">
        <f>Parâmetros!G10</f>
        <v>0.3</v>
      </c>
      <c r="P35" s="94">
        <f>Parâmetros!$E$10</f>
        <v>0.8</v>
      </c>
      <c r="R35" s="15">
        <f>Parâmetros!$L$10</f>
        <v>2114.0300000000002</v>
      </c>
      <c r="S35" s="18">
        <f>Parâmetros!$I$10</f>
        <v>121</v>
      </c>
      <c r="T35" s="18">
        <f>Parâmetros!$J$10</f>
        <v>420</v>
      </c>
      <c r="U35"/>
      <c r="V35"/>
      <c r="W35" s="2" t="e">
        <f>Parâmetros!#REF!</f>
        <v>#REF!</v>
      </c>
      <c r="X35" s="3" t="s">
        <v>44</v>
      </c>
      <c r="Y35" s="2">
        <f t="shared" si="2"/>
        <v>0</v>
      </c>
      <c r="Z35" s="3" t="s">
        <v>43</v>
      </c>
    </row>
    <row r="36" spans="1:26" x14ac:dyDescent="0.3">
      <c r="A36" s="18">
        <v>52</v>
      </c>
      <c r="B36" s="16">
        <v>7.6000000000000004E-4</v>
      </c>
      <c r="D36" s="93">
        <f ca="1">Simulador!C67</f>
        <v>34</v>
      </c>
      <c r="E36" s="1">
        <f t="shared" ca="1" si="0"/>
        <v>47198</v>
      </c>
      <c r="F36" s="1">
        <f t="shared" ca="1" si="1"/>
        <v>39</v>
      </c>
      <c r="G36" s="124">
        <f ca="1">IF('Simulador Bradesco'!D49&lt;&gt;Parâmetros!B36,VLOOKUP('Base de Dados'!F36,'Base de Dados'!$A$2:$B$64,2,FALSE),VLOOKUP(F36&amp;'Simulador Bradesco'!$I$13,$A$2:$B$600,2,FALSE))</f>
        <v>2.2369999999999999E-4</v>
      </c>
      <c r="H36" s="1">
        <f ca="1">Simulador!A67</f>
        <v>47198</v>
      </c>
      <c r="L36" s="1">
        <f ca="1">IF(Simulador!A66="",Simulador!$C$8,Simulador!A66)</f>
        <v>47170</v>
      </c>
      <c r="M36" s="4">
        <f ca="1">IF(Simulador!Q66="",0,Simulador!Q66*-1)</f>
        <v>-9112.5864305480191</v>
      </c>
      <c r="N36" t="str">
        <f>Parâmetros!$D$22&amp;Parâmetros!C11&amp;Parâmetros!$D$2&amp;Parâmetros!$G$23</f>
        <v>Repasse/AquisiçãoCOMERCIALSACEXCLUSIVE</v>
      </c>
      <c r="O36" s="3">
        <f>Parâmetros!G11</f>
        <v>0.3</v>
      </c>
      <c r="P36" s="94">
        <f>Parâmetros!$E$11</f>
        <v>0.8</v>
      </c>
      <c r="R36" s="15">
        <f>Parâmetros!$L$11</f>
        <v>3400</v>
      </c>
      <c r="S36" s="18">
        <f>Parâmetros!$I$11</f>
        <v>121</v>
      </c>
      <c r="T36" s="18">
        <f>Parâmetros!$J$11</f>
        <v>240</v>
      </c>
      <c r="U36"/>
      <c r="V36"/>
      <c r="W36" s="2">
        <f>Parâmetros!$Q$11</f>
        <v>0.1399</v>
      </c>
      <c r="X36" s="3" t="s">
        <v>43</v>
      </c>
      <c r="Y36" s="2">
        <f t="shared" si="2"/>
        <v>3.3799999999999997E-2</v>
      </c>
      <c r="Z36" s="3" t="s">
        <v>43</v>
      </c>
    </row>
    <row r="37" spans="1:26" x14ac:dyDescent="0.3">
      <c r="A37" s="18">
        <v>53</v>
      </c>
      <c r="B37" s="16">
        <v>7.6000000000000004E-4</v>
      </c>
      <c r="D37" s="93">
        <f ca="1">Simulador!C68</f>
        <v>35</v>
      </c>
      <c r="E37" s="1">
        <f t="shared" ca="1" si="0"/>
        <v>47229</v>
      </c>
      <c r="F37" s="1">
        <f t="shared" ca="1" si="1"/>
        <v>39</v>
      </c>
      <c r="G37" s="124">
        <f ca="1">IF('Simulador Bradesco'!D50&lt;&gt;Parâmetros!B37,VLOOKUP('Base de Dados'!F37,'Base de Dados'!$A$2:$B$64,2,FALSE),VLOOKUP(F37&amp;'Simulador Bradesco'!$I$13,$A$2:$B$600,2,FALSE))</f>
        <v>2.2369999999999999E-4</v>
      </c>
      <c r="H37" s="1">
        <f ca="1">Simulador!A68</f>
        <v>47229</v>
      </c>
      <c r="L37" s="1">
        <f ca="1">IF(Simulador!A67="",Simulador!$C$8,Simulador!A67)</f>
        <v>47198</v>
      </c>
      <c r="M37" s="4">
        <f ca="1">IF(Simulador!Q67="",0,Simulador!Q67*-1)</f>
        <v>-9112.378982799617</v>
      </c>
      <c r="N37" s="5" t="str">
        <f>Parâmetros!$D$22&amp;Parâmetros!C7&amp;Parâmetros!$D$3&amp;Parâmetros!$G$23</f>
        <v>Repasse/AquisiçãoLOTEPRICEEXCLUSIVE</v>
      </c>
      <c r="O37" s="66">
        <f>Parâmetros!H7</f>
        <v>0.15</v>
      </c>
      <c r="P37" s="79">
        <f>Parâmetros!$F$7</f>
        <v>0.7</v>
      </c>
      <c r="R37" s="15">
        <f>Parâmetros!$L$7</f>
        <v>3400</v>
      </c>
      <c r="S37" s="18">
        <f>Parâmetros!$I$7</f>
        <v>121</v>
      </c>
      <c r="T37" s="18">
        <f>Parâmetros!$J$7</f>
        <v>240</v>
      </c>
      <c r="U37"/>
      <c r="V37"/>
      <c r="W37" s="2">
        <f>Parâmetros!$Q$7</f>
        <v>0.1399</v>
      </c>
      <c r="X37" s="3" t="s">
        <v>43</v>
      </c>
      <c r="Y37" s="2">
        <f t="shared" si="2"/>
        <v>3.3799999999999997E-2</v>
      </c>
      <c r="Z37" s="3" t="s">
        <v>43</v>
      </c>
    </row>
    <row r="38" spans="1:26" x14ac:dyDescent="0.3">
      <c r="A38" s="18">
        <v>54</v>
      </c>
      <c r="B38" s="16">
        <v>9.3590000000000003E-4</v>
      </c>
      <c r="D38" s="93">
        <f ca="1">Simulador!C69</f>
        <v>36</v>
      </c>
      <c r="E38" s="1">
        <f t="shared" ca="1" si="0"/>
        <v>47259</v>
      </c>
      <c r="F38" s="1">
        <f t="shared" ca="1" si="1"/>
        <v>39</v>
      </c>
      <c r="G38" s="124">
        <f ca="1">IF('Simulador Bradesco'!D51&lt;&gt;Parâmetros!B38,VLOOKUP('Base de Dados'!F38,'Base de Dados'!$A$2:$B$64,2,FALSE),VLOOKUP(F38&amp;'Simulador Bradesco'!$I$13,$A$2:$B$600,2,FALSE))</f>
        <v>2.2369999999999999E-4</v>
      </c>
      <c r="H38" s="1">
        <f ca="1">Simulador!A69</f>
        <v>47259</v>
      </c>
      <c r="L38" s="1">
        <f ca="1">IF(Simulador!A68="",Simulador!$C$8,Simulador!A68)</f>
        <v>47229</v>
      </c>
      <c r="M38" s="4">
        <f ca="1">IF(Simulador!Q68="",0,Simulador!Q68*-1)</f>
        <v>-9112.1692590462371</v>
      </c>
      <c r="N38" s="5" t="str">
        <f>Parâmetros!$D$22&amp;Parâmetros!C8&amp;Parâmetros!$D$3&amp;Parâmetros!$G$23</f>
        <v>Repasse/AquisiçãoRESIDENCIALPRICEEXCLUSIVE</v>
      </c>
      <c r="O38" s="66">
        <f>Parâmetros!H8</f>
        <v>0.15</v>
      </c>
      <c r="P38" s="79">
        <f>Parâmetros!$F$8</f>
        <v>0.8</v>
      </c>
      <c r="R38" s="15">
        <f>Parâmetros!$L$8</f>
        <v>1021.25</v>
      </c>
      <c r="S38" s="18">
        <f>Parâmetros!$I$8</f>
        <v>121</v>
      </c>
      <c r="T38" s="18">
        <f>Parâmetros!$J$8</f>
        <v>420</v>
      </c>
      <c r="W38" s="2">
        <f>Parâmetros!$Q$10</f>
        <v>0.123</v>
      </c>
      <c r="X38" s="3" t="s">
        <v>44</v>
      </c>
      <c r="Y38" s="2">
        <f t="shared" si="2"/>
        <v>0</v>
      </c>
      <c r="Z38" s="3" t="s">
        <v>43</v>
      </c>
    </row>
    <row r="39" spans="1:26" x14ac:dyDescent="0.3">
      <c r="A39" s="18">
        <v>55</v>
      </c>
      <c r="B39" s="16">
        <v>9.3590000000000003E-4</v>
      </c>
      <c r="D39" s="93">
        <f ca="1">Simulador!C70</f>
        <v>37</v>
      </c>
      <c r="E39" s="1">
        <f t="shared" ca="1" si="0"/>
        <v>47290</v>
      </c>
      <c r="F39" s="1">
        <f t="shared" ca="1" si="1"/>
        <v>39</v>
      </c>
      <c r="G39" s="124">
        <f ca="1">IF('Simulador Bradesco'!D52&lt;&gt;Parâmetros!B39,VLOOKUP('Base de Dados'!F39,'Base de Dados'!$A$2:$B$64,2,FALSE),VLOOKUP(F39&amp;'Simulador Bradesco'!$I$13,$A$2:$B$600,2,FALSE))</f>
        <v>2.2369999999999999E-4</v>
      </c>
      <c r="H39" s="1">
        <f ca="1">Simulador!A70</f>
        <v>47290</v>
      </c>
      <c r="L39" s="1">
        <f ca="1">IF(Simulador!A69="",Simulador!$C$8,Simulador!A69)</f>
        <v>47259</v>
      </c>
      <c r="M39" s="4">
        <f ca="1">IF(Simulador!Q69="",0,Simulador!Q69*-1)</f>
        <v>-9111.9572343167838</v>
      </c>
      <c r="N39" s="5" t="str">
        <f>Parâmetros!$D$22&amp;Parâmetros!C9&amp;Parâmetros!$D$3&amp;Parâmetros!$G$23</f>
        <v>Repasse/AquisiçãoRESIDENCIAL &gt; 225PRICEEXCLUSIVE</v>
      </c>
      <c r="O39" s="66">
        <f>Parâmetros!H9</f>
        <v>0.15</v>
      </c>
      <c r="P39" s="79">
        <f>Parâmetros!$F$9</f>
        <v>0.8</v>
      </c>
      <c r="R39" s="15">
        <f>Parâmetros!$L$9</f>
        <v>2114.0300000000002</v>
      </c>
      <c r="S39" s="18">
        <f>Parâmetros!$I$9</f>
        <v>121</v>
      </c>
      <c r="T39" s="18">
        <f>Parâmetros!$J$9</f>
        <v>420</v>
      </c>
      <c r="W39" s="2">
        <f>Parâmetros!$Q$9</f>
        <v>0.123</v>
      </c>
      <c r="X39" s="3" t="s">
        <v>44</v>
      </c>
      <c r="Y39" s="2">
        <f t="shared" si="2"/>
        <v>0</v>
      </c>
      <c r="Z39" s="3" t="s">
        <v>43</v>
      </c>
    </row>
    <row r="40" spans="1:26" x14ac:dyDescent="0.3">
      <c r="A40" s="18">
        <v>56</v>
      </c>
      <c r="B40" s="16">
        <v>9.3590000000000003E-4</v>
      </c>
      <c r="D40" s="93">
        <f ca="1">Simulador!C71</f>
        <v>38</v>
      </c>
      <c r="E40" s="1">
        <f t="shared" ca="1" si="0"/>
        <v>47320</v>
      </c>
      <c r="F40" s="1">
        <f t="shared" ca="1" si="1"/>
        <v>39</v>
      </c>
      <c r="G40" s="124">
        <f ca="1">IF('Simulador Bradesco'!D53&lt;&gt;Parâmetros!B40,VLOOKUP('Base de Dados'!F40,'Base de Dados'!$A$2:$B$64,2,FALSE),VLOOKUP(F40&amp;'Simulador Bradesco'!$I$13,$A$2:$B$600,2,FALSE))</f>
        <v>2.2369999999999999E-4</v>
      </c>
      <c r="H40" s="1">
        <f ca="1">Simulador!A71</f>
        <v>47320</v>
      </c>
      <c r="L40" s="1">
        <f ca="1">IF(Simulador!A70="",Simulador!$C$8,Simulador!A70)</f>
        <v>47290</v>
      </c>
      <c r="M40" s="4">
        <f ca="1">IF(Simulador!Q70="",0,Simulador!Q70*-1)</f>
        <v>-9111.7428833661816</v>
      </c>
      <c r="N40" s="5"/>
      <c r="O40" s="66">
        <f>Parâmetros!H10</f>
        <v>0.15</v>
      </c>
      <c r="P40" s="79">
        <f>Parâmetros!$F$10</f>
        <v>0.8</v>
      </c>
      <c r="R40" s="15">
        <f>Parâmetros!$L$10</f>
        <v>2114.0300000000002</v>
      </c>
      <c r="S40" s="18">
        <f>Parâmetros!$I$10</f>
        <v>121</v>
      </c>
      <c r="T40" s="18">
        <f>Parâmetros!$J$10</f>
        <v>420</v>
      </c>
      <c r="W40" s="2" t="e">
        <f>Parâmetros!#REF!</f>
        <v>#REF!</v>
      </c>
      <c r="X40" s="3" t="s">
        <v>44</v>
      </c>
      <c r="Y40" s="2">
        <f t="shared" si="2"/>
        <v>0</v>
      </c>
      <c r="Z40" s="3" t="s">
        <v>43</v>
      </c>
    </row>
    <row r="41" spans="1:26" x14ac:dyDescent="0.3">
      <c r="A41" s="18">
        <v>57</v>
      </c>
      <c r="B41" s="16">
        <v>1.1306000000000001E-3</v>
      </c>
      <c r="D41" s="93">
        <f ca="1">Simulador!C72</f>
        <v>39</v>
      </c>
      <c r="E41" s="1">
        <f t="shared" ca="1" si="0"/>
        <v>47351</v>
      </c>
      <c r="F41" s="1">
        <f t="shared" ca="1" si="1"/>
        <v>39</v>
      </c>
      <c r="G41" s="124">
        <f ca="1">IF('Simulador Bradesco'!D54&lt;&gt;Parâmetros!B41,VLOOKUP('Base de Dados'!F41,'Base de Dados'!$A$2:$B$64,2,FALSE),VLOOKUP(F41&amp;'Simulador Bradesco'!$I$13,$A$2:$B$600,2,FALSE))</f>
        <v>2.2369999999999999E-4</v>
      </c>
      <c r="H41" s="1">
        <f ca="1">Simulador!A72</f>
        <v>47351</v>
      </c>
      <c r="L41" s="1">
        <f ca="1">IF(Simulador!A71="",Simulador!$C$8,Simulador!A71)</f>
        <v>47320</v>
      </c>
      <c r="M41" s="4">
        <f ca="1">IF(Simulador!Q71="",0,Simulador!Q71*-1)</f>
        <v>-9111.5261806723865</v>
      </c>
      <c r="N41" s="5" t="str">
        <f>Parâmetros!$D$22&amp;Parâmetros!C11&amp;Parâmetros!$D$3&amp;Parâmetros!$G$23</f>
        <v>Repasse/AquisiçãoCOMERCIALPRICEEXCLUSIVE</v>
      </c>
      <c r="O41" s="66">
        <f>Parâmetros!H11</f>
        <v>0.15</v>
      </c>
      <c r="P41" s="79">
        <f>Parâmetros!$F$11</f>
        <v>0.8</v>
      </c>
      <c r="R41" s="15">
        <f>Parâmetros!$L$11</f>
        <v>3400</v>
      </c>
      <c r="S41" s="18">
        <f>Parâmetros!$I$11</f>
        <v>121</v>
      </c>
      <c r="T41" s="18">
        <f>Parâmetros!$J$11</f>
        <v>240</v>
      </c>
      <c r="W41" s="2">
        <f>Parâmetros!$Q$11</f>
        <v>0.1399</v>
      </c>
      <c r="X41" s="3" t="s">
        <v>43</v>
      </c>
      <c r="Y41" s="2">
        <f t="shared" si="2"/>
        <v>3.3799999999999997E-2</v>
      </c>
      <c r="Z41" s="3" t="s">
        <v>43</v>
      </c>
    </row>
    <row r="42" spans="1:26" x14ac:dyDescent="0.3">
      <c r="A42" s="18">
        <v>58</v>
      </c>
      <c r="B42" s="16">
        <v>1.1306000000000001E-3</v>
      </c>
      <c r="D42" s="93">
        <f ca="1">Simulador!C73</f>
        <v>40</v>
      </c>
      <c r="E42" s="1">
        <f t="shared" ca="1" si="0"/>
        <v>47382</v>
      </c>
      <c r="F42" s="1">
        <f t="shared" ca="1" si="1"/>
        <v>40</v>
      </c>
      <c r="G42" s="124">
        <f ca="1">IF('Simulador Bradesco'!D55&lt;&gt;Parâmetros!B42,VLOOKUP('Base de Dados'!F42,'Base de Dados'!$A$2:$B$64,2,FALSE),VLOOKUP(F42&amp;'Simulador Bradesco'!$I$13,$A$2:$B$600,2,FALSE))</f>
        <v>2.2369999999999999E-4</v>
      </c>
      <c r="H42" s="1">
        <f ca="1">Simulador!A73</f>
        <v>47382</v>
      </c>
      <c r="L42" s="1">
        <f ca="1">IF(Simulador!A72="",Simulador!$C$8,Simulador!A72)</f>
        <v>47351</v>
      </c>
      <c r="M42" s="4">
        <f ca="1">IF(Simulador!Q72="",0,Simulador!Q72*-1)</f>
        <v>-9111.3071004333378</v>
      </c>
      <c r="N42" t="str">
        <f>Parâmetros!$D$22&amp;Parâmetros!C7&amp;Parâmetros!$D$2&amp;Parâmetros!$G$24</f>
        <v>Repasse/AquisiçãoLOTESACCLASSIC</v>
      </c>
      <c r="O42" s="3">
        <f>Parâmetros!G7</f>
        <v>0.2</v>
      </c>
      <c r="P42" s="94">
        <f>Parâmetros!$E$7</f>
        <v>0.7</v>
      </c>
      <c r="R42" s="15">
        <f>Parâmetros!$L$7</f>
        <v>3400</v>
      </c>
      <c r="S42" s="18">
        <f>Parâmetros!$I$7</f>
        <v>121</v>
      </c>
      <c r="T42" s="18">
        <f>Parâmetros!$J$7</f>
        <v>240</v>
      </c>
      <c r="W42" s="2">
        <f>Parâmetros!$R$7</f>
        <v>0.1399</v>
      </c>
      <c r="X42" s="3" t="s">
        <v>43</v>
      </c>
      <c r="Y42" s="2">
        <f t="shared" si="2"/>
        <v>3.3799999999999997E-2</v>
      </c>
      <c r="Z42" s="3" t="s">
        <v>43</v>
      </c>
    </row>
    <row r="43" spans="1:26" x14ac:dyDescent="0.3">
      <c r="A43" s="18">
        <v>59</v>
      </c>
      <c r="B43" s="16">
        <v>1.1306000000000001E-3</v>
      </c>
      <c r="D43" s="93">
        <f ca="1">Simulador!C74</f>
        <v>41</v>
      </c>
      <c r="E43" s="1">
        <f t="shared" ca="1" si="0"/>
        <v>47412</v>
      </c>
      <c r="F43" s="1">
        <f t="shared" ca="1" si="1"/>
        <v>40</v>
      </c>
      <c r="G43" s="124">
        <f ca="1">IF('Simulador Bradesco'!D56&lt;&gt;Parâmetros!B43,VLOOKUP('Base de Dados'!F43,'Base de Dados'!$A$2:$B$64,2,FALSE),VLOOKUP(F43&amp;'Simulador Bradesco'!$I$13,$A$2:$B$600,2,FALSE))</f>
        <v>2.2369999999999999E-4</v>
      </c>
      <c r="H43" s="1">
        <f ca="1">Simulador!A74</f>
        <v>47412</v>
      </c>
      <c r="L43" s="1">
        <f ca="1">IF(Simulador!A73="",Simulador!$C$8,Simulador!A73)</f>
        <v>47382</v>
      </c>
      <c r="M43" s="4">
        <f ca="1">IF(Simulador!Q73="",0,Simulador!Q73*-1)</f>
        <v>-9111.0856165638925</v>
      </c>
      <c r="N43" t="str">
        <f>Parâmetros!$D$22&amp;Parâmetros!C8&amp;Parâmetros!$D$2&amp;Parâmetros!$G$24</f>
        <v>Repasse/AquisiçãoRESIDENCIALSACCLASSIC</v>
      </c>
      <c r="O43" s="3">
        <f>Parâmetros!G8</f>
        <v>0.3</v>
      </c>
      <c r="P43" s="94">
        <f>Parâmetros!$E$8</f>
        <v>0.8</v>
      </c>
      <c r="R43" s="15">
        <f>Parâmetros!$L$8</f>
        <v>1021.25</v>
      </c>
      <c r="S43" s="18">
        <f>Parâmetros!$I$8</f>
        <v>121</v>
      </c>
      <c r="T43" s="18">
        <f>Parâmetros!$J$8</f>
        <v>420</v>
      </c>
      <c r="W43" s="2">
        <f>Parâmetros!$R$10</f>
        <v>0.123</v>
      </c>
      <c r="X43" s="3" t="s">
        <v>44</v>
      </c>
      <c r="Y43" s="2">
        <f t="shared" si="2"/>
        <v>0</v>
      </c>
      <c r="Z43" s="3" t="s">
        <v>43</v>
      </c>
    </row>
    <row r="44" spans="1:26" x14ac:dyDescent="0.3">
      <c r="A44" s="18">
        <v>60</v>
      </c>
      <c r="B44" s="16">
        <v>1.3822000000000001E-3</v>
      </c>
      <c r="D44" s="93">
        <f ca="1">Simulador!C75</f>
        <v>42</v>
      </c>
      <c r="E44" s="1">
        <f t="shared" ca="1" si="0"/>
        <v>47443</v>
      </c>
      <c r="F44" s="1">
        <f t="shared" ca="1" si="1"/>
        <v>40</v>
      </c>
      <c r="G44" s="124">
        <f ca="1">IF('Simulador Bradesco'!D57&lt;&gt;Parâmetros!B44,VLOOKUP('Base de Dados'!F44,'Base de Dados'!$A$2:$B$64,2,FALSE),VLOOKUP(F44&amp;'Simulador Bradesco'!$I$13,$A$2:$B$600,2,FALSE))</f>
        <v>2.2369999999999999E-4</v>
      </c>
      <c r="H44" s="1">
        <f ca="1">Simulador!A75</f>
        <v>47443</v>
      </c>
      <c r="L44" s="1">
        <f ca="1">IF(Simulador!A74="",Simulador!$C$8,Simulador!A74)</f>
        <v>47412</v>
      </c>
      <c r="M44" s="4">
        <f ca="1">IF(Simulador!Q74="",0,Simulador!Q74*-1)</f>
        <v>-9110.8617026927095</v>
      </c>
      <c r="N44" t="str">
        <f>Parâmetros!$D$22&amp;Parâmetros!C9&amp;Parâmetros!$D$2&amp;Parâmetros!$G$24</f>
        <v>Repasse/AquisiçãoRESIDENCIAL &gt; 225SACCLASSIC</v>
      </c>
      <c r="O44" s="3">
        <f>Parâmetros!G9</f>
        <v>0.3</v>
      </c>
      <c r="P44" s="94">
        <f>Parâmetros!$E$9</f>
        <v>0.8</v>
      </c>
      <c r="R44" s="15">
        <f>Parâmetros!$L$9</f>
        <v>2114.0300000000002</v>
      </c>
      <c r="S44" s="18">
        <f>Parâmetros!$I$9</f>
        <v>121</v>
      </c>
      <c r="T44" s="18">
        <f>Parâmetros!$J$9</f>
        <v>420</v>
      </c>
      <c r="W44" s="2">
        <f>Parâmetros!$R$9</f>
        <v>0.123</v>
      </c>
      <c r="X44" s="3" t="s">
        <v>44</v>
      </c>
      <c r="Y44" s="2">
        <f t="shared" si="2"/>
        <v>0</v>
      </c>
      <c r="Z44" s="3" t="s">
        <v>43</v>
      </c>
    </row>
    <row r="45" spans="1:26" x14ac:dyDescent="0.3">
      <c r="A45" s="18">
        <v>61</v>
      </c>
      <c r="B45" s="16">
        <v>1.3822000000000001E-3</v>
      </c>
      <c r="D45" s="93">
        <f ca="1">Simulador!C76</f>
        <v>43</v>
      </c>
      <c r="E45" s="1">
        <f t="shared" ca="1" si="0"/>
        <v>47473</v>
      </c>
      <c r="F45" s="1">
        <f t="shared" ca="1" si="1"/>
        <v>40</v>
      </c>
      <c r="G45" s="124">
        <f ca="1">IF('Simulador Bradesco'!D58&lt;&gt;Parâmetros!B45,VLOOKUP('Base de Dados'!F45,'Base de Dados'!$A$2:$B$64,2,FALSE),VLOOKUP(F45&amp;'Simulador Bradesco'!$I$13,$A$2:$B$600,2,FALSE))</f>
        <v>2.2369999999999999E-4</v>
      </c>
      <c r="H45" s="1">
        <f ca="1">Simulador!A76</f>
        <v>47473</v>
      </c>
      <c r="L45" s="1">
        <f ca="1">IF(Simulador!A75="",Simulador!$C$8,Simulador!A75)</f>
        <v>47443</v>
      </c>
      <c r="M45" s="4">
        <f ca="1">IF(Simulador!Q75="",0,Simulador!Q75*-1)</f>
        <v>-9110.6353321591196</v>
      </c>
      <c r="O45" s="3">
        <f>Parâmetros!G10</f>
        <v>0.3</v>
      </c>
      <c r="P45" s="94">
        <f>Parâmetros!$E$10</f>
        <v>0.8</v>
      </c>
      <c r="R45" s="15">
        <f>Parâmetros!$L$10</f>
        <v>2114.0300000000002</v>
      </c>
      <c r="S45" s="18">
        <f>Parâmetros!$I$10</f>
        <v>121</v>
      </c>
      <c r="T45" s="18">
        <f>Parâmetros!$J$10</f>
        <v>420</v>
      </c>
      <c r="W45" s="2" t="e">
        <f>Parâmetros!#REF!</f>
        <v>#REF!</v>
      </c>
      <c r="X45" s="3" t="s">
        <v>44</v>
      </c>
      <c r="Y45" s="2">
        <f t="shared" si="2"/>
        <v>0</v>
      </c>
      <c r="Z45" s="3" t="s">
        <v>43</v>
      </c>
    </row>
    <row r="46" spans="1:26" x14ac:dyDescent="0.3">
      <c r="A46" s="18">
        <v>62</v>
      </c>
      <c r="B46" s="16">
        <v>1.3822000000000001E-3</v>
      </c>
      <c r="D46" s="93">
        <f ca="1">Simulador!C77</f>
        <v>44</v>
      </c>
      <c r="E46" s="1">
        <f t="shared" ca="1" si="0"/>
        <v>47504</v>
      </c>
      <c r="F46" s="1">
        <f t="shared" ca="1" si="1"/>
        <v>40</v>
      </c>
      <c r="G46" s="124">
        <f ca="1">IF('Simulador Bradesco'!D59&lt;&gt;Parâmetros!B46,VLOOKUP('Base de Dados'!F46,'Base de Dados'!$A$2:$B$64,2,FALSE),VLOOKUP(F46&amp;'Simulador Bradesco'!$I$13,$A$2:$B$600,2,FALSE))</f>
        <v>2.2369999999999999E-4</v>
      </c>
      <c r="H46" s="1">
        <f ca="1">Simulador!A77</f>
        <v>47504</v>
      </c>
      <c r="L46" s="1">
        <f ca="1">IF(Simulador!A76="",Simulador!$C$8,Simulador!A76)</f>
        <v>47473</v>
      </c>
      <c r="M46" s="4">
        <f ca="1">IF(Simulador!Q76="",0,Simulador!Q76*-1)</f>
        <v>-9110.4064780099452</v>
      </c>
      <c r="N46" t="str">
        <f>Parâmetros!$D$22&amp;Parâmetros!C11&amp;Parâmetros!$D$2&amp;Parâmetros!$G$24</f>
        <v>Repasse/AquisiçãoCOMERCIALSACCLASSIC</v>
      </c>
      <c r="O46" s="3">
        <f>Parâmetros!G11</f>
        <v>0.3</v>
      </c>
      <c r="P46" s="94">
        <f>Parâmetros!$E$11</f>
        <v>0.8</v>
      </c>
      <c r="R46" s="15">
        <f>Parâmetros!$L$11</f>
        <v>3400</v>
      </c>
      <c r="S46" s="18">
        <f>Parâmetros!$I$11</f>
        <v>121</v>
      </c>
      <c r="T46" s="18">
        <f>Parâmetros!$J$11</f>
        <v>240</v>
      </c>
      <c r="W46" s="2">
        <f>Parâmetros!$R$11</f>
        <v>0.1399</v>
      </c>
      <c r="X46" s="3" t="s">
        <v>43</v>
      </c>
      <c r="Y46" s="2">
        <f t="shared" si="2"/>
        <v>3.3799999999999997E-2</v>
      </c>
      <c r="Z46" s="3" t="s">
        <v>43</v>
      </c>
    </row>
    <row r="47" spans="1:26" x14ac:dyDescent="0.3">
      <c r="A47" s="18">
        <v>63</v>
      </c>
      <c r="B47" s="16">
        <v>1.7815999999999999E-3</v>
      </c>
      <c r="D47" s="93">
        <f ca="1">Simulador!C78</f>
        <v>45</v>
      </c>
      <c r="E47" s="1">
        <f t="shared" ca="1" si="0"/>
        <v>47535</v>
      </c>
      <c r="F47" s="1">
        <f t="shared" ca="1" si="1"/>
        <v>40</v>
      </c>
      <c r="G47" s="124">
        <f ca="1">IF('Simulador Bradesco'!D60&lt;&gt;Parâmetros!B47,VLOOKUP('Base de Dados'!F47,'Base de Dados'!$A$2:$B$64,2,FALSE),VLOOKUP(F47&amp;'Simulador Bradesco'!$I$13,$A$2:$B$600,2,FALSE))</f>
        <v>2.2369999999999999E-4</v>
      </c>
      <c r="H47" s="1">
        <f ca="1">Simulador!A78</f>
        <v>47535</v>
      </c>
      <c r="L47" s="1">
        <f ca="1">IF(Simulador!A77="",Simulador!$C$8,Simulador!A77)</f>
        <v>47504</v>
      </c>
      <c r="M47" s="4">
        <f ca="1">IF(Simulador!Q77="",0,Simulador!Q77*-1)</f>
        <v>-9110.1751129962922</v>
      </c>
      <c r="N47" t="str">
        <f>Parâmetros!$D$22&amp;Parâmetros!C7&amp;Parâmetros!$D$3&amp;Parâmetros!$G$24</f>
        <v>Repasse/AquisiçãoLOTEPRICECLASSIC</v>
      </c>
      <c r="O47" s="3">
        <f>Parâmetros!H7</f>
        <v>0.15</v>
      </c>
      <c r="P47" s="79">
        <f>Parâmetros!$F$7</f>
        <v>0.7</v>
      </c>
      <c r="R47" s="15">
        <f>Parâmetros!$L$7</f>
        <v>3400</v>
      </c>
      <c r="S47" s="18">
        <f>Parâmetros!$I$7</f>
        <v>121</v>
      </c>
      <c r="T47" s="18">
        <f>Parâmetros!$J$7</f>
        <v>240</v>
      </c>
      <c r="W47" s="2">
        <f>Parâmetros!$R$7</f>
        <v>0.1399</v>
      </c>
      <c r="X47" s="3" t="s">
        <v>43</v>
      </c>
      <c r="Y47" s="2">
        <f t="shared" si="2"/>
        <v>3.3799999999999997E-2</v>
      </c>
      <c r="Z47" s="3" t="s">
        <v>43</v>
      </c>
    </row>
    <row r="48" spans="1:26" x14ac:dyDescent="0.3">
      <c r="A48" s="18">
        <v>64</v>
      </c>
      <c r="B48" s="16">
        <v>1.7815999999999999E-3</v>
      </c>
      <c r="D48" s="93">
        <f ca="1">Simulador!C79</f>
        <v>46</v>
      </c>
      <c r="E48" s="1">
        <f t="shared" ca="1" si="0"/>
        <v>47563</v>
      </c>
      <c r="F48" s="1">
        <f t="shared" ca="1" si="1"/>
        <v>40</v>
      </c>
      <c r="G48" s="124">
        <f ca="1">IF('Simulador Bradesco'!D61&lt;&gt;Parâmetros!B48,VLOOKUP('Base de Dados'!F48,'Base de Dados'!$A$2:$B$64,2,FALSE),VLOOKUP(F48&amp;'Simulador Bradesco'!$I$13,$A$2:$B$600,2,FALSE))</f>
        <v>2.2369999999999999E-4</v>
      </c>
      <c r="H48" s="1">
        <f ca="1">Simulador!A79</f>
        <v>47563</v>
      </c>
      <c r="L48" s="1">
        <f ca="1">IF(Simulador!A78="",Simulador!$C$8,Simulador!A78)</f>
        <v>47535</v>
      </c>
      <c r="M48" s="4">
        <f ca="1">IF(Simulador!Q78="",0,Simulador!Q78*-1)</f>
        <v>-9109.9412095703119</v>
      </c>
      <c r="N48" t="str">
        <f>Parâmetros!$D$22&amp;Parâmetros!C8&amp;Parâmetros!$D$3&amp;Parâmetros!$G$24</f>
        <v>Repasse/AquisiçãoRESIDENCIALPRICECLASSIC</v>
      </c>
      <c r="O48" s="3">
        <f>Parâmetros!H8</f>
        <v>0.15</v>
      </c>
      <c r="P48" s="79">
        <f>Parâmetros!$F$8</f>
        <v>0.8</v>
      </c>
      <c r="R48" s="15">
        <f>Parâmetros!$L$8</f>
        <v>1021.25</v>
      </c>
      <c r="S48" s="18">
        <f>Parâmetros!$I$8</f>
        <v>121</v>
      </c>
      <c r="T48" s="18">
        <f>Parâmetros!$J$8</f>
        <v>420</v>
      </c>
      <c r="W48" s="2">
        <f>Parâmetros!$R$10</f>
        <v>0.123</v>
      </c>
      <c r="X48" s="3" t="s">
        <v>44</v>
      </c>
      <c r="Y48" s="2">
        <f t="shared" si="2"/>
        <v>0</v>
      </c>
      <c r="Z48" s="3" t="s">
        <v>43</v>
      </c>
    </row>
    <row r="49" spans="1:26" x14ac:dyDescent="0.3">
      <c r="A49" s="18">
        <v>65</v>
      </c>
      <c r="B49" s="16">
        <v>1.7815999999999999E-3</v>
      </c>
      <c r="D49" s="93">
        <f ca="1">Simulador!C80</f>
        <v>47</v>
      </c>
      <c r="E49" s="1">
        <f t="shared" ca="1" si="0"/>
        <v>47594</v>
      </c>
      <c r="F49" s="1">
        <f t="shared" ca="1" si="1"/>
        <v>40</v>
      </c>
      <c r="G49" s="124">
        <f ca="1">IF('Simulador Bradesco'!D62&lt;&gt;Parâmetros!B49,VLOOKUP('Base de Dados'!F49,'Base de Dados'!$A$2:$B$64,2,FALSE),VLOOKUP(F49&amp;'Simulador Bradesco'!$I$13,$A$2:$B$600,2,FALSE))</f>
        <v>2.2369999999999999E-4</v>
      </c>
      <c r="H49" s="1">
        <f ca="1">Simulador!A80</f>
        <v>47594</v>
      </c>
      <c r="L49" s="1">
        <f ca="1">IF(Simulador!A79="",Simulador!$C$8,Simulador!A79)</f>
        <v>47563</v>
      </c>
      <c r="M49" s="4">
        <f ca="1">IF(Simulador!Q79="",0,Simulador!Q79*-1)</f>
        <v>-9109.7047398819086</v>
      </c>
      <c r="N49" t="str">
        <f>Parâmetros!$D$22&amp;Parâmetros!C9&amp;Parâmetros!$D$3&amp;Parâmetros!$G$24</f>
        <v>Repasse/AquisiçãoRESIDENCIAL &gt; 225PRICECLASSIC</v>
      </c>
      <c r="O49" s="3">
        <f>Parâmetros!H9</f>
        <v>0.15</v>
      </c>
      <c r="P49" s="79">
        <f>Parâmetros!$F$9</f>
        <v>0.8</v>
      </c>
      <c r="R49" s="15">
        <f>Parâmetros!$L$9</f>
        <v>2114.0300000000002</v>
      </c>
      <c r="S49" s="18">
        <f>Parâmetros!$I$9</f>
        <v>121</v>
      </c>
      <c r="T49" s="18">
        <f>Parâmetros!$J$9</f>
        <v>420</v>
      </c>
      <c r="W49" s="2">
        <f>Parâmetros!$R$9</f>
        <v>0.123</v>
      </c>
      <c r="X49" s="3" t="s">
        <v>44</v>
      </c>
      <c r="Y49" s="2">
        <f t="shared" si="2"/>
        <v>0</v>
      </c>
      <c r="Z49" s="3" t="s">
        <v>43</v>
      </c>
    </row>
    <row r="50" spans="1:26" x14ac:dyDescent="0.3">
      <c r="A50" s="18">
        <v>66</v>
      </c>
      <c r="B50" s="16">
        <v>2.2041000000000001E-3</v>
      </c>
      <c r="D50" s="93">
        <f ca="1">Simulador!C81</f>
        <v>48</v>
      </c>
      <c r="E50" s="1">
        <f t="shared" ca="1" si="0"/>
        <v>47624</v>
      </c>
      <c r="F50" s="1">
        <f t="shared" ca="1" si="1"/>
        <v>40</v>
      </c>
      <c r="G50" s="124">
        <f ca="1">IF('Simulador Bradesco'!D63&lt;&gt;Parâmetros!B50,VLOOKUP('Base de Dados'!F50,'Base de Dados'!$A$2:$B$64,2,FALSE),VLOOKUP(F50&amp;'Simulador Bradesco'!$I$13,$A$2:$B$600,2,FALSE))</f>
        <v>2.2369999999999999E-4</v>
      </c>
      <c r="H50" s="1">
        <f ca="1">Simulador!A81</f>
        <v>47624</v>
      </c>
      <c r="L50" s="1">
        <f ca="1">IF(Simulador!A80="",Simulador!$C$8,Simulador!A80)</f>
        <v>47594</v>
      </c>
      <c r="M50" s="4">
        <f ca="1">IF(Simulador!Q80="",0,Simulador!Q80*-1)</f>
        <v>-9109.4656757754328</v>
      </c>
      <c r="O50" s="3">
        <f>Parâmetros!H10</f>
        <v>0.15</v>
      </c>
      <c r="P50" s="79">
        <f>Parâmetros!$F$10</f>
        <v>0.8</v>
      </c>
      <c r="R50" s="15">
        <f>Parâmetros!$L$10</f>
        <v>2114.0300000000002</v>
      </c>
      <c r="S50" s="18">
        <f>Parâmetros!$I$10</f>
        <v>121</v>
      </c>
      <c r="T50" s="18">
        <f>Parâmetros!$J$10</f>
        <v>420</v>
      </c>
      <c r="W50" s="2" t="e">
        <f>Parâmetros!#REF!</f>
        <v>#REF!</v>
      </c>
      <c r="X50" s="3" t="s">
        <v>44</v>
      </c>
      <c r="Y50" s="2">
        <f t="shared" si="2"/>
        <v>0</v>
      </c>
      <c r="Z50" s="3" t="s">
        <v>43</v>
      </c>
    </row>
    <row r="51" spans="1:26" x14ac:dyDescent="0.3">
      <c r="A51" s="18">
        <v>67</v>
      </c>
      <c r="B51" s="16">
        <v>2.2041000000000001E-3</v>
      </c>
      <c r="D51" s="93">
        <f ca="1">Simulador!C82</f>
        <v>49</v>
      </c>
      <c r="E51" s="1">
        <f t="shared" ca="1" si="0"/>
        <v>47655</v>
      </c>
      <c r="F51" s="1">
        <f t="shared" ca="1" si="1"/>
        <v>40</v>
      </c>
      <c r="G51" s="124">
        <f ca="1">IF('Simulador Bradesco'!D64&lt;&gt;Parâmetros!B51,VLOOKUP('Base de Dados'!F51,'Base de Dados'!$A$2:$B$64,2,FALSE),VLOOKUP(F51&amp;'Simulador Bradesco'!$I$13,$A$2:$B$600,2,FALSE))</f>
        <v>2.2369999999999999E-4</v>
      </c>
      <c r="H51" s="1">
        <f ca="1">Simulador!A82</f>
        <v>47655</v>
      </c>
      <c r="L51" s="1">
        <f ca="1">IF(Simulador!A81="",Simulador!$C$8,Simulador!A81)</f>
        <v>47624</v>
      </c>
      <c r="M51" s="4">
        <f ca="1">IF(Simulador!Q81="",0,Simulador!Q81*-1)</f>
        <v>-9109.223988786327</v>
      </c>
      <c r="N51" t="str">
        <f>Parâmetros!$D$22&amp;Parâmetros!C11&amp;Parâmetros!$D$3&amp;Parâmetros!$G$24</f>
        <v>Repasse/AquisiçãoCOMERCIALPRICECLASSIC</v>
      </c>
      <c r="O51" s="3">
        <f>Parâmetros!H11</f>
        <v>0.15</v>
      </c>
      <c r="P51" s="79">
        <f>Parâmetros!$F$11</f>
        <v>0.8</v>
      </c>
      <c r="R51" s="15">
        <f>Parâmetros!$L$11</f>
        <v>3400</v>
      </c>
      <c r="S51" s="18">
        <f>Parâmetros!$I$11</f>
        <v>121</v>
      </c>
      <c r="T51" s="18">
        <f>Parâmetros!$J$11</f>
        <v>240</v>
      </c>
      <c r="W51" s="2">
        <f>Parâmetros!$R$11</f>
        <v>0.1399</v>
      </c>
      <c r="X51" s="3" t="s">
        <v>43</v>
      </c>
      <c r="Y51" s="2">
        <f t="shared" si="2"/>
        <v>3.3799999999999997E-2</v>
      </c>
      <c r="Z51" s="3" t="s">
        <v>43</v>
      </c>
    </row>
    <row r="52" spans="1:26" x14ac:dyDescent="0.3">
      <c r="A52" s="18">
        <v>68</v>
      </c>
      <c r="B52" s="16">
        <v>2.2041000000000001E-3</v>
      </c>
      <c r="D52" s="93">
        <f ca="1">Simulador!C83</f>
        <v>50</v>
      </c>
      <c r="E52" s="1">
        <f t="shared" ca="1" si="0"/>
        <v>47685</v>
      </c>
      <c r="F52" s="1">
        <f t="shared" ca="1" si="1"/>
        <v>40</v>
      </c>
      <c r="G52" s="124">
        <f ca="1">IF('Simulador Bradesco'!D65&lt;&gt;Parâmetros!B52,VLOOKUP('Base de Dados'!F52,'Base de Dados'!$A$2:$B$64,2,FALSE),VLOOKUP(F52&amp;'Simulador Bradesco'!$I$13,$A$2:$B$600,2,FALSE))</f>
        <v>2.2369999999999999E-4</v>
      </c>
      <c r="H52" s="1">
        <f ca="1">Simulador!A83</f>
        <v>47685</v>
      </c>
      <c r="L52" s="1">
        <f ca="1">IF(Simulador!A82="",Simulador!$C$8,Simulador!A82)</f>
        <v>47655</v>
      </c>
      <c r="M52" s="4">
        <f ca="1">IF(Simulador!Q82="",0,Simulador!Q82*-1)</f>
        <v>-9108.979650137735</v>
      </c>
      <c r="N52" t="str">
        <f>Parâmetros!$D$22&amp;Parâmetros!C7&amp;Parâmetros!$D$2&amp;Parâmetros!$G$25</f>
        <v>Repasse/AquisiçãoLOTESACPRINCIPAL</v>
      </c>
      <c r="O52" s="3">
        <f>Parâmetros!G7</f>
        <v>0.2</v>
      </c>
      <c r="P52" s="94">
        <f>Parâmetros!$E$7</f>
        <v>0.7</v>
      </c>
      <c r="R52" s="15">
        <f>Parâmetros!$L$7</f>
        <v>3400</v>
      </c>
      <c r="S52" s="18">
        <f>Parâmetros!$I$7</f>
        <v>121</v>
      </c>
      <c r="T52" s="18">
        <f>Parâmetros!$J$7</f>
        <v>240</v>
      </c>
      <c r="W52" s="2">
        <f>Parâmetros!$S$7</f>
        <v>0.1399</v>
      </c>
      <c r="X52" s="3" t="s">
        <v>43</v>
      </c>
      <c r="Y52" s="2">
        <f t="shared" si="2"/>
        <v>3.3799999999999997E-2</v>
      </c>
      <c r="Z52" s="3" t="s">
        <v>43</v>
      </c>
    </row>
    <row r="53" spans="1:26" x14ac:dyDescent="0.3">
      <c r="A53" s="18">
        <v>69</v>
      </c>
      <c r="B53" s="16">
        <v>2.983E-3</v>
      </c>
      <c r="D53" s="93">
        <f ca="1">Simulador!C84</f>
        <v>51</v>
      </c>
      <c r="E53" s="1">
        <f t="shared" ca="1" si="0"/>
        <v>47716</v>
      </c>
      <c r="F53" s="1">
        <f t="shared" ca="1" si="1"/>
        <v>40</v>
      </c>
      <c r="G53" s="124">
        <f ca="1">IF('Simulador Bradesco'!D66&lt;&gt;Parâmetros!B53,VLOOKUP('Base de Dados'!F53,'Base de Dados'!$A$2:$B$64,2,FALSE),VLOOKUP(F53&amp;'Simulador Bradesco'!$I$13,$A$2:$B$600,2,FALSE))</f>
        <v>2.2369999999999999E-4</v>
      </c>
      <c r="H53" s="1">
        <f ca="1">Simulador!A84</f>
        <v>47716</v>
      </c>
      <c r="L53" s="1">
        <f ca="1">IF(Simulador!A83="",Simulador!$C$8,Simulador!A83)</f>
        <v>47685</v>
      </c>
      <c r="M53" s="4">
        <f ca="1">IF(Simulador!Q83="",0,Simulador!Q83*-1)</f>
        <v>-9108.7326307370786</v>
      </c>
      <c r="O53" s="3">
        <f>Parâmetros!G8</f>
        <v>0.3</v>
      </c>
      <c r="P53" s="94">
        <f>Parâmetros!$E$8</f>
        <v>0.8</v>
      </c>
      <c r="R53" s="15">
        <f>Parâmetros!$L$8</f>
        <v>1021.25</v>
      </c>
      <c r="S53" s="18">
        <f>Parâmetros!$I$8</f>
        <v>121</v>
      </c>
      <c r="T53" s="18">
        <f>Parâmetros!$J$8</f>
        <v>420</v>
      </c>
      <c r="W53" s="2">
        <f>Parâmetros!$S$8</f>
        <v>0</v>
      </c>
      <c r="X53" s="3" t="s">
        <v>44</v>
      </c>
      <c r="Y53" s="2">
        <f t="shared" si="2"/>
        <v>0</v>
      </c>
      <c r="Z53" s="3" t="s">
        <v>43</v>
      </c>
    </row>
    <row r="54" spans="1:26" x14ac:dyDescent="0.3">
      <c r="A54" s="18">
        <v>70</v>
      </c>
      <c r="B54" s="16">
        <v>2.983E-3</v>
      </c>
      <c r="D54" s="93">
        <f ca="1">Simulador!C85</f>
        <v>52</v>
      </c>
      <c r="E54" s="1">
        <f t="shared" ca="1" si="0"/>
        <v>47747</v>
      </c>
      <c r="F54" s="1">
        <f t="shared" ca="1" si="1"/>
        <v>41</v>
      </c>
      <c r="G54" s="124">
        <f ca="1">IF('Simulador Bradesco'!D67&lt;&gt;Parâmetros!B54,VLOOKUP('Base de Dados'!F54,'Base de Dados'!$A$2:$B$64,2,FALSE),VLOOKUP(F54&amp;'Simulador Bradesco'!$I$13,$A$2:$B$600,2,FALSE))</f>
        <v>2.2369999999999999E-4</v>
      </c>
      <c r="H54" s="1">
        <f ca="1">Simulador!A85</f>
        <v>47747</v>
      </c>
      <c r="L54" s="1">
        <f ca="1">IF(Simulador!A84="",Simulador!$C$8,Simulador!A84)</f>
        <v>47716</v>
      </c>
      <c r="M54" s="4">
        <f ca="1">IF(Simulador!Q84="",0,Simulador!Q84*-1)</f>
        <v>-9108.4829011725888</v>
      </c>
      <c r="N54" t="str">
        <f>Parâmetros!$D$22&amp;Parâmetros!C9&amp;Parâmetros!$D$2&amp;Parâmetros!$G$25</f>
        <v>Repasse/AquisiçãoRESIDENCIAL &gt; 225SACPRINCIPAL</v>
      </c>
      <c r="O54" s="3">
        <f>Parâmetros!G9</f>
        <v>0.3</v>
      </c>
      <c r="P54" s="94">
        <f>Parâmetros!$E$9</f>
        <v>0.8</v>
      </c>
      <c r="R54" s="15">
        <f>Parâmetros!$L$9</f>
        <v>2114.0300000000002</v>
      </c>
      <c r="S54" s="18">
        <f>Parâmetros!$I$9</f>
        <v>121</v>
      </c>
      <c r="T54" s="18">
        <f>Parâmetros!$J$9</f>
        <v>420</v>
      </c>
      <c r="W54" s="2">
        <f>Parâmetros!$S$9</f>
        <v>0.123</v>
      </c>
      <c r="X54" s="3" t="s">
        <v>44</v>
      </c>
      <c r="Y54" s="2">
        <f t="shared" si="2"/>
        <v>0</v>
      </c>
      <c r="Z54" s="3" t="s">
        <v>43</v>
      </c>
    </row>
    <row r="55" spans="1:26" x14ac:dyDescent="0.3">
      <c r="A55" s="18">
        <v>71</v>
      </c>
      <c r="B55" s="16">
        <v>2.983E-3</v>
      </c>
      <c r="D55" s="93">
        <f ca="1">Simulador!C86</f>
        <v>53</v>
      </c>
      <c r="E55" s="1">
        <f t="shared" ca="1" si="0"/>
        <v>47777</v>
      </c>
      <c r="F55" s="1">
        <f t="shared" ca="1" si="1"/>
        <v>41</v>
      </c>
      <c r="G55" s="124">
        <f ca="1">IF('Simulador Bradesco'!D68&lt;&gt;Parâmetros!B55,VLOOKUP('Base de Dados'!F55,'Base de Dados'!$A$2:$B$64,2,FALSE),VLOOKUP(F55&amp;'Simulador Bradesco'!$I$13,$A$2:$B$600,2,FALSE))</f>
        <v>2.2369999999999999E-4</v>
      </c>
      <c r="H55" s="1">
        <f ca="1">Simulador!A86</f>
        <v>47777</v>
      </c>
      <c r="L55" s="1">
        <f ca="1">IF(Simulador!A85="",Simulador!$C$8,Simulador!A85)</f>
        <v>47747</v>
      </c>
      <c r="M55" s="4">
        <f ca="1">IF(Simulador!Q85="",0,Simulador!Q85*-1)</f>
        <v>-9108.230431709806</v>
      </c>
      <c r="N55" t="str">
        <f>Parâmetros!$D$22&amp;Parâmetros!C10&amp;Parâmetros!$D$2&amp;Parâmetros!$G$25</f>
        <v>Repasse/AquisiçãoRESIDENCIALSACPRINCIPAL</v>
      </c>
      <c r="O55" s="3">
        <f>Parâmetros!G10</f>
        <v>0.3</v>
      </c>
      <c r="P55" s="94">
        <f>Parâmetros!$E$10</f>
        <v>0.8</v>
      </c>
      <c r="R55" s="15">
        <f>Parâmetros!$L$10</f>
        <v>2114.0300000000002</v>
      </c>
      <c r="S55" s="18">
        <f>Parâmetros!$I$10</f>
        <v>121</v>
      </c>
      <c r="T55" s="18">
        <f>Parâmetros!$J$10</f>
        <v>420</v>
      </c>
      <c r="W55" s="2">
        <f>Parâmetros!$S$10</f>
        <v>0.123</v>
      </c>
      <c r="X55" s="3" t="s">
        <v>44</v>
      </c>
      <c r="Y55" s="2">
        <f t="shared" si="2"/>
        <v>0</v>
      </c>
      <c r="Z55" s="3" t="s">
        <v>43</v>
      </c>
    </row>
    <row r="56" spans="1:26" x14ac:dyDescent="0.3">
      <c r="A56" s="18">
        <v>72</v>
      </c>
      <c r="B56" s="16">
        <v>4.0109000000000004E-3</v>
      </c>
      <c r="D56" s="93">
        <f ca="1">Simulador!C87</f>
        <v>54</v>
      </c>
      <c r="E56" s="1">
        <f t="shared" ca="1" si="0"/>
        <v>47808</v>
      </c>
      <c r="F56" s="1">
        <f t="shared" ca="1" si="1"/>
        <v>41</v>
      </c>
      <c r="G56" s="124">
        <f ca="1">IF('Simulador Bradesco'!D69&lt;&gt;Parâmetros!B56,VLOOKUP('Base de Dados'!F56,'Base de Dados'!$A$2:$B$64,2,FALSE),VLOOKUP(F56&amp;'Simulador Bradesco'!$I$13,$A$2:$B$600,2,FALSE))</f>
        <v>2.2369999999999999E-4</v>
      </c>
      <c r="H56" s="1">
        <f ca="1">Simulador!A87</f>
        <v>47808</v>
      </c>
      <c r="L56" s="1">
        <f ca="1">IF(Simulador!A86="",Simulador!$C$8,Simulador!A86)</f>
        <v>47777</v>
      </c>
      <c r="M56" s="4">
        <f ca="1">IF(Simulador!Q86="",0,Simulador!Q86*-1)</f>
        <v>-9107.9751922880441</v>
      </c>
      <c r="N56" t="str">
        <f>Parâmetros!$D$22&amp;Parâmetros!C11&amp;Parâmetros!$D$2&amp;Parâmetros!$G$25</f>
        <v>Repasse/AquisiçãoCOMERCIALSACPRINCIPAL</v>
      </c>
      <c r="O56" s="3">
        <f>Parâmetros!G11</f>
        <v>0.3</v>
      </c>
      <c r="P56" s="94">
        <f>Parâmetros!$E$11</f>
        <v>0.8</v>
      </c>
      <c r="R56" s="15">
        <f>Parâmetros!$L$11</f>
        <v>3400</v>
      </c>
      <c r="S56" s="18">
        <f>Parâmetros!$I$11</f>
        <v>121</v>
      </c>
      <c r="T56" s="18">
        <f>Parâmetros!$J$11</f>
        <v>240</v>
      </c>
      <c r="W56" s="2">
        <f>Parâmetros!$S$11</f>
        <v>0.1399</v>
      </c>
      <c r="X56" s="3" t="s">
        <v>43</v>
      </c>
      <c r="Y56" s="2">
        <f t="shared" si="2"/>
        <v>3.3799999999999997E-2</v>
      </c>
      <c r="Z56" s="3" t="s">
        <v>43</v>
      </c>
    </row>
    <row r="57" spans="1:26" x14ac:dyDescent="0.3">
      <c r="A57" s="18">
        <v>73</v>
      </c>
      <c r="B57" s="16">
        <v>4.0109000000000004E-3</v>
      </c>
      <c r="D57" s="93">
        <f ca="1">Simulador!C88</f>
        <v>55</v>
      </c>
      <c r="E57" s="1">
        <f t="shared" ca="1" si="0"/>
        <v>47838</v>
      </c>
      <c r="F57" s="1">
        <f t="shared" ca="1" si="1"/>
        <v>41</v>
      </c>
      <c r="G57" s="124">
        <f ca="1">IF('Simulador Bradesco'!D70&lt;&gt;Parâmetros!B57,VLOOKUP('Base de Dados'!F57,'Base de Dados'!$A$2:$B$64,2,FALSE),VLOOKUP(F57&amp;'Simulador Bradesco'!$I$13,$A$2:$B$600,2,FALSE))</f>
        <v>2.2369999999999999E-4</v>
      </c>
      <c r="H57" s="1">
        <f ca="1">Simulador!A88</f>
        <v>47838</v>
      </c>
      <c r="L57" s="1">
        <f ca="1">IF(Simulador!A87="",Simulador!$C$8,Simulador!A87)</f>
        <v>47808</v>
      </c>
      <c r="M57" s="4">
        <f ca="1">IF(Simulador!Q87="",0,Simulador!Q87*-1)</f>
        <v>-9107.7171525168051</v>
      </c>
      <c r="N57" t="str">
        <f>Parâmetros!$D$22&amp;Parâmetros!C7&amp;Parâmetros!$D$3&amp;Parâmetros!$G$25</f>
        <v>Repasse/AquisiçãoLOTEPRICEPRINCIPAL</v>
      </c>
      <c r="O57" s="3">
        <f>Parâmetros!H7</f>
        <v>0.15</v>
      </c>
      <c r="P57" s="79">
        <f>Parâmetros!$F$7</f>
        <v>0.7</v>
      </c>
      <c r="R57" s="15">
        <f>Parâmetros!$L$7</f>
        <v>3400</v>
      </c>
      <c r="S57" s="18">
        <f>Parâmetros!$I$7</f>
        <v>121</v>
      </c>
      <c r="T57" s="18">
        <f>Parâmetros!$J$7</f>
        <v>240</v>
      </c>
      <c r="W57" s="2">
        <f>Parâmetros!$S$7</f>
        <v>0.1399</v>
      </c>
      <c r="X57" s="3" t="s">
        <v>43</v>
      </c>
      <c r="Y57" s="2">
        <f t="shared" si="2"/>
        <v>3.3799999999999997E-2</v>
      </c>
      <c r="Z57" s="3" t="s">
        <v>43</v>
      </c>
    </row>
    <row r="58" spans="1:26" x14ac:dyDescent="0.3">
      <c r="A58" s="18">
        <v>74</v>
      </c>
      <c r="B58" s="16">
        <v>4.0109000000000004E-3</v>
      </c>
      <c r="D58" s="93">
        <f ca="1">Simulador!C89</f>
        <v>56</v>
      </c>
      <c r="E58" s="1">
        <f t="shared" ca="1" si="0"/>
        <v>47869</v>
      </c>
      <c r="F58" s="1">
        <f t="shared" ca="1" si="1"/>
        <v>41</v>
      </c>
      <c r="G58" s="124">
        <f ca="1">IF('Simulador Bradesco'!D71&lt;&gt;Parâmetros!B58,VLOOKUP('Base de Dados'!F58,'Base de Dados'!$A$2:$B$64,2,FALSE),VLOOKUP(F58&amp;'Simulador Bradesco'!$I$13,$A$2:$B$600,2,FALSE))</f>
        <v>2.2369999999999999E-4</v>
      </c>
      <c r="H58" s="1">
        <f ca="1">Simulador!A89</f>
        <v>47869</v>
      </c>
      <c r="L58" s="1">
        <f ca="1">IF(Simulador!A88="",Simulador!$C$8,Simulador!A88)</f>
        <v>47838</v>
      </c>
      <c r="M58" s="4">
        <f ca="1">IF(Simulador!Q88="",0,Simulador!Q88*-1)</f>
        <v>-9107.4562816721609</v>
      </c>
      <c r="O58" s="3">
        <f>Parâmetros!H8</f>
        <v>0.15</v>
      </c>
      <c r="P58" s="79">
        <f>Parâmetros!$F$8</f>
        <v>0.8</v>
      </c>
      <c r="R58" s="15">
        <f>Parâmetros!$L$8</f>
        <v>1021.25</v>
      </c>
      <c r="S58" s="18">
        <f>Parâmetros!$I$8</f>
        <v>121</v>
      </c>
      <c r="T58" s="18">
        <f>Parâmetros!$J$8</f>
        <v>420</v>
      </c>
      <c r="W58" s="2">
        <f>Parâmetros!$S$8</f>
        <v>0</v>
      </c>
      <c r="X58" s="3" t="s">
        <v>44</v>
      </c>
      <c r="Y58" s="2">
        <f t="shared" si="2"/>
        <v>0</v>
      </c>
      <c r="Z58" s="3" t="s">
        <v>43</v>
      </c>
    </row>
    <row r="59" spans="1:26" x14ac:dyDescent="0.3">
      <c r="A59" s="18">
        <v>75</v>
      </c>
      <c r="B59" s="16">
        <v>8.1247999999999997E-3</v>
      </c>
      <c r="D59" s="93">
        <f ca="1">Simulador!C90</f>
        <v>57</v>
      </c>
      <c r="E59" s="1">
        <f t="shared" ca="1" si="0"/>
        <v>47900</v>
      </c>
      <c r="F59" s="1">
        <f t="shared" ca="1" si="1"/>
        <v>41</v>
      </c>
      <c r="G59" s="124">
        <f ca="1">IF('Simulador Bradesco'!D72&lt;&gt;Parâmetros!B59,VLOOKUP('Base de Dados'!F59,'Base de Dados'!$A$2:$B$64,2,FALSE),VLOOKUP(F59&amp;'Simulador Bradesco'!$I$13,$A$2:$B$600,2,FALSE))</f>
        <v>2.2369999999999999E-4</v>
      </c>
      <c r="H59" s="1">
        <f ca="1">Simulador!A90</f>
        <v>47900</v>
      </c>
      <c r="L59" s="1">
        <f ca="1">IF(Simulador!A89="",Simulador!$C$8,Simulador!A89)</f>
        <v>47869</v>
      </c>
      <c r="M59" s="4">
        <f ca="1">IF(Simulador!Q89="",0,Simulador!Q89*-1)</f>
        <v>-9107.1925486930995</v>
      </c>
      <c r="N59" t="str">
        <f>Parâmetros!$D$22&amp;Parâmetros!C9&amp;Parâmetros!$D$3&amp;Parâmetros!$G$25</f>
        <v>Repasse/AquisiçãoRESIDENCIAL &gt; 225PRICEPRINCIPAL</v>
      </c>
      <c r="O59" s="3">
        <f>Parâmetros!H9</f>
        <v>0.15</v>
      </c>
      <c r="P59" s="79">
        <f>Parâmetros!$F$9</f>
        <v>0.8</v>
      </c>
      <c r="R59" s="15">
        <f>Parâmetros!$L$9</f>
        <v>2114.0300000000002</v>
      </c>
      <c r="S59" s="18">
        <f>Parâmetros!$I$9</f>
        <v>121</v>
      </c>
      <c r="T59" s="18">
        <f>Parâmetros!$J$9</f>
        <v>420</v>
      </c>
      <c r="W59" s="2">
        <f>Parâmetros!$S$9</f>
        <v>0.123</v>
      </c>
      <c r="X59" s="3" t="s">
        <v>44</v>
      </c>
      <c r="Y59" s="2">
        <f t="shared" si="2"/>
        <v>0</v>
      </c>
      <c r="Z59" s="3" t="s">
        <v>43</v>
      </c>
    </row>
    <row r="60" spans="1:26" x14ac:dyDescent="0.3">
      <c r="A60" s="18">
        <v>76</v>
      </c>
      <c r="B60" s="16">
        <v>8.1247999999999997E-3</v>
      </c>
      <c r="D60" s="93">
        <f ca="1">Simulador!C91</f>
        <v>58</v>
      </c>
      <c r="E60" s="1">
        <f t="shared" ca="1" si="0"/>
        <v>47928</v>
      </c>
      <c r="F60" s="1">
        <f t="shared" ca="1" si="1"/>
        <v>41</v>
      </c>
      <c r="G60" s="124">
        <f ca="1">IF('Simulador Bradesco'!D73&lt;&gt;Parâmetros!B60,VLOOKUP('Base de Dados'!F60,'Base de Dados'!$A$2:$B$64,2,FALSE),VLOOKUP(F60&amp;'Simulador Bradesco'!$I$13,$A$2:$B$600,2,FALSE))</f>
        <v>2.2369999999999999E-4</v>
      </c>
      <c r="H60" s="1">
        <f ca="1">Simulador!A91</f>
        <v>47928</v>
      </c>
      <c r="L60" s="1">
        <f ca="1">IF(Simulador!A90="",Simulador!$C$8,Simulador!A90)</f>
        <v>47900</v>
      </c>
      <c r="M60" s="4">
        <f ca="1">IF(Simulador!Q90="",0,Simulador!Q90*-1)</f>
        <v>-9106.9259221778248</v>
      </c>
      <c r="N60" t="str">
        <f>Parâmetros!$D$22&amp;Parâmetros!C10&amp;Parâmetros!$D$3&amp;Parâmetros!$G$25</f>
        <v>Repasse/AquisiçãoRESIDENCIALPRICEPRINCIPAL</v>
      </c>
      <c r="O60" s="3">
        <f>Parâmetros!H10</f>
        <v>0.15</v>
      </c>
      <c r="P60" s="79">
        <f>Parâmetros!$F$10</f>
        <v>0.8</v>
      </c>
      <c r="R60" s="15">
        <f>Parâmetros!$L$10</f>
        <v>2114.0300000000002</v>
      </c>
      <c r="S60" s="18">
        <f>Parâmetros!$I$10</f>
        <v>121</v>
      </c>
      <c r="T60" s="18">
        <f>Parâmetros!$J$10</f>
        <v>420</v>
      </c>
      <c r="W60" s="2">
        <f>Parâmetros!$S$10</f>
        <v>0.123</v>
      </c>
      <c r="X60" s="3" t="s">
        <v>44</v>
      </c>
      <c r="Y60" s="2">
        <f t="shared" si="2"/>
        <v>0</v>
      </c>
      <c r="Z60" s="3" t="s">
        <v>43</v>
      </c>
    </row>
    <row r="61" spans="1:26" x14ac:dyDescent="0.3">
      <c r="A61" s="18">
        <v>77</v>
      </c>
      <c r="B61" s="16">
        <v>8.1247999999999997E-3</v>
      </c>
      <c r="D61" s="93">
        <f ca="1">Simulador!C92</f>
        <v>59</v>
      </c>
      <c r="E61" s="1">
        <f t="shared" ca="1" si="0"/>
        <v>47959</v>
      </c>
      <c r="F61" s="1">
        <f t="shared" ca="1" si="1"/>
        <v>41</v>
      </c>
      <c r="G61" s="124">
        <f ca="1">IF('Simulador Bradesco'!D74&lt;&gt;Parâmetros!B61,VLOOKUP('Base de Dados'!F61,'Base de Dados'!$A$2:$B$64,2,FALSE),VLOOKUP(F61&amp;'Simulador Bradesco'!$I$13,$A$2:$B$600,2,FALSE))</f>
        <v>2.2369999999999999E-4</v>
      </c>
      <c r="H61" s="1">
        <f ca="1">Simulador!A92</f>
        <v>47959</v>
      </c>
      <c r="L61" s="1">
        <f ca="1">IF(Simulador!A91="",Simulador!$C$8,Simulador!A91)</f>
        <v>47928</v>
      </c>
      <c r="M61" s="4">
        <f ca="1">IF(Simulador!Q91="",0,Simulador!Q91*-1)</f>
        <v>-9106.656370380013</v>
      </c>
      <c r="N61" t="str">
        <f>Parâmetros!$D$22&amp;Parâmetros!C11&amp;Parâmetros!$D$3&amp;Parâmetros!$G$25</f>
        <v>Repasse/AquisiçãoCOMERCIALPRICEPRINCIPAL</v>
      </c>
      <c r="O61" s="3">
        <f>Parâmetros!H11</f>
        <v>0.15</v>
      </c>
      <c r="P61" s="79">
        <f>Parâmetros!$F$11</f>
        <v>0.8</v>
      </c>
      <c r="R61" s="15">
        <f>Parâmetros!$L$11</f>
        <v>3400</v>
      </c>
      <c r="S61" s="18">
        <f>Parâmetros!$I$11</f>
        <v>121</v>
      </c>
      <c r="T61" s="18">
        <f>Parâmetros!$J$11</f>
        <v>240</v>
      </c>
      <c r="W61" s="2">
        <f>Parâmetros!$S$11</f>
        <v>0.1399</v>
      </c>
      <c r="X61" s="3" t="s">
        <v>43</v>
      </c>
      <c r="Y61" s="2">
        <f t="shared" si="2"/>
        <v>3.3799999999999997E-2</v>
      </c>
      <c r="Z61" s="3" t="s">
        <v>43</v>
      </c>
    </row>
    <row r="62" spans="1:26" x14ac:dyDescent="0.3">
      <c r="A62" s="18">
        <v>78</v>
      </c>
      <c r="B62" s="16">
        <v>9.5271999999999996E-3</v>
      </c>
      <c r="D62" s="93">
        <f ca="1">Simulador!C93</f>
        <v>60</v>
      </c>
      <c r="E62" s="1">
        <f t="shared" ca="1" si="0"/>
        <v>47989</v>
      </c>
      <c r="F62" s="1">
        <f t="shared" ca="1" si="1"/>
        <v>41</v>
      </c>
      <c r="G62" s="124">
        <f ca="1">IF('Simulador Bradesco'!D75&lt;&gt;Parâmetros!B62,VLOOKUP('Base de Dados'!F62,'Base de Dados'!$A$2:$B$64,2,FALSE),VLOOKUP(F62&amp;'Simulador Bradesco'!$I$13,$A$2:$B$600,2,FALSE))</f>
        <v>2.2369999999999999E-4</v>
      </c>
      <c r="H62" s="1">
        <f ca="1">Simulador!A93</f>
        <v>47989</v>
      </c>
      <c r="L62" s="1">
        <f ca="1">IF(Simulador!A92="",Simulador!$C$8,Simulador!A92)</f>
        <v>47959</v>
      </c>
      <c r="M62" s="4">
        <f ca="1">IF(Simulador!Q92="",0,Simulador!Q92*-1)</f>
        <v>-9106.3838612050404</v>
      </c>
      <c r="N62" t="str">
        <f>Parâmetros!$D$22&amp;Parâmetros!C7&amp;Parâmetros!$D$2&amp;Parâmetros!$G$26</f>
        <v>Repasse/AquisiçãoLOTESACPRIVATE</v>
      </c>
      <c r="O62" s="3">
        <f>Parâmetros!G7</f>
        <v>0.2</v>
      </c>
      <c r="P62" s="94">
        <f>Parâmetros!$E$7</f>
        <v>0.7</v>
      </c>
      <c r="R62" s="15">
        <f>Parâmetros!$L$7</f>
        <v>3400</v>
      </c>
      <c r="S62" s="18">
        <f>Parâmetros!$I$7</f>
        <v>121</v>
      </c>
      <c r="T62" s="18">
        <f>Parâmetros!$J$7</f>
        <v>240</v>
      </c>
      <c r="W62" s="2">
        <f>Parâmetros!$T$7</f>
        <v>0.1399</v>
      </c>
      <c r="X62" s="3" t="s">
        <v>43</v>
      </c>
      <c r="Y62" s="2">
        <f t="shared" si="2"/>
        <v>3.3799999999999997E-2</v>
      </c>
      <c r="Z62" s="3" t="s">
        <v>43</v>
      </c>
    </row>
    <row r="63" spans="1:26" x14ac:dyDescent="0.3">
      <c r="A63" s="18">
        <v>79</v>
      </c>
      <c r="B63" s="16">
        <v>9.5271999999999996E-3</v>
      </c>
      <c r="D63" s="93">
        <f ca="1">Simulador!C94</f>
        <v>61</v>
      </c>
      <c r="E63" s="1">
        <f t="shared" ca="1" si="0"/>
        <v>48020</v>
      </c>
      <c r="F63" s="1">
        <f t="shared" ca="1" si="1"/>
        <v>41</v>
      </c>
      <c r="G63" s="124">
        <f ca="1">IF('Simulador Bradesco'!D76&lt;&gt;Parâmetros!B63,VLOOKUP('Base de Dados'!F63,'Base de Dados'!$A$2:$B$64,2,FALSE),VLOOKUP(F63&amp;'Simulador Bradesco'!$I$13,$A$2:$B$600,2,FALSE))</f>
        <v>2.2369999999999999E-4</v>
      </c>
      <c r="H63" s="1">
        <f ca="1">Simulador!A94</f>
        <v>48020</v>
      </c>
      <c r="L63" s="1">
        <f ca="1">IF(Simulador!A93="",Simulador!$C$8,Simulador!A93)</f>
        <v>47989</v>
      </c>
      <c r="M63" s="4">
        <f ca="1">IF(Simulador!Q93="",0,Simulador!Q93*-1)</f>
        <v>-9106.1083622061597</v>
      </c>
      <c r="O63" s="3">
        <f>Parâmetros!G8</f>
        <v>0.3</v>
      </c>
      <c r="P63" s="94">
        <f>Parâmetros!$E$8</f>
        <v>0.8</v>
      </c>
      <c r="R63" s="15">
        <f>Parâmetros!$L$8</f>
        <v>1021.25</v>
      </c>
      <c r="S63" s="18">
        <f>Parâmetros!$I$8</f>
        <v>121</v>
      </c>
      <c r="T63" s="18">
        <f>Parâmetros!$J$8</f>
        <v>420</v>
      </c>
      <c r="W63" s="2">
        <f>Parâmetros!$T$8</f>
        <v>0</v>
      </c>
      <c r="X63" s="3" t="s">
        <v>44</v>
      </c>
      <c r="Y63" s="2">
        <f t="shared" si="2"/>
        <v>0</v>
      </c>
      <c r="Z63" s="3" t="s">
        <v>43</v>
      </c>
    </row>
    <row r="64" spans="1:26" x14ac:dyDescent="0.3">
      <c r="A64" s="18">
        <v>80</v>
      </c>
      <c r="B64" s="16">
        <v>9.5271999999999996E-3</v>
      </c>
      <c r="D64" s="93">
        <f ca="1">Simulador!C95</f>
        <v>62</v>
      </c>
      <c r="E64" s="1">
        <f t="shared" ca="1" si="0"/>
        <v>48050</v>
      </c>
      <c r="F64" s="1">
        <f t="shared" ca="1" si="1"/>
        <v>41</v>
      </c>
      <c r="G64" s="124">
        <f ca="1">IF('Simulador Bradesco'!D77&lt;&gt;Parâmetros!B64,VLOOKUP('Base de Dados'!F64,'Base de Dados'!$A$2:$B$64,2,FALSE),VLOOKUP(F64&amp;'Simulador Bradesco'!$I$13,$A$2:$B$600,2,FALSE))</f>
        <v>2.2369999999999999E-4</v>
      </c>
      <c r="H64" s="1">
        <f ca="1">Simulador!A95</f>
        <v>48050</v>
      </c>
      <c r="L64" s="1">
        <f ca="1">IF(Simulador!A94="",Simulador!$C$8,Simulador!A94)</f>
        <v>48020</v>
      </c>
      <c r="M64" s="4">
        <f ca="1">IF(Simulador!Q94="",0,Simulador!Q94*-1)</f>
        <v>-9105.829840580629</v>
      </c>
      <c r="N64" t="str">
        <f>Parâmetros!$D$22&amp;Parâmetros!C9&amp;Parâmetros!$D$2&amp;Parâmetros!$G$26</f>
        <v>Repasse/AquisiçãoRESIDENCIAL &gt; 225SACPRIVATE</v>
      </c>
      <c r="O64" s="3">
        <f>Parâmetros!G9</f>
        <v>0.3</v>
      </c>
      <c r="P64" s="94">
        <f>Parâmetros!$E$9</f>
        <v>0.8</v>
      </c>
      <c r="R64" s="15">
        <f>Parâmetros!$L$9</f>
        <v>2114.0300000000002</v>
      </c>
      <c r="S64" s="18">
        <f>Parâmetros!$I$9</f>
        <v>121</v>
      </c>
      <c r="T64" s="18">
        <f>Parâmetros!$J$9</f>
        <v>420</v>
      </c>
      <c r="W64" s="2">
        <f>Parâmetros!$T$9</f>
        <v>0.123</v>
      </c>
      <c r="X64" s="3" t="s">
        <v>44</v>
      </c>
      <c r="Y64" s="2">
        <f t="shared" si="2"/>
        <v>0</v>
      </c>
      <c r="Z64" s="3" t="s">
        <v>43</v>
      </c>
    </row>
    <row r="65" spans="1:26" x14ac:dyDescent="0.3">
      <c r="A65" t="s">
        <v>162</v>
      </c>
      <c r="B65" s="165">
        <v>1.026E-4</v>
      </c>
      <c r="D65" s="93">
        <f ca="1">Simulador!C96</f>
        <v>63</v>
      </c>
      <c r="E65" s="1">
        <f t="shared" ca="1" si="0"/>
        <v>48081</v>
      </c>
      <c r="F65" s="1">
        <f t="shared" ca="1" si="1"/>
        <v>41</v>
      </c>
      <c r="G65" s="124">
        <f ca="1">IF('Simulador Bradesco'!D78&lt;&gt;Parâmetros!B65,VLOOKUP('Base de Dados'!F65,'Base de Dados'!$A$2:$B$64,2,FALSE),VLOOKUP(F65&amp;'Simulador Bradesco'!$I$13,$A$2:$B$600,2,FALSE))</f>
        <v>2.2369999999999999E-4</v>
      </c>
      <c r="H65" s="1">
        <f ca="1">Simulador!A96</f>
        <v>48081</v>
      </c>
      <c r="L65" s="1">
        <f ca="1">IF(Simulador!A95="",Simulador!$C$8,Simulador!A95)</f>
        <v>48050</v>
      </c>
      <c r="M65" s="4">
        <f ca="1">IF(Simulador!Q95="",0,Simulador!Q95*-1)</f>
        <v>-9105.5482631658215</v>
      </c>
      <c r="N65" t="str">
        <f>Parâmetros!$D$22&amp;Parâmetros!C10&amp;Parâmetros!$D$2&amp;Parâmetros!$G$26</f>
        <v>Repasse/AquisiçãoRESIDENCIALSACPRIVATE</v>
      </c>
      <c r="O65" s="3">
        <f>Parâmetros!G10</f>
        <v>0.3</v>
      </c>
      <c r="P65" s="94">
        <f>Parâmetros!$E$10</f>
        <v>0.8</v>
      </c>
      <c r="R65" s="15">
        <f>Parâmetros!$L$10</f>
        <v>2114.0300000000002</v>
      </c>
      <c r="S65" s="18">
        <f>Parâmetros!$I$10</f>
        <v>121</v>
      </c>
      <c r="T65" s="18">
        <f>Parâmetros!$J$10</f>
        <v>420</v>
      </c>
      <c r="W65" s="2">
        <f>Parâmetros!$T$10</f>
        <v>0.123</v>
      </c>
      <c r="X65" s="3" t="s">
        <v>44</v>
      </c>
      <c r="Y65" s="2">
        <f t="shared" si="2"/>
        <v>0</v>
      </c>
      <c r="Z65" s="3" t="s">
        <v>43</v>
      </c>
    </row>
    <row r="66" spans="1:26" x14ac:dyDescent="0.3">
      <c r="A66" t="s">
        <v>163</v>
      </c>
      <c r="B66" s="165">
        <v>1.026E-4</v>
      </c>
      <c r="D66" s="93">
        <f ca="1">Simulador!C97</f>
        <v>64</v>
      </c>
      <c r="E66" s="1">
        <f t="shared" ca="1" si="0"/>
        <v>48112</v>
      </c>
      <c r="F66" s="1">
        <f t="shared" ca="1" si="1"/>
        <v>42</v>
      </c>
      <c r="G66" s="124">
        <f ca="1">IF('Simulador Bradesco'!D79&lt;&gt;Parâmetros!B66,VLOOKUP('Base de Dados'!F66,'Base de Dados'!$A$2:$B$64,2,FALSE),VLOOKUP(F66&amp;'Simulador Bradesco'!$I$13,$A$2:$B$600,2,FALSE))</f>
        <v>3.1690000000000001E-4</v>
      </c>
      <c r="H66" s="1">
        <f ca="1">Simulador!A97</f>
        <v>48112</v>
      </c>
      <c r="L66" s="1">
        <f ca="1">IF(Simulador!A96="",Simulador!$C$8,Simulador!A96)</f>
        <v>48081</v>
      </c>
      <c r="M66" s="4">
        <f ca="1">IF(Simulador!Q96="",0,Simulador!Q96*-1)</f>
        <v>-9105.2635964352594</v>
      </c>
      <c r="N66" t="str">
        <f>Parâmetros!$D$22&amp;Parâmetros!C11&amp;Parâmetros!$D$2&amp;Parâmetros!$G$26</f>
        <v>Repasse/AquisiçãoCOMERCIALSACPRIVATE</v>
      </c>
      <c r="O66" s="3">
        <f>Parâmetros!G11</f>
        <v>0.3</v>
      </c>
      <c r="P66" s="94">
        <f>Parâmetros!$E$11</f>
        <v>0.8</v>
      </c>
      <c r="R66" s="15">
        <f>Parâmetros!$L$11</f>
        <v>3400</v>
      </c>
      <c r="S66" s="18">
        <f>Parâmetros!$I$11</f>
        <v>121</v>
      </c>
      <c r="T66" s="18">
        <f>Parâmetros!$J$11</f>
        <v>240</v>
      </c>
      <c r="W66" s="2">
        <f>Parâmetros!$T$11</f>
        <v>0.1399</v>
      </c>
      <c r="X66" s="3" t="s">
        <v>43</v>
      </c>
      <c r="Y66" s="2">
        <f t="shared" si="2"/>
        <v>3.3799999999999997E-2</v>
      </c>
      <c r="Z66" s="3" t="s">
        <v>43</v>
      </c>
    </row>
    <row r="67" spans="1:26" x14ac:dyDescent="0.3">
      <c r="A67" t="s">
        <v>164</v>
      </c>
      <c r="B67" s="165">
        <v>1.026E-4</v>
      </c>
      <c r="D67" s="93">
        <f ca="1">Simulador!C98</f>
        <v>65</v>
      </c>
      <c r="E67" s="1">
        <f t="shared" ref="E67:E130" ca="1" si="3">H67</f>
        <v>48142</v>
      </c>
      <c r="F67" s="1">
        <f t="shared" ca="1" si="1"/>
        <v>42</v>
      </c>
      <c r="G67" s="124">
        <f ca="1">IF('Simulador Bradesco'!D80&lt;&gt;Parâmetros!B67,VLOOKUP('Base de Dados'!F67,'Base de Dados'!$A$2:$B$64,2,FALSE),VLOOKUP(F67&amp;'Simulador Bradesco'!$I$13,$A$2:$B$600,2,FALSE))</f>
        <v>3.1690000000000001E-4</v>
      </c>
      <c r="H67" s="1">
        <f ca="1">Simulador!A98</f>
        <v>48142</v>
      </c>
      <c r="L67" s="1">
        <f ca="1">IF(Simulador!A97="",Simulador!$C$8,Simulador!A97)</f>
        <v>48112</v>
      </c>
      <c r="M67" s="4">
        <f ca="1">IF(Simulador!Q97="",0,Simulador!Q97*-1)</f>
        <v>-9169.3229350322545</v>
      </c>
      <c r="N67" t="str">
        <f>Parâmetros!$D$22&amp;Parâmetros!C7&amp;Parâmetros!$D$3&amp;Parâmetros!$G$26</f>
        <v>Repasse/AquisiçãoLOTEPRICEPRIVATE</v>
      </c>
      <c r="O67" s="3">
        <f>Parâmetros!H7</f>
        <v>0.15</v>
      </c>
      <c r="P67" s="79">
        <f>Parâmetros!$F$7</f>
        <v>0.7</v>
      </c>
      <c r="R67" s="15">
        <f>Parâmetros!$L$7</f>
        <v>3400</v>
      </c>
      <c r="S67" s="18">
        <f>Parâmetros!$I$7</f>
        <v>121</v>
      </c>
      <c r="T67" s="18">
        <f>Parâmetros!$J$7</f>
        <v>240</v>
      </c>
      <c r="W67" s="2">
        <f>Parâmetros!$T$7</f>
        <v>0.1399</v>
      </c>
      <c r="X67" s="3" t="s">
        <v>43</v>
      </c>
      <c r="Y67" s="2">
        <f t="shared" si="2"/>
        <v>3.3799999999999997E-2</v>
      </c>
      <c r="Z67" s="3" t="s">
        <v>43</v>
      </c>
    </row>
    <row r="68" spans="1:26" x14ac:dyDescent="0.3">
      <c r="A68" t="s">
        <v>165</v>
      </c>
      <c r="B68" s="165">
        <v>1.105E-4</v>
      </c>
      <c r="D68" s="93">
        <f ca="1">Simulador!C99</f>
        <v>66</v>
      </c>
      <c r="E68" s="1">
        <f t="shared" ca="1" si="3"/>
        <v>48173</v>
      </c>
      <c r="F68" s="1">
        <f t="shared" ref="F68:F131" ca="1" si="4">ROUNDDOWN(_xlfn.DAYS(E68,$B$1)/365,0)</f>
        <v>42</v>
      </c>
      <c r="G68" s="124">
        <f ca="1">IF('Simulador Bradesco'!D81&lt;&gt;Parâmetros!B68,VLOOKUP('Base de Dados'!F68,'Base de Dados'!$A$2:$B$64,2,FALSE),VLOOKUP(F68&amp;'Simulador Bradesco'!$I$13,$A$2:$B$600,2,FALSE))</f>
        <v>3.1690000000000001E-4</v>
      </c>
      <c r="H68" s="1">
        <f ca="1">Simulador!A99</f>
        <v>48173</v>
      </c>
      <c r="L68" s="1">
        <f ca="1">IF(Simulador!A98="",Simulador!$C$8,Simulador!A98)</f>
        <v>48142</v>
      </c>
      <c r="M68" s="4">
        <f ca="1">IF(Simulador!Q98="",0,Simulador!Q98*-1)</f>
        <v>-9168.91077036348</v>
      </c>
      <c r="O68" s="3">
        <f>Parâmetros!H8</f>
        <v>0.15</v>
      </c>
      <c r="P68" s="79">
        <f>Parâmetros!$F$8</f>
        <v>0.8</v>
      </c>
      <c r="R68" s="15">
        <f>Parâmetros!$L$8</f>
        <v>1021.25</v>
      </c>
      <c r="S68" s="18">
        <f>Parâmetros!$I$8</f>
        <v>121</v>
      </c>
      <c r="T68" s="18">
        <f>Parâmetros!$J$8</f>
        <v>420</v>
      </c>
      <c r="W68" s="2">
        <f>Parâmetros!$T$8</f>
        <v>0</v>
      </c>
      <c r="X68" s="3" t="s">
        <v>44</v>
      </c>
      <c r="Y68" s="2">
        <f t="shared" si="2"/>
        <v>0</v>
      </c>
      <c r="Z68" s="3" t="s">
        <v>43</v>
      </c>
    </row>
    <row r="69" spans="1:26" x14ac:dyDescent="0.3">
      <c r="A69" t="s">
        <v>166</v>
      </c>
      <c r="B69" s="165">
        <v>1.105E-4</v>
      </c>
      <c r="D69" s="93">
        <f ca="1">Simulador!C100</f>
        <v>67</v>
      </c>
      <c r="E69" s="1">
        <f t="shared" ca="1" si="3"/>
        <v>48203</v>
      </c>
      <c r="F69" s="1">
        <f t="shared" ca="1" si="4"/>
        <v>42</v>
      </c>
      <c r="G69" s="124">
        <f ca="1">IF('Simulador Bradesco'!D82&lt;&gt;Parâmetros!B69,VLOOKUP('Base de Dados'!F69,'Base de Dados'!$A$2:$B$64,2,FALSE),VLOOKUP(F69&amp;'Simulador Bradesco'!$I$13,$A$2:$B$600,2,FALSE))</f>
        <v>3.1690000000000001E-4</v>
      </c>
      <c r="H69" s="1">
        <f ca="1">Simulador!A100</f>
        <v>48203</v>
      </c>
      <c r="L69" s="1">
        <f ca="1">IF(Simulador!A99="",Simulador!$C$8,Simulador!A99)</f>
        <v>48173</v>
      </c>
      <c r="M69" s="4">
        <f ca="1">IF(Simulador!Q99="",0,Simulador!Q99*-1)</f>
        <v>-9168.4940836459282</v>
      </c>
      <c r="N69" t="str">
        <f>Parâmetros!$D$22&amp;Parâmetros!C9&amp;Parâmetros!$D$3&amp;Parâmetros!$G$26</f>
        <v>Repasse/AquisiçãoRESIDENCIAL &gt; 225PRICEPRIVATE</v>
      </c>
      <c r="O69" s="3">
        <f>Parâmetros!H9</f>
        <v>0.15</v>
      </c>
      <c r="P69" s="79">
        <f>Parâmetros!$F$9</f>
        <v>0.8</v>
      </c>
      <c r="R69" s="15">
        <f>Parâmetros!$L$9</f>
        <v>2114.0300000000002</v>
      </c>
      <c r="S69" s="18">
        <f>Parâmetros!$I$9</f>
        <v>121</v>
      </c>
      <c r="T69" s="18">
        <f>Parâmetros!$J$9</f>
        <v>420</v>
      </c>
      <c r="W69" s="2">
        <f>Parâmetros!$T$9</f>
        <v>0.123</v>
      </c>
      <c r="X69" s="3" t="s">
        <v>44</v>
      </c>
      <c r="Y69" s="2">
        <f t="shared" si="2"/>
        <v>0</v>
      </c>
      <c r="Z69" s="3" t="s">
        <v>43</v>
      </c>
    </row>
    <row r="70" spans="1:26" x14ac:dyDescent="0.3">
      <c r="A70" t="s">
        <v>167</v>
      </c>
      <c r="B70" s="165">
        <v>1.105E-4</v>
      </c>
      <c r="D70" s="93">
        <f ca="1">Simulador!C101</f>
        <v>68</v>
      </c>
      <c r="E70" s="1">
        <f t="shared" ca="1" si="3"/>
        <v>48234</v>
      </c>
      <c r="F70" s="1">
        <f t="shared" ca="1" si="4"/>
        <v>42</v>
      </c>
      <c r="G70" s="124">
        <f ca="1">IF('Simulador Bradesco'!D83&lt;&gt;Parâmetros!B70,VLOOKUP('Base de Dados'!F70,'Base de Dados'!$A$2:$B$64,2,FALSE),VLOOKUP(F70&amp;'Simulador Bradesco'!$I$13,$A$2:$B$600,2,FALSE))</f>
        <v>3.1690000000000001E-4</v>
      </c>
      <c r="H70" s="1">
        <f ca="1">Simulador!A101</f>
        <v>48234</v>
      </c>
      <c r="L70" s="1">
        <f ca="1">IF(Simulador!A100="",Simulador!$C$8,Simulador!A100)</f>
        <v>48203</v>
      </c>
      <c r="M70" s="4">
        <f ca="1">IF(Simulador!Q100="",0,Simulador!Q100*-1)</f>
        <v>-9168.0728252661156</v>
      </c>
      <c r="N70" t="str">
        <f>Parâmetros!$D$22&amp;Parâmetros!C10&amp;Parâmetros!$D$3&amp;Parâmetros!$G$26</f>
        <v>Repasse/AquisiçãoRESIDENCIALPRICEPRIVATE</v>
      </c>
      <c r="O70" s="3">
        <f>Parâmetros!H10</f>
        <v>0.15</v>
      </c>
      <c r="P70" s="79">
        <f>Parâmetros!$F$10</f>
        <v>0.8</v>
      </c>
      <c r="R70" s="15">
        <f>Parâmetros!$L$10</f>
        <v>2114.0300000000002</v>
      </c>
      <c r="S70" s="18">
        <f>Parâmetros!$I$10</f>
        <v>121</v>
      </c>
      <c r="T70" s="18">
        <f>Parâmetros!$J$10</f>
        <v>420</v>
      </c>
      <c r="W70" s="2">
        <f>Parâmetros!$T$10</f>
        <v>0.123</v>
      </c>
      <c r="X70" s="3" t="s">
        <v>44</v>
      </c>
      <c r="Y70" s="2">
        <f t="shared" si="2"/>
        <v>0</v>
      </c>
      <c r="Z70" s="3" t="s">
        <v>43</v>
      </c>
    </row>
    <row r="71" spans="1:26" x14ac:dyDescent="0.3">
      <c r="A71" t="s">
        <v>168</v>
      </c>
      <c r="B71" s="165">
        <v>1.167E-4</v>
      </c>
      <c r="D71" s="93">
        <f ca="1">Simulador!C102</f>
        <v>69</v>
      </c>
      <c r="E71" s="1">
        <f t="shared" ca="1" si="3"/>
        <v>48265</v>
      </c>
      <c r="F71" s="1">
        <f t="shared" ca="1" si="4"/>
        <v>42</v>
      </c>
      <c r="G71" s="124">
        <f ca="1">IF('Simulador Bradesco'!D84&lt;&gt;Parâmetros!B71,VLOOKUP('Base de Dados'!F71,'Base de Dados'!$A$2:$B$64,2,FALSE),VLOOKUP(F71&amp;'Simulador Bradesco'!$I$13,$A$2:$B$600,2,FALSE))</f>
        <v>3.1690000000000001E-4</v>
      </c>
      <c r="H71" s="1">
        <f ca="1">Simulador!A102</f>
        <v>48265</v>
      </c>
      <c r="L71" s="1">
        <f ca="1">IF(Simulador!A101="",Simulador!$C$8,Simulador!A101)</f>
        <v>48234</v>
      </c>
      <c r="M71" s="4">
        <f ca="1">IF(Simulador!Q101="",0,Simulador!Q101*-1)</f>
        <v>-9167.6469450662244</v>
      </c>
      <c r="N71" t="str">
        <f>Parâmetros!$D$22&amp;Parâmetros!C11&amp;Parâmetros!$D$3&amp;Parâmetros!$G$26</f>
        <v>Repasse/AquisiçãoCOMERCIALPRICEPRIVATE</v>
      </c>
      <c r="O71" s="3">
        <f>Parâmetros!H11</f>
        <v>0.15</v>
      </c>
      <c r="P71" s="79">
        <f>Parâmetros!$F$11</f>
        <v>0.8</v>
      </c>
      <c r="R71" s="15">
        <f>Parâmetros!$L$11</f>
        <v>3400</v>
      </c>
      <c r="S71" s="18">
        <f>Parâmetros!$I$11</f>
        <v>121</v>
      </c>
      <c r="T71" s="18">
        <f>Parâmetros!$J$11</f>
        <v>240</v>
      </c>
      <c r="W71" s="2">
        <f>Parâmetros!$T$11</f>
        <v>0.1399</v>
      </c>
      <c r="X71" s="3" t="s">
        <v>43</v>
      </c>
      <c r="Y71" s="2">
        <f t="shared" si="2"/>
        <v>3.3799999999999997E-2</v>
      </c>
      <c r="Z71" s="3" t="s">
        <v>43</v>
      </c>
    </row>
    <row r="72" spans="1:26" x14ac:dyDescent="0.3">
      <c r="A72" t="s">
        <v>169</v>
      </c>
      <c r="B72" s="165">
        <v>1.167E-4</v>
      </c>
      <c r="D72" s="93">
        <f ca="1">Simulador!C103</f>
        <v>70</v>
      </c>
      <c r="E72" s="1">
        <f t="shared" ca="1" si="3"/>
        <v>48294</v>
      </c>
      <c r="F72" s="1">
        <f t="shared" ca="1" si="4"/>
        <v>42</v>
      </c>
      <c r="G72" s="124">
        <f ca="1">IF('Simulador Bradesco'!D85&lt;&gt;Parâmetros!B72,VLOOKUP('Base de Dados'!F72,'Base de Dados'!$A$2:$B$64,2,FALSE),VLOOKUP(F72&amp;'Simulador Bradesco'!$I$13,$A$2:$B$600,2,FALSE))</f>
        <v>3.1690000000000001E-4</v>
      </c>
      <c r="H72" s="1">
        <f ca="1">Simulador!A103</f>
        <v>48294</v>
      </c>
      <c r="L72" s="1">
        <f ca="1">IF(Simulador!A102="",Simulador!$C$8,Simulador!A102)</f>
        <v>48265</v>
      </c>
      <c r="M72" s="4">
        <f ca="1">IF(Simulador!Q102="",0,Simulador!Q102*-1)</f>
        <v>-9167.2163923381358</v>
      </c>
    </row>
    <row r="73" spans="1:26" x14ac:dyDescent="0.3">
      <c r="A73" t="s">
        <v>170</v>
      </c>
      <c r="B73" s="165">
        <v>1.167E-4</v>
      </c>
      <c r="D73" s="93">
        <f ca="1">Simulador!C104</f>
        <v>71</v>
      </c>
      <c r="E73" s="1">
        <f t="shared" ca="1" si="3"/>
        <v>48325</v>
      </c>
      <c r="F73" s="1">
        <f t="shared" ca="1" si="4"/>
        <v>42</v>
      </c>
      <c r="G73" s="124">
        <f ca="1">IF('Simulador Bradesco'!D86&lt;&gt;Parâmetros!B73,VLOOKUP('Base de Dados'!F73,'Base de Dados'!$A$2:$B$64,2,FALSE),VLOOKUP(F73&amp;'Simulador Bradesco'!$I$13,$A$2:$B$600,2,FALSE))</f>
        <v>3.1690000000000001E-4</v>
      </c>
      <c r="H73" s="1">
        <f ca="1">Simulador!A104</f>
        <v>48325</v>
      </c>
      <c r="L73" s="1">
        <f ca="1">IF(Simulador!A103="",Simulador!$C$8,Simulador!A103)</f>
        <v>48294</v>
      </c>
      <c r="M73" s="4">
        <f ca="1">IF(Simulador!Q103="",0,Simulador!Q103*-1)</f>
        <v>-9166.7811158173863</v>
      </c>
    </row>
    <row r="74" spans="1:26" x14ac:dyDescent="0.3">
      <c r="A74" t="s">
        <v>171</v>
      </c>
      <c r="B74" s="165">
        <v>1.2760000000000001E-4</v>
      </c>
      <c r="D74" s="93">
        <f ca="1">Simulador!C105</f>
        <v>72</v>
      </c>
      <c r="E74" s="1">
        <f t="shared" ca="1" si="3"/>
        <v>48355</v>
      </c>
      <c r="F74" s="1">
        <f t="shared" ca="1" si="4"/>
        <v>42</v>
      </c>
      <c r="G74" s="124">
        <f ca="1">IF('Simulador Bradesco'!D87&lt;&gt;Parâmetros!B74,VLOOKUP('Base de Dados'!F74,'Base de Dados'!$A$2:$B$64,2,FALSE),VLOOKUP(F74&amp;'Simulador Bradesco'!$I$13,$A$2:$B$600,2,FALSE))</f>
        <v>3.1690000000000001E-4</v>
      </c>
      <c r="H74" s="1">
        <f ca="1">Simulador!A105</f>
        <v>48355</v>
      </c>
      <c r="L74" s="1">
        <f ca="1">IF(Simulador!A104="",Simulador!$C$8,Simulador!A104)</f>
        <v>48325</v>
      </c>
      <c r="M74" s="4">
        <f ca="1">IF(Simulador!Q104="",0,Simulador!Q104*-1)</f>
        <v>-9166.3410636770659</v>
      </c>
    </row>
    <row r="75" spans="1:26" x14ac:dyDescent="0.3">
      <c r="A75" t="s">
        <v>172</v>
      </c>
      <c r="B75" s="165">
        <v>1.2760000000000001E-4</v>
      </c>
      <c r="D75" s="93">
        <f ca="1">Simulador!C106</f>
        <v>73</v>
      </c>
      <c r="E75" s="1">
        <f t="shared" ca="1" si="3"/>
        <v>48386</v>
      </c>
      <c r="F75" s="1">
        <f t="shared" ca="1" si="4"/>
        <v>42</v>
      </c>
      <c r="G75" s="124">
        <f ca="1">IF('Simulador Bradesco'!D88&lt;&gt;Parâmetros!B75,VLOOKUP('Base de Dados'!F75,'Base de Dados'!$A$2:$B$64,2,FALSE),VLOOKUP(F75&amp;'Simulador Bradesco'!$I$13,$A$2:$B$600,2,FALSE))</f>
        <v>3.1690000000000001E-4</v>
      </c>
      <c r="H75" s="1">
        <f ca="1">Simulador!A106</f>
        <v>48386</v>
      </c>
      <c r="L75" s="1">
        <f ca="1">IF(Simulador!A105="",Simulador!$C$8,Simulador!A105)</f>
        <v>48355</v>
      </c>
      <c r="M75" s="4">
        <f ca="1">IF(Simulador!Q105="",0,Simulador!Q105*-1)</f>
        <v>-9165.8961835216505</v>
      </c>
    </row>
    <row r="76" spans="1:26" x14ac:dyDescent="0.3">
      <c r="A76" t="s">
        <v>173</v>
      </c>
      <c r="B76" s="165">
        <v>1.2760000000000001E-4</v>
      </c>
      <c r="D76" s="93">
        <f ca="1">Simulador!C107</f>
        <v>74</v>
      </c>
      <c r="E76" s="1">
        <f t="shared" ca="1" si="3"/>
        <v>48416</v>
      </c>
      <c r="F76" s="1">
        <f t="shared" ca="1" si="4"/>
        <v>42</v>
      </c>
      <c r="G76" s="124">
        <f ca="1">IF('Simulador Bradesco'!D89&lt;&gt;Parâmetros!B76,VLOOKUP('Base de Dados'!F76,'Base de Dados'!$A$2:$B$64,2,FALSE),VLOOKUP(F76&amp;'Simulador Bradesco'!$I$13,$A$2:$B$600,2,FALSE))</f>
        <v>3.1690000000000001E-4</v>
      </c>
      <c r="H76" s="1">
        <f ca="1">Simulador!A107</f>
        <v>48416</v>
      </c>
      <c r="L76" s="1">
        <f ca="1">IF(Simulador!A106="",Simulador!$C$8,Simulador!A106)</f>
        <v>48386</v>
      </c>
      <c r="M76" s="4">
        <f ca="1">IF(Simulador!Q106="",0,Simulador!Q106*-1)</f>
        <v>-9165.4464223807554</v>
      </c>
    </row>
    <row r="77" spans="1:26" x14ac:dyDescent="0.3">
      <c r="A77" t="s">
        <v>174</v>
      </c>
      <c r="B77" s="165">
        <v>1.4080000000000001E-4</v>
      </c>
      <c r="D77" s="93">
        <f ca="1">Simulador!C108</f>
        <v>75</v>
      </c>
      <c r="E77" s="1">
        <f t="shared" ca="1" si="3"/>
        <v>48447</v>
      </c>
      <c r="F77" s="1">
        <f t="shared" ca="1" si="4"/>
        <v>42</v>
      </c>
      <c r="G77" s="124">
        <f ca="1">IF('Simulador Bradesco'!D90&lt;&gt;Parâmetros!B77,VLOOKUP('Base de Dados'!F77,'Base de Dados'!$A$2:$B$64,2,FALSE),VLOOKUP(F77&amp;'Simulador Bradesco'!$I$13,$A$2:$B$600,2,FALSE))</f>
        <v>3.1690000000000001E-4</v>
      </c>
      <c r="H77" s="1">
        <f ca="1">Simulador!A108</f>
        <v>48447</v>
      </c>
      <c r="L77" s="1">
        <f ca="1">IF(Simulador!A107="",Simulador!$C$8,Simulador!A107)</f>
        <v>48416</v>
      </c>
      <c r="M77" s="4">
        <f ca="1">IF(Simulador!Q107="",0,Simulador!Q107*-1)</f>
        <v>-9164.9917267028377</v>
      </c>
    </row>
    <row r="78" spans="1:26" x14ac:dyDescent="0.3">
      <c r="A78" t="s">
        <v>175</v>
      </c>
      <c r="B78" s="165">
        <v>1.4080000000000001E-4</v>
      </c>
      <c r="D78" s="93">
        <f ca="1">Simulador!C109</f>
        <v>76</v>
      </c>
      <c r="E78" s="1">
        <f t="shared" ca="1" si="3"/>
        <v>48478</v>
      </c>
      <c r="F78" s="1">
        <f t="shared" ca="1" si="4"/>
        <v>43</v>
      </c>
      <c r="G78" s="124">
        <f ca="1">IF('Simulador Bradesco'!D91&lt;&gt;Parâmetros!B78,VLOOKUP('Base de Dados'!F78,'Base de Dados'!$A$2:$B$64,2,FALSE),VLOOKUP(F78&amp;'Simulador Bradesco'!$I$13,$A$2:$B$600,2,FALSE))</f>
        <v>3.1690000000000001E-4</v>
      </c>
      <c r="H78" s="1">
        <f ca="1">Simulador!A109</f>
        <v>48478</v>
      </c>
      <c r="L78" s="1">
        <f ca="1">IF(Simulador!A108="",Simulador!$C$8,Simulador!A108)</f>
        <v>48447</v>
      </c>
      <c r="M78" s="4">
        <f ca="1">IF(Simulador!Q108="",0,Simulador!Q108*-1)</f>
        <v>-9164.5320423488174</v>
      </c>
    </row>
    <row r="79" spans="1:26" x14ac:dyDescent="0.3">
      <c r="A79" t="s">
        <v>176</v>
      </c>
      <c r="B79" s="165">
        <v>1.4080000000000001E-4</v>
      </c>
      <c r="D79" s="93">
        <f ca="1">Simulador!C110</f>
        <v>77</v>
      </c>
      <c r="E79" s="1">
        <f t="shared" ca="1" si="3"/>
        <v>48508</v>
      </c>
      <c r="F79" s="1">
        <f t="shared" ca="1" si="4"/>
        <v>43</v>
      </c>
      <c r="G79" s="124">
        <f ca="1">IF('Simulador Bradesco'!D92&lt;&gt;Parâmetros!B79,VLOOKUP('Base de Dados'!F79,'Base de Dados'!$A$2:$B$64,2,FALSE),VLOOKUP(F79&amp;'Simulador Bradesco'!$I$13,$A$2:$B$600,2,FALSE))</f>
        <v>3.1690000000000001E-4</v>
      </c>
      <c r="H79" s="1">
        <f ca="1">Simulador!A110</f>
        <v>48508</v>
      </c>
      <c r="L79" s="1">
        <f ca="1">IF(Simulador!A109="",Simulador!$C$8,Simulador!A109)</f>
        <v>48478</v>
      </c>
      <c r="M79" s="4">
        <f ca="1">IF(Simulador!Q109="",0,Simulador!Q109*-1)</f>
        <v>-9164.0673145856217</v>
      </c>
    </row>
    <row r="80" spans="1:26" x14ac:dyDescent="0.3">
      <c r="A80" t="s">
        <v>177</v>
      </c>
      <c r="B80" s="165">
        <v>1.5349999999999999E-4</v>
      </c>
      <c r="D80" s="93">
        <f ca="1">Simulador!C111</f>
        <v>78</v>
      </c>
      <c r="E80" s="1">
        <f t="shared" ca="1" si="3"/>
        <v>48539</v>
      </c>
      <c r="F80" s="1">
        <f t="shared" ca="1" si="4"/>
        <v>43</v>
      </c>
      <c r="G80" s="124">
        <f ca="1">IF('Simulador Bradesco'!D93&lt;&gt;Parâmetros!B80,VLOOKUP('Base de Dados'!F80,'Base de Dados'!$A$2:$B$64,2,FALSE),VLOOKUP(F80&amp;'Simulador Bradesco'!$I$13,$A$2:$B$600,2,FALSE))</f>
        <v>3.1690000000000001E-4</v>
      </c>
      <c r="H80" s="1">
        <f ca="1">Simulador!A111</f>
        <v>48539</v>
      </c>
      <c r="L80" s="1">
        <f ca="1">IF(Simulador!A110="",Simulador!$C$8,Simulador!A110)</f>
        <v>48508</v>
      </c>
      <c r="M80" s="4">
        <f ca="1">IF(Simulador!Q110="",0,Simulador!Q110*-1)</f>
        <v>-9163.5974880796875</v>
      </c>
    </row>
    <row r="81" spans="1:13" x14ac:dyDescent="0.3">
      <c r="A81" t="s">
        <v>178</v>
      </c>
      <c r="B81" s="165">
        <v>1.5349999999999999E-4</v>
      </c>
      <c r="D81" s="93">
        <f ca="1">Simulador!C112</f>
        <v>79</v>
      </c>
      <c r="E81" s="1">
        <f t="shared" ca="1" si="3"/>
        <v>48569</v>
      </c>
      <c r="F81" s="1">
        <f t="shared" ca="1" si="4"/>
        <v>43</v>
      </c>
      <c r="G81" s="124">
        <f ca="1">IF('Simulador Bradesco'!D94&lt;&gt;Parâmetros!B81,VLOOKUP('Base de Dados'!F81,'Base de Dados'!$A$2:$B$64,2,FALSE),VLOOKUP(F81&amp;'Simulador Bradesco'!$I$13,$A$2:$B$600,2,FALSE))</f>
        <v>3.1690000000000001E-4</v>
      </c>
      <c r="H81" s="1">
        <f ca="1">Simulador!A112</f>
        <v>48569</v>
      </c>
      <c r="L81" s="1">
        <f ca="1">IF(Simulador!A111="",Simulador!$C$8,Simulador!A111)</f>
        <v>48539</v>
      </c>
      <c r="M81" s="4">
        <f ca="1">IF(Simulador!Q111="",0,Simulador!Q111*-1)</f>
        <v>-9163.1225068903495</v>
      </c>
    </row>
    <row r="82" spans="1:13" x14ac:dyDescent="0.3">
      <c r="A82" t="s">
        <v>179</v>
      </c>
      <c r="B82" s="165">
        <v>1.5349999999999999E-4</v>
      </c>
      <c r="D82" s="93">
        <f ca="1">Simulador!C113</f>
        <v>80</v>
      </c>
      <c r="E82" s="1">
        <f t="shared" ca="1" si="3"/>
        <v>48600</v>
      </c>
      <c r="F82" s="1">
        <f t="shared" ca="1" si="4"/>
        <v>43</v>
      </c>
      <c r="G82" s="124">
        <f ca="1">IF('Simulador Bradesco'!D95&lt;&gt;Parâmetros!B82,VLOOKUP('Base de Dados'!F82,'Base de Dados'!$A$2:$B$64,2,FALSE),VLOOKUP(F82&amp;'Simulador Bradesco'!$I$13,$A$2:$B$600,2,FALSE))</f>
        <v>3.1690000000000001E-4</v>
      </c>
      <c r="H82" s="1">
        <f ca="1">Simulador!A113</f>
        <v>48600</v>
      </c>
      <c r="L82" s="1">
        <f ca="1">IF(Simulador!A112="",Simulador!$C$8,Simulador!A112)</f>
        <v>48569</v>
      </c>
      <c r="M82" s="4">
        <f ca="1">IF(Simulador!Q112="",0,Simulador!Q112*-1)</f>
        <v>-9162.6423144632008</v>
      </c>
    </row>
    <row r="83" spans="1:13" x14ac:dyDescent="0.3">
      <c r="A83" t="s">
        <v>180</v>
      </c>
      <c r="B83" s="165">
        <v>1.7760000000000001E-4</v>
      </c>
      <c r="D83" s="93">
        <f ca="1">Simulador!C114</f>
        <v>81</v>
      </c>
      <c r="E83" s="1">
        <f t="shared" ca="1" si="3"/>
        <v>48631</v>
      </c>
      <c r="F83" s="1">
        <f t="shared" ca="1" si="4"/>
        <v>43</v>
      </c>
      <c r="G83" s="124">
        <f ca="1">IF('Simulador Bradesco'!D96&lt;&gt;Parâmetros!B83,VLOOKUP('Base de Dados'!F83,'Base de Dados'!$A$2:$B$64,2,FALSE),VLOOKUP(F83&amp;'Simulador Bradesco'!$I$13,$A$2:$B$600,2,FALSE))</f>
        <v>3.1690000000000001E-4</v>
      </c>
      <c r="H83" s="1">
        <f ca="1">Simulador!A114</f>
        <v>48631</v>
      </c>
      <c r="L83" s="1">
        <f ca="1">IF(Simulador!A113="",Simulador!$C$8,Simulador!A113)</f>
        <v>48600</v>
      </c>
      <c r="M83" s="4">
        <f ca="1">IF(Simulador!Q113="",0,Simulador!Q113*-1)</f>
        <v>-9162.1568536233463</v>
      </c>
    </row>
    <row r="84" spans="1:13" x14ac:dyDescent="0.3">
      <c r="A84" t="s">
        <v>181</v>
      </c>
      <c r="B84" s="165">
        <v>1.7760000000000001E-4</v>
      </c>
      <c r="D84" s="93">
        <f ca="1">Simulador!C115</f>
        <v>82</v>
      </c>
      <c r="E84" s="1">
        <f t="shared" ca="1" si="3"/>
        <v>48659</v>
      </c>
      <c r="F84" s="1">
        <f t="shared" ca="1" si="4"/>
        <v>43</v>
      </c>
      <c r="G84" s="124">
        <f ca="1">IF('Simulador Bradesco'!D97&lt;&gt;Parâmetros!B84,VLOOKUP('Base de Dados'!F84,'Base de Dados'!$A$2:$B$64,2,FALSE),VLOOKUP(F84&amp;'Simulador Bradesco'!$I$13,$A$2:$B$600,2,FALSE))</f>
        <v>3.1690000000000001E-4</v>
      </c>
      <c r="H84" s="1">
        <f ca="1">Simulador!A115</f>
        <v>48659</v>
      </c>
      <c r="L84" s="1">
        <f ca="1">IF(Simulador!A114="",Simulador!$C$8,Simulador!A114)</f>
        <v>48631</v>
      </c>
      <c r="M84" s="4">
        <f ca="1">IF(Simulador!Q114="",0,Simulador!Q114*-1)</f>
        <v>-9161.6660665685977</v>
      </c>
    </row>
    <row r="85" spans="1:13" x14ac:dyDescent="0.3">
      <c r="A85" t="s">
        <v>182</v>
      </c>
      <c r="B85" s="165">
        <v>1.7760000000000001E-4</v>
      </c>
      <c r="D85" s="93">
        <f ca="1">Simulador!C116</f>
        <v>83</v>
      </c>
      <c r="E85" s="1">
        <f t="shared" ca="1" si="3"/>
        <v>48690</v>
      </c>
      <c r="F85" s="1">
        <f t="shared" ca="1" si="4"/>
        <v>43</v>
      </c>
      <c r="G85" s="124">
        <f ca="1">IF('Simulador Bradesco'!D98&lt;&gt;Parâmetros!B85,VLOOKUP('Base de Dados'!F85,'Base de Dados'!$A$2:$B$64,2,FALSE),VLOOKUP(F85&amp;'Simulador Bradesco'!$I$13,$A$2:$B$600,2,FALSE))</f>
        <v>3.1690000000000001E-4</v>
      </c>
      <c r="H85" s="1">
        <f ca="1">Simulador!A116</f>
        <v>48690</v>
      </c>
      <c r="L85" s="1">
        <f ca="1">IF(Simulador!A115="",Simulador!$C$8,Simulador!A115)</f>
        <v>48659</v>
      </c>
      <c r="M85" s="4">
        <f ca="1">IF(Simulador!Q115="",0,Simulador!Q115*-1)</f>
        <v>-9161.1698948625963</v>
      </c>
    </row>
    <row r="86" spans="1:13" x14ac:dyDescent="0.3">
      <c r="A86" t="s">
        <v>183</v>
      </c>
      <c r="B86" s="165">
        <v>2.1890000000000001E-4</v>
      </c>
      <c r="D86" s="93">
        <f ca="1">Simulador!C117</f>
        <v>84</v>
      </c>
      <c r="E86" s="1">
        <f t="shared" ca="1" si="3"/>
        <v>48720</v>
      </c>
      <c r="F86" s="1">
        <f t="shared" ca="1" si="4"/>
        <v>43</v>
      </c>
      <c r="G86" s="124">
        <f ca="1">IF('Simulador Bradesco'!D99&lt;&gt;Parâmetros!B86,VLOOKUP('Base de Dados'!F86,'Base de Dados'!$A$2:$B$64,2,FALSE),VLOOKUP(F86&amp;'Simulador Bradesco'!$I$13,$A$2:$B$600,2,FALSE))</f>
        <v>3.1690000000000001E-4</v>
      </c>
      <c r="H86" s="1">
        <f ca="1">Simulador!A117</f>
        <v>48720</v>
      </c>
      <c r="L86" s="1">
        <f ca="1">IF(Simulador!A116="",Simulador!$C$8,Simulador!A116)</f>
        <v>48690</v>
      </c>
      <c r="M86" s="4">
        <f ca="1">IF(Simulador!Q116="",0,Simulador!Q116*-1)</f>
        <v>-9160.668279427844</v>
      </c>
    </row>
    <row r="87" spans="1:13" x14ac:dyDescent="0.3">
      <c r="A87" t="s">
        <v>184</v>
      </c>
      <c r="B87" s="165">
        <v>2.1890000000000001E-4</v>
      </c>
      <c r="D87" s="93">
        <f ca="1">Simulador!C118</f>
        <v>85</v>
      </c>
      <c r="E87" s="1">
        <f t="shared" ca="1" si="3"/>
        <v>48751</v>
      </c>
      <c r="F87" s="1">
        <f t="shared" ca="1" si="4"/>
        <v>43</v>
      </c>
      <c r="G87" s="124">
        <f ca="1">IF('Simulador Bradesco'!D100&lt;&gt;Parâmetros!B87,VLOOKUP('Base de Dados'!F87,'Base de Dados'!$A$2:$B$64,2,FALSE),VLOOKUP(F87&amp;'Simulador Bradesco'!$I$13,$A$2:$B$600,2,FALSE))</f>
        <v>3.1690000000000001E-4</v>
      </c>
      <c r="H87" s="1">
        <f ca="1">Simulador!A118</f>
        <v>48751</v>
      </c>
      <c r="L87" s="1">
        <f ca="1">IF(Simulador!A117="",Simulador!$C$8,Simulador!A117)</f>
        <v>48720</v>
      </c>
      <c r="M87" s="4">
        <f ca="1">IF(Simulador!Q117="",0,Simulador!Q117*-1)</f>
        <v>-9160.1611605386843</v>
      </c>
    </row>
    <row r="88" spans="1:13" x14ac:dyDescent="0.3">
      <c r="A88" t="s">
        <v>185</v>
      </c>
      <c r="B88" s="165">
        <v>2.1890000000000001E-4</v>
      </c>
      <c r="D88" s="93">
        <f ca="1">Simulador!C119</f>
        <v>86</v>
      </c>
      <c r="E88" s="1">
        <f t="shared" ca="1" si="3"/>
        <v>48781</v>
      </c>
      <c r="F88" s="1">
        <f t="shared" ca="1" si="4"/>
        <v>43</v>
      </c>
      <c r="G88" s="124">
        <f ca="1">IF('Simulador Bradesco'!D101&lt;&gt;Parâmetros!B88,VLOOKUP('Base de Dados'!F88,'Base de Dados'!$A$2:$B$64,2,FALSE),VLOOKUP(F88&amp;'Simulador Bradesco'!$I$13,$A$2:$B$600,2,FALSE))</f>
        <v>3.1690000000000001E-4</v>
      </c>
      <c r="H88" s="1">
        <f ca="1">Simulador!A119</f>
        <v>48781</v>
      </c>
      <c r="L88" s="1">
        <f ca="1">IF(Simulador!A118="",Simulador!$C$8,Simulador!A118)</f>
        <v>48751</v>
      </c>
      <c r="M88" s="4">
        <f ca="1">IF(Simulador!Q118="",0,Simulador!Q118*-1)</f>
        <v>-9159.6484778141785</v>
      </c>
    </row>
    <row r="89" spans="1:13" x14ac:dyDescent="0.3">
      <c r="A89" t="s">
        <v>186</v>
      </c>
      <c r="B89" s="165">
        <v>3.1040000000000001E-4</v>
      </c>
      <c r="D89" s="93">
        <f ca="1">Simulador!C120</f>
        <v>87</v>
      </c>
      <c r="E89" s="1">
        <f t="shared" ca="1" si="3"/>
        <v>48812</v>
      </c>
      <c r="F89" s="1">
        <f t="shared" ca="1" si="4"/>
        <v>43</v>
      </c>
      <c r="G89" s="124">
        <f ca="1">IF('Simulador Bradesco'!D102&lt;&gt;Parâmetros!B89,VLOOKUP('Base de Dados'!F89,'Base de Dados'!$A$2:$B$64,2,FALSE),VLOOKUP(F89&amp;'Simulador Bradesco'!$I$13,$A$2:$B$600,2,FALSE))</f>
        <v>3.1690000000000001E-4</v>
      </c>
      <c r="H89" s="1">
        <f ca="1">Simulador!A120</f>
        <v>48812</v>
      </c>
      <c r="L89" s="1">
        <f ca="1">IF(Simulador!A119="",Simulador!$C$8,Simulador!A119)</f>
        <v>48781</v>
      </c>
      <c r="M89" s="4">
        <f ca="1">IF(Simulador!Q119="",0,Simulador!Q119*-1)</f>
        <v>-9159.1301702109213</v>
      </c>
    </row>
    <row r="90" spans="1:13" x14ac:dyDescent="0.3">
      <c r="A90" t="s">
        <v>187</v>
      </c>
      <c r="B90" s="165">
        <v>3.1040000000000001E-4</v>
      </c>
      <c r="D90" s="93">
        <f ca="1">Simulador!C121</f>
        <v>88</v>
      </c>
      <c r="E90" s="1">
        <f t="shared" ca="1" si="3"/>
        <v>48843</v>
      </c>
      <c r="F90" s="1">
        <f t="shared" ca="1" si="4"/>
        <v>44</v>
      </c>
      <c r="G90" s="124">
        <f ca="1">IF('Simulador Bradesco'!D103&lt;&gt;Parâmetros!B90,VLOOKUP('Base de Dados'!F90,'Base de Dados'!$A$2:$B$64,2,FALSE),VLOOKUP(F90&amp;'Simulador Bradesco'!$I$13,$A$2:$B$600,2,FALSE))</f>
        <v>3.1690000000000001E-4</v>
      </c>
      <c r="H90" s="1">
        <f ca="1">Simulador!A121</f>
        <v>48843</v>
      </c>
      <c r="L90" s="1">
        <f ca="1">IF(Simulador!A120="",Simulador!$C$8,Simulador!A120)</f>
        <v>48812</v>
      </c>
      <c r="M90" s="4">
        <f ca="1">IF(Simulador!Q120="",0,Simulador!Q120*-1)</f>
        <v>-9158.6061760157718</v>
      </c>
    </row>
    <row r="91" spans="1:13" x14ac:dyDescent="0.3">
      <c r="A91" t="s">
        <v>188</v>
      </c>
      <c r="B91" s="165">
        <v>3.1040000000000001E-4</v>
      </c>
      <c r="D91" s="93">
        <f ca="1">Simulador!C122</f>
        <v>89</v>
      </c>
      <c r="E91" s="1">
        <f t="shared" ca="1" si="3"/>
        <v>48873</v>
      </c>
      <c r="F91" s="1">
        <f t="shared" ca="1" si="4"/>
        <v>44</v>
      </c>
      <c r="G91" s="124">
        <f ca="1">IF('Simulador Bradesco'!D104&lt;&gt;Parâmetros!B91,VLOOKUP('Base de Dados'!F91,'Base de Dados'!$A$2:$B$64,2,FALSE),VLOOKUP(F91&amp;'Simulador Bradesco'!$I$13,$A$2:$B$600,2,FALSE))</f>
        <v>3.1690000000000001E-4</v>
      </c>
      <c r="H91" s="1">
        <f ca="1">Simulador!A122</f>
        <v>48873</v>
      </c>
      <c r="L91" s="1">
        <f ca="1">IF(Simulador!A121="",Simulador!$C$8,Simulador!A121)</f>
        <v>48843</v>
      </c>
      <c r="M91" s="4">
        <f ca="1">IF(Simulador!Q121="",0,Simulador!Q121*-1)</f>
        <v>-9158.0764328385067</v>
      </c>
    </row>
    <row r="92" spans="1:13" x14ac:dyDescent="0.3">
      <c r="A92" t="s">
        <v>189</v>
      </c>
      <c r="B92" s="165">
        <v>4.2620000000000001E-4</v>
      </c>
      <c r="D92" s="93">
        <f ca="1">Simulador!C123</f>
        <v>90</v>
      </c>
      <c r="E92" s="1">
        <f t="shared" ca="1" si="3"/>
        <v>48904</v>
      </c>
      <c r="F92" s="1">
        <f t="shared" ca="1" si="4"/>
        <v>44</v>
      </c>
      <c r="G92" s="124">
        <f ca="1">IF('Simulador Bradesco'!D105&lt;&gt;Parâmetros!B92,VLOOKUP('Base de Dados'!F92,'Base de Dados'!$A$2:$B$64,2,FALSE),VLOOKUP(F92&amp;'Simulador Bradesco'!$I$13,$A$2:$B$600,2,FALSE))</f>
        <v>3.1690000000000001E-4</v>
      </c>
      <c r="H92" s="1">
        <f ca="1">Simulador!A123</f>
        <v>48904</v>
      </c>
      <c r="L92" s="1">
        <f ca="1">IF(Simulador!A122="",Simulador!$C$8,Simulador!A122)</f>
        <v>48873</v>
      </c>
      <c r="M92" s="4">
        <f ca="1">IF(Simulador!Q122="",0,Simulador!Q122*-1)</f>
        <v>-9157.5408776043914</v>
      </c>
    </row>
    <row r="93" spans="1:13" x14ac:dyDescent="0.3">
      <c r="A93" t="s">
        <v>190</v>
      </c>
      <c r="B93" s="165">
        <v>4.2620000000000001E-4</v>
      </c>
      <c r="D93" s="93">
        <f ca="1">Simulador!C124</f>
        <v>91</v>
      </c>
      <c r="E93" s="1">
        <f t="shared" ca="1" si="3"/>
        <v>48934</v>
      </c>
      <c r="F93" s="1">
        <f t="shared" ca="1" si="4"/>
        <v>44</v>
      </c>
      <c r="G93" s="124">
        <f ca="1">IF('Simulador Bradesco'!D106&lt;&gt;Parâmetros!B93,VLOOKUP('Base de Dados'!F93,'Base de Dados'!$A$2:$B$64,2,FALSE),VLOOKUP(F93&amp;'Simulador Bradesco'!$I$13,$A$2:$B$600,2,FALSE))</f>
        <v>3.1690000000000001E-4</v>
      </c>
      <c r="H93" s="1">
        <f ca="1">Simulador!A124</f>
        <v>48934</v>
      </c>
      <c r="L93" s="1">
        <f ca="1">IF(Simulador!A123="",Simulador!$C$8,Simulador!A123)</f>
        <v>48904</v>
      </c>
      <c r="M93" s="4">
        <f ca="1">IF(Simulador!Q123="",0,Simulador!Q123*-1)</f>
        <v>-9156.9994465466661</v>
      </c>
    </row>
    <row r="94" spans="1:13" x14ac:dyDescent="0.3">
      <c r="A94" t="s">
        <v>191</v>
      </c>
      <c r="B94" s="165">
        <v>4.2620000000000001E-4</v>
      </c>
      <c r="D94" s="93">
        <f ca="1">Simulador!C125</f>
        <v>92</v>
      </c>
      <c r="E94" s="1">
        <f t="shared" ca="1" si="3"/>
        <v>48965</v>
      </c>
      <c r="F94" s="1">
        <f t="shared" ca="1" si="4"/>
        <v>44</v>
      </c>
      <c r="G94" s="124">
        <f ca="1">IF('Simulador Bradesco'!D107&lt;&gt;Parâmetros!B94,VLOOKUP('Base de Dados'!F94,'Base de Dados'!$A$2:$B$64,2,FALSE),VLOOKUP(F94&amp;'Simulador Bradesco'!$I$13,$A$2:$B$600,2,FALSE))</f>
        <v>3.1690000000000001E-4</v>
      </c>
      <c r="H94" s="1">
        <f ca="1">Simulador!A125</f>
        <v>48965</v>
      </c>
      <c r="L94" s="1">
        <f ca="1">IF(Simulador!A124="",Simulador!$C$8,Simulador!A124)</f>
        <v>48934</v>
      </c>
      <c r="M94" s="4">
        <f ca="1">IF(Simulador!Q124="",0,Simulador!Q124*-1)</f>
        <v>-9156.4520751989585</v>
      </c>
    </row>
    <row r="95" spans="1:13" x14ac:dyDescent="0.3">
      <c r="A95" t="s">
        <v>192</v>
      </c>
      <c r="B95" s="165">
        <v>5.7510000000000005E-4</v>
      </c>
      <c r="D95" s="93">
        <f ca="1">Simulador!C126</f>
        <v>93</v>
      </c>
      <c r="E95" s="1">
        <f t="shared" ca="1" si="3"/>
        <v>48996</v>
      </c>
      <c r="F95" s="1">
        <f t="shared" ca="1" si="4"/>
        <v>44</v>
      </c>
      <c r="G95" s="124">
        <f ca="1">IF('Simulador Bradesco'!D108&lt;&gt;Parâmetros!B95,VLOOKUP('Base de Dados'!F95,'Base de Dados'!$A$2:$B$64,2,FALSE),VLOOKUP(F95&amp;'Simulador Bradesco'!$I$13,$A$2:$B$600,2,FALSE))</f>
        <v>3.1690000000000001E-4</v>
      </c>
      <c r="H95" s="1">
        <f ca="1">Simulador!A126</f>
        <v>48996</v>
      </c>
      <c r="L95" s="1">
        <f ca="1">IF(Simulador!A125="",Simulador!$C$8,Simulador!A125)</f>
        <v>48965</v>
      </c>
      <c r="M95" s="4">
        <f ca="1">IF(Simulador!Q125="",0,Simulador!Q125*-1)</f>
        <v>-9155.8986983876093</v>
      </c>
    </row>
    <row r="96" spans="1:13" x14ac:dyDescent="0.3">
      <c r="A96" t="s">
        <v>193</v>
      </c>
      <c r="B96" s="165">
        <v>5.7510000000000005E-4</v>
      </c>
      <c r="D96" s="93">
        <f ca="1">Simulador!C127</f>
        <v>94</v>
      </c>
      <c r="E96" s="1">
        <f t="shared" ca="1" si="3"/>
        <v>49024</v>
      </c>
      <c r="F96" s="1">
        <f t="shared" ca="1" si="4"/>
        <v>44</v>
      </c>
      <c r="G96" s="124">
        <f ca="1">IF('Simulador Bradesco'!D109&lt;&gt;Parâmetros!B96,VLOOKUP('Base de Dados'!F96,'Base de Dados'!$A$2:$B$64,2,FALSE),VLOOKUP(F96&amp;'Simulador Bradesco'!$I$13,$A$2:$B$600,2,FALSE))</f>
        <v>3.1690000000000001E-4</v>
      </c>
      <c r="H96" s="1">
        <f ca="1">Simulador!A127</f>
        <v>49024</v>
      </c>
      <c r="L96" s="1">
        <f ca="1">IF(Simulador!A126="",Simulador!$C$8,Simulador!A126)</f>
        <v>48996</v>
      </c>
      <c r="M96" s="4">
        <f ca="1">IF(Simulador!Q126="",0,Simulador!Q126*-1)</f>
        <v>-9155.3392502239003</v>
      </c>
    </row>
    <row r="97" spans="1:13" x14ac:dyDescent="0.3">
      <c r="A97" t="s">
        <v>194</v>
      </c>
      <c r="B97" s="165">
        <v>5.7510000000000005E-4</v>
      </c>
      <c r="D97" s="93">
        <f ca="1">Simulador!C128</f>
        <v>95</v>
      </c>
      <c r="E97" s="1">
        <f t="shared" ca="1" si="3"/>
        <v>49055</v>
      </c>
      <c r="F97" s="1">
        <f t="shared" ca="1" si="4"/>
        <v>44</v>
      </c>
      <c r="G97" s="124">
        <f ca="1">IF('Simulador Bradesco'!D110&lt;&gt;Parâmetros!B97,VLOOKUP('Base de Dados'!F97,'Base de Dados'!$A$2:$B$64,2,FALSE),VLOOKUP(F97&amp;'Simulador Bradesco'!$I$13,$A$2:$B$600,2,FALSE))</f>
        <v>3.1690000000000001E-4</v>
      </c>
      <c r="H97" s="1">
        <f ca="1">Simulador!A128</f>
        <v>49055</v>
      </c>
      <c r="L97" s="1">
        <f ca="1">IF(Simulador!A127="",Simulador!$C$8,Simulador!A127)</f>
        <v>49024</v>
      </c>
      <c r="M97" s="4">
        <f ca="1">IF(Simulador!Q127="",0,Simulador!Q127*-1)</f>
        <v>-9154.7736640962285</v>
      </c>
    </row>
    <row r="98" spans="1:13" x14ac:dyDescent="0.3">
      <c r="A98" t="s">
        <v>195</v>
      </c>
      <c r="B98" s="165">
        <v>7.3680000000000002E-4</v>
      </c>
      <c r="D98" s="93">
        <f ca="1">Simulador!C129</f>
        <v>96</v>
      </c>
      <c r="E98" s="1">
        <f t="shared" ca="1" si="3"/>
        <v>49085</v>
      </c>
      <c r="F98" s="1">
        <f t="shared" ca="1" si="4"/>
        <v>44</v>
      </c>
      <c r="G98" s="124">
        <f ca="1">IF('Simulador Bradesco'!D111&lt;&gt;Parâmetros!B98,VLOOKUP('Base de Dados'!F98,'Base de Dados'!$A$2:$B$64,2,FALSE),VLOOKUP(F98&amp;'Simulador Bradesco'!$I$13,$A$2:$B$600,2,FALSE))</f>
        <v>3.1690000000000001E-4</v>
      </c>
      <c r="H98" s="1">
        <f ca="1">Simulador!A129</f>
        <v>49085</v>
      </c>
      <c r="L98" s="1">
        <f ca="1">IF(Simulador!A128="",Simulador!$C$8,Simulador!A128)</f>
        <v>49055</v>
      </c>
      <c r="M98" s="4">
        <f ca="1">IF(Simulador!Q128="",0,Simulador!Q128*-1)</f>
        <v>-9154.2018726621554</v>
      </c>
    </row>
    <row r="99" spans="1:13" x14ac:dyDescent="0.3">
      <c r="A99" t="s">
        <v>196</v>
      </c>
      <c r="B99" s="165">
        <v>7.3680000000000002E-4</v>
      </c>
      <c r="D99" s="93">
        <f ca="1">Simulador!C130</f>
        <v>97</v>
      </c>
      <c r="E99" s="1">
        <f t="shared" ca="1" si="3"/>
        <v>49116</v>
      </c>
      <c r="F99" s="1">
        <f t="shared" ca="1" si="4"/>
        <v>44</v>
      </c>
      <c r="G99" s="124">
        <f ca="1">IF('Simulador Bradesco'!D112&lt;&gt;Parâmetros!B99,VLOOKUP('Base de Dados'!F99,'Base de Dados'!$A$2:$B$64,2,FALSE),VLOOKUP(F99&amp;'Simulador Bradesco'!$I$13,$A$2:$B$600,2,FALSE))</f>
        <v>3.1690000000000001E-4</v>
      </c>
      <c r="H99" s="1">
        <f ca="1">Simulador!A130</f>
        <v>49116</v>
      </c>
      <c r="L99" s="1">
        <f ca="1">IF(Simulador!A129="",Simulador!$C$8,Simulador!A129)</f>
        <v>49085</v>
      </c>
      <c r="M99" s="4">
        <f ca="1">IF(Simulador!Q129="",0,Simulador!Q129*-1)</f>
        <v>-9153.6238078404022</v>
      </c>
    </row>
    <row r="100" spans="1:13" x14ac:dyDescent="0.3">
      <c r="A100" t="s">
        <v>197</v>
      </c>
      <c r="B100" s="165">
        <v>7.3680000000000002E-4</v>
      </c>
      <c r="D100" s="93">
        <f ca="1">Simulador!C131</f>
        <v>98</v>
      </c>
      <c r="E100" s="1">
        <f t="shared" ca="1" si="3"/>
        <v>49146</v>
      </c>
      <c r="F100" s="1">
        <f t="shared" ca="1" si="4"/>
        <v>44</v>
      </c>
      <c r="G100" s="124">
        <f ca="1">IF('Simulador Bradesco'!D113&lt;&gt;Parâmetros!B100,VLOOKUP('Base de Dados'!F100,'Base de Dados'!$A$2:$B$64,2,FALSE),VLOOKUP(F100&amp;'Simulador Bradesco'!$I$13,$A$2:$B$600,2,FALSE))</f>
        <v>3.1690000000000001E-4</v>
      </c>
      <c r="H100" s="1">
        <f ca="1">Simulador!A131</f>
        <v>49146</v>
      </c>
      <c r="L100" s="1">
        <f ca="1">IF(Simulador!A130="",Simulador!$C$8,Simulador!A130)</f>
        <v>49116</v>
      </c>
      <c r="M100" s="4">
        <f ca="1">IF(Simulador!Q130="",0,Simulador!Q130*-1)</f>
        <v>-9153.0394008027379</v>
      </c>
    </row>
    <row r="101" spans="1:13" x14ac:dyDescent="0.3">
      <c r="A101" t="s">
        <v>198</v>
      </c>
      <c r="B101" s="165">
        <v>9.0720000000000004E-4</v>
      </c>
      <c r="D101" s="93">
        <f ca="1">Simulador!C132</f>
        <v>99</v>
      </c>
      <c r="E101" s="1">
        <f t="shared" ca="1" si="3"/>
        <v>49177</v>
      </c>
      <c r="F101" s="1">
        <f t="shared" ca="1" si="4"/>
        <v>44</v>
      </c>
      <c r="G101" s="124">
        <f ca="1">IF('Simulador Bradesco'!D114&lt;&gt;Parâmetros!B101,VLOOKUP('Base de Dados'!F101,'Base de Dados'!$A$2:$B$64,2,FALSE),VLOOKUP(F101&amp;'Simulador Bradesco'!$I$13,$A$2:$B$600,2,FALSE))</f>
        <v>3.1690000000000001E-4</v>
      </c>
      <c r="H101" s="1">
        <f ca="1">Simulador!A132</f>
        <v>49177</v>
      </c>
      <c r="L101" s="1">
        <f ca="1">IF(Simulador!A131="",Simulador!$C$8,Simulador!A131)</f>
        <v>49146</v>
      </c>
      <c r="M101" s="4">
        <f ca="1">IF(Simulador!Q131="",0,Simulador!Q131*-1)</f>
        <v>-9152.4485819657857</v>
      </c>
    </row>
    <row r="102" spans="1:13" x14ac:dyDescent="0.3">
      <c r="A102" t="s">
        <v>199</v>
      </c>
      <c r="B102" s="165">
        <v>9.0720000000000004E-4</v>
      </c>
      <c r="D102" s="93">
        <f ca="1">Simulador!C133</f>
        <v>100</v>
      </c>
      <c r="E102" s="1">
        <f t="shared" ca="1" si="3"/>
        <v>49208</v>
      </c>
      <c r="F102" s="1">
        <f t="shared" ca="1" si="4"/>
        <v>45</v>
      </c>
      <c r="G102" s="124">
        <f ca="1">IF('Simulador Bradesco'!D115&lt;&gt;Parâmetros!B102,VLOOKUP('Base de Dados'!F102,'Base de Dados'!$A$2:$B$64,2,FALSE),VLOOKUP(F102&amp;'Simulador Bradesco'!$I$13,$A$2:$B$600,2,FALSE))</f>
        <v>4.3520000000000001E-4</v>
      </c>
      <c r="H102" s="1">
        <f ca="1">Simulador!A133</f>
        <v>49208</v>
      </c>
      <c r="L102" s="1">
        <f ca="1">IF(Simulador!A132="",Simulador!$C$8,Simulador!A132)</f>
        <v>49177</v>
      </c>
      <c r="M102" s="4">
        <f ca="1">IF(Simulador!Q132="",0,Simulador!Q132*-1)</f>
        <v>-9151.8512809827353</v>
      </c>
    </row>
    <row r="103" spans="1:13" x14ac:dyDescent="0.3">
      <c r="A103" t="s">
        <v>200</v>
      </c>
      <c r="B103" s="165">
        <v>9.0720000000000004E-4</v>
      </c>
      <c r="D103" s="93">
        <f ca="1">Simulador!C134</f>
        <v>101</v>
      </c>
      <c r="E103" s="1">
        <f t="shared" ca="1" si="3"/>
        <v>49238</v>
      </c>
      <c r="F103" s="1">
        <f t="shared" ca="1" si="4"/>
        <v>45</v>
      </c>
      <c r="G103" s="124">
        <f ca="1">IF('Simulador Bradesco'!D116&lt;&gt;Parâmetros!B103,VLOOKUP('Base de Dados'!F103,'Base de Dados'!$A$2:$B$64,2,FALSE),VLOOKUP(F103&amp;'Simulador Bradesco'!$I$13,$A$2:$B$600,2,FALSE))</f>
        <v>4.3520000000000001E-4</v>
      </c>
      <c r="H103" s="1">
        <f ca="1">Simulador!A134</f>
        <v>49238</v>
      </c>
      <c r="L103" s="1">
        <f ca="1">IF(Simulador!A133="",Simulador!$C$8,Simulador!A133)</f>
        <v>49208</v>
      </c>
      <c r="M103" s="4">
        <f ca="1">IF(Simulador!Q133="",0,Simulador!Q133*-1)</f>
        <v>-9226.1764357036045</v>
      </c>
    </row>
    <row r="104" spans="1:13" x14ac:dyDescent="0.3">
      <c r="A104" t="s">
        <v>201</v>
      </c>
      <c r="B104" s="165">
        <v>1.1075E-3</v>
      </c>
      <c r="D104" s="93">
        <f ca="1">Simulador!C135</f>
        <v>102</v>
      </c>
      <c r="E104" s="1">
        <f t="shared" ca="1" si="3"/>
        <v>49269</v>
      </c>
      <c r="F104" s="1">
        <f t="shared" ca="1" si="4"/>
        <v>45</v>
      </c>
      <c r="G104" s="124">
        <f ca="1">IF('Simulador Bradesco'!D117&lt;&gt;Parâmetros!B104,VLOOKUP('Base de Dados'!F104,'Base de Dados'!$A$2:$B$64,2,FALSE),VLOOKUP(F104&amp;'Simulador Bradesco'!$I$13,$A$2:$B$600,2,FALSE))</f>
        <v>4.3520000000000001E-4</v>
      </c>
      <c r="H104" s="1">
        <f ca="1">Simulador!A135</f>
        <v>49269</v>
      </c>
      <c r="L104" s="1">
        <f ca="1">IF(Simulador!A134="",Simulador!$C$8,Simulador!A134)</f>
        <v>49238</v>
      </c>
      <c r="M104" s="4">
        <f ca="1">IF(Simulador!Q134="",0,Simulador!Q134*-1)</f>
        <v>-9225.3380619584877</v>
      </c>
    </row>
    <row r="105" spans="1:13" x14ac:dyDescent="0.3">
      <c r="A105" t="s">
        <v>202</v>
      </c>
      <c r="B105" s="165">
        <v>1.1075E-3</v>
      </c>
      <c r="D105" s="93">
        <f ca="1">Simulador!C136</f>
        <v>103</v>
      </c>
      <c r="E105" s="1">
        <f t="shared" ca="1" si="3"/>
        <v>49299</v>
      </c>
      <c r="F105" s="1">
        <f t="shared" ca="1" si="4"/>
        <v>45</v>
      </c>
      <c r="G105" s="124">
        <f ca="1">IF('Simulador Bradesco'!D118&lt;&gt;Parâmetros!B105,VLOOKUP('Base de Dados'!F105,'Base de Dados'!$A$2:$B$64,2,FALSE),VLOOKUP(F105&amp;'Simulador Bradesco'!$I$13,$A$2:$B$600,2,FALSE))</f>
        <v>4.3520000000000001E-4</v>
      </c>
      <c r="H105" s="1">
        <f ca="1">Simulador!A136</f>
        <v>49299</v>
      </c>
      <c r="L105" s="1">
        <f ca="1">IF(Simulador!A135="",Simulador!$C$8,Simulador!A135)</f>
        <v>49269</v>
      </c>
      <c r="M105" s="4">
        <f ca="1">IF(Simulador!Q135="",0,Simulador!Q135*-1)</f>
        <v>-9224.4904900281381</v>
      </c>
    </row>
    <row r="106" spans="1:13" x14ac:dyDescent="0.3">
      <c r="A106" t="s">
        <v>203</v>
      </c>
      <c r="B106" s="165">
        <v>1.1075E-3</v>
      </c>
      <c r="D106" s="93">
        <f ca="1">Simulador!C137</f>
        <v>104</v>
      </c>
      <c r="E106" s="1">
        <f t="shared" ca="1" si="3"/>
        <v>49330</v>
      </c>
      <c r="F106" s="1">
        <f t="shared" ca="1" si="4"/>
        <v>45</v>
      </c>
      <c r="G106" s="124">
        <f ca="1">IF('Simulador Bradesco'!D119&lt;&gt;Parâmetros!B106,VLOOKUP('Base de Dados'!F106,'Base de Dados'!$A$2:$B$64,2,FALSE),VLOOKUP(F106&amp;'Simulador Bradesco'!$I$13,$A$2:$B$600,2,FALSE))</f>
        <v>4.3520000000000001E-4</v>
      </c>
      <c r="H106" s="1">
        <f ca="1">Simulador!A137</f>
        <v>49330</v>
      </c>
      <c r="L106" s="1">
        <f ca="1">IF(Simulador!A136="",Simulador!$C$8,Simulador!A136)</f>
        <v>49299</v>
      </c>
      <c r="M106" s="4">
        <f ca="1">IF(Simulador!Q136="",0,Simulador!Q136*-1)</f>
        <v>-9223.6336189950252</v>
      </c>
    </row>
    <row r="107" spans="1:13" x14ac:dyDescent="0.3">
      <c r="A107" t="s">
        <v>204</v>
      </c>
      <c r="B107" s="165">
        <v>1.3538999999999999E-3</v>
      </c>
      <c r="D107" s="93">
        <f ca="1">Simulador!C138</f>
        <v>105</v>
      </c>
      <c r="E107" s="1">
        <f t="shared" ca="1" si="3"/>
        <v>49361</v>
      </c>
      <c r="F107" s="1">
        <f t="shared" ca="1" si="4"/>
        <v>45</v>
      </c>
      <c r="G107" s="124">
        <f ca="1">IF('Simulador Bradesco'!D120&lt;&gt;Parâmetros!B107,VLOOKUP('Base de Dados'!F107,'Base de Dados'!$A$2:$B$64,2,FALSE),VLOOKUP(F107&amp;'Simulador Bradesco'!$I$13,$A$2:$B$600,2,FALSE))</f>
        <v>4.3520000000000001E-4</v>
      </c>
      <c r="H107" s="1">
        <f ca="1">Simulador!A138</f>
        <v>49361</v>
      </c>
      <c r="L107" s="1">
        <f ca="1">IF(Simulador!A137="",Simulador!$C$8,Simulador!A137)</f>
        <v>49330</v>
      </c>
      <c r="M107" s="4">
        <f ca="1">IF(Simulador!Q137="",0,Simulador!Q137*-1)</f>
        <v>-9222.7673468343964</v>
      </c>
    </row>
    <row r="108" spans="1:13" x14ac:dyDescent="0.3">
      <c r="A108" t="s">
        <v>205</v>
      </c>
      <c r="B108" s="165">
        <v>1.3538999999999999E-3</v>
      </c>
      <c r="D108" s="93">
        <f ca="1">Simulador!C139</f>
        <v>106</v>
      </c>
      <c r="E108" s="1">
        <f t="shared" ca="1" si="3"/>
        <v>49389</v>
      </c>
      <c r="F108" s="1">
        <f t="shared" ca="1" si="4"/>
        <v>45</v>
      </c>
      <c r="G108" s="124">
        <f ca="1">IF('Simulador Bradesco'!D121&lt;&gt;Parâmetros!B108,VLOOKUP('Base de Dados'!F108,'Base de Dados'!$A$2:$B$64,2,FALSE),VLOOKUP(F108&amp;'Simulador Bradesco'!$I$13,$A$2:$B$600,2,FALSE))</f>
        <v>4.3520000000000001E-4</v>
      </c>
      <c r="H108" s="1">
        <f ca="1">Simulador!A139</f>
        <v>49389</v>
      </c>
      <c r="L108" s="1">
        <f ca="1">IF(Simulador!A138="",Simulador!$C$8,Simulador!A138)</f>
        <v>49361</v>
      </c>
      <c r="M108" s="4">
        <f ca="1">IF(Simulador!Q138="",0,Simulador!Q138*-1)</f>
        <v>-9221.8915704021474</v>
      </c>
    </row>
    <row r="109" spans="1:13" x14ac:dyDescent="0.3">
      <c r="A109" t="s">
        <v>206</v>
      </c>
      <c r="B109" s="165">
        <v>1.3538999999999999E-3</v>
      </c>
      <c r="D109" s="93">
        <f ca="1">Simulador!C140</f>
        <v>107</v>
      </c>
      <c r="E109" s="1">
        <f t="shared" ca="1" si="3"/>
        <v>49420</v>
      </c>
      <c r="F109" s="1">
        <f t="shared" ca="1" si="4"/>
        <v>45</v>
      </c>
      <c r="G109" s="124">
        <f ca="1">IF('Simulador Bradesco'!D122&lt;&gt;Parâmetros!B109,VLOOKUP('Base de Dados'!F109,'Base de Dados'!$A$2:$B$64,2,FALSE),VLOOKUP(F109&amp;'Simulador Bradesco'!$I$13,$A$2:$B$600,2,FALSE))</f>
        <v>4.3520000000000001E-4</v>
      </c>
      <c r="H109" s="1">
        <f ca="1">Simulador!A140</f>
        <v>49420</v>
      </c>
      <c r="L109" s="1">
        <f ca="1">IF(Simulador!A139="",Simulador!$C$8,Simulador!A139)</f>
        <v>49389</v>
      </c>
      <c r="M109" s="4">
        <f ca="1">IF(Simulador!Q139="",0,Simulador!Q139*-1)</f>
        <v>-9221.0061854225278</v>
      </c>
    </row>
    <row r="110" spans="1:13" x14ac:dyDescent="0.3">
      <c r="A110" t="s">
        <v>207</v>
      </c>
      <c r="B110" s="165">
        <v>1.7451999999999999E-3</v>
      </c>
      <c r="D110" s="93">
        <f ca="1">Simulador!C141</f>
        <v>108</v>
      </c>
      <c r="E110" s="1">
        <f t="shared" ca="1" si="3"/>
        <v>49450</v>
      </c>
      <c r="F110" s="1">
        <f t="shared" ca="1" si="4"/>
        <v>45</v>
      </c>
      <c r="G110" s="124">
        <f ca="1">IF('Simulador Bradesco'!D123&lt;&gt;Parâmetros!B110,VLOOKUP('Base de Dados'!F110,'Base de Dados'!$A$2:$B$64,2,FALSE),VLOOKUP(F110&amp;'Simulador Bradesco'!$I$13,$A$2:$B$600,2,FALSE))</f>
        <v>4.3520000000000001E-4</v>
      </c>
      <c r="H110" s="1">
        <f ca="1">Simulador!A141</f>
        <v>49450</v>
      </c>
      <c r="L110" s="1">
        <f ca="1">IF(Simulador!A140="",Simulador!$C$8,Simulador!A140)</f>
        <v>49420</v>
      </c>
      <c r="M110" s="4">
        <f ca="1">IF(Simulador!Q140="",0,Simulador!Q140*-1)</f>
        <v>-9220.1110864757284</v>
      </c>
    </row>
    <row r="111" spans="1:13" x14ac:dyDescent="0.3">
      <c r="A111" t="s">
        <v>208</v>
      </c>
      <c r="B111" s="165">
        <v>1.7451999999999999E-3</v>
      </c>
      <c r="D111" s="93">
        <f ca="1">Simulador!C142</f>
        <v>109</v>
      </c>
      <c r="E111" s="1">
        <f t="shared" ca="1" si="3"/>
        <v>49481</v>
      </c>
      <c r="F111" s="1">
        <f t="shared" ca="1" si="4"/>
        <v>45</v>
      </c>
      <c r="G111" s="124">
        <f ca="1">IF('Simulador Bradesco'!D124&lt;&gt;Parâmetros!B111,VLOOKUP('Base de Dados'!F111,'Base de Dados'!$A$2:$B$64,2,FALSE),VLOOKUP(F111&amp;'Simulador Bradesco'!$I$13,$A$2:$B$600,2,FALSE))</f>
        <v>4.3520000000000001E-4</v>
      </c>
      <c r="H111" s="1">
        <f ca="1">Simulador!A142</f>
        <v>49481</v>
      </c>
      <c r="L111" s="1">
        <f ca="1">IF(Simulador!A141="",Simulador!$C$8,Simulador!A141)</f>
        <v>49450</v>
      </c>
      <c r="M111" s="4">
        <f ca="1">IF(Simulador!Q141="",0,Simulador!Q141*-1)</f>
        <v>-9219.2061669853356</v>
      </c>
    </row>
    <row r="112" spans="1:13" x14ac:dyDescent="0.3">
      <c r="A112" t="s">
        <v>209</v>
      </c>
      <c r="B112" s="165">
        <v>1.7451999999999999E-3</v>
      </c>
      <c r="D112" s="93">
        <f ca="1">Simulador!C143</f>
        <v>110</v>
      </c>
      <c r="E112" s="1">
        <f t="shared" ca="1" si="3"/>
        <v>49511</v>
      </c>
      <c r="F112" s="1">
        <f t="shared" ca="1" si="4"/>
        <v>45</v>
      </c>
      <c r="G112" s="124">
        <f ca="1">IF('Simulador Bradesco'!D125&lt;&gt;Parâmetros!B112,VLOOKUP('Base de Dados'!F112,'Base de Dados'!$A$2:$B$64,2,FALSE),VLOOKUP(F112&amp;'Simulador Bradesco'!$I$13,$A$2:$B$600,2,FALSE))</f>
        <v>4.3520000000000001E-4</v>
      </c>
      <c r="H112" s="1">
        <f ca="1">Simulador!A143</f>
        <v>49511</v>
      </c>
      <c r="L112" s="1">
        <f ca="1">IF(Simulador!A142="",Simulador!$C$8,Simulador!A142)</f>
        <v>49481</v>
      </c>
      <c r="M112" s="4">
        <f ca="1">IF(Simulador!Q142="",0,Simulador!Q142*-1)</f>
        <v>-9218.291319205633</v>
      </c>
    </row>
    <row r="113" spans="1:13" x14ac:dyDescent="0.3">
      <c r="A113" t="s">
        <v>210</v>
      </c>
      <c r="B113" s="165">
        <v>2.1591000000000002E-3</v>
      </c>
      <c r="D113" s="93">
        <f ca="1">Simulador!C144</f>
        <v>111</v>
      </c>
      <c r="E113" s="1">
        <f t="shared" ca="1" si="3"/>
        <v>49542</v>
      </c>
      <c r="F113" s="1">
        <f t="shared" ca="1" si="4"/>
        <v>45</v>
      </c>
      <c r="G113" s="124">
        <f ca="1">IF('Simulador Bradesco'!D126&lt;&gt;Parâmetros!B113,VLOOKUP('Base de Dados'!F113,'Base de Dados'!$A$2:$B$64,2,FALSE),VLOOKUP(F113&amp;'Simulador Bradesco'!$I$13,$A$2:$B$600,2,FALSE))</f>
        <v>4.3520000000000001E-4</v>
      </c>
      <c r="H113" s="1">
        <f ca="1">Simulador!A144</f>
        <v>49542</v>
      </c>
      <c r="L113" s="1">
        <f ca="1">IF(Simulador!A143="",Simulador!$C$8,Simulador!A143)</f>
        <v>49511</v>
      </c>
      <c r="M113" s="4">
        <f ca="1">IF(Simulador!Q143="",0,Simulador!Q143*-1)</f>
        <v>-9217.3664342087759</v>
      </c>
    </row>
    <row r="114" spans="1:13" x14ac:dyDescent="0.3">
      <c r="A114" t="s">
        <v>211</v>
      </c>
      <c r="B114" s="165">
        <v>2.1591000000000002E-3</v>
      </c>
      <c r="D114" s="93">
        <f ca="1">Simulador!C145</f>
        <v>112</v>
      </c>
      <c r="E114" s="1">
        <f t="shared" ca="1" si="3"/>
        <v>49573</v>
      </c>
      <c r="F114" s="1">
        <f t="shared" ca="1" si="4"/>
        <v>46</v>
      </c>
      <c r="G114" s="124">
        <f ca="1">IF('Simulador Bradesco'!D127&lt;&gt;Parâmetros!B114,VLOOKUP('Base de Dados'!F114,'Base de Dados'!$A$2:$B$64,2,FALSE),VLOOKUP(F114&amp;'Simulador Bradesco'!$I$13,$A$2:$B$600,2,FALSE))</f>
        <v>4.3520000000000001E-4</v>
      </c>
      <c r="H114" s="1">
        <f ca="1">Simulador!A145</f>
        <v>49573</v>
      </c>
      <c r="L114" s="1">
        <f ca="1">IF(Simulador!A144="",Simulador!$C$8,Simulador!A144)</f>
        <v>49542</v>
      </c>
      <c r="M114" s="4">
        <f ca="1">IF(Simulador!Q144="",0,Simulador!Q144*-1)</f>
        <v>-9216.4314018718233</v>
      </c>
    </row>
    <row r="115" spans="1:13" x14ac:dyDescent="0.3">
      <c r="A115" t="s">
        <v>212</v>
      </c>
      <c r="B115" s="165">
        <v>2.1591000000000002E-3</v>
      </c>
      <c r="D115" s="93">
        <f ca="1">Simulador!C146</f>
        <v>113</v>
      </c>
      <c r="E115" s="1">
        <f t="shared" ca="1" si="3"/>
        <v>49603</v>
      </c>
      <c r="F115" s="1">
        <f t="shared" ca="1" si="4"/>
        <v>46</v>
      </c>
      <c r="G115" s="124">
        <f ca="1">IF('Simulador Bradesco'!D128&lt;&gt;Parâmetros!B115,VLOOKUP('Base de Dados'!F115,'Base de Dados'!$A$2:$B$64,2,FALSE),VLOOKUP(F115&amp;'Simulador Bradesco'!$I$13,$A$2:$B$600,2,FALSE))</f>
        <v>4.3520000000000001E-4</v>
      </c>
      <c r="H115" s="1">
        <f ca="1">Simulador!A146</f>
        <v>49603</v>
      </c>
      <c r="L115" s="1">
        <f ca="1">IF(Simulador!A145="",Simulador!$C$8,Simulador!A145)</f>
        <v>49573</v>
      </c>
      <c r="M115" s="4">
        <f ca="1">IF(Simulador!Q145="",0,Simulador!Q145*-1)</f>
        <v>-9215.4861108636251</v>
      </c>
    </row>
    <row r="116" spans="1:13" x14ac:dyDescent="0.3">
      <c r="A116" t="s">
        <v>213</v>
      </c>
      <c r="B116" s="165">
        <v>2.9221E-3</v>
      </c>
      <c r="D116" s="93">
        <f ca="1">Simulador!C147</f>
        <v>114</v>
      </c>
      <c r="E116" s="1">
        <f t="shared" ca="1" si="3"/>
        <v>49634</v>
      </c>
      <c r="F116" s="1">
        <f t="shared" ca="1" si="4"/>
        <v>46</v>
      </c>
      <c r="G116" s="124">
        <f ca="1">IF('Simulador Bradesco'!D129&lt;&gt;Parâmetros!B116,VLOOKUP('Base de Dados'!F116,'Base de Dados'!$A$2:$B$64,2,FALSE),VLOOKUP(F116&amp;'Simulador Bradesco'!$I$13,$A$2:$B$600,2,FALSE))</f>
        <v>4.3520000000000001E-4</v>
      </c>
      <c r="H116" s="1">
        <f ca="1">Simulador!A147</f>
        <v>49634</v>
      </c>
      <c r="L116" s="1">
        <f ca="1">IF(Simulador!A146="",Simulador!$C$8,Simulador!A146)</f>
        <v>49603</v>
      </c>
      <c r="M116" s="4">
        <f ca="1">IF(Simulador!Q146="",0,Simulador!Q146*-1)</f>
        <v>-9214.5304486315654</v>
      </c>
    </row>
    <row r="117" spans="1:13" x14ac:dyDescent="0.3">
      <c r="A117" t="s">
        <v>214</v>
      </c>
      <c r="B117" s="165">
        <v>2.9221E-3</v>
      </c>
      <c r="D117" s="93">
        <f ca="1">Simulador!C148</f>
        <v>115</v>
      </c>
      <c r="E117" s="1">
        <f t="shared" ca="1" si="3"/>
        <v>49664</v>
      </c>
      <c r="F117" s="1">
        <f t="shared" ca="1" si="4"/>
        <v>46</v>
      </c>
      <c r="G117" s="124">
        <f ca="1">IF('Simulador Bradesco'!D130&lt;&gt;Parâmetros!B117,VLOOKUP('Base de Dados'!F117,'Base de Dados'!$A$2:$B$64,2,FALSE),VLOOKUP(F117&amp;'Simulador Bradesco'!$I$13,$A$2:$B$600,2,FALSE))</f>
        <v>4.3520000000000001E-4</v>
      </c>
      <c r="H117" s="1">
        <f ca="1">Simulador!A148</f>
        <v>49664</v>
      </c>
      <c r="L117" s="1">
        <f ca="1">IF(Simulador!A147="",Simulador!$C$8,Simulador!A147)</f>
        <v>49634</v>
      </c>
      <c r="M117" s="4">
        <f ca="1">IF(Simulador!Q147="",0,Simulador!Q147*-1)</f>
        <v>-9213.5643013881599</v>
      </c>
    </row>
    <row r="118" spans="1:13" x14ac:dyDescent="0.3">
      <c r="A118" t="s">
        <v>215</v>
      </c>
      <c r="B118" s="165">
        <v>2.9221E-3</v>
      </c>
      <c r="D118" s="93">
        <f ca="1">Simulador!C149</f>
        <v>116</v>
      </c>
      <c r="E118" s="1">
        <f t="shared" ca="1" si="3"/>
        <v>49695</v>
      </c>
      <c r="F118" s="1">
        <f t="shared" ca="1" si="4"/>
        <v>46</v>
      </c>
      <c r="G118" s="124">
        <f ca="1">IF('Simulador Bradesco'!D131&lt;&gt;Parâmetros!B118,VLOOKUP('Base de Dados'!F118,'Base de Dados'!$A$2:$B$64,2,FALSE),VLOOKUP(F118&amp;'Simulador Bradesco'!$I$13,$A$2:$B$600,2,FALSE))</f>
        <v>4.3520000000000001E-4</v>
      </c>
      <c r="H118" s="1">
        <f ca="1">Simulador!A149</f>
        <v>49695</v>
      </c>
      <c r="L118" s="1">
        <f ca="1">IF(Simulador!A148="",Simulador!$C$8,Simulador!A148)</f>
        <v>49664</v>
      </c>
      <c r="M118" s="4">
        <f ca="1">IF(Simulador!Q148="",0,Simulador!Q148*-1)</f>
        <v>-9212.5875540975139</v>
      </c>
    </row>
    <row r="119" spans="1:13" x14ac:dyDescent="0.3">
      <c r="A119" t="s">
        <v>216</v>
      </c>
      <c r="B119" s="165">
        <v>3.9290000000000002E-3</v>
      </c>
      <c r="D119" s="93">
        <f ca="1">Simulador!C150</f>
        <v>117</v>
      </c>
      <c r="E119" s="1">
        <f t="shared" ca="1" si="3"/>
        <v>49726</v>
      </c>
      <c r="F119" s="1">
        <f t="shared" ca="1" si="4"/>
        <v>46</v>
      </c>
      <c r="G119" s="124">
        <f ca="1">IF('Simulador Bradesco'!D132&lt;&gt;Parâmetros!B119,VLOOKUP('Base de Dados'!F119,'Base de Dados'!$A$2:$B$64,2,FALSE),VLOOKUP(F119&amp;'Simulador Bradesco'!$I$13,$A$2:$B$600,2,FALSE))</f>
        <v>4.3520000000000001E-4</v>
      </c>
      <c r="H119" s="1">
        <f ca="1">Simulador!A150</f>
        <v>49726</v>
      </c>
      <c r="L119" s="1">
        <f ca="1">IF(Simulador!A149="",Simulador!$C$8,Simulador!A149)</f>
        <v>49695</v>
      </c>
      <c r="M119" s="4">
        <f ca="1">IF(Simulador!Q149="",0,Simulador!Q149*-1)</f>
        <v>-9211.6000904616139</v>
      </c>
    </row>
    <row r="120" spans="1:13" x14ac:dyDescent="0.3">
      <c r="A120" t="s">
        <v>217</v>
      </c>
      <c r="B120" s="165">
        <v>3.9290000000000002E-3</v>
      </c>
      <c r="D120" s="93">
        <f ca="1">Simulador!C151</f>
        <v>118</v>
      </c>
      <c r="E120" s="1">
        <f t="shared" ca="1" si="3"/>
        <v>49755</v>
      </c>
      <c r="F120" s="1">
        <f t="shared" ca="1" si="4"/>
        <v>46</v>
      </c>
      <c r="G120" s="124">
        <f ca="1">IF('Simulador Bradesco'!D133&lt;&gt;Parâmetros!B120,VLOOKUP('Base de Dados'!F120,'Base de Dados'!$A$2:$B$64,2,FALSE),VLOOKUP(F120&amp;'Simulador Bradesco'!$I$13,$A$2:$B$600,2,FALSE))</f>
        <v>4.3520000000000001E-4</v>
      </c>
      <c r="H120" s="1">
        <f ca="1">Simulador!A151</f>
        <v>49755</v>
      </c>
      <c r="L120" s="1">
        <f ca="1">IF(Simulador!A150="",Simulador!$C$8,Simulador!A150)</f>
        <v>49726</v>
      </c>
      <c r="M120" s="4">
        <f ca="1">IF(Simulador!Q150="",0,Simulador!Q150*-1)</f>
        <v>-9210.6017929064928</v>
      </c>
    </row>
    <row r="121" spans="1:13" x14ac:dyDescent="0.3">
      <c r="A121" t="s">
        <v>218</v>
      </c>
      <c r="B121" s="165">
        <v>3.9290000000000002E-3</v>
      </c>
      <c r="D121" s="93">
        <f ca="1">Simulador!C152</f>
        <v>119</v>
      </c>
      <c r="E121" s="1">
        <f t="shared" ca="1" si="3"/>
        <v>49786</v>
      </c>
      <c r="F121" s="1">
        <f t="shared" ca="1" si="4"/>
        <v>46</v>
      </c>
      <c r="G121" s="124">
        <f ca="1">IF('Simulador Bradesco'!D134&lt;&gt;Parâmetros!B121,VLOOKUP('Base de Dados'!F121,'Base de Dados'!$A$2:$B$64,2,FALSE),VLOOKUP(F121&amp;'Simulador Bradesco'!$I$13,$A$2:$B$600,2,FALSE))</f>
        <v>4.3520000000000001E-4</v>
      </c>
      <c r="H121" s="1">
        <f ca="1">Simulador!A152</f>
        <v>49786</v>
      </c>
      <c r="L121" s="1">
        <f ca="1">IF(Simulador!A151="",Simulador!$C$8,Simulador!A151)</f>
        <v>49755</v>
      </c>
      <c r="M121" s="4">
        <f ca="1">IF(Simulador!Q151="",0,Simulador!Q151*-1)</f>
        <v>-9209.5925425682235</v>
      </c>
    </row>
    <row r="122" spans="1:13" x14ac:dyDescent="0.3">
      <c r="A122" t="s">
        <v>219</v>
      </c>
      <c r="B122" s="165">
        <v>6.9794000000000002E-3</v>
      </c>
      <c r="D122" s="93">
        <f ca="1">Simulador!C153</f>
        <v>120</v>
      </c>
      <c r="E122" s="1">
        <f t="shared" ca="1" si="3"/>
        <v>49816</v>
      </c>
      <c r="F122" s="1">
        <f t="shared" ca="1" si="4"/>
        <v>46</v>
      </c>
      <c r="G122" s="124">
        <f ca="1">IF('Simulador Bradesco'!D135&lt;&gt;Parâmetros!B122,VLOOKUP('Base de Dados'!F122,'Base de Dados'!$A$2:$B$64,2,FALSE),VLOOKUP(F122&amp;'Simulador Bradesco'!$I$13,$A$2:$B$600,2,FALSE))</f>
        <v>4.3520000000000001E-4</v>
      </c>
      <c r="H122" s="1">
        <f ca="1">Simulador!A153</f>
        <v>49816</v>
      </c>
      <c r="L122" s="1">
        <f ca="1">IF(Simulador!A152="",Simulador!$C$8,Simulador!A152)</f>
        <v>49786</v>
      </c>
      <c r="M122" s="4">
        <f ca="1">IF(Simulador!Q152="",0,Simulador!Q152*-1)</f>
        <v>-9208.5722192787689</v>
      </c>
    </row>
    <row r="123" spans="1:13" x14ac:dyDescent="0.3">
      <c r="A123" t="s">
        <v>220</v>
      </c>
      <c r="B123" s="165">
        <v>6.9794000000000002E-3</v>
      </c>
      <c r="D123" s="93">
        <f ca="1">Simulador!C154</f>
        <v>121</v>
      </c>
      <c r="E123" s="1">
        <f t="shared" ca="1" si="3"/>
        <v>49847</v>
      </c>
      <c r="F123" s="1">
        <f t="shared" ca="1" si="4"/>
        <v>46</v>
      </c>
      <c r="G123" s="124">
        <f ca="1">IF('Simulador Bradesco'!D136&lt;&gt;Parâmetros!B123,VLOOKUP('Base de Dados'!F123,'Base de Dados'!$A$2:$B$64,2,FALSE),VLOOKUP(F123&amp;'Simulador Bradesco'!$I$13,$A$2:$B$600,2,FALSE))</f>
        <v>4.3520000000000001E-4</v>
      </c>
      <c r="H123" s="1">
        <f ca="1">Simulador!A154</f>
        <v>49847</v>
      </c>
      <c r="L123" s="1">
        <f ca="1">IF(Simulador!A153="",Simulador!$C$8,Simulador!A153)</f>
        <v>49816</v>
      </c>
      <c r="M123" s="4">
        <f ca="1">IF(Simulador!Q153="",0,Simulador!Q153*-1)</f>
        <v>-9207.5407015516703</v>
      </c>
    </row>
    <row r="124" spans="1:13" x14ac:dyDescent="0.3">
      <c r="A124" t="s">
        <v>221</v>
      </c>
      <c r="B124" s="165">
        <v>6.9794000000000002E-3</v>
      </c>
      <c r="D124" s="93">
        <f ca="1">Simulador!C155</f>
        <v>122</v>
      </c>
      <c r="E124" s="1">
        <f t="shared" ca="1" si="3"/>
        <v>49877</v>
      </c>
      <c r="F124" s="1">
        <f t="shared" ca="1" si="4"/>
        <v>46</v>
      </c>
      <c r="G124" s="124">
        <f ca="1">IF('Simulador Bradesco'!D137&lt;&gt;Parâmetros!B124,VLOOKUP('Base de Dados'!F124,'Base de Dados'!$A$2:$B$64,2,FALSE),VLOOKUP(F124&amp;'Simulador Bradesco'!$I$13,$A$2:$B$600,2,FALSE))</f>
        <v>4.3520000000000001E-4</v>
      </c>
      <c r="H124" s="1">
        <f ca="1">Simulador!A155</f>
        <v>49877</v>
      </c>
      <c r="L124" s="1">
        <f ca="1">IF(Simulador!A154="",Simulador!$C$8,Simulador!A154)</f>
        <v>49847</v>
      </c>
      <c r="M124" s="4">
        <f ca="1">IF(Simulador!Q154="",0,Simulador!Q154*-1)</f>
        <v>-9206.4978665675862</v>
      </c>
    </row>
    <row r="125" spans="1:13" x14ac:dyDescent="0.3">
      <c r="A125" t="s">
        <v>222</v>
      </c>
      <c r="B125" s="165">
        <v>9.3326999999999993E-3</v>
      </c>
      <c r="D125" s="93">
        <f ca="1">Simulador!C156</f>
        <v>123</v>
      </c>
      <c r="E125" s="1">
        <f t="shared" ca="1" si="3"/>
        <v>49908</v>
      </c>
      <c r="F125" s="1">
        <f t="shared" ca="1" si="4"/>
        <v>46</v>
      </c>
      <c r="G125" s="124">
        <f ca="1">IF('Simulador Bradesco'!D138&lt;&gt;Parâmetros!B125,VLOOKUP('Base de Dados'!F125,'Base de Dados'!$A$2:$B$64,2,FALSE),VLOOKUP(F125&amp;'Simulador Bradesco'!$I$13,$A$2:$B$600,2,FALSE))</f>
        <v>4.3520000000000001E-4</v>
      </c>
      <c r="H125" s="1">
        <f ca="1">Simulador!A156</f>
        <v>49908</v>
      </c>
      <c r="L125" s="1">
        <f ca="1">IF(Simulador!A155="",Simulador!$C$8,Simulador!A155)</f>
        <v>49877</v>
      </c>
      <c r="M125" s="4">
        <f ca="1">IF(Simulador!Q155="",0,Simulador!Q155*-1)</f>
        <v>-9205.443590159668</v>
      </c>
    </row>
    <row r="126" spans="1:13" x14ac:dyDescent="0.3">
      <c r="A126" t="s">
        <v>223</v>
      </c>
      <c r="B126" s="165">
        <v>9.3326999999999993E-3</v>
      </c>
      <c r="D126" s="93">
        <f ca="1">Simulador!C157</f>
        <v>124</v>
      </c>
      <c r="E126" s="1">
        <f t="shared" ca="1" si="3"/>
        <v>49939</v>
      </c>
      <c r="F126" s="1">
        <f t="shared" ca="1" si="4"/>
        <v>47</v>
      </c>
      <c r="G126" s="124">
        <f ca="1">IF('Simulador Bradesco'!D139&lt;&gt;Parâmetros!B126,VLOOKUP('Base de Dados'!F126,'Base de Dados'!$A$2:$B$64,2,FALSE),VLOOKUP(F126&amp;'Simulador Bradesco'!$I$13,$A$2:$B$600,2,FALSE))</f>
        <v>4.3520000000000001E-4</v>
      </c>
      <c r="H126" s="1">
        <f ca="1">Simulador!A157</f>
        <v>49939</v>
      </c>
      <c r="L126" s="1">
        <f ca="1">IF(Simulador!A156="",Simulador!$C$8,Simulador!A156)</f>
        <v>49908</v>
      </c>
      <c r="M126" s="4">
        <f ca="1">IF(Simulador!Q156="",0,Simulador!Q156*-1)</f>
        <v>-9204.3777467987766</v>
      </c>
    </row>
    <row r="127" spans="1:13" x14ac:dyDescent="0.3">
      <c r="A127" t="s">
        <v>224</v>
      </c>
      <c r="B127" s="165">
        <v>9.3326999999999993E-3</v>
      </c>
      <c r="D127" s="93">
        <f ca="1">Simulador!C158</f>
        <v>125</v>
      </c>
      <c r="E127" s="1">
        <f t="shared" ca="1" si="3"/>
        <v>49969</v>
      </c>
      <c r="F127" s="1">
        <f t="shared" ca="1" si="4"/>
        <v>47</v>
      </c>
      <c r="G127" s="124">
        <f ca="1">IF('Simulador Bradesco'!D140&lt;&gt;Parâmetros!B127,VLOOKUP('Base de Dados'!F127,'Base de Dados'!$A$2:$B$64,2,FALSE),VLOOKUP(F127&amp;'Simulador Bradesco'!$I$13,$A$2:$B$600,2,FALSE))</f>
        <v>4.3520000000000001E-4</v>
      </c>
      <c r="H127" s="1">
        <f ca="1">Simulador!A158</f>
        <v>49969</v>
      </c>
      <c r="L127" s="1">
        <f ca="1">IF(Simulador!A157="",Simulador!$C$8,Simulador!A157)</f>
        <v>49939</v>
      </c>
      <c r="M127" s="4">
        <f ca="1">IF(Simulador!Q157="",0,Simulador!Q157*-1)</f>
        <v>-9203.3002095785305</v>
      </c>
    </row>
    <row r="128" spans="1:13" x14ac:dyDescent="0.3">
      <c r="A128" t="s">
        <v>225</v>
      </c>
      <c r="B128" s="165">
        <v>1.037E-4</v>
      </c>
      <c r="D128" s="93">
        <f ca="1">Simulador!C159</f>
        <v>126</v>
      </c>
      <c r="E128" s="1">
        <f t="shared" ca="1" si="3"/>
        <v>50000</v>
      </c>
      <c r="F128" s="1">
        <f t="shared" ca="1" si="4"/>
        <v>47</v>
      </c>
      <c r="G128" s="124">
        <f ca="1">IF('Simulador Bradesco'!D141&lt;&gt;Parâmetros!B128,VLOOKUP('Base de Dados'!F128,'Base de Dados'!$A$2:$B$64,2,FALSE),VLOOKUP(F128&amp;'Simulador Bradesco'!$I$13,$A$2:$B$600,2,FALSE))</f>
        <v>4.3520000000000001E-4</v>
      </c>
      <c r="H128" s="1">
        <f ca="1">Simulador!A159</f>
        <v>50000</v>
      </c>
      <c r="L128" s="1">
        <f ca="1">IF(Simulador!A158="",Simulador!$C$8,Simulador!A158)</f>
        <v>49969</v>
      </c>
      <c r="M128" s="4">
        <f ca="1">IF(Simulador!Q158="",0,Simulador!Q158*-1)</f>
        <v>-9202.2108502002066</v>
      </c>
    </row>
    <row r="129" spans="1:13" x14ac:dyDescent="0.3">
      <c r="A129" t="s">
        <v>226</v>
      </c>
      <c r="B129" s="165">
        <v>1.037E-4</v>
      </c>
      <c r="D129" s="93">
        <f ca="1">Simulador!C160</f>
        <v>127</v>
      </c>
      <c r="E129" s="1">
        <f t="shared" ca="1" si="3"/>
        <v>50030</v>
      </c>
      <c r="F129" s="1">
        <f t="shared" ca="1" si="4"/>
        <v>47</v>
      </c>
      <c r="G129" s="124">
        <f ca="1">IF('Simulador Bradesco'!D142&lt;&gt;Parâmetros!B129,VLOOKUP('Base de Dados'!F129,'Base de Dados'!$A$2:$B$64,2,FALSE),VLOOKUP(F129&amp;'Simulador Bradesco'!$I$13,$A$2:$B$600,2,FALSE))</f>
        <v>4.3520000000000001E-4</v>
      </c>
      <c r="H129" s="1">
        <f ca="1">Simulador!A160</f>
        <v>50030</v>
      </c>
      <c r="L129" s="1">
        <f ca="1">IF(Simulador!A159="",Simulador!$C$8,Simulador!A159)</f>
        <v>50000</v>
      </c>
      <c r="M129" s="4">
        <f ca="1">IF(Simulador!Q159="",0,Simulador!Q159*-1)</f>
        <v>-9201.1095389574493</v>
      </c>
    </row>
    <row r="130" spans="1:13" x14ac:dyDescent="0.3">
      <c r="A130" t="s">
        <v>227</v>
      </c>
      <c r="B130" s="165">
        <v>1.037E-4</v>
      </c>
      <c r="D130" s="93">
        <f ca="1">Simulador!C161</f>
        <v>128</v>
      </c>
      <c r="E130" s="1">
        <f t="shared" ca="1" si="3"/>
        <v>50061</v>
      </c>
      <c r="F130" s="1">
        <f t="shared" ca="1" si="4"/>
        <v>47</v>
      </c>
      <c r="G130" s="124">
        <f ca="1">IF('Simulador Bradesco'!D143&lt;&gt;Parâmetros!B130,VLOOKUP('Base de Dados'!F130,'Base de Dados'!$A$2:$B$64,2,FALSE),VLOOKUP(F130&amp;'Simulador Bradesco'!$I$13,$A$2:$B$600,2,FALSE))</f>
        <v>4.3520000000000001E-4</v>
      </c>
      <c r="H130" s="1">
        <f ca="1">Simulador!A161</f>
        <v>50061</v>
      </c>
      <c r="L130" s="1">
        <f ca="1">IF(Simulador!A160="",Simulador!$C$8,Simulador!A160)</f>
        <v>50030</v>
      </c>
      <c r="M130" s="4">
        <f ca="1">IF(Simulador!Q160="",0,Simulador!Q160*-1)</f>
        <v>-9199.9961447208407</v>
      </c>
    </row>
    <row r="131" spans="1:13" x14ac:dyDescent="0.3">
      <c r="A131" t="s">
        <v>228</v>
      </c>
      <c r="B131" s="165">
        <v>1.1179999999999999E-4</v>
      </c>
      <c r="D131" s="93">
        <f ca="1">Simulador!C162</f>
        <v>129</v>
      </c>
      <c r="E131" s="1">
        <f t="shared" ref="E131:E194" ca="1" si="5">H131</f>
        <v>50092</v>
      </c>
      <c r="F131" s="1">
        <f t="shared" ca="1" si="4"/>
        <v>47</v>
      </c>
      <c r="G131" s="124">
        <f ca="1">IF('Simulador Bradesco'!D144&lt;&gt;Parâmetros!B131,VLOOKUP('Base de Dados'!F131,'Base de Dados'!$A$2:$B$64,2,FALSE),VLOOKUP(F131&amp;'Simulador Bradesco'!$I$13,$A$2:$B$600,2,FALSE))</f>
        <v>4.3520000000000001E-4</v>
      </c>
      <c r="H131" s="1">
        <f ca="1">Simulador!A162</f>
        <v>50092</v>
      </c>
      <c r="L131" s="1">
        <f ca="1">IF(Simulador!A161="",Simulador!$C$8,Simulador!A161)</f>
        <v>50061</v>
      </c>
      <c r="M131" s="4">
        <f ca="1">IF(Simulador!Q161="",0,Simulador!Q161*-1)</f>
        <v>-9198.8705349222782</v>
      </c>
    </row>
    <row r="132" spans="1:13" x14ac:dyDescent="0.3">
      <c r="A132" t="s">
        <v>229</v>
      </c>
      <c r="B132" s="165">
        <v>1.1179999999999999E-4</v>
      </c>
      <c r="D132" s="93">
        <f ca="1">Simulador!C163</f>
        <v>130</v>
      </c>
      <c r="E132" s="1">
        <f t="shared" ca="1" si="5"/>
        <v>50120</v>
      </c>
      <c r="F132" s="1">
        <f t="shared" ref="F132:F195" ca="1" si="6">ROUNDDOWN(_xlfn.DAYS(E132,$B$1)/365,0)</f>
        <v>47</v>
      </c>
      <c r="G132" s="124">
        <f ca="1">IF('Simulador Bradesco'!D145&lt;&gt;Parâmetros!B132,VLOOKUP('Base de Dados'!F132,'Base de Dados'!$A$2:$B$64,2,FALSE),VLOOKUP(F132&amp;'Simulador Bradesco'!$I$13,$A$2:$B$600,2,FALSE))</f>
        <v>4.3520000000000001E-4</v>
      </c>
      <c r="H132" s="1">
        <f ca="1">Simulador!A163</f>
        <v>50120</v>
      </c>
      <c r="L132" s="1">
        <f ca="1">IF(Simulador!A162="",Simulador!$C$8,Simulador!A162)</f>
        <v>50092</v>
      </c>
      <c r="M132" s="4">
        <f ca="1">IF(Simulador!Q162="",0,Simulador!Q162*-1)</f>
        <v>-9197.7325755391976</v>
      </c>
    </row>
    <row r="133" spans="1:13" x14ac:dyDescent="0.3">
      <c r="A133" t="s">
        <v>230</v>
      </c>
      <c r="B133" s="165">
        <v>1.1179999999999999E-4</v>
      </c>
      <c r="D133" s="93">
        <f ca="1">Simulador!C164</f>
        <v>131</v>
      </c>
      <c r="E133" s="1">
        <f t="shared" ca="1" si="5"/>
        <v>50151</v>
      </c>
      <c r="F133" s="1">
        <f t="shared" ca="1" si="6"/>
        <v>47</v>
      </c>
      <c r="G133" s="124">
        <f ca="1">IF('Simulador Bradesco'!D146&lt;&gt;Parâmetros!B133,VLOOKUP('Base de Dados'!F133,'Base de Dados'!$A$2:$B$64,2,FALSE),VLOOKUP(F133&amp;'Simulador Bradesco'!$I$13,$A$2:$B$600,2,FALSE))</f>
        <v>4.3520000000000001E-4</v>
      </c>
      <c r="H133" s="1">
        <f ca="1">Simulador!A164</f>
        <v>50151</v>
      </c>
      <c r="L133" s="1">
        <f ca="1">IF(Simulador!A163="",Simulador!$C$8,Simulador!A163)</f>
        <v>50120</v>
      </c>
      <c r="M133" s="4">
        <f ca="1">IF(Simulador!Q163="",0,Simulador!Q163*-1)</f>
        <v>-9196.5821310786032</v>
      </c>
    </row>
    <row r="134" spans="1:13" x14ac:dyDescent="0.3">
      <c r="A134" t="s">
        <v>231</v>
      </c>
      <c r="B134" s="165">
        <v>1.18E-4</v>
      </c>
      <c r="D134" s="93">
        <f ca="1">Simulador!C165</f>
        <v>132</v>
      </c>
      <c r="E134" s="1">
        <f t="shared" ca="1" si="5"/>
        <v>50181</v>
      </c>
      <c r="F134" s="1">
        <f t="shared" ca="1" si="6"/>
        <v>47</v>
      </c>
      <c r="G134" s="124">
        <f ca="1">IF('Simulador Bradesco'!D147&lt;&gt;Parâmetros!B134,VLOOKUP('Base de Dados'!F134,'Base de Dados'!$A$2:$B$64,2,FALSE),VLOOKUP(F134&amp;'Simulador Bradesco'!$I$13,$A$2:$B$600,2,FALSE))</f>
        <v>4.3520000000000001E-4</v>
      </c>
      <c r="H134" s="1">
        <f ca="1">Simulador!A165</f>
        <v>50181</v>
      </c>
      <c r="L134" s="1">
        <f ca="1">IF(Simulador!A164="",Simulador!$C$8,Simulador!A164)</f>
        <v>50151</v>
      </c>
      <c r="M134" s="4">
        <f ca="1">IF(Simulador!Q164="",0,Simulador!Q164*-1)</f>
        <v>-9195.4190645609542</v>
      </c>
    </row>
    <row r="135" spans="1:13" x14ac:dyDescent="0.3">
      <c r="A135" t="s">
        <v>232</v>
      </c>
      <c r="B135" s="165">
        <v>1.18E-4</v>
      </c>
      <c r="D135" s="93">
        <f ca="1">Simulador!C166</f>
        <v>133</v>
      </c>
      <c r="E135" s="1">
        <f t="shared" ca="1" si="5"/>
        <v>50212</v>
      </c>
      <c r="F135" s="1">
        <f t="shared" ca="1" si="6"/>
        <v>47</v>
      </c>
      <c r="G135" s="124">
        <f ca="1">IF('Simulador Bradesco'!D148&lt;&gt;Parâmetros!B135,VLOOKUP('Base de Dados'!F135,'Base de Dados'!$A$2:$B$64,2,FALSE),VLOOKUP(F135&amp;'Simulador Bradesco'!$I$13,$A$2:$B$600,2,FALSE))</f>
        <v>4.3520000000000001E-4</v>
      </c>
      <c r="H135" s="1">
        <f ca="1">Simulador!A166</f>
        <v>50212</v>
      </c>
      <c r="L135" s="1">
        <f ca="1">IF(Simulador!A165="",Simulador!$C$8,Simulador!A165)</f>
        <v>50181</v>
      </c>
      <c r="M135" s="4">
        <f ca="1">IF(Simulador!Q165="",0,Simulador!Q165*-1)</f>
        <v>-9194.2432375038334</v>
      </c>
    </row>
    <row r="136" spans="1:13" x14ac:dyDescent="0.3">
      <c r="A136" t="s">
        <v>233</v>
      </c>
      <c r="B136" s="165">
        <v>1.18E-4</v>
      </c>
      <c r="D136" s="93">
        <f ca="1">Simulador!C167</f>
        <v>134</v>
      </c>
      <c r="E136" s="1">
        <f t="shared" ca="1" si="5"/>
        <v>50242</v>
      </c>
      <c r="F136" s="1">
        <f t="shared" ca="1" si="6"/>
        <v>47</v>
      </c>
      <c r="G136" s="124">
        <f ca="1">IF('Simulador Bradesco'!D149&lt;&gt;Parâmetros!B136,VLOOKUP('Base de Dados'!F136,'Base de Dados'!$A$2:$B$64,2,FALSE),VLOOKUP(F136&amp;'Simulador Bradesco'!$I$13,$A$2:$B$600,2,FALSE))</f>
        <v>4.3520000000000001E-4</v>
      </c>
      <c r="H136" s="1">
        <f ca="1">Simulador!A167</f>
        <v>50242</v>
      </c>
      <c r="L136" s="1">
        <f ca="1">IF(Simulador!A166="",Simulador!$C$8,Simulador!A166)</f>
        <v>50212</v>
      </c>
      <c r="M136" s="4">
        <f ca="1">IF(Simulador!Q166="",0,Simulador!Q166*-1)</f>
        <v>-9193.0545099054762</v>
      </c>
    </row>
    <row r="137" spans="1:13" x14ac:dyDescent="0.3">
      <c r="A137" t="s">
        <v>234</v>
      </c>
      <c r="B137" s="165">
        <v>1.2899999999999999E-4</v>
      </c>
      <c r="D137" s="93">
        <f ca="1">Simulador!C168</f>
        <v>135</v>
      </c>
      <c r="E137" s="1">
        <f t="shared" ca="1" si="5"/>
        <v>50273</v>
      </c>
      <c r="F137" s="1">
        <f t="shared" ca="1" si="6"/>
        <v>47</v>
      </c>
      <c r="G137" s="124">
        <f ca="1">IF('Simulador Bradesco'!D150&lt;&gt;Parâmetros!B137,VLOOKUP('Base de Dados'!F137,'Base de Dados'!$A$2:$B$64,2,FALSE),VLOOKUP(F137&amp;'Simulador Bradesco'!$I$13,$A$2:$B$600,2,FALSE))</f>
        <v>4.3520000000000001E-4</v>
      </c>
      <c r="H137" s="1">
        <f ca="1">Simulador!A168</f>
        <v>50273</v>
      </c>
      <c r="L137" s="1">
        <f ca="1">IF(Simulador!A167="",Simulador!$C$8,Simulador!A167)</f>
        <v>50242</v>
      </c>
      <c r="M137" s="4">
        <f ca="1">IF(Simulador!Q167="",0,Simulador!Q167*-1)</f>
        <v>-9191.8527402280906</v>
      </c>
    </row>
    <row r="138" spans="1:13" x14ac:dyDescent="0.3">
      <c r="A138" t="s">
        <v>235</v>
      </c>
      <c r="B138" s="165">
        <v>1.2899999999999999E-4</v>
      </c>
      <c r="D138" s="93">
        <f ca="1">Simulador!C169</f>
        <v>136</v>
      </c>
      <c r="E138" s="1">
        <f t="shared" ca="1" si="5"/>
        <v>50304</v>
      </c>
      <c r="F138" s="1">
        <f t="shared" ca="1" si="6"/>
        <v>48</v>
      </c>
      <c r="G138" s="124">
        <f ca="1">IF('Simulador Bradesco'!D151&lt;&gt;Parâmetros!B138,VLOOKUP('Base de Dados'!F138,'Base de Dados'!$A$2:$B$64,2,FALSE),VLOOKUP(F138&amp;'Simulador Bradesco'!$I$13,$A$2:$B$600,2,FALSE))</f>
        <v>5.8719999999999996E-4</v>
      </c>
      <c r="H138" s="1">
        <f ca="1">Simulador!A169</f>
        <v>50304</v>
      </c>
      <c r="L138" s="1">
        <f ca="1">IF(Simulador!A168="",Simulador!$C$8,Simulador!A168)</f>
        <v>50273</v>
      </c>
      <c r="M138" s="4">
        <f ca="1">IF(Simulador!Q168="",0,Simulador!Q168*-1)</f>
        <v>-9190.63778538101</v>
      </c>
    </row>
    <row r="139" spans="1:13" x14ac:dyDescent="0.3">
      <c r="A139" t="s">
        <v>236</v>
      </c>
      <c r="B139" s="165">
        <v>1.2899999999999999E-4</v>
      </c>
      <c r="D139" s="93">
        <f ca="1">Simulador!C170</f>
        <v>137</v>
      </c>
      <c r="E139" s="1">
        <f t="shared" ca="1" si="5"/>
        <v>50334</v>
      </c>
      <c r="F139" s="1">
        <f t="shared" ca="1" si="6"/>
        <v>48</v>
      </c>
      <c r="G139" s="124">
        <f ca="1">IF('Simulador Bradesco'!D152&lt;&gt;Parâmetros!B139,VLOOKUP('Base de Dados'!F139,'Base de Dados'!$A$2:$B$64,2,FALSE),VLOOKUP(F139&amp;'Simulador Bradesco'!$I$13,$A$2:$B$600,2,FALSE))</f>
        <v>5.8719999999999996E-4</v>
      </c>
      <c r="H139" s="1">
        <f ca="1">Simulador!A170</f>
        <v>50334</v>
      </c>
      <c r="L139" s="1">
        <f ca="1">IF(Simulador!A169="",Simulador!$C$8,Simulador!A169)</f>
        <v>50304</v>
      </c>
      <c r="M139" s="4">
        <f ca="1">IF(Simulador!Q169="",0,Simulador!Q169*-1)</f>
        <v>-9272.8420670790892</v>
      </c>
    </row>
    <row r="140" spans="1:13" x14ac:dyDescent="0.3">
      <c r="A140" t="s">
        <v>237</v>
      </c>
      <c r="B140" s="165">
        <v>1.4229999999999999E-4</v>
      </c>
      <c r="D140" s="93">
        <f ca="1">Simulador!C171</f>
        <v>138</v>
      </c>
      <c r="E140" s="1">
        <f t="shared" ca="1" si="5"/>
        <v>50365</v>
      </c>
      <c r="F140" s="1">
        <f t="shared" ca="1" si="6"/>
        <v>48</v>
      </c>
      <c r="G140" s="124">
        <f ca="1">IF('Simulador Bradesco'!D153&lt;&gt;Parâmetros!B140,VLOOKUP('Base de Dados'!F140,'Base de Dados'!$A$2:$B$64,2,FALSE),VLOOKUP(F140&amp;'Simulador Bradesco'!$I$13,$A$2:$B$600,2,FALSE))</f>
        <v>5.8719999999999996E-4</v>
      </c>
      <c r="H140" s="1">
        <f ca="1">Simulador!A171</f>
        <v>50365</v>
      </c>
      <c r="L140" s="1">
        <f ca="1">IF(Simulador!A170="",Simulador!$C$8,Simulador!A170)</f>
        <v>50334</v>
      </c>
      <c r="M140" s="4">
        <f ca="1">IF(Simulador!Q170="",0,Simulador!Q170*-1)</f>
        <v>-9271.1666031187433</v>
      </c>
    </row>
    <row r="141" spans="1:13" x14ac:dyDescent="0.3">
      <c r="A141" t="s">
        <v>238</v>
      </c>
      <c r="B141" s="165">
        <v>1.4229999999999999E-4</v>
      </c>
      <c r="D141" s="93">
        <f ca="1">Simulador!C172</f>
        <v>139</v>
      </c>
      <c r="E141" s="1">
        <f t="shared" ca="1" si="5"/>
        <v>50395</v>
      </c>
      <c r="F141" s="1">
        <f t="shared" ca="1" si="6"/>
        <v>48</v>
      </c>
      <c r="G141" s="124">
        <f ca="1">IF('Simulador Bradesco'!D154&lt;&gt;Parâmetros!B141,VLOOKUP('Base de Dados'!F141,'Base de Dados'!$A$2:$B$64,2,FALSE),VLOOKUP(F141&amp;'Simulador Bradesco'!$I$13,$A$2:$B$600,2,FALSE))</f>
        <v>5.8719999999999996E-4</v>
      </c>
      <c r="H141" s="1">
        <f ca="1">Simulador!A172</f>
        <v>50395</v>
      </c>
      <c r="L141" s="1">
        <f ca="1">IF(Simulador!A171="",Simulador!$C$8,Simulador!A171)</f>
        <v>50365</v>
      </c>
      <c r="M141" s="4">
        <f ca="1">IF(Simulador!Q171="",0,Simulador!Q171*-1)</f>
        <v>-9269.4727568701328</v>
      </c>
    </row>
    <row r="142" spans="1:13" x14ac:dyDescent="0.3">
      <c r="A142" t="s">
        <v>239</v>
      </c>
      <c r="B142" s="165">
        <v>1.4229999999999999E-4</v>
      </c>
      <c r="D142" s="93">
        <f ca="1">Simulador!C173</f>
        <v>140</v>
      </c>
      <c r="E142" s="1">
        <f t="shared" ca="1" si="5"/>
        <v>50426</v>
      </c>
      <c r="F142" s="1">
        <f t="shared" ca="1" si="6"/>
        <v>48</v>
      </c>
      <c r="G142" s="124">
        <f ca="1">IF('Simulador Bradesco'!D155&lt;&gt;Parâmetros!B142,VLOOKUP('Base de Dados'!F142,'Base de Dados'!$A$2:$B$64,2,FALSE),VLOOKUP(F142&amp;'Simulador Bradesco'!$I$13,$A$2:$B$600,2,FALSE))</f>
        <v>5.8719999999999996E-4</v>
      </c>
      <c r="H142" s="1">
        <f ca="1">Simulador!A173</f>
        <v>50426</v>
      </c>
      <c r="L142" s="1">
        <f ca="1">IF(Simulador!A172="",Simulador!$C$8,Simulador!A172)</f>
        <v>50395</v>
      </c>
      <c r="M142" s="4">
        <f ca="1">IF(Simulador!Q172="",0,Simulador!Q172*-1)</f>
        <v>-9267.7603266526912</v>
      </c>
    </row>
    <row r="143" spans="1:13" x14ac:dyDescent="0.3">
      <c r="A143" t="s">
        <v>240</v>
      </c>
      <c r="B143" s="165">
        <v>1.552E-4</v>
      </c>
      <c r="D143" s="93">
        <f ca="1">Simulador!C174</f>
        <v>141</v>
      </c>
      <c r="E143" s="1">
        <f t="shared" ca="1" si="5"/>
        <v>50457</v>
      </c>
      <c r="F143" s="1">
        <f t="shared" ca="1" si="6"/>
        <v>48</v>
      </c>
      <c r="G143" s="124">
        <f ca="1">IF('Simulador Bradesco'!D156&lt;&gt;Parâmetros!B143,VLOOKUP('Base de Dados'!F143,'Base de Dados'!$A$2:$B$64,2,FALSE),VLOOKUP(F143&amp;'Simulador Bradesco'!$I$13,$A$2:$B$600,2,FALSE))</f>
        <v>5.8719999999999996E-4</v>
      </c>
      <c r="H143" s="1">
        <f ca="1">Simulador!A174</f>
        <v>50457</v>
      </c>
      <c r="L143" s="1">
        <f ca="1">IF(Simulador!A173="",Simulador!$C$8,Simulador!A173)</f>
        <v>50426</v>
      </c>
      <c r="M143" s="4">
        <f ca="1">IF(Simulador!Q173="",0,Simulador!Q173*-1)</f>
        <v>-9266.0291085731242</v>
      </c>
    </row>
    <row r="144" spans="1:13" x14ac:dyDescent="0.3">
      <c r="A144" t="s">
        <v>241</v>
      </c>
      <c r="B144" s="165">
        <v>1.552E-4</v>
      </c>
      <c r="D144" s="93">
        <f ca="1">Simulador!C175</f>
        <v>142</v>
      </c>
      <c r="E144" s="1">
        <f t="shared" ca="1" si="5"/>
        <v>50485</v>
      </c>
      <c r="F144" s="1">
        <f t="shared" ca="1" si="6"/>
        <v>48</v>
      </c>
      <c r="G144" s="124">
        <f ca="1">IF('Simulador Bradesco'!D157&lt;&gt;Parâmetros!B144,VLOOKUP('Base de Dados'!F144,'Base de Dados'!$A$2:$B$64,2,FALSE),VLOOKUP(F144&amp;'Simulador Bradesco'!$I$13,$A$2:$B$600,2,FALSE))</f>
        <v>5.8719999999999996E-4</v>
      </c>
      <c r="H144" s="1">
        <f ca="1">Simulador!A175</f>
        <v>50485</v>
      </c>
      <c r="L144" s="1">
        <f ca="1">IF(Simulador!A174="",Simulador!$C$8,Simulador!A174)</f>
        <v>50457</v>
      </c>
      <c r="M144" s="4">
        <f ca="1">IF(Simulador!Q174="",0,Simulador!Q174*-1)</f>
        <v>-9264.2788965011223</v>
      </c>
    </row>
    <row r="145" spans="1:13" x14ac:dyDescent="0.3">
      <c r="A145" t="s">
        <v>242</v>
      </c>
      <c r="B145" s="165">
        <v>1.552E-4</v>
      </c>
      <c r="D145" s="93">
        <f ca="1">Simulador!C176</f>
        <v>143</v>
      </c>
      <c r="E145" s="1">
        <f t="shared" ca="1" si="5"/>
        <v>50516</v>
      </c>
      <c r="F145" s="1">
        <f t="shared" ca="1" si="6"/>
        <v>48</v>
      </c>
      <c r="G145" s="124">
        <f ca="1">IF('Simulador Bradesco'!D158&lt;&gt;Parâmetros!B145,VLOOKUP('Base de Dados'!F145,'Base de Dados'!$A$2:$B$64,2,FALSE),VLOOKUP(F145&amp;'Simulador Bradesco'!$I$13,$A$2:$B$600,2,FALSE))</f>
        <v>5.8719999999999996E-4</v>
      </c>
      <c r="H145" s="1">
        <f ca="1">Simulador!A176</f>
        <v>50516</v>
      </c>
      <c r="L145" s="1">
        <f ca="1">IF(Simulador!A175="",Simulador!$C$8,Simulador!A175)</f>
        <v>50485</v>
      </c>
      <c r="M145" s="4">
        <f ca="1">IF(Simulador!Q175="",0,Simulador!Q175*-1)</f>
        <v>-9262.5094820448303</v>
      </c>
    </row>
    <row r="146" spans="1:13" x14ac:dyDescent="0.3">
      <c r="A146" t="s">
        <v>243</v>
      </c>
      <c r="B146" s="165">
        <v>1.795E-4</v>
      </c>
      <c r="D146" s="93">
        <f ca="1">Simulador!C177</f>
        <v>144</v>
      </c>
      <c r="E146" s="1">
        <f t="shared" ca="1" si="5"/>
        <v>50546</v>
      </c>
      <c r="F146" s="1">
        <f t="shared" ca="1" si="6"/>
        <v>48</v>
      </c>
      <c r="G146" s="124">
        <f ca="1">IF('Simulador Bradesco'!D159&lt;&gt;Parâmetros!B146,VLOOKUP('Base de Dados'!F146,'Base de Dados'!$A$2:$B$64,2,FALSE),VLOOKUP(F146&amp;'Simulador Bradesco'!$I$13,$A$2:$B$600,2,FALSE))</f>
        <v>5.8719999999999996E-4</v>
      </c>
      <c r="H146" s="1">
        <f ca="1">Simulador!A177</f>
        <v>50546</v>
      </c>
      <c r="L146" s="1">
        <f ca="1">IF(Simulador!A176="",Simulador!$C$8,Simulador!A176)</f>
        <v>50516</v>
      </c>
      <c r="M146" s="4">
        <f ca="1">IF(Simulador!Q176="",0,Simulador!Q176*-1)</f>
        <v>-9260.7206545260324</v>
      </c>
    </row>
    <row r="147" spans="1:13" x14ac:dyDescent="0.3">
      <c r="A147" t="s">
        <v>244</v>
      </c>
      <c r="B147" s="165">
        <v>1.795E-4</v>
      </c>
      <c r="D147" s="93">
        <f ca="1">Simulador!C178</f>
        <v>145</v>
      </c>
      <c r="E147" s="1">
        <f t="shared" ca="1" si="5"/>
        <v>50577</v>
      </c>
      <c r="F147" s="1">
        <f t="shared" ca="1" si="6"/>
        <v>48</v>
      </c>
      <c r="G147" s="124">
        <f ca="1">IF('Simulador Bradesco'!D160&lt;&gt;Parâmetros!B147,VLOOKUP('Base de Dados'!F147,'Base de Dados'!$A$2:$B$64,2,FALSE),VLOOKUP(F147&amp;'Simulador Bradesco'!$I$13,$A$2:$B$600,2,FALSE))</f>
        <v>5.8719999999999996E-4</v>
      </c>
      <c r="H147" s="1">
        <f ca="1">Simulador!A178</f>
        <v>50577</v>
      </c>
      <c r="L147" s="1">
        <f ca="1">IF(Simulador!A177="",Simulador!$C$8,Simulador!A177)</f>
        <v>50546</v>
      </c>
      <c r="M147" s="4">
        <f ca="1">IF(Simulador!Q177="",0,Simulador!Q177*-1)</f>
        <v>-9258.9122009550574</v>
      </c>
    </row>
    <row r="148" spans="1:13" x14ac:dyDescent="0.3">
      <c r="A148" t="s">
        <v>245</v>
      </c>
      <c r="B148" s="165">
        <v>1.795E-4</v>
      </c>
      <c r="D148" s="93">
        <f ca="1">Simulador!C179</f>
        <v>146</v>
      </c>
      <c r="E148" s="1">
        <f t="shared" ca="1" si="5"/>
        <v>50607</v>
      </c>
      <c r="F148" s="1">
        <f t="shared" ca="1" si="6"/>
        <v>48</v>
      </c>
      <c r="G148" s="124">
        <f ca="1">IF('Simulador Bradesco'!D161&lt;&gt;Parâmetros!B148,VLOOKUP('Base de Dados'!F148,'Base de Dados'!$A$2:$B$64,2,FALSE),VLOOKUP(F148&amp;'Simulador Bradesco'!$I$13,$A$2:$B$600,2,FALSE))</f>
        <v>5.8719999999999996E-4</v>
      </c>
      <c r="H148" s="1">
        <f ca="1">Simulador!A179</f>
        <v>50607</v>
      </c>
      <c r="L148" s="1">
        <f ca="1">IF(Simulador!A178="",Simulador!$C$8,Simulador!A178)</f>
        <v>50577</v>
      </c>
      <c r="M148" s="4">
        <f ca="1">IF(Simulador!Q178="",0,Simulador!Q178*-1)</f>
        <v>-9257.0839060054332</v>
      </c>
    </row>
    <row r="149" spans="1:13" x14ac:dyDescent="0.3">
      <c r="A149" t="s">
        <v>246</v>
      </c>
      <c r="B149" s="165">
        <v>2.2130000000000001E-4</v>
      </c>
      <c r="D149" s="93">
        <f ca="1">Simulador!C180</f>
        <v>147</v>
      </c>
      <c r="E149" s="1">
        <f t="shared" ca="1" si="5"/>
        <v>50638</v>
      </c>
      <c r="F149" s="1">
        <f t="shared" ca="1" si="6"/>
        <v>48</v>
      </c>
      <c r="G149" s="124">
        <f ca="1">IF('Simulador Bradesco'!D162&lt;&gt;Parâmetros!B149,VLOOKUP('Base de Dados'!F149,'Base de Dados'!$A$2:$B$64,2,FALSE),VLOOKUP(F149&amp;'Simulador Bradesco'!$I$13,$A$2:$B$600,2,FALSE))</f>
        <v>5.8719999999999996E-4</v>
      </c>
      <c r="H149" s="1">
        <f ca="1">Simulador!A180</f>
        <v>50638</v>
      </c>
      <c r="L149" s="1">
        <f ca="1">IF(Simulador!A179="",Simulador!$C$8,Simulador!A179)</f>
        <v>50607</v>
      </c>
      <c r="M149" s="4">
        <f ca="1">IF(Simulador!Q179="",0,Simulador!Q179*-1)</f>
        <v>-9255.2355519882367</v>
      </c>
    </row>
    <row r="150" spans="1:13" x14ac:dyDescent="0.3">
      <c r="A150" t="s">
        <v>247</v>
      </c>
      <c r="B150" s="165">
        <v>2.2130000000000001E-4</v>
      </c>
      <c r="D150" s="93">
        <f ca="1">Simulador!C181</f>
        <v>148</v>
      </c>
      <c r="E150" s="1">
        <f t="shared" ca="1" si="5"/>
        <v>50669</v>
      </c>
      <c r="F150" s="1">
        <f t="shared" ca="1" si="6"/>
        <v>49</v>
      </c>
      <c r="G150" s="124">
        <f ca="1">IF('Simulador Bradesco'!D163&lt;&gt;Parâmetros!B150,VLOOKUP('Base de Dados'!F150,'Base de Dados'!$A$2:$B$64,2,FALSE),VLOOKUP(F150&amp;'Simulador Bradesco'!$I$13,$A$2:$B$600,2,FALSE))</f>
        <v>5.8719999999999996E-4</v>
      </c>
      <c r="H150" s="1">
        <f ca="1">Simulador!A181</f>
        <v>50669</v>
      </c>
      <c r="L150" s="1">
        <f ca="1">IF(Simulador!A180="",Simulador!$C$8,Simulador!A180)</f>
        <v>50638</v>
      </c>
      <c r="M150" s="4">
        <f ca="1">IF(Simulador!Q180="",0,Simulador!Q180*-1)</f>
        <v>-9253.3669188261829</v>
      </c>
    </row>
    <row r="151" spans="1:13" x14ac:dyDescent="0.3">
      <c r="A151" t="s">
        <v>248</v>
      </c>
      <c r="B151" s="165">
        <v>2.2130000000000001E-4</v>
      </c>
      <c r="D151" s="93">
        <f ca="1">Simulador!C182</f>
        <v>149</v>
      </c>
      <c r="E151" s="1">
        <f t="shared" ca="1" si="5"/>
        <v>50699</v>
      </c>
      <c r="F151" s="1">
        <f t="shared" ca="1" si="6"/>
        <v>49</v>
      </c>
      <c r="G151" s="124">
        <f ca="1">IF('Simulador Bradesco'!D164&lt;&gt;Parâmetros!B151,VLOOKUP('Base de Dados'!F151,'Base de Dados'!$A$2:$B$64,2,FALSE),VLOOKUP(F151&amp;'Simulador Bradesco'!$I$13,$A$2:$B$600,2,FALSE))</f>
        <v>5.8719999999999996E-4</v>
      </c>
      <c r="H151" s="1">
        <f ca="1">Simulador!A182</f>
        <v>50699</v>
      </c>
      <c r="L151" s="1">
        <f ca="1">IF(Simulador!A181="",Simulador!$C$8,Simulador!A181)</f>
        <v>50669</v>
      </c>
      <c r="M151" s="4">
        <f ca="1">IF(Simulador!Q181="",0,Simulador!Q181*-1)</f>
        <v>-9251.4777840274146</v>
      </c>
    </row>
    <row r="152" spans="1:13" x14ac:dyDescent="0.3">
      <c r="A152" t="s">
        <v>249</v>
      </c>
      <c r="B152" s="165">
        <v>3.1359999999999998E-4</v>
      </c>
      <c r="D152" s="93">
        <f ca="1">Simulador!C183</f>
        <v>150</v>
      </c>
      <c r="E152" s="1">
        <f t="shared" ca="1" si="5"/>
        <v>50730</v>
      </c>
      <c r="F152" s="1">
        <f t="shared" ca="1" si="6"/>
        <v>49</v>
      </c>
      <c r="G152" s="124">
        <f ca="1">IF('Simulador Bradesco'!D165&lt;&gt;Parâmetros!B152,VLOOKUP('Base de Dados'!F152,'Base de Dados'!$A$2:$B$64,2,FALSE),VLOOKUP(F152&amp;'Simulador Bradesco'!$I$13,$A$2:$B$600,2,FALSE))</f>
        <v>5.8719999999999996E-4</v>
      </c>
      <c r="H152" s="1">
        <f ca="1">Simulador!A183</f>
        <v>50730</v>
      </c>
      <c r="L152" s="1">
        <f ca="1">IF(Simulador!A182="",Simulador!$C$8,Simulador!A182)</f>
        <v>50699</v>
      </c>
      <c r="M152" s="4">
        <f ca="1">IF(Simulador!Q182="",0,Simulador!Q182*-1)</f>
        <v>-9249.5679226590146</v>
      </c>
    </row>
    <row r="153" spans="1:13" x14ac:dyDescent="0.3">
      <c r="A153" t="s">
        <v>250</v>
      </c>
      <c r="B153" s="165">
        <v>3.1359999999999998E-4</v>
      </c>
      <c r="D153" s="93">
        <f ca="1">Simulador!C184</f>
        <v>151</v>
      </c>
      <c r="E153" s="1">
        <f t="shared" ca="1" si="5"/>
        <v>50760</v>
      </c>
      <c r="F153" s="1">
        <f t="shared" ca="1" si="6"/>
        <v>49</v>
      </c>
      <c r="G153" s="124">
        <f ca="1">IF('Simulador Bradesco'!D166&lt;&gt;Parâmetros!B153,VLOOKUP('Base de Dados'!F153,'Base de Dados'!$A$2:$B$64,2,FALSE),VLOOKUP(F153&amp;'Simulador Bradesco'!$I$13,$A$2:$B$600,2,FALSE))</f>
        <v>5.8719999999999996E-4</v>
      </c>
      <c r="H153" s="1">
        <f ca="1">Simulador!A184</f>
        <v>50760</v>
      </c>
      <c r="L153" s="1">
        <f ca="1">IF(Simulador!A183="",Simulador!$C$8,Simulador!A183)</f>
        <v>50730</v>
      </c>
      <c r="M153" s="4">
        <f ca="1">IF(Simulador!Q183="",0,Simulador!Q183*-1)</f>
        <v>-9247.6371073202226</v>
      </c>
    </row>
    <row r="154" spans="1:13" x14ac:dyDescent="0.3">
      <c r="A154" t="s">
        <v>251</v>
      </c>
      <c r="B154" s="165">
        <v>3.1359999999999998E-4</v>
      </c>
      <c r="D154" s="93">
        <f ca="1">Simulador!C185</f>
        <v>152</v>
      </c>
      <c r="E154" s="1">
        <f t="shared" ca="1" si="5"/>
        <v>50791</v>
      </c>
      <c r="F154" s="1">
        <f t="shared" ca="1" si="6"/>
        <v>49</v>
      </c>
      <c r="G154" s="124">
        <f ca="1">IF('Simulador Bradesco'!D167&lt;&gt;Parâmetros!B154,VLOOKUP('Base de Dados'!F154,'Base de Dados'!$A$2:$B$64,2,FALSE),VLOOKUP(F154&amp;'Simulador Bradesco'!$I$13,$A$2:$B$600,2,FALSE))</f>
        <v>5.8719999999999996E-4</v>
      </c>
      <c r="H154" s="1">
        <f ca="1">Simulador!A185</f>
        <v>50791</v>
      </c>
      <c r="L154" s="1">
        <f ca="1">IF(Simulador!A184="",Simulador!$C$8,Simulador!A184)</f>
        <v>50760</v>
      </c>
      <c r="M154" s="4">
        <f ca="1">IF(Simulador!Q184="",0,Simulador!Q184*-1)</f>
        <v>-9245.6851081153618</v>
      </c>
    </row>
    <row r="155" spans="1:13" x14ac:dyDescent="0.3">
      <c r="A155" t="s">
        <v>252</v>
      </c>
      <c r="B155" s="165">
        <v>4.3070000000000001E-4</v>
      </c>
      <c r="D155" s="93">
        <f ca="1">Simulador!C186</f>
        <v>153</v>
      </c>
      <c r="E155" s="1">
        <f t="shared" ca="1" si="5"/>
        <v>50822</v>
      </c>
      <c r="F155" s="1">
        <f t="shared" ca="1" si="6"/>
        <v>49</v>
      </c>
      <c r="G155" s="124">
        <f ca="1">IF('Simulador Bradesco'!D168&lt;&gt;Parâmetros!B155,VLOOKUP('Base de Dados'!F155,'Base de Dados'!$A$2:$B$64,2,FALSE),VLOOKUP(F155&amp;'Simulador Bradesco'!$I$13,$A$2:$B$600,2,FALSE))</f>
        <v>5.8719999999999996E-4</v>
      </c>
      <c r="H155" s="1">
        <f ca="1">Simulador!A186</f>
        <v>50822</v>
      </c>
      <c r="L155" s="1">
        <f ca="1">IF(Simulador!A185="",Simulador!$C$8,Simulador!A185)</f>
        <v>50791</v>
      </c>
      <c r="M155" s="4">
        <f ca="1">IF(Simulador!Q185="",0,Simulador!Q185*-1)</f>
        <v>-9243.7116926264625</v>
      </c>
    </row>
    <row r="156" spans="1:13" x14ac:dyDescent="0.3">
      <c r="A156" t="s">
        <v>253</v>
      </c>
      <c r="B156" s="165">
        <v>4.3070000000000001E-4</v>
      </c>
      <c r="D156" s="93">
        <f ca="1">Simulador!C187</f>
        <v>154</v>
      </c>
      <c r="E156" s="1">
        <f t="shared" ca="1" si="5"/>
        <v>50850</v>
      </c>
      <c r="F156" s="1">
        <f t="shared" ca="1" si="6"/>
        <v>49</v>
      </c>
      <c r="G156" s="124">
        <f ca="1">IF('Simulador Bradesco'!D169&lt;&gt;Parâmetros!B156,VLOOKUP('Base de Dados'!F156,'Base de Dados'!$A$2:$B$64,2,FALSE),VLOOKUP(F156&amp;'Simulador Bradesco'!$I$13,$A$2:$B$600,2,FALSE))</f>
        <v>5.8719999999999996E-4</v>
      </c>
      <c r="H156" s="1">
        <f ca="1">Simulador!A187</f>
        <v>50850</v>
      </c>
      <c r="L156" s="1">
        <f ca="1">IF(Simulador!A186="",Simulador!$C$8,Simulador!A186)</f>
        <v>50822</v>
      </c>
      <c r="M156" s="4">
        <f ca="1">IF(Simulador!Q186="",0,Simulador!Q186*-1)</f>
        <v>-9241.7166258855868</v>
      </c>
    </row>
    <row r="157" spans="1:13" x14ac:dyDescent="0.3">
      <c r="A157" t="s">
        <v>254</v>
      </c>
      <c r="B157" s="165">
        <v>4.3070000000000001E-4</v>
      </c>
      <c r="D157" s="93">
        <f ca="1">Simulador!C188</f>
        <v>155</v>
      </c>
      <c r="E157" s="1">
        <f t="shared" ca="1" si="5"/>
        <v>50881</v>
      </c>
      <c r="F157" s="1">
        <f t="shared" ca="1" si="6"/>
        <v>49</v>
      </c>
      <c r="G157" s="124">
        <f ca="1">IF('Simulador Bradesco'!D170&lt;&gt;Parâmetros!B157,VLOOKUP('Base de Dados'!F157,'Base de Dados'!$A$2:$B$64,2,FALSE),VLOOKUP(F157&amp;'Simulador Bradesco'!$I$13,$A$2:$B$600,2,FALSE))</f>
        <v>5.8719999999999996E-4</v>
      </c>
      <c r="H157" s="1">
        <f ca="1">Simulador!A188</f>
        <v>50881</v>
      </c>
      <c r="L157" s="1">
        <f ca="1">IF(Simulador!A187="",Simulador!$C$8,Simulador!A187)</f>
        <v>50850</v>
      </c>
      <c r="M157" s="4">
        <f ca="1">IF(Simulador!Q187="",0,Simulador!Q187*-1)</f>
        <v>-9239.6996703468612</v>
      </c>
    </row>
    <row r="158" spans="1:13" x14ac:dyDescent="0.3">
      <c r="A158" t="s">
        <v>255</v>
      </c>
      <c r="B158" s="165">
        <v>5.8109999999999998E-4</v>
      </c>
      <c r="D158" s="93">
        <f ca="1">Simulador!C189</f>
        <v>156</v>
      </c>
      <c r="E158" s="1">
        <f t="shared" ca="1" si="5"/>
        <v>50911</v>
      </c>
      <c r="F158" s="1">
        <f t="shared" ca="1" si="6"/>
        <v>49</v>
      </c>
      <c r="G158" s="124">
        <f ca="1">IF('Simulador Bradesco'!D171&lt;&gt;Parâmetros!B158,VLOOKUP('Base de Dados'!F158,'Base de Dados'!$A$2:$B$64,2,FALSE),VLOOKUP(F158&amp;'Simulador Bradesco'!$I$13,$A$2:$B$600,2,FALSE))</f>
        <v>5.8719999999999996E-4</v>
      </c>
      <c r="H158" s="1">
        <f ca="1">Simulador!A189</f>
        <v>50911</v>
      </c>
      <c r="L158" s="1">
        <f ca="1">IF(Simulador!A188="",Simulador!$C$8,Simulador!A188)</f>
        <v>50881</v>
      </c>
      <c r="M158" s="4">
        <f ca="1">IF(Simulador!Q188="",0,Simulador!Q188*-1)</f>
        <v>-9237.6605858581825</v>
      </c>
    </row>
    <row r="159" spans="1:13" x14ac:dyDescent="0.3">
      <c r="A159" t="s">
        <v>256</v>
      </c>
      <c r="B159" s="165">
        <v>5.8109999999999998E-4</v>
      </c>
      <c r="D159" s="93">
        <f ca="1">Simulador!C190</f>
        <v>157</v>
      </c>
      <c r="E159" s="1">
        <f t="shared" ca="1" si="5"/>
        <v>50942</v>
      </c>
      <c r="F159" s="1">
        <f t="shared" ca="1" si="6"/>
        <v>49</v>
      </c>
      <c r="G159" s="124">
        <f ca="1">IF('Simulador Bradesco'!D172&lt;&gt;Parâmetros!B159,VLOOKUP('Base de Dados'!F159,'Base de Dados'!$A$2:$B$64,2,FALSE),VLOOKUP(F159&amp;'Simulador Bradesco'!$I$13,$A$2:$B$600,2,FALSE))</f>
        <v>5.8719999999999996E-4</v>
      </c>
      <c r="H159" s="1">
        <f ca="1">Simulador!A190</f>
        <v>50942</v>
      </c>
      <c r="L159" s="1">
        <f ca="1">IF(Simulador!A189="",Simulador!$C$8,Simulador!A189)</f>
        <v>50911</v>
      </c>
      <c r="M159" s="4">
        <f ca="1">IF(Simulador!Q189="",0,Simulador!Q189*-1)</f>
        <v>-9235.5991296326283</v>
      </c>
    </row>
    <row r="160" spans="1:13" x14ac:dyDescent="0.3">
      <c r="A160" t="s">
        <v>257</v>
      </c>
      <c r="B160" s="165">
        <v>5.8109999999999998E-4</v>
      </c>
      <c r="D160" s="93">
        <f ca="1">Simulador!C191</f>
        <v>158</v>
      </c>
      <c r="E160" s="1">
        <f t="shared" ca="1" si="5"/>
        <v>50972</v>
      </c>
      <c r="F160" s="1">
        <f t="shared" ca="1" si="6"/>
        <v>49</v>
      </c>
      <c r="G160" s="124">
        <f ca="1">IF('Simulador Bradesco'!D173&lt;&gt;Parâmetros!B160,VLOOKUP('Base de Dados'!F160,'Base de Dados'!$A$2:$B$64,2,FALSE),VLOOKUP(F160&amp;'Simulador Bradesco'!$I$13,$A$2:$B$600,2,FALSE))</f>
        <v>5.8719999999999996E-4</v>
      </c>
      <c r="H160" s="1">
        <f ca="1">Simulador!A191</f>
        <v>50972</v>
      </c>
      <c r="L160" s="1">
        <f ca="1">IF(Simulador!A190="",Simulador!$C$8,Simulador!A190)</f>
        <v>50942</v>
      </c>
      <c r="M160" s="4">
        <f ca="1">IF(Simulador!Q190="",0,Simulador!Q190*-1)</f>
        <v>-9233.5150562195522</v>
      </c>
    </row>
    <row r="161" spans="1:13" x14ac:dyDescent="0.3">
      <c r="A161" t="s">
        <v>258</v>
      </c>
      <c r="B161" s="165">
        <v>7.5230000000000002E-4</v>
      </c>
      <c r="D161" s="93">
        <f ca="1">Simulador!C192</f>
        <v>159</v>
      </c>
      <c r="E161" s="1">
        <f t="shared" ca="1" si="5"/>
        <v>51003</v>
      </c>
      <c r="F161" s="1">
        <f t="shared" ca="1" si="6"/>
        <v>49</v>
      </c>
      <c r="G161" s="124">
        <f ca="1">IF('Simulador Bradesco'!D174&lt;&gt;Parâmetros!B161,VLOOKUP('Base de Dados'!F161,'Base de Dados'!$A$2:$B$64,2,FALSE),VLOOKUP(F161&amp;'Simulador Bradesco'!$I$13,$A$2:$B$600,2,FALSE))</f>
        <v>5.8719999999999996E-4</v>
      </c>
      <c r="H161" s="1">
        <f ca="1">Simulador!A192</f>
        <v>51003</v>
      </c>
      <c r="L161" s="1">
        <f ca="1">IF(Simulador!A191="",Simulador!$C$8,Simulador!A191)</f>
        <v>50972</v>
      </c>
      <c r="M161" s="4">
        <f ca="1">IF(Simulador!Q191="",0,Simulador!Q191*-1)</f>
        <v>-9231.4081174753501</v>
      </c>
    </row>
    <row r="162" spans="1:13" x14ac:dyDescent="0.3">
      <c r="A162" t="s">
        <v>259</v>
      </c>
      <c r="B162" s="165">
        <v>7.5230000000000002E-4</v>
      </c>
      <c r="D162" s="93">
        <f ca="1">Simulador!C193</f>
        <v>160</v>
      </c>
      <c r="E162" s="1">
        <f t="shared" ca="1" si="5"/>
        <v>51034</v>
      </c>
      <c r="F162" s="1">
        <f t="shared" ca="1" si="6"/>
        <v>50</v>
      </c>
      <c r="G162" s="124">
        <f ca="1">IF('Simulador Bradesco'!D175&lt;&gt;Parâmetros!B162,VLOOKUP('Base de Dados'!F162,'Base de Dados'!$A$2:$B$64,2,FALSE),VLOOKUP(F162&amp;'Simulador Bradesco'!$I$13,$A$2:$B$600,2,FALSE))</f>
        <v>5.8719999999999996E-4</v>
      </c>
      <c r="H162" s="1">
        <f ca="1">Simulador!A193</f>
        <v>51034</v>
      </c>
      <c r="L162" s="1">
        <f ca="1">IF(Simulador!A192="",Simulador!$C$8,Simulador!A192)</f>
        <v>51003</v>
      </c>
      <c r="M162" s="4">
        <f ca="1">IF(Simulador!Q192="",0,Simulador!Q192*-1)</f>
        <v>-9229.2780625339237</v>
      </c>
    </row>
    <row r="163" spans="1:13" x14ac:dyDescent="0.3">
      <c r="A163" t="s">
        <v>260</v>
      </c>
      <c r="B163" s="165">
        <v>7.5230000000000002E-4</v>
      </c>
      <c r="D163" s="93">
        <f ca="1">Simulador!C194</f>
        <v>161</v>
      </c>
      <c r="E163" s="1">
        <f t="shared" ca="1" si="5"/>
        <v>51064</v>
      </c>
      <c r="F163" s="1">
        <f t="shared" ca="1" si="6"/>
        <v>50</v>
      </c>
      <c r="G163" s="124">
        <f ca="1">IF('Simulador Bradesco'!D176&lt;&gt;Parâmetros!B163,VLOOKUP('Base de Dados'!F163,'Base de Dados'!$A$2:$B$64,2,FALSE),VLOOKUP(F163&amp;'Simulador Bradesco'!$I$13,$A$2:$B$600,2,FALSE))</f>
        <v>5.8719999999999996E-4</v>
      </c>
      <c r="H163" s="1">
        <f ca="1">Simulador!A194</f>
        <v>51064</v>
      </c>
      <c r="L163" s="1">
        <f ca="1">IF(Simulador!A193="",Simulador!$C$8,Simulador!A193)</f>
        <v>51034</v>
      </c>
      <c r="M163" s="4">
        <f ca="1">IF(Simulador!Q193="",0,Simulador!Q193*-1)</f>
        <v>-9227.1246377768075</v>
      </c>
    </row>
    <row r="164" spans="1:13" x14ac:dyDescent="0.3">
      <c r="A164" t="s">
        <v>261</v>
      </c>
      <c r="B164" s="165">
        <v>9.2630000000000002E-4</v>
      </c>
      <c r="D164" s="93">
        <f ca="1">Simulador!C195</f>
        <v>162</v>
      </c>
      <c r="E164" s="1">
        <f t="shared" ca="1" si="5"/>
        <v>51095</v>
      </c>
      <c r="F164" s="1">
        <f t="shared" ca="1" si="6"/>
        <v>50</v>
      </c>
      <c r="G164" s="124">
        <f ca="1">IF('Simulador Bradesco'!D177&lt;&gt;Parâmetros!B164,VLOOKUP('Base de Dados'!F164,'Base de Dados'!$A$2:$B$64,2,FALSE),VLOOKUP(F164&amp;'Simulador Bradesco'!$I$13,$A$2:$B$600,2,FALSE))</f>
        <v>5.8719999999999996E-4</v>
      </c>
      <c r="H164" s="1">
        <f ca="1">Simulador!A195</f>
        <v>51095</v>
      </c>
      <c r="L164" s="1">
        <f ca="1">IF(Simulador!A194="",Simulador!$C$8,Simulador!A194)</f>
        <v>51064</v>
      </c>
      <c r="M164" s="4">
        <f ca="1">IF(Simulador!Q194="",0,Simulador!Q194*-1)</f>
        <v>-9224.9475868029695</v>
      </c>
    </row>
    <row r="165" spans="1:13" x14ac:dyDescent="0.3">
      <c r="A165" t="s">
        <v>262</v>
      </c>
      <c r="B165" s="165">
        <v>9.2630000000000002E-4</v>
      </c>
      <c r="D165" s="93">
        <f ca="1">Simulador!C196</f>
        <v>163</v>
      </c>
      <c r="E165" s="1">
        <f t="shared" ca="1" si="5"/>
        <v>51125</v>
      </c>
      <c r="F165" s="1">
        <f t="shared" ca="1" si="6"/>
        <v>50</v>
      </c>
      <c r="G165" s="124">
        <f ca="1">IF('Simulador Bradesco'!D178&lt;&gt;Parâmetros!B165,VLOOKUP('Base de Dados'!F165,'Base de Dados'!$A$2:$B$64,2,FALSE),VLOOKUP(F165&amp;'Simulador Bradesco'!$I$13,$A$2:$B$600,2,FALSE))</f>
        <v>5.8719999999999996E-4</v>
      </c>
      <c r="H165" s="1">
        <f ca="1">Simulador!A196</f>
        <v>51125</v>
      </c>
      <c r="L165" s="1">
        <f ca="1">IF(Simulador!A195="",Simulador!$C$8,Simulador!A195)</f>
        <v>51095</v>
      </c>
      <c r="M165" s="4">
        <f ca="1">IF(Simulador!Q195="",0,Simulador!Q195*-1)</f>
        <v>-9222.7466503982814</v>
      </c>
    </row>
    <row r="166" spans="1:13" x14ac:dyDescent="0.3">
      <c r="A166" t="s">
        <v>263</v>
      </c>
      <c r="B166" s="165">
        <v>9.2630000000000002E-4</v>
      </c>
      <c r="D166" s="93">
        <f ca="1">Simulador!C197</f>
        <v>164</v>
      </c>
      <c r="E166" s="1">
        <f t="shared" ca="1" si="5"/>
        <v>51156</v>
      </c>
      <c r="F166" s="1">
        <f t="shared" ca="1" si="6"/>
        <v>50</v>
      </c>
      <c r="G166" s="124">
        <f ca="1">IF('Simulador Bradesco'!D179&lt;&gt;Parâmetros!B166,VLOOKUP('Base de Dados'!F166,'Base de Dados'!$A$2:$B$64,2,FALSE),VLOOKUP(F166&amp;'Simulador Bradesco'!$I$13,$A$2:$B$600,2,FALSE))</f>
        <v>5.8719999999999996E-4</v>
      </c>
      <c r="H166" s="1">
        <f ca="1">Simulador!A197</f>
        <v>51156</v>
      </c>
      <c r="L166" s="1">
        <f ca="1">IF(Simulador!A196="",Simulador!$C$8,Simulador!A196)</f>
        <v>51125</v>
      </c>
      <c r="M166" s="4">
        <f ca="1">IF(Simulador!Q196="",0,Simulador!Q196*-1)</f>
        <v>-9220.5215665046617</v>
      </c>
    </row>
    <row r="167" spans="1:13" x14ac:dyDescent="0.3">
      <c r="A167" t="s">
        <v>264</v>
      </c>
      <c r="B167" s="165">
        <v>1.1191E-3</v>
      </c>
      <c r="D167" s="93">
        <f ca="1">Simulador!C198</f>
        <v>165</v>
      </c>
      <c r="E167" s="1">
        <f t="shared" ca="1" si="5"/>
        <v>51187</v>
      </c>
      <c r="F167" s="1">
        <f t="shared" ca="1" si="6"/>
        <v>50</v>
      </c>
      <c r="G167" s="124">
        <f ca="1">IF('Simulador Bradesco'!D180&lt;&gt;Parâmetros!B167,VLOOKUP('Base de Dados'!F167,'Base de Dados'!$A$2:$B$64,2,FALSE),VLOOKUP(F167&amp;'Simulador Bradesco'!$I$13,$A$2:$B$600,2,FALSE))</f>
        <v>5.8719999999999996E-4</v>
      </c>
      <c r="H167" s="1">
        <f ca="1">Simulador!A198</f>
        <v>51187</v>
      </c>
      <c r="L167" s="1">
        <f ca="1">IF(Simulador!A197="",Simulador!$C$8,Simulador!A197)</f>
        <v>51156</v>
      </c>
      <c r="M167" s="4">
        <f ca="1">IF(Simulador!Q197="",0,Simulador!Q197*-1)</f>
        <v>-9218.2720701888629</v>
      </c>
    </row>
    <row r="168" spans="1:13" x14ac:dyDescent="0.3">
      <c r="A168" t="s">
        <v>265</v>
      </c>
      <c r="B168" s="165">
        <v>1.1191E-3</v>
      </c>
      <c r="D168" s="93">
        <f ca="1">Simulador!C199</f>
        <v>166</v>
      </c>
      <c r="E168" s="1">
        <f t="shared" ca="1" si="5"/>
        <v>51216</v>
      </c>
      <c r="F168" s="1">
        <f t="shared" ca="1" si="6"/>
        <v>50</v>
      </c>
      <c r="G168" s="124">
        <f ca="1">IF('Simulador Bradesco'!D181&lt;&gt;Parâmetros!B168,VLOOKUP('Base de Dados'!F168,'Base de Dados'!$A$2:$B$64,2,FALSE),VLOOKUP(F168&amp;'Simulador Bradesco'!$I$13,$A$2:$B$600,2,FALSE))</f>
        <v>5.8719999999999996E-4</v>
      </c>
      <c r="H168" s="1">
        <f ca="1">Simulador!A199</f>
        <v>51216</v>
      </c>
      <c r="L168" s="1">
        <f ca="1">IF(Simulador!A198="",Simulador!$C$8,Simulador!A198)</f>
        <v>51187</v>
      </c>
      <c r="M168" s="4">
        <f ca="1">IF(Simulador!Q198="",0,Simulador!Q198*-1)</f>
        <v>-9215.9978936109401</v>
      </c>
    </row>
    <row r="169" spans="1:13" x14ac:dyDescent="0.3">
      <c r="A169" t="s">
        <v>266</v>
      </c>
      <c r="B169" s="165">
        <v>1.1191E-3</v>
      </c>
      <c r="D169" s="93">
        <f ca="1">Simulador!C200</f>
        <v>167</v>
      </c>
      <c r="E169" s="1">
        <f t="shared" ca="1" si="5"/>
        <v>51247</v>
      </c>
      <c r="F169" s="1">
        <f t="shared" ca="1" si="6"/>
        <v>50</v>
      </c>
      <c r="G169" s="124">
        <f ca="1">IF('Simulador Bradesco'!D182&lt;&gt;Parâmetros!B169,VLOOKUP('Base de Dados'!F169,'Base de Dados'!$A$2:$B$64,2,FALSE),VLOOKUP(F169&amp;'Simulador Bradesco'!$I$13,$A$2:$B$600,2,FALSE))</f>
        <v>5.8719999999999996E-4</v>
      </c>
      <c r="H169" s="1">
        <f ca="1">Simulador!A200</f>
        <v>51247</v>
      </c>
      <c r="L169" s="1">
        <f ca="1">IF(Simulador!A199="",Simulador!$C$8,Simulador!A199)</f>
        <v>51216</v>
      </c>
      <c r="M169" s="4">
        <f ca="1">IF(Simulador!Q199="",0,Simulador!Q199*-1)</f>
        <v>-9213.698765992347</v>
      </c>
    </row>
    <row r="170" spans="1:13" x14ac:dyDescent="0.3">
      <c r="A170" t="s">
        <v>267</v>
      </c>
      <c r="B170" s="165">
        <v>1.3680000000000001E-3</v>
      </c>
      <c r="D170" s="93">
        <f ca="1">Simulador!C201</f>
        <v>168</v>
      </c>
      <c r="E170" s="1">
        <f t="shared" ca="1" si="5"/>
        <v>51277</v>
      </c>
      <c r="F170" s="1">
        <f t="shared" ca="1" si="6"/>
        <v>50</v>
      </c>
      <c r="G170" s="124">
        <f ca="1">IF('Simulador Bradesco'!D183&lt;&gt;Parâmetros!B170,VLOOKUP('Base de Dados'!F170,'Base de Dados'!$A$2:$B$64,2,FALSE),VLOOKUP(F170&amp;'Simulador Bradesco'!$I$13,$A$2:$B$600,2,FALSE))</f>
        <v>5.8719999999999996E-4</v>
      </c>
      <c r="H170" s="1">
        <f ca="1">Simulador!A201</f>
        <v>51277</v>
      </c>
      <c r="L170" s="1">
        <f ca="1">IF(Simulador!A200="",Simulador!$C$8,Simulador!A200)</f>
        <v>51247</v>
      </c>
      <c r="M170" s="4">
        <f ca="1">IF(Simulador!Q200="",0,Simulador!Q200*-1)</f>
        <v>-9211.3744135837005</v>
      </c>
    </row>
    <row r="171" spans="1:13" x14ac:dyDescent="0.3">
      <c r="A171" t="s">
        <v>268</v>
      </c>
      <c r="B171" s="165">
        <v>1.3680000000000001E-3</v>
      </c>
      <c r="D171" s="93">
        <f ca="1">Simulador!C202</f>
        <v>169</v>
      </c>
      <c r="E171" s="1">
        <f t="shared" ca="1" si="5"/>
        <v>51308</v>
      </c>
      <c r="F171" s="1">
        <f t="shared" ca="1" si="6"/>
        <v>50</v>
      </c>
      <c r="G171" s="124">
        <f ca="1">IF('Simulador Bradesco'!D184&lt;&gt;Parâmetros!B171,VLOOKUP('Base de Dados'!F171,'Base de Dados'!$A$2:$B$64,2,FALSE),VLOOKUP(F171&amp;'Simulador Bradesco'!$I$13,$A$2:$B$600,2,FALSE))</f>
        <v>5.8719999999999996E-4</v>
      </c>
      <c r="H171" s="1">
        <f ca="1">Simulador!A202</f>
        <v>51308</v>
      </c>
      <c r="L171" s="1">
        <f ca="1">IF(Simulador!A201="",Simulador!$C$8,Simulador!A201)</f>
        <v>51277</v>
      </c>
      <c r="M171" s="4">
        <f ca="1">IF(Simulador!Q201="",0,Simulador!Q201*-1)</f>
        <v>-9209.0245596321929</v>
      </c>
    </row>
    <row r="172" spans="1:13" x14ac:dyDescent="0.3">
      <c r="A172" t="s">
        <v>269</v>
      </c>
      <c r="B172" s="165">
        <v>1.3680000000000001E-3</v>
      </c>
      <c r="D172" s="93">
        <f ca="1">Simulador!C203</f>
        <v>170</v>
      </c>
      <c r="E172" s="1">
        <f t="shared" ca="1" si="5"/>
        <v>51338</v>
      </c>
      <c r="F172" s="1">
        <f t="shared" ca="1" si="6"/>
        <v>50</v>
      </c>
      <c r="G172" s="124">
        <f ca="1">IF('Simulador Bradesco'!D185&lt;&gt;Parâmetros!B172,VLOOKUP('Base de Dados'!F172,'Base de Dados'!$A$2:$B$64,2,FALSE),VLOOKUP(F172&amp;'Simulador Bradesco'!$I$13,$A$2:$B$600,2,FALSE))</f>
        <v>5.8719999999999996E-4</v>
      </c>
      <c r="H172" s="1">
        <f ca="1">Simulador!A203</f>
        <v>51338</v>
      </c>
      <c r="L172" s="1">
        <f ca="1">IF(Simulador!A202="",Simulador!$C$8,Simulador!A202)</f>
        <v>51308</v>
      </c>
      <c r="M172" s="4">
        <f ca="1">IF(Simulador!Q202="",0,Simulador!Q202*-1)</f>
        <v>-9206.6489243486267</v>
      </c>
    </row>
    <row r="173" spans="1:13" x14ac:dyDescent="0.3">
      <c r="A173" t="s">
        <v>270</v>
      </c>
      <c r="B173" s="165">
        <v>1.7634E-3</v>
      </c>
      <c r="D173" s="93">
        <f ca="1">Simulador!C204</f>
        <v>171</v>
      </c>
      <c r="E173" s="1">
        <f t="shared" ca="1" si="5"/>
        <v>51369</v>
      </c>
      <c r="F173" s="1">
        <f t="shared" ca="1" si="6"/>
        <v>50</v>
      </c>
      <c r="G173" s="124">
        <f ca="1">IF('Simulador Bradesco'!D186&lt;&gt;Parâmetros!B173,VLOOKUP('Base de Dados'!F173,'Base de Dados'!$A$2:$B$64,2,FALSE),VLOOKUP(F173&amp;'Simulador Bradesco'!$I$13,$A$2:$B$600,2,FALSE))</f>
        <v>5.8719999999999996E-4</v>
      </c>
      <c r="H173" s="1">
        <f ca="1">Simulador!A204</f>
        <v>51369</v>
      </c>
      <c r="L173" s="1">
        <f ca="1">IF(Simulador!A203="",Simulador!$C$8,Simulador!A203)</f>
        <v>51338</v>
      </c>
      <c r="M173" s="4">
        <f ca="1">IF(Simulador!Q203="",0,Simulador!Q203*-1)</f>
        <v>-9204.2472248741105</v>
      </c>
    </row>
    <row r="174" spans="1:13" x14ac:dyDescent="0.3">
      <c r="A174" t="s">
        <v>271</v>
      </c>
      <c r="B174" s="165">
        <v>1.7634E-3</v>
      </c>
      <c r="D174" s="93">
        <f ca="1">Simulador!C205</f>
        <v>172</v>
      </c>
      <c r="E174" s="1">
        <f t="shared" ca="1" si="5"/>
        <v>51400</v>
      </c>
      <c r="F174" s="1">
        <f t="shared" ca="1" si="6"/>
        <v>51</v>
      </c>
      <c r="G174" s="124">
        <f ca="1">IF('Simulador Bradesco'!D187&lt;&gt;Parâmetros!B174,VLOOKUP('Base de Dados'!F174,'Base de Dados'!$A$2:$B$64,2,FALSE),VLOOKUP(F174&amp;'Simulador Bradesco'!$I$13,$A$2:$B$600,2,FALSE))</f>
        <v>7.6000000000000004E-4</v>
      </c>
      <c r="H174" s="1">
        <f ca="1">Simulador!A205</f>
        <v>51400</v>
      </c>
      <c r="L174" s="1">
        <f ca="1">IF(Simulador!A204="",Simulador!$C$8,Simulador!A204)</f>
        <v>51369</v>
      </c>
      <c r="M174" s="4">
        <f ca="1">IF(Simulador!Q204="",0,Simulador!Q204*-1)</f>
        <v>-9201.819175246379</v>
      </c>
    </row>
    <row r="175" spans="1:13" x14ac:dyDescent="0.3">
      <c r="A175" t="s">
        <v>272</v>
      </c>
      <c r="B175" s="165">
        <v>1.7634E-3</v>
      </c>
      <c r="D175" s="93">
        <f ca="1">Simulador!C206</f>
        <v>173</v>
      </c>
      <c r="E175" s="1">
        <f t="shared" ca="1" si="5"/>
        <v>51430</v>
      </c>
      <c r="F175" s="1">
        <f t="shared" ca="1" si="6"/>
        <v>51</v>
      </c>
      <c r="G175" s="124">
        <f ca="1">IF('Simulador Bradesco'!D188&lt;&gt;Parâmetros!B175,VLOOKUP('Base de Dados'!F175,'Base de Dados'!$A$2:$B$64,2,FALSE),VLOOKUP(F175&amp;'Simulador Bradesco'!$I$13,$A$2:$B$600,2,FALSE))</f>
        <v>7.6000000000000004E-4</v>
      </c>
      <c r="H175" s="1">
        <f ca="1">Simulador!A206</f>
        <v>51430</v>
      </c>
      <c r="L175" s="1">
        <f ca="1">IF(Simulador!A205="",Simulador!$C$8,Simulador!A205)</f>
        <v>51400</v>
      </c>
      <c r="M175" s="4">
        <f ca="1">IF(Simulador!Q205="",0,Simulador!Q205*-1)</f>
        <v>-9272.5913104798365</v>
      </c>
    </row>
    <row r="176" spans="1:13" x14ac:dyDescent="0.3">
      <c r="A176" t="s">
        <v>273</v>
      </c>
      <c r="B176" s="165">
        <v>2.1816000000000001E-3</v>
      </c>
      <c r="D176" s="93">
        <f ca="1">Simulador!C207</f>
        <v>174</v>
      </c>
      <c r="E176" s="1">
        <f t="shared" ca="1" si="5"/>
        <v>51461</v>
      </c>
      <c r="F176" s="1">
        <f t="shared" ca="1" si="6"/>
        <v>51</v>
      </c>
      <c r="G176" s="124">
        <f ca="1">IF('Simulador Bradesco'!D189&lt;&gt;Parâmetros!B176,VLOOKUP('Base de Dados'!F176,'Base de Dados'!$A$2:$B$64,2,FALSE),VLOOKUP(F176&amp;'Simulador Bradesco'!$I$13,$A$2:$B$600,2,FALSE))</f>
        <v>7.6000000000000004E-4</v>
      </c>
      <c r="H176" s="1">
        <f ca="1">Simulador!A207</f>
        <v>51461</v>
      </c>
      <c r="L176" s="1">
        <f ca="1">IF(Simulador!A206="",Simulador!$C$8,Simulador!A206)</f>
        <v>51430</v>
      </c>
      <c r="M176" s="4">
        <f ca="1">IF(Simulador!Q206="",0,Simulador!Q206*-1)</f>
        <v>-9269.379403961002</v>
      </c>
    </row>
    <row r="177" spans="1:13" x14ac:dyDescent="0.3">
      <c r="A177" t="s">
        <v>274</v>
      </c>
      <c r="B177" s="165">
        <v>2.1816000000000001E-3</v>
      </c>
      <c r="D177" s="93">
        <f ca="1">Simulador!C208</f>
        <v>175</v>
      </c>
      <c r="E177" s="1">
        <f t="shared" ca="1" si="5"/>
        <v>51491</v>
      </c>
      <c r="F177" s="1">
        <f t="shared" ca="1" si="6"/>
        <v>51</v>
      </c>
      <c r="G177" s="124">
        <f ca="1">IF('Simulador Bradesco'!D190&lt;&gt;Parâmetros!B177,VLOOKUP('Base de Dados'!F177,'Base de Dados'!$A$2:$B$64,2,FALSE),VLOOKUP(F177&amp;'Simulador Bradesco'!$I$13,$A$2:$B$600,2,FALSE))</f>
        <v>7.6000000000000004E-4</v>
      </c>
      <c r="H177" s="1">
        <f ca="1">Simulador!A208</f>
        <v>51491</v>
      </c>
      <c r="L177" s="1">
        <f ca="1">IF(Simulador!A207="",Simulador!$C$8,Simulador!A207)</f>
        <v>51461</v>
      </c>
      <c r="M177" s="4">
        <f ca="1">IF(Simulador!Q207="",0,Simulador!Q207*-1)</f>
        <v>-9266.1322581335935</v>
      </c>
    </row>
    <row r="178" spans="1:13" x14ac:dyDescent="0.3">
      <c r="A178" t="s">
        <v>275</v>
      </c>
      <c r="B178" s="165">
        <v>2.1816000000000001E-3</v>
      </c>
      <c r="D178" s="93">
        <f ca="1">Simulador!C209</f>
        <v>176</v>
      </c>
      <c r="E178" s="1">
        <f t="shared" ca="1" si="5"/>
        <v>51522</v>
      </c>
      <c r="F178" s="1">
        <f t="shared" ca="1" si="6"/>
        <v>51</v>
      </c>
      <c r="G178" s="124">
        <f ca="1">IF('Simulador Bradesco'!D191&lt;&gt;Parâmetros!B178,VLOOKUP('Base de Dados'!F178,'Base de Dados'!$A$2:$B$64,2,FALSE),VLOOKUP(F178&amp;'Simulador Bradesco'!$I$13,$A$2:$B$600,2,FALSE))</f>
        <v>7.6000000000000004E-4</v>
      </c>
      <c r="H178" s="1">
        <f ca="1">Simulador!A209</f>
        <v>51522</v>
      </c>
      <c r="L178" s="1">
        <f ca="1">IF(Simulador!A208="",Simulador!$C$8,Simulador!A208)</f>
        <v>51491</v>
      </c>
      <c r="M178" s="4">
        <f ca="1">IF(Simulador!Q208="",0,Simulador!Q208*-1)</f>
        <v>-9262.8494863708929</v>
      </c>
    </row>
    <row r="179" spans="1:13" x14ac:dyDescent="0.3">
      <c r="A179" t="s">
        <v>276</v>
      </c>
      <c r="B179" s="165">
        <v>2.9524999999999998E-3</v>
      </c>
      <c r="D179" s="93">
        <f ca="1">Simulador!C210</f>
        <v>177</v>
      </c>
      <c r="E179" s="1">
        <f t="shared" ca="1" si="5"/>
        <v>51553</v>
      </c>
      <c r="F179" s="1">
        <f t="shared" ca="1" si="6"/>
        <v>51</v>
      </c>
      <c r="G179" s="124">
        <f ca="1">IF('Simulador Bradesco'!D192&lt;&gt;Parâmetros!B179,VLOOKUP('Base de Dados'!F179,'Base de Dados'!$A$2:$B$64,2,FALSE),VLOOKUP(F179&amp;'Simulador Bradesco'!$I$13,$A$2:$B$600,2,FALSE))</f>
        <v>7.6000000000000004E-4</v>
      </c>
      <c r="H179" s="1">
        <f ca="1">Simulador!A210</f>
        <v>51553</v>
      </c>
      <c r="L179" s="1">
        <f ca="1">IF(Simulador!A209="",Simulador!$C$8,Simulador!A209)</f>
        <v>51522</v>
      </c>
      <c r="M179" s="4">
        <f ca="1">IF(Simulador!Q209="",0,Simulador!Q209*-1)</f>
        <v>-9259.5306978043282</v>
      </c>
    </row>
    <row r="180" spans="1:13" x14ac:dyDescent="0.3">
      <c r="A180" t="s">
        <v>277</v>
      </c>
      <c r="B180" s="165">
        <v>2.9524999999999998E-3</v>
      </c>
      <c r="D180" s="93">
        <f ca="1">Simulador!C211</f>
        <v>178</v>
      </c>
      <c r="E180" s="1">
        <f t="shared" ca="1" si="5"/>
        <v>51581</v>
      </c>
      <c r="F180" s="1">
        <f t="shared" ca="1" si="6"/>
        <v>51</v>
      </c>
      <c r="G180" s="124">
        <f ca="1">IF('Simulador Bradesco'!D193&lt;&gt;Parâmetros!B180,VLOOKUP('Base de Dados'!F180,'Base de Dados'!$A$2:$B$64,2,FALSE),VLOOKUP(F180&amp;'Simulador Bradesco'!$I$13,$A$2:$B$600,2,FALSE))</f>
        <v>7.6000000000000004E-4</v>
      </c>
      <c r="H180" s="1">
        <f ca="1">Simulador!A211</f>
        <v>51581</v>
      </c>
      <c r="L180" s="1">
        <f ca="1">IF(Simulador!A210="",Simulador!$C$8,Simulador!A210)</f>
        <v>51553</v>
      </c>
      <c r="M180" s="4">
        <f ca="1">IF(Simulador!Q210="",0,Simulador!Q210*-1)</f>
        <v>-9256.1754972769231</v>
      </c>
    </row>
    <row r="181" spans="1:13" x14ac:dyDescent="0.3">
      <c r="A181" t="s">
        <v>278</v>
      </c>
      <c r="B181" s="165">
        <v>2.9524999999999998E-3</v>
      </c>
      <c r="D181" s="93">
        <f ca="1">Simulador!C212</f>
        <v>179</v>
      </c>
      <c r="E181" s="1">
        <f t="shared" ca="1" si="5"/>
        <v>51612</v>
      </c>
      <c r="F181" s="1">
        <f t="shared" ca="1" si="6"/>
        <v>51</v>
      </c>
      <c r="G181" s="124">
        <f ca="1">IF('Simulador Bradesco'!D194&lt;&gt;Parâmetros!B181,VLOOKUP('Base de Dados'!F181,'Base de Dados'!$A$2:$B$64,2,FALSE),VLOOKUP(F181&amp;'Simulador Bradesco'!$I$13,$A$2:$B$600,2,FALSE))</f>
        <v>7.6000000000000004E-4</v>
      </c>
      <c r="H181" s="1">
        <f ca="1">Simulador!A212</f>
        <v>51612</v>
      </c>
      <c r="L181" s="1">
        <f ca="1">IF(Simulador!A211="",Simulador!$C$8,Simulador!A211)</f>
        <v>51581</v>
      </c>
      <c r="M181" s="4">
        <f ca="1">IF(Simulador!Q211="",0,Simulador!Q211*-1)</f>
        <v>-9252.7834852962515</v>
      </c>
    </row>
    <row r="182" spans="1:13" x14ac:dyDescent="0.3">
      <c r="A182" t="s">
        <v>279</v>
      </c>
      <c r="B182" s="165">
        <v>3.9699999999999996E-3</v>
      </c>
      <c r="D182" s="93">
        <f ca="1">Simulador!C213</f>
        <v>180</v>
      </c>
      <c r="E182" s="1">
        <f t="shared" ca="1" si="5"/>
        <v>51642</v>
      </c>
      <c r="F182" s="1">
        <f t="shared" ca="1" si="6"/>
        <v>51</v>
      </c>
      <c r="G182" s="124">
        <f ca="1">IF('Simulador Bradesco'!D195&lt;&gt;Parâmetros!B182,VLOOKUP('Base de Dados'!F182,'Base de Dados'!$A$2:$B$64,2,FALSE),VLOOKUP(F182&amp;'Simulador Bradesco'!$I$13,$A$2:$B$600,2,FALSE))</f>
        <v>7.6000000000000004E-4</v>
      </c>
      <c r="H182" s="1">
        <f ca="1">Simulador!A213</f>
        <v>51642</v>
      </c>
      <c r="L182" s="1">
        <f ca="1">IF(Simulador!A212="",Simulador!$C$8,Simulador!A212)</f>
        <v>51612</v>
      </c>
      <c r="M182" s="4">
        <f ca="1">IF(Simulador!Q212="",0,Simulador!Q212*-1)</f>
        <v>-9249.3542579868717</v>
      </c>
    </row>
    <row r="183" spans="1:13" x14ac:dyDescent="0.3">
      <c r="A183" t="s">
        <v>280</v>
      </c>
      <c r="B183" s="165">
        <v>3.9699999999999996E-3</v>
      </c>
      <c r="D183" s="93">
        <f ca="1">Simulador!C214</f>
        <v>181</v>
      </c>
      <c r="E183" s="1">
        <f t="shared" ca="1" si="5"/>
        <v>51673</v>
      </c>
      <c r="F183" s="1">
        <f t="shared" ca="1" si="6"/>
        <v>51</v>
      </c>
      <c r="G183" s="124">
        <f ca="1">IF('Simulador Bradesco'!D196&lt;&gt;Parâmetros!B183,VLOOKUP('Base de Dados'!F183,'Base de Dados'!$A$2:$B$64,2,FALSE),VLOOKUP(F183&amp;'Simulador Bradesco'!$I$13,$A$2:$B$600,2,FALSE))</f>
        <v>7.6000000000000004E-4</v>
      </c>
      <c r="H183" s="1">
        <f ca="1">Simulador!A214</f>
        <v>51673</v>
      </c>
      <c r="L183" s="1">
        <f ca="1">IF(Simulador!A213="",Simulador!$C$8,Simulador!A213)</f>
        <v>51642</v>
      </c>
      <c r="M183" s="4">
        <f ca="1">IF(Simulador!Q213="",0,Simulador!Q213*-1)</f>
        <v>-9245.8874070422426</v>
      </c>
    </row>
    <row r="184" spans="1:13" x14ac:dyDescent="0.3">
      <c r="A184" t="s">
        <v>281</v>
      </c>
      <c r="B184" s="165">
        <v>3.9699999999999996E-3</v>
      </c>
      <c r="D184" s="93">
        <f ca="1">Simulador!C215</f>
        <v>182</v>
      </c>
      <c r="E184" s="1">
        <f t="shared" ca="1" si="5"/>
        <v>51703</v>
      </c>
      <c r="F184" s="1">
        <f t="shared" ca="1" si="6"/>
        <v>51</v>
      </c>
      <c r="G184" s="124">
        <f ca="1">IF('Simulador Bradesco'!D197&lt;&gt;Parâmetros!B184,VLOOKUP('Base de Dados'!F184,'Base de Dados'!$A$2:$B$64,2,FALSE),VLOOKUP(F184&amp;'Simulador Bradesco'!$I$13,$A$2:$B$600,2,FALSE))</f>
        <v>7.6000000000000004E-4</v>
      </c>
      <c r="H184" s="1">
        <f ca="1">Simulador!A215</f>
        <v>51703</v>
      </c>
      <c r="L184" s="1">
        <f ca="1">IF(Simulador!A214="",Simulador!$C$8,Simulador!A214)</f>
        <v>51673</v>
      </c>
      <c r="M184" s="4">
        <f ca="1">IF(Simulador!Q214="",0,Simulador!Q214*-1)</f>
        <v>-9242.3825196760954</v>
      </c>
    </row>
    <row r="185" spans="1:13" x14ac:dyDescent="0.3">
      <c r="A185" t="s">
        <v>282</v>
      </c>
      <c r="B185" s="165">
        <v>7.0521000000000004E-3</v>
      </c>
      <c r="D185" s="93">
        <f ca="1">Simulador!C216</f>
        <v>183</v>
      </c>
      <c r="E185" s="1">
        <f t="shared" ca="1" si="5"/>
        <v>51734</v>
      </c>
      <c r="F185" s="1">
        <f t="shared" ca="1" si="6"/>
        <v>51</v>
      </c>
      <c r="G185" s="124">
        <f ca="1">IF('Simulador Bradesco'!D198&lt;&gt;Parâmetros!B185,VLOOKUP('Base de Dados'!F185,'Base de Dados'!$A$2:$B$64,2,FALSE),VLOOKUP(F185&amp;'Simulador Bradesco'!$I$13,$A$2:$B$600,2,FALSE))</f>
        <v>7.6000000000000004E-4</v>
      </c>
      <c r="H185" s="1">
        <f ca="1">Simulador!A216</f>
        <v>51734</v>
      </c>
      <c r="L185" s="1">
        <f ca="1">IF(Simulador!A215="",Simulador!$C$8,Simulador!A215)</f>
        <v>51703</v>
      </c>
      <c r="M185" s="4">
        <f ca="1">IF(Simulador!Q215="",0,Simulador!Q215*-1)</f>
        <v>-9238.8391785733038</v>
      </c>
    </row>
    <row r="186" spans="1:13" x14ac:dyDescent="0.3">
      <c r="A186" t="s">
        <v>283</v>
      </c>
      <c r="B186" s="165">
        <v>7.0521000000000004E-3</v>
      </c>
      <c r="D186" s="93">
        <f ca="1">Simulador!C217</f>
        <v>184</v>
      </c>
      <c r="E186" s="1">
        <f t="shared" ca="1" si="5"/>
        <v>51765</v>
      </c>
      <c r="F186" s="1">
        <f t="shared" ca="1" si="6"/>
        <v>52</v>
      </c>
      <c r="G186" s="124">
        <f ca="1">IF('Simulador Bradesco'!D199&lt;&gt;Parâmetros!B186,VLOOKUP('Base de Dados'!F186,'Base de Dados'!$A$2:$B$64,2,FALSE),VLOOKUP(F186&amp;'Simulador Bradesco'!$I$13,$A$2:$B$600,2,FALSE))</f>
        <v>7.6000000000000004E-4</v>
      </c>
      <c r="H186" s="1">
        <f ca="1">Simulador!A217</f>
        <v>51765</v>
      </c>
      <c r="L186" s="1">
        <f ca="1">IF(Simulador!A216="",Simulador!$C$8,Simulador!A216)</f>
        <v>51734</v>
      </c>
      <c r="M186" s="4">
        <f ca="1">IF(Simulador!Q216="",0,Simulador!Q216*-1)</f>
        <v>-9235.2569618401722</v>
      </c>
    </row>
    <row r="187" spans="1:13" x14ac:dyDescent="0.3">
      <c r="A187" t="s">
        <v>284</v>
      </c>
      <c r="B187" s="165">
        <v>7.0521000000000004E-3</v>
      </c>
      <c r="D187" s="93">
        <f ca="1">Simulador!C218</f>
        <v>185</v>
      </c>
      <c r="E187" s="1">
        <f t="shared" ca="1" si="5"/>
        <v>51795</v>
      </c>
      <c r="F187" s="1">
        <f t="shared" ca="1" si="6"/>
        <v>52</v>
      </c>
      <c r="G187" s="124">
        <f ca="1">IF('Simulador Bradesco'!D200&lt;&gt;Parâmetros!B187,VLOOKUP('Base de Dados'!F187,'Base de Dados'!$A$2:$B$64,2,FALSE),VLOOKUP(F187&amp;'Simulador Bradesco'!$I$13,$A$2:$B$600,2,FALSE))</f>
        <v>7.6000000000000004E-4</v>
      </c>
      <c r="H187" s="1">
        <f ca="1">Simulador!A218</f>
        <v>51795</v>
      </c>
      <c r="L187" s="1">
        <f ca="1">IF(Simulador!A217="",Simulador!$C$8,Simulador!A217)</f>
        <v>51765</v>
      </c>
      <c r="M187" s="4">
        <f ca="1">IF(Simulador!Q217="",0,Simulador!Q217*-1)</f>
        <v>-9231.6354429542243</v>
      </c>
    </row>
    <row r="188" spans="1:13" x14ac:dyDescent="0.3">
      <c r="A188" t="s">
        <v>285</v>
      </c>
      <c r="B188" s="165">
        <v>9.4299999999999991E-3</v>
      </c>
      <c r="D188" s="93">
        <f ca="1">Simulador!C219</f>
        <v>186</v>
      </c>
      <c r="E188" s="1">
        <f t="shared" ca="1" si="5"/>
        <v>51826</v>
      </c>
      <c r="F188" s="1">
        <f t="shared" ca="1" si="6"/>
        <v>52</v>
      </c>
      <c r="G188" s="124">
        <f ca="1">IF('Simulador Bradesco'!D201&lt;&gt;Parâmetros!B188,VLOOKUP('Base de Dados'!F188,'Base de Dados'!$A$2:$B$64,2,FALSE),VLOOKUP(F188&amp;'Simulador Bradesco'!$I$13,$A$2:$B$600,2,FALSE))</f>
        <v>7.6000000000000004E-4</v>
      </c>
      <c r="H188" s="1">
        <f ca="1">Simulador!A219</f>
        <v>51826</v>
      </c>
      <c r="L188" s="1">
        <f ca="1">IF(Simulador!A218="",Simulador!$C$8,Simulador!A218)</f>
        <v>51795</v>
      </c>
      <c r="M188" s="4">
        <f ca="1">IF(Simulador!Q218="",0,Simulador!Q218*-1)</f>
        <v>-9227.9741907134048</v>
      </c>
    </row>
    <row r="189" spans="1:13" x14ac:dyDescent="0.3">
      <c r="A189" t="s">
        <v>286</v>
      </c>
      <c r="B189" s="165">
        <v>9.4299999999999991E-3</v>
      </c>
      <c r="D189" s="93">
        <f ca="1">Simulador!C220</f>
        <v>187</v>
      </c>
      <c r="E189" s="1">
        <f t="shared" ca="1" si="5"/>
        <v>51856</v>
      </c>
      <c r="F189" s="1">
        <f t="shared" ca="1" si="6"/>
        <v>52</v>
      </c>
      <c r="G189" s="124">
        <f ca="1">IF('Simulador Bradesco'!D202&lt;&gt;Parâmetros!B189,VLOOKUP('Base de Dados'!F189,'Base de Dados'!$A$2:$B$64,2,FALSE),VLOOKUP(F189&amp;'Simulador Bradesco'!$I$13,$A$2:$B$600,2,FALSE))</f>
        <v>7.6000000000000004E-4</v>
      </c>
      <c r="H189" s="1">
        <f ca="1">Simulador!A220</f>
        <v>51856</v>
      </c>
      <c r="L189" s="1">
        <f ca="1">IF(Simulador!A219="",Simulador!$C$8,Simulador!A219)</f>
        <v>51826</v>
      </c>
      <c r="M189" s="4">
        <f ca="1">IF(Simulador!Q219="",0,Simulador!Q219*-1)</f>
        <v>-9224.2727691847394</v>
      </c>
    </row>
    <row r="190" spans="1:13" x14ac:dyDescent="0.3">
      <c r="A190" t="s">
        <v>287</v>
      </c>
      <c r="B190" s="165">
        <v>9.4299999999999991E-3</v>
      </c>
      <c r="D190" s="93">
        <f ca="1">Simulador!C221</f>
        <v>188</v>
      </c>
      <c r="E190" s="1">
        <f t="shared" ca="1" si="5"/>
        <v>51887</v>
      </c>
      <c r="F190" s="1">
        <f t="shared" ca="1" si="6"/>
        <v>52</v>
      </c>
      <c r="G190" s="124">
        <f ca="1">IF('Simulador Bradesco'!D203&lt;&gt;Parâmetros!B190,VLOOKUP('Base de Dados'!F190,'Base de Dados'!$A$2:$B$64,2,FALSE),VLOOKUP(F190&amp;'Simulador Bradesco'!$I$13,$A$2:$B$600,2,FALSE))</f>
        <v>7.6000000000000004E-4</v>
      </c>
      <c r="H190" s="1">
        <f ca="1">Simulador!A221</f>
        <v>51887</v>
      </c>
      <c r="L190" s="1">
        <f ca="1">IF(Simulador!A220="",Simulador!$C$8,Simulador!A220)</f>
        <v>51856</v>
      </c>
      <c r="M190" s="4">
        <f ca="1">IF(Simulador!Q220="",0,Simulador!Q220*-1)</f>
        <v>-9220.5307376524397</v>
      </c>
    </row>
    <row r="191" spans="1:13" x14ac:dyDescent="0.3">
      <c r="A191" s="18" t="s">
        <v>288</v>
      </c>
      <c r="B191" s="165">
        <v>1.049E-4</v>
      </c>
      <c r="D191" s="93">
        <f ca="1">Simulador!C222</f>
        <v>189</v>
      </c>
      <c r="E191" s="1">
        <f t="shared" ca="1" si="5"/>
        <v>51918</v>
      </c>
      <c r="F191" s="1">
        <f t="shared" ca="1" si="6"/>
        <v>52</v>
      </c>
      <c r="G191" s="124">
        <f ca="1">IF('Simulador Bradesco'!D204&lt;&gt;Parâmetros!B191,VLOOKUP('Base de Dados'!F191,'Base de Dados'!$A$2:$B$64,2,FALSE),VLOOKUP(F191&amp;'Simulador Bradesco'!$I$13,$A$2:$B$600,2,FALSE))</f>
        <v>7.6000000000000004E-4</v>
      </c>
      <c r="H191" s="1">
        <f ca="1">Simulador!A222</f>
        <v>51918</v>
      </c>
      <c r="L191" s="1">
        <f ca="1">IF(Simulador!A221="",Simulador!$C$8,Simulador!A221)</f>
        <v>51887</v>
      </c>
      <c r="M191" s="4">
        <f ca="1">IF(Simulador!Q221="",0,Simulador!Q221*-1)</f>
        <v>-9216.7476505654122</v>
      </c>
    </row>
    <row r="192" spans="1:13" x14ac:dyDescent="0.3">
      <c r="A192" s="18" t="s">
        <v>289</v>
      </c>
      <c r="B192" s="165">
        <v>1.049E-4</v>
      </c>
      <c r="D192" s="93">
        <f ca="1">Simulador!C223</f>
        <v>190</v>
      </c>
      <c r="E192" s="1">
        <f t="shared" ca="1" si="5"/>
        <v>51946</v>
      </c>
      <c r="F192" s="1">
        <f t="shared" ca="1" si="6"/>
        <v>52</v>
      </c>
      <c r="G192" s="124">
        <f ca="1">IF('Simulador Bradesco'!D205&lt;&gt;Parâmetros!B192,VLOOKUP('Base de Dados'!F192,'Base de Dados'!$A$2:$B$64,2,FALSE),VLOOKUP(F192&amp;'Simulador Bradesco'!$I$13,$A$2:$B$600,2,FALSE))</f>
        <v>7.6000000000000004E-4</v>
      </c>
      <c r="H192" s="1">
        <f ca="1">Simulador!A223</f>
        <v>51946</v>
      </c>
      <c r="L192" s="1">
        <f ca="1">IF(Simulador!A222="",Simulador!$C$8,Simulador!A222)</f>
        <v>51918</v>
      </c>
      <c r="M192" s="4">
        <f ca="1">IF(Simulador!Q222="",0,Simulador!Q222*-1)</f>
        <v>-9212.9230574842222</v>
      </c>
    </row>
    <row r="193" spans="1:13" x14ac:dyDescent="0.3">
      <c r="A193" s="18" t="s">
        <v>290</v>
      </c>
      <c r="B193" s="165">
        <v>1.049E-4</v>
      </c>
      <c r="D193" s="93">
        <f ca="1">Simulador!C224</f>
        <v>191</v>
      </c>
      <c r="E193" s="1">
        <f t="shared" ca="1" si="5"/>
        <v>51977</v>
      </c>
      <c r="F193" s="1">
        <f t="shared" ca="1" si="6"/>
        <v>52</v>
      </c>
      <c r="G193" s="124">
        <f ca="1">IF('Simulador Bradesco'!D206&lt;&gt;Parâmetros!B193,VLOOKUP('Base de Dados'!F193,'Base de Dados'!$A$2:$B$64,2,FALSE),VLOOKUP(F193&amp;'Simulador Bradesco'!$I$13,$A$2:$B$600,2,FALSE))</f>
        <v>7.6000000000000004E-4</v>
      </c>
      <c r="H193" s="1">
        <f ca="1">Simulador!A224</f>
        <v>51977</v>
      </c>
      <c r="L193" s="1">
        <f ca="1">IF(Simulador!A223="",Simulador!$C$8,Simulador!A223)</f>
        <v>51946</v>
      </c>
      <c r="M193" s="4">
        <f ca="1">IF(Simulador!Q223="",0,Simulador!Q223*-1)</f>
        <v>-9209.0565030274538</v>
      </c>
    </row>
    <row r="194" spans="1:13" x14ac:dyDescent="0.3">
      <c r="A194" s="18" t="s">
        <v>291</v>
      </c>
      <c r="B194" s="165">
        <v>1.13E-4</v>
      </c>
      <c r="D194" s="93">
        <f ca="1">Simulador!C225</f>
        <v>192</v>
      </c>
      <c r="E194" s="1">
        <f t="shared" ca="1" si="5"/>
        <v>52007</v>
      </c>
      <c r="F194" s="1">
        <f t="shared" ca="1" si="6"/>
        <v>52</v>
      </c>
      <c r="G194" s="124">
        <f ca="1">IF('Simulador Bradesco'!D207&lt;&gt;Parâmetros!B194,VLOOKUP('Base de Dados'!F194,'Base de Dados'!$A$2:$B$64,2,FALSE),VLOOKUP(F194&amp;'Simulador Bradesco'!$I$13,$A$2:$B$600,2,FALSE))</f>
        <v>7.6000000000000004E-4</v>
      </c>
      <c r="H194" s="1">
        <f ca="1">Simulador!A225</f>
        <v>52007</v>
      </c>
      <c r="L194" s="1">
        <f ca="1">IF(Simulador!A224="",Simulador!$C$8,Simulador!A224)</f>
        <v>51977</v>
      </c>
      <c r="M194" s="4">
        <f ca="1">IF(Simulador!Q224="",0,Simulador!Q224*-1)</f>
        <v>-9205.1475268174927</v>
      </c>
    </row>
    <row r="195" spans="1:13" x14ac:dyDescent="0.3">
      <c r="A195" s="18" t="s">
        <v>292</v>
      </c>
      <c r="B195" s="165">
        <v>1.13E-4</v>
      </c>
      <c r="D195" s="93">
        <f ca="1">Simulador!C226</f>
        <v>193</v>
      </c>
      <c r="E195" s="1">
        <f t="shared" ref="E195:E258" ca="1" si="7">H195</f>
        <v>52038</v>
      </c>
      <c r="F195" s="1">
        <f t="shared" ca="1" si="6"/>
        <v>52</v>
      </c>
      <c r="G195" s="124">
        <f ca="1">IF('Simulador Bradesco'!D208&lt;&gt;Parâmetros!B195,VLOOKUP('Base de Dados'!F195,'Base de Dados'!$A$2:$B$64,2,FALSE),VLOOKUP(F195&amp;'Simulador Bradesco'!$I$13,$A$2:$B$600,2,FALSE))</f>
        <v>7.6000000000000004E-4</v>
      </c>
      <c r="H195" s="1">
        <f ca="1">Simulador!A226</f>
        <v>52038</v>
      </c>
      <c r="L195" s="1">
        <f ca="1">IF(Simulador!A225="",Simulador!$C$8,Simulador!A225)</f>
        <v>52007</v>
      </c>
      <c r="M195" s="4">
        <f ca="1">IF(Simulador!Q225="",0,Simulador!Q225*-1)</f>
        <v>-9201.1956634257094</v>
      </c>
    </row>
    <row r="196" spans="1:13" x14ac:dyDescent="0.3">
      <c r="A196" s="18" t="s">
        <v>293</v>
      </c>
      <c r="B196" s="165">
        <v>1.13E-4</v>
      </c>
      <c r="D196" s="93">
        <f ca="1">Simulador!C227</f>
        <v>194</v>
      </c>
      <c r="E196" s="1">
        <f t="shared" ca="1" si="7"/>
        <v>52068</v>
      </c>
      <c r="F196" s="1">
        <f t="shared" ref="F196:F259" ca="1" si="8">ROUNDDOWN(_xlfn.DAYS(E196,$B$1)/365,0)</f>
        <v>52</v>
      </c>
      <c r="G196" s="124">
        <f ca="1">IF('Simulador Bradesco'!D209&lt;&gt;Parâmetros!B196,VLOOKUP('Base de Dados'!F196,'Base de Dados'!$A$2:$B$64,2,FALSE),VLOOKUP(F196&amp;'Simulador Bradesco'!$I$13,$A$2:$B$600,2,FALSE))</f>
        <v>7.6000000000000004E-4</v>
      </c>
      <c r="H196" s="1">
        <f ca="1">Simulador!A227</f>
        <v>52068</v>
      </c>
      <c r="L196" s="1">
        <f ca="1">IF(Simulador!A226="",Simulador!$C$8,Simulador!A226)</f>
        <v>52038</v>
      </c>
      <c r="M196" s="4">
        <f ca="1">IF(Simulador!Q226="",0,Simulador!Q226*-1)</f>
        <v>-9197.2004423170401</v>
      </c>
    </row>
    <row r="197" spans="1:13" x14ac:dyDescent="0.3">
      <c r="A197" s="18" t="s">
        <v>294</v>
      </c>
      <c r="B197" s="165">
        <v>1.193E-4</v>
      </c>
      <c r="D197" s="93">
        <f ca="1">Simulador!C228</f>
        <v>195</v>
      </c>
      <c r="E197" s="1">
        <f t="shared" ca="1" si="7"/>
        <v>52099</v>
      </c>
      <c r="F197" s="1">
        <f t="shared" ca="1" si="8"/>
        <v>52</v>
      </c>
      <c r="G197" s="124">
        <f ca="1">IF('Simulador Bradesco'!D210&lt;&gt;Parâmetros!B197,VLOOKUP('Base de Dados'!F197,'Base de Dados'!$A$2:$B$64,2,FALSE),VLOOKUP(F197&amp;'Simulador Bradesco'!$I$13,$A$2:$B$600,2,FALSE))</f>
        <v>7.6000000000000004E-4</v>
      </c>
      <c r="H197" s="1">
        <f ca="1">Simulador!A228</f>
        <v>52099</v>
      </c>
      <c r="L197" s="1">
        <f ca="1">IF(Simulador!A227="",Simulador!$C$8,Simulador!A227)</f>
        <v>52068</v>
      </c>
      <c r="M197" s="4">
        <f ca="1">IF(Simulador!Q227="",0,Simulador!Q227*-1)</f>
        <v>-9193.1613877939653</v>
      </c>
    </row>
    <row r="198" spans="1:13" x14ac:dyDescent="0.3">
      <c r="A198" s="18" t="s">
        <v>295</v>
      </c>
      <c r="B198" s="165">
        <v>1.193E-4</v>
      </c>
      <c r="D198" s="93">
        <f ca="1">Simulador!C229</f>
        <v>196</v>
      </c>
      <c r="E198" s="1">
        <f t="shared" ca="1" si="7"/>
        <v>52130</v>
      </c>
      <c r="F198" s="1">
        <f t="shared" ca="1" si="8"/>
        <v>53</v>
      </c>
      <c r="G198" s="124">
        <f ca="1">IF('Simulador Bradesco'!D211&lt;&gt;Parâmetros!B198,VLOOKUP('Base de Dados'!F198,'Base de Dados'!$A$2:$B$64,2,FALSE),VLOOKUP(F198&amp;'Simulador Bradesco'!$I$13,$A$2:$B$600,2,FALSE))</f>
        <v>7.6000000000000004E-4</v>
      </c>
      <c r="H198" s="1">
        <f ca="1">Simulador!A229</f>
        <v>52130</v>
      </c>
      <c r="L198" s="1">
        <f ca="1">IF(Simulador!A228="",Simulador!$C$8,Simulador!A228)</f>
        <v>52099</v>
      </c>
      <c r="M198" s="4">
        <f ca="1">IF(Simulador!Q228="",0,Simulador!Q228*-1)</f>
        <v>-9189.0780189398702</v>
      </c>
    </row>
    <row r="199" spans="1:13" x14ac:dyDescent="0.3">
      <c r="A199" s="18" t="s">
        <v>296</v>
      </c>
      <c r="B199" s="165">
        <v>1.193E-4</v>
      </c>
      <c r="D199" s="93">
        <f ca="1">Simulador!C230</f>
        <v>197</v>
      </c>
      <c r="E199" s="1">
        <f t="shared" ca="1" si="7"/>
        <v>52160</v>
      </c>
      <c r="F199" s="1">
        <f t="shared" ca="1" si="8"/>
        <v>53</v>
      </c>
      <c r="G199" s="124">
        <f ca="1">IF('Simulador Bradesco'!D212&lt;&gt;Parâmetros!B199,VLOOKUP('Base de Dados'!F199,'Base de Dados'!$A$2:$B$64,2,FALSE),VLOOKUP(F199&amp;'Simulador Bradesco'!$I$13,$A$2:$B$600,2,FALSE))</f>
        <v>7.6000000000000004E-4</v>
      </c>
      <c r="H199" s="1">
        <f ca="1">Simulador!A230</f>
        <v>52160</v>
      </c>
      <c r="L199" s="1">
        <f ca="1">IF(Simulador!A229="",Simulador!$C$8,Simulador!A229)</f>
        <v>52130</v>
      </c>
      <c r="M199" s="4">
        <f ca="1">IF(Simulador!Q229="",0,Simulador!Q229*-1)</f>
        <v>-9184.9498495617772</v>
      </c>
    </row>
    <row r="200" spans="1:13" x14ac:dyDescent="0.3">
      <c r="A200" s="18" t="s">
        <v>297</v>
      </c>
      <c r="B200" s="165">
        <v>1.304E-4</v>
      </c>
      <c r="D200" s="93">
        <f ca="1">Simulador!C231</f>
        <v>198</v>
      </c>
      <c r="E200" s="1">
        <f t="shared" ca="1" si="7"/>
        <v>52191</v>
      </c>
      <c r="F200" s="1">
        <f t="shared" ca="1" si="8"/>
        <v>53</v>
      </c>
      <c r="G200" s="124">
        <f ca="1">IF('Simulador Bradesco'!D213&lt;&gt;Parâmetros!B200,VLOOKUP('Base de Dados'!F200,'Base de Dados'!$A$2:$B$64,2,FALSE),VLOOKUP(F200&amp;'Simulador Bradesco'!$I$13,$A$2:$B$600,2,FALSE))</f>
        <v>7.6000000000000004E-4</v>
      </c>
      <c r="H200" s="1">
        <f ca="1">Simulador!A231</f>
        <v>52191</v>
      </c>
      <c r="L200" s="1">
        <f ca="1">IF(Simulador!A230="",Simulador!$C$8,Simulador!A230)</f>
        <v>52160</v>
      </c>
      <c r="M200" s="4">
        <f ca="1">IF(Simulador!Q230="",0,Simulador!Q230*-1)</f>
        <v>-9180.7763881324681</v>
      </c>
    </row>
    <row r="201" spans="1:13" x14ac:dyDescent="0.3">
      <c r="A201" s="18" t="s">
        <v>298</v>
      </c>
      <c r="B201" s="165">
        <v>1.304E-4</v>
      </c>
      <c r="D201" s="93">
        <f ca="1">Simulador!C232</f>
        <v>199</v>
      </c>
      <c r="E201" s="1">
        <f t="shared" ca="1" si="7"/>
        <v>52221</v>
      </c>
      <c r="F201" s="1">
        <f t="shared" ca="1" si="8"/>
        <v>53</v>
      </c>
      <c r="G201" s="124">
        <f ca="1">IF('Simulador Bradesco'!D214&lt;&gt;Parâmetros!B201,VLOOKUP('Base de Dados'!F201,'Base de Dados'!$A$2:$B$64,2,FALSE),VLOOKUP(F201&amp;'Simulador Bradesco'!$I$13,$A$2:$B$600,2,FALSE))</f>
        <v>7.6000000000000004E-4</v>
      </c>
      <c r="H201" s="1">
        <f ca="1">Simulador!A232</f>
        <v>52221</v>
      </c>
      <c r="L201" s="1">
        <f ca="1">IF(Simulador!A231="",Simulador!$C$8,Simulador!A231)</f>
        <v>52191</v>
      </c>
      <c r="M201" s="4">
        <f ca="1">IF(Simulador!Q231="",0,Simulador!Q231*-1)</f>
        <v>-9176.5571377319429</v>
      </c>
    </row>
    <row r="202" spans="1:13" x14ac:dyDescent="0.3">
      <c r="A202" s="18" t="s">
        <v>299</v>
      </c>
      <c r="B202" s="165">
        <v>1.304E-4</v>
      </c>
      <c r="D202" s="93">
        <f ca="1">Simulador!C233</f>
        <v>200</v>
      </c>
      <c r="E202" s="1">
        <f t="shared" ca="1" si="7"/>
        <v>52252</v>
      </c>
      <c r="F202" s="1">
        <f t="shared" ca="1" si="8"/>
        <v>53</v>
      </c>
      <c r="G202" s="124">
        <f ca="1">IF('Simulador Bradesco'!D215&lt;&gt;Parâmetros!B202,VLOOKUP('Base de Dados'!F202,'Base de Dados'!$A$2:$B$64,2,FALSE),VLOOKUP(F202&amp;'Simulador Bradesco'!$I$13,$A$2:$B$600,2,FALSE))</f>
        <v>7.6000000000000004E-4</v>
      </c>
      <c r="H202" s="1">
        <f ca="1">Simulador!A233</f>
        <v>52252</v>
      </c>
      <c r="L202" s="1">
        <f ca="1">IF(Simulador!A232="",Simulador!$C$8,Simulador!A232)</f>
        <v>52221</v>
      </c>
      <c r="M202" s="4">
        <f ca="1">IF(Simulador!Q232="",0,Simulador!Q232*-1)</f>
        <v>-9172.2915959882739</v>
      </c>
    </row>
    <row r="203" spans="1:13" x14ac:dyDescent="0.3">
      <c r="A203" s="18" t="s">
        <v>300</v>
      </c>
      <c r="B203" s="165">
        <v>1.438E-4</v>
      </c>
      <c r="D203" s="93">
        <f ca="1">Simulador!C234</f>
        <v>201</v>
      </c>
      <c r="E203" s="1">
        <f t="shared" ca="1" si="7"/>
        <v>52283</v>
      </c>
      <c r="F203" s="1">
        <f t="shared" ca="1" si="8"/>
        <v>53</v>
      </c>
      <c r="G203" s="124">
        <f ca="1">IF('Simulador Bradesco'!D216&lt;&gt;Parâmetros!B203,VLOOKUP('Base de Dados'!F203,'Base de Dados'!$A$2:$B$64,2,FALSE),VLOOKUP(F203&amp;'Simulador Bradesco'!$I$13,$A$2:$B$600,2,FALSE))</f>
        <v>7.6000000000000004E-4</v>
      </c>
      <c r="H203" s="1">
        <f ca="1">Simulador!A234</f>
        <v>52283</v>
      </c>
      <c r="L203" s="1">
        <f ca="1">IF(Simulador!A233="",Simulador!$C$8,Simulador!A233)</f>
        <v>52252</v>
      </c>
      <c r="M203" s="4">
        <f ca="1">IF(Simulador!Q233="",0,Simulador!Q233*-1)</f>
        <v>-9167.9792550177717</v>
      </c>
    </row>
    <row r="204" spans="1:13" x14ac:dyDescent="0.3">
      <c r="A204" s="18" t="s">
        <v>301</v>
      </c>
      <c r="B204" s="165">
        <v>1.438E-4</v>
      </c>
      <c r="D204" s="93">
        <f ca="1">Simulador!C235</f>
        <v>202</v>
      </c>
      <c r="E204" s="1">
        <f t="shared" ca="1" si="7"/>
        <v>52311</v>
      </c>
      <c r="F204" s="1">
        <f t="shared" ca="1" si="8"/>
        <v>53</v>
      </c>
      <c r="G204" s="124">
        <f ca="1">IF('Simulador Bradesco'!D217&lt;&gt;Parâmetros!B204,VLOOKUP('Base de Dados'!F204,'Base de Dados'!$A$2:$B$64,2,FALSE),VLOOKUP(F204&amp;'Simulador Bradesco'!$I$13,$A$2:$B$600,2,FALSE))</f>
        <v>7.6000000000000004E-4</v>
      </c>
      <c r="H204" s="1">
        <f ca="1">Simulador!A235</f>
        <v>52311</v>
      </c>
      <c r="L204" s="1">
        <f ca="1">IF(Simulador!A234="",Simulador!$C$8,Simulador!A234)</f>
        <v>52283</v>
      </c>
      <c r="M204" s="4">
        <f ca="1">IF(Simulador!Q234="",0,Simulador!Q234*-1)</f>
        <v>-9163.619601364524</v>
      </c>
    </row>
    <row r="205" spans="1:13" x14ac:dyDescent="0.3">
      <c r="A205" s="18" t="s">
        <v>302</v>
      </c>
      <c r="B205" s="165">
        <v>1.438E-4</v>
      </c>
      <c r="D205" s="93">
        <f ca="1">Simulador!C236</f>
        <v>203</v>
      </c>
      <c r="E205" s="1">
        <f t="shared" ca="1" si="7"/>
        <v>52342</v>
      </c>
      <c r="F205" s="1">
        <f t="shared" ca="1" si="8"/>
        <v>53</v>
      </c>
      <c r="G205" s="124">
        <f ca="1">IF('Simulador Bradesco'!D218&lt;&gt;Parâmetros!B205,VLOOKUP('Base de Dados'!F205,'Base de Dados'!$A$2:$B$64,2,FALSE),VLOOKUP(F205&amp;'Simulador Bradesco'!$I$13,$A$2:$B$600,2,FALSE))</f>
        <v>7.6000000000000004E-4</v>
      </c>
      <c r="H205" s="1">
        <f ca="1">Simulador!A236</f>
        <v>52342</v>
      </c>
      <c r="L205" s="1">
        <f ca="1">IF(Simulador!A235="",Simulador!$C$8,Simulador!A235)</f>
        <v>52311</v>
      </c>
      <c r="M205" s="4">
        <f ca="1">IF(Simulador!Q235="",0,Simulador!Q235*-1)</f>
        <v>-9159.2121159392536</v>
      </c>
    </row>
    <row r="206" spans="1:13" x14ac:dyDescent="0.3">
      <c r="A206" s="18" t="s">
        <v>303</v>
      </c>
      <c r="B206" s="165">
        <v>1.5679999999999999E-4</v>
      </c>
      <c r="D206" s="93">
        <f ca="1">Simulador!C237</f>
        <v>204</v>
      </c>
      <c r="E206" s="1">
        <f t="shared" ca="1" si="7"/>
        <v>52372</v>
      </c>
      <c r="F206" s="1">
        <f t="shared" ca="1" si="8"/>
        <v>53</v>
      </c>
      <c r="G206" s="124">
        <f ca="1">IF('Simulador Bradesco'!D219&lt;&gt;Parâmetros!B206,VLOOKUP('Base de Dados'!F206,'Base de Dados'!$A$2:$B$64,2,FALSE),VLOOKUP(F206&amp;'Simulador Bradesco'!$I$13,$A$2:$B$600,2,FALSE))</f>
        <v>7.6000000000000004E-4</v>
      </c>
      <c r="H206" s="1">
        <f ca="1">Simulador!A237</f>
        <v>52372</v>
      </c>
      <c r="L206" s="1">
        <f ca="1">IF(Simulador!A236="",Simulador!$C$8,Simulador!A236)</f>
        <v>52342</v>
      </c>
      <c r="M206" s="4">
        <f ca="1">IF(Simulador!Q236="",0,Simulador!Q236*-1)</f>
        <v>-9154.7562739575187</v>
      </c>
    </row>
    <row r="207" spans="1:13" x14ac:dyDescent="0.3">
      <c r="A207" s="18" t="s">
        <v>304</v>
      </c>
      <c r="B207" s="165">
        <v>1.5679999999999999E-4</v>
      </c>
      <c r="D207" s="93">
        <f ca="1">Simulador!C238</f>
        <v>205</v>
      </c>
      <c r="E207" s="1">
        <f t="shared" ca="1" si="7"/>
        <v>52403</v>
      </c>
      <c r="F207" s="1">
        <f t="shared" ca="1" si="8"/>
        <v>53</v>
      </c>
      <c r="G207" s="124">
        <f ca="1">IF('Simulador Bradesco'!D220&lt;&gt;Parâmetros!B207,VLOOKUP('Base de Dados'!F207,'Base de Dados'!$A$2:$B$64,2,FALSE),VLOOKUP(F207&amp;'Simulador Bradesco'!$I$13,$A$2:$B$600,2,FALSE))</f>
        <v>7.6000000000000004E-4</v>
      </c>
      <c r="H207" s="1">
        <f ca="1">Simulador!A238</f>
        <v>52403</v>
      </c>
      <c r="L207" s="1">
        <f ca="1">IF(Simulador!A237="",Simulador!$C$8,Simulador!A237)</f>
        <v>52372</v>
      </c>
      <c r="M207" s="4">
        <f ca="1">IF(Simulador!Q237="",0,Simulador!Q237*-1)</f>
        <v>-9150.2515448772247</v>
      </c>
    </row>
    <row r="208" spans="1:13" x14ac:dyDescent="0.3">
      <c r="A208" s="18" t="s">
        <v>305</v>
      </c>
      <c r="B208" s="165">
        <v>1.5679999999999999E-4</v>
      </c>
      <c r="D208" s="93">
        <f ca="1">Simulador!C239</f>
        <v>206</v>
      </c>
      <c r="E208" s="1">
        <f t="shared" ca="1" si="7"/>
        <v>52433</v>
      </c>
      <c r="F208" s="1">
        <f t="shared" ca="1" si="8"/>
        <v>53</v>
      </c>
      <c r="G208" s="124">
        <f ca="1">IF('Simulador Bradesco'!D221&lt;&gt;Parâmetros!B208,VLOOKUP('Base de Dados'!F208,'Base de Dados'!$A$2:$B$64,2,FALSE),VLOOKUP(F208&amp;'Simulador Bradesco'!$I$13,$A$2:$B$600,2,FALSE))</f>
        <v>7.6000000000000004E-4</v>
      </c>
      <c r="H208" s="1">
        <f ca="1">Simulador!A239</f>
        <v>52433</v>
      </c>
      <c r="L208" s="1">
        <f ca="1">IF(Simulador!A238="",Simulador!$C$8,Simulador!A238)</f>
        <v>52403</v>
      </c>
      <c r="M208" s="4">
        <f ca="1">IF(Simulador!Q238="",0,Simulador!Q238*-1)</f>
        <v>-9145.6973923354526</v>
      </c>
    </row>
    <row r="209" spans="1:13" x14ac:dyDescent="0.3">
      <c r="A209" s="18" t="s">
        <v>306</v>
      </c>
      <c r="B209" s="165">
        <v>1.8139999999999999E-4</v>
      </c>
      <c r="D209" s="93">
        <f ca="1">Simulador!C240</f>
        <v>207</v>
      </c>
      <c r="E209" s="1">
        <f t="shared" ca="1" si="7"/>
        <v>52464</v>
      </c>
      <c r="F209" s="1">
        <f t="shared" ca="1" si="8"/>
        <v>53</v>
      </c>
      <c r="G209" s="124">
        <f ca="1">IF('Simulador Bradesco'!D222&lt;&gt;Parâmetros!B209,VLOOKUP('Base de Dados'!F209,'Base de Dados'!$A$2:$B$64,2,FALSE),VLOOKUP(F209&amp;'Simulador Bradesco'!$I$13,$A$2:$B$600,2,FALSE))</f>
        <v>7.6000000000000004E-4</v>
      </c>
      <c r="H209" s="1">
        <f ca="1">Simulador!A240</f>
        <v>52464</v>
      </c>
      <c r="L209" s="1">
        <f ca="1">IF(Simulador!A239="",Simulador!$C$8,Simulador!A239)</f>
        <v>52433</v>
      </c>
      <c r="M209" s="4">
        <f ca="1">IF(Simulador!Q239="",0,Simulador!Q239*-1)</f>
        <v>-9141.0932740846001</v>
      </c>
    </row>
    <row r="210" spans="1:13" x14ac:dyDescent="0.3">
      <c r="A210" s="18" t="s">
        <v>307</v>
      </c>
      <c r="B210" s="165">
        <v>1.8139999999999999E-4</v>
      </c>
      <c r="D210" s="93">
        <f ca="1">Simulador!C241</f>
        <v>208</v>
      </c>
      <c r="E210" s="1">
        <f t="shared" ca="1" si="7"/>
        <v>52495</v>
      </c>
      <c r="F210" s="1">
        <f t="shared" ca="1" si="8"/>
        <v>54</v>
      </c>
      <c r="G210" s="124">
        <f ca="1">IF('Simulador Bradesco'!D223&lt;&gt;Parâmetros!B210,VLOOKUP('Base de Dados'!F210,'Base de Dados'!$A$2:$B$64,2,FALSE),VLOOKUP(F210&amp;'Simulador Bradesco'!$I$13,$A$2:$B$600,2,FALSE))</f>
        <v>9.3590000000000003E-4</v>
      </c>
      <c r="H210" s="1">
        <f ca="1">Simulador!A241</f>
        <v>52495</v>
      </c>
      <c r="L210" s="1">
        <f ca="1">IF(Simulador!A240="",Simulador!$C$8,Simulador!A240)</f>
        <v>52464</v>
      </c>
      <c r="M210" s="4">
        <f ca="1">IF(Simulador!Q240="",0,Simulador!Q240*-1)</f>
        <v>-9136.4386419278162</v>
      </c>
    </row>
    <row r="211" spans="1:13" x14ac:dyDescent="0.3">
      <c r="A211" s="18" t="s">
        <v>308</v>
      </c>
      <c r="B211" s="165">
        <v>1.8139999999999999E-4</v>
      </c>
      <c r="D211" s="93">
        <f ca="1">Simulador!C242</f>
        <v>209</v>
      </c>
      <c r="E211" s="1">
        <f t="shared" ca="1" si="7"/>
        <v>52525</v>
      </c>
      <c r="F211" s="1">
        <f t="shared" ca="1" si="8"/>
        <v>54</v>
      </c>
      <c r="G211" s="124">
        <f ca="1">IF('Simulador Bradesco'!D224&lt;&gt;Parâmetros!B211,VLOOKUP('Base de Dados'!F211,'Base de Dados'!$A$2:$B$64,2,FALSE),VLOOKUP(F211&amp;'Simulador Bradesco'!$I$13,$A$2:$B$600,2,FALSE))</f>
        <v>9.3590000000000003E-4</v>
      </c>
      <c r="H211" s="1">
        <f ca="1">Simulador!A242</f>
        <v>52525</v>
      </c>
      <c r="L211" s="1">
        <f ca="1">IF(Simulador!A241="",Simulador!$C$8,Simulador!A241)</f>
        <v>52495</v>
      </c>
      <c r="M211" s="4">
        <f ca="1">IF(Simulador!Q241="",0,Simulador!Q241*-1)</f>
        <v>-9173.6721426470212</v>
      </c>
    </row>
    <row r="212" spans="1:13" x14ac:dyDescent="0.3">
      <c r="A212" s="18" t="s">
        <v>309</v>
      </c>
      <c r="B212" s="165">
        <v>2.2369999999999999E-4</v>
      </c>
      <c r="D212" s="93">
        <f ca="1">Simulador!C243</f>
        <v>210</v>
      </c>
      <c r="E212" s="1">
        <f t="shared" ca="1" si="7"/>
        <v>52556</v>
      </c>
      <c r="F212" s="1">
        <f t="shared" ca="1" si="8"/>
        <v>54</v>
      </c>
      <c r="G212" s="124">
        <f ca="1">IF('Simulador Bradesco'!D225&lt;&gt;Parâmetros!B212,VLOOKUP('Base de Dados'!F212,'Base de Dados'!$A$2:$B$64,2,FALSE),VLOOKUP(F212&amp;'Simulador Bradesco'!$I$13,$A$2:$B$600,2,FALSE))</f>
        <v>9.3590000000000003E-4</v>
      </c>
      <c r="H212" s="1">
        <f ca="1">Simulador!A243</f>
        <v>52556</v>
      </c>
      <c r="L212" s="1">
        <f ca="1">IF(Simulador!A242="",Simulador!$C$8,Simulador!A242)</f>
        <v>52525</v>
      </c>
      <c r="M212" s="4">
        <f ca="1">IF(Simulador!Q242="",0,Simulador!Q242*-1)</f>
        <v>-9167.8137427592937</v>
      </c>
    </row>
    <row r="213" spans="1:13" x14ac:dyDescent="0.3">
      <c r="A213" s="18" t="s">
        <v>310</v>
      </c>
      <c r="B213" s="165">
        <v>2.2369999999999999E-4</v>
      </c>
      <c r="D213" s="93">
        <f ca="1">Simulador!C244</f>
        <v>211</v>
      </c>
      <c r="E213" s="1">
        <f t="shared" ca="1" si="7"/>
        <v>52586</v>
      </c>
      <c r="F213" s="1">
        <f t="shared" ca="1" si="8"/>
        <v>54</v>
      </c>
      <c r="G213" s="124">
        <f ca="1">IF('Simulador Bradesco'!D226&lt;&gt;Parâmetros!B213,VLOOKUP('Base de Dados'!F213,'Base de Dados'!$A$2:$B$64,2,FALSE),VLOOKUP(F213&amp;'Simulador Bradesco'!$I$13,$A$2:$B$600,2,FALSE))</f>
        <v>9.3590000000000003E-4</v>
      </c>
      <c r="H213" s="1">
        <f ca="1">Simulador!A244</f>
        <v>52586</v>
      </c>
      <c r="L213" s="1">
        <f ca="1">IF(Simulador!A243="",Simulador!$C$8,Simulador!A243)</f>
        <v>52556</v>
      </c>
      <c r="M213" s="4">
        <f ca="1">IF(Simulador!Q243="",0,Simulador!Q243*-1)</f>
        <v>-9161.8910676629985</v>
      </c>
    </row>
    <row r="214" spans="1:13" x14ac:dyDescent="0.3">
      <c r="A214" s="18" t="s">
        <v>311</v>
      </c>
      <c r="B214" s="165">
        <v>2.2369999999999999E-4</v>
      </c>
      <c r="D214" s="93">
        <f ca="1">Simulador!C245</f>
        <v>212</v>
      </c>
      <c r="E214" s="1">
        <f t="shared" ca="1" si="7"/>
        <v>52617</v>
      </c>
      <c r="F214" s="1">
        <f t="shared" ca="1" si="8"/>
        <v>54</v>
      </c>
      <c r="G214" s="124">
        <f ca="1">IF('Simulador Bradesco'!D227&lt;&gt;Parâmetros!B214,VLOOKUP('Base de Dados'!F214,'Base de Dados'!$A$2:$B$64,2,FALSE),VLOOKUP(F214&amp;'Simulador Bradesco'!$I$13,$A$2:$B$600,2,FALSE))</f>
        <v>9.3590000000000003E-4</v>
      </c>
      <c r="H214" s="1">
        <f ca="1">Simulador!A245</f>
        <v>52617</v>
      </c>
      <c r="L214" s="1">
        <f ca="1">IF(Simulador!A244="",Simulador!$C$8,Simulador!A244)</f>
        <v>52586</v>
      </c>
      <c r="M214" s="4">
        <f ca="1">IF(Simulador!Q244="",0,Simulador!Q244*-1)</f>
        <v>-9155.9034121651639</v>
      </c>
    </row>
    <row r="215" spans="1:13" x14ac:dyDescent="0.3">
      <c r="A215" s="18" t="s">
        <v>312</v>
      </c>
      <c r="B215" s="165">
        <v>3.1690000000000001E-4</v>
      </c>
      <c r="D215" s="93">
        <f ca="1">Simulador!C246</f>
        <v>213</v>
      </c>
      <c r="E215" s="1">
        <f t="shared" ca="1" si="7"/>
        <v>52648</v>
      </c>
      <c r="F215" s="1">
        <f t="shared" ca="1" si="8"/>
        <v>54</v>
      </c>
      <c r="G215" s="124">
        <f ca="1">IF('Simulador Bradesco'!D228&lt;&gt;Parâmetros!B215,VLOOKUP('Base de Dados'!F215,'Base de Dados'!$A$2:$B$64,2,FALSE),VLOOKUP(F215&amp;'Simulador Bradesco'!$I$13,$A$2:$B$600,2,FALSE))</f>
        <v>9.3590000000000003E-4</v>
      </c>
      <c r="H215" s="1">
        <f ca="1">Simulador!A246</f>
        <v>52648</v>
      </c>
      <c r="L215" s="1">
        <f ca="1">IF(Simulador!A245="",Simulador!$C$8,Simulador!A245)</f>
        <v>52617</v>
      </c>
      <c r="M215" s="4">
        <f ca="1">IF(Simulador!Q245="",0,Simulador!Q245*-1)</f>
        <v>-9149.850063335818</v>
      </c>
    </row>
    <row r="216" spans="1:13" x14ac:dyDescent="0.3">
      <c r="A216" s="18" t="s">
        <v>313</v>
      </c>
      <c r="B216" s="165">
        <v>3.1690000000000001E-4</v>
      </c>
      <c r="D216" s="93">
        <f ca="1">Simulador!C247</f>
        <v>214</v>
      </c>
      <c r="E216" s="1">
        <f t="shared" ca="1" si="7"/>
        <v>52677</v>
      </c>
      <c r="F216" s="1">
        <f t="shared" ca="1" si="8"/>
        <v>54</v>
      </c>
      <c r="G216" s="124">
        <f ca="1">IF('Simulador Bradesco'!D229&lt;&gt;Parâmetros!B216,VLOOKUP('Base de Dados'!F216,'Base de Dados'!$A$2:$B$64,2,FALSE),VLOOKUP(F216&amp;'Simulador Bradesco'!$I$13,$A$2:$B$600,2,FALSE))</f>
        <v>9.3590000000000003E-4</v>
      </c>
      <c r="H216" s="1">
        <f ca="1">Simulador!A247</f>
        <v>52677</v>
      </c>
      <c r="L216" s="1">
        <f ca="1">IF(Simulador!A246="",Simulador!$C$8,Simulador!A246)</f>
        <v>52648</v>
      </c>
      <c r="M216" s="4">
        <f ca="1">IF(Simulador!Q246="",0,Simulador!Q246*-1)</f>
        <v>-9143.7303004231071</v>
      </c>
    </row>
    <row r="217" spans="1:13" x14ac:dyDescent="0.3">
      <c r="A217" s="18" t="s">
        <v>314</v>
      </c>
      <c r="B217" s="165">
        <v>3.1690000000000001E-4</v>
      </c>
      <c r="D217" s="93">
        <f ca="1">Simulador!C248</f>
        <v>215</v>
      </c>
      <c r="E217" s="1">
        <f t="shared" ca="1" si="7"/>
        <v>52708</v>
      </c>
      <c r="F217" s="1">
        <f t="shared" ca="1" si="8"/>
        <v>54</v>
      </c>
      <c r="G217" s="124">
        <f ca="1">IF('Simulador Bradesco'!D230&lt;&gt;Parâmetros!B217,VLOOKUP('Base de Dados'!F217,'Base de Dados'!$A$2:$B$64,2,FALSE),VLOOKUP(F217&amp;'Simulador Bradesco'!$I$13,$A$2:$B$600,2,FALSE))</f>
        <v>9.3590000000000003E-4</v>
      </c>
      <c r="H217" s="1">
        <f ca="1">Simulador!A248</f>
        <v>52708</v>
      </c>
      <c r="L217" s="1">
        <f ca="1">IF(Simulador!A247="",Simulador!$C$8,Simulador!A247)</f>
        <v>52677</v>
      </c>
      <c r="M217" s="4">
        <f ca="1">IF(Simulador!Q247="",0,Simulador!Q247*-1)</f>
        <v>-9137.5433947674737</v>
      </c>
    </row>
    <row r="218" spans="1:13" x14ac:dyDescent="0.3">
      <c r="A218" s="18" t="s">
        <v>315</v>
      </c>
      <c r="B218" s="165">
        <v>4.3520000000000001E-4</v>
      </c>
      <c r="D218" s="93">
        <f ca="1">Simulador!C249</f>
        <v>216</v>
      </c>
      <c r="E218" s="1">
        <f t="shared" ca="1" si="7"/>
        <v>52738</v>
      </c>
      <c r="F218" s="1">
        <f t="shared" ca="1" si="8"/>
        <v>54</v>
      </c>
      <c r="G218" s="124">
        <f ca="1">IF('Simulador Bradesco'!D231&lt;&gt;Parâmetros!B218,VLOOKUP('Base de Dados'!F218,'Base de Dados'!$A$2:$B$64,2,FALSE),VLOOKUP(F218&amp;'Simulador Bradesco'!$I$13,$A$2:$B$600,2,FALSE))</f>
        <v>9.3590000000000003E-4</v>
      </c>
      <c r="H218" s="1">
        <f ca="1">Simulador!A249</f>
        <v>52738</v>
      </c>
      <c r="L218" s="1">
        <f ca="1">IF(Simulador!A248="",Simulador!$C$8,Simulador!A248)</f>
        <v>52708</v>
      </c>
      <c r="M218" s="4">
        <f ca="1">IF(Simulador!Q248="",0,Simulador!Q248*-1)</f>
        <v>-9131.2886097149039</v>
      </c>
    </row>
    <row r="219" spans="1:13" x14ac:dyDescent="0.3">
      <c r="A219" s="18" t="s">
        <v>316</v>
      </c>
      <c r="B219" s="165">
        <v>4.3520000000000001E-4</v>
      </c>
      <c r="D219" s="93">
        <f ca="1">Simulador!C250</f>
        <v>217</v>
      </c>
      <c r="E219" s="1">
        <f t="shared" ca="1" si="7"/>
        <v>52769</v>
      </c>
      <c r="F219" s="1">
        <f t="shared" ca="1" si="8"/>
        <v>54</v>
      </c>
      <c r="G219" s="124">
        <f ca="1">IF('Simulador Bradesco'!D232&lt;&gt;Parâmetros!B219,VLOOKUP('Base de Dados'!F219,'Base de Dados'!$A$2:$B$64,2,FALSE),VLOOKUP(F219&amp;'Simulador Bradesco'!$I$13,$A$2:$B$600,2,FALSE))</f>
        <v>9.3590000000000003E-4</v>
      </c>
      <c r="H219" s="1">
        <f ca="1">Simulador!A250</f>
        <v>52769</v>
      </c>
      <c r="L219" s="1">
        <f ca="1">IF(Simulador!A249="",Simulador!$C$8,Simulador!A249)</f>
        <v>52738</v>
      </c>
      <c r="M219" s="4">
        <f ca="1">IF(Simulador!Q249="",0,Simulador!Q249*-1)</f>
        <v>-9124.9652005292101</v>
      </c>
    </row>
    <row r="220" spans="1:13" x14ac:dyDescent="0.3">
      <c r="A220" s="18" t="s">
        <v>317</v>
      </c>
      <c r="B220" s="165">
        <v>4.3520000000000001E-4</v>
      </c>
      <c r="D220" s="93">
        <f ca="1">Simulador!C251</f>
        <v>218</v>
      </c>
      <c r="E220" s="1">
        <f t="shared" ca="1" si="7"/>
        <v>52799</v>
      </c>
      <c r="F220" s="1">
        <f t="shared" ca="1" si="8"/>
        <v>54</v>
      </c>
      <c r="G220" s="124">
        <f ca="1">IF('Simulador Bradesco'!D233&lt;&gt;Parâmetros!B220,VLOOKUP('Base de Dados'!F220,'Base de Dados'!$A$2:$B$64,2,FALSE),VLOOKUP(F220&amp;'Simulador Bradesco'!$I$13,$A$2:$B$600,2,FALSE))</f>
        <v>9.3590000000000003E-4</v>
      </c>
      <c r="H220" s="1">
        <f ca="1">Simulador!A251</f>
        <v>52799</v>
      </c>
      <c r="L220" s="1">
        <f ca="1">IF(Simulador!A250="",Simulador!$C$8,Simulador!A250)</f>
        <v>52769</v>
      </c>
      <c r="M220" s="4">
        <f ca="1">IF(Simulador!Q250="",0,Simulador!Q250*-1)</f>
        <v>-9118.5724143033603</v>
      </c>
    </row>
    <row r="221" spans="1:13" x14ac:dyDescent="0.3">
      <c r="A221" s="18" t="s">
        <v>318</v>
      </c>
      <c r="B221" s="165">
        <v>5.8719999999999996E-4</v>
      </c>
      <c r="D221" s="93">
        <f ca="1">Simulador!C252</f>
        <v>219</v>
      </c>
      <c r="E221" s="1">
        <f t="shared" ca="1" si="7"/>
        <v>52830</v>
      </c>
      <c r="F221" s="1">
        <f t="shared" ca="1" si="8"/>
        <v>54</v>
      </c>
      <c r="G221" s="124">
        <f ca="1">IF('Simulador Bradesco'!D234&lt;&gt;Parâmetros!B221,VLOOKUP('Base de Dados'!F221,'Base de Dados'!$A$2:$B$64,2,FALSE),VLOOKUP(F221&amp;'Simulador Bradesco'!$I$13,$A$2:$B$600,2,FALSE))</f>
        <v>9.3590000000000003E-4</v>
      </c>
      <c r="H221" s="1">
        <f ca="1">Simulador!A252</f>
        <v>52830</v>
      </c>
      <c r="L221" s="1">
        <f ca="1">IF(Simulador!A251="",Simulador!$C$8,Simulador!A251)</f>
        <v>52799</v>
      </c>
      <c r="M221" s="4">
        <f ca="1">IF(Simulador!Q251="",0,Simulador!Q251*-1)</f>
        <v>-9112.109489869832</v>
      </c>
    </row>
    <row r="222" spans="1:13" x14ac:dyDescent="0.3">
      <c r="A222" s="18" t="s">
        <v>319</v>
      </c>
      <c r="B222" s="165">
        <v>5.8719999999999996E-4</v>
      </c>
      <c r="D222" s="93">
        <f ca="1">Simulador!C253</f>
        <v>220</v>
      </c>
      <c r="E222" s="1">
        <f t="shared" ca="1" si="7"/>
        <v>52861</v>
      </c>
      <c r="F222" s="1">
        <f t="shared" ca="1" si="8"/>
        <v>55</v>
      </c>
      <c r="G222" s="124">
        <f ca="1">IF('Simulador Bradesco'!D235&lt;&gt;Parâmetros!B222,VLOOKUP('Base de Dados'!F222,'Base de Dados'!$A$2:$B$64,2,FALSE),VLOOKUP(F222&amp;'Simulador Bradesco'!$I$13,$A$2:$B$600,2,FALSE))</f>
        <v>9.3590000000000003E-4</v>
      </c>
      <c r="H222" s="1">
        <f ca="1">Simulador!A253</f>
        <v>52861</v>
      </c>
      <c r="L222" s="1">
        <f ca="1">IF(Simulador!A252="",Simulador!$C$8,Simulador!A252)</f>
        <v>52830</v>
      </c>
      <c r="M222" s="4">
        <f ca="1">IF(Simulador!Q252="",0,Simulador!Q252*-1)</f>
        <v>-9105.5756577099819</v>
      </c>
    </row>
    <row r="223" spans="1:13" x14ac:dyDescent="0.3">
      <c r="A223" s="18" t="s">
        <v>320</v>
      </c>
      <c r="B223" s="165">
        <v>5.8719999999999996E-4</v>
      </c>
      <c r="D223" s="93">
        <f ca="1">Simulador!C254</f>
        <v>221</v>
      </c>
      <c r="E223" s="1">
        <f t="shared" ca="1" si="7"/>
        <v>52891</v>
      </c>
      <c r="F223" s="1">
        <f t="shared" ca="1" si="8"/>
        <v>55</v>
      </c>
      <c r="G223" s="124">
        <f ca="1">IF('Simulador Bradesco'!D236&lt;&gt;Parâmetros!B223,VLOOKUP('Base de Dados'!F223,'Base de Dados'!$A$2:$B$64,2,FALSE),VLOOKUP(F223&amp;'Simulador Bradesco'!$I$13,$A$2:$B$600,2,FALSE))</f>
        <v>9.3590000000000003E-4</v>
      </c>
      <c r="H223" s="1">
        <f ca="1">Simulador!A254</f>
        <v>52891</v>
      </c>
      <c r="L223" s="1">
        <f ca="1">IF(Simulador!A253="",Simulador!$C$8,Simulador!A253)</f>
        <v>52861</v>
      </c>
      <c r="M223" s="4">
        <f ca="1">IF(Simulador!Q253="",0,Simulador!Q253*-1)</f>
        <v>-9098.9701398624275</v>
      </c>
    </row>
    <row r="224" spans="1:13" x14ac:dyDescent="0.3">
      <c r="A224" s="18" t="s">
        <v>321</v>
      </c>
      <c r="B224" s="165">
        <v>7.6000000000000004E-4</v>
      </c>
      <c r="D224" s="93">
        <f ca="1">Simulador!C255</f>
        <v>222</v>
      </c>
      <c r="E224" s="1">
        <f t="shared" ca="1" si="7"/>
        <v>52922</v>
      </c>
      <c r="F224" s="1">
        <f t="shared" ca="1" si="8"/>
        <v>55</v>
      </c>
      <c r="G224" s="124">
        <f ca="1">IF('Simulador Bradesco'!D237&lt;&gt;Parâmetros!B224,VLOOKUP('Base de Dados'!F224,'Base de Dados'!$A$2:$B$64,2,FALSE),VLOOKUP(F224&amp;'Simulador Bradesco'!$I$13,$A$2:$B$600,2,FALSE))</f>
        <v>9.3590000000000003E-4</v>
      </c>
      <c r="H224" s="1">
        <f ca="1">Simulador!A255</f>
        <v>52922</v>
      </c>
      <c r="L224" s="1">
        <f ca="1">IF(Simulador!A254="",Simulador!$C$8,Simulador!A254)</f>
        <v>52891</v>
      </c>
      <c r="M224" s="4">
        <f ca="1">IF(Simulador!Q254="",0,Simulador!Q254*-1)</f>
        <v>-9092.2921498304058</v>
      </c>
    </row>
    <row r="225" spans="1:13" x14ac:dyDescent="0.3">
      <c r="A225" s="18" t="s">
        <v>322</v>
      </c>
      <c r="B225" s="165">
        <v>7.6000000000000004E-4</v>
      </c>
      <c r="D225" s="93">
        <f ca="1">Simulador!C256</f>
        <v>223</v>
      </c>
      <c r="E225" s="1">
        <f t="shared" ca="1" si="7"/>
        <v>52952</v>
      </c>
      <c r="F225" s="1">
        <f t="shared" ca="1" si="8"/>
        <v>55</v>
      </c>
      <c r="G225" s="124">
        <f ca="1">IF('Simulador Bradesco'!D238&lt;&gt;Parâmetros!B225,VLOOKUP('Base de Dados'!F225,'Base de Dados'!$A$2:$B$64,2,FALSE),VLOOKUP(F225&amp;'Simulador Bradesco'!$I$13,$A$2:$B$600,2,FALSE))</f>
        <v>9.3590000000000003E-4</v>
      </c>
      <c r="H225" s="1">
        <f ca="1">Simulador!A256</f>
        <v>52952</v>
      </c>
      <c r="L225" s="1">
        <f ca="1">IF(Simulador!A255="",Simulador!$C$8,Simulador!A255)</f>
        <v>52922</v>
      </c>
      <c r="M225" s="4">
        <f ca="1">IF(Simulador!Q255="",0,Simulador!Q255*-1)</f>
        <v>-9085.5408924881376</v>
      </c>
    </row>
    <row r="226" spans="1:13" x14ac:dyDescent="0.3">
      <c r="A226" s="18" t="s">
        <v>323</v>
      </c>
      <c r="B226" s="165">
        <v>7.6000000000000004E-4</v>
      </c>
      <c r="D226" s="93">
        <f ca="1">Simulador!C257</f>
        <v>224</v>
      </c>
      <c r="E226" s="1">
        <f t="shared" ca="1" si="7"/>
        <v>52983</v>
      </c>
      <c r="F226" s="1">
        <f t="shared" ca="1" si="8"/>
        <v>55</v>
      </c>
      <c r="G226" s="124">
        <f ca="1">IF('Simulador Bradesco'!D239&lt;&gt;Parâmetros!B226,VLOOKUP('Base de Dados'!F226,'Base de Dados'!$A$2:$B$64,2,FALSE),VLOOKUP(F226&amp;'Simulador Bradesco'!$I$13,$A$2:$B$600,2,FALSE))</f>
        <v>9.3590000000000003E-4</v>
      </c>
      <c r="H226" s="1">
        <f ca="1">Simulador!A257</f>
        <v>52983</v>
      </c>
      <c r="L226" s="1">
        <f ca="1">IF(Simulador!A256="",Simulador!$C$8,Simulador!A256)</f>
        <v>52952</v>
      </c>
      <c r="M226" s="4">
        <f ca="1">IF(Simulador!Q256="",0,Simulador!Q256*-1)</f>
        <v>-9078.7155639861558</v>
      </c>
    </row>
    <row r="227" spans="1:13" x14ac:dyDescent="0.3">
      <c r="A227" s="18" t="s">
        <v>324</v>
      </c>
      <c r="B227" s="165">
        <v>9.3590000000000003E-4</v>
      </c>
      <c r="D227" s="93">
        <f ca="1">Simulador!C258</f>
        <v>225</v>
      </c>
      <c r="E227" s="1">
        <f t="shared" ca="1" si="7"/>
        <v>53014</v>
      </c>
      <c r="F227" s="1">
        <f t="shared" ca="1" si="8"/>
        <v>55</v>
      </c>
      <c r="G227" s="124">
        <f ca="1">IF('Simulador Bradesco'!D240&lt;&gt;Parâmetros!B227,VLOOKUP('Base de Dados'!F227,'Base de Dados'!$A$2:$B$64,2,FALSE),VLOOKUP(F227&amp;'Simulador Bradesco'!$I$13,$A$2:$B$600,2,FALSE))</f>
        <v>9.3590000000000003E-4</v>
      </c>
      <c r="H227" s="1">
        <f ca="1">Simulador!A258</f>
        <v>53014</v>
      </c>
      <c r="L227" s="1">
        <f ca="1">IF(Simulador!A257="",Simulador!$C$8,Simulador!A257)</f>
        <v>52983</v>
      </c>
      <c r="M227" s="4">
        <f ca="1">IF(Simulador!Q257="",0,Simulador!Q257*-1)</f>
        <v>-9071.8153516555849</v>
      </c>
    </row>
    <row r="228" spans="1:13" x14ac:dyDescent="0.3">
      <c r="A228" s="18" t="s">
        <v>325</v>
      </c>
      <c r="B228" s="165">
        <v>9.3590000000000003E-4</v>
      </c>
      <c r="D228" s="93">
        <f ca="1">Simulador!C259</f>
        <v>226</v>
      </c>
      <c r="E228" s="1">
        <f t="shared" ca="1" si="7"/>
        <v>53042</v>
      </c>
      <c r="F228" s="1">
        <f t="shared" ca="1" si="8"/>
        <v>55</v>
      </c>
      <c r="G228" s="124">
        <f ca="1">IF('Simulador Bradesco'!D241&lt;&gt;Parâmetros!B228,VLOOKUP('Base de Dados'!F228,'Base de Dados'!$A$2:$B$64,2,FALSE),VLOOKUP(F228&amp;'Simulador Bradesco'!$I$13,$A$2:$B$600,2,FALSE))</f>
        <v>9.3590000000000003E-4</v>
      </c>
      <c r="H228" s="1">
        <f ca="1">Simulador!A259</f>
        <v>53042</v>
      </c>
      <c r="L228" s="1">
        <f ca="1">IF(Simulador!A258="",Simulador!$C$8,Simulador!A258)</f>
        <v>53014</v>
      </c>
      <c r="M228" s="4">
        <f ca="1">IF(Simulador!Q258="",0,Simulador!Q258*-1)</f>
        <v>-9064.8394339113856</v>
      </c>
    </row>
    <row r="229" spans="1:13" x14ac:dyDescent="0.3">
      <c r="A229" s="18" t="s">
        <v>326</v>
      </c>
      <c r="B229" s="165">
        <v>9.3590000000000003E-4</v>
      </c>
      <c r="D229" s="93">
        <f ca="1">Simulador!C260</f>
        <v>227</v>
      </c>
      <c r="E229" s="1">
        <f t="shared" ca="1" si="7"/>
        <v>53073</v>
      </c>
      <c r="F229" s="1">
        <f t="shared" ca="1" si="8"/>
        <v>55</v>
      </c>
      <c r="G229" s="124">
        <f ca="1">IF('Simulador Bradesco'!D242&lt;&gt;Parâmetros!B229,VLOOKUP('Base de Dados'!F229,'Base de Dados'!$A$2:$B$64,2,FALSE),VLOOKUP(F229&amp;'Simulador Bradesco'!$I$13,$A$2:$B$600,2,FALSE))</f>
        <v>9.3590000000000003E-4</v>
      </c>
      <c r="H229" s="1">
        <f ca="1">Simulador!A260</f>
        <v>53073</v>
      </c>
      <c r="L229" s="1">
        <f ca="1">IF(Simulador!A259="",Simulador!$C$8,Simulador!A259)</f>
        <v>53042</v>
      </c>
      <c r="M229" s="4">
        <f ca="1">IF(Simulador!Q259="",0,Simulador!Q259*-1)</f>
        <v>-9057.7869801545294</v>
      </c>
    </row>
    <row r="230" spans="1:13" x14ac:dyDescent="0.3">
      <c r="A230" s="18" t="s">
        <v>327</v>
      </c>
      <c r="B230" s="165">
        <v>1.1306000000000001E-3</v>
      </c>
      <c r="D230" s="93">
        <f ca="1">Simulador!C261</f>
        <v>228</v>
      </c>
      <c r="E230" s="1">
        <f t="shared" ca="1" si="7"/>
        <v>53103</v>
      </c>
      <c r="F230" s="1">
        <f t="shared" ca="1" si="8"/>
        <v>55</v>
      </c>
      <c r="G230" s="124">
        <f ca="1">IF('Simulador Bradesco'!D243&lt;&gt;Parâmetros!B230,VLOOKUP('Base de Dados'!F230,'Base de Dados'!$A$2:$B$64,2,FALSE),VLOOKUP(F230&amp;'Simulador Bradesco'!$I$13,$A$2:$B$600,2,FALSE))</f>
        <v>9.3590000000000003E-4</v>
      </c>
      <c r="H230" s="1">
        <f ca="1">Simulador!A261</f>
        <v>53103</v>
      </c>
      <c r="L230" s="1">
        <f ca="1">IF(Simulador!A260="",Simulador!$C$8,Simulador!A260)</f>
        <v>53073</v>
      </c>
      <c r="M230" s="4">
        <f ca="1">IF(Simulador!Q260="",0,Simulador!Q260*-1)</f>
        <v>-9050.6571506731052</v>
      </c>
    </row>
    <row r="231" spans="1:13" x14ac:dyDescent="0.3">
      <c r="A231" s="18" t="s">
        <v>328</v>
      </c>
      <c r="B231" s="165">
        <v>1.1306000000000001E-3</v>
      </c>
      <c r="D231" s="93">
        <f ca="1">Simulador!C262</f>
        <v>229</v>
      </c>
      <c r="E231" s="1">
        <f t="shared" ca="1" si="7"/>
        <v>53134</v>
      </c>
      <c r="F231" s="1">
        <f t="shared" ca="1" si="8"/>
        <v>55</v>
      </c>
      <c r="G231" s="124">
        <f ca="1">IF('Simulador Bradesco'!D244&lt;&gt;Parâmetros!B231,VLOOKUP('Base de Dados'!F231,'Base de Dados'!$A$2:$B$64,2,FALSE),VLOOKUP(F231&amp;'Simulador Bradesco'!$I$13,$A$2:$B$600,2,FALSE))</f>
        <v>9.3590000000000003E-4</v>
      </c>
      <c r="H231" s="1">
        <f ca="1">Simulador!A262</f>
        <v>53134</v>
      </c>
      <c r="L231" s="1">
        <f ca="1">IF(Simulador!A261="",Simulador!$C$8,Simulador!A261)</f>
        <v>53103</v>
      </c>
      <c r="M231" s="4">
        <f ca="1">IF(Simulador!Q261="",0,Simulador!Q261*-1)</f>
        <v>-9043.4490965423338</v>
      </c>
    </row>
    <row r="232" spans="1:13" x14ac:dyDescent="0.3">
      <c r="A232" s="18" t="s">
        <v>329</v>
      </c>
      <c r="B232" s="165">
        <v>1.1306000000000001E-3</v>
      </c>
      <c r="D232" s="93">
        <f ca="1">Simulador!C263</f>
        <v>230</v>
      </c>
      <c r="E232" s="1">
        <f t="shared" ca="1" si="7"/>
        <v>53164</v>
      </c>
      <c r="F232" s="1">
        <f t="shared" ca="1" si="8"/>
        <v>55</v>
      </c>
      <c r="G232" s="124">
        <f ca="1">IF('Simulador Bradesco'!D245&lt;&gt;Parâmetros!B232,VLOOKUP('Base de Dados'!F232,'Base de Dados'!$A$2:$B$64,2,FALSE),VLOOKUP(F232&amp;'Simulador Bradesco'!$I$13,$A$2:$B$600,2,FALSE))</f>
        <v>9.3590000000000003E-4</v>
      </c>
      <c r="H232" s="1">
        <f ca="1">Simulador!A263</f>
        <v>53164</v>
      </c>
      <c r="L232" s="1">
        <f ca="1">IF(Simulador!A262="",Simulador!$C$8,Simulador!A262)</f>
        <v>53134</v>
      </c>
      <c r="M232" s="4">
        <f ca="1">IF(Simulador!Q262="",0,Simulador!Q262*-1)</f>
        <v>-9036.1619595234861</v>
      </c>
    </row>
    <row r="233" spans="1:13" x14ac:dyDescent="0.3">
      <c r="A233" s="18" t="s">
        <v>330</v>
      </c>
      <c r="B233" s="165">
        <v>1.3822000000000001E-3</v>
      </c>
      <c r="D233" s="93">
        <f ca="1">Simulador!C264</f>
        <v>231</v>
      </c>
      <c r="E233" s="1">
        <f t="shared" ca="1" si="7"/>
        <v>53195</v>
      </c>
      <c r="F233" s="1">
        <f t="shared" ca="1" si="8"/>
        <v>55</v>
      </c>
      <c r="G233" s="124">
        <f ca="1">IF('Simulador Bradesco'!D246&lt;&gt;Parâmetros!B233,VLOOKUP('Base de Dados'!F233,'Base de Dados'!$A$2:$B$64,2,FALSE),VLOOKUP(F233&amp;'Simulador Bradesco'!$I$13,$A$2:$B$600,2,FALSE))</f>
        <v>9.3590000000000003E-4</v>
      </c>
      <c r="H233" s="1">
        <f ca="1">Simulador!A264</f>
        <v>53195</v>
      </c>
      <c r="L233" s="1">
        <f ca="1">IF(Simulador!A263="",Simulador!$C$8,Simulador!A263)</f>
        <v>53164</v>
      </c>
      <c r="M233" s="4">
        <f ca="1">IF(Simulador!Q263="",0,Simulador!Q263*-1)</f>
        <v>-9028.794871961707</v>
      </c>
    </row>
    <row r="234" spans="1:13" x14ac:dyDescent="0.3">
      <c r="A234" s="18" t="s">
        <v>331</v>
      </c>
      <c r="B234" s="165">
        <v>1.3822000000000001E-3</v>
      </c>
      <c r="D234" s="93">
        <f ca="1">Simulador!C265</f>
        <v>232</v>
      </c>
      <c r="E234" s="1">
        <f t="shared" ca="1" si="7"/>
        <v>53226</v>
      </c>
      <c r="F234" s="1">
        <f t="shared" ca="1" si="8"/>
        <v>56</v>
      </c>
      <c r="G234" s="124">
        <f ca="1">IF('Simulador Bradesco'!D247&lt;&gt;Parâmetros!B234,VLOOKUP('Base de Dados'!F234,'Base de Dados'!$A$2:$B$64,2,FALSE),VLOOKUP(F234&amp;'Simulador Bradesco'!$I$13,$A$2:$B$600,2,FALSE))</f>
        <v>9.3590000000000003E-4</v>
      </c>
      <c r="H234" s="1">
        <f ca="1">Simulador!A265</f>
        <v>53226</v>
      </c>
      <c r="L234" s="1">
        <f ca="1">IF(Simulador!A264="",Simulador!$C$8,Simulador!A264)</f>
        <v>53195</v>
      </c>
      <c r="M234" s="4">
        <f ca="1">IF(Simulador!Q264="",0,Simulador!Q264*-1)</f>
        <v>-9021.3469566826952</v>
      </c>
    </row>
    <row r="235" spans="1:13" x14ac:dyDescent="0.3">
      <c r="A235" s="18" t="s">
        <v>332</v>
      </c>
      <c r="B235" s="165">
        <v>1.3822000000000001E-3</v>
      </c>
      <c r="D235" s="93">
        <f ca="1">Simulador!C266</f>
        <v>233</v>
      </c>
      <c r="E235" s="1">
        <f t="shared" ca="1" si="7"/>
        <v>53256</v>
      </c>
      <c r="F235" s="1">
        <f t="shared" ca="1" si="8"/>
        <v>56</v>
      </c>
      <c r="G235" s="124">
        <f ca="1">IF('Simulador Bradesco'!D248&lt;&gt;Parâmetros!B235,VLOOKUP('Base de Dados'!F235,'Base de Dados'!$A$2:$B$64,2,FALSE),VLOOKUP(F235&amp;'Simulador Bradesco'!$I$13,$A$2:$B$600,2,FALSE))</f>
        <v>9.3590000000000003E-4</v>
      </c>
      <c r="H235" s="1">
        <f ca="1">Simulador!A266</f>
        <v>53256</v>
      </c>
      <c r="L235" s="1">
        <f ca="1">IF(Simulador!A265="",Simulador!$C$8,Simulador!A265)</f>
        <v>53226</v>
      </c>
      <c r="M235" s="4">
        <f ca="1">IF(Simulador!Q265="",0,Simulador!Q265*-1)</f>
        <v>-9013.8173268882674</v>
      </c>
    </row>
    <row r="236" spans="1:13" x14ac:dyDescent="0.3">
      <c r="A236" s="18" t="s">
        <v>333</v>
      </c>
      <c r="B236" s="165">
        <v>1.7815999999999999E-3</v>
      </c>
      <c r="D236" s="93">
        <f ca="1">Simulador!C267</f>
        <v>234</v>
      </c>
      <c r="E236" s="1">
        <f t="shared" ca="1" si="7"/>
        <v>53287</v>
      </c>
      <c r="F236" s="1">
        <f t="shared" ca="1" si="8"/>
        <v>56</v>
      </c>
      <c r="G236" s="124">
        <f ca="1">IF('Simulador Bradesco'!D249&lt;&gt;Parâmetros!B236,VLOOKUP('Base de Dados'!F236,'Base de Dados'!$A$2:$B$64,2,FALSE),VLOOKUP(F236&amp;'Simulador Bradesco'!$I$13,$A$2:$B$600,2,FALSE))</f>
        <v>9.3590000000000003E-4</v>
      </c>
      <c r="H236" s="1">
        <f ca="1">Simulador!A267</f>
        <v>53287</v>
      </c>
      <c r="L236" s="1">
        <f ca="1">IF(Simulador!A266="",Simulador!$C$8,Simulador!A266)</f>
        <v>53256</v>
      </c>
      <c r="M236" s="4">
        <f ca="1">IF(Simulador!Q266="",0,Simulador!Q266*-1)</f>
        <v>-9006.2050860507643</v>
      </c>
    </row>
    <row r="237" spans="1:13" x14ac:dyDescent="0.3">
      <c r="A237" s="18" t="s">
        <v>334</v>
      </c>
      <c r="B237" s="165">
        <v>1.7815999999999999E-3</v>
      </c>
      <c r="D237" s="93">
        <f ca="1">Simulador!C268</f>
        <v>235</v>
      </c>
      <c r="E237" s="1">
        <f t="shared" ca="1" si="7"/>
        <v>53317</v>
      </c>
      <c r="F237" s="1">
        <f t="shared" ca="1" si="8"/>
        <v>56</v>
      </c>
      <c r="G237" s="124">
        <f ca="1">IF('Simulador Bradesco'!D250&lt;&gt;Parâmetros!B237,VLOOKUP('Base de Dados'!F237,'Base de Dados'!$A$2:$B$64,2,FALSE),VLOOKUP(F237&amp;'Simulador Bradesco'!$I$13,$A$2:$B$600,2,FALSE))</f>
        <v>9.3590000000000003E-4</v>
      </c>
      <c r="H237" s="1">
        <f ca="1">Simulador!A268</f>
        <v>53317</v>
      </c>
      <c r="L237" s="1">
        <f ca="1">IF(Simulador!A267="",Simulador!$C$8,Simulador!A267)</f>
        <v>53287</v>
      </c>
      <c r="M237" s="4">
        <f ca="1">IF(Simulador!Q267="",0,Simulador!Q267*-1)</f>
        <v>-8998.5093278063159</v>
      </c>
    </row>
    <row r="238" spans="1:13" x14ac:dyDescent="0.3">
      <c r="A238" s="18" t="s">
        <v>335</v>
      </c>
      <c r="B238" s="165">
        <v>1.7815999999999999E-3</v>
      </c>
      <c r="D238" s="93">
        <f ca="1">Simulador!C269</f>
        <v>236</v>
      </c>
      <c r="E238" s="1">
        <f t="shared" ca="1" si="7"/>
        <v>53348</v>
      </c>
      <c r="F238" s="1">
        <f t="shared" ca="1" si="8"/>
        <v>56</v>
      </c>
      <c r="G238" s="124">
        <f ca="1">IF('Simulador Bradesco'!D251&lt;&gt;Parâmetros!B238,VLOOKUP('Base de Dados'!F238,'Base de Dados'!$A$2:$B$64,2,FALSE),VLOOKUP(F238&amp;'Simulador Bradesco'!$I$13,$A$2:$B$600,2,FALSE))</f>
        <v>9.3590000000000003E-4</v>
      </c>
      <c r="H238" s="1">
        <f ca="1">Simulador!A269</f>
        <v>53348</v>
      </c>
      <c r="L238" s="1">
        <f ca="1">IF(Simulador!A268="",Simulador!$C$8,Simulador!A268)</f>
        <v>53317</v>
      </c>
      <c r="M238" s="4">
        <f ca="1">IF(Simulador!Q268="",0,Simulador!Q268*-1)</f>
        <v>-8990.7291358469065</v>
      </c>
    </row>
    <row r="239" spans="1:13" x14ac:dyDescent="0.3">
      <c r="A239" s="18" t="s">
        <v>336</v>
      </c>
      <c r="B239" s="165">
        <v>2.2041000000000001E-3</v>
      </c>
      <c r="D239" s="93">
        <f ca="1">Simulador!C270</f>
        <v>237</v>
      </c>
      <c r="E239" s="1">
        <f t="shared" ca="1" si="7"/>
        <v>53379</v>
      </c>
      <c r="F239" s="1">
        <f t="shared" ca="1" si="8"/>
        <v>56</v>
      </c>
      <c r="G239" s="124">
        <f ca="1">IF('Simulador Bradesco'!D252&lt;&gt;Parâmetros!B239,VLOOKUP('Base de Dados'!F239,'Base de Dados'!$A$2:$B$64,2,FALSE),VLOOKUP(F239&amp;'Simulador Bradesco'!$I$13,$A$2:$B$600,2,FALSE))</f>
        <v>9.3590000000000003E-4</v>
      </c>
      <c r="H239" s="1">
        <f ca="1">Simulador!A270</f>
        <v>53379</v>
      </c>
      <c r="L239" s="1">
        <f ca="1">IF(Simulador!A269="",Simulador!$C$8,Simulador!A269)</f>
        <v>53348</v>
      </c>
      <c r="M239" s="4">
        <f ca="1">IF(Simulador!Q269="",0,Simulador!Q269*-1)</f>
        <v>-8982.8635838112878</v>
      </c>
    </row>
    <row r="240" spans="1:13" x14ac:dyDescent="0.3">
      <c r="A240" s="18" t="s">
        <v>337</v>
      </c>
      <c r="B240" s="165">
        <v>2.2041000000000001E-3</v>
      </c>
      <c r="D240" s="93">
        <f ca="1">Simulador!C271</f>
        <v>238</v>
      </c>
      <c r="E240" s="1">
        <f t="shared" ca="1" si="7"/>
        <v>53407</v>
      </c>
      <c r="F240" s="1">
        <f t="shared" ca="1" si="8"/>
        <v>56</v>
      </c>
      <c r="G240" s="124">
        <f ca="1">IF('Simulador Bradesco'!D253&lt;&gt;Parâmetros!B240,VLOOKUP('Base de Dados'!F240,'Base de Dados'!$A$2:$B$64,2,FALSE),VLOOKUP(F240&amp;'Simulador Bradesco'!$I$13,$A$2:$B$600,2,FALSE))</f>
        <v>9.3590000000000003E-4</v>
      </c>
      <c r="H240" s="1">
        <f ca="1">Simulador!A271</f>
        <v>53407</v>
      </c>
      <c r="L240" s="1">
        <f ca="1">IF(Simulador!A270="",Simulador!$C$8,Simulador!A270)</f>
        <v>53379</v>
      </c>
      <c r="M240" s="4">
        <f ca="1">IF(Simulador!Q270="",0,Simulador!Q270*-1)</f>
        <v>-8974.9117351746754</v>
      </c>
    </row>
    <row r="241" spans="1:13" x14ac:dyDescent="0.3">
      <c r="A241" s="18" t="s">
        <v>338</v>
      </c>
      <c r="B241" s="165">
        <v>2.2041000000000001E-3</v>
      </c>
      <c r="D241" s="93">
        <f ca="1">Simulador!C272</f>
        <v>239</v>
      </c>
      <c r="E241" s="1">
        <f t="shared" ca="1" si="7"/>
        <v>53438</v>
      </c>
      <c r="F241" s="1">
        <f t="shared" ca="1" si="8"/>
        <v>56</v>
      </c>
      <c r="G241" s="124">
        <f ca="1">IF('Simulador Bradesco'!D254&lt;&gt;Parâmetros!B241,VLOOKUP('Base de Dados'!F241,'Base de Dados'!$A$2:$B$64,2,FALSE),VLOOKUP(F241&amp;'Simulador Bradesco'!$I$13,$A$2:$B$600,2,FALSE))</f>
        <v>9.3590000000000003E-4</v>
      </c>
      <c r="H241" s="1">
        <f ca="1">Simulador!A272</f>
        <v>53438</v>
      </c>
      <c r="L241" s="1">
        <f ca="1">IF(Simulador!A271="",Simulador!$C$8,Simulador!A271)</f>
        <v>53407</v>
      </c>
      <c r="M241" s="4">
        <f ca="1">IF(Simulador!Q271="",0,Simulador!Q271*-1)</f>
        <v>-8966.8726431372361</v>
      </c>
    </row>
    <row r="242" spans="1:13" x14ac:dyDescent="0.3">
      <c r="A242" s="18" t="s">
        <v>339</v>
      </c>
      <c r="B242" s="165">
        <v>2.983E-3</v>
      </c>
      <c r="D242" s="93">
        <f ca="1">Simulador!C273</f>
        <v>240</v>
      </c>
      <c r="E242" s="1">
        <f t="shared" ca="1" si="7"/>
        <v>53468</v>
      </c>
      <c r="F242" s="1">
        <f t="shared" ca="1" si="8"/>
        <v>56</v>
      </c>
      <c r="G242" s="124">
        <f ca="1">IF('Simulador Bradesco'!D255&lt;&gt;Parâmetros!B242,VLOOKUP('Base de Dados'!F242,'Base de Dados'!$A$2:$B$64,2,FALSE),VLOOKUP(F242&amp;'Simulador Bradesco'!$I$13,$A$2:$B$600,2,FALSE))</f>
        <v>9.3590000000000003E-4</v>
      </c>
      <c r="H242" s="1">
        <f ca="1">Simulador!A273</f>
        <v>53468</v>
      </c>
      <c r="L242" s="1">
        <f ca="1">IF(Simulador!A272="",Simulador!$C$8,Simulador!A272)</f>
        <v>53438</v>
      </c>
      <c r="M242" s="4">
        <f ca="1">IF(Simulador!Q272="",0,Simulador!Q272*-1)</f>
        <v>-8958.745350511359</v>
      </c>
    </row>
    <row r="243" spans="1:13" x14ac:dyDescent="0.3">
      <c r="A243" s="18" t="s">
        <v>340</v>
      </c>
      <c r="B243" s="165">
        <v>2.983E-3</v>
      </c>
      <c r="D243" s="93" t="str">
        <f ca="1">Simulador!C274</f>
        <v/>
      </c>
      <c r="E243" s="1" t="str">
        <f t="shared" ca="1" si="7"/>
        <v/>
      </c>
      <c r="F243" s="1" t="e">
        <f t="shared" ca="1" si="8"/>
        <v>#VALUE!</v>
      </c>
      <c r="G243" s="124" t="e">
        <f ca="1">IF('Simulador Bradesco'!D256&lt;&gt;Parâmetros!B243,VLOOKUP('Base de Dados'!F243,'Base de Dados'!$A$2:$B$64,2,FALSE),VLOOKUP(F243&amp;'Simulador Bradesco'!$I$13,$A$2:$B$600,2,FALSE))</f>
        <v>#VALUE!</v>
      </c>
      <c r="H243" s="1" t="str">
        <f ca="1">Simulador!A274</f>
        <v/>
      </c>
      <c r="L243" s="1">
        <f ca="1">IF(Simulador!A273="",Simulador!$C$8,Simulador!A273)</f>
        <v>53468</v>
      </c>
      <c r="M243" s="4">
        <f ca="1">IF(Simulador!Q273="",0,Simulador!Q273*-1)</f>
        <v>-8875.5288896076909</v>
      </c>
    </row>
    <row r="244" spans="1:13" x14ac:dyDescent="0.3">
      <c r="A244" s="18" t="s">
        <v>341</v>
      </c>
      <c r="B244" s="165">
        <v>2.983E-3</v>
      </c>
      <c r="D244" s="93" t="str">
        <f ca="1">Simulador!C275</f>
        <v/>
      </c>
      <c r="E244" s="1" t="str">
        <f t="shared" ca="1" si="7"/>
        <v/>
      </c>
      <c r="F244" s="1" t="e">
        <f t="shared" ca="1" si="8"/>
        <v>#VALUE!</v>
      </c>
      <c r="G244" s="124" t="e">
        <f ca="1">IF('Simulador Bradesco'!D257&lt;&gt;Parâmetros!B244,VLOOKUP('Base de Dados'!F244,'Base de Dados'!$A$2:$B$64,2,FALSE),VLOOKUP(F244&amp;'Simulador Bradesco'!$I$13,$A$2:$B$600,2,FALSE))</f>
        <v>#VALUE!</v>
      </c>
      <c r="H244" s="1" t="str">
        <f ca="1">Simulador!A275</f>
        <v/>
      </c>
      <c r="L244" s="1">
        <f ca="1">IF(Simulador!A274="",Simulador!$C$8,Simulador!A274)</f>
        <v>46163</v>
      </c>
      <c r="M244" s="4">
        <f ca="1">IF(Simulador!Q274="",0,Simulador!Q274*-1)</f>
        <v>0</v>
      </c>
    </row>
    <row r="245" spans="1:13" x14ac:dyDescent="0.3">
      <c r="A245" s="18" t="s">
        <v>342</v>
      </c>
      <c r="B245" s="165">
        <v>4.0109000000000004E-3</v>
      </c>
      <c r="D245" s="93" t="str">
        <f ca="1">Simulador!C276</f>
        <v/>
      </c>
      <c r="E245" s="1" t="str">
        <f t="shared" ca="1" si="7"/>
        <v/>
      </c>
      <c r="F245" s="1" t="e">
        <f t="shared" ca="1" si="8"/>
        <v>#VALUE!</v>
      </c>
      <c r="G245" s="124" t="e">
        <f ca="1">IF('Simulador Bradesco'!D258&lt;&gt;Parâmetros!B245,VLOOKUP('Base de Dados'!F245,'Base de Dados'!$A$2:$B$64,2,FALSE),VLOOKUP(F245&amp;'Simulador Bradesco'!$I$13,$A$2:$B$600,2,FALSE))</f>
        <v>#VALUE!</v>
      </c>
      <c r="H245" s="1" t="str">
        <f ca="1">Simulador!A276</f>
        <v/>
      </c>
      <c r="L245" s="1">
        <f ca="1">IF(Simulador!A275="",Simulador!$C$8,Simulador!A275)</f>
        <v>46163</v>
      </c>
      <c r="M245" s="4">
        <f ca="1">IF(Simulador!Q275="",0,Simulador!Q275*-1)</f>
        <v>0</v>
      </c>
    </row>
    <row r="246" spans="1:13" x14ac:dyDescent="0.3">
      <c r="A246" s="18" t="s">
        <v>343</v>
      </c>
      <c r="B246" s="165">
        <v>4.0109000000000004E-3</v>
      </c>
      <c r="D246" s="93" t="str">
        <f ca="1">Simulador!C277</f>
        <v/>
      </c>
      <c r="E246" s="1" t="str">
        <f t="shared" ca="1" si="7"/>
        <v/>
      </c>
      <c r="F246" s="1" t="e">
        <f t="shared" ca="1" si="8"/>
        <v>#VALUE!</v>
      </c>
      <c r="G246" s="124" t="e">
        <f ca="1">IF('Simulador Bradesco'!D259&lt;&gt;Parâmetros!B246,VLOOKUP('Base de Dados'!F246,'Base de Dados'!$A$2:$B$64,2,FALSE),VLOOKUP(F246&amp;'Simulador Bradesco'!$I$13,$A$2:$B$600,2,FALSE))</f>
        <v>#VALUE!</v>
      </c>
      <c r="H246" s="1" t="str">
        <f ca="1">Simulador!A277</f>
        <v/>
      </c>
      <c r="L246" s="1">
        <f ca="1">IF(Simulador!A276="",Simulador!$C$8,Simulador!A276)</f>
        <v>46163</v>
      </c>
      <c r="M246" s="4">
        <f ca="1">IF(Simulador!Q276="",0,Simulador!Q276*-1)</f>
        <v>0</v>
      </c>
    </row>
    <row r="247" spans="1:13" x14ac:dyDescent="0.3">
      <c r="A247" s="18" t="s">
        <v>344</v>
      </c>
      <c r="B247" s="165">
        <v>4.0109000000000004E-3</v>
      </c>
      <c r="D247" s="93" t="str">
        <f ca="1">Simulador!C278</f>
        <v/>
      </c>
      <c r="E247" s="1" t="str">
        <f t="shared" ca="1" si="7"/>
        <v/>
      </c>
      <c r="F247" s="1" t="e">
        <f t="shared" ca="1" si="8"/>
        <v>#VALUE!</v>
      </c>
      <c r="G247" s="124" t="e">
        <f ca="1">IF('Simulador Bradesco'!D260&lt;&gt;Parâmetros!B247,VLOOKUP('Base de Dados'!F247,'Base de Dados'!$A$2:$B$64,2,FALSE),VLOOKUP(F247&amp;'Simulador Bradesco'!$I$13,$A$2:$B$600,2,FALSE))</f>
        <v>#VALUE!</v>
      </c>
      <c r="H247" s="1" t="str">
        <f ca="1">Simulador!A278</f>
        <v/>
      </c>
      <c r="L247" s="1">
        <f ca="1">IF(Simulador!A277="",Simulador!$C$8,Simulador!A277)</f>
        <v>46163</v>
      </c>
      <c r="M247" s="4">
        <f ca="1">IF(Simulador!Q277="",0,Simulador!Q277*-1)</f>
        <v>0</v>
      </c>
    </row>
    <row r="248" spans="1:13" x14ac:dyDescent="0.3">
      <c r="A248" s="18" t="s">
        <v>345</v>
      </c>
      <c r="B248" s="165">
        <v>7.1247999999999997E-3</v>
      </c>
      <c r="D248" s="93" t="str">
        <f ca="1">Simulador!C279</f>
        <v/>
      </c>
      <c r="E248" s="1" t="str">
        <f t="shared" ca="1" si="7"/>
        <v/>
      </c>
      <c r="F248" s="1" t="e">
        <f t="shared" ca="1" si="8"/>
        <v>#VALUE!</v>
      </c>
      <c r="G248" s="124" t="e">
        <f ca="1">IF('Simulador Bradesco'!D261&lt;&gt;Parâmetros!B248,VLOOKUP('Base de Dados'!F248,'Base de Dados'!$A$2:$B$64,2,FALSE),VLOOKUP(F248&amp;'Simulador Bradesco'!$I$13,$A$2:$B$600,2,FALSE))</f>
        <v>#VALUE!</v>
      </c>
      <c r="H248" s="1" t="str">
        <f ca="1">Simulador!A279</f>
        <v/>
      </c>
      <c r="L248" s="1">
        <f ca="1">IF(Simulador!A278="",Simulador!$C$8,Simulador!A278)</f>
        <v>46163</v>
      </c>
      <c r="M248" s="4">
        <f ca="1">IF(Simulador!Q278="",0,Simulador!Q278*-1)</f>
        <v>0</v>
      </c>
    </row>
    <row r="249" spans="1:13" x14ac:dyDescent="0.3">
      <c r="A249" s="18" t="s">
        <v>346</v>
      </c>
      <c r="B249" s="165">
        <v>7.1247999999999997E-3</v>
      </c>
      <c r="D249" s="93" t="str">
        <f ca="1">Simulador!C280</f>
        <v/>
      </c>
      <c r="E249" s="1" t="str">
        <f t="shared" ca="1" si="7"/>
        <v/>
      </c>
      <c r="F249" s="1" t="e">
        <f t="shared" ca="1" si="8"/>
        <v>#VALUE!</v>
      </c>
      <c r="G249" s="124" t="e">
        <f ca="1">IF('Simulador Bradesco'!D262&lt;&gt;Parâmetros!B249,VLOOKUP('Base de Dados'!F249,'Base de Dados'!$A$2:$B$64,2,FALSE),VLOOKUP(F249&amp;'Simulador Bradesco'!$I$13,$A$2:$B$600,2,FALSE))</f>
        <v>#VALUE!</v>
      </c>
      <c r="H249" s="1" t="str">
        <f ca="1">Simulador!A280</f>
        <v/>
      </c>
      <c r="L249" s="1">
        <f ca="1">IF(Simulador!A279="",Simulador!$C$8,Simulador!A279)</f>
        <v>46163</v>
      </c>
      <c r="M249" s="4">
        <f ca="1">IF(Simulador!Q279="",0,Simulador!Q279*-1)</f>
        <v>0</v>
      </c>
    </row>
    <row r="250" spans="1:13" x14ac:dyDescent="0.3">
      <c r="A250" s="18" t="s">
        <v>347</v>
      </c>
      <c r="B250" s="165">
        <v>7.1247999999999997E-3</v>
      </c>
      <c r="D250" s="93" t="str">
        <f ca="1">Simulador!C281</f>
        <v/>
      </c>
      <c r="E250" s="1" t="str">
        <f t="shared" ca="1" si="7"/>
        <v/>
      </c>
      <c r="F250" s="1" t="e">
        <f t="shared" ca="1" si="8"/>
        <v>#VALUE!</v>
      </c>
      <c r="G250" s="124" t="e">
        <f ca="1">IF('Simulador Bradesco'!D263&lt;&gt;Parâmetros!B250,VLOOKUP('Base de Dados'!F250,'Base de Dados'!$A$2:$B$64,2,FALSE),VLOOKUP(F250&amp;'Simulador Bradesco'!$I$13,$A$2:$B$600,2,FALSE))</f>
        <v>#VALUE!</v>
      </c>
      <c r="H250" s="1" t="str">
        <f ca="1">Simulador!A281</f>
        <v/>
      </c>
      <c r="L250" s="1">
        <f ca="1">IF(Simulador!A280="",Simulador!$C$8,Simulador!A280)</f>
        <v>46163</v>
      </c>
      <c r="M250" s="4">
        <f ca="1">IF(Simulador!Q280="",0,Simulador!Q280*-1)</f>
        <v>0</v>
      </c>
    </row>
    <row r="251" spans="1:13" x14ac:dyDescent="0.3">
      <c r="A251" s="18" t="s">
        <v>348</v>
      </c>
      <c r="B251" s="165">
        <v>9.5271999999999996E-3</v>
      </c>
      <c r="D251" s="93" t="str">
        <f ca="1">Simulador!C282</f>
        <v/>
      </c>
      <c r="E251" s="1" t="str">
        <f t="shared" ca="1" si="7"/>
        <v/>
      </c>
      <c r="F251" s="1" t="e">
        <f t="shared" ca="1" si="8"/>
        <v>#VALUE!</v>
      </c>
      <c r="G251" s="124" t="e">
        <f ca="1">IF('Simulador Bradesco'!D264&lt;&gt;Parâmetros!B251,VLOOKUP('Base de Dados'!F251,'Base de Dados'!$A$2:$B$64,2,FALSE),VLOOKUP(F251&amp;'Simulador Bradesco'!$I$13,$A$2:$B$600,2,FALSE))</f>
        <v>#VALUE!</v>
      </c>
      <c r="H251" s="1" t="str">
        <f ca="1">Simulador!A282</f>
        <v/>
      </c>
      <c r="L251" s="1">
        <f ca="1">IF(Simulador!A281="",Simulador!$C$8,Simulador!A281)</f>
        <v>46163</v>
      </c>
      <c r="M251" s="4">
        <f ca="1">IF(Simulador!Q281="",0,Simulador!Q281*-1)</f>
        <v>0</v>
      </c>
    </row>
    <row r="252" spans="1:13" x14ac:dyDescent="0.3">
      <c r="A252" s="18" t="s">
        <v>349</v>
      </c>
      <c r="B252" s="165">
        <v>9.5271999999999996E-3</v>
      </c>
      <c r="D252" s="93" t="str">
        <f ca="1">Simulador!C283</f>
        <v/>
      </c>
      <c r="E252" s="1" t="str">
        <f t="shared" ca="1" si="7"/>
        <v/>
      </c>
      <c r="F252" s="1" t="e">
        <f t="shared" ca="1" si="8"/>
        <v>#VALUE!</v>
      </c>
      <c r="G252" s="124" t="e">
        <f ca="1">IF('Simulador Bradesco'!D265&lt;&gt;Parâmetros!B252,VLOOKUP('Base de Dados'!F252,'Base de Dados'!$A$2:$B$64,2,FALSE),VLOOKUP(F252&amp;'Simulador Bradesco'!$I$13,$A$2:$B$600,2,FALSE))</f>
        <v>#VALUE!</v>
      </c>
      <c r="H252" s="1" t="str">
        <f ca="1">Simulador!A283</f>
        <v/>
      </c>
      <c r="L252" s="1">
        <f ca="1">IF(Simulador!A282="",Simulador!$C$8,Simulador!A282)</f>
        <v>46163</v>
      </c>
      <c r="M252" s="4">
        <f ca="1">IF(Simulador!Q282="",0,Simulador!Q282*-1)</f>
        <v>0</v>
      </c>
    </row>
    <row r="253" spans="1:13" x14ac:dyDescent="0.3">
      <c r="A253" s="18" t="s">
        <v>350</v>
      </c>
      <c r="B253" s="165">
        <v>9.5271999999999996E-3</v>
      </c>
      <c r="D253" s="93" t="str">
        <f ca="1">Simulador!C284</f>
        <v/>
      </c>
      <c r="E253" s="1" t="str">
        <f t="shared" ca="1" si="7"/>
        <v/>
      </c>
      <c r="F253" s="1" t="e">
        <f t="shared" ca="1" si="8"/>
        <v>#VALUE!</v>
      </c>
      <c r="G253" s="124" t="e">
        <f ca="1">IF('Simulador Bradesco'!D266&lt;&gt;Parâmetros!B253,VLOOKUP('Base de Dados'!F253,'Base de Dados'!$A$2:$B$64,2,FALSE),VLOOKUP(F253&amp;'Simulador Bradesco'!$I$13,$A$2:$B$600,2,FALSE))</f>
        <v>#VALUE!</v>
      </c>
      <c r="H253" s="1" t="str">
        <f ca="1">Simulador!A284</f>
        <v/>
      </c>
      <c r="L253" s="1">
        <f ca="1">IF(Simulador!A283="",Simulador!$C$8,Simulador!A283)</f>
        <v>46163</v>
      </c>
      <c r="M253" s="4">
        <f ca="1">IF(Simulador!Q283="",0,Simulador!Q283*-1)</f>
        <v>0</v>
      </c>
    </row>
    <row r="254" spans="1:13" x14ac:dyDescent="0.3">
      <c r="A254" t="s">
        <v>152</v>
      </c>
      <c r="B254" s="165">
        <v>0</v>
      </c>
      <c r="D254" s="93" t="str">
        <f ca="1">Simulador!C285</f>
        <v/>
      </c>
      <c r="E254" s="1" t="str">
        <f t="shared" ca="1" si="7"/>
        <v/>
      </c>
      <c r="F254" s="1" t="e">
        <f t="shared" ca="1" si="8"/>
        <v>#VALUE!</v>
      </c>
      <c r="G254" s="124" t="e">
        <f ca="1">IF('Simulador Bradesco'!D267&lt;&gt;Parâmetros!B254,VLOOKUP('Base de Dados'!F254,'Base de Dados'!$A$2:$B$64,2,FALSE),VLOOKUP(F254&amp;'Simulador Bradesco'!$I$13,$A$2:$B$600,2,FALSE))</f>
        <v>#VALUE!</v>
      </c>
      <c r="H254" s="1" t="str">
        <f ca="1">Simulador!A285</f>
        <v/>
      </c>
      <c r="L254" s="1">
        <f ca="1">IF(Simulador!A284="",Simulador!$C$8,Simulador!A284)</f>
        <v>46163</v>
      </c>
      <c r="M254" s="4">
        <f ca="1">IF(Simulador!Q284="",0,Simulador!Q284*-1)</f>
        <v>0</v>
      </c>
    </row>
    <row r="255" spans="1:13" x14ac:dyDescent="0.3">
      <c r="A255" t="s">
        <v>152</v>
      </c>
      <c r="B255" s="165">
        <v>0</v>
      </c>
      <c r="D255" s="93" t="str">
        <f ca="1">Simulador!C286</f>
        <v/>
      </c>
      <c r="E255" s="1" t="str">
        <f t="shared" ca="1" si="7"/>
        <v/>
      </c>
      <c r="F255" s="1" t="e">
        <f t="shared" ca="1" si="8"/>
        <v>#VALUE!</v>
      </c>
      <c r="G255" s="124" t="e">
        <f ca="1">IF('Simulador Bradesco'!D268&lt;&gt;Parâmetros!B255,VLOOKUP('Base de Dados'!F255,'Base de Dados'!$A$2:$B$64,2,FALSE),VLOOKUP(F255&amp;'Simulador Bradesco'!$I$13,$A$2:$B$600,2,FALSE))</f>
        <v>#VALUE!</v>
      </c>
      <c r="H255" s="1" t="str">
        <f ca="1">Simulador!A286</f>
        <v/>
      </c>
      <c r="L255" s="1">
        <f ca="1">IF(Simulador!A285="",Simulador!$C$8,Simulador!A285)</f>
        <v>46163</v>
      </c>
      <c r="M255" s="4">
        <f ca="1">IF(Simulador!Q285="",0,Simulador!Q285*-1)</f>
        <v>0</v>
      </c>
    </row>
    <row r="256" spans="1:13" x14ac:dyDescent="0.3">
      <c r="A256" t="s">
        <v>152</v>
      </c>
      <c r="B256" s="165">
        <v>0</v>
      </c>
      <c r="D256" s="93" t="str">
        <f ca="1">Simulador!C287</f>
        <v/>
      </c>
      <c r="E256" s="1" t="str">
        <f t="shared" ca="1" si="7"/>
        <v/>
      </c>
      <c r="F256" s="1" t="e">
        <f t="shared" ca="1" si="8"/>
        <v>#VALUE!</v>
      </c>
      <c r="G256" s="124" t="e">
        <f ca="1">IF('Simulador Bradesco'!D269&lt;&gt;Parâmetros!B256,VLOOKUP('Base de Dados'!F256,'Base de Dados'!$A$2:$B$64,2,FALSE),VLOOKUP(F256&amp;'Simulador Bradesco'!$I$13,$A$2:$B$600,2,FALSE))</f>
        <v>#VALUE!</v>
      </c>
      <c r="H256" s="1" t="str">
        <f ca="1">Simulador!A287</f>
        <v/>
      </c>
      <c r="L256" s="1">
        <f ca="1">IF(Simulador!A286="",Simulador!$C$8,Simulador!A286)</f>
        <v>46163</v>
      </c>
      <c r="M256" s="4">
        <f ca="1">IF(Simulador!Q286="",0,Simulador!Q286*-1)</f>
        <v>0</v>
      </c>
    </row>
    <row r="257" spans="1:13" x14ac:dyDescent="0.3">
      <c r="A257" t="s">
        <v>152</v>
      </c>
      <c r="B257" s="165">
        <v>0</v>
      </c>
      <c r="D257" s="93" t="str">
        <f ca="1">Simulador!C288</f>
        <v/>
      </c>
      <c r="E257" s="1" t="str">
        <f t="shared" ca="1" si="7"/>
        <v/>
      </c>
      <c r="F257" s="1" t="e">
        <f t="shared" ca="1" si="8"/>
        <v>#VALUE!</v>
      </c>
      <c r="G257" s="124" t="e">
        <f ca="1">IF('Simulador Bradesco'!D270&lt;&gt;Parâmetros!B257,VLOOKUP('Base de Dados'!F257,'Base de Dados'!$A$2:$B$64,2,FALSE),VLOOKUP(F257&amp;'Simulador Bradesco'!$I$13,$A$2:$B$600,2,FALSE))</f>
        <v>#VALUE!</v>
      </c>
      <c r="H257" s="1" t="str">
        <f ca="1">Simulador!A288</f>
        <v/>
      </c>
      <c r="L257" s="1">
        <f ca="1">IF(Simulador!A287="",Simulador!$C$8,Simulador!A287)</f>
        <v>46163</v>
      </c>
      <c r="M257" s="4">
        <f ca="1">IF(Simulador!Q287="",0,Simulador!Q287*-1)</f>
        <v>0</v>
      </c>
    </row>
    <row r="258" spans="1:13" x14ac:dyDescent="0.3">
      <c r="A258" t="s">
        <v>152</v>
      </c>
      <c r="B258" s="165">
        <v>0</v>
      </c>
      <c r="D258" s="93" t="str">
        <f ca="1">Simulador!C289</f>
        <v/>
      </c>
      <c r="E258" s="1" t="str">
        <f t="shared" ca="1" si="7"/>
        <v/>
      </c>
      <c r="F258" s="1" t="e">
        <f t="shared" ca="1" si="8"/>
        <v>#VALUE!</v>
      </c>
      <c r="G258" s="124" t="e">
        <f ca="1">IF('Simulador Bradesco'!D271&lt;&gt;Parâmetros!B258,VLOOKUP('Base de Dados'!F258,'Base de Dados'!$A$2:$B$64,2,FALSE),VLOOKUP(F258&amp;'Simulador Bradesco'!$I$13,$A$2:$B$600,2,FALSE))</f>
        <v>#VALUE!</v>
      </c>
      <c r="H258" s="1" t="str">
        <f ca="1">Simulador!A289</f>
        <v/>
      </c>
      <c r="L258" s="1">
        <f ca="1">IF(Simulador!A288="",Simulador!$C$8,Simulador!A288)</f>
        <v>46163</v>
      </c>
      <c r="M258" s="4">
        <f ca="1">IF(Simulador!Q288="",0,Simulador!Q288*-1)</f>
        <v>0</v>
      </c>
    </row>
    <row r="259" spans="1:13" x14ac:dyDescent="0.3">
      <c r="A259" t="s">
        <v>152</v>
      </c>
      <c r="B259" s="165">
        <v>0</v>
      </c>
      <c r="D259" s="93" t="str">
        <f ca="1">Simulador!C290</f>
        <v/>
      </c>
      <c r="E259" s="1" t="str">
        <f t="shared" ref="E259:E322" ca="1" si="9">H259</f>
        <v/>
      </c>
      <c r="F259" s="1" t="e">
        <f t="shared" ca="1" si="8"/>
        <v>#VALUE!</v>
      </c>
      <c r="G259" s="124" t="e">
        <f ca="1">IF('Simulador Bradesco'!D272&lt;&gt;Parâmetros!B259,VLOOKUP('Base de Dados'!F259,'Base de Dados'!$A$2:$B$64,2,FALSE),VLOOKUP(F259&amp;'Simulador Bradesco'!$I$13,$A$2:$B$600,2,FALSE))</f>
        <v>#VALUE!</v>
      </c>
      <c r="H259" s="1" t="str">
        <f ca="1">Simulador!A290</f>
        <v/>
      </c>
      <c r="L259" s="1">
        <f ca="1">IF(Simulador!A289="",Simulador!$C$8,Simulador!A289)</f>
        <v>46163</v>
      </c>
      <c r="M259" s="4">
        <f ca="1">IF(Simulador!Q289="",0,Simulador!Q289*-1)</f>
        <v>0</v>
      </c>
    </row>
    <row r="260" spans="1:13" x14ac:dyDescent="0.3">
      <c r="A260" t="s">
        <v>152</v>
      </c>
      <c r="B260" s="165">
        <v>0</v>
      </c>
      <c r="D260" s="93" t="str">
        <f ca="1">Simulador!C291</f>
        <v/>
      </c>
      <c r="E260" s="1" t="str">
        <f t="shared" ca="1" si="9"/>
        <v/>
      </c>
      <c r="F260" s="1" t="e">
        <f t="shared" ref="F260:F323" ca="1" si="10">ROUNDDOWN(_xlfn.DAYS(E260,$B$1)/365,0)</f>
        <v>#VALUE!</v>
      </c>
      <c r="G260" s="124" t="e">
        <f ca="1">IF('Simulador Bradesco'!D273&lt;&gt;Parâmetros!B260,VLOOKUP('Base de Dados'!F260,'Base de Dados'!$A$2:$B$64,2,FALSE),VLOOKUP(F260&amp;'Simulador Bradesco'!$I$13,$A$2:$B$600,2,FALSE))</f>
        <v>#VALUE!</v>
      </c>
      <c r="H260" s="1" t="str">
        <f ca="1">Simulador!A291</f>
        <v/>
      </c>
      <c r="L260" s="1">
        <f ca="1">IF(Simulador!A290="",Simulador!$C$8,Simulador!A290)</f>
        <v>46163</v>
      </c>
      <c r="M260" s="4">
        <f ca="1">IF(Simulador!Q290="",0,Simulador!Q290*-1)</f>
        <v>0</v>
      </c>
    </row>
    <row r="261" spans="1:13" x14ac:dyDescent="0.3">
      <c r="A261" t="s">
        <v>152</v>
      </c>
      <c r="B261" s="165">
        <v>0</v>
      </c>
      <c r="D261" s="93" t="str">
        <f ca="1">Simulador!C292</f>
        <v/>
      </c>
      <c r="E261" s="1" t="str">
        <f t="shared" ca="1" si="9"/>
        <v/>
      </c>
      <c r="F261" s="1" t="e">
        <f t="shared" ca="1" si="10"/>
        <v>#VALUE!</v>
      </c>
      <c r="G261" s="124" t="e">
        <f ca="1">IF('Simulador Bradesco'!D274&lt;&gt;Parâmetros!B261,VLOOKUP('Base de Dados'!F261,'Base de Dados'!$A$2:$B$64,2,FALSE),VLOOKUP(F261&amp;'Simulador Bradesco'!$I$13,$A$2:$B$600,2,FALSE))</f>
        <v>#VALUE!</v>
      </c>
      <c r="H261" s="1" t="str">
        <f ca="1">Simulador!A292</f>
        <v/>
      </c>
      <c r="L261" s="1">
        <f ca="1">IF(Simulador!A291="",Simulador!$C$8,Simulador!A291)</f>
        <v>46163</v>
      </c>
      <c r="M261" s="4">
        <f ca="1">IF(Simulador!Q291="",0,Simulador!Q291*-1)</f>
        <v>0</v>
      </c>
    </row>
    <row r="262" spans="1:13" x14ac:dyDescent="0.3">
      <c r="A262" t="s">
        <v>152</v>
      </c>
      <c r="B262" s="165">
        <v>0</v>
      </c>
      <c r="D262" s="93" t="str">
        <f ca="1">Simulador!C293</f>
        <v/>
      </c>
      <c r="E262" s="1" t="str">
        <f t="shared" ca="1" si="9"/>
        <v/>
      </c>
      <c r="F262" s="1" t="e">
        <f t="shared" ca="1" si="10"/>
        <v>#VALUE!</v>
      </c>
      <c r="G262" s="124" t="e">
        <f ca="1">IF('Simulador Bradesco'!D275&lt;&gt;Parâmetros!B262,VLOOKUP('Base de Dados'!F262,'Base de Dados'!$A$2:$B$64,2,FALSE),VLOOKUP(F262&amp;'Simulador Bradesco'!$I$13,$A$2:$B$600,2,FALSE))</f>
        <v>#VALUE!</v>
      </c>
      <c r="H262" s="1" t="str">
        <f ca="1">Simulador!A293</f>
        <v/>
      </c>
      <c r="L262" s="1">
        <f ca="1">IF(Simulador!A292="",Simulador!$C$8,Simulador!A292)</f>
        <v>46163</v>
      </c>
      <c r="M262" s="4">
        <f ca="1">IF(Simulador!Q292="",0,Simulador!Q292*-1)</f>
        <v>0</v>
      </c>
    </row>
    <row r="263" spans="1:13" x14ac:dyDescent="0.3">
      <c r="A263" t="s">
        <v>152</v>
      </c>
      <c r="B263" s="165">
        <v>0</v>
      </c>
      <c r="D263" s="93" t="str">
        <f ca="1">Simulador!C294</f>
        <v/>
      </c>
      <c r="E263" s="1" t="str">
        <f t="shared" ca="1" si="9"/>
        <v/>
      </c>
      <c r="F263" s="1" t="e">
        <f t="shared" ca="1" si="10"/>
        <v>#VALUE!</v>
      </c>
      <c r="G263" s="124" t="e">
        <f ca="1">IF('Simulador Bradesco'!D276&lt;&gt;Parâmetros!B263,VLOOKUP('Base de Dados'!F263,'Base de Dados'!$A$2:$B$64,2,FALSE),VLOOKUP(F263&amp;'Simulador Bradesco'!$I$13,$A$2:$B$600,2,FALSE))</f>
        <v>#VALUE!</v>
      </c>
      <c r="H263" s="1" t="str">
        <f ca="1">Simulador!A294</f>
        <v/>
      </c>
      <c r="L263" s="1">
        <f ca="1">IF(Simulador!A293="",Simulador!$C$8,Simulador!A293)</f>
        <v>46163</v>
      </c>
      <c r="M263" s="4">
        <f ca="1">IF(Simulador!Q293="",0,Simulador!Q293*-1)</f>
        <v>0</v>
      </c>
    </row>
    <row r="264" spans="1:13" x14ac:dyDescent="0.3">
      <c r="A264" t="s">
        <v>152</v>
      </c>
      <c r="B264" s="165">
        <v>0</v>
      </c>
      <c r="D264" s="93" t="str">
        <f ca="1">Simulador!C295</f>
        <v/>
      </c>
      <c r="E264" s="1" t="str">
        <f t="shared" ca="1" si="9"/>
        <v/>
      </c>
      <c r="F264" s="1" t="e">
        <f t="shared" ca="1" si="10"/>
        <v>#VALUE!</v>
      </c>
      <c r="G264" s="124" t="e">
        <f ca="1">IF('Simulador Bradesco'!D277&lt;&gt;Parâmetros!B264,VLOOKUP('Base de Dados'!F264,'Base de Dados'!$A$2:$B$64,2,FALSE),VLOOKUP(F264&amp;'Simulador Bradesco'!$I$13,$A$2:$B$600,2,FALSE))</f>
        <v>#VALUE!</v>
      </c>
      <c r="H264" s="1" t="str">
        <f ca="1">Simulador!A295</f>
        <v/>
      </c>
      <c r="L264" s="1">
        <f ca="1">IF(Simulador!A294="",Simulador!$C$8,Simulador!A294)</f>
        <v>46163</v>
      </c>
      <c r="M264" s="4">
        <f ca="1">IF(Simulador!Q294="",0,Simulador!Q294*-1)</f>
        <v>0</v>
      </c>
    </row>
    <row r="265" spans="1:13" x14ac:dyDescent="0.3">
      <c r="A265" t="s">
        <v>152</v>
      </c>
      <c r="B265" s="165">
        <v>0</v>
      </c>
      <c r="D265" s="93" t="str">
        <f ca="1">Simulador!C296</f>
        <v/>
      </c>
      <c r="E265" s="1" t="str">
        <f t="shared" ca="1" si="9"/>
        <v/>
      </c>
      <c r="F265" s="1" t="e">
        <f t="shared" ca="1" si="10"/>
        <v>#VALUE!</v>
      </c>
      <c r="G265" s="124" t="e">
        <f ca="1">IF('Simulador Bradesco'!D278&lt;&gt;Parâmetros!B265,VLOOKUP('Base de Dados'!F265,'Base de Dados'!$A$2:$B$64,2,FALSE),VLOOKUP(F265&amp;'Simulador Bradesco'!$I$13,$A$2:$B$600,2,FALSE))</f>
        <v>#VALUE!</v>
      </c>
      <c r="H265" s="1" t="str">
        <f ca="1">Simulador!A296</f>
        <v/>
      </c>
      <c r="L265" s="1">
        <f ca="1">IF(Simulador!A295="",Simulador!$C$8,Simulador!A295)</f>
        <v>46163</v>
      </c>
      <c r="M265" s="4">
        <f ca="1">IF(Simulador!Q295="",0,Simulador!Q295*-1)</f>
        <v>0</v>
      </c>
    </row>
    <row r="266" spans="1:13" x14ac:dyDescent="0.3">
      <c r="A266" t="s">
        <v>152</v>
      </c>
      <c r="B266" s="165">
        <v>0</v>
      </c>
      <c r="D266" s="93" t="str">
        <f ca="1">Simulador!C297</f>
        <v/>
      </c>
      <c r="E266" s="1" t="str">
        <f t="shared" ca="1" si="9"/>
        <v/>
      </c>
      <c r="F266" s="1" t="e">
        <f t="shared" ca="1" si="10"/>
        <v>#VALUE!</v>
      </c>
      <c r="G266" s="124" t="e">
        <f ca="1">IF('Simulador Bradesco'!D279&lt;&gt;Parâmetros!B266,VLOOKUP('Base de Dados'!F266,'Base de Dados'!$A$2:$B$64,2,FALSE),VLOOKUP(F266&amp;'Simulador Bradesco'!$I$13,$A$2:$B$600,2,FALSE))</f>
        <v>#VALUE!</v>
      </c>
      <c r="H266" s="1" t="str">
        <f ca="1">Simulador!A297</f>
        <v/>
      </c>
      <c r="L266" s="1">
        <f ca="1">IF(Simulador!A296="",Simulador!$C$8,Simulador!A296)</f>
        <v>46163</v>
      </c>
      <c r="M266" s="4">
        <f ca="1">IF(Simulador!Q296="",0,Simulador!Q296*-1)</f>
        <v>0</v>
      </c>
    </row>
    <row r="267" spans="1:13" x14ac:dyDescent="0.3">
      <c r="A267" t="s">
        <v>152</v>
      </c>
      <c r="B267" s="165">
        <v>0</v>
      </c>
      <c r="D267" s="93" t="str">
        <f ca="1">Simulador!C298</f>
        <v/>
      </c>
      <c r="E267" s="1" t="str">
        <f t="shared" ca="1" si="9"/>
        <v/>
      </c>
      <c r="F267" s="1" t="e">
        <f t="shared" ca="1" si="10"/>
        <v>#VALUE!</v>
      </c>
      <c r="G267" s="124" t="e">
        <f ca="1">IF('Simulador Bradesco'!D280&lt;&gt;Parâmetros!B267,VLOOKUP('Base de Dados'!F267,'Base de Dados'!$A$2:$B$64,2,FALSE),VLOOKUP(F267&amp;'Simulador Bradesco'!$I$13,$A$2:$B$600,2,FALSE))</f>
        <v>#VALUE!</v>
      </c>
      <c r="H267" s="1" t="str">
        <f ca="1">Simulador!A298</f>
        <v/>
      </c>
      <c r="L267" s="1">
        <f ca="1">IF(Simulador!A297="",Simulador!$C$8,Simulador!A297)</f>
        <v>46163</v>
      </c>
      <c r="M267" s="4">
        <f ca="1">IF(Simulador!Q297="",0,Simulador!Q297*-1)</f>
        <v>0</v>
      </c>
    </row>
    <row r="268" spans="1:13" x14ac:dyDescent="0.3">
      <c r="A268" t="s">
        <v>152</v>
      </c>
      <c r="B268" s="165">
        <v>0</v>
      </c>
      <c r="D268" s="93" t="str">
        <f ca="1">Simulador!C299</f>
        <v/>
      </c>
      <c r="E268" s="1" t="str">
        <f t="shared" ca="1" si="9"/>
        <v/>
      </c>
      <c r="F268" s="1" t="e">
        <f t="shared" ca="1" si="10"/>
        <v>#VALUE!</v>
      </c>
      <c r="G268" s="124" t="e">
        <f ca="1">IF('Simulador Bradesco'!D281&lt;&gt;Parâmetros!B268,VLOOKUP('Base de Dados'!F268,'Base de Dados'!$A$2:$B$64,2,FALSE),VLOOKUP(F268&amp;'Simulador Bradesco'!$I$13,$A$2:$B$600,2,FALSE))</f>
        <v>#VALUE!</v>
      </c>
      <c r="H268" s="1" t="str">
        <f ca="1">Simulador!A299</f>
        <v/>
      </c>
      <c r="L268" s="1">
        <f ca="1">IF(Simulador!A298="",Simulador!$C$8,Simulador!A298)</f>
        <v>46163</v>
      </c>
      <c r="M268" s="4">
        <f ca="1">IF(Simulador!Q298="",0,Simulador!Q298*-1)</f>
        <v>0</v>
      </c>
    </row>
    <row r="269" spans="1:13" x14ac:dyDescent="0.3">
      <c r="A269" t="s">
        <v>152</v>
      </c>
      <c r="B269" s="165">
        <v>0</v>
      </c>
      <c r="D269" s="93" t="str">
        <f ca="1">Simulador!C300</f>
        <v/>
      </c>
      <c r="E269" s="1" t="str">
        <f t="shared" ca="1" si="9"/>
        <v/>
      </c>
      <c r="F269" s="1" t="e">
        <f t="shared" ca="1" si="10"/>
        <v>#VALUE!</v>
      </c>
      <c r="G269" s="124" t="e">
        <f ca="1">IF('Simulador Bradesco'!D282&lt;&gt;Parâmetros!B269,VLOOKUP('Base de Dados'!F269,'Base de Dados'!$A$2:$B$64,2,FALSE),VLOOKUP(F269&amp;'Simulador Bradesco'!$I$13,$A$2:$B$600,2,FALSE))</f>
        <v>#VALUE!</v>
      </c>
      <c r="H269" s="1" t="str">
        <f ca="1">Simulador!A300</f>
        <v/>
      </c>
      <c r="L269" s="1">
        <f ca="1">IF(Simulador!A299="",Simulador!$C$8,Simulador!A299)</f>
        <v>46163</v>
      </c>
      <c r="M269" s="4">
        <f ca="1">IF(Simulador!Q299="",0,Simulador!Q299*-1)</f>
        <v>0</v>
      </c>
    </row>
    <row r="270" spans="1:13" x14ac:dyDescent="0.3">
      <c r="A270" t="s">
        <v>152</v>
      </c>
      <c r="B270" s="165">
        <v>0</v>
      </c>
      <c r="D270" s="93" t="str">
        <f ca="1">Simulador!C301</f>
        <v/>
      </c>
      <c r="E270" s="1" t="str">
        <f t="shared" ca="1" si="9"/>
        <v/>
      </c>
      <c r="F270" s="1" t="e">
        <f t="shared" ca="1" si="10"/>
        <v>#VALUE!</v>
      </c>
      <c r="G270" s="124" t="e">
        <f ca="1">IF('Simulador Bradesco'!D283&lt;&gt;Parâmetros!B270,VLOOKUP('Base de Dados'!F270,'Base de Dados'!$A$2:$B$64,2,FALSE),VLOOKUP(F270&amp;'Simulador Bradesco'!$I$13,$A$2:$B$600,2,FALSE))</f>
        <v>#VALUE!</v>
      </c>
      <c r="H270" s="1" t="str">
        <f ca="1">Simulador!A301</f>
        <v/>
      </c>
      <c r="L270" s="1">
        <f ca="1">IF(Simulador!A300="",Simulador!$C$8,Simulador!A300)</f>
        <v>46163</v>
      </c>
      <c r="M270" s="4">
        <f ca="1">IF(Simulador!Q300="",0,Simulador!Q300*-1)</f>
        <v>0</v>
      </c>
    </row>
    <row r="271" spans="1:13" x14ac:dyDescent="0.3">
      <c r="A271" t="s">
        <v>152</v>
      </c>
      <c r="B271" s="165">
        <v>1.049E-4</v>
      </c>
      <c r="D271" s="93" t="str">
        <f ca="1">Simulador!C302</f>
        <v/>
      </c>
      <c r="E271" s="1" t="str">
        <f t="shared" ca="1" si="9"/>
        <v/>
      </c>
      <c r="F271" s="1" t="e">
        <f t="shared" ca="1" si="10"/>
        <v>#VALUE!</v>
      </c>
      <c r="G271" s="124" t="e">
        <f ca="1">IF('Simulador Bradesco'!D284&lt;&gt;Parâmetros!B271,VLOOKUP('Base de Dados'!F271,'Base de Dados'!$A$2:$B$64,2,FALSE),VLOOKUP(F271&amp;'Simulador Bradesco'!$I$13,$A$2:$B$600,2,FALSE))</f>
        <v>#VALUE!</v>
      </c>
      <c r="H271" s="1" t="str">
        <f ca="1">Simulador!A302</f>
        <v/>
      </c>
      <c r="L271" s="1">
        <f ca="1">IF(Simulador!A301="",Simulador!$C$8,Simulador!A301)</f>
        <v>46163</v>
      </c>
      <c r="M271" s="4">
        <f ca="1">IF(Simulador!Q301="",0,Simulador!Q301*-1)</f>
        <v>0</v>
      </c>
    </row>
    <row r="272" spans="1:13" x14ac:dyDescent="0.3">
      <c r="A272" t="s">
        <v>152</v>
      </c>
      <c r="B272" s="165">
        <v>1.049E-4</v>
      </c>
      <c r="D272" s="93" t="str">
        <f ca="1">Simulador!C303</f>
        <v/>
      </c>
      <c r="E272" s="1" t="str">
        <f t="shared" ca="1" si="9"/>
        <v/>
      </c>
      <c r="F272" s="1" t="e">
        <f t="shared" ca="1" si="10"/>
        <v>#VALUE!</v>
      </c>
      <c r="G272" s="124" t="e">
        <f ca="1">IF('Simulador Bradesco'!D285&lt;&gt;Parâmetros!B272,VLOOKUP('Base de Dados'!F272,'Base de Dados'!$A$2:$B$64,2,FALSE),VLOOKUP(F272&amp;'Simulador Bradesco'!$I$13,$A$2:$B$600,2,FALSE))</f>
        <v>#VALUE!</v>
      </c>
      <c r="H272" s="1" t="str">
        <f ca="1">Simulador!A303</f>
        <v/>
      </c>
      <c r="L272" s="1">
        <f ca="1">IF(Simulador!A302="",Simulador!$C$8,Simulador!A302)</f>
        <v>46163</v>
      </c>
      <c r="M272" s="4">
        <f ca="1">IF(Simulador!Q302="",0,Simulador!Q302*-1)</f>
        <v>0</v>
      </c>
    </row>
    <row r="273" spans="1:13" x14ac:dyDescent="0.3">
      <c r="A273" t="s">
        <v>152</v>
      </c>
      <c r="B273" s="165">
        <v>1.049E-4</v>
      </c>
      <c r="D273" s="93" t="str">
        <f ca="1">Simulador!C304</f>
        <v/>
      </c>
      <c r="E273" s="1" t="str">
        <f t="shared" ca="1" si="9"/>
        <v/>
      </c>
      <c r="F273" s="1" t="e">
        <f t="shared" ca="1" si="10"/>
        <v>#VALUE!</v>
      </c>
      <c r="G273" s="124" t="e">
        <f ca="1">IF('Simulador Bradesco'!D286&lt;&gt;Parâmetros!B273,VLOOKUP('Base de Dados'!F273,'Base de Dados'!$A$2:$B$64,2,FALSE),VLOOKUP(F273&amp;'Simulador Bradesco'!$I$13,$A$2:$B$600,2,FALSE))</f>
        <v>#VALUE!</v>
      </c>
      <c r="H273" s="1" t="str">
        <f ca="1">Simulador!A304</f>
        <v/>
      </c>
      <c r="L273" s="1">
        <f ca="1">IF(Simulador!A303="",Simulador!$C$8,Simulador!A303)</f>
        <v>46163</v>
      </c>
      <c r="M273" s="4">
        <f ca="1">IF(Simulador!Q303="",0,Simulador!Q303*-1)</f>
        <v>0</v>
      </c>
    </row>
    <row r="274" spans="1:13" x14ac:dyDescent="0.3">
      <c r="A274" t="s">
        <v>152</v>
      </c>
      <c r="B274" s="165">
        <v>1.13E-4</v>
      </c>
      <c r="D274" s="93" t="str">
        <f ca="1">Simulador!C305</f>
        <v/>
      </c>
      <c r="E274" s="1" t="str">
        <f t="shared" ca="1" si="9"/>
        <v/>
      </c>
      <c r="F274" s="1" t="e">
        <f t="shared" ca="1" si="10"/>
        <v>#VALUE!</v>
      </c>
      <c r="G274" s="124" t="e">
        <f ca="1">IF('Simulador Bradesco'!D287&lt;&gt;Parâmetros!B274,VLOOKUP('Base de Dados'!F274,'Base de Dados'!$A$2:$B$64,2,FALSE),VLOOKUP(F274&amp;'Simulador Bradesco'!$I$13,$A$2:$B$600,2,FALSE))</f>
        <v>#VALUE!</v>
      </c>
      <c r="H274" s="1" t="str">
        <f ca="1">Simulador!A305</f>
        <v/>
      </c>
      <c r="L274" s="1">
        <f ca="1">IF(Simulador!A304="",Simulador!$C$8,Simulador!A304)</f>
        <v>46163</v>
      </c>
      <c r="M274" s="4">
        <f ca="1">IF(Simulador!Q304="",0,Simulador!Q304*-1)</f>
        <v>0</v>
      </c>
    </row>
    <row r="275" spans="1:13" x14ac:dyDescent="0.3">
      <c r="A275" t="s">
        <v>152</v>
      </c>
      <c r="B275" s="165">
        <v>1.13E-4</v>
      </c>
      <c r="D275" s="93" t="str">
        <f ca="1">Simulador!C306</f>
        <v/>
      </c>
      <c r="E275" s="1" t="str">
        <f t="shared" ca="1" si="9"/>
        <v/>
      </c>
      <c r="F275" s="1" t="e">
        <f t="shared" ca="1" si="10"/>
        <v>#VALUE!</v>
      </c>
      <c r="G275" s="124" t="e">
        <f ca="1">IF('Simulador Bradesco'!D288&lt;&gt;Parâmetros!B275,VLOOKUP('Base de Dados'!F275,'Base de Dados'!$A$2:$B$64,2,FALSE),VLOOKUP(F275&amp;'Simulador Bradesco'!$I$13,$A$2:$B$600,2,FALSE))</f>
        <v>#VALUE!</v>
      </c>
      <c r="H275" s="1" t="str">
        <f ca="1">Simulador!A306</f>
        <v/>
      </c>
      <c r="L275" s="1">
        <f ca="1">IF(Simulador!A305="",Simulador!$C$8,Simulador!A305)</f>
        <v>46163</v>
      </c>
      <c r="M275" s="4">
        <f ca="1">IF(Simulador!Q305="",0,Simulador!Q305*-1)</f>
        <v>0</v>
      </c>
    </row>
    <row r="276" spans="1:13" x14ac:dyDescent="0.3">
      <c r="A276" t="s">
        <v>152</v>
      </c>
      <c r="B276" s="165">
        <v>1.13E-4</v>
      </c>
      <c r="D276" s="93" t="str">
        <f ca="1">Simulador!C307</f>
        <v/>
      </c>
      <c r="E276" s="1" t="str">
        <f t="shared" ca="1" si="9"/>
        <v/>
      </c>
      <c r="F276" s="1" t="e">
        <f t="shared" ca="1" si="10"/>
        <v>#VALUE!</v>
      </c>
      <c r="G276" s="124" t="e">
        <f ca="1">IF('Simulador Bradesco'!D289&lt;&gt;Parâmetros!B276,VLOOKUP('Base de Dados'!F276,'Base de Dados'!$A$2:$B$64,2,FALSE),VLOOKUP(F276&amp;'Simulador Bradesco'!$I$13,$A$2:$B$600,2,FALSE))</f>
        <v>#VALUE!</v>
      </c>
      <c r="H276" s="1" t="str">
        <f ca="1">Simulador!A307</f>
        <v/>
      </c>
      <c r="L276" s="1">
        <f ca="1">IF(Simulador!A306="",Simulador!$C$8,Simulador!A306)</f>
        <v>46163</v>
      </c>
      <c r="M276" s="4">
        <f ca="1">IF(Simulador!Q306="",0,Simulador!Q306*-1)</f>
        <v>0</v>
      </c>
    </row>
    <row r="277" spans="1:13" x14ac:dyDescent="0.3">
      <c r="A277" t="s">
        <v>152</v>
      </c>
      <c r="B277" s="165">
        <v>1.193E-4</v>
      </c>
      <c r="D277" s="93" t="str">
        <f ca="1">Simulador!C308</f>
        <v/>
      </c>
      <c r="E277" s="1" t="str">
        <f t="shared" ca="1" si="9"/>
        <v/>
      </c>
      <c r="F277" s="1" t="e">
        <f t="shared" ca="1" si="10"/>
        <v>#VALUE!</v>
      </c>
      <c r="G277" s="124" t="e">
        <f ca="1">IF('Simulador Bradesco'!D290&lt;&gt;Parâmetros!B277,VLOOKUP('Base de Dados'!F277,'Base de Dados'!$A$2:$B$64,2,FALSE),VLOOKUP(F277&amp;'Simulador Bradesco'!$I$13,$A$2:$B$600,2,FALSE))</f>
        <v>#VALUE!</v>
      </c>
      <c r="H277" s="1" t="str">
        <f ca="1">Simulador!A308</f>
        <v/>
      </c>
      <c r="L277" s="1">
        <f ca="1">IF(Simulador!A307="",Simulador!$C$8,Simulador!A307)</f>
        <v>46163</v>
      </c>
      <c r="M277" s="4">
        <f ca="1">IF(Simulador!Q307="",0,Simulador!Q307*-1)</f>
        <v>0</v>
      </c>
    </row>
    <row r="278" spans="1:13" x14ac:dyDescent="0.3">
      <c r="A278" t="s">
        <v>152</v>
      </c>
      <c r="B278" s="165">
        <v>1.193E-4</v>
      </c>
      <c r="D278" s="93" t="str">
        <f ca="1">Simulador!C309</f>
        <v/>
      </c>
      <c r="E278" s="1" t="str">
        <f t="shared" ca="1" si="9"/>
        <v/>
      </c>
      <c r="F278" s="1" t="e">
        <f t="shared" ca="1" si="10"/>
        <v>#VALUE!</v>
      </c>
      <c r="G278" s="124" t="e">
        <f ca="1">IF('Simulador Bradesco'!D291&lt;&gt;Parâmetros!B278,VLOOKUP('Base de Dados'!F278,'Base de Dados'!$A$2:$B$64,2,FALSE),VLOOKUP(F278&amp;'Simulador Bradesco'!$I$13,$A$2:$B$600,2,FALSE))</f>
        <v>#VALUE!</v>
      </c>
      <c r="H278" s="1" t="str">
        <f ca="1">Simulador!A309</f>
        <v/>
      </c>
      <c r="L278" s="1">
        <f ca="1">IF(Simulador!A308="",Simulador!$C$8,Simulador!A308)</f>
        <v>46163</v>
      </c>
      <c r="M278" s="4">
        <f ca="1">IF(Simulador!Q308="",0,Simulador!Q308*-1)</f>
        <v>0</v>
      </c>
    </row>
    <row r="279" spans="1:13" x14ac:dyDescent="0.3">
      <c r="A279" t="s">
        <v>152</v>
      </c>
      <c r="B279" s="165">
        <v>1.193E-4</v>
      </c>
      <c r="D279" s="93" t="str">
        <f ca="1">Simulador!C310</f>
        <v/>
      </c>
      <c r="E279" s="1" t="str">
        <f t="shared" ca="1" si="9"/>
        <v/>
      </c>
      <c r="F279" s="1" t="e">
        <f t="shared" ca="1" si="10"/>
        <v>#VALUE!</v>
      </c>
      <c r="G279" s="124" t="e">
        <f ca="1">IF('Simulador Bradesco'!D292&lt;&gt;Parâmetros!B279,VLOOKUP('Base de Dados'!F279,'Base de Dados'!$A$2:$B$64,2,FALSE),VLOOKUP(F279&amp;'Simulador Bradesco'!$I$13,$A$2:$B$600,2,FALSE))</f>
        <v>#VALUE!</v>
      </c>
      <c r="H279" s="1" t="str">
        <f ca="1">Simulador!A310</f>
        <v/>
      </c>
      <c r="L279" s="1">
        <f ca="1">IF(Simulador!A309="",Simulador!$C$8,Simulador!A309)</f>
        <v>46163</v>
      </c>
      <c r="M279" s="4">
        <f ca="1">IF(Simulador!Q309="",0,Simulador!Q309*-1)</f>
        <v>0</v>
      </c>
    </row>
    <row r="280" spans="1:13" x14ac:dyDescent="0.3">
      <c r="A280" t="s">
        <v>152</v>
      </c>
      <c r="B280" s="165">
        <v>1.304E-4</v>
      </c>
      <c r="D280" s="93" t="str">
        <f ca="1">Simulador!C311</f>
        <v/>
      </c>
      <c r="E280" s="1" t="str">
        <f t="shared" ca="1" si="9"/>
        <v/>
      </c>
      <c r="F280" s="1" t="e">
        <f t="shared" ca="1" si="10"/>
        <v>#VALUE!</v>
      </c>
      <c r="G280" s="124" t="e">
        <f ca="1">IF('Simulador Bradesco'!D293&lt;&gt;Parâmetros!B280,VLOOKUP('Base de Dados'!F280,'Base de Dados'!$A$2:$B$64,2,FALSE),VLOOKUP(F280&amp;'Simulador Bradesco'!$I$13,$A$2:$B$600,2,FALSE))</f>
        <v>#VALUE!</v>
      </c>
      <c r="H280" s="1" t="str">
        <f ca="1">Simulador!A311</f>
        <v/>
      </c>
      <c r="L280" s="1">
        <f ca="1">IF(Simulador!A310="",Simulador!$C$8,Simulador!A310)</f>
        <v>46163</v>
      </c>
      <c r="M280" s="4">
        <f ca="1">IF(Simulador!Q310="",0,Simulador!Q310*-1)</f>
        <v>0</v>
      </c>
    </row>
    <row r="281" spans="1:13" x14ac:dyDescent="0.3">
      <c r="A281" t="s">
        <v>152</v>
      </c>
      <c r="B281" s="165">
        <v>1.304E-4</v>
      </c>
      <c r="D281" s="93" t="str">
        <f ca="1">Simulador!C312</f>
        <v/>
      </c>
      <c r="E281" s="1" t="str">
        <f t="shared" ca="1" si="9"/>
        <v/>
      </c>
      <c r="F281" s="1" t="e">
        <f t="shared" ca="1" si="10"/>
        <v>#VALUE!</v>
      </c>
      <c r="G281" s="124" t="e">
        <f ca="1">IF('Simulador Bradesco'!D294&lt;&gt;Parâmetros!B281,VLOOKUP('Base de Dados'!F281,'Base de Dados'!$A$2:$B$64,2,FALSE),VLOOKUP(F281&amp;'Simulador Bradesco'!$I$13,$A$2:$B$600,2,FALSE))</f>
        <v>#VALUE!</v>
      </c>
      <c r="H281" s="1" t="str">
        <f ca="1">Simulador!A312</f>
        <v/>
      </c>
      <c r="L281" s="1">
        <f ca="1">IF(Simulador!A311="",Simulador!$C$8,Simulador!A311)</f>
        <v>46163</v>
      </c>
      <c r="M281" s="4">
        <f ca="1">IF(Simulador!Q311="",0,Simulador!Q311*-1)</f>
        <v>0</v>
      </c>
    </row>
    <row r="282" spans="1:13" x14ac:dyDescent="0.3">
      <c r="A282" t="s">
        <v>152</v>
      </c>
      <c r="B282" s="165">
        <v>1.304E-4</v>
      </c>
      <c r="D282" s="93" t="str">
        <f ca="1">Simulador!C313</f>
        <v/>
      </c>
      <c r="E282" s="1" t="str">
        <f t="shared" ca="1" si="9"/>
        <v/>
      </c>
      <c r="F282" s="1" t="e">
        <f t="shared" ca="1" si="10"/>
        <v>#VALUE!</v>
      </c>
      <c r="G282" s="124" t="e">
        <f ca="1">IF('Simulador Bradesco'!D295&lt;&gt;Parâmetros!B282,VLOOKUP('Base de Dados'!F282,'Base de Dados'!$A$2:$B$64,2,FALSE),VLOOKUP(F282&amp;'Simulador Bradesco'!$I$13,$A$2:$B$600,2,FALSE))</f>
        <v>#VALUE!</v>
      </c>
      <c r="H282" s="1" t="str">
        <f ca="1">Simulador!A313</f>
        <v/>
      </c>
      <c r="L282" s="1">
        <f ca="1">IF(Simulador!A312="",Simulador!$C$8,Simulador!A312)</f>
        <v>46163</v>
      </c>
      <c r="M282" s="4">
        <f ca="1">IF(Simulador!Q312="",0,Simulador!Q312*-1)</f>
        <v>0</v>
      </c>
    </row>
    <row r="283" spans="1:13" x14ac:dyDescent="0.3">
      <c r="A283" t="s">
        <v>152</v>
      </c>
      <c r="B283" s="165">
        <v>1.438E-4</v>
      </c>
      <c r="D283" s="93" t="str">
        <f ca="1">Simulador!C314</f>
        <v/>
      </c>
      <c r="E283" s="1" t="str">
        <f t="shared" ca="1" si="9"/>
        <v/>
      </c>
      <c r="F283" s="1" t="e">
        <f t="shared" ca="1" si="10"/>
        <v>#VALUE!</v>
      </c>
      <c r="G283" s="124" t="e">
        <f ca="1">IF('Simulador Bradesco'!D296&lt;&gt;Parâmetros!B283,VLOOKUP('Base de Dados'!F283,'Base de Dados'!$A$2:$B$64,2,FALSE),VLOOKUP(F283&amp;'Simulador Bradesco'!$I$13,$A$2:$B$600,2,FALSE))</f>
        <v>#VALUE!</v>
      </c>
      <c r="H283" s="1" t="str">
        <f ca="1">Simulador!A314</f>
        <v/>
      </c>
      <c r="L283" s="1">
        <f ca="1">IF(Simulador!A313="",Simulador!$C$8,Simulador!A313)</f>
        <v>46163</v>
      </c>
      <c r="M283" s="4">
        <f ca="1">IF(Simulador!Q313="",0,Simulador!Q313*-1)</f>
        <v>0</v>
      </c>
    </row>
    <row r="284" spans="1:13" x14ac:dyDescent="0.3">
      <c r="A284" t="s">
        <v>152</v>
      </c>
      <c r="B284" s="165">
        <v>1.438E-4</v>
      </c>
      <c r="D284" s="93" t="str">
        <f ca="1">Simulador!C315</f>
        <v/>
      </c>
      <c r="E284" s="1" t="str">
        <f t="shared" ca="1" si="9"/>
        <v/>
      </c>
      <c r="F284" s="1" t="e">
        <f t="shared" ca="1" si="10"/>
        <v>#VALUE!</v>
      </c>
      <c r="G284" s="124" t="e">
        <f ca="1">IF('Simulador Bradesco'!D297&lt;&gt;Parâmetros!B284,VLOOKUP('Base de Dados'!F284,'Base de Dados'!$A$2:$B$64,2,FALSE),VLOOKUP(F284&amp;'Simulador Bradesco'!$I$13,$A$2:$B$600,2,FALSE))</f>
        <v>#VALUE!</v>
      </c>
      <c r="H284" s="1" t="str">
        <f ca="1">Simulador!A315</f>
        <v/>
      </c>
      <c r="L284" s="1">
        <f ca="1">IF(Simulador!A314="",Simulador!$C$8,Simulador!A314)</f>
        <v>46163</v>
      </c>
      <c r="M284" s="4">
        <f ca="1">IF(Simulador!Q314="",0,Simulador!Q314*-1)</f>
        <v>0</v>
      </c>
    </row>
    <row r="285" spans="1:13" x14ac:dyDescent="0.3">
      <c r="A285" t="s">
        <v>152</v>
      </c>
      <c r="B285" s="165">
        <v>1.438E-4</v>
      </c>
      <c r="D285" s="93" t="str">
        <f ca="1">Simulador!C316</f>
        <v/>
      </c>
      <c r="E285" s="1" t="str">
        <f t="shared" ca="1" si="9"/>
        <v/>
      </c>
      <c r="F285" s="1" t="e">
        <f t="shared" ca="1" si="10"/>
        <v>#VALUE!</v>
      </c>
      <c r="G285" s="124" t="e">
        <f ca="1">IF('Simulador Bradesco'!D298&lt;&gt;Parâmetros!B285,VLOOKUP('Base de Dados'!F285,'Base de Dados'!$A$2:$B$64,2,FALSE),VLOOKUP(F285&amp;'Simulador Bradesco'!$I$13,$A$2:$B$600,2,FALSE))</f>
        <v>#VALUE!</v>
      </c>
      <c r="H285" s="1" t="str">
        <f ca="1">Simulador!A316</f>
        <v/>
      </c>
      <c r="L285" s="1">
        <f ca="1">IF(Simulador!A315="",Simulador!$C$8,Simulador!A315)</f>
        <v>46163</v>
      </c>
      <c r="M285" s="4">
        <f ca="1">IF(Simulador!Q315="",0,Simulador!Q315*-1)</f>
        <v>0</v>
      </c>
    </row>
    <row r="286" spans="1:13" x14ac:dyDescent="0.3">
      <c r="A286" t="s">
        <v>152</v>
      </c>
      <c r="B286" s="165">
        <v>1.5679999999999999E-4</v>
      </c>
      <c r="D286" s="93" t="str">
        <f ca="1">Simulador!C317</f>
        <v/>
      </c>
      <c r="E286" s="1" t="str">
        <f t="shared" ca="1" si="9"/>
        <v/>
      </c>
      <c r="F286" s="1" t="e">
        <f t="shared" ca="1" si="10"/>
        <v>#VALUE!</v>
      </c>
      <c r="G286" s="124" t="e">
        <f ca="1">IF('Simulador Bradesco'!D299&lt;&gt;Parâmetros!B286,VLOOKUP('Base de Dados'!F286,'Base de Dados'!$A$2:$B$64,2,FALSE),VLOOKUP(F286&amp;'Simulador Bradesco'!$I$13,$A$2:$B$600,2,FALSE))</f>
        <v>#VALUE!</v>
      </c>
      <c r="H286" s="1" t="str">
        <f ca="1">Simulador!A317</f>
        <v/>
      </c>
      <c r="L286" s="1">
        <f ca="1">IF(Simulador!A316="",Simulador!$C$8,Simulador!A316)</f>
        <v>46163</v>
      </c>
      <c r="M286" s="4">
        <f ca="1">IF(Simulador!Q316="",0,Simulador!Q316*-1)</f>
        <v>0</v>
      </c>
    </row>
    <row r="287" spans="1:13" x14ac:dyDescent="0.3">
      <c r="A287" t="s">
        <v>152</v>
      </c>
      <c r="B287" s="165">
        <v>1.5679999999999999E-4</v>
      </c>
      <c r="D287" s="93" t="str">
        <f ca="1">Simulador!C318</f>
        <v/>
      </c>
      <c r="E287" s="1" t="str">
        <f t="shared" ca="1" si="9"/>
        <v/>
      </c>
      <c r="F287" s="1" t="e">
        <f t="shared" ca="1" si="10"/>
        <v>#VALUE!</v>
      </c>
      <c r="G287" s="124" t="e">
        <f ca="1">IF('Simulador Bradesco'!D300&lt;&gt;Parâmetros!B287,VLOOKUP('Base de Dados'!F287,'Base de Dados'!$A$2:$B$64,2,FALSE),VLOOKUP(F287&amp;'Simulador Bradesco'!$I$13,$A$2:$B$600,2,FALSE))</f>
        <v>#VALUE!</v>
      </c>
      <c r="H287" s="1" t="str">
        <f ca="1">Simulador!A318</f>
        <v/>
      </c>
      <c r="L287" s="1">
        <f ca="1">IF(Simulador!A317="",Simulador!$C$8,Simulador!A317)</f>
        <v>46163</v>
      </c>
      <c r="M287" s="4">
        <f ca="1">IF(Simulador!Q317="",0,Simulador!Q317*-1)</f>
        <v>0</v>
      </c>
    </row>
    <row r="288" spans="1:13" x14ac:dyDescent="0.3">
      <c r="A288" t="s">
        <v>152</v>
      </c>
      <c r="B288" s="165">
        <v>1.5679999999999999E-4</v>
      </c>
      <c r="D288" s="93" t="str">
        <f ca="1">Simulador!C319</f>
        <v/>
      </c>
      <c r="E288" s="1" t="str">
        <f t="shared" ca="1" si="9"/>
        <v/>
      </c>
      <c r="F288" s="1" t="e">
        <f t="shared" ca="1" si="10"/>
        <v>#VALUE!</v>
      </c>
      <c r="G288" s="124" t="e">
        <f ca="1">IF('Simulador Bradesco'!D301&lt;&gt;Parâmetros!B288,VLOOKUP('Base de Dados'!F288,'Base de Dados'!$A$2:$B$64,2,FALSE),VLOOKUP(F288&amp;'Simulador Bradesco'!$I$13,$A$2:$B$600,2,FALSE))</f>
        <v>#VALUE!</v>
      </c>
      <c r="H288" s="1" t="str">
        <f ca="1">Simulador!A319</f>
        <v/>
      </c>
      <c r="L288" s="1">
        <f ca="1">IF(Simulador!A318="",Simulador!$C$8,Simulador!A318)</f>
        <v>46163</v>
      </c>
      <c r="M288" s="4">
        <f ca="1">IF(Simulador!Q318="",0,Simulador!Q318*-1)</f>
        <v>0</v>
      </c>
    </row>
    <row r="289" spans="1:13" x14ac:dyDescent="0.3">
      <c r="A289" t="s">
        <v>152</v>
      </c>
      <c r="B289" s="165">
        <v>1.8139999999999999E-4</v>
      </c>
      <c r="D289" s="93" t="str">
        <f ca="1">Simulador!C320</f>
        <v/>
      </c>
      <c r="E289" s="1" t="str">
        <f t="shared" ca="1" si="9"/>
        <v/>
      </c>
      <c r="F289" s="1" t="e">
        <f t="shared" ca="1" si="10"/>
        <v>#VALUE!</v>
      </c>
      <c r="G289" s="124" t="e">
        <f ca="1">IF('Simulador Bradesco'!D302&lt;&gt;Parâmetros!B289,VLOOKUP('Base de Dados'!F289,'Base de Dados'!$A$2:$B$64,2,FALSE),VLOOKUP(F289&amp;'Simulador Bradesco'!$I$13,$A$2:$B$600,2,FALSE))</f>
        <v>#VALUE!</v>
      </c>
      <c r="H289" s="1" t="str">
        <f ca="1">Simulador!A320</f>
        <v/>
      </c>
      <c r="L289" s="1">
        <f ca="1">IF(Simulador!A319="",Simulador!$C$8,Simulador!A319)</f>
        <v>46163</v>
      </c>
      <c r="M289" s="4">
        <f ca="1">IF(Simulador!Q319="",0,Simulador!Q319*-1)</f>
        <v>0</v>
      </c>
    </row>
    <row r="290" spans="1:13" x14ac:dyDescent="0.3">
      <c r="A290" t="s">
        <v>152</v>
      </c>
      <c r="B290" s="165">
        <v>1.8139999999999999E-4</v>
      </c>
      <c r="D290" s="93" t="str">
        <f ca="1">Simulador!C321</f>
        <v/>
      </c>
      <c r="E290" s="1" t="str">
        <f t="shared" ca="1" si="9"/>
        <v/>
      </c>
      <c r="F290" s="1" t="e">
        <f t="shared" ca="1" si="10"/>
        <v>#VALUE!</v>
      </c>
      <c r="G290" s="124" t="e">
        <f ca="1">IF('Simulador Bradesco'!D303&lt;&gt;Parâmetros!B290,VLOOKUP('Base de Dados'!F290,'Base de Dados'!$A$2:$B$64,2,FALSE),VLOOKUP(F290&amp;'Simulador Bradesco'!$I$13,$A$2:$B$600,2,FALSE))</f>
        <v>#VALUE!</v>
      </c>
      <c r="H290" s="1" t="str">
        <f ca="1">Simulador!A321</f>
        <v/>
      </c>
      <c r="L290" s="1">
        <f ca="1">IF(Simulador!A320="",Simulador!$C$8,Simulador!A320)</f>
        <v>46163</v>
      </c>
      <c r="M290" s="4">
        <f ca="1">IF(Simulador!Q320="",0,Simulador!Q320*-1)</f>
        <v>0</v>
      </c>
    </row>
    <row r="291" spans="1:13" x14ac:dyDescent="0.3">
      <c r="A291" t="s">
        <v>152</v>
      </c>
      <c r="B291" s="165">
        <v>1.8139999999999999E-4</v>
      </c>
      <c r="D291" s="93" t="str">
        <f ca="1">Simulador!C322</f>
        <v/>
      </c>
      <c r="E291" s="1" t="str">
        <f t="shared" ca="1" si="9"/>
        <v/>
      </c>
      <c r="F291" s="1" t="e">
        <f t="shared" ca="1" si="10"/>
        <v>#VALUE!</v>
      </c>
      <c r="G291" s="124" t="e">
        <f ca="1">IF('Simulador Bradesco'!D304&lt;&gt;Parâmetros!B291,VLOOKUP('Base de Dados'!F291,'Base de Dados'!$A$2:$B$64,2,FALSE),VLOOKUP(F291&amp;'Simulador Bradesco'!$I$13,$A$2:$B$600,2,FALSE))</f>
        <v>#VALUE!</v>
      </c>
      <c r="H291" s="1" t="str">
        <f ca="1">Simulador!A322</f>
        <v/>
      </c>
      <c r="L291" s="1">
        <f ca="1">IF(Simulador!A321="",Simulador!$C$8,Simulador!A321)</f>
        <v>46163</v>
      </c>
      <c r="M291" s="4">
        <f ca="1">IF(Simulador!Q321="",0,Simulador!Q321*-1)</f>
        <v>0</v>
      </c>
    </row>
    <row r="292" spans="1:13" x14ac:dyDescent="0.3">
      <c r="A292" t="s">
        <v>152</v>
      </c>
      <c r="B292" s="165">
        <v>2.2369999999999999E-4</v>
      </c>
      <c r="D292" s="93" t="str">
        <f ca="1">Simulador!C323</f>
        <v/>
      </c>
      <c r="E292" s="1" t="str">
        <f t="shared" ca="1" si="9"/>
        <v/>
      </c>
      <c r="F292" s="1" t="e">
        <f t="shared" ca="1" si="10"/>
        <v>#VALUE!</v>
      </c>
      <c r="G292" s="124" t="e">
        <f ca="1">IF('Simulador Bradesco'!D305&lt;&gt;Parâmetros!B292,VLOOKUP('Base de Dados'!F292,'Base de Dados'!$A$2:$B$64,2,FALSE),VLOOKUP(F292&amp;'Simulador Bradesco'!$I$13,$A$2:$B$600,2,FALSE))</f>
        <v>#VALUE!</v>
      </c>
      <c r="H292" s="1" t="str">
        <f ca="1">Simulador!A323</f>
        <v/>
      </c>
      <c r="L292" s="1">
        <f ca="1">IF(Simulador!A322="",Simulador!$C$8,Simulador!A322)</f>
        <v>46163</v>
      </c>
      <c r="M292" s="4">
        <f ca="1">IF(Simulador!Q322="",0,Simulador!Q322*-1)</f>
        <v>0</v>
      </c>
    </row>
    <row r="293" spans="1:13" x14ac:dyDescent="0.3">
      <c r="A293" t="s">
        <v>152</v>
      </c>
      <c r="B293" s="165">
        <v>2.2369999999999999E-4</v>
      </c>
      <c r="D293" s="93" t="str">
        <f ca="1">Simulador!C324</f>
        <v/>
      </c>
      <c r="E293" s="1" t="str">
        <f t="shared" ca="1" si="9"/>
        <v/>
      </c>
      <c r="F293" s="1" t="e">
        <f t="shared" ca="1" si="10"/>
        <v>#VALUE!</v>
      </c>
      <c r="G293" s="124" t="e">
        <f ca="1">IF('Simulador Bradesco'!D306&lt;&gt;Parâmetros!B293,VLOOKUP('Base de Dados'!F293,'Base de Dados'!$A$2:$B$64,2,FALSE),VLOOKUP(F293&amp;'Simulador Bradesco'!$I$13,$A$2:$B$600,2,FALSE))</f>
        <v>#VALUE!</v>
      </c>
      <c r="H293" s="1" t="str">
        <f ca="1">Simulador!A324</f>
        <v/>
      </c>
      <c r="L293" s="1">
        <f ca="1">IF(Simulador!A323="",Simulador!$C$8,Simulador!A323)</f>
        <v>46163</v>
      </c>
      <c r="M293" s="4">
        <f ca="1">IF(Simulador!Q323="",0,Simulador!Q323*-1)</f>
        <v>0</v>
      </c>
    </row>
    <row r="294" spans="1:13" x14ac:dyDescent="0.3">
      <c r="A294" t="s">
        <v>152</v>
      </c>
      <c r="B294" s="165">
        <v>2.2369999999999999E-4</v>
      </c>
      <c r="D294" s="93" t="str">
        <f ca="1">Simulador!C325</f>
        <v/>
      </c>
      <c r="E294" s="1" t="str">
        <f t="shared" ca="1" si="9"/>
        <v/>
      </c>
      <c r="F294" s="1" t="e">
        <f t="shared" ca="1" si="10"/>
        <v>#VALUE!</v>
      </c>
      <c r="G294" s="124" t="e">
        <f ca="1">IF('Simulador Bradesco'!D307&lt;&gt;Parâmetros!B294,VLOOKUP('Base de Dados'!F294,'Base de Dados'!$A$2:$B$64,2,FALSE),VLOOKUP(F294&amp;'Simulador Bradesco'!$I$13,$A$2:$B$600,2,FALSE))</f>
        <v>#VALUE!</v>
      </c>
      <c r="H294" s="1" t="str">
        <f ca="1">Simulador!A325</f>
        <v/>
      </c>
      <c r="L294" s="1">
        <f ca="1">IF(Simulador!A324="",Simulador!$C$8,Simulador!A324)</f>
        <v>46163</v>
      </c>
      <c r="M294" s="4">
        <f ca="1">IF(Simulador!Q324="",0,Simulador!Q324*-1)</f>
        <v>0</v>
      </c>
    </row>
    <row r="295" spans="1:13" x14ac:dyDescent="0.3">
      <c r="A295" t="s">
        <v>152</v>
      </c>
      <c r="B295" s="165">
        <v>3.1690000000000001E-4</v>
      </c>
      <c r="D295" s="93" t="str">
        <f ca="1">Simulador!C326</f>
        <v/>
      </c>
      <c r="E295" s="1" t="str">
        <f t="shared" ca="1" si="9"/>
        <v/>
      </c>
      <c r="F295" s="1" t="e">
        <f t="shared" ca="1" si="10"/>
        <v>#VALUE!</v>
      </c>
      <c r="G295" s="124" t="e">
        <f ca="1">IF('Simulador Bradesco'!D308&lt;&gt;Parâmetros!B295,VLOOKUP('Base de Dados'!F295,'Base de Dados'!$A$2:$B$64,2,FALSE),VLOOKUP(F295&amp;'Simulador Bradesco'!$I$13,$A$2:$B$600,2,FALSE))</f>
        <v>#VALUE!</v>
      </c>
      <c r="H295" s="1" t="str">
        <f ca="1">Simulador!A326</f>
        <v/>
      </c>
      <c r="L295" s="1">
        <f ca="1">IF(Simulador!A325="",Simulador!$C$8,Simulador!A325)</f>
        <v>46163</v>
      </c>
      <c r="M295" s="4">
        <f ca="1">IF(Simulador!Q325="",0,Simulador!Q325*-1)</f>
        <v>0</v>
      </c>
    </row>
    <row r="296" spans="1:13" x14ac:dyDescent="0.3">
      <c r="A296" t="s">
        <v>152</v>
      </c>
      <c r="B296" s="165">
        <v>3.1690000000000001E-4</v>
      </c>
      <c r="D296" s="93" t="str">
        <f ca="1">Simulador!C327</f>
        <v/>
      </c>
      <c r="E296" s="1" t="str">
        <f t="shared" ca="1" si="9"/>
        <v/>
      </c>
      <c r="F296" s="1" t="e">
        <f t="shared" ca="1" si="10"/>
        <v>#VALUE!</v>
      </c>
      <c r="G296" s="124" t="e">
        <f ca="1">IF('Simulador Bradesco'!D309&lt;&gt;Parâmetros!B296,VLOOKUP('Base de Dados'!F296,'Base de Dados'!$A$2:$B$64,2,FALSE),VLOOKUP(F296&amp;'Simulador Bradesco'!$I$13,$A$2:$B$600,2,FALSE))</f>
        <v>#VALUE!</v>
      </c>
      <c r="H296" s="1" t="str">
        <f ca="1">Simulador!A327</f>
        <v/>
      </c>
      <c r="L296" s="1">
        <f ca="1">IF(Simulador!A326="",Simulador!$C$8,Simulador!A326)</f>
        <v>46163</v>
      </c>
      <c r="M296" s="4">
        <f ca="1">IF(Simulador!Q326="",0,Simulador!Q326*-1)</f>
        <v>0</v>
      </c>
    </row>
    <row r="297" spans="1:13" x14ac:dyDescent="0.3">
      <c r="A297" t="s">
        <v>152</v>
      </c>
      <c r="B297" s="165">
        <v>3.1690000000000001E-4</v>
      </c>
      <c r="D297" s="93" t="str">
        <f ca="1">Simulador!C328</f>
        <v/>
      </c>
      <c r="E297" s="1" t="str">
        <f t="shared" ca="1" si="9"/>
        <v/>
      </c>
      <c r="F297" s="1" t="e">
        <f t="shared" ca="1" si="10"/>
        <v>#VALUE!</v>
      </c>
      <c r="G297" s="124" t="e">
        <f ca="1">IF('Simulador Bradesco'!D310&lt;&gt;Parâmetros!B297,VLOOKUP('Base de Dados'!F297,'Base de Dados'!$A$2:$B$64,2,FALSE),VLOOKUP(F297&amp;'Simulador Bradesco'!$I$13,$A$2:$B$600,2,FALSE))</f>
        <v>#VALUE!</v>
      </c>
      <c r="H297" s="1" t="str">
        <f ca="1">Simulador!A328</f>
        <v/>
      </c>
      <c r="L297" s="1">
        <f ca="1">IF(Simulador!A327="",Simulador!$C$8,Simulador!A327)</f>
        <v>46163</v>
      </c>
      <c r="M297" s="4">
        <f ca="1">IF(Simulador!Q327="",0,Simulador!Q327*-1)</f>
        <v>0</v>
      </c>
    </row>
    <row r="298" spans="1:13" x14ac:dyDescent="0.3">
      <c r="A298" t="s">
        <v>152</v>
      </c>
      <c r="B298" s="165">
        <v>4.3520000000000001E-4</v>
      </c>
      <c r="D298" s="93" t="str">
        <f ca="1">Simulador!C329</f>
        <v/>
      </c>
      <c r="E298" s="1" t="str">
        <f t="shared" ca="1" si="9"/>
        <v/>
      </c>
      <c r="F298" s="1" t="e">
        <f t="shared" ca="1" si="10"/>
        <v>#VALUE!</v>
      </c>
      <c r="G298" s="124" t="e">
        <f ca="1">IF('Simulador Bradesco'!D311&lt;&gt;Parâmetros!B298,VLOOKUP('Base de Dados'!F298,'Base de Dados'!$A$2:$B$64,2,FALSE),VLOOKUP(F298&amp;'Simulador Bradesco'!$I$13,$A$2:$B$600,2,FALSE))</f>
        <v>#VALUE!</v>
      </c>
      <c r="H298" s="1" t="str">
        <f ca="1">Simulador!A329</f>
        <v/>
      </c>
      <c r="L298" s="1">
        <f ca="1">IF(Simulador!A328="",Simulador!$C$8,Simulador!A328)</f>
        <v>46163</v>
      </c>
      <c r="M298" s="4">
        <f ca="1">IF(Simulador!Q328="",0,Simulador!Q328*-1)</f>
        <v>0</v>
      </c>
    </row>
    <row r="299" spans="1:13" x14ac:dyDescent="0.3">
      <c r="A299" t="s">
        <v>152</v>
      </c>
      <c r="B299" s="165">
        <v>4.3520000000000001E-4</v>
      </c>
      <c r="D299" s="93" t="str">
        <f ca="1">Simulador!C330</f>
        <v/>
      </c>
      <c r="E299" s="1" t="str">
        <f t="shared" ca="1" si="9"/>
        <v/>
      </c>
      <c r="F299" s="1" t="e">
        <f t="shared" ca="1" si="10"/>
        <v>#VALUE!</v>
      </c>
      <c r="G299" s="124" t="e">
        <f ca="1">IF('Simulador Bradesco'!D312&lt;&gt;Parâmetros!B299,VLOOKUP('Base de Dados'!F299,'Base de Dados'!$A$2:$B$64,2,FALSE),VLOOKUP(F299&amp;'Simulador Bradesco'!$I$13,$A$2:$B$600,2,FALSE))</f>
        <v>#VALUE!</v>
      </c>
      <c r="H299" s="1" t="str">
        <f ca="1">Simulador!A330</f>
        <v/>
      </c>
      <c r="L299" s="1">
        <f ca="1">IF(Simulador!A329="",Simulador!$C$8,Simulador!A329)</f>
        <v>46163</v>
      </c>
      <c r="M299" s="4">
        <f ca="1">IF(Simulador!Q329="",0,Simulador!Q329*-1)</f>
        <v>0</v>
      </c>
    </row>
    <row r="300" spans="1:13" x14ac:dyDescent="0.3">
      <c r="A300" t="s">
        <v>152</v>
      </c>
      <c r="B300" s="165">
        <v>4.3520000000000001E-4</v>
      </c>
      <c r="D300" s="93" t="str">
        <f ca="1">Simulador!C331</f>
        <v/>
      </c>
      <c r="E300" s="1" t="str">
        <f t="shared" ca="1" si="9"/>
        <v/>
      </c>
      <c r="F300" s="1" t="e">
        <f t="shared" ca="1" si="10"/>
        <v>#VALUE!</v>
      </c>
      <c r="G300" s="124" t="e">
        <f ca="1">IF('Simulador Bradesco'!D313&lt;&gt;Parâmetros!B300,VLOOKUP('Base de Dados'!F300,'Base de Dados'!$A$2:$B$64,2,FALSE),VLOOKUP(F300&amp;'Simulador Bradesco'!$I$13,$A$2:$B$600,2,FALSE))</f>
        <v>#VALUE!</v>
      </c>
      <c r="H300" s="1" t="str">
        <f ca="1">Simulador!A331</f>
        <v/>
      </c>
      <c r="L300" s="1">
        <f ca="1">IF(Simulador!A330="",Simulador!$C$8,Simulador!A330)</f>
        <v>46163</v>
      </c>
      <c r="M300" s="4">
        <f ca="1">IF(Simulador!Q330="",0,Simulador!Q330*-1)</f>
        <v>0</v>
      </c>
    </row>
    <row r="301" spans="1:13" x14ac:dyDescent="0.3">
      <c r="A301" t="s">
        <v>152</v>
      </c>
      <c r="B301" s="165">
        <v>5.8719999999999996E-4</v>
      </c>
      <c r="D301" s="93" t="str">
        <f ca="1">Simulador!C332</f>
        <v/>
      </c>
      <c r="E301" s="1" t="str">
        <f t="shared" ca="1" si="9"/>
        <v/>
      </c>
      <c r="F301" s="1" t="e">
        <f t="shared" ca="1" si="10"/>
        <v>#VALUE!</v>
      </c>
      <c r="G301" s="124" t="e">
        <f ca="1">IF('Simulador Bradesco'!D314&lt;&gt;Parâmetros!B301,VLOOKUP('Base de Dados'!F301,'Base de Dados'!$A$2:$B$64,2,FALSE),VLOOKUP(F301&amp;'Simulador Bradesco'!$I$13,$A$2:$B$600,2,FALSE))</f>
        <v>#VALUE!</v>
      </c>
      <c r="H301" s="1" t="str">
        <f ca="1">Simulador!A332</f>
        <v/>
      </c>
      <c r="L301" s="1">
        <f ca="1">IF(Simulador!A331="",Simulador!$C$8,Simulador!A331)</f>
        <v>46163</v>
      </c>
      <c r="M301" s="4">
        <f ca="1">IF(Simulador!Q331="",0,Simulador!Q331*-1)</f>
        <v>0</v>
      </c>
    </row>
    <row r="302" spans="1:13" x14ac:dyDescent="0.3">
      <c r="A302" t="s">
        <v>152</v>
      </c>
      <c r="B302" s="165">
        <v>5.8719999999999996E-4</v>
      </c>
      <c r="D302" s="93" t="str">
        <f ca="1">Simulador!C333</f>
        <v/>
      </c>
      <c r="E302" s="1" t="str">
        <f t="shared" ca="1" si="9"/>
        <v/>
      </c>
      <c r="F302" s="1" t="e">
        <f t="shared" ca="1" si="10"/>
        <v>#VALUE!</v>
      </c>
      <c r="G302" s="124" t="e">
        <f ca="1">IF('Simulador Bradesco'!D315&lt;&gt;Parâmetros!B302,VLOOKUP('Base de Dados'!F302,'Base de Dados'!$A$2:$B$64,2,FALSE),VLOOKUP(F302&amp;'Simulador Bradesco'!$I$13,$A$2:$B$600,2,FALSE))</f>
        <v>#VALUE!</v>
      </c>
      <c r="H302" s="1" t="str">
        <f ca="1">Simulador!A333</f>
        <v/>
      </c>
      <c r="L302" s="1">
        <f ca="1">IF(Simulador!A332="",Simulador!$C$8,Simulador!A332)</f>
        <v>46163</v>
      </c>
      <c r="M302" s="4">
        <f ca="1">IF(Simulador!Q332="",0,Simulador!Q332*-1)</f>
        <v>0</v>
      </c>
    </row>
    <row r="303" spans="1:13" x14ac:dyDescent="0.3">
      <c r="A303" t="s">
        <v>152</v>
      </c>
      <c r="B303" s="165">
        <v>5.8719999999999996E-4</v>
      </c>
      <c r="D303" s="93" t="str">
        <f ca="1">Simulador!C334</f>
        <v/>
      </c>
      <c r="E303" s="1" t="str">
        <f t="shared" ca="1" si="9"/>
        <v/>
      </c>
      <c r="F303" s="1" t="e">
        <f t="shared" ca="1" si="10"/>
        <v>#VALUE!</v>
      </c>
      <c r="G303" s="124" t="e">
        <f ca="1">IF('Simulador Bradesco'!D316&lt;&gt;Parâmetros!B303,VLOOKUP('Base de Dados'!F303,'Base de Dados'!$A$2:$B$64,2,FALSE),VLOOKUP(F303&amp;'Simulador Bradesco'!$I$13,$A$2:$B$600,2,FALSE))</f>
        <v>#VALUE!</v>
      </c>
      <c r="H303" s="1" t="str">
        <f ca="1">Simulador!A334</f>
        <v/>
      </c>
      <c r="L303" s="1">
        <f ca="1">IF(Simulador!A333="",Simulador!$C$8,Simulador!A333)</f>
        <v>46163</v>
      </c>
      <c r="M303" s="4">
        <f ca="1">IF(Simulador!Q333="",0,Simulador!Q333*-1)</f>
        <v>0</v>
      </c>
    </row>
    <row r="304" spans="1:13" x14ac:dyDescent="0.3">
      <c r="A304" t="s">
        <v>152</v>
      </c>
      <c r="B304" s="165">
        <v>7.6000000000000004E-4</v>
      </c>
      <c r="D304" s="93" t="str">
        <f ca="1">Simulador!C335</f>
        <v/>
      </c>
      <c r="E304" s="1" t="str">
        <f t="shared" ca="1" si="9"/>
        <v/>
      </c>
      <c r="F304" s="1" t="e">
        <f t="shared" ca="1" si="10"/>
        <v>#VALUE!</v>
      </c>
      <c r="G304" s="124" t="e">
        <f ca="1">IF('Simulador Bradesco'!D317&lt;&gt;Parâmetros!B304,VLOOKUP('Base de Dados'!F304,'Base de Dados'!$A$2:$B$64,2,FALSE),VLOOKUP(F304&amp;'Simulador Bradesco'!$I$13,$A$2:$B$600,2,FALSE))</f>
        <v>#VALUE!</v>
      </c>
      <c r="H304" s="1" t="str">
        <f ca="1">Simulador!A335</f>
        <v/>
      </c>
      <c r="L304" s="1">
        <f ca="1">IF(Simulador!A334="",Simulador!$C$8,Simulador!A334)</f>
        <v>46163</v>
      </c>
      <c r="M304" s="4">
        <f ca="1">IF(Simulador!Q334="",0,Simulador!Q334*-1)</f>
        <v>0</v>
      </c>
    </row>
    <row r="305" spans="1:13" x14ac:dyDescent="0.3">
      <c r="A305" t="s">
        <v>152</v>
      </c>
      <c r="B305" s="165">
        <v>7.6000000000000004E-4</v>
      </c>
      <c r="D305" s="93" t="str">
        <f ca="1">Simulador!C336</f>
        <v/>
      </c>
      <c r="E305" s="1" t="str">
        <f t="shared" ca="1" si="9"/>
        <v/>
      </c>
      <c r="F305" s="1" t="e">
        <f t="shared" ca="1" si="10"/>
        <v>#VALUE!</v>
      </c>
      <c r="G305" s="124" t="e">
        <f ca="1">IF('Simulador Bradesco'!D318&lt;&gt;Parâmetros!B305,VLOOKUP('Base de Dados'!F305,'Base de Dados'!$A$2:$B$64,2,FALSE),VLOOKUP(F305&amp;'Simulador Bradesco'!$I$13,$A$2:$B$600,2,FALSE))</f>
        <v>#VALUE!</v>
      </c>
      <c r="H305" s="1" t="str">
        <f ca="1">Simulador!A336</f>
        <v/>
      </c>
      <c r="L305" s="1">
        <f ca="1">IF(Simulador!A335="",Simulador!$C$8,Simulador!A335)</f>
        <v>46163</v>
      </c>
      <c r="M305" s="4">
        <f ca="1">IF(Simulador!Q335="",0,Simulador!Q335*-1)</f>
        <v>0</v>
      </c>
    </row>
    <row r="306" spans="1:13" x14ac:dyDescent="0.3">
      <c r="A306" t="s">
        <v>152</v>
      </c>
      <c r="B306" s="165">
        <v>7.6000000000000004E-4</v>
      </c>
      <c r="D306" s="93" t="str">
        <f ca="1">Simulador!C337</f>
        <v/>
      </c>
      <c r="E306" s="1" t="str">
        <f t="shared" ca="1" si="9"/>
        <v/>
      </c>
      <c r="F306" s="1" t="e">
        <f t="shared" ca="1" si="10"/>
        <v>#VALUE!</v>
      </c>
      <c r="G306" s="124" t="e">
        <f ca="1">IF('Simulador Bradesco'!D319&lt;&gt;Parâmetros!B306,VLOOKUP('Base de Dados'!F306,'Base de Dados'!$A$2:$B$64,2,FALSE),VLOOKUP(F306&amp;'Simulador Bradesco'!$I$13,$A$2:$B$600,2,FALSE))</f>
        <v>#VALUE!</v>
      </c>
      <c r="H306" s="1" t="str">
        <f ca="1">Simulador!A337</f>
        <v/>
      </c>
      <c r="L306" s="1">
        <f ca="1">IF(Simulador!A336="",Simulador!$C$8,Simulador!A336)</f>
        <v>46163</v>
      </c>
      <c r="M306" s="4">
        <f ca="1">IF(Simulador!Q336="",0,Simulador!Q336*-1)</f>
        <v>0</v>
      </c>
    </row>
    <row r="307" spans="1:13" x14ac:dyDescent="0.3">
      <c r="A307" t="s">
        <v>152</v>
      </c>
      <c r="B307" s="165">
        <v>9.3590000000000003E-4</v>
      </c>
      <c r="D307" s="93" t="str">
        <f ca="1">Simulador!C338</f>
        <v/>
      </c>
      <c r="E307" s="1" t="str">
        <f t="shared" ca="1" si="9"/>
        <v/>
      </c>
      <c r="F307" s="1" t="e">
        <f t="shared" ca="1" si="10"/>
        <v>#VALUE!</v>
      </c>
      <c r="G307" s="124" t="e">
        <f ca="1">IF('Simulador Bradesco'!D320&lt;&gt;Parâmetros!B307,VLOOKUP('Base de Dados'!F307,'Base de Dados'!$A$2:$B$64,2,FALSE),VLOOKUP(F307&amp;'Simulador Bradesco'!$I$13,$A$2:$B$600,2,FALSE))</f>
        <v>#VALUE!</v>
      </c>
      <c r="H307" s="1" t="str">
        <f ca="1">Simulador!A338</f>
        <v/>
      </c>
      <c r="L307" s="1">
        <f ca="1">IF(Simulador!A337="",Simulador!$C$8,Simulador!A337)</f>
        <v>46163</v>
      </c>
      <c r="M307" s="4">
        <f ca="1">IF(Simulador!Q337="",0,Simulador!Q337*-1)</f>
        <v>0</v>
      </c>
    </row>
    <row r="308" spans="1:13" x14ac:dyDescent="0.3">
      <c r="A308" t="s">
        <v>152</v>
      </c>
      <c r="B308" s="165">
        <v>9.3590000000000003E-4</v>
      </c>
      <c r="D308" s="93" t="str">
        <f ca="1">Simulador!C339</f>
        <v/>
      </c>
      <c r="E308" s="1" t="str">
        <f t="shared" ca="1" si="9"/>
        <v/>
      </c>
      <c r="F308" s="1" t="e">
        <f t="shared" ca="1" si="10"/>
        <v>#VALUE!</v>
      </c>
      <c r="G308" s="124" t="e">
        <f ca="1">IF('Simulador Bradesco'!D321&lt;&gt;Parâmetros!B308,VLOOKUP('Base de Dados'!F308,'Base de Dados'!$A$2:$B$64,2,FALSE),VLOOKUP(F308&amp;'Simulador Bradesco'!$I$13,$A$2:$B$600,2,FALSE))</f>
        <v>#VALUE!</v>
      </c>
      <c r="H308" s="1" t="str">
        <f ca="1">Simulador!A339</f>
        <v/>
      </c>
      <c r="L308" s="1">
        <f ca="1">IF(Simulador!A338="",Simulador!$C$8,Simulador!A338)</f>
        <v>46163</v>
      </c>
      <c r="M308" s="4">
        <f ca="1">IF(Simulador!Q338="",0,Simulador!Q338*-1)</f>
        <v>0</v>
      </c>
    </row>
    <row r="309" spans="1:13" x14ac:dyDescent="0.3">
      <c r="A309" t="s">
        <v>152</v>
      </c>
      <c r="B309" s="165">
        <v>9.3590000000000003E-4</v>
      </c>
      <c r="D309" s="93" t="str">
        <f ca="1">Simulador!C340</f>
        <v/>
      </c>
      <c r="E309" s="1" t="str">
        <f t="shared" ca="1" si="9"/>
        <v/>
      </c>
      <c r="F309" s="1" t="e">
        <f t="shared" ca="1" si="10"/>
        <v>#VALUE!</v>
      </c>
      <c r="G309" s="124" t="e">
        <f ca="1">IF('Simulador Bradesco'!D322&lt;&gt;Parâmetros!B309,VLOOKUP('Base de Dados'!F309,'Base de Dados'!$A$2:$B$64,2,FALSE),VLOOKUP(F309&amp;'Simulador Bradesco'!$I$13,$A$2:$B$600,2,FALSE))</f>
        <v>#VALUE!</v>
      </c>
      <c r="H309" s="1" t="str">
        <f ca="1">Simulador!A340</f>
        <v/>
      </c>
      <c r="L309" s="1">
        <f ca="1">IF(Simulador!A339="",Simulador!$C$8,Simulador!A339)</f>
        <v>46163</v>
      </c>
      <c r="M309" s="4">
        <f ca="1">IF(Simulador!Q339="",0,Simulador!Q339*-1)</f>
        <v>0</v>
      </c>
    </row>
    <row r="310" spans="1:13" x14ac:dyDescent="0.3">
      <c r="A310" t="s">
        <v>152</v>
      </c>
      <c r="B310" s="165">
        <v>1.1306000000000001E-3</v>
      </c>
      <c r="D310" s="93" t="str">
        <f ca="1">Simulador!C341</f>
        <v/>
      </c>
      <c r="E310" s="1" t="str">
        <f t="shared" ca="1" si="9"/>
        <v/>
      </c>
      <c r="F310" s="1" t="e">
        <f t="shared" ca="1" si="10"/>
        <v>#VALUE!</v>
      </c>
      <c r="G310" s="124" t="e">
        <f ca="1">IF('Simulador Bradesco'!D323&lt;&gt;Parâmetros!B310,VLOOKUP('Base de Dados'!F310,'Base de Dados'!$A$2:$B$64,2,FALSE),VLOOKUP(F310&amp;'Simulador Bradesco'!$I$13,$A$2:$B$600,2,FALSE))</f>
        <v>#VALUE!</v>
      </c>
      <c r="H310" s="1" t="str">
        <f ca="1">Simulador!A341</f>
        <v/>
      </c>
      <c r="L310" s="1">
        <f ca="1">IF(Simulador!A340="",Simulador!$C$8,Simulador!A340)</f>
        <v>46163</v>
      </c>
      <c r="M310" s="4">
        <f ca="1">IF(Simulador!Q340="",0,Simulador!Q340*-1)</f>
        <v>0</v>
      </c>
    </row>
    <row r="311" spans="1:13" x14ac:dyDescent="0.3">
      <c r="A311" t="s">
        <v>152</v>
      </c>
      <c r="B311" s="165">
        <v>1.1306000000000001E-3</v>
      </c>
      <c r="D311" s="93" t="str">
        <f ca="1">Simulador!C342</f>
        <v/>
      </c>
      <c r="E311" s="1" t="str">
        <f t="shared" ca="1" si="9"/>
        <v/>
      </c>
      <c r="F311" s="1" t="e">
        <f t="shared" ca="1" si="10"/>
        <v>#VALUE!</v>
      </c>
      <c r="G311" s="124" t="e">
        <f ca="1">IF('Simulador Bradesco'!D324&lt;&gt;Parâmetros!B311,VLOOKUP('Base de Dados'!F311,'Base de Dados'!$A$2:$B$64,2,FALSE),VLOOKUP(F311&amp;'Simulador Bradesco'!$I$13,$A$2:$B$600,2,FALSE))</f>
        <v>#VALUE!</v>
      </c>
      <c r="H311" s="1" t="str">
        <f ca="1">Simulador!A342</f>
        <v/>
      </c>
      <c r="L311" s="1">
        <f ca="1">IF(Simulador!A341="",Simulador!$C$8,Simulador!A341)</f>
        <v>46163</v>
      </c>
      <c r="M311" s="4">
        <f ca="1">IF(Simulador!Q341="",0,Simulador!Q341*-1)</f>
        <v>0</v>
      </c>
    </row>
    <row r="312" spans="1:13" x14ac:dyDescent="0.3">
      <c r="A312" t="s">
        <v>152</v>
      </c>
      <c r="B312" s="165">
        <v>1.1306000000000001E-3</v>
      </c>
      <c r="D312" s="93" t="str">
        <f ca="1">Simulador!C343</f>
        <v/>
      </c>
      <c r="E312" s="1" t="str">
        <f t="shared" ca="1" si="9"/>
        <v/>
      </c>
      <c r="F312" s="1" t="e">
        <f t="shared" ca="1" si="10"/>
        <v>#VALUE!</v>
      </c>
      <c r="G312" s="124" t="e">
        <f ca="1">IF('Simulador Bradesco'!D325&lt;&gt;Parâmetros!B312,VLOOKUP('Base de Dados'!F312,'Base de Dados'!$A$2:$B$64,2,FALSE),VLOOKUP(F312&amp;'Simulador Bradesco'!$I$13,$A$2:$B$600,2,FALSE))</f>
        <v>#VALUE!</v>
      </c>
      <c r="H312" s="1" t="str">
        <f ca="1">Simulador!A343</f>
        <v/>
      </c>
      <c r="L312" s="1">
        <f ca="1">IF(Simulador!A342="",Simulador!$C$8,Simulador!A342)</f>
        <v>46163</v>
      </c>
      <c r="M312" s="4">
        <f ca="1">IF(Simulador!Q342="",0,Simulador!Q342*-1)</f>
        <v>0</v>
      </c>
    </row>
    <row r="313" spans="1:13" x14ac:dyDescent="0.3">
      <c r="A313" t="s">
        <v>152</v>
      </c>
      <c r="B313" s="165">
        <v>1.3822000000000001E-3</v>
      </c>
      <c r="D313" s="93" t="str">
        <f ca="1">Simulador!C344</f>
        <v/>
      </c>
      <c r="E313" s="1" t="str">
        <f t="shared" ca="1" si="9"/>
        <v/>
      </c>
      <c r="F313" s="1" t="e">
        <f t="shared" ca="1" si="10"/>
        <v>#VALUE!</v>
      </c>
      <c r="G313" s="124" t="e">
        <f ca="1">IF('Simulador Bradesco'!D326&lt;&gt;Parâmetros!B313,VLOOKUP('Base de Dados'!F313,'Base de Dados'!$A$2:$B$64,2,FALSE),VLOOKUP(F313&amp;'Simulador Bradesco'!$I$13,$A$2:$B$600,2,FALSE))</f>
        <v>#VALUE!</v>
      </c>
      <c r="H313" s="1" t="str">
        <f ca="1">Simulador!A344</f>
        <v/>
      </c>
      <c r="L313" s="1">
        <f ca="1">IF(Simulador!A343="",Simulador!$C$8,Simulador!A343)</f>
        <v>46163</v>
      </c>
      <c r="M313" s="4">
        <f ca="1">IF(Simulador!Q343="",0,Simulador!Q343*-1)</f>
        <v>0</v>
      </c>
    </row>
    <row r="314" spans="1:13" x14ac:dyDescent="0.3">
      <c r="A314" t="s">
        <v>152</v>
      </c>
      <c r="B314" s="165">
        <v>1.3822000000000001E-3</v>
      </c>
      <c r="D314" s="93" t="str">
        <f ca="1">Simulador!C345</f>
        <v/>
      </c>
      <c r="E314" s="1" t="str">
        <f t="shared" ca="1" si="9"/>
        <v/>
      </c>
      <c r="F314" s="1" t="e">
        <f t="shared" ca="1" si="10"/>
        <v>#VALUE!</v>
      </c>
      <c r="G314" s="124" t="e">
        <f ca="1">IF('Simulador Bradesco'!D327&lt;&gt;Parâmetros!B314,VLOOKUP('Base de Dados'!F314,'Base de Dados'!$A$2:$B$64,2,FALSE),VLOOKUP(F314&amp;'Simulador Bradesco'!$I$13,$A$2:$B$600,2,FALSE))</f>
        <v>#VALUE!</v>
      </c>
      <c r="H314" s="1" t="str">
        <f ca="1">Simulador!A345</f>
        <v/>
      </c>
      <c r="L314" s="1">
        <f ca="1">IF(Simulador!A344="",Simulador!$C$8,Simulador!A344)</f>
        <v>46163</v>
      </c>
      <c r="M314" s="4">
        <f ca="1">IF(Simulador!Q344="",0,Simulador!Q344*-1)</f>
        <v>0</v>
      </c>
    </row>
    <row r="315" spans="1:13" x14ac:dyDescent="0.3">
      <c r="A315" t="s">
        <v>152</v>
      </c>
      <c r="B315" s="165">
        <v>1.3822000000000001E-3</v>
      </c>
      <c r="D315" s="93" t="str">
        <f ca="1">Simulador!C346</f>
        <v/>
      </c>
      <c r="E315" s="1" t="str">
        <f t="shared" ca="1" si="9"/>
        <v/>
      </c>
      <c r="F315" s="1" t="e">
        <f t="shared" ca="1" si="10"/>
        <v>#VALUE!</v>
      </c>
      <c r="G315" s="124" t="e">
        <f ca="1">IF('Simulador Bradesco'!D328&lt;&gt;Parâmetros!B315,VLOOKUP('Base de Dados'!F315,'Base de Dados'!$A$2:$B$64,2,FALSE),VLOOKUP(F315&amp;'Simulador Bradesco'!$I$13,$A$2:$B$600,2,FALSE))</f>
        <v>#VALUE!</v>
      </c>
      <c r="H315" s="1" t="str">
        <f ca="1">Simulador!A346</f>
        <v/>
      </c>
      <c r="L315" s="1">
        <f ca="1">IF(Simulador!A345="",Simulador!$C$8,Simulador!A345)</f>
        <v>46163</v>
      </c>
      <c r="M315" s="4">
        <f ca="1">IF(Simulador!Q345="",0,Simulador!Q345*-1)</f>
        <v>0</v>
      </c>
    </row>
    <row r="316" spans="1:13" x14ac:dyDescent="0.3">
      <c r="A316" t="s">
        <v>152</v>
      </c>
      <c r="B316" s="165">
        <v>1.7815999999999999E-3</v>
      </c>
      <c r="D316" s="93" t="str">
        <f ca="1">Simulador!C347</f>
        <v/>
      </c>
      <c r="E316" s="1" t="str">
        <f t="shared" ca="1" si="9"/>
        <v/>
      </c>
      <c r="F316" s="1" t="e">
        <f t="shared" ca="1" si="10"/>
        <v>#VALUE!</v>
      </c>
      <c r="G316" s="124" t="e">
        <f ca="1">IF('Simulador Bradesco'!D329&lt;&gt;Parâmetros!B316,VLOOKUP('Base de Dados'!F316,'Base de Dados'!$A$2:$B$64,2,FALSE),VLOOKUP(F316&amp;'Simulador Bradesco'!$I$13,$A$2:$B$600,2,FALSE))</f>
        <v>#VALUE!</v>
      </c>
      <c r="H316" s="1" t="str">
        <f ca="1">Simulador!A347</f>
        <v/>
      </c>
      <c r="L316" s="1">
        <f ca="1">IF(Simulador!A346="",Simulador!$C$8,Simulador!A346)</f>
        <v>46163</v>
      </c>
      <c r="M316" s="4">
        <f ca="1">IF(Simulador!Q346="",0,Simulador!Q346*-1)</f>
        <v>0</v>
      </c>
    </row>
    <row r="317" spans="1:13" x14ac:dyDescent="0.3">
      <c r="A317" t="s">
        <v>152</v>
      </c>
      <c r="B317" s="165">
        <v>1.7815999999999999E-3</v>
      </c>
      <c r="D317" s="93" t="str">
        <f ca="1">Simulador!C348</f>
        <v/>
      </c>
      <c r="E317" s="1" t="str">
        <f t="shared" ca="1" si="9"/>
        <v/>
      </c>
      <c r="F317" s="1" t="e">
        <f t="shared" ca="1" si="10"/>
        <v>#VALUE!</v>
      </c>
      <c r="G317" s="124" t="e">
        <f ca="1">IF('Simulador Bradesco'!D330&lt;&gt;Parâmetros!B317,VLOOKUP('Base de Dados'!F317,'Base de Dados'!$A$2:$B$64,2,FALSE),VLOOKUP(F317&amp;'Simulador Bradesco'!$I$13,$A$2:$B$600,2,FALSE))</f>
        <v>#VALUE!</v>
      </c>
      <c r="H317" s="1" t="str">
        <f ca="1">Simulador!A348</f>
        <v/>
      </c>
      <c r="L317" s="1">
        <f ca="1">IF(Simulador!A347="",Simulador!$C$8,Simulador!A347)</f>
        <v>46163</v>
      </c>
      <c r="M317" s="4">
        <f ca="1">IF(Simulador!Q347="",0,Simulador!Q347*-1)</f>
        <v>0</v>
      </c>
    </row>
    <row r="318" spans="1:13" x14ac:dyDescent="0.3">
      <c r="A318" t="s">
        <v>152</v>
      </c>
      <c r="B318" s="165">
        <v>1.7815999999999999E-3</v>
      </c>
      <c r="D318" s="93" t="str">
        <f ca="1">Simulador!C349</f>
        <v/>
      </c>
      <c r="E318" s="1" t="str">
        <f t="shared" ca="1" si="9"/>
        <v/>
      </c>
      <c r="F318" s="1" t="e">
        <f t="shared" ca="1" si="10"/>
        <v>#VALUE!</v>
      </c>
      <c r="G318" s="124" t="e">
        <f ca="1">IF('Simulador Bradesco'!D331&lt;&gt;Parâmetros!B318,VLOOKUP('Base de Dados'!F318,'Base de Dados'!$A$2:$B$64,2,FALSE),VLOOKUP(F318&amp;'Simulador Bradesco'!$I$13,$A$2:$B$600,2,FALSE))</f>
        <v>#VALUE!</v>
      </c>
      <c r="H318" s="1" t="str">
        <f ca="1">Simulador!A349</f>
        <v/>
      </c>
      <c r="L318" s="1">
        <f ca="1">IF(Simulador!A348="",Simulador!$C$8,Simulador!A348)</f>
        <v>46163</v>
      </c>
      <c r="M318" s="4">
        <f ca="1">IF(Simulador!Q348="",0,Simulador!Q348*-1)</f>
        <v>0</v>
      </c>
    </row>
    <row r="319" spans="1:13" x14ac:dyDescent="0.3">
      <c r="A319" t="s">
        <v>152</v>
      </c>
      <c r="B319" s="165">
        <v>2.2041000000000001E-3</v>
      </c>
      <c r="D319" s="93" t="str">
        <f ca="1">Simulador!C350</f>
        <v/>
      </c>
      <c r="E319" s="1" t="str">
        <f t="shared" ca="1" si="9"/>
        <v/>
      </c>
      <c r="F319" s="1" t="e">
        <f t="shared" ca="1" si="10"/>
        <v>#VALUE!</v>
      </c>
      <c r="G319" s="124" t="e">
        <f ca="1">IF('Simulador Bradesco'!D332&lt;&gt;Parâmetros!B319,VLOOKUP('Base de Dados'!F319,'Base de Dados'!$A$2:$B$64,2,FALSE),VLOOKUP(F319&amp;'Simulador Bradesco'!$I$13,$A$2:$B$600,2,FALSE))</f>
        <v>#VALUE!</v>
      </c>
      <c r="H319" s="1" t="str">
        <f ca="1">Simulador!A350</f>
        <v/>
      </c>
      <c r="L319" s="1">
        <f ca="1">IF(Simulador!A349="",Simulador!$C$8,Simulador!A349)</f>
        <v>46163</v>
      </c>
      <c r="M319" s="4">
        <f ca="1">IF(Simulador!Q349="",0,Simulador!Q349*-1)</f>
        <v>0</v>
      </c>
    </row>
    <row r="320" spans="1:13" x14ac:dyDescent="0.3">
      <c r="A320" t="s">
        <v>152</v>
      </c>
      <c r="B320" s="165">
        <v>2.2041000000000001E-3</v>
      </c>
      <c r="D320" s="93" t="str">
        <f ca="1">Simulador!C351</f>
        <v/>
      </c>
      <c r="E320" s="1" t="str">
        <f t="shared" ca="1" si="9"/>
        <v/>
      </c>
      <c r="F320" s="1" t="e">
        <f t="shared" ca="1" si="10"/>
        <v>#VALUE!</v>
      </c>
      <c r="G320" s="124" t="e">
        <f ca="1">IF('Simulador Bradesco'!D333&lt;&gt;Parâmetros!B320,VLOOKUP('Base de Dados'!F320,'Base de Dados'!$A$2:$B$64,2,FALSE),VLOOKUP(F320&amp;'Simulador Bradesco'!$I$13,$A$2:$B$600,2,FALSE))</f>
        <v>#VALUE!</v>
      </c>
      <c r="H320" s="1" t="str">
        <f ca="1">Simulador!A351</f>
        <v/>
      </c>
      <c r="L320" s="1">
        <f ca="1">IF(Simulador!A350="",Simulador!$C$8,Simulador!A350)</f>
        <v>46163</v>
      </c>
      <c r="M320" s="4">
        <f ca="1">IF(Simulador!Q350="",0,Simulador!Q350*-1)</f>
        <v>0</v>
      </c>
    </row>
    <row r="321" spans="1:13" x14ac:dyDescent="0.3">
      <c r="A321" t="s">
        <v>152</v>
      </c>
      <c r="B321" s="165">
        <v>2.2041000000000001E-3</v>
      </c>
      <c r="D321" s="93" t="str">
        <f ca="1">Simulador!C352</f>
        <v/>
      </c>
      <c r="E321" s="1" t="str">
        <f t="shared" ca="1" si="9"/>
        <v/>
      </c>
      <c r="F321" s="1" t="e">
        <f t="shared" ca="1" si="10"/>
        <v>#VALUE!</v>
      </c>
      <c r="G321" s="124" t="e">
        <f ca="1">IF('Simulador Bradesco'!D334&lt;&gt;Parâmetros!B321,VLOOKUP('Base de Dados'!F321,'Base de Dados'!$A$2:$B$64,2,FALSE),VLOOKUP(F321&amp;'Simulador Bradesco'!$I$13,$A$2:$B$600,2,FALSE))</f>
        <v>#VALUE!</v>
      </c>
      <c r="H321" s="1" t="str">
        <f ca="1">Simulador!A352</f>
        <v/>
      </c>
      <c r="L321" s="1">
        <f ca="1">IF(Simulador!A351="",Simulador!$C$8,Simulador!A351)</f>
        <v>46163</v>
      </c>
      <c r="M321" s="4">
        <f ca="1">IF(Simulador!Q351="",0,Simulador!Q351*-1)</f>
        <v>0</v>
      </c>
    </row>
    <row r="322" spans="1:13" x14ac:dyDescent="0.3">
      <c r="A322" t="s">
        <v>152</v>
      </c>
      <c r="B322" s="165">
        <v>2.983E-3</v>
      </c>
      <c r="D322" s="93" t="str">
        <f ca="1">Simulador!C353</f>
        <v/>
      </c>
      <c r="E322" s="1" t="str">
        <f t="shared" ca="1" si="9"/>
        <v/>
      </c>
      <c r="F322" s="1" t="e">
        <f t="shared" ca="1" si="10"/>
        <v>#VALUE!</v>
      </c>
      <c r="G322" s="124" t="e">
        <f ca="1">IF('Simulador Bradesco'!D335&lt;&gt;Parâmetros!B322,VLOOKUP('Base de Dados'!F322,'Base de Dados'!$A$2:$B$64,2,FALSE),VLOOKUP(F322&amp;'Simulador Bradesco'!$I$13,$A$2:$B$600,2,FALSE))</f>
        <v>#VALUE!</v>
      </c>
      <c r="H322" s="1" t="str">
        <f ca="1">Simulador!A353</f>
        <v/>
      </c>
      <c r="L322" s="1">
        <f ca="1">IF(Simulador!A352="",Simulador!$C$8,Simulador!A352)</f>
        <v>46163</v>
      </c>
      <c r="M322" s="4">
        <f ca="1">IF(Simulador!Q352="",0,Simulador!Q352*-1)</f>
        <v>0</v>
      </c>
    </row>
    <row r="323" spans="1:13" x14ac:dyDescent="0.3">
      <c r="A323" t="s">
        <v>152</v>
      </c>
      <c r="B323" s="165">
        <v>2.983E-3</v>
      </c>
      <c r="D323" s="93" t="str">
        <f ca="1">Simulador!C354</f>
        <v/>
      </c>
      <c r="E323" s="1" t="str">
        <f t="shared" ref="E323:E362" ca="1" si="11">H323</f>
        <v/>
      </c>
      <c r="F323" s="1" t="e">
        <f t="shared" ca="1" si="10"/>
        <v>#VALUE!</v>
      </c>
      <c r="G323" s="124" t="e">
        <f ca="1">IF('Simulador Bradesco'!D336&lt;&gt;Parâmetros!B323,VLOOKUP('Base de Dados'!F323,'Base de Dados'!$A$2:$B$64,2,FALSE),VLOOKUP(F323&amp;'Simulador Bradesco'!$I$13,$A$2:$B$600,2,FALSE))</f>
        <v>#VALUE!</v>
      </c>
      <c r="H323" s="1" t="str">
        <f ca="1">Simulador!A354</f>
        <v/>
      </c>
      <c r="L323" s="1">
        <f ca="1">IF(Simulador!A353="",Simulador!$C$8,Simulador!A353)</f>
        <v>46163</v>
      </c>
      <c r="M323" s="4">
        <f ca="1">IF(Simulador!Q353="",0,Simulador!Q353*-1)</f>
        <v>0</v>
      </c>
    </row>
    <row r="324" spans="1:13" x14ac:dyDescent="0.3">
      <c r="A324" t="s">
        <v>152</v>
      </c>
      <c r="B324" s="165">
        <v>2.983E-3</v>
      </c>
      <c r="D324" s="93" t="str">
        <f ca="1">Simulador!C355</f>
        <v/>
      </c>
      <c r="E324" s="1" t="str">
        <f t="shared" ca="1" si="11"/>
        <v/>
      </c>
      <c r="F324" s="1" t="e">
        <f t="shared" ref="F324:F387" ca="1" si="12">ROUNDDOWN(_xlfn.DAYS(E324,$B$1)/365,0)</f>
        <v>#VALUE!</v>
      </c>
      <c r="G324" s="124" t="e">
        <f ca="1">IF('Simulador Bradesco'!D337&lt;&gt;Parâmetros!B324,VLOOKUP('Base de Dados'!F324,'Base de Dados'!$A$2:$B$64,2,FALSE),VLOOKUP(F324&amp;'Simulador Bradesco'!$I$13,$A$2:$B$600,2,FALSE))</f>
        <v>#VALUE!</v>
      </c>
      <c r="H324" s="1" t="str">
        <f ca="1">Simulador!A355</f>
        <v/>
      </c>
      <c r="L324" s="1">
        <f ca="1">IF(Simulador!A354="",Simulador!$C$8,Simulador!A354)</f>
        <v>46163</v>
      </c>
      <c r="M324" s="4">
        <f ca="1">IF(Simulador!Q354="",0,Simulador!Q354*-1)</f>
        <v>0</v>
      </c>
    </row>
    <row r="325" spans="1:13" x14ac:dyDescent="0.3">
      <c r="A325" t="s">
        <v>152</v>
      </c>
      <c r="B325" s="165">
        <v>4.0109000000000004E-3</v>
      </c>
      <c r="D325" s="93" t="str">
        <f ca="1">Simulador!C356</f>
        <v/>
      </c>
      <c r="E325" s="1" t="str">
        <f t="shared" ca="1" si="11"/>
        <v/>
      </c>
      <c r="F325" s="1" t="e">
        <f t="shared" ca="1" si="12"/>
        <v>#VALUE!</v>
      </c>
      <c r="G325" s="124" t="e">
        <f ca="1">IF('Simulador Bradesco'!D338&lt;&gt;Parâmetros!B325,VLOOKUP('Base de Dados'!F325,'Base de Dados'!$A$2:$B$64,2,FALSE),VLOOKUP(F325&amp;'Simulador Bradesco'!$I$13,$A$2:$B$600,2,FALSE))</f>
        <v>#VALUE!</v>
      </c>
      <c r="H325" s="1" t="str">
        <f ca="1">Simulador!A356</f>
        <v/>
      </c>
      <c r="L325" s="1">
        <f ca="1">IF(Simulador!A355="",Simulador!$C$8,Simulador!A355)</f>
        <v>46163</v>
      </c>
      <c r="M325" s="4">
        <f ca="1">IF(Simulador!Q355="",0,Simulador!Q355*-1)</f>
        <v>0</v>
      </c>
    </row>
    <row r="326" spans="1:13" x14ac:dyDescent="0.3">
      <c r="A326" t="s">
        <v>152</v>
      </c>
      <c r="B326" s="165">
        <v>4.0109000000000004E-3</v>
      </c>
      <c r="D326" s="93" t="str">
        <f ca="1">Simulador!C357</f>
        <v/>
      </c>
      <c r="E326" s="1" t="str">
        <f t="shared" ca="1" si="11"/>
        <v/>
      </c>
      <c r="F326" s="1" t="e">
        <f t="shared" ca="1" si="12"/>
        <v>#VALUE!</v>
      </c>
      <c r="G326" s="124" t="e">
        <f ca="1">IF('Simulador Bradesco'!D339&lt;&gt;Parâmetros!B326,VLOOKUP('Base de Dados'!F326,'Base de Dados'!$A$2:$B$64,2,FALSE),VLOOKUP(F326&amp;'Simulador Bradesco'!$I$13,$A$2:$B$600,2,FALSE))</f>
        <v>#VALUE!</v>
      </c>
      <c r="H326" s="1" t="str">
        <f ca="1">Simulador!A357</f>
        <v/>
      </c>
      <c r="L326" s="1">
        <f ca="1">IF(Simulador!A356="",Simulador!$C$8,Simulador!A356)</f>
        <v>46163</v>
      </c>
      <c r="M326" s="4">
        <f ca="1">IF(Simulador!Q356="",0,Simulador!Q356*-1)</f>
        <v>0</v>
      </c>
    </row>
    <row r="327" spans="1:13" x14ac:dyDescent="0.3">
      <c r="A327" t="s">
        <v>152</v>
      </c>
      <c r="B327" s="165">
        <v>4.0109000000000004E-3</v>
      </c>
      <c r="D327" s="93" t="str">
        <f ca="1">Simulador!C358</f>
        <v/>
      </c>
      <c r="E327" s="1" t="str">
        <f t="shared" ca="1" si="11"/>
        <v/>
      </c>
      <c r="F327" s="1" t="e">
        <f t="shared" ca="1" si="12"/>
        <v>#VALUE!</v>
      </c>
      <c r="G327" s="124" t="e">
        <f ca="1">IF('Simulador Bradesco'!D340&lt;&gt;Parâmetros!B327,VLOOKUP('Base de Dados'!F327,'Base de Dados'!$A$2:$B$64,2,FALSE),VLOOKUP(F327&amp;'Simulador Bradesco'!$I$13,$A$2:$B$600,2,FALSE))</f>
        <v>#VALUE!</v>
      </c>
      <c r="H327" s="1" t="str">
        <f ca="1">Simulador!A358</f>
        <v/>
      </c>
      <c r="L327" s="1">
        <f ca="1">IF(Simulador!A357="",Simulador!$C$8,Simulador!A357)</f>
        <v>46163</v>
      </c>
      <c r="M327" s="4">
        <f ca="1">IF(Simulador!Q357="",0,Simulador!Q357*-1)</f>
        <v>0</v>
      </c>
    </row>
    <row r="328" spans="1:13" x14ac:dyDescent="0.3">
      <c r="A328" t="s">
        <v>152</v>
      </c>
      <c r="B328" s="165">
        <v>7.1247999999999997E-3</v>
      </c>
      <c r="D328" s="93" t="str">
        <f ca="1">Simulador!C359</f>
        <v/>
      </c>
      <c r="E328" s="1" t="str">
        <f t="shared" ca="1" si="11"/>
        <v/>
      </c>
      <c r="F328" s="1" t="e">
        <f t="shared" ca="1" si="12"/>
        <v>#VALUE!</v>
      </c>
      <c r="G328" s="124" t="e">
        <f ca="1">IF('Simulador Bradesco'!D341&lt;&gt;Parâmetros!B328,VLOOKUP('Base de Dados'!F328,'Base de Dados'!$A$2:$B$64,2,FALSE),VLOOKUP(F328&amp;'Simulador Bradesco'!$I$13,$A$2:$B$600,2,FALSE))</f>
        <v>#VALUE!</v>
      </c>
      <c r="H328" s="1" t="str">
        <f ca="1">Simulador!A359</f>
        <v/>
      </c>
      <c r="L328" s="1">
        <f ca="1">IF(Simulador!A358="",Simulador!$C$8,Simulador!A358)</f>
        <v>46163</v>
      </c>
      <c r="M328" s="4">
        <f ca="1">IF(Simulador!Q358="",0,Simulador!Q358*-1)</f>
        <v>0</v>
      </c>
    </row>
    <row r="329" spans="1:13" x14ac:dyDescent="0.3">
      <c r="A329" t="s">
        <v>152</v>
      </c>
      <c r="B329" s="165">
        <v>7.1247999999999997E-3</v>
      </c>
      <c r="D329" s="93" t="str">
        <f ca="1">Simulador!C360</f>
        <v/>
      </c>
      <c r="E329" s="1" t="str">
        <f t="shared" ca="1" si="11"/>
        <v/>
      </c>
      <c r="F329" s="1" t="e">
        <f t="shared" ca="1" si="12"/>
        <v>#VALUE!</v>
      </c>
      <c r="G329" s="124" t="e">
        <f ca="1">IF('Simulador Bradesco'!D342&lt;&gt;Parâmetros!B329,VLOOKUP('Base de Dados'!F329,'Base de Dados'!$A$2:$B$64,2,FALSE),VLOOKUP(F329&amp;'Simulador Bradesco'!$I$13,$A$2:$B$600,2,FALSE))</f>
        <v>#VALUE!</v>
      </c>
      <c r="H329" s="1" t="str">
        <f ca="1">Simulador!A360</f>
        <v/>
      </c>
      <c r="L329" s="1">
        <f ca="1">IF(Simulador!A359="",Simulador!$C$8,Simulador!A359)</f>
        <v>46163</v>
      </c>
      <c r="M329" s="4">
        <f ca="1">IF(Simulador!Q359="",0,Simulador!Q359*-1)</f>
        <v>0</v>
      </c>
    </row>
    <row r="330" spans="1:13" x14ac:dyDescent="0.3">
      <c r="A330" t="s">
        <v>152</v>
      </c>
      <c r="B330" s="165">
        <v>7.1247999999999997E-3</v>
      </c>
      <c r="D330" s="93" t="str">
        <f ca="1">Simulador!C361</f>
        <v/>
      </c>
      <c r="E330" s="1" t="str">
        <f t="shared" ca="1" si="11"/>
        <v/>
      </c>
      <c r="F330" s="1" t="e">
        <f t="shared" ca="1" si="12"/>
        <v>#VALUE!</v>
      </c>
      <c r="G330" s="124" t="e">
        <f ca="1">IF('Simulador Bradesco'!D343&lt;&gt;Parâmetros!B330,VLOOKUP('Base de Dados'!F330,'Base de Dados'!$A$2:$B$64,2,FALSE),VLOOKUP(F330&amp;'Simulador Bradesco'!$I$13,$A$2:$B$600,2,FALSE))</f>
        <v>#VALUE!</v>
      </c>
      <c r="H330" s="1" t="str">
        <f ca="1">Simulador!A361</f>
        <v/>
      </c>
      <c r="L330" s="1">
        <f ca="1">IF(Simulador!A360="",Simulador!$C$8,Simulador!A360)</f>
        <v>46163</v>
      </c>
      <c r="M330" s="4">
        <f ca="1">IF(Simulador!Q360="",0,Simulador!Q360*-1)</f>
        <v>0</v>
      </c>
    </row>
    <row r="331" spans="1:13" x14ac:dyDescent="0.3">
      <c r="A331" t="s">
        <v>152</v>
      </c>
      <c r="B331" s="165">
        <v>9.5271999999999996E-3</v>
      </c>
      <c r="D331" s="93" t="str">
        <f ca="1">Simulador!C362</f>
        <v/>
      </c>
      <c r="E331" s="1" t="str">
        <f t="shared" ca="1" si="11"/>
        <v/>
      </c>
      <c r="F331" s="1" t="e">
        <f t="shared" ca="1" si="12"/>
        <v>#VALUE!</v>
      </c>
      <c r="G331" s="124" t="e">
        <f ca="1">IF('Simulador Bradesco'!D344&lt;&gt;Parâmetros!B331,VLOOKUP('Base de Dados'!F331,'Base de Dados'!$A$2:$B$64,2,FALSE),VLOOKUP(F331&amp;'Simulador Bradesco'!$I$13,$A$2:$B$600,2,FALSE))</f>
        <v>#VALUE!</v>
      </c>
      <c r="H331" s="1" t="str">
        <f ca="1">Simulador!A362</f>
        <v/>
      </c>
      <c r="L331" s="1">
        <f ca="1">IF(Simulador!A361="",Simulador!$C$8,Simulador!A361)</f>
        <v>46163</v>
      </c>
      <c r="M331" s="4">
        <f ca="1">IF(Simulador!Q361="",0,Simulador!Q361*-1)</f>
        <v>0</v>
      </c>
    </row>
    <row r="332" spans="1:13" x14ac:dyDescent="0.3">
      <c r="A332" t="s">
        <v>152</v>
      </c>
      <c r="B332" s="165">
        <v>9.5271999999999996E-3</v>
      </c>
      <c r="D332" s="93" t="str">
        <f ca="1">Simulador!C363</f>
        <v/>
      </c>
      <c r="E332" s="1" t="str">
        <f t="shared" ca="1" si="11"/>
        <v/>
      </c>
      <c r="F332" s="1" t="e">
        <f t="shared" ca="1" si="12"/>
        <v>#VALUE!</v>
      </c>
      <c r="G332" s="124" t="e">
        <f ca="1">IF('Simulador Bradesco'!D345&lt;&gt;Parâmetros!B332,VLOOKUP('Base de Dados'!F332,'Base de Dados'!$A$2:$B$64,2,FALSE),VLOOKUP(F332&amp;'Simulador Bradesco'!$I$13,$A$2:$B$600,2,FALSE))</f>
        <v>#VALUE!</v>
      </c>
      <c r="H332" s="1" t="str">
        <f ca="1">Simulador!A363</f>
        <v/>
      </c>
      <c r="L332" s="1">
        <f ca="1">IF(Simulador!A362="",Simulador!$C$8,Simulador!A362)</f>
        <v>46163</v>
      </c>
      <c r="M332" s="4">
        <f ca="1">IF(Simulador!Q362="",0,Simulador!Q362*-1)</f>
        <v>0</v>
      </c>
    </row>
    <row r="333" spans="1:13" x14ac:dyDescent="0.3">
      <c r="A333" t="s">
        <v>152</v>
      </c>
      <c r="B333" s="165">
        <v>9.5271999999999996E-3</v>
      </c>
      <c r="D333" s="93" t="str">
        <f ca="1">Simulador!C364</f>
        <v/>
      </c>
      <c r="E333" s="1" t="str">
        <f t="shared" ca="1" si="11"/>
        <v/>
      </c>
      <c r="F333" s="1" t="e">
        <f t="shared" ca="1" si="12"/>
        <v>#VALUE!</v>
      </c>
      <c r="G333" s="124" t="e">
        <f ca="1">IF('Simulador Bradesco'!D346&lt;&gt;Parâmetros!B333,VLOOKUP('Base de Dados'!F333,'Base de Dados'!$A$2:$B$64,2,FALSE),VLOOKUP(F333&amp;'Simulador Bradesco'!$I$13,$A$2:$B$600,2,FALSE))</f>
        <v>#VALUE!</v>
      </c>
      <c r="H333" s="1" t="str">
        <f ca="1">Simulador!A364</f>
        <v/>
      </c>
      <c r="L333" s="1">
        <f ca="1">IF(Simulador!A363="",Simulador!$C$8,Simulador!A363)</f>
        <v>46163</v>
      </c>
      <c r="M333" s="4">
        <f ca="1">IF(Simulador!Q363="",0,Simulador!Q363*-1)</f>
        <v>0</v>
      </c>
    </row>
    <row r="334" spans="1:13" x14ac:dyDescent="0.3">
      <c r="A334" t="s">
        <v>152</v>
      </c>
      <c r="B334" s="165">
        <v>0</v>
      </c>
      <c r="D334" s="93" t="str">
        <f ca="1">Simulador!C365</f>
        <v/>
      </c>
      <c r="E334" s="1" t="str">
        <f t="shared" ca="1" si="11"/>
        <v/>
      </c>
      <c r="F334" s="1" t="e">
        <f t="shared" ca="1" si="12"/>
        <v>#VALUE!</v>
      </c>
      <c r="G334" s="124" t="e">
        <f ca="1">IF('Simulador Bradesco'!D347&lt;&gt;Parâmetros!B334,VLOOKUP('Base de Dados'!F334,'Base de Dados'!$A$2:$B$64,2,FALSE),VLOOKUP(F334&amp;'Simulador Bradesco'!$I$13,$A$2:$B$600,2,FALSE))</f>
        <v>#VALUE!</v>
      </c>
      <c r="H334" s="1" t="str">
        <f ca="1">Simulador!A365</f>
        <v/>
      </c>
      <c r="L334" s="1">
        <f ca="1">IF(Simulador!A364="",Simulador!$C$8,Simulador!A364)</f>
        <v>46163</v>
      </c>
      <c r="M334" s="4">
        <f ca="1">IF(Simulador!Q364="",0,Simulador!Q364*-1)</f>
        <v>0</v>
      </c>
    </row>
    <row r="335" spans="1:13" x14ac:dyDescent="0.3">
      <c r="A335" t="s">
        <v>152</v>
      </c>
      <c r="B335" s="165">
        <v>0</v>
      </c>
      <c r="D335" s="93" t="str">
        <f ca="1">Simulador!C366</f>
        <v/>
      </c>
      <c r="E335" s="1" t="str">
        <f t="shared" ca="1" si="11"/>
        <v/>
      </c>
      <c r="F335" s="1" t="e">
        <f t="shared" ca="1" si="12"/>
        <v>#VALUE!</v>
      </c>
      <c r="G335" s="124" t="e">
        <f ca="1">IF('Simulador Bradesco'!D348&lt;&gt;Parâmetros!B335,VLOOKUP('Base de Dados'!F335,'Base de Dados'!$A$2:$B$64,2,FALSE),VLOOKUP(F335&amp;'Simulador Bradesco'!$I$13,$A$2:$B$600,2,FALSE))</f>
        <v>#VALUE!</v>
      </c>
      <c r="H335" s="1" t="str">
        <f ca="1">Simulador!A366</f>
        <v/>
      </c>
      <c r="L335" s="1">
        <f ca="1">IF(Simulador!A365="",Simulador!$C$8,Simulador!A365)</f>
        <v>46163</v>
      </c>
      <c r="M335" s="4">
        <f ca="1">IF(Simulador!Q365="",0,Simulador!Q365*-1)</f>
        <v>0</v>
      </c>
    </row>
    <row r="336" spans="1:13" x14ac:dyDescent="0.3">
      <c r="A336" t="s">
        <v>152</v>
      </c>
      <c r="B336" s="165">
        <v>0</v>
      </c>
      <c r="D336" s="93" t="str">
        <f ca="1">Simulador!C367</f>
        <v/>
      </c>
      <c r="E336" s="1" t="str">
        <f t="shared" ca="1" si="11"/>
        <v/>
      </c>
      <c r="F336" s="1" t="e">
        <f t="shared" ca="1" si="12"/>
        <v>#VALUE!</v>
      </c>
      <c r="G336" s="124" t="e">
        <f ca="1">IF('Simulador Bradesco'!D349&lt;&gt;Parâmetros!B336,VLOOKUP('Base de Dados'!F336,'Base de Dados'!$A$2:$B$64,2,FALSE),VLOOKUP(F336&amp;'Simulador Bradesco'!$I$13,$A$2:$B$600,2,FALSE))</f>
        <v>#VALUE!</v>
      </c>
      <c r="H336" s="1" t="str">
        <f ca="1">Simulador!A367</f>
        <v/>
      </c>
      <c r="L336" s="1">
        <f ca="1">IF(Simulador!A366="",Simulador!$C$8,Simulador!A366)</f>
        <v>46163</v>
      </c>
      <c r="M336" s="4">
        <f ca="1">IF(Simulador!Q366="",0,Simulador!Q366*-1)</f>
        <v>0</v>
      </c>
    </row>
    <row r="337" spans="1:13" x14ac:dyDescent="0.3">
      <c r="A337" t="s">
        <v>152</v>
      </c>
      <c r="B337" s="165">
        <v>0</v>
      </c>
      <c r="D337" s="93" t="str">
        <f ca="1">Simulador!C368</f>
        <v/>
      </c>
      <c r="E337" s="1" t="str">
        <f t="shared" ca="1" si="11"/>
        <v/>
      </c>
      <c r="F337" s="1" t="e">
        <f t="shared" ca="1" si="12"/>
        <v>#VALUE!</v>
      </c>
      <c r="G337" s="124" t="e">
        <f ca="1">IF('Simulador Bradesco'!D350&lt;&gt;Parâmetros!B337,VLOOKUP('Base de Dados'!F337,'Base de Dados'!$A$2:$B$64,2,FALSE),VLOOKUP(F337&amp;'Simulador Bradesco'!$I$13,$A$2:$B$600,2,FALSE))</f>
        <v>#VALUE!</v>
      </c>
      <c r="H337" s="1" t="str">
        <f ca="1">Simulador!A368</f>
        <v/>
      </c>
      <c r="L337" s="1">
        <f ca="1">IF(Simulador!A367="",Simulador!$C$8,Simulador!A367)</f>
        <v>46163</v>
      </c>
      <c r="M337" s="4">
        <f ca="1">IF(Simulador!Q367="",0,Simulador!Q367*-1)</f>
        <v>0</v>
      </c>
    </row>
    <row r="338" spans="1:13" x14ac:dyDescent="0.3">
      <c r="A338" t="s">
        <v>152</v>
      </c>
      <c r="B338" s="165">
        <v>0</v>
      </c>
      <c r="D338" s="93" t="str">
        <f ca="1">Simulador!C369</f>
        <v/>
      </c>
      <c r="E338" s="1" t="str">
        <f t="shared" ca="1" si="11"/>
        <v/>
      </c>
      <c r="F338" s="1" t="e">
        <f t="shared" ca="1" si="12"/>
        <v>#VALUE!</v>
      </c>
      <c r="G338" s="124" t="e">
        <f ca="1">IF('Simulador Bradesco'!D351&lt;&gt;Parâmetros!B338,VLOOKUP('Base de Dados'!F338,'Base de Dados'!$A$2:$B$64,2,FALSE),VLOOKUP(F338&amp;'Simulador Bradesco'!$I$13,$A$2:$B$600,2,FALSE))</f>
        <v>#VALUE!</v>
      </c>
      <c r="H338" s="1" t="str">
        <f ca="1">Simulador!A369</f>
        <v/>
      </c>
      <c r="L338" s="1">
        <f ca="1">IF(Simulador!A368="",Simulador!$C$8,Simulador!A368)</f>
        <v>46163</v>
      </c>
      <c r="M338" s="4">
        <f ca="1">IF(Simulador!Q368="",0,Simulador!Q368*-1)</f>
        <v>0</v>
      </c>
    </row>
    <row r="339" spans="1:13" x14ac:dyDescent="0.3">
      <c r="A339" t="s">
        <v>152</v>
      </c>
      <c r="B339" s="165">
        <v>0</v>
      </c>
      <c r="D339" s="93" t="str">
        <f ca="1">Simulador!C370</f>
        <v/>
      </c>
      <c r="E339" s="1" t="str">
        <f t="shared" ca="1" si="11"/>
        <v/>
      </c>
      <c r="F339" s="1" t="e">
        <f t="shared" ca="1" si="12"/>
        <v>#VALUE!</v>
      </c>
      <c r="G339" s="124" t="e">
        <f ca="1">IF('Simulador Bradesco'!D352&lt;&gt;Parâmetros!B339,VLOOKUP('Base de Dados'!F339,'Base de Dados'!$A$2:$B$64,2,FALSE),VLOOKUP(F339&amp;'Simulador Bradesco'!$I$13,$A$2:$B$600,2,FALSE))</f>
        <v>#VALUE!</v>
      </c>
      <c r="H339" s="1" t="str">
        <f ca="1">Simulador!A370</f>
        <v/>
      </c>
      <c r="L339" s="1">
        <f ca="1">IF(Simulador!A369="",Simulador!$C$8,Simulador!A369)</f>
        <v>46163</v>
      </c>
      <c r="M339" s="4">
        <f ca="1">IF(Simulador!Q369="",0,Simulador!Q369*-1)</f>
        <v>0</v>
      </c>
    </row>
    <row r="340" spans="1:13" x14ac:dyDescent="0.3">
      <c r="A340" t="s">
        <v>152</v>
      </c>
      <c r="B340" s="165">
        <v>0</v>
      </c>
      <c r="D340" s="93" t="str">
        <f ca="1">Simulador!C371</f>
        <v/>
      </c>
      <c r="E340" s="1" t="str">
        <f t="shared" ca="1" si="11"/>
        <v/>
      </c>
      <c r="F340" s="1" t="e">
        <f t="shared" ca="1" si="12"/>
        <v>#VALUE!</v>
      </c>
      <c r="G340" s="124" t="e">
        <f ca="1">IF('Simulador Bradesco'!D353&lt;&gt;Parâmetros!B340,VLOOKUP('Base de Dados'!F340,'Base de Dados'!$A$2:$B$64,2,FALSE),VLOOKUP(F340&amp;'Simulador Bradesco'!$I$13,$A$2:$B$600,2,FALSE))</f>
        <v>#VALUE!</v>
      </c>
      <c r="H340" s="1" t="str">
        <f ca="1">Simulador!A371</f>
        <v/>
      </c>
      <c r="L340" s="1">
        <f ca="1">IF(Simulador!A370="",Simulador!$C$8,Simulador!A370)</f>
        <v>46163</v>
      </c>
      <c r="M340" s="4">
        <f ca="1">IF(Simulador!Q370="",0,Simulador!Q370*-1)</f>
        <v>0</v>
      </c>
    </row>
    <row r="341" spans="1:13" x14ac:dyDescent="0.3">
      <c r="A341" t="s">
        <v>152</v>
      </c>
      <c r="B341" s="165">
        <v>0</v>
      </c>
      <c r="D341" s="93" t="str">
        <f ca="1">Simulador!C372</f>
        <v/>
      </c>
      <c r="E341" s="1" t="str">
        <f t="shared" ca="1" si="11"/>
        <v/>
      </c>
      <c r="F341" s="1" t="e">
        <f t="shared" ca="1" si="12"/>
        <v>#VALUE!</v>
      </c>
      <c r="G341" s="124" t="e">
        <f ca="1">IF('Simulador Bradesco'!D354&lt;&gt;Parâmetros!B341,VLOOKUP('Base de Dados'!F341,'Base de Dados'!$A$2:$B$64,2,FALSE),VLOOKUP(F341&amp;'Simulador Bradesco'!$I$13,$A$2:$B$600,2,FALSE))</f>
        <v>#VALUE!</v>
      </c>
      <c r="H341" s="1" t="str">
        <f ca="1">Simulador!A372</f>
        <v/>
      </c>
      <c r="L341" s="1">
        <f ca="1">IF(Simulador!A371="",Simulador!$C$8,Simulador!A371)</f>
        <v>46163</v>
      </c>
      <c r="M341" s="4">
        <f ca="1">IF(Simulador!Q371="",0,Simulador!Q371*-1)</f>
        <v>0</v>
      </c>
    </row>
    <row r="342" spans="1:13" x14ac:dyDescent="0.3">
      <c r="A342" t="s">
        <v>152</v>
      </c>
      <c r="B342" s="165">
        <v>0</v>
      </c>
      <c r="D342" s="93" t="str">
        <f ca="1">Simulador!C373</f>
        <v/>
      </c>
      <c r="E342" s="1" t="str">
        <f t="shared" ca="1" si="11"/>
        <v/>
      </c>
      <c r="F342" s="1" t="e">
        <f t="shared" ca="1" si="12"/>
        <v>#VALUE!</v>
      </c>
      <c r="G342" s="124" t="e">
        <f ca="1">IF('Simulador Bradesco'!D355&lt;&gt;Parâmetros!B342,VLOOKUP('Base de Dados'!F342,'Base de Dados'!$A$2:$B$64,2,FALSE),VLOOKUP(F342&amp;'Simulador Bradesco'!$I$13,$A$2:$B$600,2,FALSE))</f>
        <v>#VALUE!</v>
      </c>
      <c r="H342" s="1" t="str">
        <f ca="1">Simulador!A373</f>
        <v/>
      </c>
      <c r="L342" s="1">
        <f ca="1">IF(Simulador!A372="",Simulador!$C$8,Simulador!A372)</f>
        <v>46163</v>
      </c>
      <c r="M342" s="4">
        <f ca="1">IF(Simulador!Q372="",0,Simulador!Q372*-1)</f>
        <v>0</v>
      </c>
    </row>
    <row r="343" spans="1:13" x14ac:dyDescent="0.3">
      <c r="A343" t="s">
        <v>152</v>
      </c>
      <c r="B343" s="165">
        <v>0</v>
      </c>
      <c r="D343" s="93" t="str">
        <f ca="1">Simulador!C374</f>
        <v/>
      </c>
      <c r="E343" s="1" t="str">
        <f t="shared" ca="1" si="11"/>
        <v/>
      </c>
      <c r="F343" s="1" t="e">
        <f t="shared" ca="1" si="12"/>
        <v>#VALUE!</v>
      </c>
      <c r="G343" s="124" t="e">
        <f ca="1">IF('Simulador Bradesco'!D356&lt;&gt;Parâmetros!B343,VLOOKUP('Base de Dados'!F343,'Base de Dados'!$A$2:$B$64,2,FALSE),VLOOKUP(F343&amp;'Simulador Bradesco'!$I$13,$A$2:$B$600,2,FALSE))</f>
        <v>#VALUE!</v>
      </c>
      <c r="H343" s="1" t="str">
        <f ca="1">Simulador!A374</f>
        <v/>
      </c>
      <c r="L343" s="1">
        <f ca="1">IF(Simulador!A373="",Simulador!$C$8,Simulador!A373)</f>
        <v>46163</v>
      </c>
      <c r="M343" s="4">
        <f ca="1">IF(Simulador!Q373="",0,Simulador!Q373*-1)</f>
        <v>0</v>
      </c>
    </row>
    <row r="344" spans="1:13" x14ac:dyDescent="0.3">
      <c r="A344" t="s">
        <v>152</v>
      </c>
      <c r="B344" s="165">
        <v>0</v>
      </c>
      <c r="D344" s="93" t="str">
        <f ca="1">Simulador!C375</f>
        <v/>
      </c>
      <c r="E344" s="1" t="str">
        <f t="shared" ca="1" si="11"/>
        <v/>
      </c>
      <c r="F344" s="1" t="e">
        <f t="shared" ca="1" si="12"/>
        <v>#VALUE!</v>
      </c>
      <c r="G344" s="124" t="e">
        <f ca="1">IF('Simulador Bradesco'!D357&lt;&gt;Parâmetros!B344,VLOOKUP('Base de Dados'!F344,'Base de Dados'!$A$2:$B$64,2,FALSE),VLOOKUP(F344&amp;'Simulador Bradesco'!$I$13,$A$2:$B$600,2,FALSE))</f>
        <v>#VALUE!</v>
      </c>
      <c r="H344" s="1" t="str">
        <f ca="1">Simulador!A375</f>
        <v/>
      </c>
      <c r="L344" s="1">
        <f ca="1">IF(Simulador!A374="",Simulador!$C$8,Simulador!A374)</f>
        <v>46163</v>
      </c>
      <c r="M344" s="4">
        <f ca="1">IF(Simulador!Q374="",0,Simulador!Q374*-1)</f>
        <v>0</v>
      </c>
    </row>
    <row r="345" spans="1:13" x14ac:dyDescent="0.3">
      <c r="A345" t="s">
        <v>152</v>
      </c>
      <c r="B345" s="165">
        <v>0</v>
      </c>
      <c r="D345" s="93" t="str">
        <f ca="1">Simulador!C376</f>
        <v/>
      </c>
      <c r="E345" s="1" t="str">
        <f t="shared" ca="1" si="11"/>
        <v/>
      </c>
      <c r="F345" s="1" t="e">
        <f t="shared" ca="1" si="12"/>
        <v>#VALUE!</v>
      </c>
      <c r="G345" s="124" t="e">
        <f ca="1">IF('Simulador Bradesco'!D358&lt;&gt;Parâmetros!B345,VLOOKUP('Base de Dados'!F345,'Base de Dados'!$A$2:$B$64,2,FALSE),VLOOKUP(F345&amp;'Simulador Bradesco'!$I$13,$A$2:$B$600,2,FALSE))</f>
        <v>#VALUE!</v>
      </c>
      <c r="H345" s="1" t="str">
        <f ca="1">Simulador!A376</f>
        <v/>
      </c>
      <c r="L345" s="1">
        <f ca="1">IF(Simulador!A375="",Simulador!$C$8,Simulador!A375)</f>
        <v>46163</v>
      </c>
      <c r="M345" s="4">
        <f ca="1">IF(Simulador!Q375="",0,Simulador!Q375*-1)</f>
        <v>0</v>
      </c>
    </row>
    <row r="346" spans="1:13" x14ac:dyDescent="0.3">
      <c r="A346" t="s">
        <v>152</v>
      </c>
      <c r="B346" s="165">
        <v>0</v>
      </c>
      <c r="D346" s="93" t="str">
        <f ca="1">Simulador!C377</f>
        <v/>
      </c>
      <c r="E346" s="1" t="str">
        <f t="shared" ca="1" si="11"/>
        <v/>
      </c>
      <c r="F346" s="1" t="e">
        <f t="shared" ca="1" si="12"/>
        <v>#VALUE!</v>
      </c>
      <c r="G346" s="124" t="e">
        <f ca="1">IF('Simulador Bradesco'!D359&lt;&gt;Parâmetros!B346,VLOOKUP('Base de Dados'!F346,'Base de Dados'!$A$2:$B$64,2,FALSE),VLOOKUP(F346&amp;'Simulador Bradesco'!$I$13,$A$2:$B$600,2,FALSE))</f>
        <v>#VALUE!</v>
      </c>
      <c r="H346" s="1" t="str">
        <f ca="1">Simulador!A377</f>
        <v/>
      </c>
      <c r="L346" s="1">
        <f ca="1">IF(Simulador!A376="",Simulador!$C$8,Simulador!A376)</f>
        <v>46163</v>
      </c>
      <c r="M346" s="4">
        <f ca="1">IF(Simulador!Q376="",0,Simulador!Q376*-1)</f>
        <v>0</v>
      </c>
    </row>
    <row r="347" spans="1:13" x14ac:dyDescent="0.3">
      <c r="A347" t="s">
        <v>152</v>
      </c>
      <c r="B347" s="165">
        <v>0</v>
      </c>
      <c r="D347" s="93" t="str">
        <f ca="1">Simulador!C378</f>
        <v/>
      </c>
      <c r="E347" s="1" t="str">
        <f t="shared" ca="1" si="11"/>
        <v/>
      </c>
      <c r="F347" s="1" t="e">
        <f t="shared" ca="1" si="12"/>
        <v>#VALUE!</v>
      </c>
      <c r="G347" s="124" t="e">
        <f ca="1">IF('Simulador Bradesco'!D360&lt;&gt;Parâmetros!B347,VLOOKUP('Base de Dados'!F347,'Base de Dados'!$A$2:$B$64,2,FALSE),VLOOKUP(F347&amp;'Simulador Bradesco'!$I$13,$A$2:$B$600,2,FALSE))</f>
        <v>#VALUE!</v>
      </c>
      <c r="H347" s="1" t="str">
        <f ca="1">Simulador!A378</f>
        <v/>
      </c>
      <c r="L347" s="1">
        <f ca="1">IF(Simulador!A377="",Simulador!$C$8,Simulador!A377)</f>
        <v>46163</v>
      </c>
      <c r="M347" s="4">
        <f ca="1">IF(Simulador!Q377="",0,Simulador!Q377*-1)</f>
        <v>0</v>
      </c>
    </row>
    <row r="348" spans="1:13" x14ac:dyDescent="0.3">
      <c r="A348" t="s">
        <v>152</v>
      </c>
      <c r="B348" s="165">
        <v>0</v>
      </c>
      <c r="D348" s="93" t="str">
        <f ca="1">Simulador!C379</f>
        <v/>
      </c>
      <c r="E348" s="1" t="str">
        <f t="shared" ca="1" si="11"/>
        <v/>
      </c>
      <c r="F348" s="1" t="e">
        <f t="shared" ca="1" si="12"/>
        <v>#VALUE!</v>
      </c>
      <c r="G348" s="124" t="e">
        <f ca="1">IF('Simulador Bradesco'!D361&lt;&gt;Parâmetros!B348,VLOOKUP('Base de Dados'!F348,'Base de Dados'!$A$2:$B$64,2,FALSE),VLOOKUP(F348&amp;'Simulador Bradesco'!$I$13,$A$2:$B$600,2,FALSE))</f>
        <v>#VALUE!</v>
      </c>
      <c r="H348" s="1" t="str">
        <f ca="1">Simulador!A379</f>
        <v/>
      </c>
      <c r="L348" s="1">
        <f ca="1">IF(Simulador!A378="",Simulador!$C$8,Simulador!A378)</f>
        <v>46163</v>
      </c>
      <c r="M348" s="4">
        <f ca="1">IF(Simulador!Q378="",0,Simulador!Q378*-1)</f>
        <v>0</v>
      </c>
    </row>
    <row r="349" spans="1:13" x14ac:dyDescent="0.3">
      <c r="A349" t="s">
        <v>152</v>
      </c>
      <c r="B349" s="165">
        <v>0</v>
      </c>
      <c r="D349" s="93" t="str">
        <f ca="1">Simulador!C380</f>
        <v/>
      </c>
      <c r="E349" s="1" t="str">
        <f t="shared" ca="1" si="11"/>
        <v/>
      </c>
      <c r="F349" s="1" t="e">
        <f t="shared" ca="1" si="12"/>
        <v>#VALUE!</v>
      </c>
      <c r="G349" s="124" t="e">
        <f ca="1">IF('Simulador Bradesco'!D362&lt;&gt;Parâmetros!B349,VLOOKUP('Base de Dados'!F349,'Base de Dados'!$A$2:$B$64,2,FALSE),VLOOKUP(F349&amp;'Simulador Bradesco'!$I$13,$A$2:$B$600,2,FALSE))</f>
        <v>#VALUE!</v>
      </c>
      <c r="H349" s="1" t="str">
        <f ca="1">Simulador!A380</f>
        <v/>
      </c>
      <c r="L349" s="1">
        <f ca="1">IF(Simulador!A379="",Simulador!$C$8,Simulador!A379)</f>
        <v>46163</v>
      </c>
      <c r="M349" s="4">
        <f ca="1">IF(Simulador!Q379="",0,Simulador!Q379*-1)</f>
        <v>0</v>
      </c>
    </row>
    <row r="350" spans="1:13" x14ac:dyDescent="0.3">
      <c r="A350" t="s">
        <v>152</v>
      </c>
      <c r="B350" s="165">
        <v>0</v>
      </c>
      <c r="D350" s="93" t="str">
        <f ca="1">Simulador!C381</f>
        <v/>
      </c>
      <c r="E350" s="1" t="str">
        <f t="shared" ca="1" si="11"/>
        <v/>
      </c>
      <c r="F350" s="1" t="e">
        <f t="shared" ca="1" si="12"/>
        <v>#VALUE!</v>
      </c>
      <c r="G350" s="124" t="e">
        <f ca="1">IF('Simulador Bradesco'!D363&lt;&gt;Parâmetros!B350,VLOOKUP('Base de Dados'!F350,'Base de Dados'!$A$2:$B$64,2,FALSE),VLOOKUP(F350&amp;'Simulador Bradesco'!$I$13,$A$2:$B$600,2,FALSE))</f>
        <v>#VALUE!</v>
      </c>
      <c r="H350" s="1" t="str">
        <f ca="1">Simulador!A381</f>
        <v/>
      </c>
      <c r="L350" s="1">
        <f ca="1">IF(Simulador!A380="",Simulador!$C$8,Simulador!A380)</f>
        <v>46163</v>
      </c>
      <c r="M350" s="4">
        <f ca="1">IF(Simulador!Q380="",0,Simulador!Q380*-1)</f>
        <v>0</v>
      </c>
    </row>
    <row r="351" spans="1:13" x14ac:dyDescent="0.3">
      <c r="A351" t="s">
        <v>152</v>
      </c>
      <c r="B351" s="165">
        <v>1.0489999999999999E-4</v>
      </c>
      <c r="D351" s="93" t="str">
        <f ca="1">Simulador!C382</f>
        <v/>
      </c>
      <c r="E351" s="1" t="str">
        <f t="shared" ca="1" si="11"/>
        <v/>
      </c>
      <c r="F351" s="1" t="e">
        <f t="shared" ca="1" si="12"/>
        <v>#VALUE!</v>
      </c>
      <c r="G351" s="124" t="e">
        <f ca="1">IF('Simulador Bradesco'!D364&lt;&gt;Parâmetros!B351,VLOOKUP('Base de Dados'!F351,'Base de Dados'!$A$2:$B$64,2,FALSE),VLOOKUP(F351&amp;'Simulador Bradesco'!$I$13,$A$2:$B$600,2,FALSE))</f>
        <v>#VALUE!</v>
      </c>
      <c r="H351" s="1" t="str">
        <f ca="1">Simulador!A382</f>
        <v/>
      </c>
      <c r="L351" s="1">
        <f ca="1">IF(Simulador!A381="",Simulador!$C$8,Simulador!A381)</f>
        <v>46163</v>
      </c>
      <c r="M351" s="4">
        <f ca="1">IF(Simulador!Q381="",0,Simulador!Q381*-1)</f>
        <v>0</v>
      </c>
    </row>
    <row r="352" spans="1:13" x14ac:dyDescent="0.3">
      <c r="A352" t="s">
        <v>152</v>
      </c>
      <c r="B352" s="165">
        <v>1.0489999999999999E-4</v>
      </c>
      <c r="D352" s="93" t="str">
        <f ca="1">Simulador!C383</f>
        <v/>
      </c>
      <c r="E352" s="1" t="str">
        <f t="shared" ca="1" si="11"/>
        <v/>
      </c>
      <c r="F352" s="1" t="e">
        <f t="shared" ca="1" si="12"/>
        <v>#VALUE!</v>
      </c>
      <c r="G352" s="124" t="e">
        <f ca="1">IF('Simulador Bradesco'!D365&lt;&gt;Parâmetros!B352,VLOOKUP('Base de Dados'!F352,'Base de Dados'!$A$2:$B$64,2,FALSE),VLOOKUP(F352&amp;'Simulador Bradesco'!$I$13,$A$2:$B$600,2,FALSE))</f>
        <v>#VALUE!</v>
      </c>
      <c r="H352" s="1" t="str">
        <f ca="1">Simulador!A383</f>
        <v/>
      </c>
      <c r="L352" s="1">
        <f ca="1">IF(Simulador!A382="",Simulador!$C$8,Simulador!A382)</f>
        <v>46163</v>
      </c>
      <c r="M352" s="4">
        <f ca="1">IF(Simulador!Q382="",0,Simulador!Q382*-1)</f>
        <v>0</v>
      </c>
    </row>
    <row r="353" spans="1:13" x14ac:dyDescent="0.3">
      <c r="A353" t="s">
        <v>152</v>
      </c>
      <c r="B353" s="165">
        <v>1.0489999999999999E-4</v>
      </c>
      <c r="D353" s="93" t="str">
        <f ca="1">Simulador!C384</f>
        <v/>
      </c>
      <c r="E353" s="1" t="str">
        <f t="shared" ca="1" si="11"/>
        <v/>
      </c>
      <c r="F353" s="1" t="e">
        <f t="shared" ca="1" si="12"/>
        <v>#VALUE!</v>
      </c>
      <c r="G353" s="124" t="e">
        <f ca="1">IF('Simulador Bradesco'!D366&lt;&gt;Parâmetros!B353,VLOOKUP('Base de Dados'!F353,'Base de Dados'!$A$2:$B$64,2,FALSE),VLOOKUP(F353&amp;'Simulador Bradesco'!$I$13,$A$2:$B$600,2,FALSE))</f>
        <v>#VALUE!</v>
      </c>
      <c r="H353" s="1" t="str">
        <f ca="1">Simulador!A384</f>
        <v/>
      </c>
      <c r="L353" s="1">
        <f ca="1">IF(Simulador!A383="",Simulador!$C$8,Simulador!A383)</f>
        <v>46163</v>
      </c>
      <c r="M353" s="4">
        <f ca="1">IF(Simulador!Q383="",0,Simulador!Q383*-1)</f>
        <v>0</v>
      </c>
    </row>
    <row r="354" spans="1:13" x14ac:dyDescent="0.3">
      <c r="A354" t="s">
        <v>152</v>
      </c>
      <c r="B354" s="165">
        <v>1.13E-4</v>
      </c>
      <c r="D354" s="93" t="str">
        <f ca="1">Simulador!C385</f>
        <v/>
      </c>
      <c r="E354" s="1" t="str">
        <f t="shared" ca="1" si="11"/>
        <v/>
      </c>
      <c r="F354" s="1" t="e">
        <f t="shared" ca="1" si="12"/>
        <v>#VALUE!</v>
      </c>
      <c r="G354" s="124" t="e">
        <f ca="1">IF('Simulador Bradesco'!D367&lt;&gt;Parâmetros!B354,VLOOKUP('Base de Dados'!F354,'Base de Dados'!$A$2:$B$64,2,FALSE),VLOOKUP(F354&amp;'Simulador Bradesco'!$I$13,$A$2:$B$600,2,FALSE))</f>
        <v>#VALUE!</v>
      </c>
      <c r="H354" s="1" t="str">
        <f ca="1">Simulador!A385</f>
        <v/>
      </c>
      <c r="L354" s="1">
        <f ca="1">IF(Simulador!A384="",Simulador!$C$8,Simulador!A384)</f>
        <v>46163</v>
      </c>
      <c r="M354" s="4">
        <f ca="1">IF(Simulador!Q384="",0,Simulador!Q384*-1)</f>
        <v>0</v>
      </c>
    </row>
    <row r="355" spans="1:13" x14ac:dyDescent="0.3">
      <c r="A355" t="s">
        <v>152</v>
      </c>
      <c r="B355" s="165">
        <v>1.13E-4</v>
      </c>
      <c r="D355" s="93" t="str">
        <f ca="1">Simulador!C386</f>
        <v/>
      </c>
      <c r="E355" s="1" t="str">
        <f t="shared" ca="1" si="11"/>
        <v/>
      </c>
      <c r="F355" s="1" t="e">
        <f t="shared" ca="1" si="12"/>
        <v>#VALUE!</v>
      </c>
      <c r="G355" s="124" t="e">
        <f ca="1">IF('Simulador Bradesco'!D368&lt;&gt;Parâmetros!B355,VLOOKUP('Base de Dados'!F355,'Base de Dados'!$A$2:$B$64,2,FALSE),VLOOKUP(F355&amp;'Simulador Bradesco'!$I$13,$A$2:$B$600,2,FALSE))</f>
        <v>#VALUE!</v>
      </c>
      <c r="H355" s="1" t="str">
        <f ca="1">Simulador!A386</f>
        <v/>
      </c>
      <c r="L355" s="1">
        <f ca="1">IF(Simulador!A385="",Simulador!$C$8,Simulador!A385)</f>
        <v>46163</v>
      </c>
      <c r="M355" s="4">
        <f ca="1">IF(Simulador!Q385="",0,Simulador!Q385*-1)</f>
        <v>0</v>
      </c>
    </row>
    <row r="356" spans="1:13" x14ac:dyDescent="0.3">
      <c r="A356" t="s">
        <v>152</v>
      </c>
      <c r="B356" s="165">
        <v>1.13E-4</v>
      </c>
      <c r="D356" s="93" t="str">
        <f ca="1">Simulador!C387</f>
        <v/>
      </c>
      <c r="E356" s="1" t="str">
        <f t="shared" ca="1" si="11"/>
        <v/>
      </c>
      <c r="F356" s="1" t="e">
        <f t="shared" ca="1" si="12"/>
        <v>#VALUE!</v>
      </c>
      <c r="G356" s="124" t="e">
        <f ca="1">IF('Simulador Bradesco'!D369&lt;&gt;Parâmetros!B356,VLOOKUP('Base de Dados'!F356,'Base de Dados'!$A$2:$B$64,2,FALSE),VLOOKUP(F356&amp;'Simulador Bradesco'!$I$13,$A$2:$B$600,2,FALSE))</f>
        <v>#VALUE!</v>
      </c>
      <c r="H356" s="1" t="str">
        <f ca="1">Simulador!A387</f>
        <v/>
      </c>
      <c r="L356" s="1">
        <f ca="1">IF(Simulador!A386="",Simulador!$C$8,Simulador!A386)</f>
        <v>46163</v>
      </c>
      <c r="M356" s="4">
        <f ca="1">IF(Simulador!Q386="",0,Simulador!Q386*-1)</f>
        <v>0</v>
      </c>
    </row>
    <row r="357" spans="1:13" x14ac:dyDescent="0.3">
      <c r="A357" t="s">
        <v>152</v>
      </c>
      <c r="B357" s="165">
        <v>1.193E-4</v>
      </c>
      <c r="D357" s="93" t="str">
        <f ca="1">Simulador!C388</f>
        <v/>
      </c>
      <c r="E357" s="1" t="str">
        <f t="shared" ca="1" si="11"/>
        <v/>
      </c>
      <c r="F357" s="1" t="e">
        <f t="shared" ca="1" si="12"/>
        <v>#VALUE!</v>
      </c>
      <c r="G357" s="124" t="e">
        <f ca="1">IF('Simulador Bradesco'!D370&lt;&gt;Parâmetros!B357,VLOOKUP('Base de Dados'!F357,'Base de Dados'!$A$2:$B$64,2,FALSE),VLOOKUP(F357&amp;'Simulador Bradesco'!$I$13,$A$2:$B$600,2,FALSE))</f>
        <v>#VALUE!</v>
      </c>
      <c r="H357" s="1" t="str">
        <f ca="1">Simulador!A388</f>
        <v/>
      </c>
      <c r="L357" s="1">
        <f ca="1">IF(Simulador!A387="",Simulador!$C$8,Simulador!A387)</f>
        <v>46163</v>
      </c>
      <c r="M357" s="4">
        <f ca="1">IF(Simulador!Q387="",0,Simulador!Q387*-1)</f>
        <v>0</v>
      </c>
    </row>
    <row r="358" spans="1:13" x14ac:dyDescent="0.3">
      <c r="A358" t="s">
        <v>152</v>
      </c>
      <c r="B358" s="165">
        <v>1.193E-4</v>
      </c>
      <c r="D358" s="93" t="str">
        <f ca="1">Simulador!C389</f>
        <v/>
      </c>
      <c r="E358" s="1" t="str">
        <f t="shared" ca="1" si="11"/>
        <v/>
      </c>
      <c r="F358" s="1" t="e">
        <f t="shared" ca="1" si="12"/>
        <v>#VALUE!</v>
      </c>
      <c r="G358" s="124" t="e">
        <f ca="1">IF('Simulador Bradesco'!D371&lt;&gt;Parâmetros!B358,VLOOKUP('Base de Dados'!F358,'Base de Dados'!$A$2:$B$64,2,FALSE),VLOOKUP(F358&amp;'Simulador Bradesco'!$I$13,$A$2:$B$600,2,FALSE))</f>
        <v>#VALUE!</v>
      </c>
      <c r="H358" s="1" t="str">
        <f ca="1">Simulador!A389</f>
        <v/>
      </c>
      <c r="L358" s="1">
        <f ca="1">IF(Simulador!A388="",Simulador!$C$8,Simulador!A388)</f>
        <v>46163</v>
      </c>
      <c r="M358" s="4">
        <f ca="1">IF(Simulador!Q388="",0,Simulador!Q388*-1)</f>
        <v>0</v>
      </c>
    </row>
    <row r="359" spans="1:13" x14ac:dyDescent="0.3">
      <c r="A359" t="s">
        <v>152</v>
      </c>
      <c r="B359" s="165">
        <v>1.193E-4</v>
      </c>
      <c r="D359" s="93" t="str">
        <f ca="1">Simulador!C390</f>
        <v/>
      </c>
      <c r="E359" s="1" t="str">
        <f t="shared" ca="1" si="11"/>
        <v/>
      </c>
      <c r="F359" s="1" t="e">
        <f t="shared" ca="1" si="12"/>
        <v>#VALUE!</v>
      </c>
      <c r="G359" s="124" t="e">
        <f ca="1">IF('Simulador Bradesco'!D372&lt;&gt;Parâmetros!B359,VLOOKUP('Base de Dados'!F359,'Base de Dados'!$A$2:$B$64,2,FALSE),VLOOKUP(F359&amp;'Simulador Bradesco'!$I$13,$A$2:$B$600,2,FALSE))</f>
        <v>#VALUE!</v>
      </c>
      <c r="H359" s="1" t="str">
        <f ca="1">Simulador!A390</f>
        <v/>
      </c>
      <c r="L359" s="1">
        <f ca="1">IF(Simulador!A389="",Simulador!$C$8,Simulador!A389)</f>
        <v>46163</v>
      </c>
      <c r="M359" s="4">
        <f ca="1">IF(Simulador!Q389="",0,Simulador!Q389*-1)</f>
        <v>0</v>
      </c>
    </row>
    <row r="360" spans="1:13" x14ac:dyDescent="0.3">
      <c r="A360" t="s">
        <v>152</v>
      </c>
      <c r="B360" s="165">
        <v>1.304E-4</v>
      </c>
      <c r="D360" s="93" t="str">
        <f ca="1">Simulador!C391</f>
        <v/>
      </c>
      <c r="E360" s="1" t="str">
        <f t="shared" ca="1" si="11"/>
        <v/>
      </c>
      <c r="F360" s="1" t="e">
        <f t="shared" ca="1" si="12"/>
        <v>#VALUE!</v>
      </c>
      <c r="G360" s="124" t="e">
        <f ca="1">IF('Simulador Bradesco'!D373&lt;&gt;Parâmetros!B360,VLOOKUP('Base de Dados'!F360,'Base de Dados'!$A$2:$B$64,2,FALSE),VLOOKUP(F360&amp;'Simulador Bradesco'!$I$13,$A$2:$B$600,2,FALSE))</f>
        <v>#VALUE!</v>
      </c>
      <c r="H360" s="1" t="str">
        <f ca="1">Simulador!A391</f>
        <v/>
      </c>
      <c r="L360" s="1">
        <f ca="1">IF(Simulador!A390="",Simulador!$C$8,Simulador!A390)</f>
        <v>46163</v>
      </c>
      <c r="M360" s="4">
        <f ca="1">IF(Simulador!Q390="",0,Simulador!Q390*-1)</f>
        <v>0</v>
      </c>
    </row>
    <row r="361" spans="1:13" x14ac:dyDescent="0.3">
      <c r="A361" t="s">
        <v>152</v>
      </c>
      <c r="B361" s="165">
        <v>1.304E-4</v>
      </c>
      <c r="D361" s="93" t="str">
        <f ca="1">Simulador!C392</f>
        <v/>
      </c>
      <c r="E361" s="1" t="str">
        <f t="shared" ca="1" si="11"/>
        <v/>
      </c>
      <c r="F361" s="1" t="e">
        <f t="shared" ca="1" si="12"/>
        <v>#VALUE!</v>
      </c>
      <c r="G361" s="124" t="e">
        <f ca="1">IF('Simulador Bradesco'!D374&lt;&gt;Parâmetros!B361,VLOOKUP('Base de Dados'!F361,'Base de Dados'!$A$2:$B$64,2,FALSE),VLOOKUP(F361&amp;'Simulador Bradesco'!$I$13,$A$2:$B$600,2,FALSE))</f>
        <v>#VALUE!</v>
      </c>
      <c r="H361" s="1" t="str">
        <f ca="1">Simulador!A392</f>
        <v/>
      </c>
      <c r="L361" s="1">
        <f ca="1">IF(Simulador!A391="",Simulador!$C$8,Simulador!A391)</f>
        <v>46163</v>
      </c>
      <c r="M361" s="4">
        <f ca="1">IF(Simulador!Q391="",0,Simulador!Q391*-1)</f>
        <v>0</v>
      </c>
    </row>
    <row r="362" spans="1:13" x14ac:dyDescent="0.3">
      <c r="A362" t="s">
        <v>152</v>
      </c>
      <c r="B362" s="165">
        <v>1.304E-4</v>
      </c>
      <c r="D362" s="93" t="str">
        <f ca="1">Simulador!C393</f>
        <v/>
      </c>
      <c r="E362" s="1" t="str">
        <f t="shared" ca="1" si="11"/>
        <v/>
      </c>
      <c r="F362" s="1" t="e">
        <f t="shared" ca="1" si="12"/>
        <v>#VALUE!</v>
      </c>
      <c r="G362" s="124" t="e">
        <f ca="1">IF('Simulador Bradesco'!D375&lt;&gt;Parâmetros!B362,VLOOKUP('Base de Dados'!F362,'Base de Dados'!$A$2:$B$64,2,FALSE),VLOOKUP(F362&amp;'Simulador Bradesco'!$I$13,$A$2:$B$600,2,FALSE))</f>
        <v>#VALUE!</v>
      </c>
      <c r="H362" s="1" t="str">
        <f ca="1">Simulador!A393</f>
        <v/>
      </c>
      <c r="L362" s="1">
        <f ca="1">IF(Simulador!A392="",Simulador!$C$8,Simulador!A392)</f>
        <v>46163</v>
      </c>
      <c r="M362" s="4">
        <f ca="1">IF(Simulador!Q392="",0,Simulador!Q392*-1)</f>
        <v>0</v>
      </c>
    </row>
    <row r="363" spans="1:13" x14ac:dyDescent="0.3">
      <c r="A363" t="s">
        <v>152</v>
      </c>
      <c r="B363" s="165">
        <v>1.438E-4</v>
      </c>
      <c r="D363" s="93" t="str">
        <f ca="1">Simulador!C394</f>
        <v/>
      </c>
      <c r="E363" s="1" t="str">
        <f t="shared" ref="E363:E406" ca="1" si="13">H363</f>
        <v/>
      </c>
      <c r="F363" s="1" t="e">
        <f t="shared" ca="1" si="12"/>
        <v>#VALUE!</v>
      </c>
      <c r="G363" s="124" t="e">
        <f ca="1">IF('Simulador Bradesco'!D376&lt;&gt;Parâmetros!B363,VLOOKUP('Base de Dados'!F363,'Base de Dados'!$A$2:$B$64,2,FALSE),VLOOKUP(F363&amp;'Simulador Bradesco'!$I$13,$A$2:$B$600,2,FALSE))</f>
        <v>#VALUE!</v>
      </c>
      <c r="H363" s="1" t="str">
        <f ca="1">Simulador!A394</f>
        <v/>
      </c>
      <c r="L363" s="1">
        <f ca="1">IF(Simulador!A393="",Simulador!$C$8,Simulador!A393)</f>
        <v>46163</v>
      </c>
      <c r="M363" s="4">
        <f ca="1">IF(Simulador!Q393="",0,Simulador!Q393*-1)</f>
        <v>0</v>
      </c>
    </row>
    <row r="364" spans="1:13" x14ac:dyDescent="0.3">
      <c r="A364" t="s">
        <v>152</v>
      </c>
      <c r="B364" s="165">
        <v>1.438E-4</v>
      </c>
      <c r="D364" s="93" t="str">
        <f ca="1">Simulador!C395</f>
        <v/>
      </c>
      <c r="E364" s="1" t="str">
        <f t="shared" ca="1" si="13"/>
        <v/>
      </c>
      <c r="F364" s="1" t="e">
        <f t="shared" ca="1" si="12"/>
        <v>#VALUE!</v>
      </c>
      <c r="G364" s="124" t="e">
        <f ca="1">IF('Simulador Bradesco'!D377&lt;&gt;Parâmetros!B364,VLOOKUP('Base de Dados'!F364,'Base de Dados'!$A$2:$B$64,2,FALSE),VLOOKUP(F364&amp;'Simulador Bradesco'!$I$13,$A$2:$B$600,2,FALSE))</f>
        <v>#VALUE!</v>
      </c>
      <c r="H364" s="1" t="str">
        <f ca="1">Simulador!A395</f>
        <v/>
      </c>
      <c r="L364" s="1">
        <f ca="1">IF(Simulador!A394="",Simulador!$C$8,Simulador!A394)</f>
        <v>46163</v>
      </c>
      <c r="M364" s="4">
        <f ca="1">IF(Simulador!Q394="",0,Simulador!Q394*-1)</f>
        <v>0</v>
      </c>
    </row>
    <row r="365" spans="1:13" x14ac:dyDescent="0.3">
      <c r="A365" t="s">
        <v>152</v>
      </c>
      <c r="B365" s="165">
        <v>1.438E-4</v>
      </c>
      <c r="D365" s="93" t="str">
        <f ca="1">Simulador!C396</f>
        <v/>
      </c>
      <c r="E365" s="1" t="str">
        <f t="shared" ca="1" si="13"/>
        <v/>
      </c>
      <c r="F365" s="1" t="e">
        <f t="shared" ca="1" si="12"/>
        <v>#VALUE!</v>
      </c>
      <c r="G365" s="124" t="e">
        <f ca="1">IF('Simulador Bradesco'!D378&lt;&gt;Parâmetros!B365,VLOOKUP('Base de Dados'!F365,'Base de Dados'!$A$2:$B$64,2,FALSE),VLOOKUP(F365&amp;'Simulador Bradesco'!$I$13,$A$2:$B$600,2,FALSE))</f>
        <v>#VALUE!</v>
      </c>
      <c r="H365" s="1" t="str">
        <f ca="1">Simulador!A396</f>
        <v/>
      </c>
      <c r="L365" s="1">
        <f ca="1">IF(Simulador!A395="",Simulador!$C$8,Simulador!A395)</f>
        <v>46163</v>
      </c>
      <c r="M365" s="4">
        <f ca="1">IF(Simulador!Q395="",0,Simulador!Q395*-1)</f>
        <v>0</v>
      </c>
    </row>
    <row r="366" spans="1:13" x14ac:dyDescent="0.3">
      <c r="A366" t="s">
        <v>152</v>
      </c>
      <c r="B366" s="165">
        <v>1.5679999999999999E-4</v>
      </c>
      <c r="D366" s="93" t="str">
        <f ca="1">Simulador!C397</f>
        <v/>
      </c>
      <c r="E366" s="1" t="str">
        <f t="shared" ca="1" si="13"/>
        <v/>
      </c>
      <c r="F366" s="1" t="e">
        <f t="shared" ca="1" si="12"/>
        <v>#VALUE!</v>
      </c>
      <c r="G366" s="124" t="e">
        <f ca="1">IF('Simulador Bradesco'!D379&lt;&gt;Parâmetros!B366,VLOOKUP('Base de Dados'!F366,'Base de Dados'!$A$2:$B$64,2,FALSE),VLOOKUP(F366&amp;'Simulador Bradesco'!$I$13,$A$2:$B$600,2,FALSE))</f>
        <v>#VALUE!</v>
      </c>
      <c r="H366" s="1" t="str">
        <f ca="1">Simulador!A397</f>
        <v/>
      </c>
      <c r="L366" s="1">
        <f ca="1">IF(Simulador!A396="",Simulador!$C$8,Simulador!A396)</f>
        <v>46163</v>
      </c>
      <c r="M366" s="4">
        <f ca="1">IF(Simulador!Q396="",0,Simulador!Q396*-1)</f>
        <v>0</v>
      </c>
    </row>
    <row r="367" spans="1:13" x14ac:dyDescent="0.3">
      <c r="A367" t="s">
        <v>152</v>
      </c>
      <c r="B367" s="165">
        <v>1.5679999999999999E-4</v>
      </c>
      <c r="D367" s="93" t="str">
        <f ca="1">Simulador!C398</f>
        <v/>
      </c>
      <c r="E367" s="1" t="str">
        <f t="shared" ca="1" si="13"/>
        <v/>
      </c>
      <c r="F367" s="1" t="e">
        <f t="shared" ca="1" si="12"/>
        <v>#VALUE!</v>
      </c>
      <c r="G367" s="124" t="e">
        <f ca="1">IF('Simulador Bradesco'!D380&lt;&gt;Parâmetros!B367,VLOOKUP('Base de Dados'!F367,'Base de Dados'!$A$2:$B$64,2,FALSE),VLOOKUP(F367&amp;'Simulador Bradesco'!$I$13,$A$2:$B$600,2,FALSE))</f>
        <v>#VALUE!</v>
      </c>
      <c r="H367" s="1" t="str">
        <f ca="1">Simulador!A398</f>
        <v/>
      </c>
      <c r="L367" s="1">
        <f ca="1">IF(Simulador!A397="",Simulador!$C$8,Simulador!A397)</f>
        <v>46163</v>
      </c>
      <c r="M367" s="4">
        <f ca="1">IF(Simulador!Q397="",0,Simulador!Q397*-1)</f>
        <v>0</v>
      </c>
    </row>
    <row r="368" spans="1:13" x14ac:dyDescent="0.3">
      <c r="A368" t="s">
        <v>152</v>
      </c>
      <c r="B368" s="165">
        <v>1.5679999999999999E-4</v>
      </c>
      <c r="D368" s="93" t="str">
        <f ca="1">Simulador!C399</f>
        <v/>
      </c>
      <c r="E368" s="1" t="str">
        <f t="shared" ca="1" si="13"/>
        <v/>
      </c>
      <c r="F368" s="1" t="e">
        <f t="shared" ca="1" si="12"/>
        <v>#VALUE!</v>
      </c>
      <c r="G368" s="124" t="e">
        <f ca="1">IF('Simulador Bradesco'!D381&lt;&gt;Parâmetros!B368,VLOOKUP('Base de Dados'!F368,'Base de Dados'!$A$2:$B$64,2,FALSE),VLOOKUP(F368&amp;'Simulador Bradesco'!$I$13,$A$2:$B$600,2,FALSE))</f>
        <v>#VALUE!</v>
      </c>
      <c r="H368" s="1" t="str">
        <f ca="1">Simulador!A399</f>
        <v/>
      </c>
      <c r="L368" s="1">
        <f ca="1">IF(Simulador!A398="",Simulador!$C$8,Simulador!A398)</f>
        <v>46163</v>
      </c>
      <c r="M368" s="4">
        <f ca="1">IF(Simulador!Q398="",0,Simulador!Q398*-1)</f>
        <v>0</v>
      </c>
    </row>
    <row r="369" spans="1:13" x14ac:dyDescent="0.3">
      <c r="A369" t="s">
        <v>152</v>
      </c>
      <c r="B369" s="165">
        <v>1.8139999999999999E-4</v>
      </c>
      <c r="D369" s="93" t="str">
        <f ca="1">Simulador!C400</f>
        <v/>
      </c>
      <c r="E369" s="1" t="str">
        <f t="shared" ca="1" si="13"/>
        <v/>
      </c>
      <c r="F369" s="1" t="e">
        <f t="shared" ca="1" si="12"/>
        <v>#VALUE!</v>
      </c>
      <c r="G369" s="124" t="e">
        <f ca="1">IF('Simulador Bradesco'!D382&lt;&gt;Parâmetros!B369,VLOOKUP('Base de Dados'!F369,'Base de Dados'!$A$2:$B$64,2,FALSE),VLOOKUP(F369&amp;'Simulador Bradesco'!$I$13,$A$2:$B$600,2,FALSE))</f>
        <v>#VALUE!</v>
      </c>
      <c r="H369" s="1" t="str">
        <f ca="1">Simulador!A400</f>
        <v/>
      </c>
      <c r="L369" s="1">
        <f ca="1">IF(Simulador!A399="",Simulador!$C$8,Simulador!A399)</f>
        <v>46163</v>
      </c>
      <c r="M369" s="4">
        <f ca="1">IF(Simulador!Q399="",0,Simulador!Q399*-1)</f>
        <v>0</v>
      </c>
    </row>
    <row r="370" spans="1:13" x14ac:dyDescent="0.3">
      <c r="A370" t="s">
        <v>152</v>
      </c>
      <c r="B370" s="165">
        <v>1.8139999999999999E-4</v>
      </c>
      <c r="D370" s="93" t="str">
        <f ca="1">Simulador!C401</f>
        <v/>
      </c>
      <c r="E370" s="1" t="str">
        <f t="shared" ca="1" si="13"/>
        <v/>
      </c>
      <c r="F370" s="1" t="e">
        <f t="shared" ca="1" si="12"/>
        <v>#VALUE!</v>
      </c>
      <c r="G370" s="124" t="e">
        <f ca="1">IF('Simulador Bradesco'!D383&lt;&gt;Parâmetros!B370,VLOOKUP('Base de Dados'!F370,'Base de Dados'!$A$2:$B$64,2,FALSE),VLOOKUP(F370&amp;'Simulador Bradesco'!$I$13,$A$2:$B$600,2,FALSE))</f>
        <v>#VALUE!</v>
      </c>
      <c r="H370" s="1" t="str">
        <f ca="1">Simulador!A401</f>
        <v/>
      </c>
      <c r="L370" s="1">
        <f ca="1">IF(Simulador!A400="",Simulador!$C$8,Simulador!A400)</f>
        <v>46163</v>
      </c>
      <c r="M370" s="4">
        <f ca="1">IF(Simulador!Q400="",0,Simulador!Q400*-1)</f>
        <v>0</v>
      </c>
    </row>
    <row r="371" spans="1:13" x14ac:dyDescent="0.3">
      <c r="A371" t="s">
        <v>152</v>
      </c>
      <c r="B371" s="165">
        <v>1.8139999999999999E-4</v>
      </c>
      <c r="D371" s="93" t="str">
        <f ca="1">Simulador!C402</f>
        <v/>
      </c>
      <c r="E371" s="1" t="str">
        <f t="shared" ca="1" si="13"/>
        <v/>
      </c>
      <c r="F371" s="1" t="e">
        <f t="shared" ca="1" si="12"/>
        <v>#VALUE!</v>
      </c>
      <c r="G371" s="124" t="e">
        <f ca="1">IF('Simulador Bradesco'!D384&lt;&gt;Parâmetros!B371,VLOOKUP('Base de Dados'!F371,'Base de Dados'!$A$2:$B$64,2,FALSE),VLOOKUP(F371&amp;'Simulador Bradesco'!$I$13,$A$2:$B$600,2,FALSE))</f>
        <v>#VALUE!</v>
      </c>
      <c r="H371" s="1" t="str">
        <f ca="1">Simulador!A402</f>
        <v/>
      </c>
      <c r="L371" s="1">
        <f ca="1">IF(Simulador!A401="",Simulador!$C$8,Simulador!A401)</f>
        <v>46163</v>
      </c>
      <c r="M371" s="4">
        <f ca="1">IF(Simulador!Q401="",0,Simulador!Q401*-1)</f>
        <v>0</v>
      </c>
    </row>
    <row r="372" spans="1:13" x14ac:dyDescent="0.3">
      <c r="A372" t="s">
        <v>152</v>
      </c>
      <c r="B372" s="165">
        <v>2.2370000000000002E-4</v>
      </c>
      <c r="D372" s="93" t="str">
        <f ca="1">Simulador!C403</f>
        <v/>
      </c>
      <c r="E372" s="1" t="str">
        <f t="shared" ca="1" si="13"/>
        <v/>
      </c>
      <c r="F372" s="1" t="e">
        <f t="shared" ca="1" si="12"/>
        <v>#VALUE!</v>
      </c>
      <c r="G372" s="124" t="e">
        <f ca="1">IF('Simulador Bradesco'!D385&lt;&gt;Parâmetros!B372,VLOOKUP('Base de Dados'!F372,'Base de Dados'!$A$2:$B$64,2,FALSE),VLOOKUP(F372&amp;'Simulador Bradesco'!$I$13,$A$2:$B$600,2,FALSE))</f>
        <v>#VALUE!</v>
      </c>
      <c r="H372" s="1" t="str">
        <f ca="1">Simulador!A403</f>
        <v/>
      </c>
      <c r="L372" s="1">
        <f ca="1">IF(Simulador!A402="",Simulador!$C$8,Simulador!A402)</f>
        <v>46163</v>
      </c>
      <c r="M372" s="4">
        <f ca="1">IF(Simulador!Q402="",0,Simulador!Q402*-1)</f>
        <v>0</v>
      </c>
    </row>
    <row r="373" spans="1:13" x14ac:dyDescent="0.3">
      <c r="A373" t="s">
        <v>152</v>
      </c>
      <c r="B373" s="165">
        <v>2.2370000000000002E-4</v>
      </c>
      <c r="D373" s="93" t="str">
        <f ca="1">Simulador!C404</f>
        <v/>
      </c>
      <c r="E373" s="1" t="str">
        <f t="shared" ca="1" si="13"/>
        <v/>
      </c>
      <c r="F373" s="1" t="e">
        <f t="shared" ca="1" si="12"/>
        <v>#VALUE!</v>
      </c>
      <c r="G373" s="124" t="e">
        <f ca="1">IF('Simulador Bradesco'!D386&lt;&gt;Parâmetros!B373,VLOOKUP('Base de Dados'!F373,'Base de Dados'!$A$2:$B$64,2,FALSE),VLOOKUP(F373&amp;'Simulador Bradesco'!$I$13,$A$2:$B$600,2,FALSE))</f>
        <v>#VALUE!</v>
      </c>
      <c r="H373" s="1" t="str">
        <f ca="1">Simulador!A404</f>
        <v/>
      </c>
      <c r="L373" s="1">
        <f ca="1">IF(Simulador!A403="",Simulador!$C$8,Simulador!A403)</f>
        <v>46163</v>
      </c>
      <c r="M373" s="4">
        <f ca="1">IF(Simulador!Q403="",0,Simulador!Q403*-1)</f>
        <v>0</v>
      </c>
    </row>
    <row r="374" spans="1:13" x14ac:dyDescent="0.3">
      <c r="A374" t="s">
        <v>152</v>
      </c>
      <c r="B374" s="165">
        <v>2.2370000000000002E-4</v>
      </c>
      <c r="D374" s="93" t="str">
        <f ca="1">Simulador!C405</f>
        <v/>
      </c>
      <c r="E374" s="1" t="str">
        <f t="shared" ca="1" si="13"/>
        <v/>
      </c>
      <c r="F374" s="1" t="e">
        <f t="shared" ca="1" si="12"/>
        <v>#VALUE!</v>
      </c>
      <c r="G374" s="124" t="e">
        <f ca="1">IF('Simulador Bradesco'!D387&lt;&gt;Parâmetros!B374,VLOOKUP('Base de Dados'!F374,'Base de Dados'!$A$2:$B$64,2,FALSE),VLOOKUP(F374&amp;'Simulador Bradesco'!$I$13,$A$2:$B$600,2,FALSE))</f>
        <v>#VALUE!</v>
      </c>
      <c r="H374" s="1" t="str">
        <f ca="1">Simulador!A405</f>
        <v/>
      </c>
      <c r="L374" s="1">
        <f ca="1">IF(Simulador!A404="",Simulador!$C$8,Simulador!A404)</f>
        <v>46163</v>
      </c>
      <c r="M374" s="4">
        <f ca="1">IF(Simulador!Q404="",0,Simulador!Q404*-1)</f>
        <v>0</v>
      </c>
    </row>
    <row r="375" spans="1:13" x14ac:dyDescent="0.3">
      <c r="A375" t="s">
        <v>152</v>
      </c>
      <c r="B375" s="165">
        <v>3.1690000000000001E-4</v>
      </c>
      <c r="D375" s="93" t="str">
        <f ca="1">Simulador!C406</f>
        <v/>
      </c>
      <c r="E375" s="1" t="str">
        <f t="shared" ca="1" si="13"/>
        <v/>
      </c>
      <c r="F375" s="1" t="e">
        <f t="shared" ca="1" si="12"/>
        <v>#VALUE!</v>
      </c>
      <c r="G375" s="124" t="e">
        <f ca="1">IF('Simulador Bradesco'!D388&lt;&gt;Parâmetros!B375,VLOOKUP('Base de Dados'!F375,'Base de Dados'!$A$2:$B$64,2,FALSE),VLOOKUP(F375&amp;'Simulador Bradesco'!$I$13,$A$2:$B$600,2,FALSE))</f>
        <v>#VALUE!</v>
      </c>
      <c r="H375" s="1" t="str">
        <f ca="1">Simulador!A406</f>
        <v/>
      </c>
      <c r="L375" s="1">
        <f ca="1">IF(Simulador!A405="",Simulador!$C$8,Simulador!A405)</f>
        <v>46163</v>
      </c>
      <c r="M375" s="4">
        <f ca="1">IF(Simulador!Q405="",0,Simulador!Q405*-1)</f>
        <v>0</v>
      </c>
    </row>
    <row r="376" spans="1:13" x14ac:dyDescent="0.3">
      <c r="A376" t="s">
        <v>152</v>
      </c>
      <c r="B376" s="165">
        <v>3.1690000000000001E-4</v>
      </c>
      <c r="D376" s="93" t="str">
        <f ca="1">Simulador!C407</f>
        <v/>
      </c>
      <c r="E376" s="1" t="str">
        <f t="shared" ca="1" si="13"/>
        <v/>
      </c>
      <c r="F376" s="1" t="e">
        <f t="shared" ca="1" si="12"/>
        <v>#VALUE!</v>
      </c>
      <c r="G376" s="124" t="e">
        <f ca="1">IF('Simulador Bradesco'!D389&lt;&gt;Parâmetros!B376,VLOOKUP('Base de Dados'!F376,'Base de Dados'!$A$2:$B$64,2,FALSE),VLOOKUP(F376&amp;'Simulador Bradesco'!$I$13,$A$2:$B$600,2,FALSE))</f>
        <v>#VALUE!</v>
      </c>
      <c r="H376" s="1" t="str">
        <f ca="1">Simulador!A407</f>
        <v/>
      </c>
      <c r="L376" s="1">
        <f ca="1">IF(Simulador!A406="",Simulador!$C$8,Simulador!A406)</f>
        <v>46163</v>
      </c>
      <c r="M376" s="4">
        <f ca="1">IF(Simulador!Q406="",0,Simulador!Q406*-1)</f>
        <v>0</v>
      </c>
    </row>
    <row r="377" spans="1:13" x14ac:dyDescent="0.3">
      <c r="A377" t="s">
        <v>152</v>
      </c>
      <c r="B377" s="165">
        <v>3.1690000000000001E-4</v>
      </c>
      <c r="D377" s="93" t="str">
        <f ca="1">Simulador!C408</f>
        <v/>
      </c>
      <c r="E377" s="1" t="str">
        <f t="shared" ca="1" si="13"/>
        <v/>
      </c>
      <c r="F377" s="1" t="e">
        <f t="shared" ca="1" si="12"/>
        <v>#VALUE!</v>
      </c>
      <c r="G377" s="124" t="e">
        <f ca="1">IF('Simulador Bradesco'!D390&lt;&gt;Parâmetros!B377,VLOOKUP('Base de Dados'!F377,'Base de Dados'!$A$2:$B$64,2,FALSE),VLOOKUP(F377&amp;'Simulador Bradesco'!$I$13,$A$2:$B$600,2,FALSE))</f>
        <v>#VALUE!</v>
      </c>
      <c r="H377" s="1" t="str">
        <f ca="1">Simulador!A408</f>
        <v/>
      </c>
      <c r="L377" s="1">
        <f ca="1">IF(Simulador!A407="",Simulador!$C$8,Simulador!A407)</f>
        <v>46163</v>
      </c>
      <c r="M377" s="4">
        <f ca="1">IF(Simulador!Q407="",0,Simulador!Q407*-1)</f>
        <v>0</v>
      </c>
    </row>
    <row r="378" spans="1:13" x14ac:dyDescent="0.3">
      <c r="A378" t="s">
        <v>152</v>
      </c>
      <c r="B378" s="165">
        <v>4.3520000000000001E-4</v>
      </c>
      <c r="D378" s="93" t="str">
        <f ca="1">Simulador!C409</f>
        <v/>
      </c>
      <c r="E378" s="1" t="str">
        <f t="shared" ca="1" si="13"/>
        <v/>
      </c>
      <c r="F378" s="1" t="e">
        <f t="shared" ca="1" si="12"/>
        <v>#VALUE!</v>
      </c>
      <c r="G378" s="124" t="e">
        <f ca="1">IF('Simulador Bradesco'!D391&lt;&gt;Parâmetros!B378,VLOOKUP('Base de Dados'!F378,'Base de Dados'!$A$2:$B$64,2,FALSE),VLOOKUP(F378&amp;'Simulador Bradesco'!$I$13,$A$2:$B$600,2,FALSE))</f>
        <v>#VALUE!</v>
      </c>
      <c r="H378" s="1" t="str">
        <f ca="1">Simulador!A409</f>
        <v/>
      </c>
      <c r="L378" s="1">
        <f ca="1">IF(Simulador!A408="",Simulador!$C$8,Simulador!A408)</f>
        <v>46163</v>
      </c>
      <c r="M378" s="4">
        <f ca="1">IF(Simulador!Q408="",0,Simulador!Q408*-1)</f>
        <v>0</v>
      </c>
    </row>
    <row r="379" spans="1:13" x14ac:dyDescent="0.3">
      <c r="A379" t="s">
        <v>152</v>
      </c>
      <c r="B379" s="165">
        <v>4.3520000000000001E-4</v>
      </c>
      <c r="D379" s="93" t="str">
        <f ca="1">Simulador!C410</f>
        <v/>
      </c>
      <c r="E379" s="1" t="str">
        <f t="shared" ca="1" si="13"/>
        <v/>
      </c>
      <c r="F379" s="1" t="e">
        <f t="shared" ca="1" si="12"/>
        <v>#VALUE!</v>
      </c>
      <c r="G379" s="124" t="e">
        <f ca="1">IF('Simulador Bradesco'!D392&lt;&gt;Parâmetros!B379,VLOOKUP('Base de Dados'!F379,'Base de Dados'!$A$2:$B$64,2,FALSE),VLOOKUP(F379&amp;'Simulador Bradesco'!$I$13,$A$2:$B$600,2,FALSE))</f>
        <v>#VALUE!</v>
      </c>
      <c r="H379" s="1" t="str">
        <f ca="1">Simulador!A410</f>
        <v/>
      </c>
      <c r="L379" s="1">
        <f ca="1">IF(Simulador!A409="",Simulador!$C$8,Simulador!A409)</f>
        <v>46163</v>
      </c>
      <c r="M379" s="4">
        <f ca="1">IF(Simulador!Q409="",0,Simulador!Q409*-1)</f>
        <v>0</v>
      </c>
    </row>
    <row r="380" spans="1:13" x14ac:dyDescent="0.3">
      <c r="A380" t="s">
        <v>152</v>
      </c>
      <c r="B380" s="165">
        <v>4.3520000000000001E-4</v>
      </c>
      <c r="D380" s="93" t="str">
        <f ca="1">Simulador!C411</f>
        <v/>
      </c>
      <c r="E380" s="1" t="str">
        <f t="shared" ca="1" si="13"/>
        <v/>
      </c>
      <c r="F380" s="1" t="e">
        <f t="shared" ca="1" si="12"/>
        <v>#VALUE!</v>
      </c>
      <c r="G380" s="124" t="e">
        <f ca="1">IF('Simulador Bradesco'!D393&lt;&gt;Parâmetros!B380,VLOOKUP('Base de Dados'!F380,'Base de Dados'!$A$2:$B$64,2,FALSE),VLOOKUP(F380&amp;'Simulador Bradesco'!$I$13,$A$2:$B$600,2,FALSE))</f>
        <v>#VALUE!</v>
      </c>
      <c r="H380" s="1" t="str">
        <f ca="1">Simulador!A411</f>
        <v/>
      </c>
      <c r="L380" s="1">
        <f ca="1">IF(Simulador!A410="",Simulador!$C$8,Simulador!A410)</f>
        <v>46163</v>
      </c>
      <c r="M380" s="4">
        <f ca="1">IF(Simulador!Q410="",0,Simulador!Q410*-1)</f>
        <v>0</v>
      </c>
    </row>
    <row r="381" spans="1:13" x14ac:dyDescent="0.3">
      <c r="A381" t="s">
        <v>152</v>
      </c>
      <c r="B381" s="165">
        <v>5.8719999999999996E-4</v>
      </c>
      <c r="D381" s="93" t="str">
        <f ca="1">Simulador!C412</f>
        <v/>
      </c>
      <c r="E381" s="1" t="str">
        <f t="shared" ca="1" si="13"/>
        <v/>
      </c>
      <c r="F381" s="1" t="e">
        <f t="shared" ca="1" si="12"/>
        <v>#VALUE!</v>
      </c>
      <c r="G381" s="124" t="e">
        <f ca="1">IF('Simulador Bradesco'!D394&lt;&gt;Parâmetros!B381,VLOOKUP('Base de Dados'!F381,'Base de Dados'!$A$2:$B$64,2,FALSE),VLOOKUP(F381&amp;'Simulador Bradesco'!$I$13,$A$2:$B$600,2,FALSE))</f>
        <v>#VALUE!</v>
      </c>
      <c r="H381" s="1" t="str">
        <f ca="1">Simulador!A412</f>
        <v/>
      </c>
      <c r="L381" s="1">
        <f ca="1">IF(Simulador!A411="",Simulador!$C$8,Simulador!A411)</f>
        <v>46163</v>
      </c>
      <c r="M381" s="4">
        <f ca="1">IF(Simulador!Q411="",0,Simulador!Q411*-1)</f>
        <v>0</v>
      </c>
    </row>
    <row r="382" spans="1:13" x14ac:dyDescent="0.3">
      <c r="A382" t="s">
        <v>152</v>
      </c>
      <c r="B382" s="165">
        <v>5.8719999999999996E-4</v>
      </c>
      <c r="D382" s="93" t="str">
        <f ca="1">Simulador!C413</f>
        <v/>
      </c>
      <c r="E382" s="1" t="str">
        <f t="shared" ca="1" si="13"/>
        <v/>
      </c>
      <c r="F382" s="1" t="e">
        <f t="shared" ca="1" si="12"/>
        <v>#VALUE!</v>
      </c>
      <c r="G382" s="124" t="e">
        <f ca="1">IF('Simulador Bradesco'!D395&lt;&gt;Parâmetros!B382,VLOOKUP('Base de Dados'!F382,'Base de Dados'!$A$2:$B$64,2,FALSE),VLOOKUP(F382&amp;'Simulador Bradesco'!$I$13,$A$2:$B$600,2,FALSE))</f>
        <v>#VALUE!</v>
      </c>
      <c r="H382" s="1" t="str">
        <f ca="1">Simulador!A413</f>
        <v/>
      </c>
      <c r="L382" s="1">
        <f ca="1">IF(Simulador!A412="",Simulador!$C$8,Simulador!A412)</f>
        <v>46163</v>
      </c>
      <c r="M382" s="4">
        <f ca="1">IF(Simulador!Q412="",0,Simulador!Q412*-1)</f>
        <v>0</v>
      </c>
    </row>
    <row r="383" spans="1:13" x14ac:dyDescent="0.3">
      <c r="A383" t="s">
        <v>152</v>
      </c>
      <c r="B383" s="165">
        <v>5.8719999999999996E-4</v>
      </c>
      <c r="D383" s="93" t="str">
        <f ca="1">Simulador!C414</f>
        <v/>
      </c>
      <c r="E383" s="1" t="str">
        <f t="shared" ca="1" si="13"/>
        <v/>
      </c>
      <c r="F383" s="1" t="e">
        <f t="shared" ca="1" si="12"/>
        <v>#VALUE!</v>
      </c>
      <c r="G383" s="124" t="e">
        <f ca="1">IF('Simulador Bradesco'!D396&lt;&gt;Parâmetros!B383,VLOOKUP('Base de Dados'!F383,'Base de Dados'!$A$2:$B$64,2,FALSE),VLOOKUP(F383&amp;'Simulador Bradesco'!$I$13,$A$2:$B$600,2,FALSE))</f>
        <v>#VALUE!</v>
      </c>
      <c r="H383" s="1" t="str">
        <f ca="1">Simulador!A414</f>
        <v/>
      </c>
      <c r="L383" s="1">
        <f ca="1">IF(Simulador!A413="",Simulador!$C$8,Simulador!A413)</f>
        <v>46163</v>
      </c>
      <c r="M383" s="4">
        <f ca="1">IF(Simulador!Q413="",0,Simulador!Q413*-1)</f>
        <v>0</v>
      </c>
    </row>
    <row r="384" spans="1:13" x14ac:dyDescent="0.3">
      <c r="A384" t="s">
        <v>152</v>
      </c>
      <c r="B384" s="165">
        <v>7.5999999999999993E-4</v>
      </c>
      <c r="D384" s="93" t="str">
        <f ca="1">Simulador!C415</f>
        <v/>
      </c>
      <c r="E384" s="1" t="str">
        <f t="shared" ca="1" si="13"/>
        <v/>
      </c>
      <c r="F384" s="1" t="e">
        <f t="shared" ca="1" si="12"/>
        <v>#VALUE!</v>
      </c>
      <c r="G384" s="124" t="e">
        <f ca="1">IF('Simulador Bradesco'!D397&lt;&gt;Parâmetros!B384,VLOOKUP('Base de Dados'!F384,'Base de Dados'!$A$2:$B$64,2,FALSE),VLOOKUP(F384&amp;'Simulador Bradesco'!$I$13,$A$2:$B$600,2,FALSE))</f>
        <v>#VALUE!</v>
      </c>
      <c r="H384" s="1" t="str">
        <f ca="1">Simulador!A415</f>
        <v/>
      </c>
      <c r="L384" s="1">
        <f ca="1">IF(Simulador!A414="",Simulador!$C$8,Simulador!A414)</f>
        <v>46163</v>
      </c>
      <c r="M384" s="4">
        <f ca="1">IF(Simulador!Q414="",0,Simulador!Q414*-1)</f>
        <v>0</v>
      </c>
    </row>
    <row r="385" spans="1:13" x14ac:dyDescent="0.3">
      <c r="A385" t="s">
        <v>152</v>
      </c>
      <c r="B385" s="165">
        <v>7.5999999999999993E-4</v>
      </c>
      <c r="D385" s="93" t="str">
        <f ca="1">Simulador!C416</f>
        <v/>
      </c>
      <c r="E385" s="1" t="str">
        <f t="shared" ca="1" si="13"/>
        <v/>
      </c>
      <c r="F385" s="1" t="e">
        <f t="shared" ca="1" si="12"/>
        <v>#VALUE!</v>
      </c>
      <c r="G385" s="124" t="e">
        <f ca="1">IF('Simulador Bradesco'!D398&lt;&gt;Parâmetros!B385,VLOOKUP('Base de Dados'!F385,'Base de Dados'!$A$2:$B$64,2,FALSE),VLOOKUP(F385&amp;'Simulador Bradesco'!$I$13,$A$2:$B$600,2,FALSE))</f>
        <v>#VALUE!</v>
      </c>
      <c r="H385" s="1" t="str">
        <f ca="1">Simulador!A416</f>
        <v/>
      </c>
      <c r="L385" s="1">
        <f ca="1">IF(Simulador!A415="",Simulador!$C$8,Simulador!A415)</f>
        <v>46163</v>
      </c>
      <c r="M385" s="4">
        <f ca="1">IF(Simulador!Q415="",0,Simulador!Q415*-1)</f>
        <v>0</v>
      </c>
    </row>
    <row r="386" spans="1:13" x14ac:dyDescent="0.3">
      <c r="A386" t="s">
        <v>152</v>
      </c>
      <c r="B386" s="165">
        <v>7.5999999999999993E-4</v>
      </c>
      <c r="D386" s="93" t="str">
        <f ca="1">Simulador!C417</f>
        <v/>
      </c>
      <c r="E386" s="1" t="str">
        <f t="shared" ca="1" si="13"/>
        <v/>
      </c>
      <c r="F386" s="1" t="e">
        <f t="shared" ca="1" si="12"/>
        <v>#VALUE!</v>
      </c>
      <c r="G386" s="124" t="e">
        <f ca="1">IF('Simulador Bradesco'!D399&lt;&gt;Parâmetros!B386,VLOOKUP('Base de Dados'!F386,'Base de Dados'!$A$2:$B$64,2,FALSE),VLOOKUP(F386&amp;'Simulador Bradesco'!$I$13,$A$2:$B$600,2,FALSE))</f>
        <v>#VALUE!</v>
      </c>
      <c r="H386" s="1" t="str">
        <f ca="1">Simulador!A417</f>
        <v/>
      </c>
      <c r="L386" s="1">
        <f ca="1">IF(Simulador!A416="",Simulador!$C$8,Simulador!A416)</f>
        <v>46163</v>
      </c>
      <c r="M386" s="4">
        <f ca="1">IF(Simulador!Q416="",0,Simulador!Q416*-1)</f>
        <v>0</v>
      </c>
    </row>
    <row r="387" spans="1:13" x14ac:dyDescent="0.3">
      <c r="A387" t="s">
        <v>152</v>
      </c>
      <c r="B387" s="165">
        <v>9.3590000000000003E-4</v>
      </c>
      <c r="D387" s="93" t="str">
        <f ca="1">Simulador!C418</f>
        <v/>
      </c>
      <c r="E387" s="1" t="str">
        <f t="shared" ca="1" si="13"/>
        <v/>
      </c>
      <c r="F387" s="1" t="e">
        <f t="shared" ca="1" si="12"/>
        <v>#VALUE!</v>
      </c>
      <c r="G387" s="124" t="e">
        <f ca="1">IF('Simulador Bradesco'!D400&lt;&gt;Parâmetros!B387,VLOOKUP('Base de Dados'!F387,'Base de Dados'!$A$2:$B$64,2,FALSE),VLOOKUP(F387&amp;'Simulador Bradesco'!$I$13,$A$2:$B$600,2,FALSE))</f>
        <v>#VALUE!</v>
      </c>
      <c r="H387" s="1" t="str">
        <f ca="1">Simulador!A418</f>
        <v/>
      </c>
      <c r="L387" s="1">
        <f ca="1">IF(Simulador!A417="",Simulador!$C$8,Simulador!A417)</f>
        <v>46163</v>
      </c>
      <c r="M387" s="4">
        <f ca="1">IF(Simulador!Q417="",0,Simulador!Q417*-1)</f>
        <v>0</v>
      </c>
    </row>
    <row r="388" spans="1:13" x14ac:dyDescent="0.3">
      <c r="A388" t="s">
        <v>152</v>
      </c>
      <c r="B388" s="165">
        <v>9.3590000000000003E-4</v>
      </c>
      <c r="D388" s="93" t="str">
        <f ca="1">Simulador!C419</f>
        <v/>
      </c>
      <c r="E388" s="1" t="str">
        <f t="shared" ca="1" si="13"/>
        <v/>
      </c>
      <c r="F388" s="1" t="e">
        <f t="shared" ref="F388:F422" ca="1" si="14">ROUNDDOWN(_xlfn.DAYS(E388,$B$1)/365,0)</f>
        <v>#VALUE!</v>
      </c>
      <c r="G388" s="124" t="e">
        <f ca="1">IF('Simulador Bradesco'!D401&lt;&gt;Parâmetros!B388,VLOOKUP('Base de Dados'!F388,'Base de Dados'!$A$2:$B$64,2,FALSE),VLOOKUP(F388&amp;'Simulador Bradesco'!$I$13,$A$2:$B$600,2,FALSE))</f>
        <v>#VALUE!</v>
      </c>
      <c r="H388" s="1" t="str">
        <f ca="1">Simulador!A419</f>
        <v/>
      </c>
      <c r="L388" s="1">
        <f ca="1">IF(Simulador!A418="",Simulador!$C$8,Simulador!A418)</f>
        <v>46163</v>
      </c>
      <c r="M388" s="4">
        <f ca="1">IF(Simulador!Q418="",0,Simulador!Q418*-1)</f>
        <v>0</v>
      </c>
    </row>
    <row r="389" spans="1:13" x14ac:dyDescent="0.3">
      <c r="A389" t="s">
        <v>152</v>
      </c>
      <c r="B389" s="165">
        <v>9.3590000000000003E-4</v>
      </c>
      <c r="D389" s="93" t="str">
        <f ca="1">Simulador!C420</f>
        <v/>
      </c>
      <c r="E389" s="1" t="str">
        <f t="shared" ca="1" si="13"/>
        <v/>
      </c>
      <c r="F389" s="1" t="e">
        <f t="shared" ca="1" si="14"/>
        <v>#VALUE!</v>
      </c>
      <c r="G389" s="124" t="e">
        <f ca="1">IF('Simulador Bradesco'!D402&lt;&gt;Parâmetros!B389,VLOOKUP('Base de Dados'!F389,'Base de Dados'!$A$2:$B$64,2,FALSE),VLOOKUP(F389&amp;'Simulador Bradesco'!$I$13,$A$2:$B$600,2,FALSE))</f>
        <v>#VALUE!</v>
      </c>
      <c r="H389" s="1" t="str">
        <f ca="1">Simulador!A420</f>
        <v/>
      </c>
      <c r="L389" s="1">
        <f ca="1">IF(Simulador!A419="",Simulador!$C$8,Simulador!A419)</f>
        <v>46163</v>
      </c>
      <c r="M389" s="4">
        <f ca="1">IF(Simulador!Q419="",0,Simulador!Q419*-1)</f>
        <v>0</v>
      </c>
    </row>
    <row r="390" spans="1:13" x14ac:dyDescent="0.3">
      <c r="A390" t="s">
        <v>152</v>
      </c>
      <c r="B390" s="165">
        <v>1.1305999999999998E-3</v>
      </c>
      <c r="D390" s="93" t="str">
        <f ca="1">Simulador!C421</f>
        <v/>
      </c>
      <c r="E390" s="1" t="str">
        <f t="shared" ca="1" si="13"/>
        <v/>
      </c>
      <c r="F390" s="1" t="e">
        <f t="shared" ca="1" si="14"/>
        <v>#VALUE!</v>
      </c>
      <c r="G390" s="124" t="e">
        <f ca="1">IF('Simulador Bradesco'!D403&lt;&gt;Parâmetros!B390,VLOOKUP('Base de Dados'!F390,'Base de Dados'!$A$2:$B$64,2,FALSE),VLOOKUP(F390&amp;'Simulador Bradesco'!$I$13,$A$2:$B$600,2,FALSE))</f>
        <v>#VALUE!</v>
      </c>
      <c r="H390" s="1" t="str">
        <f ca="1">Simulador!A421</f>
        <v/>
      </c>
      <c r="L390" s="1">
        <f ca="1">IF(Simulador!A420="",Simulador!$C$8,Simulador!A420)</f>
        <v>46163</v>
      </c>
      <c r="M390" s="4">
        <f ca="1">IF(Simulador!Q420="",0,Simulador!Q420*-1)</f>
        <v>0</v>
      </c>
    </row>
    <row r="391" spans="1:13" x14ac:dyDescent="0.3">
      <c r="A391" t="s">
        <v>152</v>
      </c>
      <c r="B391" s="165">
        <v>1.1305999999999998E-3</v>
      </c>
      <c r="D391" s="93" t="str">
        <f ca="1">Simulador!C422</f>
        <v/>
      </c>
      <c r="E391" s="1" t="str">
        <f t="shared" ca="1" si="13"/>
        <v/>
      </c>
      <c r="F391" s="1" t="e">
        <f t="shared" ca="1" si="14"/>
        <v>#VALUE!</v>
      </c>
      <c r="G391" s="124" t="e">
        <f ca="1">IF('Simulador Bradesco'!D404&lt;&gt;Parâmetros!B391,VLOOKUP('Base de Dados'!F391,'Base de Dados'!$A$2:$B$64,2,FALSE),VLOOKUP(F391&amp;'Simulador Bradesco'!$I$13,$A$2:$B$600,2,FALSE))</f>
        <v>#VALUE!</v>
      </c>
      <c r="H391" s="1" t="str">
        <f ca="1">Simulador!A422</f>
        <v/>
      </c>
      <c r="L391" s="1">
        <f ca="1">IF(Simulador!A421="",Simulador!$C$8,Simulador!A421)</f>
        <v>46163</v>
      </c>
      <c r="M391" s="4">
        <f ca="1">IF(Simulador!Q421="",0,Simulador!Q421*-1)</f>
        <v>0</v>
      </c>
    </row>
    <row r="392" spans="1:13" x14ac:dyDescent="0.3">
      <c r="A392" t="s">
        <v>152</v>
      </c>
      <c r="B392" s="165">
        <v>1.1305999999999998E-3</v>
      </c>
      <c r="D392" s="93" t="str">
        <f ca="1">Simulador!C423</f>
        <v/>
      </c>
      <c r="E392" s="1" t="str">
        <f t="shared" ca="1" si="13"/>
        <v/>
      </c>
      <c r="F392" s="1" t="e">
        <f t="shared" ca="1" si="14"/>
        <v>#VALUE!</v>
      </c>
      <c r="G392" s="124" t="e">
        <f ca="1">IF('Simulador Bradesco'!D405&lt;&gt;Parâmetros!B392,VLOOKUP('Base de Dados'!F392,'Base de Dados'!$A$2:$B$64,2,FALSE),VLOOKUP(F392&amp;'Simulador Bradesco'!$I$13,$A$2:$B$600,2,FALSE))</f>
        <v>#VALUE!</v>
      </c>
      <c r="H392" s="1" t="str">
        <f ca="1">Simulador!A423</f>
        <v/>
      </c>
      <c r="L392" s="1">
        <f ca="1">IF(Simulador!A422="",Simulador!$C$8,Simulador!A422)</f>
        <v>46163</v>
      </c>
      <c r="M392" s="4">
        <f ca="1">IF(Simulador!Q422="",0,Simulador!Q422*-1)</f>
        <v>0</v>
      </c>
    </row>
    <row r="393" spans="1:13" x14ac:dyDescent="0.3">
      <c r="A393" t="s">
        <v>152</v>
      </c>
      <c r="B393" s="165">
        <v>1.3822000000000001E-3</v>
      </c>
      <c r="D393" s="93" t="str">
        <f ca="1">Simulador!C424</f>
        <v/>
      </c>
      <c r="E393" s="1" t="str">
        <f t="shared" ca="1" si="13"/>
        <v/>
      </c>
      <c r="F393" s="1" t="e">
        <f t="shared" ca="1" si="14"/>
        <v>#VALUE!</v>
      </c>
      <c r="G393" s="124" t="e">
        <f ca="1">IF('Simulador Bradesco'!D406&lt;&gt;Parâmetros!B393,VLOOKUP('Base de Dados'!F393,'Base de Dados'!$A$2:$B$64,2,FALSE),VLOOKUP(F393&amp;'Simulador Bradesco'!$I$13,$A$2:$B$600,2,FALSE))</f>
        <v>#VALUE!</v>
      </c>
      <c r="H393" s="1" t="str">
        <f ca="1">Simulador!A424</f>
        <v/>
      </c>
      <c r="L393" s="1">
        <f ca="1">IF(Simulador!A423="",Simulador!$C$8,Simulador!A423)</f>
        <v>46163</v>
      </c>
      <c r="M393" s="4">
        <f ca="1">IF(Simulador!Q423="",0,Simulador!Q423*-1)</f>
        <v>0</v>
      </c>
    </row>
    <row r="394" spans="1:13" x14ac:dyDescent="0.3">
      <c r="A394" t="s">
        <v>152</v>
      </c>
      <c r="B394" s="165">
        <v>1.3822000000000001E-3</v>
      </c>
      <c r="D394" s="93" t="str">
        <f ca="1">Simulador!C425</f>
        <v/>
      </c>
      <c r="E394" s="1" t="str">
        <f t="shared" ca="1" si="13"/>
        <v/>
      </c>
      <c r="F394" s="1" t="e">
        <f t="shared" ca="1" si="14"/>
        <v>#VALUE!</v>
      </c>
      <c r="G394" s="124" t="e">
        <f ca="1">IF('Simulador Bradesco'!D407&lt;&gt;Parâmetros!B394,VLOOKUP('Base de Dados'!F394,'Base de Dados'!$A$2:$B$64,2,FALSE),VLOOKUP(F394&amp;'Simulador Bradesco'!$I$13,$A$2:$B$600,2,FALSE))</f>
        <v>#VALUE!</v>
      </c>
      <c r="H394" s="1" t="str">
        <f ca="1">Simulador!A425</f>
        <v/>
      </c>
      <c r="L394" s="1">
        <f ca="1">IF(Simulador!A424="",Simulador!$C$8,Simulador!A424)</f>
        <v>46163</v>
      </c>
      <c r="M394" s="4">
        <f ca="1">IF(Simulador!Q424="",0,Simulador!Q424*-1)</f>
        <v>0</v>
      </c>
    </row>
    <row r="395" spans="1:13" x14ac:dyDescent="0.3">
      <c r="A395" t="s">
        <v>152</v>
      </c>
      <c r="B395" s="165">
        <v>1.3822000000000001E-3</v>
      </c>
      <c r="D395" s="93" t="str">
        <f ca="1">Simulador!C426</f>
        <v/>
      </c>
      <c r="E395" s="1" t="str">
        <f t="shared" ca="1" si="13"/>
        <v/>
      </c>
      <c r="F395" s="1" t="e">
        <f t="shared" ca="1" si="14"/>
        <v>#VALUE!</v>
      </c>
      <c r="G395" s="124" t="e">
        <f ca="1">IF('Simulador Bradesco'!D408&lt;&gt;Parâmetros!B395,VLOOKUP('Base de Dados'!F395,'Base de Dados'!$A$2:$B$64,2,FALSE),VLOOKUP(F395&amp;'Simulador Bradesco'!$I$13,$A$2:$B$600,2,FALSE))</f>
        <v>#VALUE!</v>
      </c>
      <c r="H395" s="1" t="str">
        <f ca="1">Simulador!A426</f>
        <v/>
      </c>
      <c r="L395" s="1">
        <f ca="1">IF(Simulador!A425="",Simulador!$C$8,Simulador!A425)</f>
        <v>46163</v>
      </c>
      <c r="M395" s="4">
        <f ca="1">IF(Simulador!Q425="",0,Simulador!Q425*-1)</f>
        <v>0</v>
      </c>
    </row>
    <row r="396" spans="1:13" x14ac:dyDescent="0.3">
      <c r="A396" t="s">
        <v>152</v>
      </c>
      <c r="B396" s="165">
        <v>1.7816000000000002E-3</v>
      </c>
      <c r="D396" s="93" t="str">
        <f ca="1">Simulador!C427</f>
        <v/>
      </c>
      <c r="E396" s="1" t="str">
        <f t="shared" ca="1" si="13"/>
        <v/>
      </c>
      <c r="F396" s="1" t="e">
        <f t="shared" ca="1" si="14"/>
        <v>#VALUE!</v>
      </c>
      <c r="G396" s="124" t="e">
        <f ca="1">IF('Simulador Bradesco'!D409&lt;&gt;Parâmetros!B396,VLOOKUP('Base de Dados'!F396,'Base de Dados'!$A$2:$B$64,2,FALSE),VLOOKUP(F396&amp;'Simulador Bradesco'!$I$13,$A$2:$B$600,2,FALSE))</f>
        <v>#VALUE!</v>
      </c>
      <c r="H396" s="1" t="str">
        <f ca="1">Simulador!A427</f>
        <v/>
      </c>
      <c r="L396" s="1">
        <f ca="1">IF(Simulador!A426="",Simulador!$C$8,Simulador!A426)</f>
        <v>46163</v>
      </c>
      <c r="M396" s="4">
        <f ca="1">IF(Simulador!Q426="",0,Simulador!Q426*-1)</f>
        <v>0</v>
      </c>
    </row>
    <row r="397" spans="1:13" x14ac:dyDescent="0.3">
      <c r="A397" t="s">
        <v>152</v>
      </c>
      <c r="B397" s="165">
        <v>1.7816000000000002E-3</v>
      </c>
      <c r="D397" s="93" t="str">
        <f ca="1">Simulador!C428</f>
        <v/>
      </c>
      <c r="E397" s="1" t="str">
        <f t="shared" ca="1" si="13"/>
        <v/>
      </c>
      <c r="F397" s="1" t="e">
        <f t="shared" ca="1" si="14"/>
        <v>#VALUE!</v>
      </c>
      <c r="G397" s="124" t="e">
        <f ca="1">IF('Simulador Bradesco'!D410&lt;&gt;Parâmetros!B397,VLOOKUP('Base de Dados'!F397,'Base de Dados'!$A$2:$B$64,2,FALSE),VLOOKUP(F397&amp;'Simulador Bradesco'!$I$13,$A$2:$B$600,2,FALSE))</f>
        <v>#VALUE!</v>
      </c>
      <c r="H397" s="1" t="str">
        <f ca="1">Simulador!A428</f>
        <v/>
      </c>
      <c r="L397" s="1">
        <f ca="1">IF(Simulador!A427="",Simulador!$C$8,Simulador!A427)</f>
        <v>46163</v>
      </c>
      <c r="M397" s="4">
        <f ca="1">IF(Simulador!Q427="",0,Simulador!Q427*-1)</f>
        <v>0</v>
      </c>
    </row>
    <row r="398" spans="1:13" x14ac:dyDescent="0.3">
      <c r="A398" t="s">
        <v>152</v>
      </c>
      <c r="B398" s="165">
        <v>1.7816000000000002E-3</v>
      </c>
      <c r="D398" s="93" t="str">
        <f ca="1">Simulador!C429</f>
        <v/>
      </c>
      <c r="E398" s="1" t="str">
        <f t="shared" ca="1" si="13"/>
        <v/>
      </c>
      <c r="F398" s="1" t="e">
        <f t="shared" ca="1" si="14"/>
        <v>#VALUE!</v>
      </c>
      <c r="G398" s="124" t="e">
        <f ca="1">IF('Simulador Bradesco'!D411&lt;&gt;Parâmetros!B398,VLOOKUP('Base de Dados'!F398,'Base de Dados'!$A$2:$B$64,2,FALSE),VLOOKUP(F398&amp;'Simulador Bradesco'!$I$13,$A$2:$B$600,2,FALSE))</f>
        <v>#VALUE!</v>
      </c>
      <c r="H398" s="1" t="str">
        <f ca="1">Simulador!A429</f>
        <v/>
      </c>
      <c r="L398" s="1">
        <f ca="1">IF(Simulador!A428="",Simulador!$C$8,Simulador!A428)</f>
        <v>46163</v>
      </c>
      <c r="M398" s="4">
        <f ca="1">IF(Simulador!Q428="",0,Simulador!Q428*-1)</f>
        <v>0</v>
      </c>
    </row>
    <row r="399" spans="1:13" x14ac:dyDescent="0.3">
      <c r="A399" t="s">
        <v>152</v>
      </c>
      <c r="B399" s="165">
        <v>2.2041000000000001E-3</v>
      </c>
      <c r="D399" s="93" t="str">
        <f ca="1">Simulador!C430</f>
        <v/>
      </c>
      <c r="E399" s="1" t="str">
        <f t="shared" ca="1" si="13"/>
        <v/>
      </c>
      <c r="F399" s="1" t="e">
        <f t="shared" ca="1" si="14"/>
        <v>#VALUE!</v>
      </c>
      <c r="G399" s="124" t="e">
        <f ca="1">IF('Simulador Bradesco'!D412&lt;&gt;Parâmetros!B399,VLOOKUP('Base de Dados'!F399,'Base de Dados'!$A$2:$B$64,2,FALSE),VLOOKUP(F399&amp;'Simulador Bradesco'!$I$13,$A$2:$B$600,2,FALSE))</f>
        <v>#VALUE!</v>
      </c>
      <c r="H399" s="1" t="str">
        <f ca="1">Simulador!A430</f>
        <v/>
      </c>
      <c r="L399" s="1">
        <f ca="1">IF(Simulador!A429="",Simulador!$C$8,Simulador!A429)</f>
        <v>46163</v>
      </c>
      <c r="M399" s="4">
        <f ca="1">IF(Simulador!Q429="",0,Simulador!Q429*-1)</f>
        <v>0</v>
      </c>
    </row>
    <row r="400" spans="1:13" x14ac:dyDescent="0.3">
      <c r="A400" t="s">
        <v>152</v>
      </c>
      <c r="B400" s="165">
        <v>2.2041000000000001E-3</v>
      </c>
      <c r="D400" s="93" t="str">
        <f ca="1">Simulador!C431</f>
        <v/>
      </c>
      <c r="E400" s="1" t="str">
        <f t="shared" ca="1" si="13"/>
        <v/>
      </c>
      <c r="F400" s="1" t="e">
        <f t="shared" ca="1" si="14"/>
        <v>#VALUE!</v>
      </c>
      <c r="G400" s="124" t="e">
        <f ca="1">IF('Simulador Bradesco'!D413&lt;&gt;Parâmetros!B400,VLOOKUP('Base de Dados'!F400,'Base de Dados'!$A$2:$B$64,2,FALSE),VLOOKUP(F400&amp;'Simulador Bradesco'!$I$13,$A$2:$B$600,2,FALSE))</f>
        <v>#VALUE!</v>
      </c>
      <c r="H400" s="1" t="str">
        <f ca="1">Simulador!A431</f>
        <v/>
      </c>
      <c r="L400" s="1">
        <f ca="1">IF(Simulador!A430="",Simulador!$C$8,Simulador!A430)</f>
        <v>46163</v>
      </c>
      <c r="M400" s="4">
        <f ca="1">IF(Simulador!Q430="",0,Simulador!Q430*-1)</f>
        <v>0</v>
      </c>
    </row>
    <row r="401" spans="1:13" x14ac:dyDescent="0.3">
      <c r="A401" t="s">
        <v>152</v>
      </c>
      <c r="B401" s="165">
        <v>2.2041000000000001E-3</v>
      </c>
      <c r="D401" s="93" t="str">
        <f ca="1">Simulador!C432</f>
        <v/>
      </c>
      <c r="E401" s="1" t="str">
        <f t="shared" ca="1" si="13"/>
        <v/>
      </c>
      <c r="F401" s="1" t="e">
        <f t="shared" ca="1" si="14"/>
        <v>#VALUE!</v>
      </c>
      <c r="G401" s="124" t="e">
        <f ca="1">IF('Simulador Bradesco'!D414&lt;&gt;Parâmetros!B401,VLOOKUP('Base de Dados'!F401,'Base de Dados'!$A$2:$B$64,2,FALSE),VLOOKUP(F401&amp;'Simulador Bradesco'!$I$13,$A$2:$B$600,2,FALSE))</f>
        <v>#VALUE!</v>
      </c>
      <c r="H401" s="1" t="str">
        <f ca="1">Simulador!A432</f>
        <v/>
      </c>
      <c r="L401" s="1">
        <f ca="1">IF(Simulador!A431="",Simulador!$C$8,Simulador!A431)</f>
        <v>46163</v>
      </c>
      <c r="M401" s="4">
        <f ca="1">IF(Simulador!Q431="",0,Simulador!Q431*-1)</f>
        <v>0</v>
      </c>
    </row>
    <row r="402" spans="1:13" x14ac:dyDescent="0.3">
      <c r="A402" t="s">
        <v>152</v>
      </c>
      <c r="B402" s="165">
        <v>2.983E-3</v>
      </c>
      <c r="D402" s="93" t="str">
        <f ca="1">Simulador!C433</f>
        <v/>
      </c>
      <c r="E402" s="1" t="str">
        <f t="shared" ca="1" si="13"/>
        <v/>
      </c>
      <c r="F402" s="1" t="e">
        <f t="shared" ca="1" si="14"/>
        <v>#VALUE!</v>
      </c>
      <c r="G402" s="124" t="e">
        <f ca="1">IF('Simulador Bradesco'!D415&lt;&gt;Parâmetros!B402,VLOOKUP('Base de Dados'!F402,'Base de Dados'!$A$2:$B$64,2,FALSE),VLOOKUP(F402&amp;'Simulador Bradesco'!$I$13,$A$2:$B$600,2,FALSE))</f>
        <v>#VALUE!</v>
      </c>
      <c r="H402" s="1" t="str">
        <f ca="1">Simulador!A433</f>
        <v/>
      </c>
      <c r="L402" s="1">
        <f ca="1">IF(Simulador!A432="",Simulador!$C$8,Simulador!A432)</f>
        <v>46163</v>
      </c>
      <c r="M402" s="4">
        <f ca="1">IF(Simulador!Q432="",0,Simulador!Q432*-1)</f>
        <v>0</v>
      </c>
    </row>
    <row r="403" spans="1:13" x14ac:dyDescent="0.3">
      <c r="A403" t="s">
        <v>152</v>
      </c>
      <c r="B403" s="165">
        <v>2.983E-3</v>
      </c>
      <c r="D403" s="93" t="str">
        <f ca="1">Simulador!C434</f>
        <v/>
      </c>
      <c r="E403" s="1" t="str">
        <f t="shared" ca="1" si="13"/>
        <v/>
      </c>
      <c r="F403" s="1" t="e">
        <f t="shared" ca="1" si="14"/>
        <v>#VALUE!</v>
      </c>
      <c r="G403" s="124" t="e">
        <f ca="1">IF('Simulador Bradesco'!D416&lt;&gt;Parâmetros!B403,VLOOKUP('Base de Dados'!F403,'Base de Dados'!$A$2:$B$64,2,FALSE),VLOOKUP(F403&amp;'Simulador Bradesco'!$I$13,$A$2:$B$600,2,FALSE))</f>
        <v>#VALUE!</v>
      </c>
      <c r="H403" s="1" t="str">
        <f ca="1">Simulador!A434</f>
        <v/>
      </c>
      <c r="L403" s="1">
        <f ca="1">IF(Simulador!A433="",Simulador!$C$8,Simulador!A433)</f>
        <v>46163</v>
      </c>
      <c r="M403" s="4">
        <f ca="1">IF(Simulador!Q433="",0,Simulador!Q433*-1)</f>
        <v>0</v>
      </c>
    </row>
    <row r="404" spans="1:13" x14ac:dyDescent="0.3">
      <c r="A404" t="s">
        <v>152</v>
      </c>
      <c r="B404" s="165">
        <v>2.983E-3</v>
      </c>
      <c r="D404" s="93" t="str">
        <f ca="1">Simulador!C435</f>
        <v/>
      </c>
      <c r="E404" s="1" t="str">
        <f t="shared" ca="1" si="13"/>
        <v/>
      </c>
      <c r="F404" s="1" t="e">
        <f t="shared" ca="1" si="14"/>
        <v>#VALUE!</v>
      </c>
      <c r="G404" s="124" t="e">
        <f ca="1">IF('Simulador Bradesco'!D417&lt;&gt;Parâmetros!B404,VLOOKUP('Base de Dados'!F404,'Base de Dados'!$A$2:$B$64,2,FALSE),VLOOKUP(F404&amp;'Simulador Bradesco'!$I$13,$A$2:$B$600,2,FALSE))</f>
        <v>#VALUE!</v>
      </c>
      <c r="H404" s="1" t="str">
        <f ca="1">Simulador!A435</f>
        <v/>
      </c>
      <c r="L404" s="1">
        <f ca="1">IF(Simulador!A434="",Simulador!$C$8,Simulador!A434)</f>
        <v>46163</v>
      </c>
      <c r="M404" s="4">
        <f ca="1">IF(Simulador!Q434="",0,Simulador!Q434*-1)</f>
        <v>0</v>
      </c>
    </row>
    <row r="405" spans="1:13" x14ac:dyDescent="0.3">
      <c r="A405" t="s">
        <v>152</v>
      </c>
      <c r="B405" s="165">
        <v>4.0109000000000004E-3</v>
      </c>
      <c r="D405" s="93" t="str">
        <f ca="1">Simulador!C436</f>
        <v/>
      </c>
      <c r="E405" s="1" t="str">
        <f t="shared" ca="1" si="13"/>
        <v/>
      </c>
      <c r="F405" s="1" t="e">
        <f t="shared" ca="1" si="14"/>
        <v>#VALUE!</v>
      </c>
      <c r="G405" s="124" t="e">
        <f ca="1">IF('Simulador Bradesco'!D418&lt;&gt;Parâmetros!B405,VLOOKUP('Base de Dados'!F405,'Base de Dados'!$A$2:$B$64,2,FALSE),VLOOKUP(F405&amp;'Simulador Bradesco'!$I$13,$A$2:$B$600,2,FALSE))</f>
        <v>#VALUE!</v>
      </c>
      <c r="H405" s="1" t="str">
        <f ca="1">Simulador!A436</f>
        <v/>
      </c>
      <c r="L405" s="1">
        <f ca="1">IF(Simulador!A435="",Simulador!$C$8,Simulador!A435)</f>
        <v>46163</v>
      </c>
      <c r="M405" s="4">
        <f ca="1">IF(Simulador!Q435="",0,Simulador!Q435*-1)</f>
        <v>0</v>
      </c>
    </row>
    <row r="406" spans="1:13" x14ac:dyDescent="0.3">
      <c r="A406" t="s">
        <v>152</v>
      </c>
      <c r="B406" s="165">
        <v>4.0109000000000004E-3</v>
      </c>
      <c r="D406" s="93" t="str">
        <f ca="1">Simulador!C437</f>
        <v/>
      </c>
      <c r="E406" s="1" t="str">
        <f t="shared" ca="1" si="13"/>
        <v/>
      </c>
      <c r="F406" s="1" t="e">
        <f t="shared" ca="1" si="14"/>
        <v>#VALUE!</v>
      </c>
      <c r="G406" s="124" t="e">
        <f ca="1">IF('Simulador Bradesco'!D419&lt;&gt;Parâmetros!B406,VLOOKUP('Base de Dados'!F406,'Base de Dados'!$A$2:$B$64,2,FALSE),VLOOKUP(F406&amp;'Simulador Bradesco'!$I$13,$A$2:$B$600,2,FALSE))</f>
        <v>#VALUE!</v>
      </c>
      <c r="H406" s="1" t="str">
        <f ca="1">Simulador!A437</f>
        <v/>
      </c>
      <c r="L406" s="1">
        <f ca="1">IF(Simulador!A436="",Simulador!$C$8,Simulador!A436)</f>
        <v>46163</v>
      </c>
      <c r="M406" s="4">
        <f ca="1">IF(Simulador!Q436="",0,Simulador!Q436*-1)</f>
        <v>0</v>
      </c>
    </row>
    <row r="407" spans="1:13" x14ac:dyDescent="0.3">
      <c r="A407" t="s">
        <v>152</v>
      </c>
      <c r="B407" s="165">
        <v>4.0109000000000004E-3</v>
      </c>
      <c r="D407" s="93" t="str">
        <f ca="1">Simulador!C438</f>
        <v/>
      </c>
      <c r="E407" s="1" t="str">
        <f ca="1">H407</f>
        <v/>
      </c>
      <c r="F407" s="1" t="e">
        <f t="shared" ca="1" si="14"/>
        <v>#VALUE!</v>
      </c>
      <c r="G407" s="124" t="e">
        <f ca="1">IF('Simulador Bradesco'!D420&lt;&gt;Parâmetros!B407,VLOOKUP('Base de Dados'!F407,'Base de Dados'!$A$2:$B$64,2,FALSE),VLOOKUP(F407&amp;'Simulador Bradesco'!$I$13,$A$2:$B$600,2,FALSE))</f>
        <v>#VALUE!</v>
      </c>
      <c r="H407" s="1" t="str">
        <f ca="1">Simulador!A438</f>
        <v/>
      </c>
      <c r="L407" s="1">
        <f ca="1">IF(Simulador!A437="",Simulador!$C$8,Simulador!A437)</f>
        <v>46163</v>
      </c>
      <c r="M407" s="4">
        <f ca="1">IF(Simulador!Q437="",0,Simulador!Q437*-1)</f>
        <v>0</v>
      </c>
    </row>
    <row r="408" spans="1:13" x14ac:dyDescent="0.3">
      <c r="A408" t="s">
        <v>152</v>
      </c>
      <c r="B408" s="165">
        <v>7.1247999999999997E-3</v>
      </c>
      <c r="D408" s="93" t="str">
        <f ca="1">Simulador!C439</f>
        <v/>
      </c>
      <c r="E408" s="1" t="str">
        <f t="shared" ref="E408:E422" ca="1" si="15">H408</f>
        <v/>
      </c>
      <c r="F408" s="1" t="e">
        <f t="shared" ca="1" si="14"/>
        <v>#VALUE!</v>
      </c>
      <c r="G408" s="124" t="e">
        <f ca="1">IF('Simulador Bradesco'!D421&lt;&gt;Parâmetros!B408,VLOOKUP('Base de Dados'!F408,'Base de Dados'!$A$2:$B$64,2,FALSE),VLOOKUP(F408&amp;'Simulador Bradesco'!$I$13,$A$2:$B$600,2,FALSE))</f>
        <v>#VALUE!</v>
      </c>
      <c r="H408" s="1" t="str">
        <f ca="1">Simulador!A439</f>
        <v/>
      </c>
      <c r="L408" s="1">
        <f ca="1">IF(Simulador!A438="",Simulador!$C$8,Simulador!A438)</f>
        <v>46163</v>
      </c>
      <c r="M408" s="4">
        <f ca="1">IF(Simulador!Q438="",0,Simulador!Q438*-1)</f>
        <v>0</v>
      </c>
    </row>
    <row r="409" spans="1:13" x14ac:dyDescent="0.3">
      <c r="A409" t="s">
        <v>152</v>
      </c>
      <c r="B409" s="165">
        <v>7.1247999999999997E-3</v>
      </c>
      <c r="D409" s="93" t="str">
        <f ca="1">Simulador!C440</f>
        <v/>
      </c>
      <c r="E409" s="1" t="str">
        <f t="shared" ca="1" si="15"/>
        <v/>
      </c>
      <c r="F409" s="1" t="e">
        <f t="shared" ca="1" si="14"/>
        <v>#VALUE!</v>
      </c>
      <c r="G409" s="124" t="e">
        <f ca="1">IF('Simulador Bradesco'!D422&lt;&gt;Parâmetros!B409,VLOOKUP('Base de Dados'!F409,'Base de Dados'!$A$2:$B$64,2,FALSE),VLOOKUP(F409&amp;'Simulador Bradesco'!$I$13,$A$2:$B$600,2,FALSE))</f>
        <v>#VALUE!</v>
      </c>
      <c r="H409" s="1" t="str">
        <f ca="1">Simulador!A440</f>
        <v/>
      </c>
      <c r="L409" s="1">
        <f ca="1">IF(Simulador!A439="",Simulador!$C$8,Simulador!A439)</f>
        <v>46163</v>
      </c>
      <c r="M409" s="4">
        <f ca="1">IF(Simulador!Q439="",0,Simulador!Q439*-1)</f>
        <v>0</v>
      </c>
    </row>
    <row r="410" spans="1:13" x14ac:dyDescent="0.3">
      <c r="A410" t="s">
        <v>152</v>
      </c>
      <c r="B410" s="165">
        <v>7.1247999999999997E-3</v>
      </c>
      <c r="D410" s="93" t="str">
        <f ca="1">Simulador!C441</f>
        <v/>
      </c>
      <c r="E410" s="1" t="str">
        <f t="shared" ca="1" si="15"/>
        <v/>
      </c>
      <c r="F410" s="1" t="e">
        <f t="shared" ca="1" si="14"/>
        <v>#VALUE!</v>
      </c>
      <c r="G410" s="124" t="e">
        <f ca="1">IF('Simulador Bradesco'!D423&lt;&gt;Parâmetros!B410,VLOOKUP('Base de Dados'!F410,'Base de Dados'!$A$2:$B$64,2,FALSE),VLOOKUP(F410&amp;'Simulador Bradesco'!$I$13,$A$2:$B$600,2,FALSE))</f>
        <v>#VALUE!</v>
      </c>
      <c r="H410" s="1" t="str">
        <f ca="1">Simulador!A441</f>
        <v/>
      </c>
      <c r="L410" s="1">
        <f ca="1">IF(Simulador!A440="",Simulador!$C$8,Simulador!A440)</f>
        <v>46163</v>
      </c>
      <c r="M410" s="4">
        <f ca="1">IF(Simulador!Q440="",0,Simulador!Q440*-1)</f>
        <v>0</v>
      </c>
    </row>
    <row r="411" spans="1:13" x14ac:dyDescent="0.3">
      <c r="A411" t="s">
        <v>152</v>
      </c>
      <c r="B411" s="165">
        <v>9.5271999999999996E-3</v>
      </c>
      <c r="D411" s="93" t="str">
        <f ca="1">Simulador!C442</f>
        <v/>
      </c>
      <c r="E411" s="1" t="str">
        <f t="shared" ca="1" si="15"/>
        <v/>
      </c>
      <c r="F411" s="1" t="e">
        <f t="shared" ca="1" si="14"/>
        <v>#VALUE!</v>
      </c>
      <c r="G411" s="124" t="e">
        <f ca="1">IF('Simulador Bradesco'!D424&lt;&gt;Parâmetros!B411,VLOOKUP('Base de Dados'!F411,'Base de Dados'!$A$2:$B$64,2,FALSE),VLOOKUP(F411&amp;'Simulador Bradesco'!$I$13,$A$2:$B$600,2,FALSE))</f>
        <v>#VALUE!</v>
      </c>
      <c r="H411" s="1" t="str">
        <f ca="1">Simulador!A442</f>
        <v/>
      </c>
      <c r="L411" s="1">
        <f ca="1">IF(Simulador!A441="",Simulador!$C$8,Simulador!A441)</f>
        <v>46163</v>
      </c>
      <c r="M411" s="4">
        <f ca="1">IF(Simulador!Q441="",0,Simulador!Q441*-1)</f>
        <v>0</v>
      </c>
    </row>
    <row r="412" spans="1:13" x14ac:dyDescent="0.3">
      <c r="A412" t="s">
        <v>152</v>
      </c>
      <c r="B412" s="165">
        <v>9.5271999999999996E-3</v>
      </c>
      <c r="D412" s="93" t="str">
        <f ca="1">Simulador!C443</f>
        <v/>
      </c>
      <c r="E412" s="1" t="str">
        <f t="shared" ca="1" si="15"/>
        <v/>
      </c>
      <c r="F412" s="1" t="e">
        <f t="shared" ca="1" si="14"/>
        <v>#VALUE!</v>
      </c>
      <c r="G412" s="124" t="e">
        <f ca="1">IF('Simulador Bradesco'!D425&lt;&gt;Parâmetros!B412,VLOOKUP('Base de Dados'!F412,'Base de Dados'!$A$2:$B$64,2,FALSE),VLOOKUP(F412&amp;'Simulador Bradesco'!$I$13,$A$2:$B$600,2,FALSE))</f>
        <v>#VALUE!</v>
      </c>
      <c r="H412" s="1" t="str">
        <f ca="1">Simulador!A443</f>
        <v/>
      </c>
      <c r="L412" s="1">
        <f ca="1">IF(Simulador!A442="",Simulador!$C$8,Simulador!A442)</f>
        <v>46163</v>
      </c>
      <c r="M412" s="4">
        <f ca="1">IF(Simulador!Q442="",0,Simulador!Q442*-1)</f>
        <v>0</v>
      </c>
    </row>
    <row r="413" spans="1:13" x14ac:dyDescent="0.3">
      <c r="A413" t="s">
        <v>152</v>
      </c>
      <c r="B413" s="165">
        <v>9.5271999999999996E-3</v>
      </c>
      <c r="D413" s="93" t="str">
        <f ca="1">Simulador!C444</f>
        <v/>
      </c>
      <c r="E413" s="1" t="str">
        <f t="shared" ca="1" si="15"/>
        <v/>
      </c>
      <c r="F413" s="1" t="e">
        <f t="shared" ca="1" si="14"/>
        <v>#VALUE!</v>
      </c>
      <c r="G413" s="124" t="e">
        <f ca="1">IF('Simulador Bradesco'!D426&lt;&gt;Parâmetros!B413,VLOOKUP('Base de Dados'!F413,'Base de Dados'!$A$2:$B$64,2,FALSE),VLOOKUP(F413&amp;'Simulador Bradesco'!$I$13,$A$2:$B$600,2,FALSE))</f>
        <v>#VALUE!</v>
      </c>
      <c r="H413" s="1" t="str">
        <f ca="1">Simulador!A444</f>
        <v/>
      </c>
      <c r="L413" s="1">
        <f ca="1">IF(Simulador!A443="",Simulador!$C$8,Simulador!A443)</f>
        <v>46163</v>
      </c>
      <c r="M413" s="4">
        <f ca="1">IF(Simulador!Q443="",0,Simulador!Q443*-1)</f>
        <v>0</v>
      </c>
    </row>
    <row r="414" spans="1:13" x14ac:dyDescent="0.3">
      <c r="A414" t="s">
        <v>152</v>
      </c>
      <c r="D414" s="93" t="str">
        <f ca="1">Simulador!C445</f>
        <v/>
      </c>
      <c r="E414" s="1" t="str">
        <f t="shared" ca="1" si="15"/>
        <v/>
      </c>
      <c r="F414" s="1" t="e">
        <f t="shared" ca="1" si="14"/>
        <v>#VALUE!</v>
      </c>
      <c r="G414" s="124" t="e">
        <f ca="1">IF('Simulador Bradesco'!D427&lt;&gt;Parâmetros!B414,VLOOKUP('Base de Dados'!F414,'Base de Dados'!$A$2:$B$64,2,FALSE),VLOOKUP(F414&amp;'Simulador Bradesco'!$I$13,$A$2:$B$600,2,FALSE))</f>
        <v>#VALUE!</v>
      </c>
      <c r="H414" s="1" t="str">
        <f ca="1">Simulador!A445</f>
        <v/>
      </c>
      <c r="L414" s="1">
        <f ca="1">IF(Simulador!A444="",Simulador!$C$8,Simulador!A444)</f>
        <v>46163</v>
      </c>
      <c r="M414" s="4">
        <f ca="1">IF(Simulador!Q444="",0,Simulador!Q444*-1)</f>
        <v>0</v>
      </c>
    </row>
    <row r="415" spans="1:13" x14ac:dyDescent="0.3">
      <c r="A415" t="s">
        <v>152</v>
      </c>
      <c r="D415" s="93" t="str">
        <f ca="1">Simulador!C446</f>
        <v/>
      </c>
      <c r="E415" s="1" t="str">
        <f t="shared" ca="1" si="15"/>
        <v/>
      </c>
      <c r="F415" s="1" t="e">
        <f t="shared" ca="1" si="14"/>
        <v>#VALUE!</v>
      </c>
      <c r="G415" s="124" t="e">
        <f ca="1">IF('Simulador Bradesco'!D428&lt;&gt;Parâmetros!B415,VLOOKUP('Base de Dados'!F415,'Base de Dados'!$A$2:$B$64,2,FALSE),VLOOKUP(F415&amp;'Simulador Bradesco'!$I$13,$A$2:$B$600,2,FALSE))</f>
        <v>#VALUE!</v>
      </c>
      <c r="H415" s="1" t="str">
        <f ca="1">Simulador!A446</f>
        <v/>
      </c>
      <c r="L415" s="1">
        <f ca="1">IF(Simulador!A445="",Simulador!$C$8,Simulador!A445)</f>
        <v>46163</v>
      </c>
      <c r="M415" s="4">
        <f ca="1">IF(Simulador!Q445="",0,Simulador!Q445*-1)</f>
        <v>0</v>
      </c>
    </row>
    <row r="416" spans="1:13" x14ac:dyDescent="0.3">
      <c r="A416" t="s">
        <v>152</v>
      </c>
      <c r="D416" s="93" t="str">
        <f ca="1">Simulador!C447</f>
        <v/>
      </c>
      <c r="E416" s="1" t="str">
        <f t="shared" ca="1" si="15"/>
        <v/>
      </c>
      <c r="F416" s="1" t="e">
        <f t="shared" ca="1" si="14"/>
        <v>#VALUE!</v>
      </c>
      <c r="G416" s="124" t="e">
        <f ca="1">IF('Simulador Bradesco'!D429&lt;&gt;Parâmetros!B416,VLOOKUP('Base de Dados'!F416,'Base de Dados'!$A$2:$B$64,2,FALSE),VLOOKUP(F416&amp;'Simulador Bradesco'!$I$13,$A$2:$B$600,2,FALSE))</f>
        <v>#VALUE!</v>
      </c>
      <c r="H416" s="1" t="str">
        <f ca="1">Simulador!A447</f>
        <v/>
      </c>
      <c r="L416" s="1">
        <f ca="1">IF(Simulador!A446="",Simulador!$C$8,Simulador!A446)</f>
        <v>46163</v>
      </c>
      <c r="M416" s="4">
        <f ca="1">IF(Simulador!Q446="",0,Simulador!Q446*-1)</f>
        <v>0</v>
      </c>
    </row>
    <row r="417" spans="1:13" x14ac:dyDescent="0.3">
      <c r="A417" t="s">
        <v>152</v>
      </c>
      <c r="D417" s="93" t="str">
        <f ca="1">Simulador!C448</f>
        <v/>
      </c>
      <c r="E417" s="1" t="str">
        <f t="shared" ca="1" si="15"/>
        <v/>
      </c>
      <c r="F417" s="1" t="e">
        <f t="shared" ca="1" si="14"/>
        <v>#VALUE!</v>
      </c>
      <c r="G417" s="124" t="e">
        <f ca="1">IF('Simulador Bradesco'!D430&lt;&gt;Parâmetros!B417,VLOOKUP('Base de Dados'!F417,'Base de Dados'!$A$2:$B$64,2,FALSE),VLOOKUP(F417&amp;'Simulador Bradesco'!$I$13,$A$2:$B$600,2,FALSE))</f>
        <v>#VALUE!</v>
      </c>
      <c r="H417" s="1" t="str">
        <f ca="1">Simulador!A448</f>
        <v/>
      </c>
      <c r="L417" s="1">
        <f ca="1">IF(Simulador!A447="",Simulador!$C$8,Simulador!A447)</f>
        <v>46163</v>
      </c>
      <c r="M417" s="4">
        <f ca="1">IF(Simulador!Q447="",0,Simulador!Q447*-1)</f>
        <v>0</v>
      </c>
    </row>
    <row r="418" spans="1:13" x14ac:dyDescent="0.3">
      <c r="A418" t="s">
        <v>152</v>
      </c>
      <c r="D418" s="93" t="str">
        <f ca="1">Simulador!C449</f>
        <v/>
      </c>
      <c r="E418" s="1" t="str">
        <f t="shared" ca="1" si="15"/>
        <v/>
      </c>
      <c r="F418" s="1" t="e">
        <f t="shared" ca="1" si="14"/>
        <v>#VALUE!</v>
      </c>
      <c r="G418" s="124" t="e">
        <f ca="1">IF('Simulador Bradesco'!D431&lt;&gt;Parâmetros!B418,VLOOKUP('Base de Dados'!F418,'Base de Dados'!$A$2:$B$64,2,FALSE),VLOOKUP(F418&amp;'Simulador Bradesco'!$I$13,$A$2:$B$600,2,FALSE))</f>
        <v>#VALUE!</v>
      </c>
      <c r="H418" s="1" t="str">
        <f ca="1">Simulador!A449</f>
        <v/>
      </c>
      <c r="L418" s="1">
        <f ca="1">IF(Simulador!A448="",Simulador!$C$8,Simulador!A448)</f>
        <v>46163</v>
      </c>
      <c r="M418" s="4">
        <f ca="1">IF(Simulador!Q448="",0,Simulador!Q448*-1)</f>
        <v>0</v>
      </c>
    </row>
    <row r="419" spans="1:13" x14ac:dyDescent="0.3">
      <c r="A419" t="s">
        <v>152</v>
      </c>
      <c r="D419" s="93" t="str">
        <f ca="1">Simulador!C450</f>
        <v/>
      </c>
      <c r="E419" s="1" t="str">
        <f t="shared" ca="1" si="15"/>
        <v/>
      </c>
      <c r="F419" s="1" t="e">
        <f t="shared" ca="1" si="14"/>
        <v>#VALUE!</v>
      </c>
      <c r="G419" s="124" t="e">
        <f ca="1">IF('Simulador Bradesco'!D432&lt;&gt;Parâmetros!B419,VLOOKUP('Base de Dados'!F419,'Base de Dados'!$A$2:$B$64,2,FALSE),VLOOKUP(F419&amp;'Simulador Bradesco'!$I$13,$A$2:$B$600,2,FALSE))</f>
        <v>#VALUE!</v>
      </c>
      <c r="H419" s="1" t="str">
        <f ca="1">Simulador!A450</f>
        <v/>
      </c>
      <c r="L419" s="1">
        <f ca="1">IF(Simulador!A449="",Simulador!$C$8,Simulador!A449)</f>
        <v>46163</v>
      </c>
      <c r="M419" s="4">
        <f ca="1">IF(Simulador!Q449="",0,Simulador!Q449*-1)</f>
        <v>0</v>
      </c>
    </row>
    <row r="420" spans="1:13" x14ac:dyDescent="0.3">
      <c r="A420" t="s">
        <v>152</v>
      </c>
      <c r="D420" s="93" t="str">
        <f ca="1">Simulador!C451</f>
        <v/>
      </c>
      <c r="E420" s="1" t="str">
        <f t="shared" ca="1" si="15"/>
        <v/>
      </c>
      <c r="F420" s="1" t="e">
        <f t="shared" ca="1" si="14"/>
        <v>#VALUE!</v>
      </c>
      <c r="G420" s="124" t="e">
        <f ca="1">IF('Simulador Bradesco'!D433&lt;&gt;Parâmetros!B420,VLOOKUP('Base de Dados'!F420,'Base de Dados'!$A$2:$B$64,2,FALSE),VLOOKUP(F420&amp;'Simulador Bradesco'!$I$13,$A$2:$B$600,2,FALSE))</f>
        <v>#VALUE!</v>
      </c>
      <c r="H420" s="1" t="str">
        <f ca="1">Simulador!A451</f>
        <v/>
      </c>
      <c r="L420" s="1">
        <f ca="1">IF(Simulador!A450="",Simulador!$C$8,Simulador!A450)</f>
        <v>46163</v>
      </c>
      <c r="M420" s="4">
        <f ca="1">IF(Simulador!Q450="",0,Simulador!Q450*-1)</f>
        <v>0</v>
      </c>
    </row>
    <row r="421" spans="1:13" x14ac:dyDescent="0.3">
      <c r="A421" t="s">
        <v>152</v>
      </c>
      <c r="D421" s="93" t="str">
        <f ca="1">Simulador!C452</f>
        <v/>
      </c>
      <c r="E421" s="1" t="str">
        <f t="shared" ca="1" si="15"/>
        <v/>
      </c>
      <c r="F421" s="1" t="e">
        <f t="shared" ca="1" si="14"/>
        <v>#VALUE!</v>
      </c>
      <c r="G421" s="124" t="e">
        <f ca="1">IF('Simulador Bradesco'!D434&lt;&gt;Parâmetros!B421,VLOOKUP('Base de Dados'!F421,'Base de Dados'!$A$2:$B$64,2,FALSE),VLOOKUP(F421&amp;'Simulador Bradesco'!$I$13,$A$2:$B$600,2,FALSE))</f>
        <v>#VALUE!</v>
      </c>
      <c r="H421" s="1" t="str">
        <f ca="1">Simulador!A452</f>
        <v/>
      </c>
      <c r="L421" s="1">
        <f ca="1">IF(Simulador!A451="",Simulador!$C$8,Simulador!A451)</f>
        <v>46163</v>
      </c>
      <c r="M421" s="4">
        <f ca="1">IF(Simulador!Q451="",0,Simulador!Q451*-1)</f>
        <v>0</v>
      </c>
    </row>
    <row r="422" spans="1:13" x14ac:dyDescent="0.3">
      <c r="A422" t="s">
        <v>152</v>
      </c>
      <c r="D422" s="93" t="str">
        <f ca="1">Simulador!C453</f>
        <v/>
      </c>
      <c r="E422" s="1" t="str">
        <f t="shared" ca="1" si="15"/>
        <v/>
      </c>
      <c r="F422" s="1" t="e">
        <f t="shared" ca="1" si="14"/>
        <v>#VALUE!</v>
      </c>
      <c r="G422" s="124" t="e">
        <f ca="1">IF('Simulador Bradesco'!D435&lt;&gt;Parâmetros!B422,VLOOKUP('Base de Dados'!F422,'Base de Dados'!$A$2:$B$64,2,FALSE),VLOOKUP(F422&amp;'Simulador Bradesco'!$I$13,$A$2:$B$600,2,FALSE))</f>
        <v>#VALUE!</v>
      </c>
      <c r="H422" s="1" t="str">
        <f ca="1">Simulador!A453</f>
        <v/>
      </c>
      <c r="L422" s="1">
        <f ca="1">IF(Simulador!A452="",Simulador!$C$8,Simulador!A452)</f>
        <v>46163</v>
      </c>
      <c r="M422" s="4">
        <f ca="1">IF(Simulador!Q452="",0,Simulador!Q452*-1)</f>
        <v>0</v>
      </c>
    </row>
    <row r="423" spans="1:13" x14ac:dyDescent="0.3">
      <c r="A423" t="s">
        <v>366</v>
      </c>
      <c r="B423" s="165">
        <v>1.026E-4</v>
      </c>
    </row>
    <row r="424" spans="1:13" x14ac:dyDescent="0.3">
      <c r="A424" t="s">
        <v>367</v>
      </c>
      <c r="B424" s="165">
        <v>1.026E-4</v>
      </c>
    </row>
    <row r="425" spans="1:13" x14ac:dyDescent="0.3">
      <c r="A425" t="s">
        <v>368</v>
      </c>
      <c r="B425" s="165">
        <v>1.026E-4</v>
      </c>
    </row>
    <row r="426" spans="1:13" x14ac:dyDescent="0.3">
      <c r="A426" t="s">
        <v>369</v>
      </c>
      <c r="B426" s="165">
        <v>1.105E-4</v>
      </c>
    </row>
    <row r="427" spans="1:13" x14ac:dyDescent="0.3">
      <c r="A427" t="s">
        <v>370</v>
      </c>
      <c r="B427" s="165">
        <v>1.105E-4</v>
      </c>
    </row>
    <row r="428" spans="1:13" x14ac:dyDescent="0.3">
      <c r="A428" t="s">
        <v>371</v>
      </c>
      <c r="B428" s="165">
        <v>1.105E-4</v>
      </c>
    </row>
    <row r="429" spans="1:13" x14ac:dyDescent="0.3">
      <c r="A429" t="s">
        <v>372</v>
      </c>
      <c r="B429" s="165">
        <v>1.167E-4</v>
      </c>
    </row>
    <row r="430" spans="1:13" x14ac:dyDescent="0.3">
      <c r="A430" t="s">
        <v>373</v>
      </c>
      <c r="B430" s="165">
        <v>1.167E-4</v>
      </c>
    </row>
    <row r="431" spans="1:13" x14ac:dyDescent="0.3">
      <c r="A431" t="s">
        <v>374</v>
      </c>
      <c r="B431" s="165">
        <v>1.167E-4</v>
      </c>
    </row>
    <row r="432" spans="1:13" x14ac:dyDescent="0.3">
      <c r="A432" t="s">
        <v>375</v>
      </c>
      <c r="B432" s="165">
        <v>1.2760000000000001E-4</v>
      </c>
    </row>
    <row r="433" spans="1:2" x14ac:dyDescent="0.3">
      <c r="A433" t="s">
        <v>376</v>
      </c>
      <c r="B433" s="165">
        <v>1.2760000000000001E-4</v>
      </c>
    </row>
    <row r="434" spans="1:2" x14ac:dyDescent="0.3">
      <c r="A434" t="s">
        <v>377</v>
      </c>
      <c r="B434" s="165">
        <v>1.2760000000000001E-4</v>
      </c>
    </row>
    <row r="435" spans="1:2" x14ac:dyDescent="0.3">
      <c r="A435" t="s">
        <v>378</v>
      </c>
      <c r="B435" s="165">
        <v>1.4080000000000001E-4</v>
      </c>
    </row>
    <row r="436" spans="1:2" x14ac:dyDescent="0.3">
      <c r="A436" t="s">
        <v>379</v>
      </c>
      <c r="B436" s="165">
        <v>1.4080000000000001E-4</v>
      </c>
    </row>
    <row r="437" spans="1:2" x14ac:dyDescent="0.3">
      <c r="A437" t="s">
        <v>380</v>
      </c>
      <c r="B437" s="165">
        <v>1.4080000000000001E-4</v>
      </c>
    </row>
    <row r="438" spans="1:2" x14ac:dyDescent="0.3">
      <c r="A438" t="s">
        <v>381</v>
      </c>
      <c r="B438" s="165">
        <v>1.5349999999999999E-4</v>
      </c>
    </row>
    <row r="439" spans="1:2" x14ac:dyDescent="0.3">
      <c r="A439" t="s">
        <v>382</v>
      </c>
      <c r="B439" s="165">
        <v>1.5349999999999999E-4</v>
      </c>
    </row>
    <row r="440" spans="1:2" x14ac:dyDescent="0.3">
      <c r="A440" t="s">
        <v>383</v>
      </c>
      <c r="B440" s="165">
        <v>1.5349999999999999E-4</v>
      </c>
    </row>
    <row r="441" spans="1:2" x14ac:dyDescent="0.3">
      <c r="A441" t="s">
        <v>384</v>
      </c>
      <c r="B441" s="165">
        <v>1.7760000000000001E-4</v>
      </c>
    </row>
    <row r="442" spans="1:2" x14ac:dyDescent="0.3">
      <c r="A442" t="s">
        <v>385</v>
      </c>
      <c r="B442" s="165">
        <v>1.7760000000000001E-4</v>
      </c>
    </row>
    <row r="443" spans="1:2" x14ac:dyDescent="0.3">
      <c r="A443" t="s">
        <v>386</v>
      </c>
      <c r="B443" s="165">
        <v>1.7760000000000001E-4</v>
      </c>
    </row>
    <row r="444" spans="1:2" x14ac:dyDescent="0.3">
      <c r="A444" t="s">
        <v>387</v>
      </c>
      <c r="B444" s="165">
        <v>2.1890000000000001E-4</v>
      </c>
    </row>
    <row r="445" spans="1:2" x14ac:dyDescent="0.3">
      <c r="A445" t="s">
        <v>388</v>
      </c>
      <c r="B445" s="165">
        <v>2.1890000000000001E-4</v>
      </c>
    </row>
    <row r="446" spans="1:2" x14ac:dyDescent="0.3">
      <c r="A446" t="s">
        <v>389</v>
      </c>
      <c r="B446" s="165">
        <v>2.1890000000000001E-4</v>
      </c>
    </row>
    <row r="447" spans="1:2" x14ac:dyDescent="0.3">
      <c r="A447" t="s">
        <v>390</v>
      </c>
      <c r="B447" s="165">
        <v>3.1040000000000001E-4</v>
      </c>
    </row>
    <row r="448" spans="1:2" x14ac:dyDescent="0.3">
      <c r="A448" t="s">
        <v>391</v>
      </c>
      <c r="B448" s="165">
        <v>3.1040000000000001E-4</v>
      </c>
    </row>
    <row r="449" spans="1:2" x14ac:dyDescent="0.3">
      <c r="A449" t="s">
        <v>392</v>
      </c>
      <c r="B449" s="165">
        <v>3.1040000000000001E-4</v>
      </c>
    </row>
    <row r="450" spans="1:2" x14ac:dyDescent="0.3">
      <c r="A450" t="s">
        <v>393</v>
      </c>
      <c r="B450" s="165">
        <v>4.2620000000000001E-4</v>
      </c>
    </row>
    <row r="451" spans="1:2" x14ac:dyDescent="0.3">
      <c r="A451" t="s">
        <v>394</v>
      </c>
      <c r="B451" s="165">
        <v>4.2620000000000001E-4</v>
      </c>
    </row>
    <row r="452" spans="1:2" x14ac:dyDescent="0.3">
      <c r="A452" t="s">
        <v>395</v>
      </c>
      <c r="B452" s="165">
        <v>4.2620000000000001E-4</v>
      </c>
    </row>
    <row r="453" spans="1:2" x14ac:dyDescent="0.3">
      <c r="A453" t="s">
        <v>396</v>
      </c>
      <c r="B453" s="165">
        <v>5.7510000000000005E-4</v>
      </c>
    </row>
    <row r="454" spans="1:2" x14ac:dyDescent="0.3">
      <c r="A454" t="s">
        <v>397</v>
      </c>
      <c r="B454" s="165">
        <v>5.7510000000000005E-4</v>
      </c>
    </row>
    <row r="455" spans="1:2" x14ac:dyDescent="0.3">
      <c r="A455" t="s">
        <v>398</v>
      </c>
      <c r="B455" s="165">
        <v>5.7510000000000005E-4</v>
      </c>
    </row>
    <row r="456" spans="1:2" x14ac:dyDescent="0.3">
      <c r="A456" t="s">
        <v>399</v>
      </c>
      <c r="B456" s="165">
        <v>7.3680000000000002E-4</v>
      </c>
    </row>
    <row r="457" spans="1:2" x14ac:dyDescent="0.3">
      <c r="A457" t="s">
        <v>400</v>
      </c>
      <c r="B457" s="165">
        <v>7.3680000000000002E-4</v>
      </c>
    </row>
    <row r="458" spans="1:2" x14ac:dyDescent="0.3">
      <c r="A458" t="s">
        <v>401</v>
      </c>
      <c r="B458" s="165">
        <v>7.3680000000000002E-4</v>
      </c>
    </row>
    <row r="459" spans="1:2" x14ac:dyDescent="0.3">
      <c r="A459" t="s">
        <v>402</v>
      </c>
      <c r="B459" s="165">
        <v>9.0720000000000004E-4</v>
      </c>
    </row>
    <row r="460" spans="1:2" x14ac:dyDescent="0.3">
      <c r="A460" t="s">
        <v>403</v>
      </c>
      <c r="B460" s="165">
        <v>9.0720000000000004E-4</v>
      </c>
    </row>
    <row r="461" spans="1:2" x14ac:dyDescent="0.3">
      <c r="A461" t="s">
        <v>404</v>
      </c>
      <c r="B461" s="165">
        <v>9.0720000000000004E-4</v>
      </c>
    </row>
    <row r="462" spans="1:2" x14ac:dyDescent="0.3">
      <c r="A462" t="s">
        <v>405</v>
      </c>
      <c r="B462" s="165">
        <v>1.1075E-3</v>
      </c>
    </row>
    <row r="463" spans="1:2" x14ac:dyDescent="0.3">
      <c r="A463" t="s">
        <v>406</v>
      </c>
      <c r="B463" s="165">
        <v>1.1075E-3</v>
      </c>
    </row>
    <row r="464" spans="1:2" x14ac:dyDescent="0.3">
      <c r="A464" t="s">
        <v>407</v>
      </c>
      <c r="B464" s="165">
        <v>1.1075E-3</v>
      </c>
    </row>
    <row r="465" spans="1:2" x14ac:dyDescent="0.3">
      <c r="A465" t="s">
        <v>408</v>
      </c>
      <c r="B465" s="165">
        <v>1.3538999999999999E-3</v>
      </c>
    </row>
    <row r="466" spans="1:2" x14ac:dyDescent="0.3">
      <c r="A466" t="s">
        <v>409</v>
      </c>
      <c r="B466" s="165">
        <v>1.3538999999999999E-3</v>
      </c>
    </row>
    <row r="467" spans="1:2" x14ac:dyDescent="0.3">
      <c r="A467" t="s">
        <v>410</v>
      </c>
      <c r="B467" s="165">
        <v>1.3538999999999999E-3</v>
      </c>
    </row>
    <row r="468" spans="1:2" x14ac:dyDescent="0.3">
      <c r="A468" t="s">
        <v>411</v>
      </c>
      <c r="B468" s="165">
        <v>1.7451999999999999E-3</v>
      </c>
    </row>
    <row r="469" spans="1:2" x14ac:dyDescent="0.3">
      <c r="A469" t="s">
        <v>412</v>
      </c>
      <c r="B469" s="165">
        <v>1.7451999999999999E-3</v>
      </c>
    </row>
    <row r="470" spans="1:2" x14ac:dyDescent="0.3">
      <c r="A470" t="s">
        <v>413</v>
      </c>
      <c r="B470" s="165">
        <v>1.7451999999999999E-3</v>
      </c>
    </row>
    <row r="471" spans="1:2" x14ac:dyDescent="0.3">
      <c r="A471" t="s">
        <v>414</v>
      </c>
      <c r="B471" s="165">
        <v>2.1591000000000002E-3</v>
      </c>
    </row>
    <row r="472" spans="1:2" x14ac:dyDescent="0.3">
      <c r="A472" t="s">
        <v>415</v>
      </c>
      <c r="B472" s="165">
        <v>2.1591000000000002E-3</v>
      </c>
    </row>
    <row r="473" spans="1:2" x14ac:dyDescent="0.3">
      <c r="A473" t="s">
        <v>416</v>
      </c>
      <c r="B473" s="165">
        <v>2.1591000000000002E-3</v>
      </c>
    </row>
    <row r="474" spans="1:2" x14ac:dyDescent="0.3">
      <c r="A474" t="s">
        <v>417</v>
      </c>
      <c r="B474" s="165">
        <v>2.9221E-3</v>
      </c>
    </row>
    <row r="475" spans="1:2" x14ac:dyDescent="0.3">
      <c r="A475" t="s">
        <v>418</v>
      </c>
      <c r="B475" s="165">
        <v>2.9221E-3</v>
      </c>
    </row>
    <row r="476" spans="1:2" x14ac:dyDescent="0.3">
      <c r="A476" t="s">
        <v>419</v>
      </c>
      <c r="B476" s="165">
        <v>2.9221E-3</v>
      </c>
    </row>
    <row r="477" spans="1:2" x14ac:dyDescent="0.3">
      <c r="A477" t="s">
        <v>420</v>
      </c>
      <c r="B477" s="165">
        <v>3.9290000000000002E-3</v>
      </c>
    </row>
    <row r="478" spans="1:2" x14ac:dyDescent="0.3">
      <c r="A478" t="s">
        <v>421</v>
      </c>
      <c r="B478" s="165">
        <v>3.9290000000000002E-3</v>
      </c>
    </row>
    <row r="479" spans="1:2" x14ac:dyDescent="0.3">
      <c r="A479" t="s">
        <v>422</v>
      </c>
      <c r="B479" s="165">
        <v>3.9290000000000002E-3</v>
      </c>
    </row>
    <row r="480" spans="1:2" x14ac:dyDescent="0.3">
      <c r="A480" t="s">
        <v>423</v>
      </c>
      <c r="B480" s="165">
        <v>6.9794000000000002E-3</v>
      </c>
    </row>
    <row r="481" spans="1:2" x14ac:dyDescent="0.3">
      <c r="A481" t="s">
        <v>424</v>
      </c>
      <c r="B481" s="165">
        <v>6.9794000000000002E-3</v>
      </c>
    </row>
    <row r="482" spans="1:2" x14ac:dyDescent="0.3">
      <c r="A482" t="s">
        <v>425</v>
      </c>
      <c r="B482" s="165">
        <v>6.9794000000000002E-3</v>
      </c>
    </row>
    <row r="483" spans="1:2" x14ac:dyDescent="0.3">
      <c r="A483" t="s">
        <v>426</v>
      </c>
      <c r="B483" s="165">
        <v>9.3326999999999993E-3</v>
      </c>
    </row>
    <row r="484" spans="1:2" x14ac:dyDescent="0.3">
      <c r="A484" t="s">
        <v>427</v>
      </c>
      <c r="B484" s="165">
        <v>9.3326999999999993E-3</v>
      </c>
    </row>
    <row r="485" spans="1:2" x14ac:dyDescent="0.3">
      <c r="A485" t="s">
        <v>428</v>
      </c>
      <c r="B485" s="165">
        <v>9.3326999999999993E-3</v>
      </c>
    </row>
    <row r="486" spans="1:2" x14ac:dyDescent="0.3">
      <c r="A486" t="s">
        <v>430</v>
      </c>
      <c r="B486" s="165">
        <v>1.026E-4</v>
      </c>
    </row>
    <row r="487" spans="1:2" x14ac:dyDescent="0.3">
      <c r="A487" t="s">
        <v>431</v>
      </c>
      <c r="B487" s="165">
        <v>1.026E-4</v>
      </c>
    </row>
    <row r="488" spans="1:2" x14ac:dyDescent="0.3">
      <c r="A488" t="s">
        <v>432</v>
      </c>
      <c r="B488" s="165">
        <v>1.026E-4</v>
      </c>
    </row>
    <row r="489" spans="1:2" x14ac:dyDescent="0.3">
      <c r="A489" t="s">
        <v>433</v>
      </c>
      <c r="B489" s="165">
        <v>1.105E-4</v>
      </c>
    </row>
    <row r="490" spans="1:2" x14ac:dyDescent="0.3">
      <c r="A490" t="s">
        <v>434</v>
      </c>
      <c r="B490" s="165">
        <v>1.105E-4</v>
      </c>
    </row>
    <row r="491" spans="1:2" x14ac:dyDescent="0.3">
      <c r="A491" t="s">
        <v>435</v>
      </c>
      <c r="B491" s="165">
        <v>1.105E-4</v>
      </c>
    </row>
    <row r="492" spans="1:2" x14ac:dyDescent="0.3">
      <c r="A492" t="s">
        <v>436</v>
      </c>
      <c r="B492" s="165">
        <v>1.167E-4</v>
      </c>
    </row>
    <row r="493" spans="1:2" x14ac:dyDescent="0.3">
      <c r="A493" t="s">
        <v>437</v>
      </c>
      <c r="B493" s="165">
        <v>1.167E-4</v>
      </c>
    </row>
    <row r="494" spans="1:2" x14ac:dyDescent="0.3">
      <c r="A494" t="s">
        <v>438</v>
      </c>
      <c r="B494" s="165">
        <v>1.167E-4</v>
      </c>
    </row>
    <row r="495" spans="1:2" x14ac:dyDescent="0.3">
      <c r="A495" t="s">
        <v>439</v>
      </c>
      <c r="B495" s="165">
        <v>1.2760000000000001E-4</v>
      </c>
    </row>
    <row r="496" spans="1:2" x14ac:dyDescent="0.3">
      <c r="A496" t="s">
        <v>440</v>
      </c>
      <c r="B496" s="165">
        <v>1.2760000000000001E-4</v>
      </c>
    </row>
    <row r="497" spans="1:2" x14ac:dyDescent="0.3">
      <c r="A497" t="s">
        <v>441</v>
      </c>
      <c r="B497" s="165">
        <v>1.2760000000000001E-4</v>
      </c>
    </row>
    <row r="498" spans="1:2" x14ac:dyDescent="0.3">
      <c r="A498" t="s">
        <v>442</v>
      </c>
      <c r="B498" s="165">
        <v>1.4080000000000001E-4</v>
      </c>
    </row>
    <row r="499" spans="1:2" x14ac:dyDescent="0.3">
      <c r="A499" t="s">
        <v>443</v>
      </c>
      <c r="B499" s="165">
        <v>1.4080000000000001E-4</v>
      </c>
    </row>
    <row r="500" spans="1:2" x14ac:dyDescent="0.3">
      <c r="A500" t="s">
        <v>444</v>
      </c>
      <c r="B500" s="165">
        <v>1.4080000000000001E-4</v>
      </c>
    </row>
    <row r="501" spans="1:2" x14ac:dyDescent="0.3">
      <c r="A501" t="s">
        <v>445</v>
      </c>
      <c r="B501" s="165">
        <v>1.5349999999999999E-4</v>
      </c>
    </row>
    <row r="502" spans="1:2" x14ac:dyDescent="0.3">
      <c r="A502" t="s">
        <v>446</v>
      </c>
      <c r="B502" s="165">
        <v>1.5349999999999999E-4</v>
      </c>
    </row>
    <row r="503" spans="1:2" x14ac:dyDescent="0.3">
      <c r="A503" t="s">
        <v>447</v>
      </c>
      <c r="B503" s="165">
        <v>1.5349999999999999E-4</v>
      </c>
    </row>
    <row r="504" spans="1:2" x14ac:dyDescent="0.3">
      <c r="A504" t="s">
        <v>448</v>
      </c>
      <c r="B504" s="165">
        <v>1.7760000000000001E-4</v>
      </c>
    </row>
    <row r="505" spans="1:2" x14ac:dyDescent="0.3">
      <c r="A505" t="s">
        <v>449</v>
      </c>
      <c r="B505" s="165">
        <v>1.7760000000000001E-4</v>
      </c>
    </row>
    <row r="506" spans="1:2" x14ac:dyDescent="0.3">
      <c r="A506" t="s">
        <v>450</v>
      </c>
      <c r="B506" s="165">
        <v>1.7760000000000001E-4</v>
      </c>
    </row>
    <row r="507" spans="1:2" x14ac:dyDescent="0.3">
      <c r="A507" t="s">
        <v>451</v>
      </c>
      <c r="B507" s="165">
        <v>2.1890000000000001E-4</v>
      </c>
    </row>
    <row r="508" spans="1:2" x14ac:dyDescent="0.3">
      <c r="A508" t="s">
        <v>452</v>
      </c>
      <c r="B508" s="165">
        <v>2.1890000000000001E-4</v>
      </c>
    </row>
    <row r="509" spans="1:2" x14ac:dyDescent="0.3">
      <c r="A509" t="s">
        <v>453</v>
      </c>
      <c r="B509" s="165">
        <v>2.1890000000000001E-4</v>
      </c>
    </row>
    <row r="510" spans="1:2" x14ac:dyDescent="0.3">
      <c r="A510" t="s">
        <v>454</v>
      </c>
      <c r="B510" s="165">
        <v>3.1040000000000001E-4</v>
      </c>
    </row>
    <row r="511" spans="1:2" x14ac:dyDescent="0.3">
      <c r="A511" t="s">
        <v>455</v>
      </c>
      <c r="B511" s="165">
        <v>3.1040000000000001E-4</v>
      </c>
    </row>
    <row r="512" spans="1:2" x14ac:dyDescent="0.3">
      <c r="A512" t="s">
        <v>456</v>
      </c>
      <c r="B512" s="165">
        <v>3.1040000000000001E-4</v>
      </c>
    </row>
    <row r="513" spans="1:2" x14ac:dyDescent="0.3">
      <c r="A513" t="s">
        <v>457</v>
      </c>
      <c r="B513" s="165">
        <v>4.2620000000000001E-4</v>
      </c>
    </row>
    <row r="514" spans="1:2" x14ac:dyDescent="0.3">
      <c r="A514" t="s">
        <v>458</v>
      </c>
      <c r="B514" s="165">
        <v>4.2620000000000001E-4</v>
      </c>
    </row>
    <row r="515" spans="1:2" x14ac:dyDescent="0.3">
      <c r="A515" t="s">
        <v>459</v>
      </c>
      <c r="B515" s="165">
        <v>4.2620000000000001E-4</v>
      </c>
    </row>
    <row r="516" spans="1:2" x14ac:dyDescent="0.3">
      <c r="A516" t="s">
        <v>460</v>
      </c>
      <c r="B516" s="165">
        <v>5.7510000000000005E-4</v>
      </c>
    </row>
    <row r="517" spans="1:2" x14ac:dyDescent="0.3">
      <c r="A517" t="s">
        <v>461</v>
      </c>
      <c r="B517" s="165">
        <v>5.7510000000000005E-4</v>
      </c>
    </row>
    <row r="518" spans="1:2" x14ac:dyDescent="0.3">
      <c r="A518" t="s">
        <v>462</v>
      </c>
      <c r="B518" s="165">
        <v>5.7510000000000005E-4</v>
      </c>
    </row>
    <row r="519" spans="1:2" x14ac:dyDescent="0.3">
      <c r="A519" t="s">
        <v>463</v>
      </c>
      <c r="B519" s="165">
        <v>7.3680000000000002E-4</v>
      </c>
    </row>
    <row r="520" spans="1:2" x14ac:dyDescent="0.3">
      <c r="A520" t="s">
        <v>464</v>
      </c>
      <c r="B520" s="165">
        <v>7.3680000000000002E-4</v>
      </c>
    </row>
    <row r="521" spans="1:2" x14ac:dyDescent="0.3">
      <c r="A521" t="s">
        <v>465</v>
      </c>
      <c r="B521" s="165">
        <v>7.3680000000000002E-4</v>
      </c>
    </row>
    <row r="522" spans="1:2" x14ac:dyDescent="0.3">
      <c r="A522" t="s">
        <v>466</v>
      </c>
      <c r="B522" s="165">
        <v>9.0720000000000004E-4</v>
      </c>
    </row>
    <row r="523" spans="1:2" x14ac:dyDescent="0.3">
      <c r="A523" t="s">
        <v>467</v>
      </c>
      <c r="B523" s="165">
        <v>9.0720000000000004E-4</v>
      </c>
    </row>
    <row r="524" spans="1:2" x14ac:dyDescent="0.3">
      <c r="A524" t="s">
        <v>468</v>
      </c>
      <c r="B524" s="165">
        <v>9.0720000000000004E-4</v>
      </c>
    </row>
    <row r="525" spans="1:2" x14ac:dyDescent="0.3">
      <c r="A525" t="s">
        <v>469</v>
      </c>
      <c r="B525" s="165">
        <v>1.1075E-3</v>
      </c>
    </row>
    <row r="526" spans="1:2" x14ac:dyDescent="0.3">
      <c r="A526" t="s">
        <v>470</v>
      </c>
      <c r="B526" s="165">
        <v>1.1075E-3</v>
      </c>
    </row>
    <row r="527" spans="1:2" x14ac:dyDescent="0.3">
      <c r="A527" t="s">
        <v>471</v>
      </c>
      <c r="B527" s="165">
        <v>1.1075E-3</v>
      </c>
    </row>
    <row r="528" spans="1:2" x14ac:dyDescent="0.3">
      <c r="A528" t="s">
        <v>472</v>
      </c>
      <c r="B528" s="165">
        <v>1.3538999999999999E-3</v>
      </c>
    </row>
    <row r="529" spans="1:2" x14ac:dyDescent="0.3">
      <c r="A529" t="s">
        <v>473</v>
      </c>
      <c r="B529" s="165">
        <v>1.3538999999999999E-3</v>
      </c>
    </row>
    <row r="530" spans="1:2" x14ac:dyDescent="0.3">
      <c r="A530" t="s">
        <v>474</v>
      </c>
      <c r="B530" s="165">
        <v>1.3538999999999999E-3</v>
      </c>
    </row>
    <row r="531" spans="1:2" x14ac:dyDescent="0.3">
      <c r="A531" t="s">
        <v>475</v>
      </c>
      <c r="B531" s="165">
        <v>1.7451999999999999E-3</v>
      </c>
    </row>
    <row r="532" spans="1:2" x14ac:dyDescent="0.3">
      <c r="A532" t="s">
        <v>476</v>
      </c>
      <c r="B532" s="165">
        <v>1.7451999999999999E-3</v>
      </c>
    </row>
    <row r="533" spans="1:2" x14ac:dyDescent="0.3">
      <c r="A533" t="s">
        <v>477</v>
      </c>
      <c r="B533" s="165">
        <v>1.7451999999999999E-3</v>
      </c>
    </row>
    <row r="534" spans="1:2" x14ac:dyDescent="0.3">
      <c r="A534" t="s">
        <v>478</v>
      </c>
      <c r="B534" s="165">
        <v>2.1591000000000002E-3</v>
      </c>
    </row>
    <row r="535" spans="1:2" x14ac:dyDescent="0.3">
      <c r="A535" t="s">
        <v>479</v>
      </c>
      <c r="B535" s="165">
        <v>2.1591000000000002E-3</v>
      </c>
    </row>
    <row r="536" spans="1:2" x14ac:dyDescent="0.3">
      <c r="A536" t="s">
        <v>480</v>
      </c>
      <c r="B536" s="165">
        <v>2.1591000000000002E-3</v>
      </c>
    </row>
    <row r="537" spans="1:2" x14ac:dyDescent="0.3">
      <c r="A537" t="s">
        <v>481</v>
      </c>
      <c r="B537" s="165">
        <v>2.9221E-3</v>
      </c>
    </row>
    <row r="538" spans="1:2" x14ac:dyDescent="0.3">
      <c r="A538" t="s">
        <v>482</v>
      </c>
      <c r="B538" s="165">
        <v>2.9221E-3</v>
      </c>
    </row>
    <row r="539" spans="1:2" x14ac:dyDescent="0.3">
      <c r="A539" t="s">
        <v>483</v>
      </c>
      <c r="B539" s="165">
        <v>2.9221E-3</v>
      </c>
    </row>
    <row r="540" spans="1:2" x14ac:dyDescent="0.3">
      <c r="A540" t="s">
        <v>484</v>
      </c>
      <c r="B540" s="165">
        <v>3.9290000000000002E-3</v>
      </c>
    </row>
    <row r="541" spans="1:2" x14ac:dyDescent="0.3">
      <c r="A541" t="s">
        <v>485</v>
      </c>
      <c r="B541" s="165">
        <v>3.9290000000000002E-3</v>
      </c>
    </row>
    <row r="542" spans="1:2" x14ac:dyDescent="0.3">
      <c r="A542" t="s">
        <v>486</v>
      </c>
      <c r="B542" s="165">
        <v>3.9290000000000002E-3</v>
      </c>
    </row>
    <row r="543" spans="1:2" x14ac:dyDescent="0.3">
      <c r="A543" t="s">
        <v>487</v>
      </c>
      <c r="B543" s="165">
        <v>6.9794000000000002E-3</v>
      </c>
    </row>
    <row r="544" spans="1:2" x14ac:dyDescent="0.3">
      <c r="A544" t="s">
        <v>488</v>
      </c>
      <c r="B544" s="165">
        <v>6.9794000000000002E-3</v>
      </c>
    </row>
    <row r="545" spans="1:2" x14ac:dyDescent="0.3">
      <c r="A545" t="s">
        <v>489</v>
      </c>
      <c r="B545" s="165">
        <v>6.9794000000000002E-3</v>
      </c>
    </row>
    <row r="546" spans="1:2" x14ac:dyDescent="0.3">
      <c r="A546" t="s">
        <v>490</v>
      </c>
      <c r="B546" s="165">
        <v>9.3326999999999993E-3</v>
      </c>
    </row>
    <row r="547" spans="1:2" x14ac:dyDescent="0.3">
      <c r="A547" t="s">
        <v>491</v>
      </c>
      <c r="B547" s="165">
        <v>9.3326999999999993E-3</v>
      </c>
    </row>
    <row r="548" spans="1:2" x14ac:dyDescent="0.3">
      <c r="A548" t="s">
        <v>492</v>
      </c>
      <c r="B548" s="165">
        <v>9.3326999999999993E-3</v>
      </c>
    </row>
  </sheetData>
  <sheetProtection algorithmName="SHA-512" hashValue="H6hSfi5MPxMzj/JPg0Gfbk6REqnzlxgIxQfgChr9mccAYlL8WcsZuyTZQlstFEA6zDtUsPEhPe7cJf5yy+YL2w==" saltValue="AfEnplW+w9MtyS6wr4Vtkg==" spinCount="100000" sheet="1" selectLockedCells="1" selectUnlockedCells="1"/>
  <autoFilter ref="L1:AA422" xr:uid="{00000000-0001-0000-0300-000000000000}"/>
  <pageMargins left="0.511811024" right="0.511811024" top="0.78740157499999996" bottom="0.78740157499999996" header="0.31496062000000002" footer="0.31496062000000002"/>
  <pageSetup paperSize="9" orientation="portrait" r:id="rId1"/>
</worksheet>
</file>

<file path=docMetadata/LabelInfo.xml><?xml version="1.0" encoding="utf-8"?>
<clbl:labelList xmlns:clbl="http://schemas.microsoft.com/office/2020/mipLabelMetadata">
  <clbl:label id="{d3fed9c9-9e02-402c-91c6-79672c367b2e}" enabled="1" method="Standard" siteId="{ccd25372-eb59-436a-ad74-78a49d784cf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Simulador</vt:lpstr>
      <vt:lpstr>Parâmetros</vt:lpstr>
      <vt:lpstr>Simulador Bradesco</vt:lpstr>
      <vt:lpstr>Base de Dados</vt:lpstr>
      <vt:lpstr>Simulador!Area_de_impressao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helpdesk</dc:creator>
  <cp:lastModifiedBy>EMANUELLE KIOMA DOS SANTOS VIRGILIO</cp:lastModifiedBy>
  <cp:lastPrinted>2025-11-06T21:22:14Z</cp:lastPrinted>
  <dcterms:created xsi:type="dcterms:W3CDTF">2022-04-07T19:29:03Z</dcterms:created>
  <dcterms:modified xsi:type="dcterms:W3CDTF">2026-05-21T13:56:18Z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fed9c9-9e02-402c-91c6-79672c367b2e_Enabled">
    <vt:lpwstr>true</vt:lpwstr>
  </property>
  <property fmtid="{D5CDD505-2E9C-101B-9397-08002B2CF9AE}" pid="3" name="MSIP_Label_d3fed9c9-9e02-402c-91c6-79672c367b2e_SetDate">
    <vt:lpwstr>2022-05-16T17:26:25Z</vt:lpwstr>
  </property>
  <property fmtid="{D5CDD505-2E9C-101B-9397-08002B2CF9AE}" pid="4" name="MSIP_Label_d3fed9c9-9e02-402c-91c6-79672c367b2e_Method">
    <vt:lpwstr>Standard</vt:lpwstr>
  </property>
  <property fmtid="{D5CDD505-2E9C-101B-9397-08002B2CF9AE}" pid="5" name="MSIP_Label_d3fed9c9-9e02-402c-91c6-79672c367b2e_Name">
    <vt:lpwstr>d3fed9c9-9e02-402c-91c6-79672c367b2e</vt:lpwstr>
  </property>
  <property fmtid="{D5CDD505-2E9C-101B-9397-08002B2CF9AE}" pid="6" name="MSIP_Label_d3fed9c9-9e02-402c-91c6-79672c367b2e_SiteId">
    <vt:lpwstr>ccd25372-eb59-436a-ad74-78a49d784cf3</vt:lpwstr>
  </property>
  <property fmtid="{D5CDD505-2E9C-101B-9397-08002B2CF9AE}" pid="7" name="MSIP_Label_d3fed9c9-9e02-402c-91c6-79672c367b2e_ActionId">
    <vt:lpwstr>d1dfa62b-2105-4eee-b27b-0e4190a64077</vt:lpwstr>
  </property>
  <property fmtid="{D5CDD505-2E9C-101B-9397-08002B2CF9AE}" pid="8" name="MSIP_Label_d3fed9c9-9e02-402c-91c6-79672c367b2e_ContentBits">
    <vt:lpwstr>0</vt:lpwstr>
  </property>
</Properties>
</file>